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842" documentId="8_{BBC9EA4E-7F3B-475F-B61B-890F681C3A1C}" xr6:coauthVersionLast="47" xr6:coauthVersionMax="47" xr10:uidLastSave="{654A5BF4-25FB-4CAF-93C6-3A2DBA6EF7A7}"/>
  <bookViews>
    <workbookView xWindow="11520" yWindow="0" windowWidth="11520" windowHeight="12360" tabRatio="597" firstSheet="1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diaria'!$A$1:$D$1255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70" i="1" l="1"/>
  <c r="O470" i="1"/>
  <c r="P470" i="1"/>
  <c r="N471" i="1"/>
  <c r="O471" i="1"/>
  <c r="P471" i="1" s="1"/>
  <c r="K470" i="1"/>
  <c r="K471" i="1"/>
  <c r="I470" i="1"/>
  <c r="I471" i="1"/>
  <c r="C470" i="1"/>
  <c r="M470" i="1" s="1"/>
  <c r="C471" i="1"/>
  <c r="M471" i="1" s="1"/>
  <c r="E470" i="1"/>
  <c r="E471" i="1"/>
  <c r="H470" i="1"/>
  <c r="H471" i="1"/>
  <c r="H469" i="1"/>
  <c r="I469" i="1"/>
  <c r="K469" i="1"/>
  <c r="N469" i="1"/>
  <c r="O469" i="1"/>
  <c r="P469" i="1" s="1"/>
  <c r="C469" i="1"/>
  <c r="E469" i="1"/>
  <c r="K443" i="1"/>
  <c r="N443" i="1"/>
  <c r="P443" i="1" s="1"/>
  <c r="O443" i="1"/>
  <c r="K444" i="1"/>
  <c r="N444" i="1"/>
  <c r="O444" i="1"/>
  <c r="P444" i="1" s="1"/>
  <c r="K445" i="1"/>
  <c r="N445" i="1"/>
  <c r="O445" i="1"/>
  <c r="P445" i="1" s="1"/>
  <c r="K446" i="1"/>
  <c r="N446" i="1"/>
  <c r="O446" i="1"/>
  <c r="P446" i="1"/>
  <c r="K447" i="1"/>
  <c r="N447" i="1"/>
  <c r="P447" i="1" s="1"/>
  <c r="O447" i="1"/>
  <c r="K448" i="1"/>
  <c r="N448" i="1"/>
  <c r="O448" i="1"/>
  <c r="P448" i="1"/>
  <c r="K449" i="1"/>
  <c r="N449" i="1"/>
  <c r="O449" i="1"/>
  <c r="P449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K453" i="1"/>
  <c r="N453" i="1"/>
  <c r="O453" i="1"/>
  <c r="P453" i="1"/>
  <c r="K454" i="1"/>
  <c r="N454" i="1"/>
  <c r="O454" i="1"/>
  <c r="P454" i="1" s="1"/>
  <c r="K455" i="1"/>
  <c r="N455" i="1"/>
  <c r="O455" i="1"/>
  <c r="P455" i="1"/>
  <c r="K456" i="1"/>
  <c r="N456" i="1"/>
  <c r="O456" i="1"/>
  <c r="P456" i="1" s="1"/>
  <c r="K457" i="1"/>
  <c r="N457" i="1"/>
  <c r="O457" i="1"/>
  <c r="P457" i="1" s="1"/>
  <c r="K458" i="1"/>
  <c r="N458" i="1"/>
  <c r="P458" i="1" s="1"/>
  <c r="O458" i="1"/>
  <c r="K459" i="1"/>
  <c r="N459" i="1"/>
  <c r="O459" i="1"/>
  <c r="P459" i="1"/>
  <c r="K460" i="1"/>
  <c r="N460" i="1"/>
  <c r="P460" i="1" s="1"/>
  <c r="O460" i="1"/>
  <c r="K461" i="1"/>
  <c r="N461" i="1"/>
  <c r="O461" i="1"/>
  <c r="P461" i="1"/>
  <c r="K462" i="1"/>
  <c r="N462" i="1"/>
  <c r="P462" i="1" s="1"/>
  <c r="O462" i="1"/>
  <c r="K463" i="1"/>
  <c r="N463" i="1"/>
  <c r="O463" i="1"/>
  <c r="P463" i="1" s="1"/>
  <c r="K464" i="1"/>
  <c r="N464" i="1"/>
  <c r="O464" i="1"/>
  <c r="P464" i="1" s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/>
  <c r="K468" i="1"/>
  <c r="N468" i="1"/>
  <c r="O468" i="1"/>
  <c r="P468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N433" i="1"/>
  <c r="O433" i="1"/>
  <c r="P433" i="1"/>
  <c r="N434" i="1"/>
  <c r="P434" i="1" s="1"/>
  <c r="O434" i="1"/>
  <c r="N435" i="1"/>
  <c r="O435" i="1"/>
  <c r="P435" i="1"/>
  <c r="N436" i="1"/>
  <c r="O436" i="1"/>
  <c r="P436" i="1" s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/>
  <c r="K433" i="1"/>
  <c r="K434" i="1"/>
  <c r="K435" i="1"/>
  <c r="K436" i="1"/>
  <c r="K437" i="1"/>
  <c r="K438" i="1"/>
  <c r="K439" i="1"/>
  <c r="K440" i="1"/>
  <c r="K441" i="1"/>
  <c r="K442" i="1"/>
  <c r="I433" i="1"/>
  <c r="I434" i="1"/>
  <c r="I435" i="1"/>
  <c r="I436" i="1"/>
  <c r="I437" i="1"/>
  <c r="I438" i="1"/>
  <c r="I439" i="1"/>
  <c r="I440" i="1"/>
  <c r="I441" i="1"/>
  <c r="I442" i="1"/>
  <c r="I443" i="1"/>
  <c r="E443" i="1"/>
  <c r="H443" i="1"/>
  <c r="C433" i="1"/>
  <c r="C434" i="1"/>
  <c r="C435" i="1"/>
  <c r="C436" i="1"/>
  <c r="C437" i="1"/>
  <c r="C438" i="1"/>
  <c r="C439" i="1"/>
  <c r="C440" i="1"/>
  <c r="C441" i="1"/>
  <c r="C442" i="1"/>
  <c r="E433" i="1"/>
  <c r="E434" i="1"/>
  <c r="E435" i="1"/>
  <c r="E436" i="1"/>
  <c r="E437" i="1"/>
  <c r="E438" i="1"/>
  <c r="E439" i="1"/>
  <c r="E440" i="1"/>
  <c r="E441" i="1"/>
  <c r="E442" i="1"/>
  <c r="H433" i="1"/>
  <c r="H434" i="1"/>
  <c r="H435" i="1"/>
  <c r="H436" i="1"/>
  <c r="H437" i="1"/>
  <c r="H438" i="1"/>
  <c r="H439" i="1"/>
  <c r="H440" i="1"/>
  <c r="H441" i="1"/>
  <c r="H442" i="1"/>
  <c r="I373" i="1" l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K425" i="1"/>
  <c r="N425" i="1"/>
  <c r="P425" i="1" s="1"/>
  <c r="O425" i="1"/>
  <c r="K426" i="1"/>
  <c r="N426" i="1"/>
  <c r="P426" i="1" s="1"/>
  <c r="O426" i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C425" i="1"/>
  <c r="C426" i="1"/>
  <c r="C427" i="1"/>
  <c r="C428" i="1"/>
  <c r="C429" i="1"/>
  <c r="C430" i="1"/>
  <c r="C431" i="1"/>
  <c r="C432" i="1"/>
  <c r="E425" i="1"/>
  <c r="E426" i="1"/>
  <c r="E427" i="1"/>
  <c r="E428" i="1"/>
  <c r="E429" i="1"/>
  <c r="E430" i="1"/>
  <c r="E431" i="1"/>
  <c r="E432" i="1"/>
  <c r="H425" i="1"/>
  <c r="H426" i="1"/>
  <c r="H427" i="1"/>
  <c r="H428" i="1"/>
  <c r="H429" i="1"/>
  <c r="H430" i="1"/>
  <c r="H431" i="1"/>
  <c r="H432" i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8" i="1"/>
  <c r="N418" i="1"/>
  <c r="P418" i="1" s="1"/>
  <c r="O418" i="1"/>
  <c r="K410" i="1"/>
  <c r="N410" i="1"/>
  <c r="O410" i="1"/>
  <c r="P410" i="1" s="1"/>
  <c r="K411" i="1"/>
  <c r="N411" i="1"/>
  <c r="O411" i="1"/>
  <c r="P411" i="1" s="1"/>
  <c r="K419" i="1"/>
  <c r="N419" i="1"/>
  <c r="P419" i="1" s="1"/>
  <c r="O419" i="1"/>
  <c r="K420" i="1"/>
  <c r="N420" i="1"/>
  <c r="P420" i="1" s="1"/>
  <c r="O420" i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21" i="1"/>
  <c r="N421" i="1"/>
  <c r="O421" i="1"/>
  <c r="P421" i="1" s="1"/>
  <c r="K422" i="1"/>
  <c r="N422" i="1"/>
  <c r="O422" i="1"/>
  <c r="P422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23" i="1"/>
  <c r="N423" i="1"/>
  <c r="O423" i="1"/>
  <c r="P423" i="1" s="1"/>
  <c r="K424" i="1"/>
  <c r="N424" i="1"/>
  <c r="O424" i="1"/>
  <c r="P424" i="1" s="1"/>
  <c r="C407" i="1"/>
  <c r="C408" i="1"/>
  <c r="C409" i="1"/>
  <c r="C418" i="1"/>
  <c r="C410" i="1"/>
  <c r="C411" i="1"/>
  <c r="C419" i="1"/>
  <c r="C420" i="1"/>
  <c r="C412" i="1"/>
  <c r="C413" i="1"/>
  <c r="C414" i="1"/>
  <c r="C421" i="1"/>
  <c r="C422" i="1"/>
  <c r="C415" i="1"/>
  <c r="C416" i="1"/>
  <c r="C417" i="1"/>
  <c r="C423" i="1"/>
  <c r="C424" i="1"/>
  <c r="E407" i="1"/>
  <c r="E408" i="1"/>
  <c r="E409" i="1"/>
  <c r="E418" i="1"/>
  <c r="E410" i="1"/>
  <c r="E411" i="1"/>
  <c r="E419" i="1"/>
  <c r="E420" i="1"/>
  <c r="E412" i="1"/>
  <c r="E413" i="1"/>
  <c r="E414" i="1"/>
  <c r="E421" i="1"/>
  <c r="E422" i="1"/>
  <c r="E415" i="1"/>
  <c r="E416" i="1"/>
  <c r="E417" i="1"/>
  <c r="E423" i="1"/>
  <c r="E424" i="1"/>
  <c r="H407" i="1"/>
  <c r="H408" i="1"/>
  <c r="H409" i="1"/>
  <c r="H418" i="1"/>
  <c r="H410" i="1"/>
  <c r="H411" i="1"/>
  <c r="H419" i="1"/>
  <c r="H420" i="1"/>
  <c r="H412" i="1"/>
  <c r="H413" i="1"/>
  <c r="H414" i="1"/>
  <c r="H421" i="1"/>
  <c r="H422" i="1"/>
  <c r="H415" i="1"/>
  <c r="H416" i="1"/>
  <c r="H417" i="1"/>
  <c r="H423" i="1"/>
  <c r="H424" i="1"/>
  <c r="K373" i="1"/>
  <c r="N373" i="1"/>
  <c r="O373" i="1"/>
  <c r="P373" i="1" s="1"/>
  <c r="K374" i="1"/>
  <c r="N374" i="1"/>
  <c r="O374" i="1"/>
  <c r="P374" i="1" s="1"/>
  <c r="K375" i="1"/>
  <c r="N375" i="1"/>
  <c r="O375" i="1"/>
  <c r="P375" i="1" s="1"/>
  <c r="K376" i="1"/>
  <c r="N376" i="1"/>
  <c r="P376" i="1" s="1"/>
  <c r="O376" i="1"/>
  <c r="K377" i="1"/>
  <c r="N377" i="1"/>
  <c r="O377" i="1"/>
  <c r="P377" i="1" s="1"/>
  <c r="K378" i="1"/>
  <c r="N378" i="1"/>
  <c r="P378" i="1" s="1"/>
  <c r="O378" i="1"/>
  <c r="K379" i="1"/>
  <c r="N379" i="1"/>
  <c r="P379" i="1" s="1"/>
  <c r="O379" i="1"/>
  <c r="K380" i="1"/>
  <c r="N380" i="1"/>
  <c r="P380" i="1" s="1"/>
  <c r="O380" i="1"/>
  <c r="K381" i="1"/>
  <c r="N381" i="1"/>
  <c r="O381" i="1"/>
  <c r="P381" i="1" s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P385" i="1" s="1"/>
  <c r="O385" i="1"/>
  <c r="K386" i="1"/>
  <c r="N386" i="1"/>
  <c r="P386" i="1" s="1"/>
  <c r="O386" i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I367" i="1" l="1"/>
  <c r="I368" i="1"/>
  <c r="I369" i="1"/>
  <c r="I370" i="1"/>
  <c r="I371" i="1"/>
  <c r="I372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C368" i="1"/>
  <c r="C369" i="1"/>
  <c r="C370" i="1"/>
  <c r="C371" i="1"/>
  <c r="C372" i="1"/>
  <c r="E368" i="1"/>
  <c r="E369" i="1"/>
  <c r="E370" i="1"/>
  <c r="E371" i="1"/>
  <c r="E372" i="1"/>
  <c r="H368" i="1"/>
  <c r="H369" i="1"/>
  <c r="H370" i="1"/>
  <c r="H371" i="1"/>
  <c r="H372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M316" i="1" s="1"/>
  <c r="C317" i="1"/>
  <c r="C318" i="1"/>
  <c r="C319" i="1"/>
  <c r="C320" i="1"/>
  <c r="C321" i="1"/>
  <c r="C322" i="1"/>
  <c r="C323" i="1"/>
  <c r="C324" i="1"/>
  <c r="M324" i="1" s="1"/>
  <c r="C325" i="1"/>
  <c r="C326" i="1"/>
  <c r="C327" i="1"/>
  <c r="C328" i="1"/>
  <c r="C329" i="1"/>
  <c r="C330" i="1"/>
  <c r="C331" i="1"/>
  <c r="C312" i="1"/>
  <c r="M312" i="1" s="1"/>
  <c r="C341" i="1"/>
  <c r="C342" i="1"/>
  <c r="C332" i="1"/>
  <c r="C333" i="1"/>
  <c r="C334" i="1"/>
  <c r="C335" i="1"/>
  <c r="C336" i="1"/>
  <c r="C337" i="1"/>
  <c r="M337" i="1" s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M283" i="1" l="1"/>
  <c r="M359" i="1"/>
  <c r="M239" i="1"/>
  <c r="M365" i="1"/>
  <c r="M366" i="1"/>
  <c r="M367" i="1"/>
  <c r="M353" i="1"/>
  <c r="U66" i="6"/>
  <c r="J62" i="6"/>
  <c r="M34" i="6"/>
  <c r="K12" i="3"/>
  <c r="J60" i="6"/>
  <c r="N63" i="6"/>
  <c r="R56" i="6"/>
  <c r="Q64" i="6"/>
  <c r="T67" i="6"/>
  <c r="D56" i="6"/>
  <c r="M62" i="6"/>
  <c r="P6" i="3"/>
  <c r="K2" i="3"/>
  <c r="I55" i="6"/>
  <c r="O33" i="3"/>
  <c r="I56" i="6"/>
  <c r="M67" i="6"/>
  <c r="H45" i="6"/>
  <c r="O61" i="6"/>
  <c r="S38" i="6"/>
  <c r="N52" i="6"/>
  <c r="U50" i="6"/>
  <c r="E49" i="6"/>
  <c r="J34" i="6"/>
  <c r="J35" i="6"/>
  <c r="H66" i="6"/>
  <c r="S60" i="6"/>
  <c r="R49" i="6"/>
  <c r="P14" i="3"/>
  <c r="C50" i="6"/>
  <c r="G64" i="6"/>
  <c r="L64" i="6"/>
  <c r="C35" i="6"/>
  <c r="I66" i="6"/>
  <c r="R45" i="6"/>
  <c r="O39" i="6"/>
  <c r="F63" i="6"/>
  <c r="S34" i="6"/>
  <c r="O11" i="3"/>
  <c r="L39" i="6"/>
  <c r="D58" i="6"/>
  <c r="H67" i="6"/>
  <c r="J18" i="3"/>
  <c r="L42" i="6"/>
  <c r="D50" i="6"/>
  <c r="S33" i="6"/>
  <c r="F50" i="6"/>
  <c r="T35" i="6"/>
  <c r="P27" i="3"/>
  <c r="I67" i="6"/>
  <c r="K58" i="6"/>
  <c r="O58" i="6"/>
  <c r="G54" i="6"/>
  <c r="P62" i="6"/>
  <c r="C41" i="6"/>
  <c r="M35" i="6"/>
  <c r="U62" i="6"/>
  <c r="N50" i="6"/>
  <c r="D66" i="6"/>
  <c r="J26" i="3"/>
  <c r="M352" i="1"/>
  <c r="C67" i="6"/>
  <c r="U53" i="6"/>
  <c r="N41" i="6"/>
  <c r="P53" i="6"/>
  <c r="G40" i="6"/>
  <c r="P7" i="3"/>
  <c r="O7" i="3"/>
  <c r="F53" i="6"/>
  <c r="E57" i="6"/>
  <c r="I65" i="6"/>
  <c r="G46" i="6"/>
  <c r="H61" i="6"/>
  <c r="H41" i="6"/>
  <c r="O10" i="3"/>
  <c r="S52" i="6"/>
  <c r="T44" i="6"/>
  <c r="G43" i="6"/>
  <c r="U67" i="6"/>
  <c r="N35" i="6"/>
  <c r="C47" i="6"/>
  <c r="S37" i="6"/>
  <c r="P21" i="3"/>
  <c r="Q49" i="6"/>
  <c r="R55" i="6"/>
  <c r="K34" i="6"/>
  <c r="D38" i="6"/>
  <c r="P66" i="6"/>
  <c r="Q57" i="6"/>
  <c r="I48" i="6"/>
  <c r="O44" i="6"/>
  <c r="K41" i="6"/>
  <c r="R35" i="6"/>
  <c r="S57" i="6"/>
  <c r="J6" i="3"/>
  <c r="Q66" i="6"/>
  <c r="K45" i="6"/>
  <c r="C34" i="6"/>
  <c r="M51" i="6"/>
  <c r="R64" i="6"/>
  <c r="K11" i="3"/>
  <c r="K26" i="3"/>
  <c r="F46" i="6"/>
  <c r="P67" i="6"/>
  <c r="J52" i="6"/>
  <c r="E47" i="6"/>
  <c r="E35" i="6"/>
  <c r="O12" i="3"/>
  <c r="Q47" i="6"/>
  <c r="H49" i="6"/>
  <c r="H62" i="6"/>
  <c r="Q67" i="6"/>
  <c r="C43" i="6"/>
  <c r="E61" i="6"/>
  <c r="F33" i="6"/>
  <c r="J64" i="6"/>
  <c r="E56" i="6"/>
  <c r="N62" i="6"/>
  <c r="D34" i="6"/>
  <c r="K4" i="3"/>
  <c r="L66" i="6"/>
  <c r="C46" i="6"/>
  <c r="R62" i="6"/>
  <c r="K7" i="3"/>
  <c r="J50" i="6"/>
  <c r="I33" i="6"/>
  <c r="F61" i="6"/>
  <c r="M355" i="1"/>
  <c r="K67" i="6"/>
  <c r="R47" i="6"/>
  <c r="L43" i="6"/>
  <c r="N45" i="6"/>
  <c r="J8" i="3"/>
  <c r="C60" i="6"/>
  <c r="G63" i="6"/>
  <c r="D40" i="6"/>
  <c r="O17" i="3"/>
  <c r="Q65" i="6"/>
  <c r="P12" i="3"/>
  <c r="L55" i="6"/>
  <c r="D57" i="6"/>
  <c r="S43" i="6"/>
  <c r="J9" i="3"/>
  <c r="Q46" i="6"/>
  <c r="R50" i="6"/>
  <c r="J65" i="6"/>
  <c r="H56" i="6"/>
  <c r="H34" i="6"/>
  <c r="O8" i="3"/>
  <c r="F54" i="6"/>
  <c r="S64" i="6"/>
  <c r="D47" i="6"/>
  <c r="Q33" i="6"/>
  <c r="O26" i="3"/>
  <c r="F49" i="6"/>
  <c r="O33" i="6"/>
  <c r="R34" i="6"/>
  <c r="R61" i="6"/>
  <c r="E41" i="6"/>
  <c r="K10" i="3"/>
  <c r="O50" i="6"/>
  <c r="D39" i="6"/>
  <c r="J4" i="3"/>
  <c r="K17" i="3"/>
  <c r="J27" i="3"/>
  <c r="N44" i="6"/>
  <c r="Q44" i="6"/>
  <c r="C42" i="6"/>
  <c r="T43" i="6"/>
  <c r="Q38" i="6"/>
  <c r="E65" i="6"/>
  <c r="S61" i="6"/>
  <c r="F62" i="6"/>
  <c r="N39" i="6"/>
  <c r="F35" i="6"/>
  <c r="C56" i="6"/>
  <c r="P47" i="6"/>
  <c r="E54" i="6"/>
  <c r="F65" i="6"/>
  <c r="L35" i="6"/>
  <c r="K33" i="6"/>
  <c r="Q62" i="6"/>
  <c r="O34" i="3"/>
  <c r="E33" i="6"/>
  <c r="K18" i="3"/>
  <c r="D53" i="6"/>
  <c r="J59" i="6"/>
  <c r="T66" i="6"/>
  <c r="E34" i="6"/>
  <c r="D48" i="6"/>
  <c r="J13" i="3"/>
  <c r="N36" i="6"/>
  <c r="K63" i="6"/>
  <c r="S48" i="6"/>
  <c r="M363" i="1"/>
  <c r="S67" i="6"/>
  <c r="P24" i="3"/>
  <c r="N53" i="6"/>
  <c r="K39" i="6"/>
  <c r="K46" i="6"/>
  <c r="Q56" i="6"/>
  <c r="Q34" i="6"/>
  <c r="U40" i="6"/>
  <c r="U49" i="6"/>
  <c r="F66" i="6"/>
  <c r="R63" i="6"/>
  <c r="T51" i="6"/>
  <c r="P11" i="3"/>
  <c r="H51" i="6"/>
  <c r="P35" i="6"/>
  <c r="K21" i="3"/>
  <c r="S40" i="6"/>
  <c r="R65" i="6"/>
  <c r="I60" i="6"/>
  <c r="T52" i="6"/>
  <c r="M53" i="6"/>
  <c r="C44" i="6"/>
  <c r="D64" i="6"/>
  <c r="J63" i="6"/>
  <c r="O30" i="3"/>
  <c r="F67" i="6"/>
  <c r="C53" i="6"/>
  <c r="G34" i="6"/>
  <c r="U64" i="6"/>
  <c r="J49" i="6"/>
  <c r="P52" i="6"/>
  <c r="J47" i="6"/>
  <c r="I36" i="6"/>
  <c r="G67" i="6"/>
  <c r="F39" i="6"/>
  <c r="F37" i="6"/>
  <c r="C58" i="6"/>
  <c r="P42" i="6"/>
  <c r="Q37" i="6"/>
  <c r="L58" i="6"/>
  <c r="O64" i="6"/>
  <c r="P59" i="6"/>
  <c r="M65" i="6"/>
  <c r="O42" i="6"/>
  <c r="S59" i="6"/>
  <c r="O29" i="3"/>
  <c r="L46" i="6"/>
  <c r="M63" i="6"/>
  <c r="K27" i="3"/>
  <c r="L59" i="6"/>
  <c r="N65" i="6"/>
  <c r="G56" i="6"/>
  <c r="M64" i="6"/>
  <c r="J55" i="6"/>
  <c r="S56" i="6"/>
  <c r="O62" i="6"/>
  <c r="P58" i="6"/>
  <c r="M354" i="1"/>
  <c r="H65" i="6"/>
  <c r="P30" i="3"/>
  <c r="R46" i="6"/>
  <c r="U48" i="6"/>
  <c r="J23" i="3"/>
  <c r="N59" i="6"/>
  <c r="E44" i="6"/>
  <c r="P19" i="3"/>
  <c r="J41" i="6"/>
  <c r="N66" i="6"/>
  <c r="L60" i="6"/>
  <c r="K29" i="3"/>
  <c r="E36" i="6"/>
  <c r="P46" i="6"/>
  <c r="S47" i="6"/>
  <c r="P32" i="3"/>
  <c r="K50" i="6"/>
  <c r="G66" i="6"/>
  <c r="I54" i="6"/>
  <c r="D61" i="6"/>
  <c r="E40" i="6"/>
  <c r="E59" i="6"/>
  <c r="K56" i="6"/>
  <c r="R52" i="6"/>
  <c r="L38" i="6"/>
  <c r="N67" i="6"/>
  <c r="S51" i="6"/>
  <c r="E38" i="6"/>
  <c r="F64" i="6"/>
  <c r="M45" i="6"/>
  <c r="T62" i="6"/>
  <c r="J3" i="3"/>
  <c r="O14" i="3"/>
  <c r="O67" i="6"/>
  <c r="C62" i="6"/>
  <c r="P13" i="3"/>
  <c r="P38" i="6"/>
  <c r="P28" i="3"/>
  <c r="F45" i="6"/>
  <c r="M55" i="6"/>
  <c r="H64" i="6"/>
  <c r="S54" i="6"/>
  <c r="U65" i="6"/>
  <c r="P60" i="6"/>
  <c r="P56" i="6"/>
  <c r="I50" i="6"/>
  <c r="Q50" i="6"/>
  <c r="K62" i="6"/>
  <c r="J44" i="6"/>
  <c r="H52" i="6"/>
  <c r="C66" i="6"/>
  <c r="I53" i="6"/>
  <c r="D44" i="6"/>
  <c r="T37" i="6"/>
  <c r="J11" i="3"/>
  <c r="P2" i="3"/>
  <c r="L62" i="6"/>
  <c r="O3" i="3"/>
  <c r="J67" i="6"/>
  <c r="S46" i="6"/>
  <c r="M58" i="6"/>
  <c r="T59" i="6"/>
  <c r="C39" i="6"/>
  <c r="F56" i="6"/>
  <c r="O56" i="6"/>
  <c r="J32" i="3"/>
  <c r="J37" i="6"/>
  <c r="O45" i="6"/>
  <c r="K34" i="3"/>
  <c r="U43" i="6"/>
  <c r="M467" i="1"/>
  <c r="T41" i="6"/>
  <c r="I49" i="6"/>
  <c r="C55" i="6"/>
  <c r="R54" i="6"/>
  <c r="H54" i="6"/>
  <c r="S44" i="6"/>
  <c r="O9" i="3"/>
  <c r="J28" i="3"/>
  <c r="O43" i="6"/>
  <c r="N55" i="6"/>
  <c r="O31" i="3"/>
  <c r="K55" i="6"/>
  <c r="K13" i="3"/>
  <c r="M238" i="1"/>
  <c r="P65" i="6"/>
  <c r="O5" i="3"/>
  <c r="M36" i="6"/>
  <c r="O57" i="6"/>
  <c r="N42" i="6"/>
  <c r="H37" i="6"/>
  <c r="D51" i="6"/>
  <c r="P45" i="6"/>
  <c r="L54" i="6"/>
  <c r="N34" i="6"/>
  <c r="P17" i="3"/>
  <c r="M47" i="6"/>
  <c r="O51" i="6"/>
  <c r="N64" i="6"/>
  <c r="E62" i="6"/>
  <c r="D63" i="6"/>
  <c r="T48" i="6"/>
  <c r="O66" i="6"/>
  <c r="J38" i="6"/>
  <c r="K37" i="6"/>
  <c r="R39" i="6"/>
  <c r="I43" i="6"/>
  <c r="O6" i="3"/>
  <c r="T58" i="6"/>
  <c r="J39" i="6"/>
  <c r="C65" i="6"/>
  <c r="P9" i="3"/>
  <c r="P8" i="3"/>
  <c r="L37" i="6"/>
  <c r="G48" i="6"/>
  <c r="G60" i="6"/>
  <c r="J15" i="3"/>
  <c r="J21" i="3"/>
  <c r="D65" i="6"/>
  <c r="N61" i="6"/>
  <c r="C36" i="6"/>
  <c r="M57" i="6"/>
  <c r="F34" i="6"/>
  <c r="F43" i="6"/>
  <c r="I52" i="6"/>
  <c r="E39" i="6"/>
  <c r="O35" i="6"/>
  <c r="J66" i="6"/>
  <c r="F38" i="6"/>
  <c r="D54" i="6"/>
  <c r="T39" i="6"/>
  <c r="D33" i="6"/>
  <c r="M234" i="1"/>
  <c r="P36" i="6"/>
  <c r="I59" i="6"/>
  <c r="K66" i="6"/>
  <c r="M38" i="6"/>
  <c r="J33" i="6"/>
  <c r="L52" i="6"/>
  <c r="G37" i="6"/>
  <c r="R51" i="6"/>
  <c r="M41" i="6"/>
  <c r="T33" i="6"/>
  <c r="R67" i="6"/>
  <c r="P31" i="3"/>
  <c r="K8" i="3"/>
  <c r="T50" i="6"/>
  <c r="L53" i="6"/>
  <c r="U56" i="6"/>
  <c r="R57" i="6"/>
  <c r="C51" i="6"/>
  <c r="E50" i="6"/>
  <c r="M356" i="1"/>
  <c r="E66" i="6"/>
  <c r="P33" i="6"/>
  <c r="M50" i="6"/>
  <c r="P48" i="6"/>
  <c r="M56" i="6"/>
  <c r="T42" i="6"/>
  <c r="R42" i="6"/>
  <c r="G35" i="6"/>
  <c r="D67" i="6"/>
  <c r="L63" i="6"/>
  <c r="K44" i="6"/>
  <c r="F51" i="6"/>
  <c r="G33" i="6"/>
  <c r="M37" i="6"/>
  <c r="L41" i="6"/>
  <c r="O19" i="3"/>
  <c r="K38" i="6"/>
  <c r="Q40" i="6"/>
  <c r="F60" i="6"/>
  <c r="C64" i="6"/>
  <c r="Q42" i="6"/>
  <c r="N56" i="6"/>
  <c r="O60" i="6"/>
  <c r="L45" i="6"/>
  <c r="D55" i="6"/>
  <c r="K65" i="6"/>
  <c r="F47" i="6"/>
  <c r="I62" i="6"/>
  <c r="H46" i="6"/>
  <c r="L47" i="6"/>
  <c r="G47" i="6"/>
  <c r="G50" i="6"/>
  <c r="U51" i="6"/>
  <c r="L65" i="6"/>
  <c r="J17" i="3"/>
  <c r="I45" i="6"/>
  <c r="K23" i="3"/>
  <c r="O47" i="6"/>
  <c r="I61" i="6"/>
  <c r="L40" i="6"/>
  <c r="S45" i="6"/>
  <c r="Q35" i="6"/>
  <c r="R66" i="6"/>
  <c r="D41" i="6"/>
  <c r="U52" i="6"/>
  <c r="O49" i="6"/>
  <c r="H38" i="6"/>
  <c r="J29" i="3"/>
  <c r="M43" i="6"/>
  <c r="J46" i="6"/>
  <c r="S66" i="6"/>
  <c r="N43" i="6"/>
  <c r="K15" i="3"/>
  <c r="Q60" i="6"/>
  <c r="J14" i="3"/>
  <c r="C52" i="6"/>
  <c r="G61" i="6"/>
  <c r="C33" i="6"/>
  <c r="G65" i="6"/>
  <c r="O46" i="6"/>
  <c r="C57" i="6"/>
  <c r="R36" i="6"/>
  <c r="M391" i="1"/>
  <c r="M464" i="1"/>
  <c r="L33" i="6"/>
  <c r="P18" i="3"/>
  <c r="P15" i="3"/>
  <c r="E45" i="6"/>
  <c r="I35" i="6"/>
  <c r="M306" i="1"/>
  <c r="M336" i="1"/>
  <c r="M331" i="1"/>
  <c r="M323" i="1"/>
  <c r="M315" i="1"/>
  <c r="M346" i="1"/>
  <c r="M360" i="1"/>
  <c r="M368" i="1"/>
  <c r="M423" i="1"/>
  <c r="M384" i="1"/>
  <c r="M406" i="1"/>
  <c r="M379" i="1"/>
  <c r="M419" i="1"/>
  <c r="M415" i="1"/>
  <c r="M389" i="1"/>
  <c r="M405" i="1"/>
  <c r="M461" i="1"/>
  <c r="M459" i="1"/>
  <c r="M463" i="1"/>
  <c r="M458" i="1"/>
  <c r="J7" i="3"/>
  <c r="O34" i="6"/>
  <c r="G45" i="6"/>
  <c r="H50" i="6"/>
  <c r="S42" i="6"/>
  <c r="I34" i="6"/>
  <c r="P4" i="3"/>
  <c r="P57" i="6"/>
  <c r="S35" i="6"/>
  <c r="J34" i="3"/>
  <c r="K32" i="3"/>
  <c r="G36" i="6"/>
  <c r="Q55" i="6"/>
  <c r="E37" i="6"/>
  <c r="D37" i="6"/>
  <c r="O21" i="3"/>
  <c r="M60" i="6"/>
  <c r="Q52" i="6"/>
  <c r="H48" i="6"/>
  <c r="P34" i="3"/>
  <c r="J36" i="6"/>
  <c r="J40" i="6"/>
  <c r="G51" i="6"/>
  <c r="F41" i="6"/>
  <c r="U59" i="6"/>
  <c r="O15" i="3"/>
  <c r="K33" i="3"/>
  <c r="R48" i="6"/>
  <c r="P34" i="6"/>
  <c r="P54" i="6"/>
  <c r="O4" i="3"/>
  <c r="P33" i="3"/>
  <c r="K16" i="3"/>
  <c r="G55" i="6"/>
  <c r="K60" i="6"/>
  <c r="O54" i="6"/>
  <c r="O48" i="6"/>
  <c r="L49" i="6"/>
  <c r="N48" i="6"/>
  <c r="P43" i="6"/>
  <c r="H33" i="6"/>
  <c r="F58" i="6"/>
  <c r="M347" i="1"/>
  <c r="M404" i="1"/>
  <c r="N40" i="6"/>
  <c r="D46" i="6"/>
  <c r="H55" i="6"/>
  <c r="R38" i="6"/>
  <c r="K47" i="6"/>
  <c r="D49" i="6"/>
  <c r="K36" i="6"/>
  <c r="M322" i="1"/>
  <c r="M413" i="1"/>
  <c r="M430" i="1"/>
  <c r="M448" i="1"/>
  <c r="M468" i="1"/>
  <c r="M438" i="1"/>
  <c r="M441" i="1"/>
  <c r="M440" i="1"/>
  <c r="O36" i="6"/>
  <c r="T47" i="6"/>
  <c r="J54" i="6"/>
  <c r="M457" i="1"/>
  <c r="T55" i="6"/>
  <c r="K24" i="3"/>
  <c r="O24" i="3"/>
  <c r="P61" i="6"/>
  <c r="K59" i="6"/>
  <c r="U46" i="6"/>
  <c r="D60" i="6"/>
  <c r="F59" i="6"/>
  <c r="C49" i="6"/>
  <c r="I63" i="6"/>
  <c r="G59" i="6"/>
  <c r="O37" i="6"/>
  <c r="G41" i="6"/>
  <c r="N46" i="6"/>
  <c r="U57" i="6"/>
  <c r="J12" i="3"/>
  <c r="G53" i="6"/>
  <c r="U38" i="6"/>
  <c r="I44" i="6"/>
  <c r="T53" i="6"/>
  <c r="R40" i="6"/>
  <c r="R53" i="6"/>
  <c r="K25" i="3"/>
  <c r="N38" i="6"/>
  <c r="F52" i="6"/>
  <c r="J25" i="3"/>
  <c r="C45" i="6"/>
  <c r="L50" i="6"/>
  <c r="J24" i="3"/>
  <c r="I46" i="6"/>
  <c r="O65" i="6"/>
  <c r="E52" i="6"/>
  <c r="O2" i="3"/>
  <c r="C59" i="6"/>
  <c r="T40" i="6"/>
  <c r="G62" i="6"/>
  <c r="L61" i="6"/>
  <c r="K64" i="6"/>
  <c r="M403" i="1"/>
  <c r="M446" i="1"/>
  <c r="J10" i="3"/>
  <c r="J56" i="6"/>
  <c r="L51" i="6"/>
  <c r="P22" i="3"/>
  <c r="M307" i="1"/>
  <c r="M345" i="1"/>
  <c r="M432" i="1"/>
  <c r="M426" i="1"/>
  <c r="M373" i="1"/>
  <c r="M334" i="1"/>
  <c r="M321" i="1"/>
  <c r="M351" i="1"/>
  <c r="M344" i="1"/>
  <c r="M236" i="1"/>
  <c r="M371" i="1"/>
  <c r="M409" i="1"/>
  <c r="M378" i="1"/>
  <c r="M392" i="1"/>
  <c r="M400" i="1"/>
  <c r="M431" i="1"/>
  <c r="M420" i="1"/>
  <c r="M374" i="1"/>
  <c r="M437" i="1"/>
  <c r="M453" i="1"/>
  <c r="M443" i="1"/>
  <c r="M455" i="1"/>
  <c r="M444" i="1"/>
  <c r="Q51" i="6"/>
  <c r="F48" i="6"/>
  <c r="N51" i="6"/>
  <c r="J53" i="6"/>
  <c r="U44" i="6"/>
  <c r="I58" i="6"/>
  <c r="K53" i="6"/>
  <c r="U55" i="6"/>
  <c r="C38" i="6"/>
  <c r="U58" i="6"/>
  <c r="J20" i="3"/>
  <c r="M456" i="1"/>
  <c r="S41" i="6"/>
  <c r="S39" i="6"/>
  <c r="P20" i="3"/>
  <c r="H53" i="6"/>
  <c r="D36" i="6"/>
  <c r="P49" i="6"/>
  <c r="Q45" i="6"/>
  <c r="Q48" i="6"/>
  <c r="P37" i="6"/>
  <c r="C63" i="6"/>
  <c r="U36" i="6"/>
  <c r="I51" i="6"/>
  <c r="U47" i="6"/>
  <c r="J16" i="3"/>
  <c r="H39" i="6"/>
  <c r="G42" i="6"/>
  <c r="S53" i="6"/>
  <c r="U45" i="6"/>
  <c r="E58" i="6"/>
  <c r="P63" i="6"/>
  <c r="I47" i="6"/>
  <c r="Q53" i="6"/>
  <c r="M54" i="6"/>
  <c r="N49" i="6"/>
  <c r="O13" i="3"/>
  <c r="T56" i="6"/>
  <c r="M33" i="6"/>
  <c r="I57" i="6"/>
  <c r="T38" i="6"/>
  <c r="G52" i="6"/>
  <c r="M411" i="1"/>
  <c r="M452" i="1"/>
  <c r="M59" i="6"/>
  <c r="K42" i="6"/>
  <c r="D62" i="6"/>
  <c r="J43" i="6"/>
  <c r="K49" i="6"/>
  <c r="D45" i="6"/>
  <c r="S62" i="6"/>
  <c r="I39" i="6"/>
  <c r="J33" i="3"/>
  <c r="M314" i="1"/>
  <c r="M370" i="1"/>
  <c r="M399" i="1"/>
  <c r="M416" i="1"/>
  <c r="M311" i="1"/>
  <c r="M329" i="1"/>
  <c r="M313" i="1"/>
  <c r="M310" i="1"/>
  <c r="M333" i="1"/>
  <c r="M328" i="1"/>
  <c r="M320" i="1"/>
  <c r="M350" i="1"/>
  <c r="M343" i="1"/>
  <c r="M361" i="1"/>
  <c r="M372" i="1"/>
  <c r="M427" i="1"/>
  <c r="M422" i="1"/>
  <c r="M424" i="1"/>
  <c r="M377" i="1"/>
  <c r="M385" i="1"/>
  <c r="M407" i="1"/>
  <c r="M417" i="1"/>
  <c r="M460" i="1"/>
  <c r="M465" i="1"/>
  <c r="M447" i="1"/>
  <c r="M454" i="1"/>
  <c r="E42" i="6"/>
  <c r="P50" i="6"/>
  <c r="O20" i="3"/>
  <c r="P64" i="6"/>
  <c r="K20" i="3"/>
  <c r="T36" i="6"/>
  <c r="P25" i="3"/>
  <c r="H57" i="6"/>
  <c r="P55" i="6"/>
  <c r="U37" i="6"/>
  <c r="C48" i="6"/>
  <c r="Q63" i="6"/>
  <c r="Q58" i="6"/>
  <c r="K9" i="3"/>
  <c r="T57" i="6"/>
  <c r="K57" i="6"/>
  <c r="M49" i="6"/>
  <c r="E55" i="6"/>
  <c r="C40" i="6"/>
  <c r="E48" i="6"/>
  <c r="O63" i="6"/>
  <c r="E63" i="6"/>
  <c r="L56" i="6"/>
  <c r="R59" i="6"/>
  <c r="K40" i="6"/>
  <c r="J58" i="6"/>
  <c r="H58" i="6"/>
  <c r="E46" i="6"/>
  <c r="E60" i="6"/>
  <c r="F44" i="6"/>
  <c r="K54" i="6"/>
  <c r="F36" i="6"/>
  <c r="C54" i="6"/>
  <c r="P10" i="3"/>
  <c r="R43" i="6"/>
  <c r="P3" i="3"/>
  <c r="T61" i="6"/>
  <c r="T46" i="6"/>
  <c r="J45" i="6"/>
  <c r="O41" i="6"/>
  <c r="R44" i="6"/>
  <c r="Q36" i="6"/>
  <c r="D59" i="6"/>
  <c r="M429" i="1"/>
  <c r="M387" i="1"/>
  <c r="G44" i="6"/>
  <c r="K19" i="3"/>
  <c r="U33" i="6"/>
  <c r="D35" i="6"/>
  <c r="P39" i="6"/>
  <c r="P44" i="6"/>
  <c r="M335" i="1"/>
  <c r="M340" i="1"/>
  <c r="M309" i="1"/>
  <c r="M332" i="1"/>
  <c r="M327" i="1"/>
  <c r="M319" i="1"/>
  <c r="M349" i="1"/>
  <c r="M237" i="1"/>
  <c r="M369" i="1"/>
  <c r="M390" i="1"/>
  <c r="M383" i="1"/>
  <c r="M386" i="1"/>
  <c r="M394" i="1"/>
  <c r="M393" i="1"/>
  <c r="M401" i="1"/>
  <c r="M412" i="1"/>
  <c r="M433" i="1"/>
  <c r="M466" i="1"/>
  <c r="M435" i="1"/>
  <c r="M439" i="1"/>
  <c r="J19" i="3"/>
  <c r="K5" i="3"/>
  <c r="T60" i="6"/>
  <c r="Q43" i="6"/>
  <c r="J22" i="3"/>
  <c r="O38" i="6"/>
  <c r="L57" i="6"/>
  <c r="T49" i="6"/>
  <c r="N57" i="6"/>
  <c r="E64" i="6"/>
  <c r="L36" i="6"/>
  <c r="N60" i="6"/>
  <c r="C61" i="6"/>
  <c r="U42" i="6"/>
  <c r="S49" i="6"/>
  <c r="L44" i="6"/>
  <c r="T64" i="6"/>
  <c r="S36" i="6"/>
  <c r="I42" i="6"/>
  <c r="I41" i="6"/>
  <c r="M44" i="6"/>
  <c r="O32" i="3"/>
  <c r="I40" i="6"/>
  <c r="M39" i="6"/>
  <c r="O25" i="3"/>
  <c r="S55" i="6"/>
  <c r="P16" i="3"/>
  <c r="F57" i="6"/>
  <c r="H60" i="6"/>
  <c r="Q41" i="6"/>
  <c r="J2" i="3"/>
  <c r="L48" i="6"/>
  <c r="P5" i="3"/>
  <c r="Q59" i="6"/>
  <c r="H47" i="6"/>
  <c r="Q54" i="6"/>
  <c r="U63" i="6"/>
  <c r="K14" i="3"/>
  <c r="T65" i="6"/>
  <c r="S65" i="6"/>
  <c r="I37" i="6"/>
  <c r="G57" i="6"/>
  <c r="N37" i="6"/>
  <c r="M362" i="1"/>
  <c r="M450" i="1"/>
  <c r="E51" i="6"/>
  <c r="K51" i="6"/>
  <c r="S50" i="6"/>
  <c r="M48" i="6"/>
  <c r="J30" i="3"/>
  <c r="C37" i="6"/>
  <c r="G39" i="6"/>
  <c r="M364" i="1"/>
  <c r="M342" i="1"/>
  <c r="M318" i="1"/>
  <c r="M358" i="1"/>
  <c r="M414" i="1"/>
  <c r="M410" i="1"/>
  <c r="M380" i="1"/>
  <c r="M388" i="1"/>
  <c r="M402" i="1"/>
  <c r="M418" i="1"/>
  <c r="M395" i="1"/>
  <c r="M462" i="1"/>
  <c r="M434" i="1"/>
  <c r="M451" i="1"/>
  <c r="M469" i="1"/>
  <c r="O52" i="6"/>
  <c r="U35" i="6"/>
  <c r="T45" i="6"/>
  <c r="O55" i="6"/>
  <c r="N58" i="6"/>
  <c r="R60" i="6"/>
  <c r="H43" i="6"/>
  <c r="K22" i="3"/>
  <c r="U41" i="6"/>
  <c r="K61" i="6"/>
  <c r="T54" i="6"/>
  <c r="G49" i="6"/>
  <c r="M46" i="6"/>
  <c r="N33" i="6"/>
  <c r="T63" i="6"/>
  <c r="K3" i="3"/>
  <c r="J5" i="3"/>
  <c r="F42" i="6"/>
  <c r="L34" i="6"/>
  <c r="J61" i="6"/>
  <c r="H40" i="6"/>
  <c r="S63" i="6"/>
  <c r="O23" i="3"/>
  <c r="K48" i="6"/>
  <c r="F40" i="6"/>
  <c r="P23" i="3"/>
  <c r="E43" i="6"/>
  <c r="O27" i="3"/>
  <c r="H35" i="6"/>
  <c r="G38" i="6"/>
  <c r="R58" i="6"/>
  <c r="E53" i="6"/>
  <c r="K43" i="6"/>
  <c r="K6" i="3"/>
  <c r="M52" i="6"/>
  <c r="N47" i="6"/>
  <c r="H63" i="6"/>
  <c r="U34" i="6"/>
  <c r="K35" i="6"/>
  <c r="P41" i="6"/>
  <c r="E67" i="6"/>
  <c r="L67" i="6"/>
  <c r="M66" i="6"/>
  <c r="M375" i="1"/>
  <c r="M376" i="1"/>
  <c r="P26" i="3"/>
  <c r="J51" i="6"/>
  <c r="R33" i="6"/>
  <c r="O22" i="3"/>
  <c r="M330" i="1"/>
  <c r="M308" i="1"/>
  <c r="M326" i="1"/>
  <c r="M348" i="1"/>
  <c r="M381" i="1"/>
  <c r="M338" i="1"/>
  <c r="M341" i="1"/>
  <c r="M325" i="1"/>
  <c r="M317" i="1"/>
  <c r="M339" i="1"/>
  <c r="M357" i="1"/>
  <c r="M382" i="1"/>
  <c r="M398" i="1"/>
  <c r="M397" i="1"/>
  <c r="M428" i="1"/>
  <c r="M408" i="1"/>
  <c r="M396" i="1"/>
  <c r="M421" i="1"/>
  <c r="M425" i="1"/>
  <c r="M436" i="1"/>
  <c r="M445" i="1"/>
  <c r="M442" i="1"/>
  <c r="M449" i="1"/>
  <c r="K30" i="3"/>
  <c r="U54" i="6"/>
  <c r="Q39" i="6"/>
  <c r="H44" i="6"/>
  <c r="P40" i="6"/>
  <c r="M40" i="6"/>
  <c r="Q61" i="6"/>
  <c r="G58" i="6"/>
  <c r="O40" i="6"/>
  <c r="J57" i="6"/>
  <c r="H36" i="6"/>
  <c r="J31" i="3"/>
  <c r="R41" i="6"/>
  <c r="J42" i="6"/>
  <c r="O16" i="3"/>
  <c r="T34" i="6"/>
  <c r="D42" i="6"/>
  <c r="P51" i="6"/>
  <c r="H59" i="6"/>
  <c r="N54" i="6"/>
  <c r="K52" i="6"/>
  <c r="M61" i="6"/>
  <c r="P29" i="3"/>
  <c r="M42" i="6"/>
  <c r="O28" i="3"/>
  <c r="S58" i="6"/>
  <c r="H42" i="6"/>
  <c r="I38" i="6"/>
  <c r="U39" i="6"/>
  <c r="D43" i="6"/>
  <c r="U60" i="6"/>
  <c r="J48" i="6"/>
  <c r="I64" i="6"/>
  <c r="O18" i="3"/>
  <c r="O59" i="6"/>
  <c r="K28" i="3"/>
  <c r="K31" i="3"/>
  <c r="R37" i="6"/>
  <c r="U61" i="6"/>
  <c r="F55" i="6"/>
  <c r="O53" i="6"/>
  <c r="D52" i="6"/>
  <c r="M235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66" i="6" l="1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<sst xmlns="http://schemas.openxmlformats.org/spreadsheetml/2006/main" count="4258" uniqueCount="174">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</sst>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</cellXfs>
  <cellStyles count="2">
    <cellStyle name="Millares" xfId="1" builtinId="3"/>
    <cellStyle name="Normal" xfId="0" builtinId="0"/>
  </cellStyles>
  <dxfs count="43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71" totalsRowShown="0">
  <autoFilter ref="A1:P471" xr:uid="{00000000-0009-0000-0100-000001000000}"/>
  <sortState xmlns:xlrd2="http://schemas.microsoft.com/office/spreadsheetml/2017/richdata2" ref="A2:P424">
    <sortCondition ref="B1:B424"/>
  </sortState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7" dataDxfId="25" headerRowBorderDxfId="26" tableBorderDxfId="24">
  <autoFilter ref="A1:V500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255" tableType="queryTable" totalsRowShown="0" headerRowDxfId="42">
  <autoFilter ref="A1:D1255" xr:uid="{2C5E576C-56D5-4661-AEE8-C56EAF46506C}"/>
  <tableColumns count="4">
    <tableColumn id="1" xr3:uid="{C5F72CE6-A217-4AAA-B890-634003E10415}" uniqueName="1" name="Empresa" queryTableFieldId="1" dataDxfId="41"/>
    <tableColumn id="4" xr3:uid="{1BFD00E9-36EE-42D9-A985-B1FC2CE4E317}" uniqueName="4" name="Saldo inicial" queryTableFieldId="4" dataDxfId="40"/>
    <tableColumn id="2" xr3:uid="{EA09EB92-4B2D-420E-B39F-7A131A47C123}" uniqueName="2" name="Atributo " queryTableFieldId="2" dataDxfId="39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9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71"/>
  <sheetViews>
    <sheetView tabSelected="1" topLeftCell="B1" zoomScale="70" zoomScaleNormal="70" workbookViewId="0">
      <pane ySplit="1" topLeftCell="A458" activePane="bottomLeft" state="frozen"/>
      <selection pane="bottomLeft" activeCell="M474" sqref="M474"/>
    </sheetView>
  </sheetViews>
  <sheetFormatPr baseColWidth="10" defaultColWidth="8.6640625" defaultRowHeight="14.4" x14ac:dyDescent="0.3"/>
  <cols>
    <col min="1" max="1" width="6" style="3" customWidth="1"/>
    <col min="2" max="2" width="12" style="40" customWidth="1"/>
    <col min="3" max="3" width="24" style="4" customWidth="1"/>
    <col min="4" max="4" width="46.88671875" style="42" bestFit="1" customWidth="1"/>
    <col min="5" max="5" width="18.109375" style="4" customWidth="1"/>
    <col min="6" max="6" width="8.5546875" style="42" customWidth="1"/>
    <col min="7" max="7" width="53.77734375" style="42" bestFit="1" customWidth="1"/>
    <col min="8" max="8" width="18" style="4" customWidth="1"/>
    <col min="9" max="9" width="16.5546875" style="4" customWidth="1"/>
    <col min="10" max="10" width="14" style="44" customWidth="1"/>
    <col min="11" max="11" width="16" style="5" customWidth="1"/>
    <col min="12" max="12" width="10" style="15" customWidth="1"/>
    <col min="13" max="13" width="26.109375" style="45" customWidth="1"/>
    <col min="14" max="14" width="14.21875" style="68" bestFit="1" customWidth="1"/>
    <col min="15" max="15" width="13.77734375" style="68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67" t="s">
        <v>9</v>
      </c>
      <c r="O1" s="67" t="s">
        <v>10</v>
      </c>
      <c r="P1" s="27" t="s">
        <v>162</v>
      </c>
    </row>
    <row r="2" spans="1:16" x14ac:dyDescent="0.3">
      <c r="B2" s="39">
        <v>46143</v>
      </c>
      <c r="C2" s="4" t="s">
        <v>20</v>
      </c>
      <c r="D2" s="41" t="s">
        <v>100</v>
      </c>
      <c r="E2" s="4" t="s">
        <v>36</v>
      </c>
      <c r="F2" s="41" t="s">
        <v>9</v>
      </c>
      <c r="G2" s="41" t="s">
        <v>80</v>
      </c>
      <c r="H2" s="4" t="s">
        <v>88</v>
      </c>
      <c r="I2" s="4" t="s">
        <v>158</v>
      </c>
      <c r="J2" s="43">
        <v>400000</v>
      </c>
      <c r="K2" s="5">
        <v>400000</v>
      </c>
      <c r="L2" s="6" t="s">
        <v>93</v>
      </c>
      <c r="M2" s="45">
        <v>589990.30000000005</v>
      </c>
      <c r="N2" s="68">
        <f>IF(tblMovimientos[[#This Row],[Tipo de Movimiento]]="Ingreso",tblMovimientos[[#This Row],[Monto (S/)]],"0")</f>
        <v>400000</v>
      </c>
      <c r="O2" s="68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9">
        <v>46143</v>
      </c>
      <c r="C3" s="4" t="s">
        <v>20</v>
      </c>
      <c r="D3" s="41" t="s">
        <v>100</v>
      </c>
      <c r="E3" s="4" t="s">
        <v>36</v>
      </c>
      <c r="F3" s="41" t="s">
        <v>9</v>
      </c>
      <c r="G3" s="41" t="s">
        <v>68</v>
      </c>
      <c r="H3" s="4" t="s">
        <v>88</v>
      </c>
      <c r="I3" s="4" t="s">
        <v>158</v>
      </c>
      <c r="J3" s="43">
        <v>12901.71</v>
      </c>
      <c r="K3" s="5">
        <v>12901.71</v>
      </c>
      <c r="L3" s="6" t="s">
        <v>93</v>
      </c>
      <c r="M3" s="45">
        <v>589990.30000000005</v>
      </c>
      <c r="N3" s="68">
        <f>IF(tblMovimientos[[#This Row],[Tipo de Movimiento]]="Ingreso",tblMovimientos[[#This Row],[Monto (S/)]],"0")</f>
        <v>12901.71</v>
      </c>
      <c r="O3" s="68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9">
        <v>46143</v>
      </c>
      <c r="C4" s="4" t="s">
        <v>25</v>
      </c>
      <c r="D4" s="41" t="s">
        <v>114</v>
      </c>
      <c r="E4" s="4" t="s">
        <v>36</v>
      </c>
      <c r="F4" s="41" t="s">
        <v>10</v>
      </c>
      <c r="G4" s="41" t="s">
        <v>44</v>
      </c>
      <c r="H4" s="4" t="str">
        <f>IFERROR(_xlfn.XLOOKUP(G4,Listas!E:E,Listas!F:F,""),"")</f>
        <v>Operativo</v>
      </c>
      <c r="I4" s="47" t="str">
        <f>IFERROR(_xlfn.XLOOKUP(G4,Listas!E:E,Listas!G:G,""),"")</f>
        <v>Externo</v>
      </c>
      <c r="J4" s="43">
        <v>29.95</v>
      </c>
      <c r="K4" s="5">
        <v>-29.95</v>
      </c>
      <c r="L4" s="6" t="s">
        <v>93</v>
      </c>
      <c r="M4" s="45">
        <v>114.3</v>
      </c>
      <c r="N4" s="68" t="str">
        <f>IF(tblMovimientos[[#This Row],[Tipo de Movimiento]]="Ingreso",tblMovimientos[[#This Row],[Monto (S/)]],"0")</f>
        <v>0</v>
      </c>
      <c r="O4" s="68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9">
        <v>46143</v>
      </c>
      <c r="C5" s="4" t="s">
        <v>26</v>
      </c>
      <c r="D5" s="41" t="s">
        <v>115</v>
      </c>
      <c r="E5" s="4" t="s">
        <v>36</v>
      </c>
      <c r="F5" s="41" t="s">
        <v>10</v>
      </c>
      <c r="G5" s="41" t="s">
        <v>44</v>
      </c>
      <c r="H5" s="4" t="str">
        <f>IFERROR(_xlfn.XLOOKUP(G5,Listas!E:E,Listas!F:F,""),"")</f>
        <v>Operativo</v>
      </c>
      <c r="I5" s="47" t="str">
        <f>IFERROR(_xlfn.XLOOKUP(G5,Listas!E:E,Listas!G:G,""),"")</f>
        <v>Externo</v>
      </c>
      <c r="J5" s="43">
        <v>29.95</v>
      </c>
      <c r="K5" s="5">
        <v>-29.95</v>
      </c>
      <c r="L5" s="6" t="s">
        <v>93</v>
      </c>
      <c r="M5" s="45">
        <v>2267.7200000000003</v>
      </c>
      <c r="N5" s="68" t="str">
        <f>IF(tblMovimientos[[#This Row],[Tipo de Movimiento]]="Ingreso",tblMovimientos[[#This Row],[Monto (S/)]],"0")</f>
        <v>0</v>
      </c>
      <c r="O5" s="68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9">
        <v>46143</v>
      </c>
      <c r="C6" s="4" t="s">
        <v>30</v>
      </c>
      <c r="D6" s="41" t="s">
        <v>120</v>
      </c>
      <c r="E6" s="4" t="s">
        <v>36</v>
      </c>
      <c r="F6" s="41" t="s">
        <v>10</v>
      </c>
      <c r="G6" s="41" t="s">
        <v>44</v>
      </c>
      <c r="H6" s="4" t="str">
        <f>IFERROR(_xlfn.XLOOKUP(G6,Listas!E:E,Listas!F:F,""),"")</f>
        <v>Operativo</v>
      </c>
      <c r="I6" s="47" t="str">
        <f>IFERROR(_xlfn.XLOOKUP(G6,Listas!E:E,Listas!G:G,""),"")</f>
        <v>Externo</v>
      </c>
      <c r="J6" s="43">
        <v>16</v>
      </c>
      <c r="K6" s="5">
        <v>-16</v>
      </c>
      <c r="L6" s="6" t="s">
        <v>93</v>
      </c>
      <c r="M6" s="45">
        <v>1444.08</v>
      </c>
      <c r="N6" s="68" t="str">
        <f>IF(tblMovimientos[[#This Row],[Tipo de Movimiento]]="Ingreso",tblMovimientos[[#This Row],[Monto (S/)]],"0")</f>
        <v>0</v>
      </c>
      <c r="O6" s="68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9">
        <v>46143</v>
      </c>
      <c r="C7" s="4" t="s">
        <v>31</v>
      </c>
      <c r="D7" s="41" t="s">
        <v>121</v>
      </c>
      <c r="E7" s="4" t="s">
        <v>36</v>
      </c>
      <c r="F7" s="41" t="s">
        <v>9</v>
      </c>
      <c r="G7" s="41" t="s">
        <v>81</v>
      </c>
      <c r="H7" s="4" t="str">
        <f>IFERROR(_xlfn.XLOOKUP(G7,Listas!E:E,Listas!F:F,""),"")</f>
        <v>Operativo</v>
      </c>
      <c r="I7" s="47" t="str">
        <f>IFERROR(_xlfn.XLOOKUP(G7,Listas!E:E,Listas!G:G,""),"")</f>
        <v>Externo</v>
      </c>
      <c r="J7" s="43">
        <v>5250</v>
      </c>
      <c r="K7" s="5">
        <v>5250</v>
      </c>
      <c r="L7" s="6" t="s">
        <v>93</v>
      </c>
      <c r="M7" s="45">
        <v>22922.179999999964</v>
      </c>
      <c r="N7" s="68">
        <f>IF(tblMovimientos[[#This Row],[Tipo de Movimiento]]="Ingreso",tblMovimientos[[#This Row],[Monto (S/)]],"0")</f>
        <v>5250</v>
      </c>
      <c r="O7" s="68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9">
        <v>46143</v>
      </c>
      <c r="C8" s="4" t="s">
        <v>31</v>
      </c>
      <c r="D8" s="41" t="s">
        <v>121</v>
      </c>
      <c r="E8" s="4" t="s">
        <v>36</v>
      </c>
      <c r="F8" s="41" t="s">
        <v>10</v>
      </c>
      <c r="G8" s="41" t="s">
        <v>48</v>
      </c>
      <c r="H8" s="4" t="str">
        <f>IFERROR(_xlfn.XLOOKUP(G8,Listas!E:E,Listas!F:F,""),"")</f>
        <v>Financiamiento</v>
      </c>
      <c r="I8" s="47" t="str">
        <f>IFERROR(_xlfn.XLOOKUP(G8,Listas!E:E,Listas!G:G,""),"")</f>
        <v>Externo</v>
      </c>
      <c r="J8" s="43">
        <v>8578.33</v>
      </c>
      <c r="K8" s="5">
        <v>-8578.33</v>
      </c>
      <c r="L8" s="6" t="s">
        <v>93</v>
      </c>
      <c r="M8" s="45">
        <v>22922.179999999964</v>
      </c>
      <c r="N8" s="68" t="str">
        <f>IF(tblMovimientos[[#This Row],[Tipo de Movimiento]]="Ingreso",tblMovimientos[[#This Row],[Monto (S/)]],"0")</f>
        <v>0</v>
      </c>
      <c r="O8" s="68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9">
        <v>46143</v>
      </c>
      <c r="C9" s="4" t="s">
        <v>31</v>
      </c>
      <c r="D9" s="41" t="s">
        <v>121</v>
      </c>
      <c r="E9" s="4" t="s">
        <v>36</v>
      </c>
      <c r="F9" s="41" t="s">
        <v>10</v>
      </c>
      <c r="G9" s="41" t="s">
        <v>44</v>
      </c>
      <c r="H9" s="4" t="str">
        <f>IFERROR(_xlfn.XLOOKUP(G9,Listas!E:E,Listas!F:F,""),"")</f>
        <v>Operativo</v>
      </c>
      <c r="I9" s="47" t="str">
        <f>IFERROR(_xlfn.XLOOKUP(G9,Listas!E:E,Listas!G:G,""),"")</f>
        <v>Externo</v>
      </c>
      <c r="J9" s="43">
        <v>16</v>
      </c>
      <c r="K9" s="5">
        <v>-16</v>
      </c>
      <c r="L9" s="6" t="s">
        <v>93</v>
      </c>
      <c r="M9" s="45">
        <v>22922.179999999964</v>
      </c>
      <c r="N9" s="68" t="str">
        <f>IF(tblMovimientos[[#This Row],[Tipo de Movimiento]]="Ingreso",tblMovimientos[[#This Row],[Monto (S/)]],"0")</f>
        <v>0</v>
      </c>
      <c r="O9" s="68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9">
        <v>46143</v>
      </c>
      <c r="C10" s="4" t="s">
        <v>31</v>
      </c>
      <c r="D10" s="41" t="s">
        <v>122</v>
      </c>
      <c r="E10" s="4" t="s">
        <v>36</v>
      </c>
      <c r="F10" s="41" t="s">
        <v>10</v>
      </c>
      <c r="G10" s="41" t="s">
        <v>44</v>
      </c>
      <c r="H10" s="4" t="str">
        <f>IFERROR(_xlfn.XLOOKUP(G10,Listas!E:E,Listas!F:F,""),"")</f>
        <v>Operativo</v>
      </c>
      <c r="I10" s="47" t="str">
        <f>IFERROR(_xlfn.XLOOKUP(G10,Listas!E:E,Listas!G:G,""),"")</f>
        <v>Externo</v>
      </c>
      <c r="J10" s="43">
        <v>10</v>
      </c>
      <c r="K10" s="5">
        <v>-10</v>
      </c>
      <c r="L10" s="6" t="s">
        <v>93</v>
      </c>
      <c r="M10" s="45">
        <v>340.42</v>
      </c>
      <c r="N10" s="68" t="str">
        <f>IF(tblMovimientos[[#This Row],[Tipo de Movimiento]]="Ingreso",tblMovimientos[[#This Row],[Monto (S/)]],"0")</f>
        <v>0</v>
      </c>
      <c r="O10" s="68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9">
        <v>46143</v>
      </c>
      <c r="C11" s="4" t="s">
        <v>32</v>
      </c>
      <c r="D11" s="41" t="s">
        <v>123</v>
      </c>
      <c r="E11" s="4" t="s">
        <v>36</v>
      </c>
      <c r="F11" s="41" t="s">
        <v>9</v>
      </c>
      <c r="G11" s="41" t="s">
        <v>81</v>
      </c>
      <c r="H11" s="4" t="str">
        <f>IFERROR(_xlfn.XLOOKUP(G11,Listas!E:E,Listas!F:F,""),"")</f>
        <v>Operativo</v>
      </c>
      <c r="I11" s="47" t="str">
        <f>IFERROR(_xlfn.XLOOKUP(G11,Listas!E:E,Listas!G:G,""),"")</f>
        <v>Externo</v>
      </c>
      <c r="J11" s="43">
        <v>6750</v>
      </c>
      <c r="K11" s="5">
        <v>6750</v>
      </c>
      <c r="L11" s="6" t="s">
        <v>93</v>
      </c>
      <c r="M11" s="45">
        <v>6853.9100000000017</v>
      </c>
      <c r="N11" s="68">
        <f>IF(tblMovimientos[[#This Row],[Tipo de Movimiento]]="Ingreso",tblMovimientos[[#This Row],[Monto (S/)]],"0")</f>
        <v>6750</v>
      </c>
      <c r="O11" s="68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9">
        <v>46143</v>
      </c>
      <c r="C12" s="4" t="s">
        <v>32</v>
      </c>
      <c r="D12" s="41" t="s">
        <v>123</v>
      </c>
      <c r="E12" s="4" t="s">
        <v>36</v>
      </c>
      <c r="F12" s="41" t="s">
        <v>10</v>
      </c>
      <c r="G12" s="41" t="s">
        <v>48</v>
      </c>
      <c r="H12" s="4" t="str">
        <f>IFERROR(_xlfn.XLOOKUP(G12,Listas!E:E,Listas!F:F,""),"")</f>
        <v>Financiamiento</v>
      </c>
      <c r="I12" s="47" t="str">
        <f>IFERROR(_xlfn.XLOOKUP(G12,Listas!E:E,Listas!G:G,""),"")</f>
        <v>Externo</v>
      </c>
      <c r="J12" s="43">
        <v>9798.6299999999992</v>
      </c>
      <c r="K12" s="5">
        <v>-9798.6299999999992</v>
      </c>
      <c r="L12" s="6" t="s">
        <v>93</v>
      </c>
      <c r="M12" s="45">
        <v>6853.9100000000017</v>
      </c>
      <c r="N12" s="68" t="str">
        <f>IF(tblMovimientos[[#This Row],[Tipo de Movimiento]]="Ingreso",tblMovimientos[[#This Row],[Monto (S/)]],"0")</f>
        <v>0</v>
      </c>
      <c r="O12" s="68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9">
        <v>46143</v>
      </c>
      <c r="C13" s="4" t="s">
        <v>33</v>
      </c>
      <c r="D13" s="41" t="s">
        <v>124</v>
      </c>
      <c r="E13" s="4" t="s">
        <v>36</v>
      </c>
      <c r="F13" s="41" t="s">
        <v>9</v>
      </c>
      <c r="G13" s="41" t="s">
        <v>81</v>
      </c>
      <c r="H13" s="4" t="str">
        <f>IFERROR(_xlfn.XLOOKUP(G13,Listas!E:E,Listas!F:F,""),"")</f>
        <v>Operativo</v>
      </c>
      <c r="I13" s="47" t="str">
        <f>IFERROR(_xlfn.XLOOKUP(G13,Listas!E:E,Listas!G:G,""),"")</f>
        <v>Externo</v>
      </c>
      <c r="J13" s="43">
        <v>5050</v>
      </c>
      <c r="K13" s="5">
        <v>5050</v>
      </c>
      <c r="L13" s="6" t="s">
        <v>93</v>
      </c>
      <c r="M13" s="45">
        <v>21338.39</v>
      </c>
      <c r="N13" s="68">
        <f>IF(tblMovimientos[[#This Row],[Tipo de Movimiento]]="Ingreso",tblMovimientos[[#This Row],[Monto (S/)]],"0")</f>
        <v>5050</v>
      </c>
      <c r="O13" s="68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9">
        <v>46143</v>
      </c>
      <c r="C14" s="4" t="s">
        <v>33</v>
      </c>
      <c r="D14" s="41" t="s">
        <v>124</v>
      </c>
      <c r="E14" s="4" t="s">
        <v>36</v>
      </c>
      <c r="F14" s="41" t="s">
        <v>10</v>
      </c>
      <c r="G14" s="41" t="s">
        <v>48</v>
      </c>
      <c r="H14" s="4" t="str">
        <f>IFERROR(_xlfn.XLOOKUP(G14,Listas!E:E,Listas!F:F,""),"")</f>
        <v>Financiamiento</v>
      </c>
      <c r="I14" s="47" t="str">
        <f>IFERROR(_xlfn.XLOOKUP(G14,Listas!E:E,Listas!G:G,""),"")</f>
        <v>Externo</v>
      </c>
      <c r="J14" s="43">
        <v>8773.0400000000009</v>
      </c>
      <c r="K14" s="5">
        <v>-8773.0400000000009</v>
      </c>
      <c r="L14" s="6" t="s">
        <v>93</v>
      </c>
      <c r="M14" s="45">
        <v>21338.39</v>
      </c>
      <c r="N14" s="68" t="str">
        <f>IF(tblMovimientos[[#This Row],[Tipo de Movimiento]]="Ingreso",tblMovimientos[[#This Row],[Monto (S/)]],"0")</f>
        <v>0</v>
      </c>
      <c r="O14" s="68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9">
        <v>46143</v>
      </c>
      <c r="C15" s="4" t="s">
        <v>18</v>
      </c>
      <c r="D15" s="41" t="s">
        <v>97</v>
      </c>
      <c r="E15" s="4" t="s">
        <v>37</v>
      </c>
      <c r="F15" s="41" t="s">
        <v>9</v>
      </c>
      <c r="G15" s="41" t="s">
        <v>68</v>
      </c>
      <c r="H15" s="4" t="str">
        <f>IFERROR(_xlfn.XLOOKUP(G15,Listas!E:E,Listas!F:F,""),"")</f>
        <v>Operativo</v>
      </c>
      <c r="I15" s="47" t="str">
        <f>IFERROR(_xlfn.XLOOKUP(G15,Listas!E:E,Listas!G:G,""),"")</f>
        <v>Externo</v>
      </c>
      <c r="J15" s="43">
        <v>6748.49</v>
      </c>
      <c r="K15" s="5">
        <v>6748.49</v>
      </c>
      <c r="L15" s="6" t="s">
        <v>93</v>
      </c>
      <c r="M15" s="45">
        <v>46288.029999999948</v>
      </c>
      <c r="N15" s="68">
        <f>IF(tblMovimientos[[#This Row],[Tipo de Movimiento]]="Ingreso",tblMovimientos[[#This Row],[Monto (S/)]],"0")</f>
        <v>6748.49</v>
      </c>
      <c r="O15" s="68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9">
        <v>46143</v>
      </c>
      <c r="C16" s="4" t="s">
        <v>35</v>
      </c>
      <c r="D16" s="41" t="s">
        <v>126</v>
      </c>
      <c r="E16" s="4" t="s">
        <v>37</v>
      </c>
      <c r="F16" s="41" t="s">
        <v>10</v>
      </c>
      <c r="G16" s="41" t="s">
        <v>38</v>
      </c>
      <c r="H16" s="4" t="str">
        <f>IFERROR(_xlfn.XLOOKUP(G16,Listas!E:E,Listas!F:F,""),"")</f>
        <v>Operativo</v>
      </c>
      <c r="I16" s="47" t="str">
        <f>IFERROR(_xlfn.XLOOKUP(G16,Listas!E:E,Listas!G:G,""),"")</f>
        <v>Externo</v>
      </c>
      <c r="J16" s="43">
        <v>165</v>
      </c>
      <c r="K16" s="5">
        <v>-165</v>
      </c>
      <c r="L16" s="6" t="s">
        <v>93</v>
      </c>
      <c r="M16" s="45">
        <v>13491.26</v>
      </c>
      <c r="N16" s="68" t="str">
        <f>IF(tblMovimientos[[#This Row],[Tipo de Movimiento]]="Ingreso",tblMovimientos[[#This Row],[Monto (S/)]],"0")</f>
        <v>0</v>
      </c>
      <c r="O16" s="68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9">
        <v>46146</v>
      </c>
      <c r="C17" s="4" t="s">
        <v>22</v>
      </c>
      <c r="D17" s="41" t="s">
        <v>110</v>
      </c>
      <c r="E17" s="4" t="s">
        <v>36</v>
      </c>
      <c r="F17" s="41" t="s">
        <v>10</v>
      </c>
      <c r="G17" s="41" t="s">
        <v>43</v>
      </c>
      <c r="H17" s="4" t="str">
        <f>IFERROR(_xlfn.XLOOKUP(G17,Listas!E:E,Listas!F:F,""),"")</f>
        <v>Operativo</v>
      </c>
      <c r="I17" s="47" t="str">
        <f>IFERROR(_xlfn.XLOOKUP(G17,Listas!E:E,Listas!G:G,""),"")</f>
        <v>Externo</v>
      </c>
      <c r="J17" s="43">
        <v>6000</v>
      </c>
      <c r="K17" s="5">
        <v>-6000</v>
      </c>
      <c r="L17" s="6" t="s">
        <v>93</v>
      </c>
      <c r="M17" s="45">
        <v>7221.8899999999994</v>
      </c>
      <c r="N17" s="68" t="str">
        <f>IF(tblMovimientos[[#This Row],[Tipo de Movimiento]]="Ingreso",tblMovimientos[[#This Row],[Monto (S/)]],"0")</f>
        <v>0</v>
      </c>
      <c r="O17" s="68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9">
        <v>46146</v>
      </c>
      <c r="C18" s="4" t="s">
        <v>31</v>
      </c>
      <c r="D18" s="41" t="s">
        <v>121</v>
      </c>
      <c r="E18" s="4" t="s">
        <v>36</v>
      </c>
      <c r="F18" s="41" t="s">
        <v>10</v>
      </c>
      <c r="G18" s="41" t="s">
        <v>44</v>
      </c>
      <c r="H18" s="4" t="str">
        <f>IFERROR(_xlfn.XLOOKUP(G18,Listas!E:E,Listas!F:F,""),"")</f>
        <v>Operativo</v>
      </c>
      <c r="I18" s="47" t="str">
        <f>IFERROR(_xlfn.XLOOKUP(G18,Listas!E:E,Listas!G:G,""),"")</f>
        <v>Externo</v>
      </c>
      <c r="J18" s="43">
        <v>15</v>
      </c>
      <c r="K18" s="5">
        <v>-15</v>
      </c>
      <c r="L18" s="6" t="s">
        <v>93</v>
      </c>
      <c r="M18" s="45">
        <v>22907.179999999964</v>
      </c>
      <c r="N18" s="68" t="str">
        <f>IF(tblMovimientos[[#This Row],[Tipo de Movimiento]]="Ingreso",tblMovimientos[[#This Row],[Monto (S/)]],"0")</f>
        <v>0</v>
      </c>
      <c r="O18" s="68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9">
        <v>46146</v>
      </c>
      <c r="C19" s="4" t="s">
        <v>35</v>
      </c>
      <c r="D19" s="41" t="s">
        <v>126</v>
      </c>
      <c r="E19" s="4" t="s">
        <v>37</v>
      </c>
      <c r="F19" s="41" t="s">
        <v>10</v>
      </c>
      <c r="G19" s="41" t="s">
        <v>38</v>
      </c>
      <c r="H19" s="4" t="str">
        <f>IFERROR(_xlfn.XLOOKUP(G19,Listas!E:E,Listas!F:F,""),"")</f>
        <v>Operativo</v>
      </c>
      <c r="I19" s="47" t="str">
        <f>IFERROR(_xlfn.XLOOKUP(G19,Listas!E:E,Listas!G:G,""),"")</f>
        <v>Externo</v>
      </c>
      <c r="J19" s="43">
        <v>1020</v>
      </c>
      <c r="K19" s="5">
        <v>-1020</v>
      </c>
      <c r="L19" s="6" t="s">
        <v>93</v>
      </c>
      <c r="M19" s="45">
        <v>8782.25</v>
      </c>
      <c r="N19" s="68" t="str">
        <f>IF(tblMovimientos[[#This Row],[Tipo de Movimiento]]="Ingreso",tblMovimientos[[#This Row],[Monto (S/)]],"0")</f>
        <v>0</v>
      </c>
      <c r="O19" s="68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9">
        <v>46146</v>
      </c>
      <c r="C20" s="4" t="s">
        <v>21</v>
      </c>
      <c r="D20" s="41" t="s">
        <v>104</v>
      </c>
      <c r="E20" s="4" t="s">
        <v>37</v>
      </c>
      <c r="F20" s="41" t="s">
        <v>9</v>
      </c>
      <c r="G20" s="41" t="s">
        <v>76</v>
      </c>
      <c r="H20" s="4" t="str">
        <f>IFERROR(_xlfn.XLOOKUP(G20,Listas!E:E,Listas!F:F,""),"")</f>
        <v>Financiamiento</v>
      </c>
      <c r="I20" s="47" t="str">
        <f>IFERROR(_xlfn.XLOOKUP(G20,Listas!E:E,Listas!G:G,""),"")</f>
        <v>Externo</v>
      </c>
      <c r="J20" s="43">
        <v>800000</v>
      </c>
      <c r="K20" s="5">
        <v>800000</v>
      </c>
      <c r="L20" s="6" t="s">
        <v>93</v>
      </c>
      <c r="M20" s="45">
        <v>1019857.8199999994</v>
      </c>
      <c r="N20" s="68">
        <f>IF(tblMovimientos[[#This Row],[Tipo de Movimiento]]="Ingreso",tblMovimientos[[#This Row],[Monto (S/)]],"0")</f>
        <v>800000</v>
      </c>
      <c r="O20" s="68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9">
        <v>46146</v>
      </c>
      <c r="C21" s="4" t="s">
        <v>35</v>
      </c>
      <c r="D21" s="41" t="s">
        <v>126</v>
      </c>
      <c r="E21" s="4" t="s">
        <v>37</v>
      </c>
      <c r="F21" s="41" t="s">
        <v>10</v>
      </c>
      <c r="G21" s="41" t="s">
        <v>38</v>
      </c>
      <c r="H21" s="4" t="str">
        <f>IFERROR(_xlfn.XLOOKUP(G21,Listas!E:E,Listas!F:F,""),"")</f>
        <v>Operativo</v>
      </c>
      <c r="I21" s="47" t="str">
        <f>IFERROR(_xlfn.XLOOKUP(G21,Listas!E:E,Listas!G:G,""),"")</f>
        <v>Externo</v>
      </c>
      <c r="J21" s="43">
        <v>3689.01</v>
      </c>
      <c r="K21" s="5">
        <v>-3689.01</v>
      </c>
      <c r="L21" s="6" t="s">
        <v>93</v>
      </c>
      <c r="M21" s="45">
        <v>8782.25</v>
      </c>
      <c r="N21" s="68" t="str">
        <f>IF(tblMovimientos[[#This Row],[Tipo de Movimiento]]="Ingreso",tblMovimientos[[#This Row],[Monto (S/)]],"0")</f>
        <v>0</v>
      </c>
      <c r="O21" s="68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9">
        <v>46147</v>
      </c>
      <c r="C22" s="4" t="s">
        <v>21</v>
      </c>
      <c r="D22" s="41" t="s">
        <v>101</v>
      </c>
      <c r="E22" s="4" t="s">
        <v>36</v>
      </c>
      <c r="F22" s="41" t="s">
        <v>10</v>
      </c>
      <c r="G22" s="41" t="s">
        <v>38</v>
      </c>
      <c r="H22" s="4" t="str">
        <f>IFERROR(_xlfn.XLOOKUP(G22,Listas!E:E,Listas!F:F,""),"")</f>
        <v>Operativo</v>
      </c>
      <c r="I22" s="47" t="str">
        <f>IFERROR(_xlfn.XLOOKUP(G22,Listas!E:E,Listas!G:G,""),"")</f>
        <v>Externo</v>
      </c>
      <c r="J22" s="43">
        <v>695.29</v>
      </c>
      <c r="K22" s="5">
        <v>-695.29</v>
      </c>
      <c r="L22" s="6" t="s">
        <v>93</v>
      </c>
      <c r="M22" s="45">
        <v>11683.89</v>
      </c>
      <c r="N22" s="68" t="str">
        <f>IF(tblMovimientos[[#This Row],[Tipo de Movimiento]]="Ingreso",tblMovimientos[[#This Row],[Monto (S/)]],"0")</f>
        <v>0</v>
      </c>
      <c r="O22" s="68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9">
        <v>46147</v>
      </c>
      <c r="C23" s="4" t="s">
        <v>20</v>
      </c>
      <c r="D23" s="41" t="s">
        <v>100</v>
      </c>
      <c r="E23" s="4" t="s">
        <v>36</v>
      </c>
      <c r="F23" s="41" t="s">
        <v>9</v>
      </c>
      <c r="G23" s="41" t="s">
        <v>71</v>
      </c>
      <c r="H23" s="4" t="str">
        <f>IFERROR(_xlfn.XLOOKUP(G23,Listas!E:E,Listas!F:F,""),"")</f>
        <v>Operativo</v>
      </c>
      <c r="I23" s="47" t="str">
        <f>IFERROR(_xlfn.XLOOKUP(G23,Listas!E:E,Listas!G:G,""),"")</f>
        <v>Interno</v>
      </c>
      <c r="J23" s="43">
        <v>700000</v>
      </c>
      <c r="K23" s="5">
        <v>700000</v>
      </c>
      <c r="L23" s="6" t="s">
        <v>93</v>
      </c>
      <c r="M23" s="45">
        <v>989990.29999999993</v>
      </c>
      <c r="N23" s="68">
        <f>IF(tblMovimientos[[#This Row],[Tipo de Movimiento]]="Ingreso",tblMovimientos[[#This Row],[Monto (S/)]],"0")</f>
        <v>700000</v>
      </c>
      <c r="O23" s="68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9">
        <v>46147</v>
      </c>
      <c r="C24" s="4" t="s">
        <v>20</v>
      </c>
      <c r="D24" s="41" t="s">
        <v>100</v>
      </c>
      <c r="E24" s="4" t="s">
        <v>36</v>
      </c>
      <c r="F24" s="41" t="s">
        <v>9</v>
      </c>
      <c r="G24" s="41" t="s">
        <v>70</v>
      </c>
      <c r="H24" s="4" t="str">
        <f>IFERROR(_xlfn.XLOOKUP(G24,Listas!E:E,Listas!F:F,""),"")</f>
        <v>Operativo</v>
      </c>
      <c r="I24" s="47" t="str">
        <f>IFERROR(_xlfn.XLOOKUP(G24,Listas!E:E,Listas!G:G,""),"")</f>
        <v>Externo</v>
      </c>
      <c r="J24" s="43">
        <v>500000</v>
      </c>
      <c r="K24" s="5">
        <v>500000</v>
      </c>
      <c r="L24" s="6" t="s">
        <v>93</v>
      </c>
      <c r="M24" s="45">
        <v>989990.29999999993</v>
      </c>
      <c r="N24" s="68">
        <f>IF(tblMovimientos[[#This Row],[Tipo de Movimiento]]="Ingreso",tblMovimientos[[#This Row],[Monto (S/)]],"0")</f>
        <v>500000</v>
      </c>
      <c r="O24" s="68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40">
        <v>46147</v>
      </c>
      <c r="C25" s="4" t="s">
        <v>20</v>
      </c>
      <c r="D25" s="41" t="s">
        <v>100</v>
      </c>
      <c r="E25" s="4" t="s">
        <v>36</v>
      </c>
      <c r="F25" s="42" t="s">
        <v>10</v>
      </c>
      <c r="G25" s="41" t="s">
        <v>59</v>
      </c>
      <c r="H25" s="4" t="str">
        <f>IFERROR(_xlfn.XLOOKUP(G25,Listas!E:E,Listas!F:F,""),"")</f>
        <v>Inversion</v>
      </c>
      <c r="I25" s="47" t="str">
        <f>IFERROR(_xlfn.XLOOKUP(G25,Listas!E:E,Listas!G:G,""),"")</f>
        <v>Externo</v>
      </c>
      <c r="J25" s="44">
        <v>800000</v>
      </c>
      <c r="K25" s="5">
        <v>-800000</v>
      </c>
      <c r="L25" s="6" t="s">
        <v>93</v>
      </c>
      <c r="M25" s="45">
        <v>989990.29999999993</v>
      </c>
      <c r="N25" s="68" t="str">
        <f>IF(tblMovimientos[[#This Row],[Tipo de Movimiento]]="Ingreso",tblMovimientos[[#This Row],[Monto (S/)]],"0")</f>
        <v>0</v>
      </c>
      <c r="O25" s="68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40">
        <v>46147</v>
      </c>
      <c r="C26" s="4" t="s">
        <v>17</v>
      </c>
      <c r="D26" s="41" t="s">
        <v>94</v>
      </c>
      <c r="E26" s="4" t="s">
        <v>36</v>
      </c>
      <c r="F26" s="42" t="s">
        <v>10</v>
      </c>
      <c r="G26" s="41" t="s">
        <v>64</v>
      </c>
      <c r="H26" s="4" t="str">
        <f>IFERROR(_xlfn.XLOOKUP(G26,Listas!E:E,Listas!F:F,""),"")</f>
        <v>Operativo</v>
      </c>
      <c r="I26" s="47" t="str">
        <f>IFERROR(_xlfn.XLOOKUP(G26,Listas!E:E,Listas!G:G,""),"")</f>
        <v>Interno</v>
      </c>
      <c r="J26" s="44">
        <v>110000</v>
      </c>
      <c r="K26" s="5">
        <v>-110000</v>
      </c>
      <c r="L26" s="6" t="s">
        <v>93</v>
      </c>
      <c r="M26" s="45">
        <v>22689.049999999988</v>
      </c>
      <c r="N26" s="68" t="str">
        <f>IF(tblMovimientos[[#This Row],[Tipo de Movimiento]]="Ingreso",tblMovimientos[[#This Row],[Monto (S/)]],"0")</f>
        <v>0</v>
      </c>
      <c r="O26" s="68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40">
        <v>46147</v>
      </c>
      <c r="C27" s="4" t="s">
        <v>17</v>
      </c>
      <c r="D27" s="41" t="s">
        <v>95</v>
      </c>
      <c r="E27" s="4" t="s">
        <v>37</v>
      </c>
      <c r="F27" s="42" t="s">
        <v>9</v>
      </c>
      <c r="G27" s="41" t="s">
        <v>85</v>
      </c>
      <c r="H27" s="4" t="str">
        <f>IFERROR(_xlfn.XLOOKUP(G27,Listas!E:E,Listas!F:F,""),"")</f>
        <v>Operativo</v>
      </c>
      <c r="I27" s="47" t="str">
        <f>IFERROR(_xlfn.XLOOKUP(G27,Listas!E:E,Listas!G:G,""),"")</f>
        <v>Interno</v>
      </c>
      <c r="J27" s="44">
        <v>110000</v>
      </c>
      <c r="K27" s="5">
        <v>110000</v>
      </c>
      <c r="L27" s="6" t="s">
        <v>93</v>
      </c>
      <c r="M27" s="45">
        <v>169799.53000000026</v>
      </c>
      <c r="N27" s="68">
        <f>IF(tblMovimientos[[#This Row],[Tipo de Movimiento]]="Ingreso",tblMovimientos[[#This Row],[Monto (S/)]],"0")</f>
        <v>110000</v>
      </c>
      <c r="O27" s="68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40">
        <v>46147</v>
      </c>
      <c r="C28" s="4" t="s">
        <v>17</v>
      </c>
      <c r="D28" s="41" t="s">
        <v>95</v>
      </c>
      <c r="E28" s="4" t="s">
        <v>37</v>
      </c>
      <c r="F28" s="42" t="s">
        <v>10</v>
      </c>
      <c r="G28" s="41" t="s">
        <v>62</v>
      </c>
      <c r="H28" s="4" t="str">
        <f>IFERROR(_xlfn.XLOOKUP(G28,Listas!E:E,Listas!F:F,""),"")</f>
        <v>Operativo</v>
      </c>
      <c r="I28" s="47" t="str">
        <f>IFERROR(_xlfn.XLOOKUP(G28,Listas!E:E,Listas!G:G,""),"")</f>
        <v>Interno</v>
      </c>
      <c r="J28" s="44">
        <v>3000</v>
      </c>
      <c r="K28" s="5">
        <v>-3000</v>
      </c>
      <c r="L28" s="6" t="s">
        <v>93</v>
      </c>
      <c r="M28" s="45">
        <v>169799.53000000026</v>
      </c>
      <c r="N28" s="68" t="str">
        <f>IF(tblMovimientos[[#This Row],[Tipo de Movimiento]]="Ingreso",tblMovimientos[[#This Row],[Monto (S/)]],"0")</f>
        <v>0</v>
      </c>
      <c r="O28" s="68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40">
        <v>46147</v>
      </c>
      <c r="C29" s="4" t="s">
        <v>22</v>
      </c>
      <c r="D29" s="41" t="s">
        <v>111</v>
      </c>
      <c r="E29" s="4" t="s">
        <v>37</v>
      </c>
      <c r="F29" s="42" t="s">
        <v>10</v>
      </c>
      <c r="G29" s="41" t="s">
        <v>65</v>
      </c>
      <c r="H29" s="4" t="str">
        <f>IFERROR(_xlfn.XLOOKUP(G29,Listas!E:E,Listas!F:F,""),"")</f>
        <v>Operativo</v>
      </c>
      <c r="I29" s="47" t="str">
        <f>IFERROR(_xlfn.XLOOKUP(G29,Listas!E:E,Listas!G:G,""),"")</f>
        <v>Externo</v>
      </c>
      <c r="J29" s="44">
        <v>15000</v>
      </c>
      <c r="K29" s="5">
        <v>-15000</v>
      </c>
      <c r="L29" s="6" t="s">
        <v>93</v>
      </c>
      <c r="M29" s="45">
        <v>50717.600000000006</v>
      </c>
      <c r="N29" s="68" t="str">
        <f>IF(tblMovimientos[[#This Row],[Tipo de Movimiento]]="Ingreso",tblMovimientos[[#This Row],[Monto (S/)]],"0")</f>
        <v>0</v>
      </c>
      <c r="O29" s="68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40">
        <v>46147</v>
      </c>
      <c r="C30" s="4" t="s">
        <v>21</v>
      </c>
      <c r="D30" s="41" t="s">
        <v>104</v>
      </c>
      <c r="E30" s="4" t="s">
        <v>37</v>
      </c>
      <c r="F30" s="42" t="s">
        <v>10</v>
      </c>
      <c r="G30" s="41" t="s">
        <v>38</v>
      </c>
      <c r="H30" s="4" t="str">
        <f>IFERROR(_xlfn.XLOOKUP(G30,Listas!E:E,Listas!F:F,""),"")</f>
        <v>Operativo</v>
      </c>
      <c r="I30" s="47" t="str">
        <f>IFERROR(_xlfn.XLOOKUP(G30,Listas!E:E,Listas!G:G,""),"")</f>
        <v>Externo</v>
      </c>
      <c r="J30" s="44">
        <v>800</v>
      </c>
      <c r="K30" s="5">
        <v>-800</v>
      </c>
      <c r="L30" s="6" t="s">
        <v>93</v>
      </c>
      <c r="M30" s="45">
        <v>319057.81999999937</v>
      </c>
      <c r="N30" s="68" t="str">
        <f>IF(tblMovimientos[[#This Row],[Tipo de Movimiento]]="Ingreso",tblMovimientos[[#This Row],[Monto (S/)]],"0")</f>
        <v>0</v>
      </c>
      <c r="O30" s="68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40">
        <v>46147</v>
      </c>
      <c r="C31" s="4" t="s">
        <v>21</v>
      </c>
      <c r="D31" s="41" t="s">
        <v>104</v>
      </c>
      <c r="E31" s="4" t="s">
        <v>37</v>
      </c>
      <c r="F31" s="42" t="s">
        <v>10</v>
      </c>
      <c r="G31" s="41" t="s">
        <v>50</v>
      </c>
      <c r="H31" s="4" t="str">
        <f>IFERROR(_xlfn.XLOOKUP(G31,Listas!E:E,Listas!F:F,""),"")</f>
        <v>Financiamiento</v>
      </c>
      <c r="I31" s="47" t="str">
        <f>IFERROR(_xlfn.XLOOKUP(G31,Listas!E:E,Listas!G:G,""),"")</f>
        <v>Externo</v>
      </c>
      <c r="J31" s="44">
        <v>700000</v>
      </c>
      <c r="K31" s="5">
        <v>-700000</v>
      </c>
      <c r="L31" s="6" t="s">
        <v>93</v>
      </c>
      <c r="M31" s="45">
        <v>319057.81999999937</v>
      </c>
      <c r="N31" s="68" t="str">
        <f>IF(tblMovimientos[[#This Row],[Tipo de Movimiento]]="Ingreso",tblMovimientos[[#This Row],[Monto (S/)]],"0")</f>
        <v>0</v>
      </c>
      <c r="O31" s="68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40">
        <v>46147</v>
      </c>
      <c r="C32" s="4" t="s">
        <v>23</v>
      </c>
      <c r="D32" s="41" t="s">
        <v>112</v>
      </c>
      <c r="E32" s="4" t="s">
        <v>36</v>
      </c>
      <c r="F32" s="42" t="s">
        <v>9</v>
      </c>
      <c r="G32" s="41" t="s">
        <v>76</v>
      </c>
      <c r="H32" s="4" t="str">
        <f>IFERROR(_xlfn.XLOOKUP(G32,Listas!E:E,Listas!F:F,""),"")</f>
        <v>Financiamiento</v>
      </c>
      <c r="I32" s="47" t="str">
        <f>IFERROR(_xlfn.XLOOKUP(G32,Listas!E:E,Listas!G:G,""),"")</f>
        <v>Externo</v>
      </c>
      <c r="J32" s="44">
        <v>800000</v>
      </c>
      <c r="K32" s="5">
        <v>800000</v>
      </c>
      <c r="L32" s="6" t="s">
        <v>93</v>
      </c>
      <c r="M32" s="45">
        <v>813088.59</v>
      </c>
      <c r="N32" s="68">
        <f>IF(tblMovimientos[[#This Row],[Tipo de Movimiento]]="Ingreso",tblMovimientos[[#This Row],[Monto (S/)]],"0")</f>
        <v>800000</v>
      </c>
      <c r="O32" s="68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40">
        <v>46147</v>
      </c>
      <c r="C33" s="4" t="s">
        <v>24</v>
      </c>
      <c r="D33" s="41" t="s">
        <v>113</v>
      </c>
      <c r="E33" s="4" t="s">
        <v>154</v>
      </c>
      <c r="F33" s="42" t="s">
        <v>9</v>
      </c>
      <c r="G33" s="41" t="s">
        <v>75</v>
      </c>
      <c r="H33" s="4" t="str">
        <f>IFERROR(_xlfn.XLOOKUP(G33,Listas!E:E,Listas!F:F,""),"")</f>
        <v>Financiamiento</v>
      </c>
      <c r="I33" s="47" t="str">
        <f>IFERROR(_xlfn.XLOOKUP(G33,Listas!E:E,Listas!G:G,""),"")</f>
        <v>Interno</v>
      </c>
      <c r="J33" s="44">
        <v>3000</v>
      </c>
      <c r="K33" s="5">
        <v>3000</v>
      </c>
      <c r="L33" s="6" t="s">
        <v>93</v>
      </c>
      <c r="M33" s="45">
        <v>3768.83</v>
      </c>
      <c r="N33" s="68">
        <f>IF(tblMovimientos[[#This Row],[Tipo de Movimiento]]="Ingreso",tblMovimientos[[#This Row],[Monto (S/)]],"0")</f>
        <v>3000</v>
      </c>
      <c r="O33" s="68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40">
        <v>46147</v>
      </c>
      <c r="C34" s="4" t="s">
        <v>24</v>
      </c>
      <c r="D34" s="41" t="s">
        <v>113</v>
      </c>
      <c r="E34" s="4" t="s">
        <v>154</v>
      </c>
      <c r="F34" s="42" t="s">
        <v>10</v>
      </c>
      <c r="G34" s="41" t="s">
        <v>38</v>
      </c>
      <c r="H34" s="4" t="str">
        <f>IFERROR(_xlfn.XLOOKUP(G34,Listas!E:E,Listas!F:F,""),"")</f>
        <v>Operativo</v>
      </c>
      <c r="I34" s="47" t="str">
        <f>IFERROR(_xlfn.XLOOKUP(G34,Listas!E:E,Listas!G:G,""),"")</f>
        <v>Externo</v>
      </c>
      <c r="J34" s="44">
        <v>40</v>
      </c>
      <c r="K34" s="5">
        <v>-40</v>
      </c>
      <c r="L34" s="6" t="s">
        <v>93</v>
      </c>
      <c r="M34" s="45">
        <v>3768.83</v>
      </c>
      <c r="N34" s="68" t="str">
        <f>IF(tblMovimientos[[#This Row],[Tipo de Movimiento]]="Ingreso",tblMovimientos[[#This Row],[Monto (S/)]],"0")</f>
        <v>0</v>
      </c>
      <c r="O34" s="68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40">
        <v>46148</v>
      </c>
      <c r="C35" s="4" t="s">
        <v>21</v>
      </c>
      <c r="D35" s="41" t="s">
        <v>101</v>
      </c>
      <c r="E35" s="4" t="s">
        <v>36</v>
      </c>
      <c r="F35" s="42" t="s">
        <v>10</v>
      </c>
      <c r="G35" s="41" t="s">
        <v>41</v>
      </c>
      <c r="H35" s="4" t="str">
        <f>IFERROR(_xlfn.XLOOKUP(G35,Listas!E:E,Listas!F:F,""),"")</f>
        <v>Operativo</v>
      </c>
      <c r="I35" s="47" t="str">
        <f>IFERROR(_xlfn.XLOOKUP(G35,Listas!E:E,Listas!G:G,""),"")</f>
        <v>Externo</v>
      </c>
      <c r="J35" s="44">
        <v>7679.78</v>
      </c>
      <c r="K35" s="5">
        <v>-7679.78</v>
      </c>
      <c r="L35" s="6" t="s">
        <v>93</v>
      </c>
      <c r="M35" s="45">
        <v>4004.1100000000006</v>
      </c>
      <c r="N35" s="68" t="str">
        <f>IF(tblMovimientos[[#This Row],[Tipo de Movimiento]]="Ingreso",tblMovimientos[[#This Row],[Monto (S/)]],"0")</f>
        <v>0</v>
      </c>
      <c r="O35" s="68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40">
        <v>46148</v>
      </c>
      <c r="C36" s="4" t="s">
        <v>32</v>
      </c>
      <c r="D36" s="41" t="s">
        <v>123</v>
      </c>
      <c r="E36" s="4" t="s">
        <v>36</v>
      </c>
      <c r="F36" s="42" t="s">
        <v>10</v>
      </c>
      <c r="G36" s="41" t="s">
        <v>38</v>
      </c>
      <c r="H36" s="4" t="str">
        <f>IFERROR(_xlfn.XLOOKUP(G36,Listas!E:E,Listas!F:F,""),"")</f>
        <v>Operativo</v>
      </c>
      <c r="I36" s="47" t="str">
        <f>IFERROR(_xlfn.XLOOKUP(G36,Listas!E:E,Listas!G:G,""),"")</f>
        <v>Externo</v>
      </c>
      <c r="J36" s="44">
        <v>1718.85</v>
      </c>
      <c r="K36" s="5">
        <v>-1718.85</v>
      </c>
      <c r="L36" s="6" t="s">
        <v>93</v>
      </c>
      <c r="M36" s="45">
        <v>5135.0600000000013</v>
      </c>
      <c r="N36" s="68" t="str">
        <f>IF(tblMovimientos[[#This Row],[Tipo de Movimiento]]="Ingreso",tblMovimientos[[#This Row],[Monto (S/)]],"0")</f>
        <v>0</v>
      </c>
      <c r="O36" s="68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40">
        <v>46148</v>
      </c>
      <c r="C37" s="4" t="s">
        <v>18</v>
      </c>
      <c r="D37" s="41" t="s">
        <v>97</v>
      </c>
      <c r="E37" s="4" t="s">
        <v>37</v>
      </c>
      <c r="F37" s="42" t="s">
        <v>9</v>
      </c>
      <c r="G37" s="41" t="s">
        <v>70</v>
      </c>
      <c r="H37" s="4" t="str">
        <f>IFERROR(_xlfn.XLOOKUP(G37,Listas!E:E,Listas!F:F,""),"")</f>
        <v>Operativo</v>
      </c>
      <c r="I37" s="47" t="str">
        <f>IFERROR(_xlfn.XLOOKUP(G37,Listas!E:E,Listas!G:G,""),"")</f>
        <v>Externo</v>
      </c>
      <c r="J37" s="44">
        <v>575000</v>
      </c>
      <c r="K37" s="5">
        <v>575000</v>
      </c>
      <c r="L37" s="6" t="s">
        <v>93</v>
      </c>
      <c r="M37" s="45">
        <v>621288.02999999991</v>
      </c>
      <c r="N37" s="68">
        <f>IF(tblMovimientos[[#This Row],[Tipo de Movimiento]]="Ingreso",tblMovimientos[[#This Row],[Monto (S/)]],"0")</f>
        <v>575000</v>
      </c>
      <c r="O37" s="68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40">
        <v>46148</v>
      </c>
      <c r="C38" s="4" t="s">
        <v>21</v>
      </c>
      <c r="D38" s="41" t="s">
        <v>104</v>
      </c>
      <c r="E38" s="4" t="s">
        <v>37</v>
      </c>
      <c r="F38" s="42" t="s">
        <v>10</v>
      </c>
      <c r="G38" s="41" t="s">
        <v>60</v>
      </c>
      <c r="H38" s="4" t="str">
        <f>IFERROR(_xlfn.XLOOKUP(G38,Listas!E:E,Listas!F:F,""),"")</f>
        <v>Inversion</v>
      </c>
      <c r="I38" s="47" t="str">
        <f>IFERROR(_xlfn.XLOOKUP(G38,Listas!E:E,Listas!G:G,""),"")</f>
        <v>Interno</v>
      </c>
      <c r="J38" s="44">
        <v>120000</v>
      </c>
      <c r="K38" s="5">
        <v>-120000</v>
      </c>
      <c r="L38" s="6" t="s">
        <v>93</v>
      </c>
      <c r="M38" s="45">
        <v>199057.81999999937</v>
      </c>
      <c r="N38" s="68" t="str">
        <f>IF(tblMovimientos[[#This Row],[Tipo de Movimiento]]="Ingreso",tblMovimientos[[#This Row],[Monto (S/)]],"0")</f>
        <v>0</v>
      </c>
      <c r="O38" s="68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40">
        <v>46149</v>
      </c>
      <c r="C39" s="4" t="s">
        <v>21</v>
      </c>
      <c r="D39" s="41" t="s">
        <v>104</v>
      </c>
      <c r="E39" s="4" t="s">
        <v>37</v>
      </c>
      <c r="F39" s="42" t="s">
        <v>10</v>
      </c>
      <c r="G39" s="41" t="s">
        <v>56</v>
      </c>
      <c r="H39" s="4" t="str">
        <f>IFERROR(_xlfn.XLOOKUP(G39,Listas!E:E,Listas!F:F,""),"")</f>
        <v>Inversion</v>
      </c>
      <c r="I39" s="47" t="str">
        <f>IFERROR(_xlfn.XLOOKUP(G39,Listas!E:E,Listas!G:G,""),"")</f>
        <v>Externo</v>
      </c>
      <c r="J39" s="44">
        <v>374.25</v>
      </c>
      <c r="K39" s="5">
        <v>-374.25</v>
      </c>
      <c r="L39" s="6" t="s">
        <v>93</v>
      </c>
      <c r="M39" s="45">
        <v>148736.90999999936</v>
      </c>
      <c r="N39" s="68" t="str">
        <f>IF(tblMovimientos[[#This Row],[Tipo de Movimiento]]="Ingreso",tblMovimientos[[#This Row],[Monto (S/)]],"0")</f>
        <v>0</v>
      </c>
      <c r="O39" s="68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40">
        <v>46149</v>
      </c>
      <c r="C40" s="4" t="s">
        <v>21</v>
      </c>
      <c r="D40" s="41" t="s">
        <v>101</v>
      </c>
      <c r="E40" s="4" t="s">
        <v>36</v>
      </c>
      <c r="F40" s="42" t="s">
        <v>9</v>
      </c>
      <c r="G40" s="41" t="s">
        <v>73</v>
      </c>
      <c r="H40" s="4" t="str">
        <f>IFERROR(_xlfn.XLOOKUP(G40,Listas!E:E,Listas!F:F,""),"")</f>
        <v>Operativo</v>
      </c>
      <c r="I40" s="47" t="str">
        <f>IFERROR(_xlfn.XLOOKUP(G40,Listas!E:E,Listas!G:G,""),"")</f>
        <v>Interno</v>
      </c>
      <c r="J40" s="44">
        <v>15321.74</v>
      </c>
      <c r="K40" s="5">
        <v>15321.74</v>
      </c>
      <c r="L40" s="6" t="s">
        <v>93</v>
      </c>
      <c r="M40" s="45">
        <v>19325.849999999999</v>
      </c>
      <c r="N40" s="68">
        <f>IF(tblMovimientos[[#This Row],[Tipo de Movimiento]]="Ingreso",tblMovimientos[[#This Row],[Monto (S/)]],"0")</f>
        <v>15321.74</v>
      </c>
      <c r="O40" s="68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40">
        <v>46149</v>
      </c>
      <c r="C41" s="4" t="s">
        <v>20</v>
      </c>
      <c r="D41" s="41" t="s">
        <v>100</v>
      </c>
      <c r="E41" s="4" t="s">
        <v>36</v>
      </c>
      <c r="F41" s="42" t="s">
        <v>10</v>
      </c>
      <c r="G41" s="41" t="s">
        <v>51</v>
      </c>
      <c r="H41" s="4" t="str">
        <f>IFERROR(_xlfn.XLOOKUP(G41,Listas!E:E,Listas!F:F,""),"")</f>
        <v>Financiamiento</v>
      </c>
      <c r="I41" s="47" t="str">
        <f>IFERROR(_xlfn.XLOOKUP(G41,Listas!E:E,Listas!G:G,""),"")</f>
        <v>Externo</v>
      </c>
      <c r="J41" s="44">
        <v>15321.74</v>
      </c>
      <c r="K41" s="5">
        <v>-15321.74</v>
      </c>
      <c r="L41" s="6" t="s">
        <v>93</v>
      </c>
      <c r="M41" s="45">
        <v>274668.55999999994</v>
      </c>
      <c r="N41" s="68" t="str">
        <f>IF(tblMovimientos[[#This Row],[Tipo de Movimiento]]="Ingreso",tblMovimientos[[#This Row],[Monto (S/)]],"0")</f>
        <v>0</v>
      </c>
      <c r="O41" s="68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40">
        <v>46149</v>
      </c>
      <c r="C42" s="4" t="s">
        <v>20</v>
      </c>
      <c r="D42" s="41" t="s">
        <v>100</v>
      </c>
      <c r="E42" s="4" t="s">
        <v>36</v>
      </c>
      <c r="F42" s="42" t="s">
        <v>10</v>
      </c>
      <c r="G42" s="41" t="s">
        <v>59</v>
      </c>
      <c r="H42" s="4" t="str">
        <f>IFERROR(_xlfn.XLOOKUP(G42,Listas!E:E,Listas!F:F,""),"")</f>
        <v>Inversion</v>
      </c>
      <c r="I42" s="47" t="str">
        <f>IFERROR(_xlfn.XLOOKUP(G42,Listas!E:E,Listas!G:G,""),"")</f>
        <v>Externo</v>
      </c>
      <c r="J42" s="44">
        <v>700000</v>
      </c>
      <c r="K42" s="5">
        <v>-700000</v>
      </c>
      <c r="L42" s="6" t="s">
        <v>93</v>
      </c>
      <c r="M42" s="45">
        <v>274668.55999999994</v>
      </c>
      <c r="N42" s="68" t="str">
        <f>IF(tblMovimientos[[#This Row],[Tipo de Movimiento]]="Ingreso",tblMovimientos[[#This Row],[Monto (S/)]],"0")</f>
        <v>0</v>
      </c>
      <c r="O42" s="68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40">
        <v>46149</v>
      </c>
      <c r="C43" s="4" t="s">
        <v>17</v>
      </c>
      <c r="D43" s="41" t="s">
        <v>94</v>
      </c>
      <c r="E43" s="4" t="s">
        <v>36</v>
      </c>
      <c r="F43" s="42" t="s">
        <v>10</v>
      </c>
      <c r="G43" s="41" t="s">
        <v>50</v>
      </c>
      <c r="H43" s="4" t="str">
        <f>IFERROR(_xlfn.XLOOKUP(G43,Listas!E:E,Listas!F:F,""),"")</f>
        <v>Financiamiento</v>
      </c>
      <c r="I43" s="47" t="str">
        <f>IFERROR(_xlfn.XLOOKUP(G43,Listas!E:E,Listas!G:G,""),"")</f>
        <v>Externo</v>
      </c>
      <c r="J43" s="44">
        <v>10000</v>
      </c>
      <c r="K43" s="5">
        <v>-10000</v>
      </c>
      <c r="L43" s="6" t="s">
        <v>93</v>
      </c>
      <c r="M43" s="45">
        <v>2689.0499999999884</v>
      </c>
      <c r="N43" s="68" t="str">
        <f>IF(tblMovimientos[[#This Row],[Tipo de Movimiento]]="Ingreso",tblMovimientos[[#This Row],[Monto (S/)]],"0")</f>
        <v>0</v>
      </c>
      <c r="O43" s="68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40">
        <v>46149</v>
      </c>
      <c r="C44" s="4" t="s">
        <v>17</v>
      </c>
      <c r="D44" s="41" t="s">
        <v>94</v>
      </c>
      <c r="E44" s="4" t="s">
        <v>36</v>
      </c>
      <c r="F44" s="42" t="s">
        <v>10</v>
      </c>
      <c r="G44" s="41" t="s">
        <v>50</v>
      </c>
      <c r="H44" s="4" t="str">
        <f>IFERROR(_xlfn.XLOOKUP(G44,Listas!E:E,Listas!F:F,""),"")</f>
        <v>Financiamiento</v>
      </c>
      <c r="I44" s="47" t="str">
        <f>IFERROR(_xlfn.XLOOKUP(G44,Listas!E:E,Listas!G:G,""),"")</f>
        <v>Externo</v>
      </c>
      <c r="J44" s="44">
        <v>10000</v>
      </c>
      <c r="K44" s="5">
        <v>-10000</v>
      </c>
      <c r="L44" s="6" t="s">
        <v>93</v>
      </c>
      <c r="M44" s="45">
        <v>2689.0499999999884</v>
      </c>
      <c r="N44" s="68" t="str">
        <f>IF(tblMovimientos[[#This Row],[Tipo de Movimiento]]="Ingreso",tblMovimientos[[#This Row],[Monto (S/)]],"0")</f>
        <v>0</v>
      </c>
      <c r="O44" s="68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40">
        <v>46149</v>
      </c>
      <c r="C45" s="4" t="s">
        <v>32</v>
      </c>
      <c r="D45" s="41" t="s">
        <v>123</v>
      </c>
      <c r="E45" s="4" t="s">
        <v>36</v>
      </c>
      <c r="F45" s="42" t="s">
        <v>9</v>
      </c>
      <c r="G45" s="41" t="s">
        <v>71</v>
      </c>
      <c r="H45" s="4" t="str">
        <f>IFERROR(_xlfn.XLOOKUP(G45,Listas!E:E,Listas!F:F,""),"")</f>
        <v>Operativo</v>
      </c>
      <c r="I45" s="47" t="str">
        <f>IFERROR(_xlfn.XLOOKUP(G45,Listas!E:E,Listas!G:G,""),"")</f>
        <v>Interno</v>
      </c>
      <c r="J45" s="44">
        <v>10000</v>
      </c>
      <c r="K45" s="5">
        <v>10000</v>
      </c>
      <c r="L45" s="6" t="s">
        <v>93</v>
      </c>
      <c r="M45" s="45">
        <v>15135.060000000001</v>
      </c>
      <c r="N45" s="68">
        <f>IF(tblMovimientos[[#This Row],[Tipo de Movimiento]]="Ingreso",tblMovimientos[[#This Row],[Monto (S/)]],"0")</f>
        <v>10000</v>
      </c>
      <c r="O45" s="68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40">
        <v>46149</v>
      </c>
      <c r="C46" s="4" t="s">
        <v>33</v>
      </c>
      <c r="D46" s="41" t="s">
        <v>124</v>
      </c>
      <c r="E46" s="4" t="s">
        <v>36</v>
      </c>
      <c r="F46" s="42" t="s">
        <v>9</v>
      </c>
      <c r="G46" s="41" t="s">
        <v>71</v>
      </c>
      <c r="H46" s="4" t="str">
        <f>IFERROR(_xlfn.XLOOKUP(G46,Listas!E:E,Listas!F:F,""),"")</f>
        <v>Operativo</v>
      </c>
      <c r="I46" s="47" t="str">
        <f>IFERROR(_xlfn.XLOOKUP(G46,Listas!E:E,Listas!G:G,""),"")</f>
        <v>Interno</v>
      </c>
      <c r="J46" s="44">
        <v>10000</v>
      </c>
      <c r="K46" s="5">
        <v>10000</v>
      </c>
      <c r="L46" s="6" t="s">
        <v>93</v>
      </c>
      <c r="M46" s="45">
        <v>31338.39</v>
      </c>
      <c r="N46" s="68">
        <f>IF(tblMovimientos[[#This Row],[Tipo de Movimiento]]="Ingreso",tblMovimientos[[#This Row],[Monto (S/)]],"0")</f>
        <v>10000</v>
      </c>
      <c r="O46" s="68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40">
        <v>46149</v>
      </c>
      <c r="C47" s="4" t="s">
        <v>18</v>
      </c>
      <c r="D47" s="41" t="s">
        <v>97</v>
      </c>
      <c r="E47" s="4" t="s">
        <v>37</v>
      </c>
      <c r="F47" s="42" t="s">
        <v>10</v>
      </c>
      <c r="G47" s="41" t="s">
        <v>50</v>
      </c>
      <c r="H47" s="4" t="str">
        <f>IFERROR(_xlfn.XLOOKUP(G47,Listas!E:E,Listas!F:F,""),"")</f>
        <v>Financiamiento</v>
      </c>
      <c r="I47" s="47" t="str">
        <f>IFERROR(_xlfn.XLOOKUP(G47,Listas!E:E,Listas!G:G,""),"")</f>
        <v>Externo</v>
      </c>
      <c r="J47" s="44">
        <v>570000</v>
      </c>
      <c r="K47" s="5">
        <v>-570000</v>
      </c>
      <c r="L47" s="6" t="s">
        <v>93</v>
      </c>
      <c r="M47" s="45">
        <v>51288.029999999941</v>
      </c>
      <c r="N47" s="68" t="str">
        <f>IF(tblMovimientos[[#This Row],[Tipo de Movimiento]]="Ingreso",tblMovimientos[[#This Row],[Monto (S/)]],"0")</f>
        <v>0</v>
      </c>
      <c r="O47" s="68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40">
        <v>46149</v>
      </c>
      <c r="C48" s="4" t="s">
        <v>17</v>
      </c>
      <c r="D48" s="41" t="s">
        <v>95</v>
      </c>
      <c r="E48" s="4" t="s">
        <v>37</v>
      </c>
      <c r="F48" s="42" t="s">
        <v>9</v>
      </c>
      <c r="G48" s="41" t="s">
        <v>71</v>
      </c>
      <c r="H48" s="4" t="str">
        <f>IFERROR(_xlfn.XLOOKUP(G48,Listas!E:E,Listas!F:F,""),"")</f>
        <v>Operativo</v>
      </c>
      <c r="I48" s="47" t="str">
        <f>IFERROR(_xlfn.XLOOKUP(G48,Listas!E:E,Listas!G:G,""),"")</f>
        <v>Interno</v>
      </c>
      <c r="J48" s="44">
        <v>570000</v>
      </c>
      <c r="K48" s="5">
        <v>570000</v>
      </c>
      <c r="L48" s="6" t="s">
        <v>93</v>
      </c>
      <c r="M48" s="45">
        <v>439799.53000000026</v>
      </c>
      <c r="N48" s="68">
        <f>IF(tblMovimientos[[#This Row],[Tipo de Movimiento]]="Ingreso",tblMovimientos[[#This Row],[Monto (S/)]],"0")</f>
        <v>570000</v>
      </c>
      <c r="O48" s="68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40">
        <v>46149</v>
      </c>
      <c r="C49" s="4" t="s">
        <v>17</v>
      </c>
      <c r="D49" s="41" t="s">
        <v>95</v>
      </c>
      <c r="E49" s="4" t="s">
        <v>37</v>
      </c>
      <c r="F49" s="42" t="s">
        <v>10</v>
      </c>
      <c r="G49" s="41" t="s">
        <v>61</v>
      </c>
      <c r="H49" s="4" t="str">
        <f>IFERROR(_xlfn.XLOOKUP(G49,Listas!E:E,Listas!F:F,""),"")</f>
        <v>Operativo</v>
      </c>
      <c r="I49" s="47" t="str">
        <f>IFERROR(_xlfn.XLOOKUP(G49,Listas!E:E,Listas!G:G,""),"")</f>
        <v>Externo</v>
      </c>
      <c r="J49" s="44">
        <v>30000</v>
      </c>
      <c r="K49" s="5">
        <v>-30000</v>
      </c>
      <c r="L49" s="6" t="s">
        <v>93</v>
      </c>
      <c r="M49" s="45">
        <v>439799.53000000026</v>
      </c>
      <c r="N49" s="68" t="str">
        <f>IF(tblMovimientos[[#This Row],[Tipo de Movimiento]]="Ingreso",tblMovimientos[[#This Row],[Monto (S/)]],"0")</f>
        <v>0</v>
      </c>
      <c r="O49" s="68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40">
        <v>46149</v>
      </c>
      <c r="C50" s="4" t="s">
        <v>17</v>
      </c>
      <c r="D50" s="41" t="s">
        <v>95</v>
      </c>
      <c r="E50" s="4" t="s">
        <v>37</v>
      </c>
      <c r="F50" s="42" t="s">
        <v>10</v>
      </c>
      <c r="G50" s="41" t="s">
        <v>61</v>
      </c>
      <c r="H50" s="4" t="str">
        <f>IFERROR(_xlfn.XLOOKUP(G50,Listas!E:E,Listas!F:F,""),"")</f>
        <v>Operativo</v>
      </c>
      <c r="I50" s="47" t="str">
        <f>IFERROR(_xlfn.XLOOKUP(G50,Listas!E:E,Listas!G:G,""),"")</f>
        <v>Externo</v>
      </c>
      <c r="J50" s="44">
        <v>70000</v>
      </c>
      <c r="K50" s="5">
        <v>-70000</v>
      </c>
      <c r="L50" s="6" t="s">
        <v>93</v>
      </c>
      <c r="M50" s="45">
        <v>439799.53000000026</v>
      </c>
      <c r="N50" s="68" t="str">
        <f>IF(tblMovimientos[[#This Row],[Tipo de Movimiento]]="Ingreso",tblMovimientos[[#This Row],[Monto (S/)]],"0")</f>
        <v>0</v>
      </c>
      <c r="O50" s="68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40">
        <v>46149</v>
      </c>
      <c r="C51" s="4" t="s">
        <v>17</v>
      </c>
      <c r="D51" s="41" t="s">
        <v>95</v>
      </c>
      <c r="E51" s="4" t="s">
        <v>37</v>
      </c>
      <c r="F51" s="42" t="s">
        <v>10</v>
      </c>
      <c r="G51" s="41" t="s">
        <v>61</v>
      </c>
      <c r="H51" s="4" t="str">
        <f>IFERROR(_xlfn.XLOOKUP(G51,Listas!E:E,Listas!F:F,""),"")</f>
        <v>Operativo</v>
      </c>
      <c r="I51" s="47" t="str">
        <f>IFERROR(_xlfn.XLOOKUP(G51,Listas!E:E,Listas!G:G,""),"")</f>
        <v>Externo</v>
      </c>
      <c r="J51" s="44">
        <v>100000</v>
      </c>
      <c r="K51" s="5">
        <v>-100000</v>
      </c>
      <c r="L51" s="6" t="s">
        <v>93</v>
      </c>
      <c r="M51" s="45">
        <v>439799.53000000026</v>
      </c>
      <c r="N51" s="68" t="str">
        <f>IF(tblMovimientos[[#This Row],[Tipo de Movimiento]]="Ingreso",tblMovimientos[[#This Row],[Monto (S/)]],"0")</f>
        <v>0</v>
      </c>
      <c r="O51" s="68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40">
        <v>46149</v>
      </c>
      <c r="C52" s="4" t="s">
        <v>17</v>
      </c>
      <c r="D52" s="41" t="s">
        <v>95</v>
      </c>
      <c r="E52" s="4" t="s">
        <v>37</v>
      </c>
      <c r="F52" s="42" t="s">
        <v>10</v>
      </c>
      <c r="G52" s="41" t="s">
        <v>61</v>
      </c>
      <c r="H52" s="4" t="str">
        <f>IFERROR(_xlfn.XLOOKUP(G52,Listas!E:E,Listas!F:F,""),"")</f>
        <v>Operativo</v>
      </c>
      <c r="I52" s="47" t="str">
        <f>IFERROR(_xlfn.XLOOKUP(G52,Listas!E:E,Listas!G:G,""),"")</f>
        <v>Externo</v>
      </c>
      <c r="J52" s="44">
        <v>100000</v>
      </c>
      <c r="K52" s="5">
        <v>-100000</v>
      </c>
      <c r="L52" s="6" t="s">
        <v>93</v>
      </c>
      <c r="M52" s="45">
        <v>439799.53000000026</v>
      </c>
      <c r="N52" s="68" t="str">
        <f>IF(tblMovimientos[[#This Row],[Tipo de Movimiento]]="Ingreso",tblMovimientos[[#This Row],[Monto (S/)]],"0")</f>
        <v>0</v>
      </c>
      <c r="O52" s="68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40">
        <v>46149</v>
      </c>
      <c r="C53" s="4" t="s">
        <v>21</v>
      </c>
      <c r="D53" s="41" t="s">
        <v>104</v>
      </c>
      <c r="E53" s="4" t="s">
        <v>37</v>
      </c>
      <c r="F53" s="42" t="s">
        <v>10</v>
      </c>
      <c r="G53" s="41" t="s">
        <v>56</v>
      </c>
      <c r="H53" s="4" t="str">
        <f>IFERROR(_xlfn.XLOOKUP(G53,Listas!E:E,Listas!F:F,""),"")</f>
        <v>Inversion</v>
      </c>
      <c r="I53" s="47" t="str">
        <f>IFERROR(_xlfn.XLOOKUP(G53,Listas!E:E,Listas!G:G,""),"")</f>
        <v>Externo</v>
      </c>
      <c r="J53" s="44">
        <v>13706.66</v>
      </c>
      <c r="K53" s="5">
        <v>-13706.66</v>
      </c>
      <c r="L53" s="6" t="s">
        <v>93</v>
      </c>
      <c r="M53" s="45">
        <v>148736.90999999936</v>
      </c>
      <c r="N53" s="68" t="str">
        <f>IF(tblMovimientos[[#This Row],[Tipo de Movimiento]]="Ingreso",tblMovimientos[[#This Row],[Monto (S/)]],"0")</f>
        <v>0</v>
      </c>
      <c r="O53" s="68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40">
        <v>46149</v>
      </c>
      <c r="C54" s="4" t="s">
        <v>21</v>
      </c>
      <c r="D54" s="41" t="s">
        <v>104</v>
      </c>
      <c r="E54" s="4" t="s">
        <v>37</v>
      </c>
      <c r="F54" s="42" t="s">
        <v>10</v>
      </c>
      <c r="G54" s="41" t="s">
        <v>56</v>
      </c>
      <c r="H54" s="4" t="str">
        <f>IFERROR(_xlfn.XLOOKUP(G54,Listas!E:E,Listas!F:F,""),"")</f>
        <v>Inversion</v>
      </c>
      <c r="I54" s="47" t="str">
        <f>IFERROR(_xlfn.XLOOKUP(G54,Listas!E:E,Listas!G:G,""),"")</f>
        <v>Externo</v>
      </c>
      <c r="J54" s="44">
        <v>36240</v>
      </c>
      <c r="K54" s="5">
        <v>-36240</v>
      </c>
      <c r="L54" s="6" t="s">
        <v>93</v>
      </c>
      <c r="M54" s="45">
        <v>148736.90999999936</v>
      </c>
      <c r="N54" s="68" t="str">
        <f>IF(tblMovimientos[[#This Row],[Tipo de Movimiento]]="Ingreso",tblMovimientos[[#This Row],[Monto (S/)]],"0")</f>
        <v>0</v>
      </c>
      <c r="O54" s="68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40">
        <v>46149</v>
      </c>
      <c r="C55" s="4" t="s">
        <v>23</v>
      </c>
      <c r="D55" s="41" t="s">
        <v>112</v>
      </c>
      <c r="E55" s="4" t="s">
        <v>36</v>
      </c>
      <c r="F55" s="42" t="s">
        <v>9</v>
      </c>
      <c r="G55" s="41" t="s">
        <v>67</v>
      </c>
      <c r="H55" s="4" t="str">
        <f>IFERROR(_xlfn.XLOOKUP(G55,Listas!E:E,Listas!F:F,""),"")</f>
        <v>Inversion</v>
      </c>
      <c r="I55" s="47" t="str">
        <f>IFERROR(_xlfn.XLOOKUP(G55,Listas!E:E,Listas!G:G,""),"")</f>
        <v>Interno</v>
      </c>
      <c r="J55" s="44">
        <v>700000</v>
      </c>
      <c r="K55" s="5">
        <v>700000</v>
      </c>
      <c r="L55" s="6" t="s">
        <v>93</v>
      </c>
      <c r="M55" s="45">
        <v>1513088.59</v>
      </c>
      <c r="N55" s="68">
        <f>IF(tblMovimientos[[#This Row],[Tipo de Movimiento]]="Ingreso",tblMovimientos[[#This Row],[Monto (S/)]],"0")</f>
        <v>700000</v>
      </c>
      <c r="O55" s="68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40">
        <v>46150</v>
      </c>
      <c r="C56" s="4" t="s">
        <v>21</v>
      </c>
      <c r="D56" s="41" t="s">
        <v>104</v>
      </c>
      <c r="E56" s="4" t="s">
        <v>37</v>
      </c>
      <c r="F56" s="42" t="s">
        <v>10</v>
      </c>
      <c r="G56" s="41" t="s">
        <v>44</v>
      </c>
      <c r="H56" s="4" t="str">
        <f>IFERROR(_xlfn.XLOOKUP(G56,Listas!E:E,Listas!F:F,""),"")</f>
        <v>Operativo</v>
      </c>
      <c r="I56" s="47" t="str">
        <f>IFERROR(_xlfn.XLOOKUP(G56,Listas!E:E,Listas!G:G,""),"")</f>
        <v>Externo</v>
      </c>
      <c r="J56" s="44">
        <v>2382.7199999999998</v>
      </c>
      <c r="K56" s="5">
        <v>-2382.7199999999998</v>
      </c>
      <c r="L56" s="6" t="s">
        <v>93</v>
      </c>
      <c r="M56" s="45">
        <v>146354.18999999936</v>
      </c>
      <c r="N56" s="68" t="str">
        <f>IF(tblMovimientos[[#This Row],[Tipo de Movimiento]]="Ingreso",tblMovimientos[[#This Row],[Monto (S/)]],"0")</f>
        <v>0</v>
      </c>
      <c r="O56" s="68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0">
        <v>46150</v>
      </c>
      <c r="C57" s="4" t="s">
        <v>20</v>
      </c>
      <c r="D57" s="41" t="s">
        <v>100</v>
      </c>
      <c r="E57" s="4" t="s">
        <v>36</v>
      </c>
      <c r="F57" s="42" t="s">
        <v>9</v>
      </c>
      <c r="G57" s="41" t="s">
        <v>70</v>
      </c>
      <c r="H57" s="4" t="str">
        <f>IFERROR(_xlfn.XLOOKUP(G57,Listas!E:E,Listas!F:F,""),"")</f>
        <v>Operativo</v>
      </c>
      <c r="I57" s="47" t="str">
        <f>IFERROR(_xlfn.XLOOKUP(G57,Listas!E:E,Listas!G:G,""),"")</f>
        <v>Externo</v>
      </c>
      <c r="J57" s="44">
        <v>500000</v>
      </c>
      <c r="K57" s="5">
        <v>500000</v>
      </c>
      <c r="L57" s="6" t="s">
        <v>93</v>
      </c>
      <c r="M57" s="45">
        <v>792366.49999999988</v>
      </c>
      <c r="N57" s="68">
        <f>IF(tblMovimientos[[#This Row],[Tipo de Movimiento]]="Ingreso",tblMovimientos[[#This Row],[Monto (S/)]],"0")</f>
        <v>500000</v>
      </c>
      <c r="O57" s="68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40">
        <v>46150</v>
      </c>
      <c r="C58" s="4" t="s">
        <v>20</v>
      </c>
      <c r="D58" s="41" t="s">
        <v>100</v>
      </c>
      <c r="E58" s="4" t="s">
        <v>36</v>
      </c>
      <c r="F58" s="42" t="s">
        <v>9</v>
      </c>
      <c r="G58" s="41" t="s">
        <v>68</v>
      </c>
      <c r="H58" s="4" t="str">
        <f>IFERROR(_xlfn.XLOOKUP(G58,Listas!E:E,Listas!F:F,""),"")</f>
        <v>Operativo</v>
      </c>
      <c r="I58" s="47" t="str">
        <f>IFERROR(_xlfn.XLOOKUP(G58,Listas!E:E,Listas!G:G,""),"")</f>
        <v>Externo</v>
      </c>
      <c r="J58" s="44">
        <v>17697.939999999999</v>
      </c>
      <c r="K58" s="5">
        <v>17697.939999999999</v>
      </c>
      <c r="L58" s="6" t="s">
        <v>93</v>
      </c>
      <c r="M58" s="45">
        <v>792366.49999999988</v>
      </c>
      <c r="N58" s="68">
        <f>IF(tblMovimientos[[#This Row],[Tipo de Movimiento]]="Ingreso",tblMovimientos[[#This Row],[Monto (S/)]],"0")</f>
        <v>17697.939999999999</v>
      </c>
      <c r="O58" s="68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0">
        <v>46150</v>
      </c>
      <c r="C59" s="4" t="s">
        <v>17</v>
      </c>
      <c r="D59" s="41" t="s">
        <v>94</v>
      </c>
      <c r="E59" s="4" t="s">
        <v>36</v>
      </c>
      <c r="F59" s="42" t="s">
        <v>9</v>
      </c>
      <c r="G59" s="41" t="s">
        <v>68</v>
      </c>
      <c r="H59" s="4" t="str">
        <f>IFERROR(_xlfn.XLOOKUP(G59,Listas!E:E,Listas!F:F,""),"")</f>
        <v>Operativo</v>
      </c>
      <c r="I59" s="47" t="str">
        <f>IFERROR(_xlfn.XLOOKUP(G59,Listas!E:E,Listas!G:G,""),"")</f>
        <v>Externo</v>
      </c>
      <c r="J59" s="44">
        <v>65164.32</v>
      </c>
      <c r="K59" s="5">
        <v>65164.32</v>
      </c>
      <c r="L59" s="6" t="s">
        <v>93</v>
      </c>
      <c r="M59" s="45">
        <v>67853.37</v>
      </c>
      <c r="N59" s="68">
        <f>IF(tblMovimientos[[#This Row],[Tipo de Movimiento]]="Ingreso",tblMovimientos[[#This Row],[Monto (S/)]],"0")</f>
        <v>65164.32</v>
      </c>
      <c r="O59" s="68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40">
        <v>46150</v>
      </c>
      <c r="C60" s="4" t="s">
        <v>31</v>
      </c>
      <c r="D60" s="41" t="s">
        <v>121</v>
      </c>
      <c r="E60" s="4" t="s">
        <v>36</v>
      </c>
      <c r="F60" s="42" t="s">
        <v>10</v>
      </c>
      <c r="G60" s="41" t="s">
        <v>38</v>
      </c>
      <c r="H60" s="4" t="str">
        <f>IFERROR(_xlfn.XLOOKUP(G60,Listas!E:E,Listas!F:F,""),"")</f>
        <v>Operativo</v>
      </c>
      <c r="I60" s="47" t="str">
        <f>IFERROR(_xlfn.XLOOKUP(G60,Listas!E:E,Listas!G:G,""),"")</f>
        <v>Externo</v>
      </c>
      <c r="J60" s="44">
        <v>2625</v>
      </c>
      <c r="K60" s="5">
        <v>-2625</v>
      </c>
      <c r="L60" s="6" t="s">
        <v>93</v>
      </c>
      <c r="M60" s="45">
        <v>20252.179999999964</v>
      </c>
      <c r="N60" s="68" t="str">
        <f>IF(tblMovimientos[[#This Row],[Tipo de Movimiento]]="Ingreso",tblMovimientos[[#This Row],[Monto (S/)]],"0")</f>
        <v>0</v>
      </c>
      <c r="O60" s="68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40">
        <v>46150</v>
      </c>
      <c r="C61" s="4" t="s">
        <v>31</v>
      </c>
      <c r="D61" s="41" t="s">
        <v>121</v>
      </c>
      <c r="E61" s="4" t="s">
        <v>36</v>
      </c>
      <c r="F61" s="42" t="s">
        <v>10</v>
      </c>
      <c r="G61" s="41" t="s">
        <v>44</v>
      </c>
      <c r="H61" s="4" t="str">
        <f>IFERROR(_xlfn.XLOOKUP(G61,Listas!E:E,Listas!F:F,""),"")</f>
        <v>Operativo</v>
      </c>
      <c r="I61" s="47" t="str">
        <f>IFERROR(_xlfn.XLOOKUP(G61,Listas!E:E,Listas!G:G,""),"")</f>
        <v>Externo</v>
      </c>
      <c r="J61" s="44">
        <v>30</v>
      </c>
      <c r="K61" s="5">
        <v>-30</v>
      </c>
      <c r="L61" s="6" t="s">
        <v>93</v>
      </c>
      <c r="M61" s="45">
        <v>20252.179999999964</v>
      </c>
      <c r="N61" s="68" t="str">
        <f>IF(tblMovimientos[[#This Row],[Tipo de Movimiento]]="Ingreso",tblMovimientos[[#This Row],[Monto (S/)]],"0")</f>
        <v>0</v>
      </c>
      <c r="O61" s="68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40">
        <v>46150</v>
      </c>
      <c r="C62" s="4" t="s">
        <v>32</v>
      </c>
      <c r="D62" s="41" t="s">
        <v>123</v>
      </c>
      <c r="E62" s="4" t="s">
        <v>36</v>
      </c>
      <c r="F62" s="42" t="s">
        <v>10</v>
      </c>
      <c r="G62" s="41" t="s">
        <v>44</v>
      </c>
      <c r="H62" s="4" t="str">
        <f>IFERROR(_xlfn.XLOOKUP(G62,Listas!E:E,Listas!F:F,""),"")</f>
        <v>Operativo</v>
      </c>
      <c r="I62" s="47" t="str">
        <f>IFERROR(_xlfn.XLOOKUP(G62,Listas!E:E,Listas!G:G,""),"")</f>
        <v>Externo</v>
      </c>
      <c r="J62" s="44">
        <v>15</v>
      </c>
      <c r="K62" s="5">
        <v>-15</v>
      </c>
      <c r="L62" s="6" t="s">
        <v>93</v>
      </c>
      <c r="M62" s="45">
        <v>15120.060000000001</v>
      </c>
      <c r="N62" s="68" t="str">
        <f>IF(tblMovimientos[[#This Row],[Tipo de Movimiento]]="Ingreso",tblMovimientos[[#This Row],[Monto (S/)]],"0")</f>
        <v>0</v>
      </c>
      <c r="O62" s="68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40">
        <v>46150</v>
      </c>
      <c r="C63" s="4" t="s">
        <v>33</v>
      </c>
      <c r="D63" s="41" t="s">
        <v>124</v>
      </c>
      <c r="E63" s="4" t="s">
        <v>36</v>
      </c>
      <c r="F63" s="42" t="s">
        <v>10</v>
      </c>
      <c r="G63" s="41" t="s">
        <v>44</v>
      </c>
      <c r="H63" s="4" t="str">
        <f>IFERROR(_xlfn.XLOOKUP(G63,Listas!E:E,Listas!F:F,""),"")</f>
        <v>Operativo</v>
      </c>
      <c r="I63" s="47" t="str">
        <f>IFERROR(_xlfn.XLOOKUP(G63,Listas!E:E,Listas!G:G,""),"")</f>
        <v>Externo</v>
      </c>
      <c r="J63" s="44">
        <v>15</v>
      </c>
      <c r="K63" s="5">
        <v>-15</v>
      </c>
      <c r="L63" s="6" t="s">
        <v>93</v>
      </c>
      <c r="M63" s="45">
        <v>31323.39</v>
      </c>
      <c r="N63" s="68" t="str">
        <f>IF(tblMovimientos[[#This Row],[Tipo de Movimiento]]="Ingreso",tblMovimientos[[#This Row],[Monto (S/)]],"0")</f>
        <v>0</v>
      </c>
      <c r="O63" s="68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40">
        <v>46150</v>
      </c>
      <c r="C64" s="4" t="s">
        <v>18</v>
      </c>
      <c r="D64" s="41" t="s">
        <v>97</v>
      </c>
      <c r="E64" s="4" t="s">
        <v>37</v>
      </c>
      <c r="F64" s="42" t="s">
        <v>9</v>
      </c>
      <c r="G64" s="41" t="s">
        <v>68</v>
      </c>
      <c r="H64" s="4" t="str">
        <f>IFERROR(_xlfn.XLOOKUP(G64,Listas!E:E,Listas!F:F,""),"")</f>
        <v>Operativo</v>
      </c>
      <c r="I64" s="47" t="str">
        <f>IFERROR(_xlfn.XLOOKUP(G64,Listas!E:E,Listas!G:G,""),"")</f>
        <v>Externo</v>
      </c>
      <c r="J64" s="44">
        <v>2552.06</v>
      </c>
      <c r="K64" s="5">
        <v>2552.06</v>
      </c>
      <c r="L64" s="6" t="s">
        <v>93</v>
      </c>
      <c r="M64" s="45">
        <v>53840.089999999938</v>
      </c>
      <c r="N64" s="68">
        <f>IF(tblMovimientos[[#This Row],[Tipo de Movimiento]]="Ingreso",tblMovimientos[[#This Row],[Monto (S/)]],"0")</f>
        <v>2552.06</v>
      </c>
      <c r="O64" s="68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40">
        <v>46150</v>
      </c>
      <c r="C65" s="4" t="s">
        <v>35</v>
      </c>
      <c r="D65" s="41" t="s">
        <v>126</v>
      </c>
      <c r="E65" s="4" t="s">
        <v>37</v>
      </c>
      <c r="F65" s="42" t="s">
        <v>9</v>
      </c>
      <c r="G65" s="41" t="s">
        <v>77</v>
      </c>
      <c r="H65" s="4" t="str">
        <f>IFERROR(_xlfn.XLOOKUP(G65,Listas!E:E,Listas!F:F,""),"")</f>
        <v>Inversion</v>
      </c>
      <c r="I65" s="47" t="str">
        <f>IFERROR(_xlfn.XLOOKUP(G65,Listas!E:E,Listas!G:G,""),"")</f>
        <v>Interno</v>
      </c>
      <c r="J65" s="44">
        <v>15000</v>
      </c>
      <c r="K65" s="5">
        <v>15000</v>
      </c>
      <c r="L65" s="6" t="s">
        <v>93</v>
      </c>
      <c r="M65" s="45">
        <v>23782.25</v>
      </c>
      <c r="N65" s="68">
        <f>IF(tblMovimientos[[#This Row],[Tipo de Movimiento]]="Ingreso",tblMovimientos[[#This Row],[Monto (S/)]],"0")</f>
        <v>15000</v>
      </c>
      <c r="O65" s="68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40">
        <v>46150</v>
      </c>
      <c r="C66" s="4" t="s">
        <v>23</v>
      </c>
      <c r="D66" s="41" t="s">
        <v>112</v>
      </c>
      <c r="E66" s="4" t="s">
        <v>36</v>
      </c>
      <c r="F66" s="42" t="s">
        <v>10</v>
      </c>
      <c r="G66" s="41" t="s">
        <v>59</v>
      </c>
      <c r="H66" s="4" t="str">
        <f>IFERROR(_xlfn.XLOOKUP(G66,Listas!E:E,Listas!F:F,""),"")</f>
        <v>Inversion</v>
      </c>
      <c r="I66" s="47" t="str">
        <f>IFERROR(_xlfn.XLOOKUP(G66,Listas!E:E,Listas!G:G,""),"")</f>
        <v>Externo</v>
      </c>
      <c r="J66" s="44">
        <v>1500000</v>
      </c>
      <c r="K66" s="5">
        <v>-1500000</v>
      </c>
      <c r="L66" s="6" t="s">
        <v>93</v>
      </c>
      <c r="M66" s="45">
        <v>13088.589999999997</v>
      </c>
      <c r="N66" s="68" t="str">
        <f>IF(tblMovimientos[[#This Row],[Tipo de Movimiento]]="Ingreso",tblMovimientos[[#This Row],[Monto (S/)]],"0")</f>
        <v>0</v>
      </c>
      <c r="O66" s="68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40">
        <v>46150</v>
      </c>
      <c r="C67" s="4" t="s">
        <v>27</v>
      </c>
      <c r="D67" s="41" t="s">
        <v>116</v>
      </c>
      <c r="E67" s="4" t="s">
        <v>155</v>
      </c>
      <c r="F67" s="42" t="s">
        <v>10</v>
      </c>
      <c r="G67" s="41" t="s">
        <v>38</v>
      </c>
      <c r="H67" s="4" t="str">
        <f>IFERROR(_xlfn.XLOOKUP(G67,Listas!E:E,Listas!F:F,""),"")</f>
        <v>Operativo</v>
      </c>
      <c r="I67" s="47" t="str">
        <f>IFERROR(_xlfn.XLOOKUP(G67,Listas!E:E,Listas!G:G,""),"")</f>
        <v>Externo</v>
      </c>
      <c r="J67" s="44">
        <v>15</v>
      </c>
      <c r="K67" s="5">
        <v>-15</v>
      </c>
      <c r="L67" s="6" t="s">
        <v>93</v>
      </c>
      <c r="M67" s="45">
        <v>3349.94</v>
      </c>
      <c r="N67" s="68" t="str">
        <f>IF(tblMovimientos[[#This Row],[Tipo de Movimiento]]="Ingreso",tblMovimientos[[#This Row],[Monto (S/)]],"0")</f>
        <v>0</v>
      </c>
      <c r="O67" s="68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40">
        <v>46153</v>
      </c>
      <c r="C68" s="4" t="s">
        <v>35</v>
      </c>
      <c r="D68" s="41" t="s">
        <v>126</v>
      </c>
      <c r="E68" s="4" t="s">
        <v>37</v>
      </c>
      <c r="F68" s="42" t="s">
        <v>10</v>
      </c>
      <c r="G68" s="41" t="s">
        <v>38</v>
      </c>
      <c r="H68" s="4" t="str">
        <f>IFERROR(_xlfn.XLOOKUP(G68,Listas!E:E,Listas!F:F,""),"")</f>
        <v>Operativo</v>
      </c>
      <c r="I68" s="47" t="str">
        <f>IFERROR(_xlfn.XLOOKUP(G68,Listas!E:E,Listas!G:G,""),"")</f>
        <v>Externo</v>
      </c>
      <c r="J68" s="44">
        <v>20</v>
      </c>
      <c r="K68" s="5">
        <v>-20</v>
      </c>
      <c r="L68" s="6" t="s">
        <v>93</v>
      </c>
      <c r="M68" s="45">
        <v>16956.59</v>
      </c>
      <c r="N68" s="68" t="str">
        <f>IF(tblMovimientos[[#This Row],[Tipo de Movimiento]]="Ingreso",tblMovimientos[[#This Row],[Monto (S/)]],"0")</f>
        <v>0</v>
      </c>
      <c r="O68" s="68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40">
        <v>46153</v>
      </c>
      <c r="C69" s="4" t="s">
        <v>20</v>
      </c>
      <c r="D69" s="41" t="s">
        <v>100</v>
      </c>
      <c r="E69" s="4" t="s">
        <v>36</v>
      </c>
      <c r="F69" s="42" t="s">
        <v>9</v>
      </c>
      <c r="G69" s="41" t="s">
        <v>70</v>
      </c>
      <c r="H69" s="4" t="str">
        <f>IFERROR(_xlfn.XLOOKUP(G69,Listas!E:E,Listas!F:F,""),"")</f>
        <v>Operativo</v>
      </c>
      <c r="I69" s="47" t="str">
        <f>IFERROR(_xlfn.XLOOKUP(G69,Listas!E:E,Listas!G:G,""),"")</f>
        <v>Externo</v>
      </c>
      <c r="J69" s="44">
        <v>576000</v>
      </c>
      <c r="K69" s="5">
        <v>576000</v>
      </c>
      <c r="L69" s="6" t="s">
        <v>93</v>
      </c>
      <c r="M69" s="45">
        <v>1368366.5</v>
      </c>
      <c r="N69" s="68">
        <f>IF(tblMovimientos[[#This Row],[Tipo de Movimiento]]="Ingreso",tblMovimientos[[#This Row],[Monto (S/)]],"0")</f>
        <v>576000</v>
      </c>
      <c r="O69" s="68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40">
        <v>46153</v>
      </c>
      <c r="C70" s="4" t="s">
        <v>31</v>
      </c>
      <c r="D70" s="41" t="s">
        <v>121</v>
      </c>
      <c r="E70" s="4" t="s">
        <v>36</v>
      </c>
      <c r="F70" s="42" t="s">
        <v>10</v>
      </c>
      <c r="G70" s="41" t="s">
        <v>38</v>
      </c>
      <c r="H70" s="4" t="str">
        <f>IFERROR(_xlfn.XLOOKUP(G70,Listas!E:E,Listas!F:F,""),"")</f>
        <v>Operativo</v>
      </c>
      <c r="I70" s="47" t="str">
        <f>IFERROR(_xlfn.XLOOKUP(G70,Listas!E:E,Listas!G:G,""),"")</f>
        <v>Externo</v>
      </c>
      <c r="J70" s="44">
        <v>1500</v>
      </c>
      <c r="K70" s="5">
        <v>-1500</v>
      </c>
      <c r="L70" s="6" t="s">
        <v>93</v>
      </c>
      <c r="M70" s="45">
        <v>18752.179999999964</v>
      </c>
      <c r="N70" s="68" t="str">
        <f>IF(tblMovimientos[[#This Row],[Tipo de Movimiento]]="Ingreso",tblMovimientos[[#This Row],[Monto (S/)]],"0")</f>
        <v>0</v>
      </c>
      <c r="O70" s="68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40">
        <v>46153</v>
      </c>
      <c r="C71" s="4" t="s">
        <v>21</v>
      </c>
      <c r="D71" s="41" t="s">
        <v>101</v>
      </c>
      <c r="E71" s="4" t="s">
        <v>36</v>
      </c>
      <c r="F71" s="42" t="s">
        <v>10</v>
      </c>
      <c r="G71" s="41" t="s">
        <v>38</v>
      </c>
      <c r="H71" s="4" t="str">
        <f>IFERROR(_xlfn.XLOOKUP(G71,Listas!E:E,Listas!F:F,""),"")</f>
        <v>Operativo</v>
      </c>
      <c r="I71" s="47" t="str">
        <f>IFERROR(_xlfn.XLOOKUP(G71,Listas!E:E,Listas!G:G,""),"")</f>
        <v>Externo</v>
      </c>
      <c r="J71" s="44">
        <v>1291.6500000000001</v>
      </c>
      <c r="K71" s="5">
        <v>-1291.6500000000001</v>
      </c>
      <c r="L71" s="6" t="s">
        <v>93</v>
      </c>
      <c r="M71" s="45">
        <v>18034.2</v>
      </c>
      <c r="N71" s="68" t="str">
        <f>IF(tblMovimientos[[#This Row],[Tipo de Movimiento]]="Ingreso",tblMovimientos[[#This Row],[Monto (S/)]],"0")</f>
        <v>0</v>
      </c>
      <c r="O71" s="68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0">
        <v>46153</v>
      </c>
      <c r="C72" s="4" t="s">
        <v>35</v>
      </c>
      <c r="D72" s="41" t="s">
        <v>126</v>
      </c>
      <c r="E72" s="4" t="s">
        <v>37</v>
      </c>
      <c r="F72" s="42" t="s">
        <v>10</v>
      </c>
      <c r="G72" s="41" t="s">
        <v>38</v>
      </c>
      <c r="H72" s="4" t="str">
        <f>IFERROR(_xlfn.XLOOKUP(G72,Listas!E:E,Listas!F:F,""),"")</f>
        <v>Operativo</v>
      </c>
      <c r="I72" s="47" t="str">
        <f>IFERROR(_xlfn.XLOOKUP(G72,Listas!E:E,Listas!G:G,""),"")</f>
        <v>Externo</v>
      </c>
      <c r="J72" s="44">
        <v>65.86</v>
      </c>
      <c r="K72" s="5">
        <v>-65.86</v>
      </c>
      <c r="L72" s="6" t="s">
        <v>93</v>
      </c>
      <c r="M72" s="45">
        <v>16956.59</v>
      </c>
      <c r="N72" s="68" t="str">
        <f>IF(tblMovimientos[[#This Row],[Tipo de Movimiento]]="Ingreso",tblMovimientos[[#This Row],[Monto (S/)]],"0")</f>
        <v>0</v>
      </c>
      <c r="O72" s="68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40">
        <v>46153</v>
      </c>
      <c r="C73" s="4" t="s">
        <v>35</v>
      </c>
      <c r="D73" s="41" t="s">
        <v>126</v>
      </c>
      <c r="E73" s="4" t="s">
        <v>37</v>
      </c>
      <c r="F73" s="42" t="s">
        <v>10</v>
      </c>
      <c r="G73" s="41" t="s">
        <v>38</v>
      </c>
      <c r="H73" s="4" t="str">
        <f>IFERROR(_xlfn.XLOOKUP(G73,Listas!E:E,Listas!F:F,""),"")</f>
        <v>Operativo</v>
      </c>
      <c r="I73" s="47" t="str">
        <f>IFERROR(_xlfn.XLOOKUP(G73,Listas!E:E,Listas!G:G,""),"")</f>
        <v>Externo</v>
      </c>
      <c r="J73" s="44">
        <v>163</v>
      </c>
      <c r="K73" s="5">
        <v>-163</v>
      </c>
      <c r="L73" s="6" t="s">
        <v>93</v>
      </c>
      <c r="M73" s="45">
        <v>16956.59</v>
      </c>
      <c r="N73" s="68" t="str">
        <f>IF(tblMovimientos[[#This Row],[Tipo de Movimiento]]="Ingreso",tblMovimientos[[#This Row],[Monto (S/)]],"0")</f>
        <v>0</v>
      </c>
      <c r="O73" s="68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40">
        <v>46153</v>
      </c>
      <c r="C74" s="4" t="s">
        <v>35</v>
      </c>
      <c r="D74" s="41" t="s">
        <v>126</v>
      </c>
      <c r="E74" s="4" t="s">
        <v>37</v>
      </c>
      <c r="F74" s="42" t="s">
        <v>10</v>
      </c>
      <c r="G74" s="41" t="s">
        <v>38</v>
      </c>
      <c r="H74" s="4" t="str">
        <f>IFERROR(_xlfn.XLOOKUP(G74,Listas!E:E,Listas!F:F,""),"")</f>
        <v>Operativo</v>
      </c>
      <c r="I74" s="47" t="str">
        <f>IFERROR(_xlfn.XLOOKUP(G74,Listas!E:E,Listas!G:G,""),"")</f>
        <v>Externo</v>
      </c>
      <c r="J74" s="44">
        <v>576.79999999999995</v>
      </c>
      <c r="K74" s="5">
        <v>-576.79999999999995</v>
      </c>
      <c r="L74" s="6" t="s">
        <v>93</v>
      </c>
      <c r="M74" s="45">
        <v>16956.59</v>
      </c>
      <c r="N74" s="68" t="str">
        <f>IF(tblMovimientos[[#This Row],[Tipo de Movimiento]]="Ingreso",tblMovimientos[[#This Row],[Monto (S/)]],"0")</f>
        <v>0</v>
      </c>
      <c r="O74" s="68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0">
        <v>46153</v>
      </c>
      <c r="C75" s="4" t="s">
        <v>21</v>
      </c>
      <c r="D75" s="41" t="s">
        <v>104</v>
      </c>
      <c r="E75" s="4" t="s">
        <v>37</v>
      </c>
      <c r="F75" s="42" t="s">
        <v>9</v>
      </c>
      <c r="G75" s="41" t="s">
        <v>66</v>
      </c>
      <c r="H75" s="4" t="str">
        <f>IFERROR(_xlfn.XLOOKUP(G75,Listas!E:E,Listas!F:F,""),"")</f>
        <v>Inversion</v>
      </c>
      <c r="I75" s="47" t="str">
        <f>IFERROR(_xlfn.XLOOKUP(G75,Listas!E:E,Listas!G:G,""),"")</f>
        <v>Externo</v>
      </c>
      <c r="J75" s="44">
        <v>239975</v>
      </c>
      <c r="K75" s="5">
        <v>239975</v>
      </c>
      <c r="L75" s="6" t="s">
        <v>93</v>
      </c>
      <c r="M75" s="45">
        <v>386329.18999999936</v>
      </c>
      <c r="N75" s="68">
        <f>IF(tblMovimientos[[#This Row],[Tipo de Movimiento]]="Ingreso",tblMovimientos[[#This Row],[Monto (S/)]],"0")</f>
        <v>239975</v>
      </c>
      <c r="O75" s="68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40">
        <v>46153</v>
      </c>
      <c r="C76" s="4" t="s">
        <v>35</v>
      </c>
      <c r="D76" s="41" t="s">
        <v>126</v>
      </c>
      <c r="E76" s="4" t="s">
        <v>37</v>
      </c>
      <c r="F76" s="42" t="s">
        <v>10</v>
      </c>
      <c r="G76" s="41" t="s">
        <v>38</v>
      </c>
      <c r="H76" s="4" t="str">
        <f>IFERROR(_xlfn.XLOOKUP(G76,Listas!E:E,Listas!F:F,""),"")</f>
        <v>Operativo</v>
      </c>
      <c r="I76" s="47" t="str">
        <f>IFERROR(_xlfn.XLOOKUP(G76,Listas!E:E,Listas!G:G,""),"")</f>
        <v>Externo</v>
      </c>
      <c r="J76" s="44">
        <v>6000</v>
      </c>
      <c r="K76" s="5">
        <v>-6000</v>
      </c>
      <c r="L76" s="6" t="s">
        <v>93</v>
      </c>
      <c r="M76" s="45">
        <v>16956.59</v>
      </c>
      <c r="N76" s="68" t="str">
        <f>IF(tblMovimientos[[#This Row],[Tipo de Movimiento]]="Ingreso",tblMovimientos[[#This Row],[Monto (S/)]],"0")</f>
        <v>0</v>
      </c>
      <c r="O76" s="68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40">
        <v>46154</v>
      </c>
      <c r="C77" s="4" t="s">
        <v>20</v>
      </c>
      <c r="D77" s="41" t="s">
        <v>100</v>
      </c>
      <c r="E77" s="4" t="s">
        <v>36</v>
      </c>
      <c r="F77" s="42" t="s">
        <v>10</v>
      </c>
      <c r="G77" s="41" t="s">
        <v>61</v>
      </c>
      <c r="H77" s="4" t="str">
        <f>IFERROR(_xlfn.XLOOKUP(G77,Listas!E:E,Listas!F:F,""),"")</f>
        <v>Operativo</v>
      </c>
      <c r="I77" s="47" t="str">
        <f>IFERROR(_xlfn.XLOOKUP(G77,Listas!E:E,Listas!G:G,""),"")</f>
        <v>Externo</v>
      </c>
      <c r="J77" s="44">
        <v>60000</v>
      </c>
      <c r="K77" s="5">
        <v>-60000</v>
      </c>
      <c r="L77" s="6" t="s">
        <v>93</v>
      </c>
      <c r="M77" s="45">
        <v>1226185.8999999999</v>
      </c>
      <c r="N77" s="68" t="str">
        <f>IF(tblMovimientos[[#This Row],[Tipo de Movimiento]]="Ingreso",tblMovimientos[[#This Row],[Monto (S/)]],"0")</f>
        <v>0</v>
      </c>
      <c r="O77" s="68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40">
        <v>46154</v>
      </c>
      <c r="C78" s="4" t="s">
        <v>20</v>
      </c>
      <c r="D78" s="41" t="s">
        <v>100</v>
      </c>
      <c r="E78" s="4" t="s">
        <v>36</v>
      </c>
      <c r="F78" s="42" t="s">
        <v>10</v>
      </c>
      <c r="G78" s="41" t="s">
        <v>51</v>
      </c>
      <c r="H78" s="4" t="str">
        <f>IFERROR(_xlfn.XLOOKUP(G78,Listas!E:E,Listas!F:F,""),"")</f>
        <v>Financiamiento</v>
      </c>
      <c r="I78" s="47" t="str">
        <f>IFERROR(_xlfn.XLOOKUP(G78,Listas!E:E,Listas!G:G,""),"")</f>
        <v>Externo</v>
      </c>
      <c r="J78" s="44">
        <v>82180.600000000006</v>
      </c>
      <c r="K78" s="5">
        <v>-82180.600000000006</v>
      </c>
      <c r="L78" s="6" t="s">
        <v>93</v>
      </c>
      <c r="M78" s="45">
        <v>1226185.8999999999</v>
      </c>
      <c r="N78" s="68" t="str">
        <f>IF(tblMovimientos[[#This Row],[Tipo de Movimiento]]="Ingreso",tblMovimientos[[#This Row],[Monto (S/)]],"0")</f>
        <v>0</v>
      </c>
      <c r="O78" s="68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0">
        <v>46154</v>
      </c>
      <c r="C79" s="4" t="s">
        <v>17</v>
      </c>
      <c r="D79" s="41" t="s">
        <v>94</v>
      </c>
      <c r="E79" s="4" t="s">
        <v>36</v>
      </c>
      <c r="F79" s="42" t="s">
        <v>9</v>
      </c>
      <c r="G79" s="41" t="s">
        <v>68</v>
      </c>
      <c r="H79" s="4" t="str">
        <f>IFERROR(_xlfn.XLOOKUP(G79,Listas!E:E,Listas!F:F,""),"")</f>
        <v>Operativo</v>
      </c>
      <c r="I79" s="47" t="str">
        <f>IFERROR(_xlfn.XLOOKUP(G79,Listas!E:E,Listas!G:G,""),"")</f>
        <v>Externo</v>
      </c>
      <c r="J79" s="44">
        <v>93805.54</v>
      </c>
      <c r="K79" s="5">
        <v>93805.54</v>
      </c>
      <c r="L79" s="6" t="s">
        <v>93</v>
      </c>
      <c r="M79" s="45">
        <v>161658.90999999997</v>
      </c>
      <c r="N79" s="68">
        <f>IF(tblMovimientos[[#This Row],[Tipo de Movimiento]]="Ingreso",tblMovimientos[[#This Row],[Monto (S/)]],"0")</f>
        <v>93805.54</v>
      </c>
      <c r="O79" s="68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40">
        <v>46154</v>
      </c>
      <c r="C80" s="4" t="s">
        <v>35</v>
      </c>
      <c r="D80" s="41" t="s">
        <v>126</v>
      </c>
      <c r="E80" s="4" t="s">
        <v>37</v>
      </c>
      <c r="F80" s="42" t="s">
        <v>10</v>
      </c>
      <c r="G80" s="41" t="s">
        <v>38</v>
      </c>
      <c r="H80" s="4" t="str">
        <f>IFERROR(_xlfn.XLOOKUP(G80,Listas!E:E,Listas!F:F,""),"")</f>
        <v>Operativo</v>
      </c>
      <c r="I80" s="47" t="str">
        <f>IFERROR(_xlfn.XLOOKUP(G80,Listas!E:E,Listas!G:G,""),"")</f>
        <v>Externo</v>
      </c>
      <c r="J80" s="44">
        <v>215</v>
      </c>
      <c r="K80" s="5">
        <v>-215</v>
      </c>
      <c r="L80" s="6" t="s">
        <v>93</v>
      </c>
      <c r="M80" s="45">
        <v>16741.59</v>
      </c>
      <c r="N80" s="68" t="str">
        <f>IF(tblMovimientos[[#This Row],[Tipo de Movimiento]]="Ingreso",tblMovimientos[[#This Row],[Monto (S/)]],"0")</f>
        <v>0</v>
      </c>
      <c r="O80" s="68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40">
        <v>46154</v>
      </c>
      <c r="C81" s="4" t="s">
        <v>17</v>
      </c>
      <c r="D81" s="41" t="s">
        <v>96</v>
      </c>
      <c r="E81" s="4" t="s">
        <v>152</v>
      </c>
      <c r="F81" s="42" t="s">
        <v>10</v>
      </c>
      <c r="G81" s="41" t="s">
        <v>38</v>
      </c>
      <c r="H81" s="4" t="str">
        <f>IFERROR(_xlfn.XLOOKUP(G81,Listas!E:E,Listas!F:F,""),"")</f>
        <v>Operativo</v>
      </c>
      <c r="I81" s="47" t="str">
        <f>IFERROR(_xlfn.XLOOKUP(G81,Listas!E:E,Listas!G:G,""),"")</f>
        <v>Externo</v>
      </c>
      <c r="J81" s="44">
        <v>18.82</v>
      </c>
      <c r="K81" s="5">
        <v>-18.82</v>
      </c>
      <c r="L81" s="6" t="s">
        <v>93</v>
      </c>
      <c r="M81" s="45">
        <v>5256.0300000000007</v>
      </c>
      <c r="N81" s="68" t="str">
        <f>IF(tblMovimientos[[#This Row],[Tipo de Movimiento]]="Ingreso",tblMovimientos[[#This Row],[Monto (S/)]],"0")</f>
        <v>0</v>
      </c>
      <c r="O81" s="68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40">
        <v>46154</v>
      </c>
      <c r="C82" s="4" t="s">
        <v>21</v>
      </c>
      <c r="D82" s="41" t="s">
        <v>105</v>
      </c>
      <c r="E82" s="4" t="s">
        <v>152</v>
      </c>
      <c r="F82" s="42" t="s">
        <v>10</v>
      </c>
      <c r="G82" s="41" t="s">
        <v>38</v>
      </c>
      <c r="H82" s="4" t="str">
        <f>IFERROR(_xlfn.XLOOKUP(G82,Listas!E:E,Listas!F:F,""),"")</f>
        <v>Operativo</v>
      </c>
      <c r="I82" s="47" t="str">
        <f>IFERROR(_xlfn.XLOOKUP(G82,Listas!E:E,Listas!G:G,""),"")</f>
        <v>Externo</v>
      </c>
      <c r="J82" s="44">
        <v>108.91</v>
      </c>
      <c r="K82" s="5">
        <v>-108.91</v>
      </c>
      <c r="L82" s="6" t="s">
        <v>93</v>
      </c>
      <c r="M82" s="45">
        <v>4761.2</v>
      </c>
      <c r="N82" s="68" t="str">
        <f>IF(tblMovimientos[[#This Row],[Tipo de Movimiento]]="Ingreso",tblMovimientos[[#This Row],[Monto (S/)]],"0")</f>
        <v>0</v>
      </c>
      <c r="O82" s="68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40">
        <v>46155</v>
      </c>
      <c r="C83" s="4" t="s">
        <v>20</v>
      </c>
      <c r="D83" s="41" t="s">
        <v>100</v>
      </c>
      <c r="E83" s="4" t="s">
        <v>36</v>
      </c>
      <c r="F83" s="42" t="s">
        <v>9</v>
      </c>
      <c r="G83" s="41" t="s">
        <v>68</v>
      </c>
      <c r="H83" s="4" t="str">
        <f>IFERROR(_xlfn.XLOOKUP(G83,Listas!E:E,Listas!F:F,""),"")</f>
        <v>Operativo</v>
      </c>
      <c r="I83" s="47" t="str">
        <f>IFERROR(_xlfn.XLOOKUP(G83,Listas!E:E,Listas!G:G,""),"")</f>
        <v>Externo</v>
      </c>
      <c r="J83" s="44">
        <v>16493.77</v>
      </c>
      <c r="K83" s="5">
        <v>16493.77</v>
      </c>
      <c r="L83" s="6" t="s">
        <v>93</v>
      </c>
      <c r="M83" s="45">
        <v>1242679.67</v>
      </c>
      <c r="N83" s="68">
        <f>IF(tblMovimientos[[#This Row],[Tipo de Movimiento]]="Ingreso",tblMovimientos[[#This Row],[Monto (S/)]],"0")</f>
        <v>16493.77</v>
      </c>
      <c r="O83" s="68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40">
        <v>46155</v>
      </c>
      <c r="C84" s="4" t="s">
        <v>31</v>
      </c>
      <c r="D84" s="41" t="s">
        <v>121</v>
      </c>
      <c r="E84" s="4" t="s">
        <v>36</v>
      </c>
      <c r="F84" s="42" t="s">
        <v>10</v>
      </c>
      <c r="G84" s="41" t="s">
        <v>38</v>
      </c>
      <c r="H84" s="4" t="str">
        <f>IFERROR(_xlfn.XLOOKUP(G84,Listas!E:E,Listas!F:F,""),"")</f>
        <v>Operativo</v>
      </c>
      <c r="I84" s="47" t="str">
        <f>IFERROR(_xlfn.XLOOKUP(G84,Listas!E:E,Listas!G:G,""),"")</f>
        <v>Externo</v>
      </c>
      <c r="J84" s="44">
        <v>850</v>
      </c>
      <c r="K84" s="5">
        <v>-850</v>
      </c>
      <c r="L84" s="6" t="s">
        <v>93</v>
      </c>
      <c r="M84" s="45">
        <v>17902.179999999964</v>
      </c>
      <c r="N84" s="68" t="str">
        <f>IF(tblMovimientos[[#This Row],[Tipo de Movimiento]]="Ingreso",tblMovimientos[[#This Row],[Monto (S/)]],"0")</f>
        <v>0</v>
      </c>
      <c r="O84" s="68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40">
        <v>46155</v>
      </c>
      <c r="C85" s="4" t="s">
        <v>23</v>
      </c>
      <c r="D85" s="41" t="s">
        <v>112</v>
      </c>
      <c r="E85" s="4" t="s">
        <v>36</v>
      </c>
      <c r="F85" s="42" t="s">
        <v>9</v>
      </c>
      <c r="G85" s="41" t="s">
        <v>87</v>
      </c>
      <c r="H85" s="4" t="str">
        <f>IFERROR(_xlfn.XLOOKUP(G85,Listas!E:E,Listas!F:F,""),"")</f>
        <v>Operativo</v>
      </c>
      <c r="I85" s="47" t="str">
        <f>IFERROR(_xlfn.XLOOKUP(G85,Listas!E:E,Listas!G:G,""),"")</f>
        <v>Externo</v>
      </c>
      <c r="J85" s="44">
        <v>1.78</v>
      </c>
      <c r="K85" s="5">
        <v>1.78</v>
      </c>
      <c r="L85" s="6" t="s">
        <v>93</v>
      </c>
      <c r="M85" s="45">
        <v>13090.369999999997</v>
      </c>
      <c r="N85" s="68">
        <f>IF(tblMovimientos[[#This Row],[Tipo de Movimiento]]="Ingreso",tblMovimientos[[#This Row],[Monto (S/)]],"0")</f>
        <v>1.78</v>
      </c>
      <c r="O85" s="68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40">
        <v>46155</v>
      </c>
      <c r="C86" s="4" t="s">
        <v>24</v>
      </c>
      <c r="D86" s="41" t="s">
        <v>113</v>
      </c>
      <c r="E86" s="4" t="s">
        <v>154</v>
      </c>
      <c r="F86" s="42" t="s">
        <v>10</v>
      </c>
      <c r="G86" s="41" t="s">
        <v>38</v>
      </c>
      <c r="H86" s="4" t="str">
        <f>IFERROR(_xlfn.XLOOKUP(G86,Listas!E:E,Listas!F:F,""),"")</f>
        <v>Operativo</v>
      </c>
      <c r="I86" s="47" t="str">
        <f>IFERROR(_xlfn.XLOOKUP(G86,Listas!E:E,Listas!G:G,""),"")</f>
        <v>Externo</v>
      </c>
      <c r="J86" s="44">
        <v>1270.43</v>
      </c>
      <c r="K86" s="5">
        <v>-1270.43</v>
      </c>
      <c r="L86" s="6" t="s">
        <v>93</v>
      </c>
      <c r="M86" s="45">
        <v>2498.3999999999996</v>
      </c>
      <c r="N86" s="68" t="str">
        <f>IF(tblMovimientos[[#This Row],[Tipo de Movimiento]]="Ingreso",tblMovimientos[[#This Row],[Monto (S/)]],"0")</f>
        <v>0</v>
      </c>
      <c r="O86" s="68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40">
        <v>46156</v>
      </c>
      <c r="C87" s="4" t="s">
        <v>35</v>
      </c>
      <c r="D87" s="41" t="s">
        <v>126</v>
      </c>
      <c r="E87" s="4" t="s">
        <v>37</v>
      </c>
      <c r="F87" s="42" t="s">
        <v>10</v>
      </c>
      <c r="G87" s="41" t="s">
        <v>44</v>
      </c>
      <c r="H87" s="4" t="str">
        <f>IFERROR(_xlfn.XLOOKUP(G87,Listas!E:E,Listas!F:F,""),"")</f>
        <v>Operativo</v>
      </c>
      <c r="I87" s="47" t="str">
        <f>IFERROR(_xlfn.XLOOKUP(G87,Listas!E:E,Listas!G:G,""),"")</f>
        <v>Externo</v>
      </c>
      <c r="J87" s="44">
        <v>15</v>
      </c>
      <c r="K87" s="5">
        <v>-15</v>
      </c>
      <c r="L87" s="6" t="s">
        <v>93</v>
      </c>
      <c r="M87" s="45">
        <v>14226.59</v>
      </c>
      <c r="N87" s="68" t="str">
        <f>IF(tblMovimientos[[#This Row],[Tipo de Movimiento]]="Ingreso",tblMovimientos[[#This Row],[Monto (S/)]],"0")</f>
        <v>0</v>
      </c>
      <c r="O87" s="68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40">
        <v>46156</v>
      </c>
      <c r="C88" s="4" t="s">
        <v>21</v>
      </c>
      <c r="D88" s="41" t="s">
        <v>104</v>
      </c>
      <c r="E88" s="4" t="s">
        <v>37</v>
      </c>
      <c r="F88" s="42" t="s">
        <v>10</v>
      </c>
      <c r="G88" s="41" t="s">
        <v>38</v>
      </c>
      <c r="H88" s="4" t="str">
        <f>IFERROR(_xlfn.XLOOKUP(G88,Listas!E:E,Listas!F:F,""),"")</f>
        <v>Operativo</v>
      </c>
      <c r="I88" s="47" t="str">
        <f>IFERROR(_xlfn.XLOOKUP(G88,Listas!E:E,Listas!G:G,""),"")</f>
        <v>Externo</v>
      </c>
      <c r="J88" s="44">
        <v>295</v>
      </c>
      <c r="K88" s="5">
        <v>-295</v>
      </c>
      <c r="L88" s="6" t="s">
        <v>93</v>
      </c>
      <c r="M88" s="45">
        <v>176117.51999999938</v>
      </c>
      <c r="N88" s="68" t="str">
        <f>IF(tblMovimientos[[#This Row],[Tipo de Movimiento]]="Ingreso",tblMovimientos[[#This Row],[Monto (S/)]],"0")</f>
        <v>0</v>
      </c>
      <c r="O88" s="68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40">
        <v>46156</v>
      </c>
      <c r="C89" s="4" t="s">
        <v>21</v>
      </c>
      <c r="D89" s="41" t="s">
        <v>104</v>
      </c>
      <c r="E89" s="4" t="s">
        <v>37</v>
      </c>
      <c r="F89" s="42" t="s">
        <v>10</v>
      </c>
      <c r="G89" s="41" t="s">
        <v>46</v>
      </c>
      <c r="H89" s="4" t="str">
        <f>IFERROR(_xlfn.XLOOKUP(G89,Listas!E:E,Listas!F:F,""),"")</f>
        <v>Financiamiento</v>
      </c>
      <c r="I89" s="47" t="str">
        <f>IFERROR(_xlfn.XLOOKUP(G89,Listas!E:E,Listas!G:G,""),"")</f>
        <v>Externo</v>
      </c>
      <c r="J89" s="44">
        <v>7083.33</v>
      </c>
      <c r="K89" s="5">
        <v>-7083.33</v>
      </c>
      <c r="L89" s="6" t="s">
        <v>93</v>
      </c>
      <c r="M89" s="45">
        <v>176117.51999999938</v>
      </c>
      <c r="N89" s="68" t="str">
        <f>IF(tblMovimientos[[#This Row],[Tipo de Movimiento]]="Ingreso",tblMovimientos[[#This Row],[Monto (S/)]],"0")</f>
        <v>0</v>
      </c>
      <c r="O89" s="68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40">
        <v>46156</v>
      </c>
      <c r="C90" s="4" t="s">
        <v>20</v>
      </c>
      <c r="D90" s="41" t="s">
        <v>100</v>
      </c>
      <c r="E90" s="4" t="s">
        <v>36</v>
      </c>
      <c r="F90" s="42" t="s">
        <v>10</v>
      </c>
      <c r="G90" s="41" t="s">
        <v>61</v>
      </c>
      <c r="H90" s="4" t="str">
        <f>IFERROR(_xlfn.XLOOKUP(G90,Listas!E:E,Listas!F:F,""),"")</f>
        <v>Operativo</v>
      </c>
      <c r="I90" s="47" t="str">
        <f>IFERROR(_xlfn.XLOOKUP(G90,Listas!E:E,Listas!G:G,""),"")</f>
        <v>Externo</v>
      </c>
      <c r="J90" s="44">
        <v>200000</v>
      </c>
      <c r="K90" s="5">
        <v>-200000</v>
      </c>
      <c r="L90" s="6" t="s">
        <v>93</v>
      </c>
      <c r="M90" s="45">
        <v>832679.66999999981</v>
      </c>
      <c r="N90" s="68" t="str">
        <f>IF(tblMovimientos[[#This Row],[Tipo de Movimiento]]="Ingreso",tblMovimientos[[#This Row],[Monto (S/)]],"0")</f>
        <v>0</v>
      </c>
      <c r="O90" s="68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40">
        <v>46156</v>
      </c>
      <c r="C91" s="4" t="s">
        <v>20</v>
      </c>
      <c r="D91" s="41" t="s">
        <v>100</v>
      </c>
      <c r="E91" s="4" t="s">
        <v>36</v>
      </c>
      <c r="F91" s="42" t="s">
        <v>10</v>
      </c>
      <c r="G91" s="41" t="s">
        <v>61</v>
      </c>
      <c r="H91" s="4" t="str">
        <f>IFERROR(_xlfn.XLOOKUP(G91,Listas!E:E,Listas!F:F,""),"")</f>
        <v>Operativo</v>
      </c>
      <c r="I91" s="47" t="str">
        <f>IFERROR(_xlfn.XLOOKUP(G91,Listas!E:E,Listas!G:G,""),"")</f>
        <v>Externo</v>
      </c>
      <c r="J91" s="44">
        <v>60000</v>
      </c>
      <c r="K91" s="5">
        <v>-60000</v>
      </c>
      <c r="L91" s="6" t="s">
        <v>93</v>
      </c>
      <c r="M91" s="45">
        <v>832679.66999999981</v>
      </c>
      <c r="N91" s="68" t="str">
        <f>IF(tblMovimientos[[#This Row],[Tipo de Movimiento]]="Ingreso",tblMovimientos[[#This Row],[Monto (S/)]],"0")</f>
        <v>0</v>
      </c>
      <c r="O91" s="68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40">
        <v>46156</v>
      </c>
      <c r="C92" s="4" t="s">
        <v>20</v>
      </c>
      <c r="D92" s="41" t="s">
        <v>100</v>
      </c>
      <c r="E92" s="4" t="s">
        <v>36</v>
      </c>
      <c r="F92" s="42" t="s">
        <v>10</v>
      </c>
      <c r="G92" s="41" t="s">
        <v>61</v>
      </c>
      <c r="H92" s="4" t="str">
        <f>IFERROR(_xlfn.XLOOKUP(G92,Listas!E:E,Listas!F:F,""),"")</f>
        <v>Operativo</v>
      </c>
      <c r="I92" s="47" t="str">
        <f>IFERROR(_xlfn.XLOOKUP(G92,Listas!E:E,Listas!G:G,""),"")</f>
        <v>Externo</v>
      </c>
      <c r="J92" s="44">
        <v>150000</v>
      </c>
      <c r="K92" s="5">
        <v>-150000</v>
      </c>
      <c r="L92" s="6" t="s">
        <v>93</v>
      </c>
      <c r="M92" s="45">
        <v>832679.66999999981</v>
      </c>
      <c r="N92" s="68" t="str">
        <f>IF(tblMovimientos[[#This Row],[Tipo de Movimiento]]="Ingreso",tblMovimientos[[#This Row],[Monto (S/)]],"0")</f>
        <v>0</v>
      </c>
      <c r="O92" s="68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40">
        <v>46156</v>
      </c>
      <c r="C93" s="4" t="s">
        <v>17</v>
      </c>
      <c r="D93" s="41" t="s">
        <v>94</v>
      </c>
      <c r="E93" s="4" t="s">
        <v>36</v>
      </c>
      <c r="F93" s="42" t="s">
        <v>10</v>
      </c>
      <c r="G93" s="41" t="s">
        <v>61</v>
      </c>
      <c r="H93" s="4" t="str">
        <f>IFERROR(_xlfn.XLOOKUP(G93,Listas!E:E,Listas!F:F,""),"")</f>
        <v>Operativo</v>
      </c>
      <c r="I93" s="47" t="str">
        <f>IFERROR(_xlfn.XLOOKUP(G93,Listas!E:E,Listas!G:G,""),"")</f>
        <v>Externo</v>
      </c>
      <c r="J93" s="44">
        <v>100000</v>
      </c>
      <c r="K93" s="5">
        <v>-100000</v>
      </c>
      <c r="L93" s="6" t="s">
        <v>93</v>
      </c>
      <c r="M93" s="45">
        <v>11613.909999999974</v>
      </c>
      <c r="N93" s="68" t="str">
        <f>IF(tblMovimientos[[#This Row],[Tipo de Movimiento]]="Ingreso",tblMovimientos[[#This Row],[Monto (S/)]],"0")</f>
        <v>0</v>
      </c>
      <c r="O93" s="68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40">
        <v>46156</v>
      </c>
      <c r="C94" s="4" t="s">
        <v>17</v>
      </c>
      <c r="D94" s="41" t="s">
        <v>94</v>
      </c>
      <c r="E94" s="4" t="s">
        <v>36</v>
      </c>
      <c r="F94" s="42" t="s">
        <v>10</v>
      </c>
      <c r="G94" s="41" t="s">
        <v>64</v>
      </c>
      <c r="H94" s="4" t="str">
        <f>IFERROR(_xlfn.XLOOKUP(G94,Listas!E:E,Listas!F:F,""),"")</f>
        <v>Operativo</v>
      </c>
      <c r="I94" s="47" t="str">
        <f>IFERROR(_xlfn.XLOOKUP(G94,Listas!E:E,Listas!G:G,""),"")</f>
        <v>Interno</v>
      </c>
      <c r="J94" s="44">
        <v>50000</v>
      </c>
      <c r="K94" s="5">
        <v>-50000</v>
      </c>
      <c r="L94" s="6" t="s">
        <v>93</v>
      </c>
      <c r="M94" s="45">
        <v>11613.909999999974</v>
      </c>
      <c r="N94" s="68" t="str">
        <f>IF(tblMovimientos[[#This Row],[Tipo de Movimiento]]="Ingreso",tblMovimientos[[#This Row],[Monto (S/)]],"0")</f>
        <v>0</v>
      </c>
      <c r="O94" s="68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40">
        <v>46156</v>
      </c>
      <c r="C95" s="4" t="s">
        <v>17</v>
      </c>
      <c r="D95" s="41" t="s">
        <v>94</v>
      </c>
      <c r="E95" s="4" t="s">
        <v>36</v>
      </c>
      <c r="F95" s="42" t="s">
        <v>10</v>
      </c>
      <c r="G95" s="41" t="s">
        <v>44</v>
      </c>
      <c r="H95" s="4" t="str">
        <f>IFERROR(_xlfn.XLOOKUP(G95,Listas!E:E,Listas!F:F,""),"")</f>
        <v>Operativo</v>
      </c>
      <c r="I95" s="47" t="str">
        <f>IFERROR(_xlfn.XLOOKUP(G95,Listas!E:E,Listas!G:G,""),"")</f>
        <v>Externo</v>
      </c>
      <c r="J95" s="44">
        <v>45</v>
      </c>
      <c r="K95" s="5">
        <v>-45</v>
      </c>
      <c r="L95" s="6" t="s">
        <v>93</v>
      </c>
      <c r="M95" s="45">
        <v>11613.909999999974</v>
      </c>
      <c r="N95" s="68" t="str">
        <f>IF(tblMovimientos[[#This Row],[Tipo de Movimiento]]="Ingreso",tblMovimientos[[#This Row],[Monto (S/)]],"0")</f>
        <v>0</v>
      </c>
      <c r="O95" s="68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40">
        <v>46156</v>
      </c>
      <c r="C96" s="4" t="s">
        <v>18</v>
      </c>
      <c r="D96" s="41" t="s">
        <v>97</v>
      </c>
      <c r="E96" s="4" t="s">
        <v>37</v>
      </c>
      <c r="F96" s="42" t="s">
        <v>9</v>
      </c>
      <c r="G96" s="41" t="s">
        <v>68</v>
      </c>
      <c r="H96" s="4" t="str">
        <f>IFERROR(_xlfn.XLOOKUP(G96,Listas!E:E,Listas!F:F,""),"")</f>
        <v>Operativo</v>
      </c>
      <c r="I96" s="47" t="str">
        <f>IFERROR(_xlfn.XLOOKUP(G96,Listas!E:E,Listas!G:G,""),"")</f>
        <v>Externo</v>
      </c>
      <c r="J96" s="44">
        <v>920.07</v>
      </c>
      <c r="K96" s="5">
        <v>920.07</v>
      </c>
      <c r="L96" s="6" t="s">
        <v>93</v>
      </c>
      <c r="M96" s="45">
        <v>54760.159999999938</v>
      </c>
      <c r="N96" s="68">
        <f>IF(tblMovimientos[[#This Row],[Tipo de Movimiento]]="Ingreso",tblMovimientos[[#This Row],[Monto (S/)]],"0")</f>
        <v>920.07</v>
      </c>
      <c r="O96" s="68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40">
        <v>46156</v>
      </c>
      <c r="C97" s="4" t="s">
        <v>17</v>
      </c>
      <c r="D97" s="41" t="s">
        <v>95</v>
      </c>
      <c r="E97" s="4" t="s">
        <v>37</v>
      </c>
      <c r="F97" s="42" t="s">
        <v>9</v>
      </c>
      <c r="G97" s="41" t="s">
        <v>85</v>
      </c>
      <c r="H97" s="4" t="str">
        <f>IFERROR(_xlfn.XLOOKUP(G97,Listas!E:E,Listas!F:F,""),"")</f>
        <v>Operativo</v>
      </c>
      <c r="I97" s="47" t="str">
        <f>IFERROR(_xlfn.XLOOKUP(G97,Listas!E:E,Listas!G:G,""),"")</f>
        <v>Interno</v>
      </c>
      <c r="J97" s="44">
        <v>50000</v>
      </c>
      <c r="K97" s="5">
        <v>50000</v>
      </c>
      <c r="L97" s="6" t="s">
        <v>93</v>
      </c>
      <c r="M97" s="45">
        <v>148882.87000000023</v>
      </c>
      <c r="N97" s="68">
        <f>IF(tblMovimientos[[#This Row],[Tipo de Movimiento]]="Ingreso",tblMovimientos[[#This Row],[Monto (S/)]],"0")</f>
        <v>50000</v>
      </c>
      <c r="O97" s="68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40">
        <v>46156</v>
      </c>
      <c r="C98" s="4" t="s">
        <v>17</v>
      </c>
      <c r="D98" s="41" t="s">
        <v>95</v>
      </c>
      <c r="E98" s="4" t="s">
        <v>37</v>
      </c>
      <c r="F98" s="42" t="s">
        <v>10</v>
      </c>
      <c r="G98" s="41" t="s">
        <v>46</v>
      </c>
      <c r="H98" s="4" t="str">
        <f>IFERROR(_xlfn.XLOOKUP(G98,Listas!E:E,Listas!F:F,""),"")</f>
        <v>Financiamiento</v>
      </c>
      <c r="I98" s="47" t="str">
        <f>IFERROR(_xlfn.XLOOKUP(G98,Listas!E:E,Listas!G:G,""),"")</f>
        <v>Externo</v>
      </c>
      <c r="J98" s="44">
        <v>5000</v>
      </c>
      <c r="K98" s="5">
        <v>-5000</v>
      </c>
      <c r="L98" s="6" t="s">
        <v>93</v>
      </c>
      <c r="M98" s="45">
        <v>148882.87000000023</v>
      </c>
      <c r="N98" s="68" t="str">
        <f>IF(tblMovimientos[[#This Row],[Tipo de Movimiento]]="Ingreso",tblMovimientos[[#This Row],[Monto (S/)]],"0")</f>
        <v>0</v>
      </c>
      <c r="O98" s="68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40">
        <v>46156</v>
      </c>
      <c r="C99" s="4" t="s">
        <v>17</v>
      </c>
      <c r="D99" s="41" t="s">
        <v>95</v>
      </c>
      <c r="E99" s="4" t="s">
        <v>37</v>
      </c>
      <c r="F99" s="42" t="s">
        <v>10</v>
      </c>
      <c r="G99" s="41" t="s">
        <v>46</v>
      </c>
      <c r="H99" s="4" t="str">
        <f>IFERROR(_xlfn.XLOOKUP(G99,Listas!E:E,Listas!F:F,""),"")</f>
        <v>Financiamiento</v>
      </c>
      <c r="I99" s="47" t="str">
        <f>IFERROR(_xlfn.XLOOKUP(G99,Listas!E:E,Listas!G:G,""),"")</f>
        <v>Externo</v>
      </c>
      <c r="J99" s="44">
        <v>27083.33</v>
      </c>
      <c r="K99" s="5">
        <v>-27083.33</v>
      </c>
      <c r="L99" s="6" t="s">
        <v>93</v>
      </c>
      <c r="M99" s="45">
        <v>148882.87000000023</v>
      </c>
      <c r="N99" s="68" t="str">
        <f>IF(tblMovimientos[[#This Row],[Tipo de Movimiento]]="Ingreso",tblMovimientos[[#This Row],[Monto (S/)]],"0")</f>
        <v>0</v>
      </c>
      <c r="O99" s="68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40">
        <v>46156</v>
      </c>
      <c r="C100" s="4" t="s">
        <v>17</v>
      </c>
      <c r="D100" s="41" t="s">
        <v>95</v>
      </c>
      <c r="E100" s="4" t="s">
        <v>37</v>
      </c>
      <c r="F100" s="42" t="s">
        <v>10</v>
      </c>
      <c r="G100" s="41" t="s">
        <v>61</v>
      </c>
      <c r="H100" s="4" t="str">
        <f>IFERROR(_xlfn.XLOOKUP(G100,Listas!E:E,Listas!F:F,""),"")</f>
        <v>Operativo</v>
      </c>
      <c r="I100" s="47" t="str">
        <f>IFERROR(_xlfn.XLOOKUP(G100,Listas!E:E,Listas!G:G,""),"")</f>
        <v>Externo</v>
      </c>
      <c r="J100" s="44">
        <v>40000</v>
      </c>
      <c r="K100" s="5">
        <v>-40000</v>
      </c>
      <c r="L100" s="6" t="s">
        <v>93</v>
      </c>
      <c r="M100" s="45">
        <v>148882.87000000023</v>
      </c>
      <c r="N100" s="68" t="str">
        <f>IF(tblMovimientos[[#This Row],[Tipo de Movimiento]]="Ingreso",tblMovimientos[[#This Row],[Monto (S/)]],"0")</f>
        <v>0</v>
      </c>
      <c r="O100" s="68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40">
        <v>46156</v>
      </c>
      <c r="C101" s="4" t="s">
        <v>17</v>
      </c>
      <c r="D101" s="41" t="s">
        <v>95</v>
      </c>
      <c r="E101" s="4" t="s">
        <v>37</v>
      </c>
      <c r="F101" s="42" t="s">
        <v>10</v>
      </c>
      <c r="G101" s="41" t="s">
        <v>46</v>
      </c>
      <c r="H101" s="4" t="str">
        <f>IFERROR(_xlfn.XLOOKUP(G101,Listas!E:E,Listas!F:F,""),"")</f>
        <v>Financiamiento</v>
      </c>
      <c r="I101" s="47" t="str">
        <f>IFERROR(_xlfn.XLOOKUP(G101,Listas!E:E,Listas!G:G,""),"")</f>
        <v>Externo</v>
      </c>
      <c r="J101" s="44">
        <v>56000</v>
      </c>
      <c r="K101" s="5">
        <v>-56000</v>
      </c>
      <c r="L101" s="6" t="s">
        <v>93</v>
      </c>
      <c r="M101" s="45">
        <v>148882.87000000023</v>
      </c>
      <c r="N101" s="68" t="str">
        <f>IF(tblMovimientos[[#This Row],[Tipo de Movimiento]]="Ingreso",tblMovimientos[[#This Row],[Monto (S/)]],"0")</f>
        <v>0</v>
      </c>
      <c r="O101" s="68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40">
        <v>46156</v>
      </c>
      <c r="C102" s="4" t="s">
        <v>17</v>
      </c>
      <c r="D102" s="41" t="s">
        <v>95</v>
      </c>
      <c r="E102" s="4" t="s">
        <v>37</v>
      </c>
      <c r="F102" s="42" t="s">
        <v>10</v>
      </c>
      <c r="G102" s="41" t="s">
        <v>61</v>
      </c>
      <c r="H102" s="4" t="str">
        <f>IFERROR(_xlfn.XLOOKUP(G102,Listas!E:E,Listas!F:F,""),"")</f>
        <v>Operativo</v>
      </c>
      <c r="I102" s="47" t="str">
        <f>IFERROR(_xlfn.XLOOKUP(G102,Listas!E:E,Listas!G:G,""),"")</f>
        <v>Externo</v>
      </c>
      <c r="J102" s="44">
        <v>60000</v>
      </c>
      <c r="K102" s="5">
        <v>-60000</v>
      </c>
      <c r="L102" s="6" t="s">
        <v>93</v>
      </c>
      <c r="M102" s="45">
        <v>148882.87000000023</v>
      </c>
      <c r="N102" s="68" t="str">
        <f>IF(tblMovimientos[[#This Row],[Tipo de Movimiento]]="Ingreso",tblMovimientos[[#This Row],[Monto (S/)]],"0")</f>
        <v>0</v>
      </c>
      <c r="O102" s="68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40">
        <v>46156</v>
      </c>
      <c r="C103" s="4" t="s">
        <v>17</v>
      </c>
      <c r="D103" s="41" t="s">
        <v>95</v>
      </c>
      <c r="E103" s="4" t="s">
        <v>37</v>
      </c>
      <c r="F103" s="42" t="s">
        <v>10</v>
      </c>
      <c r="G103" s="41" t="s">
        <v>46</v>
      </c>
      <c r="H103" s="4" t="str">
        <f>IFERROR(_xlfn.XLOOKUP(G103,Listas!E:E,Listas!F:F,""),"")</f>
        <v>Financiamiento</v>
      </c>
      <c r="I103" s="47" t="str">
        <f>IFERROR(_xlfn.XLOOKUP(G103,Listas!E:E,Listas!G:G,""),"")</f>
        <v>Externo</v>
      </c>
      <c r="J103" s="44">
        <v>70000</v>
      </c>
      <c r="K103" s="5">
        <v>-70000</v>
      </c>
      <c r="L103" s="6" t="s">
        <v>93</v>
      </c>
      <c r="M103" s="45">
        <v>148882.87000000023</v>
      </c>
      <c r="N103" s="68" t="str">
        <f>IF(tblMovimientos[[#This Row],[Tipo de Movimiento]]="Ingreso",tblMovimientos[[#This Row],[Monto (S/)]],"0")</f>
        <v>0</v>
      </c>
      <c r="O103" s="68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40">
        <v>46156</v>
      </c>
      <c r="C104" s="4" t="s">
        <v>17</v>
      </c>
      <c r="D104" s="41" t="s">
        <v>95</v>
      </c>
      <c r="E104" s="4" t="s">
        <v>37</v>
      </c>
      <c r="F104" s="42" t="s">
        <v>10</v>
      </c>
      <c r="G104" s="41" t="s">
        <v>46</v>
      </c>
      <c r="H104" s="4" t="str">
        <f>IFERROR(_xlfn.XLOOKUP(G104,Listas!E:E,Listas!F:F,""),"")</f>
        <v>Financiamiento</v>
      </c>
      <c r="I104" s="47" t="str">
        <f>IFERROR(_xlfn.XLOOKUP(G104,Listas!E:E,Listas!G:G,""),"")</f>
        <v>Externo</v>
      </c>
      <c r="J104" s="44">
        <v>82833.33</v>
      </c>
      <c r="K104" s="5">
        <v>-82833.33</v>
      </c>
      <c r="L104" s="6" t="s">
        <v>93</v>
      </c>
      <c r="M104" s="45">
        <v>148882.87000000023</v>
      </c>
      <c r="N104" s="68" t="str">
        <f>IF(tblMovimientos[[#This Row],[Tipo de Movimiento]]="Ingreso",tblMovimientos[[#This Row],[Monto (S/)]],"0")</f>
        <v>0</v>
      </c>
      <c r="O104" s="68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40">
        <v>46156</v>
      </c>
      <c r="C105" s="4" t="s">
        <v>21</v>
      </c>
      <c r="D105" s="41" t="s">
        <v>104</v>
      </c>
      <c r="E105" s="4" t="s">
        <v>37</v>
      </c>
      <c r="F105" s="42" t="s">
        <v>10</v>
      </c>
      <c r="G105" s="41" t="s">
        <v>60</v>
      </c>
      <c r="H105" s="4" t="str">
        <f>IFERROR(_xlfn.XLOOKUP(G105,Listas!E:E,Listas!F:F,""),"")</f>
        <v>Inversion</v>
      </c>
      <c r="I105" s="47" t="str">
        <f>IFERROR(_xlfn.XLOOKUP(G105,Listas!E:E,Listas!G:G,""),"")</f>
        <v>Interno</v>
      </c>
      <c r="J105" s="44">
        <v>50000</v>
      </c>
      <c r="K105" s="5">
        <v>-50000</v>
      </c>
      <c r="L105" s="6" t="s">
        <v>93</v>
      </c>
      <c r="M105" s="45">
        <v>176117.51999999938</v>
      </c>
      <c r="N105" s="68" t="str">
        <f>IF(tblMovimientos[[#This Row],[Tipo de Movimiento]]="Ingreso",tblMovimientos[[#This Row],[Monto (S/)]],"0")</f>
        <v>0</v>
      </c>
      <c r="O105" s="68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40">
        <v>46156</v>
      </c>
      <c r="C106" s="4" t="s">
        <v>21</v>
      </c>
      <c r="D106" s="41" t="s">
        <v>104</v>
      </c>
      <c r="E106" s="4" t="s">
        <v>37</v>
      </c>
      <c r="F106" s="42" t="s">
        <v>10</v>
      </c>
      <c r="G106" s="41" t="s">
        <v>46</v>
      </c>
      <c r="H106" s="4" t="str">
        <f>IFERROR(_xlfn.XLOOKUP(G106,Listas!E:E,Listas!F:F,""),"")</f>
        <v>Financiamiento</v>
      </c>
      <c r="I106" s="47" t="str">
        <f>IFERROR(_xlfn.XLOOKUP(G106,Listas!E:E,Listas!G:G,""),"")</f>
        <v>Externo</v>
      </c>
      <c r="J106" s="44">
        <v>53666.67</v>
      </c>
      <c r="K106" s="5">
        <v>-53666.67</v>
      </c>
      <c r="L106" s="6" t="s">
        <v>93</v>
      </c>
      <c r="M106" s="45">
        <v>176117.51999999938</v>
      </c>
      <c r="N106" s="68" t="str">
        <f>IF(tblMovimientos[[#This Row],[Tipo de Movimiento]]="Ingreso",tblMovimientos[[#This Row],[Monto (S/)]],"0")</f>
        <v>0</v>
      </c>
      <c r="O106" s="68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40">
        <v>46156</v>
      </c>
      <c r="C107" s="4" t="s">
        <v>21</v>
      </c>
      <c r="D107" s="41" t="s">
        <v>104</v>
      </c>
      <c r="E107" s="4" t="s">
        <v>37</v>
      </c>
      <c r="F107" s="42" t="s">
        <v>10</v>
      </c>
      <c r="G107" s="41" t="s">
        <v>46</v>
      </c>
      <c r="H107" s="4" t="str">
        <f>IFERROR(_xlfn.XLOOKUP(G107,Listas!E:E,Listas!F:F,""),"")</f>
        <v>Financiamiento</v>
      </c>
      <c r="I107" s="47" t="str">
        <f>IFERROR(_xlfn.XLOOKUP(G107,Listas!E:E,Listas!G:G,""),"")</f>
        <v>Externo</v>
      </c>
      <c r="J107" s="44">
        <v>99166.67</v>
      </c>
      <c r="K107" s="5">
        <v>-99166.67</v>
      </c>
      <c r="L107" s="6" t="s">
        <v>93</v>
      </c>
      <c r="M107" s="45">
        <v>176117.51999999938</v>
      </c>
      <c r="N107" s="68" t="str">
        <f>IF(tblMovimientos[[#This Row],[Tipo de Movimiento]]="Ingreso",tblMovimientos[[#This Row],[Monto (S/)]],"0")</f>
        <v>0</v>
      </c>
      <c r="O107" s="68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40">
        <v>46156</v>
      </c>
      <c r="C108" s="4" t="s">
        <v>35</v>
      </c>
      <c r="D108" s="41" t="s">
        <v>126</v>
      </c>
      <c r="E108" s="4" t="s">
        <v>37</v>
      </c>
      <c r="F108" s="42" t="s">
        <v>10</v>
      </c>
      <c r="G108" s="41" t="s">
        <v>38</v>
      </c>
      <c r="H108" s="4" t="str">
        <f>IFERROR(_xlfn.XLOOKUP(G108,Listas!E:E,Listas!F:F,""),"")</f>
        <v>Operativo</v>
      </c>
      <c r="I108" s="47" t="str">
        <f>IFERROR(_xlfn.XLOOKUP(G108,Listas!E:E,Listas!G:G,""),"")</f>
        <v>Externo</v>
      </c>
      <c r="J108" s="44">
        <v>2500</v>
      </c>
      <c r="K108" s="5">
        <v>-2500</v>
      </c>
      <c r="L108" s="6" t="s">
        <v>93</v>
      </c>
      <c r="M108" s="45">
        <v>14226.59</v>
      </c>
      <c r="N108" s="68" t="str">
        <f>IF(tblMovimientos[[#This Row],[Tipo de Movimiento]]="Ingreso",tblMovimientos[[#This Row],[Monto (S/)]],"0")</f>
        <v>0</v>
      </c>
      <c r="O108" s="68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40">
        <v>46157</v>
      </c>
      <c r="C109" s="4" t="s">
        <v>35</v>
      </c>
      <c r="D109" s="41" t="s">
        <v>126</v>
      </c>
      <c r="E109" s="4" t="s">
        <v>37</v>
      </c>
      <c r="F109" s="42" t="s">
        <v>10</v>
      </c>
      <c r="G109" s="41" t="s">
        <v>38</v>
      </c>
      <c r="H109" s="4" t="str">
        <f>IFERROR(_xlfn.XLOOKUP(G109,Listas!E:E,Listas!F:F,""),"")</f>
        <v>Operativo</v>
      </c>
      <c r="I109" s="47" t="str">
        <f>IFERROR(_xlfn.XLOOKUP(G109,Listas!E:E,Listas!G:G,""),"")</f>
        <v>Externo</v>
      </c>
      <c r="J109" s="44">
        <v>50</v>
      </c>
      <c r="K109" s="5">
        <v>-50</v>
      </c>
      <c r="L109" s="6" t="s">
        <v>93</v>
      </c>
      <c r="M109" s="45">
        <v>14176.59</v>
      </c>
      <c r="N109" s="68" t="str">
        <f>IF(tblMovimientos[[#This Row],[Tipo de Movimiento]]="Ingreso",tblMovimientos[[#This Row],[Monto (S/)]],"0")</f>
        <v>0</v>
      </c>
      <c r="O109" s="68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40">
        <v>46157</v>
      </c>
      <c r="C110" s="4" t="s">
        <v>33</v>
      </c>
      <c r="D110" s="41" t="s">
        <v>124</v>
      </c>
      <c r="E110" s="4" t="s">
        <v>36</v>
      </c>
      <c r="F110" s="42" t="s">
        <v>10</v>
      </c>
      <c r="G110" s="41" t="s">
        <v>38</v>
      </c>
      <c r="H110" s="4" t="str">
        <f>IFERROR(_xlfn.XLOOKUP(G110,Listas!E:E,Listas!F:F,""),"")</f>
        <v>Operativo</v>
      </c>
      <c r="I110" s="47" t="str">
        <f>IFERROR(_xlfn.XLOOKUP(G110,Listas!E:E,Listas!G:G,""),"")</f>
        <v>Externo</v>
      </c>
      <c r="J110" s="44">
        <v>1650</v>
      </c>
      <c r="K110" s="5">
        <v>-1650</v>
      </c>
      <c r="L110" s="6" t="s">
        <v>93</v>
      </c>
      <c r="M110" s="45">
        <v>27011.27</v>
      </c>
      <c r="N110" s="68" t="str">
        <f>IF(tblMovimientos[[#This Row],[Tipo de Movimiento]]="Ingreso",tblMovimientos[[#This Row],[Monto (S/)]],"0")</f>
        <v>0</v>
      </c>
      <c r="O110" s="68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40">
        <v>46157</v>
      </c>
      <c r="C111" s="4" t="s">
        <v>33</v>
      </c>
      <c r="D111" s="41" t="s">
        <v>124</v>
      </c>
      <c r="E111" s="4" t="s">
        <v>36</v>
      </c>
      <c r="F111" s="42" t="s">
        <v>10</v>
      </c>
      <c r="G111" s="41" t="s">
        <v>38</v>
      </c>
      <c r="H111" s="4" t="str">
        <f>IFERROR(_xlfn.XLOOKUP(G111,Listas!E:E,Listas!F:F,""),"")</f>
        <v>Operativo</v>
      </c>
      <c r="I111" s="47" t="str">
        <f>IFERROR(_xlfn.XLOOKUP(G111,Listas!E:E,Listas!G:G,""),"")</f>
        <v>Externo</v>
      </c>
      <c r="J111" s="44">
        <v>2200</v>
      </c>
      <c r="K111" s="5">
        <v>-2200</v>
      </c>
      <c r="L111" s="6" t="s">
        <v>93</v>
      </c>
      <c r="M111" s="45">
        <v>27011.27</v>
      </c>
      <c r="N111" s="68" t="str">
        <f>IF(tblMovimientos[[#This Row],[Tipo de Movimiento]]="Ingreso",tblMovimientos[[#This Row],[Monto (S/)]],"0")</f>
        <v>0</v>
      </c>
      <c r="O111" s="68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40">
        <v>46157</v>
      </c>
      <c r="C112" s="4" t="s">
        <v>33</v>
      </c>
      <c r="D112" s="41" t="s">
        <v>124</v>
      </c>
      <c r="E112" s="4" t="s">
        <v>36</v>
      </c>
      <c r="F112" s="42" t="s">
        <v>10</v>
      </c>
      <c r="G112" s="41" t="s">
        <v>38</v>
      </c>
      <c r="H112" s="4" t="str">
        <f>IFERROR(_xlfn.XLOOKUP(G112,Listas!E:E,Listas!F:F,""),"")</f>
        <v>Operativo</v>
      </c>
      <c r="I112" s="47" t="str">
        <f>IFERROR(_xlfn.XLOOKUP(G112,Listas!E:E,Listas!G:G,""),"")</f>
        <v>Externo</v>
      </c>
      <c r="J112" s="44">
        <v>160</v>
      </c>
      <c r="K112" s="5">
        <v>-160</v>
      </c>
      <c r="L112" s="6" t="s">
        <v>93</v>
      </c>
      <c r="M112" s="45">
        <v>27011.27</v>
      </c>
      <c r="N112" s="68" t="str">
        <f>IF(tblMovimientos[[#This Row],[Tipo de Movimiento]]="Ingreso",tblMovimientos[[#This Row],[Monto (S/)]],"0")</f>
        <v>0</v>
      </c>
      <c r="O112" s="68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40">
        <v>46157</v>
      </c>
      <c r="C113" s="4" t="s">
        <v>33</v>
      </c>
      <c r="D113" s="41" t="s">
        <v>124</v>
      </c>
      <c r="E113" s="4" t="s">
        <v>36</v>
      </c>
      <c r="F113" s="42" t="s">
        <v>10</v>
      </c>
      <c r="G113" s="41" t="s">
        <v>38</v>
      </c>
      <c r="H113" s="4" t="str">
        <f>IFERROR(_xlfn.XLOOKUP(G113,Listas!E:E,Listas!F:F,""),"")</f>
        <v>Operativo</v>
      </c>
      <c r="I113" s="47" t="str">
        <f>IFERROR(_xlfn.XLOOKUP(G113,Listas!E:E,Listas!G:G,""),"")</f>
        <v>Externo</v>
      </c>
      <c r="J113" s="44">
        <v>100</v>
      </c>
      <c r="K113" s="5">
        <v>-100</v>
      </c>
      <c r="L113" s="6" t="s">
        <v>93</v>
      </c>
      <c r="M113" s="45">
        <v>27011.27</v>
      </c>
      <c r="N113" s="68" t="str">
        <f>IF(tblMovimientos[[#This Row],[Tipo de Movimiento]]="Ingreso",tblMovimientos[[#This Row],[Monto (S/)]],"0")</f>
        <v>0</v>
      </c>
      <c r="O113" s="68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40">
        <v>46157</v>
      </c>
      <c r="C114" s="4" t="s">
        <v>33</v>
      </c>
      <c r="D114" s="41" t="s">
        <v>124</v>
      </c>
      <c r="E114" s="4" t="s">
        <v>36</v>
      </c>
      <c r="F114" s="42" t="s">
        <v>10</v>
      </c>
      <c r="G114" s="41" t="s">
        <v>38</v>
      </c>
      <c r="H114" s="4" t="str">
        <f>IFERROR(_xlfn.XLOOKUP(G114,Listas!E:E,Listas!F:F,""),"")</f>
        <v>Operativo</v>
      </c>
      <c r="I114" s="47" t="str">
        <f>IFERROR(_xlfn.XLOOKUP(G114,Listas!E:E,Listas!G:G,""),"")</f>
        <v>Externo</v>
      </c>
      <c r="J114" s="44">
        <v>200</v>
      </c>
      <c r="K114" s="5">
        <v>-200</v>
      </c>
      <c r="L114" s="6" t="s">
        <v>93</v>
      </c>
      <c r="M114" s="45">
        <v>27011.27</v>
      </c>
      <c r="N114" s="68" t="str">
        <f>IF(tblMovimientos[[#This Row],[Tipo de Movimiento]]="Ingreso",tblMovimientos[[#This Row],[Monto (S/)]],"0")</f>
        <v>0</v>
      </c>
      <c r="O114" s="68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40">
        <v>46157</v>
      </c>
      <c r="C115" s="4" t="s">
        <v>33</v>
      </c>
      <c r="D115" s="41" t="s">
        <v>124</v>
      </c>
      <c r="E115" s="4" t="s">
        <v>36</v>
      </c>
      <c r="F115" s="42" t="s">
        <v>10</v>
      </c>
      <c r="G115" s="41" t="s">
        <v>38</v>
      </c>
      <c r="H115" s="4" t="str">
        <f>IFERROR(_xlfn.XLOOKUP(G115,Listas!E:E,Listas!F:F,""),"")</f>
        <v>Operativo</v>
      </c>
      <c r="I115" s="47" t="str">
        <f>IFERROR(_xlfn.XLOOKUP(G115,Listas!E:E,Listas!G:G,""),"")</f>
        <v>Externo</v>
      </c>
      <c r="J115" s="44">
        <v>2.12</v>
      </c>
      <c r="K115" s="5">
        <v>-2.12</v>
      </c>
      <c r="L115" s="6" t="s">
        <v>93</v>
      </c>
      <c r="M115" s="45">
        <v>27011.27</v>
      </c>
      <c r="N115" s="68" t="str">
        <f>IF(tblMovimientos[[#This Row],[Tipo de Movimiento]]="Ingreso",tblMovimientos[[#This Row],[Monto (S/)]],"0")</f>
        <v>0</v>
      </c>
      <c r="O115" s="68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40">
        <v>46157</v>
      </c>
      <c r="C116" s="4" t="s">
        <v>20</v>
      </c>
      <c r="D116" s="41" t="s">
        <v>100</v>
      </c>
      <c r="E116" s="4" t="s">
        <v>36</v>
      </c>
      <c r="F116" s="42" t="s">
        <v>10</v>
      </c>
      <c r="G116" s="41" t="s">
        <v>44</v>
      </c>
      <c r="H116" s="4" t="str">
        <f>IFERROR(_xlfn.XLOOKUP(G116,Listas!E:E,Listas!F:F,""),"")</f>
        <v>Operativo</v>
      </c>
      <c r="I116" s="47" t="str">
        <f>IFERROR(_xlfn.XLOOKUP(G116,Listas!E:E,Listas!G:G,""),"")</f>
        <v>Externo</v>
      </c>
      <c r="J116" s="44">
        <v>603.46</v>
      </c>
      <c r="K116" s="5">
        <v>-603.46</v>
      </c>
      <c r="L116" s="6" t="s">
        <v>93</v>
      </c>
      <c r="M116" s="45">
        <v>832076.20999999985</v>
      </c>
      <c r="N116" s="68" t="str">
        <f>IF(tblMovimientos[[#This Row],[Tipo de Movimiento]]="Ingreso",tblMovimientos[[#This Row],[Monto (S/)]],"0")</f>
        <v>0</v>
      </c>
      <c r="O116" s="68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40">
        <v>46157</v>
      </c>
      <c r="C117" s="4" t="s">
        <v>21</v>
      </c>
      <c r="D117" s="41" t="s">
        <v>102</v>
      </c>
      <c r="E117" s="4" t="s">
        <v>36</v>
      </c>
      <c r="F117" s="42" t="s">
        <v>10</v>
      </c>
      <c r="G117" s="41" t="s">
        <v>44</v>
      </c>
      <c r="H117" s="4" t="str">
        <f>IFERROR(_xlfn.XLOOKUP(G117,Listas!E:E,Listas!F:F,""),"")</f>
        <v>Operativo</v>
      </c>
      <c r="I117" s="47" t="str">
        <f>IFERROR(_xlfn.XLOOKUP(G117,Listas!E:E,Listas!G:G,""),"")</f>
        <v>Externo</v>
      </c>
      <c r="J117" s="44">
        <v>29.41</v>
      </c>
      <c r="K117" s="5">
        <v>-29.41</v>
      </c>
      <c r="L117" s="6" t="s">
        <v>93</v>
      </c>
      <c r="M117" s="45">
        <v>729.66000000000008</v>
      </c>
      <c r="N117" s="68" t="str">
        <f>IF(tblMovimientos[[#This Row],[Tipo de Movimiento]]="Ingreso",tblMovimientos[[#This Row],[Monto (S/)]],"0")</f>
        <v>0</v>
      </c>
      <c r="O117" s="68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40">
        <v>46160</v>
      </c>
      <c r="C118" s="4" t="s">
        <v>21</v>
      </c>
      <c r="D118" s="41" t="s">
        <v>104</v>
      </c>
      <c r="E118" s="4" t="s">
        <v>37</v>
      </c>
      <c r="F118" s="42" t="s">
        <v>10</v>
      </c>
      <c r="G118" s="41" t="s">
        <v>39</v>
      </c>
      <c r="H118" s="4" t="str">
        <f>IFERROR(_xlfn.XLOOKUP(G118,Listas!E:E,Listas!F:F,""),"")</f>
        <v>Operativo</v>
      </c>
      <c r="I118" s="47" t="str">
        <f>IFERROR(_xlfn.XLOOKUP(G118,Listas!E:E,Listas!G:G,""),"")</f>
        <v>Externo</v>
      </c>
      <c r="J118" s="44">
        <v>20960.11</v>
      </c>
      <c r="K118" s="5">
        <v>-20960.11</v>
      </c>
      <c r="L118" s="6" t="s">
        <v>93</v>
      </c>
      <c r="M118" s="45">
        <v>155157.40999999939</v>
      </c>
      <c r="N118" s="68" t="str">
        <f>IF(tblMovimientos[[#This Row],[Tipo de Movimiento]]="Ingreso",tblMovimientos[[#This Row],[Monto (S/)]],"0")</f>
        <v>0</v>
      </c>
      <c r="O118" s="68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40">
        <v>46160</v>
      </c>
      <c r="C119" s="4" t="s">
        <v>35</v>
      </c>
      <c r="D119" s="41" t="s">
        <v>126</v>
      </c>
      <c r="E119" s="4" t="s">
        <v>37</v>
      </c>
      <c r="F119" s="42" t="s">
        <v>10</v>
      </c>
      <c r="G119" s="41" t="s">
        <v>38</v>
      </c>
      <c r="H119" s="4" t="str">
        <f>IFERROR(_xlfn.XLOOKUP(G119,Listas!E:E,Listas!F:F,""),"")</f>
        <v>Operativo</v>
      </c>
      <c r="I119" s="47" t="str">
        <f>IFERROR(_xlfn.XLOOKUP(G119,Listas!E:E,Listas!G:G,""),"")</f>
        <v>Externo</v>
      </c>
      <c r="J119" s="44">
        <v>235.38</v>
      </c>
      <c r="K119" s="5">
        <v>-235.38</v>
      </c>
      <c r="L119" s="6" t="s">
        <v>93</v>
      </c>
      <c r="M119" s="45">
        <v>13941.210000000001</v>
      </c>
      <c r="N119" s="68" t="str">
        <f>IF(tblMovimientos[[#This Row],[Tipo de Movimiento]]="Ingreso",tblMovimientos[[#This Row],[Monto (S/)]],"0")</f>
        <v>0</v>
      </c>
      <c r="O119" s="68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40">
        <v>46160</v>
      </c>
      <c r="C120" s="4" t="s">
        <v>21</v>
      </c>
      <c r="D120" s="41" t="s">
        <v>101</v>
      </c>
      <c r="E120" s="4" t="s">
        <v>36</v>
      </c>
      <c r="F120" s="42" t="s">
        <v>10</v>
      </c>
      <c r="G120" s="41" t="s">
        <v>38</v>
      </c>
      <c r="H120" s="4" t="str">
        <f>IFERROR(_xlfn.XLOOKUP(G120,Listas!E:E,Listas!F:F,""),"")</f>
        <v>Operativo</v>
      </c>
      <c r="I120" s="47" t="str">
        <f>IFERROR(_xlfn.XLOOKUP(G120,Listas!E:E,Listas!G:G,""),"")</f>
        <v>Externo</v>
      </c>
      <c r="J120" s="44">
        <v>2490.36</v>
      </c>
      <c r="K120" s="5">
        <v>-2490.36</v>
      </c>
      <c r="L120" s="6" t="s">
        <v>93</v>
      </c>
      <c r="M120" s="45">
        <v>15543.84</v>
      </c>
      <c r="N120" s="68" t="str">
        <f>IF(tblMovimientos[[#This Row],[Tipo de Movimiento]]="Ingreso",tblMovimientos[[#This Row],[Monto (S/)]],"0")</f>
        <v>0</v>
      </c>
      <c r="O120" s="68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40">
        <v>46160</v>
      </c>
      <c r="C121" s="4" t="s">
        <v>31</v>
      </c>
      <c r="D121" s="41" t="s">
        <v>121</v>
      </c>
      <c r="E121" s="4" t="s">
        <v>36</v>
      </c>
      <c r="F121" s="42" t="s">
        <v>10</v>
      </c>
      <c r="G121" s="41" t="s">
        <v>38</v>
      </c>
      <c r="H121" s="4" t="str">
        <f>IFERROR(_xlfn.XLOOKUP(G121,Listas!E:E,Listas!F:F,""),"")</f>
        <v>Operativo</v>
      </c>
      <c r="I121" s="47" t="str">
        <f>IFERROR(_xlfn.XLOOKUP(G121,Listas!E:E,Listas!G:G,""),"")</f>
        <v>Externo</v>
      </c>
      <c r="J121" s="44">
        <v>2779</v>
      </c>
      <c r="K121" s="5">
        <v>-2779</v>
      </c>
      <c r="L121" s="6" t="s">
        <v>93</v>
      </c>
      <c r="M121" s="45">
        <v>15123.179999999962</v>
      </c>
      <c r="N121" s="68" t="str">
        <f>IF(tblMovimientos[[#This Row],[Tipo de Movimiento]]="Ingreso",tblMovimientos[[#This Row],[Monto (S/)]],"0")</f>
        <v>0</v>
      </c>
      <c r="O121" s="68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40">
        <v>46160</v>
      </c>
      <c r="C122" s="4" t="s">
        <v>33</v>
      </c>
      <c r="D122" s="41" t="s">
        <v>124</v>
      </c>
      <c r="E122" s="4" t="s">
        <v>36</v>
      </c>
      <c r="F122" s="42" t="s">
        <v>10</v>
      </c>
      <c r="G122" s="41" t="s">
        <v>44</v>
      </c>
      <c r="H122" s="4" t="str">
        <f>IFERROR(_xlfn.XLOOKUP(G122,Listas!E:E,Listas!F:F,""),"")</f>
        <v>Operativo</v>
      </c>
      <c r="I122" s="47" t="str">
        <f>IFERROR(_xlfn.XLOOKUP(G122,Listas!E:E,Listas!G:G,""),"")</f>
        <v>Externo</v>
      </c>
      <c r="J122" s="44">
        <v>5</v>
      </c>
      <c r="K122" s="5">
        <v>-5</v>
      </c>
      <c r="L122" s="6" t="s">
        <v>93</v>
      </c>
      <c r="M122" s="45">
        <v>27006.27</v>
      </c>
      <c r="N122" s="68" t="str">
        <f>IF(tblMovimientos[[#This Row],[Tipo de Movimiento]]="Ingreso",tblMovimientos[[#This Row],[Monto (S/)]],"0")</f>
        <v>0</v>
      </c>
      <c r="O122" s="68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40">
        <v>46161</v>
      </c>
      <c r="C123" s="4" t="s">
        <v>21</v>
      </c>
      <c r="D123" s="41" t="s">
        <v>101</v>
      </c>
      <c r="E123" s="4" t="s">
        <v>36</v>
      </c>
      <c r="F123" s="42" t="s">
        <v>10</v>
      </c>
      <c r="G123" s="41" t="s">
        <v>38</v>
      </c>
      <c r="H123" s="4" t="str">
        <f>IFERROR(_xlfn.XLOOKUP(G123,Listas!E:E,Listas!F:F,""),"")</f>
        <v>Operativo</v>
      </c>
      <c r="I123" s="47" t="str">
        <f>IFERROR(_xlfn.XLOOKUP(G123,Listas!E:E,Listas!G:G,""),"")</f>
        <v>Externo</v>
      </c>
      <c r="J123" s="44">
        <v>2383.4899999999998</v>
      </c>
      <c r="K123" s="5">
        <v>-2383.4899999999998</v>
      </c>
      <c r="L123" s="6" t="s">
        <v>93</v>
      </c>
      <c r="M123" s="45">
        <v>12423.310000000001</v>
      </c>
      <c r="N123" s="68" t="str">
        <f>IF(tblMovimientos[[#This Row],[Tipo de Movimiento]]="Ingreso",tblMovimientos[[#This Row],[Monto (S/)]],"0")</f>
        <v>0</v>
      </c>
      <c r="O123" s="68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0">
        <v>46161</v>
      </c>
      <c r="C124" s="4" t="s">
        <v>21</v>
      </c>
      <c r="D124" s="41" t="s">
        <v>101</v>
      </c>
      <c r="E124" s="4" t="s">
        <v>36</v>
      </c>
      <c r="F124" s="42" t="s">
        <v>10</v>
      </c>
      <c r="G124" s="41" t="s">
        <v>38</v>
      </c>
      <c r="H124" s="4" t="str">
        <f>IFERROR(_xlfn.XLOOKUP(G124,Listas!E:E,Listas!F:F,""),"")</f>
        <v>Operativo</v>
      </c>
      <c r="I124" s="47" t="str">
        <f>IFERROR(_xlfn.XLOOKUP(G124,Listas!E:E,Listas!G:G,""),"")</f>
        <v>Externo</v>
      </c>
      <c r="J124" s="44">
        <v>737.04</v>
      </c>
      <c r="K124" s="5">
        <v>-737.04</v>
      </c>
      <c r="L124" s="6" t="s">
        <v>93</v>
      </c>
      <c r="M124" s="45">
        <v>12423.310000000001</v>
      </c>
      <c r="N124" s="68" t="str">
        <f>IF(tblMovimientos[[#This Row],[Tipo de Movimiento]]="Ingreso",tblMovimientos[[#This Row],[Monto (S/)]],"0")</f>
        <v>0</v>
      </c>
      <c r="O124" s="68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40">
        <v>46161</v>
      </c>
      <c r="C125" s="4" t="s">
        <v>17</v>
      </c>
      <c r="D125" s="41" t="s">
        <v>94</v>
      </c>
      <c r="E125" s="4" t="s">
        <v>36</v>
      </c>
      <c r="F125" s="42" t="s">
        <v>9</v>
      </c>
      <c r="G125" s="41" t="s">
        <v>70</v>
      </c>
      <c r="H125" s="4" t="str">
        <f>IFERROR(_xlfn.XLOOKUP(G125,Listas!E:E,Listas!F:F,""),"")</f>
        <v>Operativo</v>
      </c>
      <c r="I125" s="47" t="str">
        <f>IFERROR(_xlfn.XLOOKUP(G125,Listas!E:E,Listas!G:G,""),"")</f>
        <v>Externo</v>
      </c>
      <c r="J125" s="44">
        <v>650000</v>
      </c>
      <c r="K125" s="5">
        <v>650000</v>
      </c>
      <c r="L125" s="6" t="s">
        <v>93</v>
      </c>
      <c r="M125" s="45">
        <v>661613.90999999992</v>
      </c>
      <c r="N125" s="68">
        <f>IF(tblMovimientos[[#This Row],[Tipo de Movimiento]]="Ingreso",tblMovimientos[[#This Row],[Monto (S/)]],"0")</f>
        <v>650000</v>
      </c>
      <c r="O125" s="68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40">
        <v>46161</v>
      </c>
      <c r="C126" s="4" t="s">
        <v>22</v>
      </c>
      <c r="D126" s="41" t="s">
        <v>111</v>
      </c>
      <c r="E126" s="4" t="s">
        <v>37</v>
      </c>
      <c r="F126" s="42" t="s">
        <v>10</v>
      </c>
      <c r="G126" s="41" t="s">
        <v>53</v>
      </c>
      <c r="H126" s="4" t="str">
        <f>IFERROR(_xlfn.XLOOKUP(G126,Listas!E:E,Listas!F:F,""),"")</f>
        <v>Inversion</v>
      </c>
      <c r="I126" s="47" t="str">
        <f>IFERROR(_xlfn.XLOOKUP(G126,Listas!E:E,Listas!G:G,""),"")</f>
        <v>Interno</v>
      </c>
      <c r="J126" s="44">
        <v>30000</v>
      </c>
      <c r="K126" s="5">
        <v>-30000</v>
      </c>
      <c r="L126" s="6" t="s">
        <v>93</v>
      </c>
      <c r="M126" s="45">
        <v>20717.600000000006</v>
      </c>
      <c r="N126" s="68" t="str">
        <f>IF(tblMovimientos[[#This Row],[Tipo de Movimiento]]="Ingreso",tblMovimientos[[#This Row],[Monto (S/)]],"0")</f>
        <v>0</v>
      </c>
      <c r="O126" s="68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40">
        <v>46161</v>
      </c>
      <c r="C127" s="4" t="s">
        <v>35</v>
      </c>
      <c r="D127" s="41" t="s">
        <v>126</v>
      </c>
      <c r="E127" s="4" t="s">
        <v>37</v>
      </c>
      <c r="F127" s="42" t="s">
        <v>10</v>
      </c>
      <c r="G127" s="41" t="s">
        <v>38</v>
      </c>
      <c r="H127" s="4" t="str">
        <f>IFERROR(_xlfn.XLOOKUP(G127,Listas!E:E,Listas!F:F,""),"")</f>
        <v>Operativo</v>
      </c>
      <c r="I127" s="47" t="str">
        <f>IFERROR(_xlfn.XLOOKUP(G127,Listas!E:E,Listas!G:G,""),"")</f>
        <v>Externo</v>
      </c>
      <c r="J127" s="44">
        <v>25000</v>
      </c>
      <c r="K127" s="5">
        <v>-25000</v>
      </c>
      <c r="L127" s="6" t="s">
        <v>93</v>
      </c>
      <c r="M127" s="45">
        <v>18941.21</v>
      </c>
      <c r="N127" s="68" t="str">
        <f>IF(tblMovimientos[[#This Row],[Tipo de Movimiento]]="Ingreso",tblMovimientos[[#This Row],[Monto (S/)]],"0")</f>
        <v>0</v>
      </c>
      <c r="O127" s="68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40">
        <v>46161</v>
      </c>
      <c r="C128" s="4" t="s">
        <v>35</v>
      </c>
      <c r="D128" s="41" t="s">
        <v>126</v>
      </c>
      <c r="E128" s="4" t="s">
        <v>37</v>
      </c>
      <c r="F128" s="42" t="s">
        <v>9</v>
      </c>
      <c r="G128" s="41" t="s">
        <v>77</v>
      </c>
      <c r="H128" s="4" t="str">
        <f>IFERROR(_xlfn.XLOOKUP(G128,Listas!E:E,Listas!F:F,""),"")</f>
        <v>Inversion</v>
      </c>
      <c r="I128" s="47" t="str">
        <f>IFERROR(_xlfn.XLOOKUP(G128,Listas!E:E,Listas!G:G,""),"")</f>
        <v>Interno</v>
      </c>
      <c r="J128" s="44">
        <v>30000</v>
      </c>
      <c r="K128" s="5">
        <v>30000</v>
      </c>
      <c r="L128" s="6" t="s">
        <v>93</v>
      </c>
      <c r="M128" s="45">
        <v>18941.21</v>
      </c>
      <c r="N128" s="68">
        <f>IF(tblMovimientos[[#This Row],[Tipo de Movimiento]]="Ingreso",tblMovimientos[[#This Row],[Monto (S/)]],"0")</f>
        <v>30000</v>
      </c>
      <c r="O128" s="68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40">
        <v>46162</v>
      </c>
      <c r="C129" s="4" t="s">
        <v>35</v>
      </c>
      <c r="D129" s="41" t="s">
        <v>126</v>
      </c>
      <c r="E129" s="4" t="s">
        <v>37</v>
      </c>
      <c r="F129" s="42" t="s">
        <v>10</v>
      </c>
      <c r="G129" s="41" t="s">
        <v>44</v>
      </c>
      <c r="H129" s="4" t="str">
        <f>IFERROR(_xlfn.XLOOKUP(G129,Listas!E:E,Listas!F:F,""),"")</f>
        <v>Operativo</v>
      </c>
      <c r="I129" s="47" t="str">
        <f>IFERROR(_xlfn.XLOOKUP(G129,Listas!E:E,Listas!G:G,""),"")</f>
        <v>Externo</v>
      </c>
      <c r="J129" s="44">
        <v>15</v>
      </c>
      <c r="K129" s="5">
        <v>-15</v>
      </c>
      <c r="L129" s="6" t="s">
        <v>93</v>
      </c>
      <c r="M129" s="45">
        <v>8168.0700000000006</v>
      </c>
      <c r="N129" s="68" t="str">
        <f>IF(tblMovimientos[[#This Row],[Tipo de Movimiento]]="Ingreso",tblMovimientos[[#This Row],[Monto (S/)]],"0")</f>
        <v>0</v>
      </c>
      <c r="O129" s="68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40">
        <v>46162</v>
      </c>
      <c r="C130" s="4" t="s">
        <v>35</v>
      </c>
      <c r="D130" s="41" t="s">
        <v>126</v>
      </c>
      <c r="E130" s="4" t="s">
        <v>37</v>
      </c>
      <c r="F130" s="42" t="s">
        <v>10</v>
      </c>
      <c r="G130" s="41" t="s">
        <v>44</v>
      </c>
      <c r="H130" s="4" t="str">
        <f>IFERROR(_xlfn.XLOOKUP(G130,Listas!E:E,Listas!F:F,""),"")</f>
        <v>Operativo</v>
      </c>
      <c r="I130" s="47" t="str">
        <f>IFERROR(_xlfn.XLOOKUP(G130,Listas!E:E,Listas!G:G,""),"")</f>
        <v>Externo</v>
      </c>
      <c r="J130" s="44">
        <v>15</v>
      </c>
      <c r="K130" s="5">
        <v>-15</v>
      </c>
      <c r="L130" s="6" t="s">
        <v>93</v>
      </c>
      <c r="M130" s="45">
        <v>8168.0700000000006</v>
      </c>
      <c r="N130" s="68" t="str">
        <f>IF(tblMovimientos[[#This Row],[Tipo de Movimiento]]="Ingreso",tblMovimientos[[#This Row],[Monto (S/)]],"0")</f>
        <v>0</v>
      </c>
      <c r="O130" s="68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40">
        <v>46162</v>
      </c>
      <c r="C131" s="4" t="s">
        <v>21</v>
      </c>
      <c r="D131" s="41" t="s">
        <v>104</v>
      </c>
      <c r="E131" s="4" t="s">
        <v>37</v>
      </c>
      <c r="F131" s="42" t="s">
        <v>10</v>
      </c>
      <c r="G131" s="41" t="s">
        <v>46</v>
      </c>
      <c r="H131" s="4" t="str">
        <f>IFERROR(_xlfn.XLOOKUP(G131,Listas!E:E,Listas!F:F,""),"")</f>
        <v>Financiamiento</v>
      </c>
      <c r="I131" s="47" t="str">
        <f>IFERROR(_xlfn.XLOOKUP(G131,Listas!E:E,Listas!G:G,""),"")</f>
        <v>Externo</v>
      </c>
      <c r="J131" s="44">
        <v>2472.2199999999998</v>
      </c>
      <c r="K131" s="5">
        <v>-2472.2199999999998</v>
      </c>
      <c r="L131" s="6" t="s">
        <v>93</v>
      </c>
      <c r="M131" s="45">
        <v>211018.51999999938</v>
      </c>
      <c r="N131" s="68" t="str">
        <f>IF(tblMovimientos[[#This Row],[Tipo de Movimiento]]="Ingreso",tblMovimientos[[#This Row],[Monto (S/)]],"0")</f>
        <v>0</v>
      </c>
      <c r="O131" s="68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0">
        <v>46162</v>
      </c>
      <c r="C132" s="4" t="s">
        <v>21</v>
      </c>
      <c r="D132" s="41" t="s">
        <v>104</v>
      </c>
      <c r="E132" s="4" t="s">
        <v>37</v>
      </c>
      <c r="F132" s="42" t="s">
        <v>10</v>
      </c>
      <c r="G132" s="41" t="s">
        <v>65</v>
      </c>
      <c r="H132" s="4" t="str">
        <f>IFERROR(_xlfn.XLOOKUP(G132,Listas!E:E,Listas!F:F,""),"")</f>
        <v>Operativo</v>
      </c>
      <c r="I132" s="47" t="str">
        <f>IFERROR(_xlfn.XLOOKUP(G132,Listas!E:E,Listas!G:G,""),"")</f>
        <v>Externo</v>
      </c>
      <c r="J132" s="44">
        <v>20000</v>
      </c>
      <c r="K132" s="5">
        <v>-20000</v>
      </c>
      <c r="L132" s="6" t="s">
        <v>93</v>
      </c>
      <c r="M132" s="45">
        <v>211018.51999999938</v>
      </c>
      <c r="N132" s="68" t="str">
        <f>IF(tblMovimientos[[#This Row],[Tipo de Movimiento]]="Ingreso",tblMovimientos[[#This Row],[Monto (S/)]],"0")</f>
        <v>0</v>
      </c>
      <c r="O132" s="68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40">
        <v>46162</v>
      </c>
      <c r="C133" s="4" t="s">
        <v>35</v>
      </c>
      <c r="D133" s="41" t="s">
        <v>126</v>
      </c>
      <c r="E133" s="4" t="s">
        <v>37</v>
      </c>
      <c r="F133" s="42" t="s">
        <v>10</v>
      </c>
      <c r="G133" s="41" t="s">
        <v>38</v>
      </c>
      <c r="H133" s="4" t="str">
        <f>IFERROR(_xlfn.XLOOKUP(G133,Listas!E:E,Listas!F:F,""),"")</f>
        <v>Operativo</v>
      </c>
      <c r="I133" s="47" t="str">
        <f>IFERROR(_xlfn.XLOOKUP(G133,Listas!E:E,Listas!G:G,""),"")</f>
        <v>Externo</v>
      </c>
      <c r="J133" s="44">
        <v>45</v>
      </c>
      <c r="K133" s="5">
        <v>-45</v>
      </c>
      <c r="L133" s="6" t="s">
        <v>93</v>
      </c>
      <c r="M133" s="45">
        <v>8168.0700000000006</v>
      </c>
      <c r="N133" s="68" t="str">
        <f>IF(tblMovimientos[[#This Row],[Tipo de Movimiento]]="Ingreso",tblMovimientos[[#This Row],[Monto (S/)]],"0")</f>
        <v>0</v>
      </c>
      <c r="O133" s="68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40">
        <v>46162</v>
      </c>
      <c r="C134" s="4" t="s">
        <v>35</v>
      </c>
      <c r="D134" s="41" t="s">
        <v>126</v>
      </c>
      <c r="E134" s="4" t="s">
        <v>37</v>
      </c>
      <c r="F134" s="42" t="s">
        <v>10</v>
      </c>
      <c r="G134" s="41" t="s">
        <v>38</v>
      </c>
      <c r="H134" s="4" t="str">
        <f>IFERROR(_xlfn.XLOOKUP(G134,Listas!E:E,Listas!F:F,""),"")</f>
        <v>Operativo</v>
      </c>
      <c r="I134" s="47" t="str">
        <f>IFERROR(_xlfn.XLOOKUP(G134,Listas!E:E,Listas!G:G,""),"")</f>
        <v>Externo</v>
      </c>
      <c r="J134" s="44">
        <v>49</v>
      </c>
      <c r="K134" s="5">
        <v>-49</v>
      </c>
      <c r="L134" s="6" t="s">
        <v>93</v>
      </c>
      <c r="M134" s="45">
        <v>8168.0700000000006</v>
      </c>
      <c r="N134" s="68" t="str">
        <f>IF(tblMovimientos[[#This Row],[Tipo de Movimiento]]="Ingreso",tblMovimientos[[#This Row],[Monto (S/)]],"0")</f>
        <v>0</v>
      </c>
      <c r="O134" s="68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40">
        <v>46162</v>
      </c>
      <c r="C135" s="4" t="s">
        <v>21</v>
      </c>
      <c r="D135" s="41" t="s">
        <v>104</v>
      </c>
      <c r="E135" s="4" t="s">
        <v>37</v>
      </c>
      <c r="F135" s="42" t="s">
        <v>10</v>
      </c>
      <c r="G135" s="41" t="s">
        <v>46</v>
      </c>
      <c r="H135" s="4" t="str">
        <f>IFERROR(_xlfn.XLOOKUP(G135,Listas!E:E,Listas!F:F,""),"")</f>
        <v>Financiamiento</v>
      </c>
      <c r="I135" s="47" t="str">
        <f>IFERROR(_xlfn.XLOOKUP(G135,Listas!E:E,Listas!G:G,""),"")</f>
        <v>Externo</v>
      </c>
      <c r="J135" s="44">
        <v>26250</v>
      </c>
      <c r="K135" s="5">
        <v>-26250</v>
      </c>
      <c r="L135" s="6" t="s">
        <v>93</v>
      </c>
      <c r="M135" s="45">
        <v>211018.51999999938</v>
      </c>
      <c r="N135" s="68" t="str">
        <f>IF(tblMovimientos[[#This Row],[Tipo de Movimiento]]="Ingreso",tblMovimientos[[#This Row],[Monto (S/)]],"0")</f>
        <v>0</v>
      </c>
      <c r="O135" s="68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40">
        <v>46162</v>
      </c>
      <c r="C136" s="4" t="s">
        <v>21</v>
      </c>
      <c r="D136" s="41" t="s">
        <v>104</v>
      </c>
      <c r="E136" s="4" t="s">
        <v>37</v>
      </c>
      <c r="F136" s="42" t="s">
        <v>10</v>
      </c>
      <c r="G136" s="41" t="s">
        <v>46</v>
      </c>
      <c r="H136" s="4" t="str">
        <f>IFERROR(_xlfn.XLOOKUP(G136,Listas!E:E,Listas!F:F,""),"")</f>
        <v>Financiamiento</v>
      </c>
      <c r="I136" s="47" t="str">
        <f>IFERROR(_xlfn.XLOOKUP(G136,Listas!E:E,Listas!G:G,""),"")</f>
        <v>Externo</v>
      </c>
      <c r="J136" s="44">
        <v>45833.33</v>
      </c>
      <c r="K136" s="5">
        <v>-45833.33</v>
      </c>
      <c r="L136" s="6" t="s">
        <v>93</v>
      </c>
      <c r="M136" s="45">
        <v>211018.51999999938</v>
      </c>
      <c r="N136" s="68" t="str">
        <f>IF(tblMovimientos[[#This Row],[Tipo de Movimiento]]="Ingreso",tblMovimientos[[#This Row],[Monto (S/)]],"0")</f>
        <v>0</v>
      </c>
      <c r="O136" s="68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40">
        <v>46162</v>
      </c>
      <c r="C137" s="4" t="s">
        <v>21</v>
      </c>
      <c r="D137" s="41" t="s">
        <v>104</v>
      </c>
      <c r="E137" s="4" t="s">
        <v>37</v>
      </c>
      <c r="F137" s="42" t="s">
        <v>10</v>
      </c>
      <c r="G137" s="41" t="s">
        <v>46</v>
      </c>
      <c r="H137" s="4" t="str">
        <f>IFERROR(_xlfn.XLOOKUP(G137,Listas!E:E,Listas!F:F,""),"")</f>
        <v>Financiamiento</v>
      </c>
      <c r="I137" s="47" t="str">
        <f>IFERROR(_xlfn.XLOOKUP(G137,Listas!E:E,Listas!G:G,""),"")</f>
        <v>Externo</v>
      </c>
      <c r="J137" s="44">
        <v>49583.34</v>
      </c>
      <c r="K137" s="5">
        <v>-49583.34</v>
      </c>
      <c r="L137" s="6" t="s">
        <v>93</v>
      </c>
      <c r="M137" s="45">
        <v>211018.51999999938</v>
      </c>
      <c r="N137" s="68" t="str">
        <f>IF(tblMovimientos[[#This Row],[Tipo de Movimiento]]="Ingreso",tblMovimientos[[#This Row],[Monto (S/)]],"0")</f>
        <v>0</v>
      </c>
      <c r="O137" s="68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40">
        <v>46162</v>
      </c>
      <c r="C138" s="4" t="s">
        <v>21</v>
      </c>
      <c r="D138" s="41" t="s">
        <v>101</v>
      </c>
      <c r="E138" s="4" t="s">
        <v>36</v>
      </c>
      <c r="F138" s="42" t="s">
        <v>10</v>
      </c>
      <c r="G138" s="41" t="s">
        <v>38</v>
      </c>
      <c r="H138" s="4" t="str">
        <f>IFERROR(_xlfn.XLOOKUP(G138,Listas!E:E,Listas!F:F,""),"")</f>
        <v>Operativo</v>
      </c>
      <c r="I138" s="47" t="str">
        <f>IFERROR(_xlfn.XLOOKUP(G138,Listas!E:E,Listas!G:G,""),"")</f>
        <v>Externo</v>
      </c>
      <c r="J138" s="44">
        <v>6.35</v>
      </c>
      <c r="K138" s="5">
        <v>-6.35</v>
      </c>
      <c r="L138" s="6" t="s">
        <v>93</v>
      </c>
      <c r="M138" s="45">
        <v>12325.960000000001</v>
      </c>
      <c r="N138" s="68" t="str">
        <f>IF(tblMovimientos[[#This Row],[Tipo de Movimiento]]="Ingreso",tblMovimientos[[#This Row],[Monto (S/)]],"0")</f>
        <v>0</v>
      </c>
      <c r="O138" s="68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40">
        <v>46162</v>
      </c>
      <c r="C139" s="4" t="s">
        <v>21</v>
      </c>
      <c r="D139" s="41" t="s">
        <v>101</v>
      </c>
      <c r="E139" s="4" t="s">
        <v>36</v>
      </c>
      <c r="F139" s="42" t="s">
        <v>10</v>
      </c>
      <c r="G139" s="41" t="s">
        <v>41</v>
      </c>
      <c r="H139" s="4" t="str">
        <f>IFERROR(_xlfn.XLOOKUP(G139,Listas!E:E,Listas!F:F,""),"")</f>
        <v>Operativo</v>
      </c>
      <c r="I139" s="47" t="str">
        <f>IFERROR(_xlfn.XLOOKUP(G139,Listas!E:E,Listas!G:G,""),"")</f>
        <v>Externo</v>
      </c>
      <c r="J139" s="44">
        <v>91</v>
      </c>
      <c r="K139" s="5">
        <v>-91</v>
      </c>
      <c r="L139" s="6" t="s">
        <v>93</v>
      </c>
      <c r="M139" s="45">
        <v>12325.960000000001</v>
      </c>
      <c r="N139" s="68" t="str">
        <f>IF(tblMovimientos[[#This Row],[Tipo de Movimiento]]="Ingreso",tblMovimientos[[#This Row],[Monto (S/)]],"0")</f>
        <v>0</v>
      </c>
      <c r="O139" s="68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40">
        <v>46162</v>
      </c>
      <c r="C140" s="4" t="s">
        <v>21</v>
      </c>
      <c r="D140" s="41" t="s">
        <v>102</v>
      </c>
      <c r="E140" s="4" t="s">
        <v>36</v>
      </c>
      <c r="F140" s="42" t="s">
        <v>10</v>
      </c>
      <c r="G140" s="41" t="s">
        <v>38</v>
      </c>
      <c r="H140" s="4" t="str">
        <f>IFERROR(_xlfn.XLOOKUP(G140,Listas!E:E,Listas!F:F,""),"")</f>
        <v>Operativo</v>
      </c>
      <c r="I140" s="47" t="str">
        <f>IFERROR(_xlfn.XLOOKUP(G140,Listas!E:E,Listas!G:G,""),"")</f>
        <v>Externo</v>
      </c>
      <c r="J140" s="44">
        <v>166.66</v>
      </c>
      <c r="K140" s="5">
        <v>-166.66</v>
      </c>
      <c r="L140" s="6" t="s">
        <v>93</v>
      </c>
      <c r="M140" s="45">
        <v>563</v>
      </c>
      <c r="N140" s="68" t="str">
        <f>IF(tblMovimientos[[#This Row],[Tipo de Movimiento]]="Ingreso",tblMovimientos[[#This Row],[Monto (S/)]],"0")</f>
        <v>0</v>
      </c>
      <c r="O140" s="68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40">
        <v>46162</v>
      </c>
      <c r="C141" s="4" t="s">
        <v>17</v>
      </c>
      <c r="D141" s="41" t="s">
        <v>94</v>
      </c>
      <c r="E141" s="4" t="s">
        <v>36</v>
      </c>
      <c r="F141" s="42" t="s">
        <v>10</v>
      </c>
      <c r="G141" s="41" t="s">
        <v>64</v>
      </c>
      <c r="H141" s="4" t="str">
        <f>IFERROR(_xlfn.XLOOKUP(G141,Listas!E:E,Listas!F:F,""),"")</f>
        <v>Operativo</v>
      </c>
      <c r="I141" s="47" t="str">
        <f>IFERROR(_xlfn.XLOOKUP(G141,Listas!E:E,Listas!G:G,""),"")</f>
        <v>Interno</v>
      </c>
      <c r="J141" s="44">
        <v>650000</v>
      </c>
      <c r="K141" s="5">
        <v>-650000</v>
      </c>
      <c r="L141" s="6" t="s">
        <v>93</v>
      </c>
      <c r="M141" s="45">
        <v>11583.909999999974</v>
      </c>
      <c r="N141" s="68" t="str">
        <f>IF(tblMovimientos[[#This Row],[Tipo de Movimiento]]="Ingreso",tblMovimientos[[#This Row],[Monto (S/)]],"0")</f>
        <v>0</v>
      </c>
      <c r="O141" s="68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40">
        <v>46162</v>
      </c>
      <c r="C142" s="4" t="s">
        <v>17</v>
      </c>
      <c r="D142" s="41" t="s">
        <v>94</v>
      </c>
      <c r="E142" s="4" t="s">
        <v>36</v>
      </c>
      <c r="F142" s="42" t="s">
        <v>10</v>
      </c>
      <c r="G142" s="41" t="s">
        <v>44</v>
      </c>
      <c r="H142" s="4" t="str">
        <f>IFERROR(_xlfn.XLOOKUP(G142,Listas!E:E,Listas!F:F,""),"")</f>
        <v>Operativo</v>
      </c>
      <c r="I142" s="47" t="str">
        <f>IFERROR(_xlfn.XLOOKUP(G142,Listas!E:E,Listas!G:G,""),"")</f>
        <v>Externo</v>
      </c>
      <c r="J142" s="44">
        <v>30</v>
      </c>
      <c r="K142" s="5">
        <v>-30</v>
      </c>
      <c r="L142" s="6" t="s">
        <v>93</v>
      </c>
      <c r="M142" s="45">
        <v>11583.909999999974</v>
      </c>
      <c r="N142" s="68" t="str">
        <f>IF(tblMovimientos[[#This Row],[Tipo de Movimiento]]="Ingreso",tblMovimientos[[#This Row],[Monto (S/)]],"0")</f>
        <v>0</v>
      </c>
      <c r="O142" s="68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40">
        <v>46162</v>
      </c>
      <c r="C143" s="4" t="s">
        <v>22</v>
      </c>
      <c r="D143" s="41" t="s">
        <v>110</v>
      </c>
      <c r="E143" s="4" t="s">
        <v>36</v>
      </c>
      <c r="F143" s="42" t="s">
        <v>9</v>
      </c>
      <c r="G143" s="41" t="s">
        <v>79</v>
      </c>
      <c r="H143" s="4" t="str">
        <f>IFERROR(_xlfn.XLOOKUP(G143,Listas!E:E,Listas!F:F,""),"")</f>
        <v>Inversion</v>
      </c>
      <c r="I143" s="47" t="str">
        <f>IFERROR(_xlfn.XLOOKUP(G143,Listas!E:E,Listas!G:G,""),"")</f>
        <v>Externo</v>
      </c>
      <c r="J143" s="44">
        <v>50000</v>
      </c>
      <c r="K143" s="5">
        <v>50000</v>
      </c>
      <c r="L143" s="6" t="s">
        <v>93</v>
      </c>
      <c r="M143" s="45">
        <v>57206.89</v>
      </c>
      <c r="N143" s="68">
        <f>IF(tblMovimientos[[#This Row],[Tipo de Movimiento]]="Ingreso",tblMovimientos[[#This Row],[Monto (S/)]],"0")</f>
        <v>50000</v>
      </c>
      <c r="O143" s="68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40">
        <v>46162</v>
      </c>
      <c r="C144" s="4" t="s">
        <v>22</v>
      </c>
      <c r="D144" s="41" t="s">
        <v>110</v>
      </c>
      <c r="E144" s="4" t="s">
        <v>36</v>
      </c>
      <c r="F144" s="42" t="s">
        <v>10</v>
      </c>
      <c r="G144" s="41" t="s">
        <v>44</v>
      </c>
      <c r="H144" s="4" t="str">
        <f>IFERROR(_xlfn.XLOOKUP(G144,Listas!E:E,Listas!F:F,""),"")</f>
        <v>Operativo</v>
      </c>
      <c r="I144" s="47" t="str">
        <f>IFERROR(_xlfn.XLOOKUP(G144,Listas!E:E,Listas!G:G,""),"")</f>
        <v>Externo</v>
      </c>
      <c r="J144" s="44">
        <v>15</v>
      </c>
      <c r="K144" s="5">
        <v>-15</v>
      </c>
      <c r="L144" s="6" t="s">
        <v>93</v>
      </c>
      <c r="M144" s="45">
        <v>57206.89</v>
      </c>
      <c r="N144" s="68" t="str">
        <f>IF(tblMovimientos[[#This Row],[Tipo de Movimiento]]="Ingreso",tblMovimientos[[#This Row],[Monto (S/)]],"0")</f>
        <v>0</v>
      </c>
      <c r="O144" s="68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40">
        <v>46162</v>
      </c>
      <c r="C145" s="4" t="s">
        <v>33</v>
      </c>
      <c r="D145" s="41" t="s">
        <v>124</v>
      </c>
      <c r="E145" s="4" t="s">
        <v>36</v>
      </c>
      <c r="F145" s="42" t="s">
        <v>9</v>
      </c>
      <c r="G145" s="41" t="s">
        <v>82</v>
      </c>
      <c r="H145" s="4" t="str">
        <f>IFERROR(_xlfn.XLOOKUP(G145,Listas!E:E,Listas!F:F,""),"")</f>
        <v>Operativo</v>
      </c>
      <c r="I145" s="47" t="str">
        <f>IFERROR(_xlfn.XLOOKUP(G145,Listas!E:E,Listas!G:G,""),"")</f>
        <v>Externo</v>
      </c>
      <c r="J145" s="44">
        <v>2200</v>
      </c>
      <c r="K145" s="5">
        <v>2200</v>
      </c>
      <c r="L145" s="6" t="s">
        <v>93</v>
      </c>
      <c r="M145" s="45">
        <v>29206.27</v>
      </c>
      <c r="N145" s="68">
        <f>IF(tblMovimientos[[#This Row],[Tipo de Movimiento]]="Ingreso",tblMovimientos[[#This Row],[Monto (S/)]],"0")</f>
        <v>2200</v>
      </c>
      <c r="O145" s="68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40">
        <v>46162</v>
      </c>
      <c r="C146" s="4" t="s">
        <v>17</v>
      </c>
      <c r="D146" s="41" t="s">
        <v>95</v>
      </c>
      <c r="E146" s="4" t="s">
        <v>37</v>
      </c>
      <c r="F146" s="42" t="s">
        <v>9</v>
      </c>
      <c r="G146" s="41" t="s">
        <v>86</v>
      </c>
      <c r="H146" s="4" t="str">
        <f>IFERROR(_xlfn.XLOOKUP(G146,Listas!E:E,Listas!F:F,""),"")</f>
        <v>Inversion</v>
      </c>
      <c r="I146" s="47" t="str">
        <f>IFERROR(_xlfn.XLOOKUP(G146,Listas!E:E,Listas!G:G,""),"")</f>
        <v>Externo</v>
      </c>
      <c r="J146" s="44">
        <v>25274</v>
      </c>
      <c r="K146" s="5">
        <v>25274</v>
      </c>
      <c r="L146" s="6" t="s">
        <v>93</v>
      </c>
      <c r="M146" s="45">
        <v>125481.8600000001</v>
      </c>
      <c r="N146" s="68">
        <f>IF(tblMovimientos[[#This Row],[Tipo de Movimiento]]="Ingreso",tblMovimientos[[#This Row],[Monto (S/)]],"0")</f>
        <v>25274</v>
      </c>
      <c r="O146" s="68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40">
        <v>46162</v>
      </c>
      <c r="C147" s="4" t="s">
        <v>17</v>
      </c>
      <c r="D147" s="41" t="s">
        <v>95</v>
      </c>
      <c r="E147" s="4" t="s">
        <v>37</v>
      </c>
      <c r="F147" s="42" t="s">
        <v>9</v>
      </c>
      <c r="G147" s="41" t="s">
        <v>85</v>
      </c>
      <c r="H147" s="4" t="str">
        <f>IFERROR(_xlfn.XLOOKUP(G147,Listas!E:E,Listas!F:F,""),"")</f>
        <v>Operativo</v>
      </c>
      <c r="I147" s="47" t="str">
        <f>IFERROR(_xlfn.XLOOKUP(G147,Listas!E:E,Listas!G:G,""),"")</f>
        <v>Interno</v>
      </c>
      <c r="J147" s="44">
        <v>650000</v>
      </c>
      <c r="K147" s="5">
        <v>650000</v>
      </c>
      <c r="L147" s="6" t="s">
        <v>93</v>
      </c>
      <c r="M147" s="45">
        <v>125481.8600000001</v>
      </c>
      <c r="N147" s="68">
        <f>IF(tblMovimientos[[#This Row],[Tipo de Movimiento]]="Ingreso",tblMovimientos[[#This Row],[Monto (S/)]],"0")</f>
        <v>650000</v>
      </c>
      <c r="O147" s="68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40">
        <v>46162</v>
      </c>
      <c r="C148" s="4" t="s">
        <v>17</v>
      </c>
      <c r="D148" s="41" t="s">
        <v>95</v>
      </c>
      <c r="E148" s="4" t="s">
        <v>37</v>
      </c>
      <c r="F148" s="42" t="s">
        <v>10</v>
      </c>
      <c r="G148" s="41" t="s">
        <v>46</v>
      </c>
      <c r="H148" s="4" t="str">
        <f>IFERROR(_xlfn.XLOOKUP(G148,Listas!E:E,Listas!F:F,""),"")</f>
        <v>Financiamiento</v>
      </c>
      <c r="I148" s="47" t="str">
        <f>IFERROR(_xlfn.XLOOKUP(G148,Listas!E:E,Listas!G:G,""),"")</f>
        <v>Externo</v>
      </c>
      <c r="J148" s="44">
        <v>2366.67</v>
      </c>
      <c r="K148" s="5">
        <v>-2366.67</v>
      </c>
      <c r="L148" s="6" t="s">
        <v>93</v>
      </c>
      <c r="M148" s="45">
        <v>125481.8600000001</v>
      </c>
      <c r="N148" s="68" t="str">
        <f>IF(tblMovimientos[[#This Row],[Tipo de Movimiento]]="Ingreso",tblMovimientos[[#This Row],[Monto (S/)]],"0")</f>
        <v>0</v>
      </c>
      <c r="O148" s="68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40">
        <v>46162</v>
      </c>
      <c r="C149" s="4" t="s">
        <v>17</v>
      </c>
      <c r="D149" s="41" t="s">
        <v>95</v>
      </c>
      <c r="E149" s="4" t="s">
        <v>37</v>
      </c>
      <c r="F149" s="42" t="s">
        <v>10</v>
      </c>
      <c r="G149" s="41" t="s">
        <v>46</v>
      </c>
      <c r="H149" s="4" t="str">
        <f>IFERROR(_xlfn.XLOOKUP(G149,Listas!E:E,Listas!F:F,""),"")</f>
        <v>Financiamiento</v>
      </c>
      <c r="I149" s="47" t="str">
        <f>IFERROR(_xlfn.XLOOKUP(G149,Listas!E:E,Listas!G:G,""),"")</f>
        <v>Externo</v>
      </c>
      <c r="J149" s="44">
        <v>2916.67</v>
      </c>
      <c r="K149" s="5">
        <v>-2916.67</v>
      </c>
      <c r="L149" s="6" t="s">
        <v>93</v>
      </c>
      <c r="M149" s="45">
        <v>125481.8600000001</v>
      </c>
      <c r="N149" s="68" t="str">
        <f>IF(tblMovimientos[[#This Row],[Tipo de Movimiento]]="Ingreso",tblMovimientos[[#This Row],[Monto (S/)]],"0")</f>
        <v>0</v>
      </c>
      <c r="O149" s="68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40">
        <v>46162</v>
      </c>
      <c r="C150" s="4" t="s">
        <v>17</v>
      </c>
      <c r="D150" s="41" t="s">
        <v>95</v>
      </c>
      <c r="E150" s="4" t="s">
        <v>37</v>
      </c>
      <c r="F150" s="42" t="s">
        <v>10</v>
      </c>
      <c r="G150" s="41" t="s">
        <v>46</v>
      </c>
      <c r="H150" s="4" t="str">
        <f>IFERROR(_xlfn.XLOOKUP(G150,Listas!E:E,Listas!F:F,""),"")</f>
        <v>Financiamiento</v>
      </c>
      <c r="I150" s="47" t="str">
        <f>IFERROR(_xlfn.XLOOKUP(G150,Listas!E:E,Listas!G:G,""),"")</f>
        <v>Externo</v>
      </c>
      <c r="J150" s="44">
        <v>3500</v>
      </c>
      <c r="K150" s="5">
        <v>-3500</v>
      </c>
      <c r="L150" s="6" t="s">
        <v>93</v>
      </c>
      <c r="M150" s="45">
        <v>125481.8600000001</v>
      </c>
      <c r="N150" s="68" t="str">
        <f>IF(tblMovimientos[[#This Row],[Tipo de Movimiento]]="Ingreso",tblMovimientos[[#This Row],[Monto (S/)]],"0")</f>
        <v>0</v>
      </c>
      <c r="O150" s="68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40">
        <v>46162</v>
      </c>
      <c r="C151" s="4" t="s">
        <v>17</v>
      </c>
      <c r="D151" s="41" t="s">
        <v>95</v>
      </c>
      <c r="E151" s="4" t="s">
        <v>37</v>
      </c>
      <c r="F151" s="42" t="s">
        <v>10</v>
      </c>
      <c r="G151" s="41" t="s">
        <v>46</v>
      </c>
      <c r="H151" s="4" t="str">
        <f>IFERROR(_xlfn.XLOOKUP(G151,Listas!E:E,Listas!F:F,""),"")</f>
        <v>Financiamiento</v>
      </c>
      <c r="I151" s="47" t="str">
        <f>IFERROR(_xlfn.XLOOKUP(G151,Listas!E:E,Listas!G:G,""),"")</f>
        <v>Externo</v>
      </c>
      <c r="J151" s="44">
        <v>3708.33</v>
      </c>
      <c r="K151" s="5">
        <v>-3708.33</v>
      </c>
      <c r="L151" s="6" t="s">
        <v>93</v>
      </c>
      <c r="M151" s="45">
        <v>125481.8600000001</v>
      </c>
      <c r="N151" s="68" t="str">
        <f>IF(tblMovimientos[[#This Row],[Tipo de Movimiento]]="Ingreso",tblMovimientos[[#This Row],[Monto (S/)]],"0")</f>
        <v>0</v>
      </c>
      <c r="O151" s="68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40">
        <v>46162</v>
      </c>
      <c r="C152" s="4" t="s">
        <v>17</v>
      </c>
      <c r="D152" s="41" t="s">
        <v>95</v>
      </c>
      <c r="E152" s="4" t="s">
        <v>37</v>
      </c>
      <c r="F152" s="42" t="s">
        <v>10</v>
      </c>
      <c r="G152" s="41" t="s">
        <v>46</v>
      </c>
      <c r="H152" s="4" t="str">
        <f>IFERROR(_xlfn.XLOOKUP(G152,Listas!E:E,Listas!F:F,""),"")</f>
        <v>Financiamiento</v>
      </c>
      <c r="I152" s="47" t="str">
        <f>IFERROR(_xlfn.XLOOKUP(G152,Listas!E:E,Listas!G:G,""),"")</f>
        <v>Externo</v>
      </c>
      <c r="J152" s="44">
        <v>10266.67</v>
      </c>
      <c r="K152" s="5">
        <v>-10266.67</v>
      </c>
      <c r="L152" s="6" t="s">
        <v>93</v>
      </c>
      <c r="M152" s="45">
        <v>125481.8600000001</v>
      </c>
      <c r="N152" s="68" t="str">
        <f>IF(tblMovimientos[[#This Row],[Tipo de Movimiento]]="Ingreso",tblMovimientos[[#This Row],[Monto (S/)]],"0")</f>
        <v>0</v>
      </c>
      <c r="O152" s="68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40">
        <v>46162</v>
      </c>
      <c r="C153" s="4" t="s">
        <v>17</v>
      </c>
      <c r="D153" s="41" t="s">
        <v>95</v>
      </c>
      <c r="E153" s="4" t="s">
        <v>37</v>
      </c>
      <c r="F153" s="42" t="s">
        <v>10</v>
      </c>
      <c r="G153" s="41" t="s">
        <v>46</v>
      </c>
      <c r="H153" s="4" t="str">
        <f>IFERROR(_xlfn.XLOOKUP(G153,Listas!E:E,Listas!F:F,""),"")</f>
        <v>Financiamiento</v>
      </c>
      <c r="I153" s="47" t="str">
        <f>IFERROR(_xlfn.XLOOKUP(G153,Listas!E:E,Listas!G:G,""),"")</f>
        <v>Externo</v>
      </c>
      <c r="J153" s="44">
        <v>11666.67</v>
      </c>
      <c r="K153" s="5">
        <v>-11666.67</v>
      </c>
      <c r="L153" s="6" t="s">
        <v>93</v>
      </c>
      <c r="M153" s="45">
        <v>125481.8600000001</v>
      </c>
      <c r="N153" s="68" t="str">
        <f>IF(tblMovimientos[[#This Row],[Tipo de Movimiento]]="Ingreso",tblMovimientos[[#This Row],[Monto (S/)]],"0")</f>
        <v>0</v>
      </c>
      <c r="O153" s="68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40">
        <v>46162</v>
      </c>
      <c r="C154" s="4" t="s">
        <v>17</v>
      </c>
      <c r="D154" s="41" t="s">
        <v>95</v>
      </c>
      <c r="E154" s="4" t="s">
        <v>37</v>
      </c>
      <c r="F154" s="42" t="s">
        <v>10</v>
      </c>
      <c r="G154" s="41" t="s">
        <v>46</v>
      </c>
      <c r="H154" s="4" t="str">
        <f>IFERROR(_xlfn.XLOOKUP(G154,Listas!E:E,Listas!F:F,""),"")</f>
        <v>Financiamiento</v>
      </c>
      <c r="I154" s="47" t="str">
        <f>IFERROR(_xlfn.XLOOKUP(G154,Listas!E:E,Listas!G:G,""),"")</f>
        <v>Externo</v>
      </c>
      <c r="J154" s="44">
        <v>22166.67</v>
      </c>
      <c r="K154" s="5">
        <v>-22166.67</v>
      </c>
      <c r="L154" s="6" t="s">
        <v>93</v>
      </c>
      <c r="M154" s="45">
        <v>125481.8600000001</v>
      </c>
      <c r="N154" s="68" t="str">
        <f>IF(tblMovimientos[[#This Row],[Tipo de Movimiento]]="Ingreso",tblMovimientos[[#This Row],[Monto (S/)]],"0")</f>
        <v>0</v>
      </c>
      <c r="O154" s="68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40">
        <v>46162</v>
      </c>
      <c r="C155" s="4" t="s">
        <v>17</v>
      </c>
      <c r="D155" s="41" t="s">
        <v>95</v>
      </c>
      <c r="E155" s="4" t="s">
        <v>37</v>
      </c>
      <c r="F155" s="42" t="s">
        <v>10</v>
      </c>
      <c r="G155" s="41" t="s">
        <v>46</v>
      </c>
      <c r="H155" s="4" t="str">
        <f>IFERROR(_xlfn.XLOOKUP(G155,Listas!E:E,Listas!F:F,""),"")</f>
        <v>Financiamiento</v>
      </c>
      <c r="I155" s="47" t="str">
        <f>IFERROR(_xlfn.XLOOKUP(G155,Listas!E:E,Listas!G:G,""),"")</f>
        <v>Externo</v>
      </c>
      <c r="J155" s="44">
        <v>23333.33</v>
      </c>
      <c r="K155" s="5">
        <v>-23333.33</v>
      </c>
      <c r="L155" s="6" t="s">
        <v>93</v>
      </c>
      <c r="M155" s="45">
        <v>125481.8600000001</v>
      </c>
      <c r="N155" s="68" t="str">
        <f>IF(tblMovimientos[[#This Row],[Tipo de Movimiento]]="Ingreso",tblMovimientos[[#This Row],[Monto (S/)]],"0")</f>
        <v>0</v>
      </c>
      <c r="O155" s="68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40">
        <v>46162</v>
      </c>
      <c r="C156" s="4" t="s">
        <v>17</v>
      </c>
      <c r="D156" s="41" t="s">
        <v>95</v>
      </c>
      <c r="E156" s="4" t="s">
        <v>37</v>
      </c>
      <c r="F156" s="42" t="s">
        <v>10</v>
      </c>
      <c r="G156" s="41" t="s">
        <v>61</v>
      </c>
      <c r="H156" s="4" t="str">
        <f>IFERROR(_xlfn.XLOOKUP(G156,Listas!E:E,Listas!F:F,""),"")</f>
        <v>Operativo</v>
      </c>
      <c r="I156" s="47" t="str">
        <f>IFERROR(_xlfn.XLOOKUP(G156,Listas!E:E,Listas!G:G,""),"")</f>
        <v>Externo</v>
      </c>
      <c r="J156" s="44">
        <v>35000</v>
      </c>
      <c r="K156" s="5">
        <v>-35000</v>
      </c>
      <c r="L156" s="6" t="s">
        <v>93</v>
      </c>
      <c r="M156" s="45">
        <v>125481.8600000001</v>
      </c>
      <c r="N156" s="68" t="str">
        <f>IF(tblMovimientos[[#This Row],[Tipo de Movimiento]]="Ingreso",tblMovimientos[[#This Row],[Monto (S/)]],"0")</f>
        <v>0</v>
      </c>
      <c r="O156" s="68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40">
        <v>46162</v>
      </c>
      <c r="C157" s="4" t="s">
        <v>17</v>
      </c>
      <c r="D157" s="41" t="s">
        <v>95</v>
      </c>
      <c r="E157" s="4" t="s">
        <v>37</v>
      </c>
      <c r="F157" s="42" t="s">
        <v>10</v>
      </c>
      <c r="G157" s="41" t="s">
        <v>61</v>
      </c>
      <c r="H157" s="4" t="str">
        <f>IFERROR(_xlfn.XLOOKUP(G157,Listas!E:E,Listas!F:F,""),"")</f>
        <v>Operativo</v>
      </c>
      <c r="I157" s="47" t="str">
        <f>IFERROR(_xlfn.XLOOKUP(G157,Listas!E:E,Listas!G:G,""),"")</f>
        <v>Externo</v>
      </c>
      <c r="J157" s="44">
        <v>65000</v>
      </c>
      <c r="K157" s="5">
        <v>-65000</v>
      </c>
      <c r="L157" s="6" t="s">
        <v>93</v>
      </c>
      <c r="M157" s="45">
        <v>125481.8600000001</v>
      </c>
      <c r="N157" s="68" t="str">
        <f>IF(tblMovimientos[[#This Row],[Tipo de Movimiento]]="Ingreso",tblMovimientos[[#This Row],[Monto (S/)]],"0")</f>
        <v>0</v>
      </c>
      <c r="O157" s="68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40">
        <v>46162</v>
      </c>
      <c r="C158" s="4" t="s">
        <v>17</v>
      </c>
      <c r="D158" s="41" t="s">
        <v>95</v>
      </c>
      <c r="E158" s="4" t="s">
        <v>37</v>
      </c>
      <c r="F158" s="42" t="s">
        <v>10</v>
      </c>
      <c r="G158" s="41" t="s">
        <v>46</v>
      </c>
      <c r="H158" s="4" t="str">
        <f>IFERROR(_xlfn.XLOOKUP(G158,Listas!E:E,Listas!F:F,""),"")</f>
        <v>Financiamiento</v>
      </c>
      <c r="I158" s="47" t="str">
        <f>IFERROR(_xlfn.XLOOKUP(G158,Listas!E:E,Listas!G:G,""),"")</f>
        <v>Externo</v>
      </c>
      <c r="J158" s="44">
        <v>68750</v>
      </c>
      <c r="K158" s="5">
        <v>-68750</v>
      </c>
      <c r="L158" s="6" t="s">
        <v>93</v>
      </c>
      <c r="M158" s="45">
        <v>125481.8600000001</v>
      </c>
      <c r="N158" s="68" t="str">
        <f>IF(tblMovimientos[[#This Row],[Tipo de Movimiento]]="Ingreso",tblMovimientos[[#This Row],[Monto (S/)]],"0")</f>
        <v>0</v>
      </c>
      <c r="O158" s="68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40">
        <v>46162</v>
      </c>
      <c r="C159" s="4" t="s">
        <v>17</v>
      </c>
      <c r="D159" s="41" t="s">
        <v>95</v>
      </c>
      <c r="E159" s="4" t="s">
        <v>37</v>
      </c>
      <c r="F159" s="42" t="s">
        <v>10</v>
      </c>
      <c r="G159" s="41" t="s">
        <v>61</v>
      </c>
      <c r="H159" s="4" t="str">
        <f>IFERROR(_xlfn.XLOOKUP(G159,Listas!E:E,Listas!F:F,""),"")</f>
        <v>Operativo</v>
      </c>
      <c r="I159" s="47" t="str">
        <f>IFERROR(_xlfn.XLOOKUP(G159,Listas!E:E,Listas!G:G,""),"")</f>
        <v>Externo</v>
      </c>
      <c r="J159" s="44">
        <v>100000</v>
      </c>
      <c r="K159" s="5">
        <v>-100000</v>
      </c>
      <c r="L159" s="6" t="s">
        <v>93</v>
      </c>
      <c r="M159" s="45">
        <v>125481.8600000001</v>
      </c>
      <c r="N159" s="68" t="str">
        <f>IF(tblMovimientos[[#This Row],[Tipo de Movimiento]]="Ingreso",tblMovimientos[[#This Row],[Monto (S/)]],"0")</f>
        <v>0</v>
      </c>
      <c r="O159" s="68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40">
        <v>46162</v>
      </c>
      <c r="C160" s="4" t="s">
        <v>17</v>
      </c>
      <c r="D160" s="41" t="s">
        <v>95</v>
      </c>
      <c r="E160" s="4" t="s">
        <v>37</v>
      </c>
      <c r="F160" s="42" t="s">
        <v>10</v>
      </c>
      <c r="G160" s="41" t="s">
        <v>62</v>
      </c>
      <c r="H160" s="4" t="str">
        <f>IFERROR(_xlfn.XLOOKUP(G160,Listas!E:E,Listas!F:F,""),"")</f>
        <v>Operativo</v>
      </c>
      <c r="I160" s="47" t="str">
        <f>IFERROR(_xlfn.XLOOKUP(G160,Listas!E:E,Listas!G:G,""),"")</f>
        <v>Interno</v>
      </c>
      <c r="J160" s="44">
        <v>350000</v>
      </c>
      <c r="K160" s="5">
        <v>-350000</v>
      </c>
      <c r="L160" s="6" t="s">
        <v>93</v>
      </c>
      <c r="M160" s="45">
        <v>125481.8600000001</v>
      </c>
      <c r="N160" s="68" t="str">
        <f>IF(tblMovimientos[[#This Row],[Tipo de Movimiento]]="Ingreso",tblMovimientos[[#This Row],[Monto (S/)]],"0")</f>
        <v>0</v>
      </c>
      <c r="O160" s="68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40">
        <v>46162</v>
      </c>
      <c r="C161" s="4" t="s">
        <v>21</v>
      </c>
      <c r="D161" s="41" t="s">
        <v>104</v>
      </c>
      <c r="E161" s="4" t="s">
        <v>37</v>
      </c>
      <c r="F161" s="42" t="s">
        <v>10</v>
      </c>
      <c r="G161" s="41" t="s">
        <v>60</v>
      </c>
      <c r="H161" s="4" t="str">
        <f>IFERROR(_xlfn.XLOOKUP(G161,Listas!E:E,Listas!F:F,""),"")</f>
        <v>Inversion</v>
      </c>
      <c r="I161" s="47" t="str">
        <f>IFERROR(_xlfn.XLOOKUP(G161,Listas!E:E,Listas!G:G,""),"")</f>
        <v>Interno</v>
      </c>
      <c r="J161" s="44">
        <v>50000</v>
      </c>
      <c r="K161" s="5">
        <v>-50000</v>
      </c>
      <c r="L161" s="6" t="s">
        <v>93</v>
      </c>
      <c r="M161" s="45">
        <v>211018.51999999938</v>
      </c>
      <c r="N161" s="68" t="str">
        <f>IF(tblMovimientos[[#This Row],[Tipo de Movimiento]]="Ingreso",tblMovimientos[[#This Row],[Monto (S/)]],"0")</f>
        <v>0</v>
      </c>
      <c r="O161" s="68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40">
        <v>46162</v>
      </c>
      <c r="C162" s="4" t="s">
        <v>21</v>
      </c>
      <c r="D162" s="42" t="s">
        <v>104</v>
      </c>
      <c r="E162" s="4" t="s">
        <v>37</v>
      </c>
      <c r="F162" s="42" t="s">
        <v>10</v>
      </c>
      <c r="G162" s="42" t="s">
        <v>60</v>
      </c>
      <c r="H162" s="4" t="str">
        <f>IFERROR(_xlfn.XLOOKUP(G162,Listas!E:E,Listas!F:F,""),"")</f>
        <v>Inversion</v>
      </c>
      <c r="I162" s="47" t="str">
        <f>IFERROR(_xlfn.XLOOKUP(G162,Listas!E:E,Listas!G:G,""),"")</f>
        <v>Interno</v>
      </c>
      <c r="J162" s="44">
        <v>100000</v>
      </c>
      <c r="K162" s="5">
        <v>-100000</v>
      </c>
      <c r="L162" s="6" t="s">
        <v>93</v>
      </c>
      <c r="M162" s="45">
        <v>211018.51999999938</v>
      </c>
      <c r="N162" s="68" t="str">
        <f>IF(tblMovimientos[[#This Row],[Tipo de Movimiento]]="Ingreso",tblMovimientos[[#This Row],[Monto (S/)]],"0")</f>
        <v>0</v>
      </c>
      <c r="O162" s="68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40">
        <v>46162</v>
      </c>
      <c r="C163" s="4" t="s">
        <v>21</v>
      </c>
      <c r="D163" s="42" t="s">
        <v>104</v>
      </c>
      <c r="E163" s="4" t="s">
        <v>37</v>
      </c>
      <c r="F163" s="42" t="s">
        <v>9</v>
      </c>
      <c r="G163" s="42" t="s">
        <v>75</v>
      </c>
      <c r="H163" s="4" t="str">
        <f>IFERROR(_xlfn.XLOOKUP(G163,Listas!E:E,Listas!F:F,""),"")</f>
        <v>Financiamiento</v>
      </c>
      <c r="I163" s="47" t="str">
        <f>IFERROR(_xlfn.XLOOKUP(G163,Listas!E:E,Listas!G:G,""),"")</f>
        <v>Interno</v>
      </c>
      <c r="J163" s="44">
        <v>350000</v>
      </c>
      <c r="K163" s="5">
        <v>350000</v>
      </c>
      <c r="L163" s="6" t="s">
        <v>93</v>
      </c>
      <c r="M163" s="45">
        <v>211018.51999999938</v>
      </c>
      <c r="N163" s="68">
        <f>IF(tblMovimientos[[#This Row],[Tipo de Movimiento]]="Ingreso",tblMovimientos[[#This Row],[Monto (S/)]],"0")</f>
        <v>350000</v>
      </c>
      <c r="O163" s="68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40">
        <v>46162</v>
      </c>
      <c r="C164" s="4" t="s">
        <v>35</v>
      </c>
      <c r="D164" s="42" t="s">
        <v>126</v>
      </c>
      <c r="E164" s="4" t="s">
        <v>37</v>
      </c>
      <c r="F164" s="42" t="s">
        <v>10</v>
      </c>
      <c r="G164" s="42" t="s">
        <v>38</v>
      </c>
      <c r="H164" s="4" t="str">
        <f>IFERROR(_xlfn.XLOOKUP(G164,Listas!E:E,Listas!F:F,""),"")</f>
        <v>Operativo</v>
      </c>
      <c r="I164" s="47" t="str">
        <f>IFERROR(_xlfn.XLOOKUP(G164,Listas!E:E,Listas!G:G,""),"")</f>
        <v>Externo</v>
      </c>
      <c r="J164" s="44">
        <v>5199.1400000000003</v>
      </c>
      <c r="K164" s="5">
        <v>-5199.1400000000003</v>
      </c>
      <c r="L164" s="6" t="s">
        <v>93</v>
      </c>
      <c r="M164" s="45">
        <v>8168.0700000000006</v>
      </c>
      <c r="N164" s="68" t="str">
        <f>IF(tblMovimientos[[#This Row],[Tipo de Movimiento]]="Ingreso",tblMovimientos[[#This Row],[Monto (S/)]],"0")</f>
        <v>0</v>
      </c>
      <c r="O164" s="68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0">
        <v>46162</v>
      </c>
      <c r="C165" s="4" t="s">
        <v>35</v>
      </c>
      <c r="D165" s="42" t="s">
        <v>126</v>
      </c>
      <c r="E165" s="4" t="s">
        <v>37</v>
      </c>
      <c r="F165" s="42" t="s">
        <v>10</v>
      </c>
      <c r="G165" s="42" t="s">
        <v>38</v>
      </c>
      <c r="H165" s="4" t="str">
        <f>IFERROR(_xlfn.XLOOKUP(G165,Listas!E:E,Listas!F:F,""),"")</f>
        <v>Operativo</v>
      </c>
      <c r="I165" s="47" t="str">
        <f>IFERROR(_xlfn.XLOOKUP(G165,Listas!E:E,Listas!G:G,""),"")</f>
        <v>Externo</v>
      </c>
      <c r="J165" s="44">
        <v>5450</v>
      </c>
      <c r="K165" s="5">
        <v>-5450</v>
      </c>
      <c r="L165" s="6" t="s">
        <v>93</v>
      </c>
      <c r="M165" s="45">
        <v>8168.0700000000006</v>
      </c>
      <c r="N165" s="68" t="str">
        <f>IF(tblMovimientos[[#This Row],[Tipo de Movimiento]]="Ingreso",tblMovimientos[[#This Row],[Monto (S/)]],"0")</f>
        <v>0</v>
      </c>
      <c r="O165" s="68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40">
        <v>46163</v>
      </c>
      <c r="C166" s="4" t="s">
        <v>20</v>
      </c>
      <c r="D166" s="42" t="s">
        <v>100</v>
      </c>
      <c r="E166" s="4" t="s">
        <v>36</v>
      </c>
      <c r="F166" s="42" t="s">
        <v>10</v>
      </c>
      <c r="G166" s="42" t="s">
        <v>61</v>
      </c>
      <c r="H166" s="4" t="str">
        <f>IFERROR(_xlfn.XLOOKUP(G166,Listas!E:E,Listas!F:F,""),"")</f>
        <v>Operativo</v>
      </c>
      <c r="I166" s="47" t="str">
        <f>IFERROR(_xlfn.XLOOKUP(G166,Listas!E:E,Listas!G:G,""),"")</f>
        <v>Externo</v>
      </c>
      <c r="J166" s="44">
        <v>60000</v>
      </c>
      <c r="K166" s="5">
        <v>-60000</v>
      </c>
      <c r="L166" s="6" t="s">
        <v>93</v>
      </c>
      <c r="M166" s="45">
        <v>497076.20999999985</v>
      </c>
      <c r="N166" s="68" t="str">
        <f>IF(tblMovimientos[[#This Row],[Tipo de Movimiento]]="Ingreso",tblMovimientos[[#This Row],[Monto (S/)]],"0")</f>
        <v>0</v>
      </c>
      <c r="O166" s="68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40">
        <v>46163</v>
      </c>
      <c r="C167" s="4" t="s">
        <v>20</v>
      </c>
      <c r="D167" s="42" t="s">
        <v>100</v>
      </c>
      <c r="E167" s="4" t="s">
        <v>36</v>
      </c>
      <c r="F167" s="42" t="s">
        <v>10</v>
      </c>
      <c r="G167" s="42" t="s">
        <v>60</v>
      </c>
      <c r="H167" s="4" t="str">
        <f>IFERROR(_xlfn.XLOOKUP(G167,Listas!E:E,Listas!F:F,""),"")</f>
        <v>Inversion</v>
      </c>
      <c r="I167" s="47" t="str">
        <f>IFERROR(_xlfn.XLOOKUP(G167,Listas!E:E,Listas!G:G,""),"")</f>
        <v>Interno</v>
      </c>
      <c r="J167" s="44">
        <v>75000</v>
      </c>
      <c r="K167" s="5">
        <v>-75000</v>
      </c>
      <c r="L167" s="6" t="s">
        <v>93</v>
      </c>
      <c r="M167" s="45">
        <v>497076.20999999985</v>
      </c>
      <c r="N167" s="68" t="str">
        <f>IF(tblMovimientos[[#This Row],[Tipo de Movimiento]]="Ingreso",tblMovimientos[[#This Row],[Monto (S/)]],"0")</f>
        <v>0</v>
      </c>
      <c r="O167" s="68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40">
        <v>46163</v>
      </c>
      <c r="C168" s="4" t="s">
        <v>20</v>
      </c>
      <c r="D168" s="42" t="s">
        <v>100</v>
      </c>
      <c r="E168" s="4" t="s">
        <v>36</v>
      </c>
      <c r="F168" s="42" t="s">
        <v>10</v>
      </c>
      <c r="G168" s="42" t="s">
        <v>61</v>
      </c>
      <c r="H168" s="4" t="str">
        <f>IFERROR(_xlfn.XLOOKUP(G168,Listas!E:E,Listas!F:F,""),"")</f>
        <v>Operativo</v>
      </c>
      <c r="I168" s="47" t="str">
        <f>IFERROR(_xlfn.XLOOKUP(G168,Listas!E:E,Listas!G:G,""),"")</f>
        <v>Externo</v>
      </c>
      <c r="J168" s="44">
        <v>100000</v>
      </c>
      <c r="K168" s="5">
        <v>-100000</v>
      </c>
      <c r="L168" s="6" t="s">
        <v>93</v>
      </c>
      <c r="M168" s="45">
        <v>497076.20999999985</v>
      </c>
      <c r="N168" s="68" t="str">
        <f>IF(tblMovimientos[[#This Row],[Tipo de Movimiento]]="Ingreso",tblMovimientos[[#This Row],[Monto (S/)]],"0")</f>
        <v>0</v>
      </c>
      <c r="O168" s="68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40">
        <v>46163</v>
      </c>
      <c r="C169" s="4" t="s">
        <v>20</v>
      </c>
      <c r="D169" s="42" t="s">
        <v>100</v>
      </c>
      <c r="E169" s="4" t="s">
        <v>36</v>
      </c>
      <c r="F169" s="42" t="s">
        <v>10</v>
      </c>
      <c r="G169" s="42" t="s">
        <v>61</v>
      </c>
      <c r="H169" s="4" t="str">
        <f>IFERROR(_xlfn.XLOOKUP(G169,Listas!E:E,Listas!F:F,""),"")</f>
        <v>Operativo</v>
      </c>
      <c r="I169" s="47" t="str">
        <f>IFERROR(_xlfn.XLOOKUP(G169,Listas!E:E,Listas!G:G,""),"")</f>
        <v>Externo</v>
      </c>
      <c r="J169" s="44">
        <v>100000</v>
      </c>
      <c r="K169" s="5">
        <v>-100000</v>
      </c>
      <c r="L169" s="6" t="s">
        <v>93</v>
      </c>
      <c r="M169" s="45">
        <v>497076.20999999985</v>
      </c>
      <c r="N169" s="68" t="str">
        <f>IF(tblMovimientos[[#This Row],[Tipo de Movimiento]]="Ingreso",tblMovimientos[[#This Row],[Monto (S/)]],"0")</f>
        <v>0</v>
      </c>
      <c r="O169" s="68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40">
        <v>46163</v>
      </c>
      <c r="C170" s="4" t="s">
        <v>18</v>
      </c>
      <c r="D170" s="42" t="s">
        <v>97</v>
      </c>
      <c r="E170" s="4" t="s">
        <v>37</v>
      </c>
      <c r="F170" s="42" t="s">
        <v>9</v>
      </c>
      <c r="G170" s="42" t="s">
        <v>87</v>
      </c>
      <c r="H170" s="4" t="str">
        <f>IFERROR(_xlfn.XLOOKUP(G170,Listas!E:E,Listas!F:F,""),"")</f>
        <v>Operativo</v>
      </c>
      <c r="I170" s="47" t="str">
        <f>IFERROR(_xlfn.XLOOKUP(G170,Listas!E:E,Listas!G:G,""),"")</f>
        <v>Externo</v>
      </c>
      <c r="J170" s="44">
        <v>600000</v>
      </c>
      <c r="K170" s="5">
        <v>600000</v>
      </c>
      <c r="L170" s="6" t="s">
        <v>93</v>
      </c>
      <c r="M170" s="45">
        <v>654760.15999999992</v>
      </c>
      <c r="N170" s="68">
        <f>IF(tblMovimientos[[#This Row],[Tipo de Movimiento]]="Ingreso",tblMovimientos[[#This Row],[Monto (S/)]],"0")</f>
        <v>600000</v>
      </c>
      <c r="O170" s="68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40">
        <v>46163</v>
      </c>
      <c r="C171" s="4" t="s">
        <v>23</v>
      </c>
      <c r="D171" s="42" t="s">
        <v>112</v>
      </c>
      <c r="E171" s="4" t="s">
        <v>36</v>
      </c>
      <c r="F171" s="42" t="s">
        <v>9</v>
      </c>
      <c r="G171" s="42" t="s">
        <v>67</v>
      </c>
      <c r="H171" s="4" t="str">
        <f>IFERROR(_xlfn.XLOOKUP(G171,Listas!E:E,Listas!F:F,""),"")</f>
        <v>Inversion</v>
      </c>
      <c r="I171" s="47" t="str">
        <f>IFERROR(_xlfn.XLOOKUP(G171,Listas!E:E,Listas!G:G,""),"")</f>
        <v>Interno</v>
      </c>
      <c r="J171" s="44">
        <v>75000</v>
      </c>
      <c r="K171" s="5">
        <v>75000</v>
      </c>
      <c r="L171" s="6" t="s">
        <v>93</v>
      </c>
      <c r="M171" s="45">
        <v>88090.37</v>
      </c>
      <c r="N171" s="68">
        <f>IF(tblMovimientos[[#This Row],[Tipo de Movimiento]]="Ingreso",tblMovimientos[[#This Row],[Monto (S/)]],"0")</f>
        <v>75000</v>
      </c>
      <c r="O171" s="68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40">
        <v>46164</v>
      </c>
      <c r="C172" s="4" t="s">
        <v>21</v>
      </c>
      <c r="D172" s="42" t="s">
        <v>101</v>
      </c>
      <c r="E172" s="4" t="s">
        <v>36</v>
      </c>
      <c r="F172" s="42" t="s">
        <v>10</v>
      </c>
      <c r="G172" s="42" t="s">
        <v>38</v>
      </c>
      <c r="H172" s="4" t="str">
        <f>IFERROR(_xlfn.XLOOKUP(G172,Listas!E:E,Listas!F:F,""),"")</f>
        <v>Operativo</v>
      </c>
      <c r="I172" s="47" t="str">
        <f>IFERROR(_xlfn.XLOOKUP(G172,Listas!E:E,Listas!G:G,""),"")</f>
        <v>Externo</v>
      </c>
      <c r="J172" s="44">
        <v>762.99</v>
      </c>
      <c r="K172" s="5">
        <v>-762.99</v>
      </c>
      <c r="L172" s="6" t="s">
        <v>93</v>
      </c>
      <c r="M172" s="45">
        <v>11562.970000000001</v>
      </c>
      <c r="N172" s="68" t="str">
        <f>IF(tblMovimientos[[#This Row],[Tipo de Movimiento]]="Ingreso",tblMovimientos[[#This Row],[Monto (S/)]],"0")</f>
        <v>0</v>
      </c>
      <c r="O172" s="68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40">
        <v>46168</v>
      </c>
      <c r="C173" s="4" t="s">
        <v>17</v>
      </c>
      <c r="D173" s="42" t="s">
        <v>94</v>
      </c>
      <c r="E173" s="4" t="s">
        <v>36</v>
      </c>
      <c r="F173" s="42" t="s">
        <v>9</v>
      </c>
      <c r="G173" s="42" t="s">
        <v>68</v>
      </c>
      <c r="H173" s="4" t="str">
        <f>IFERROR(_xlfn.XLOOKUP(G173,Listas!E:E,Listas!F:F,""),"")</f>
        <v>Operativo</v>
      </c>
      <c r="I173" s="47" t="str">
        <f>IFERROR(_xlfn.XLOOKUP(G173,Listas!E:E,Listas!G:G,""),"")</f>
        <v>Externo</v>
      </c>
      <c r="J173" s="44">
        <v>110832.53</v>
      </c>
      <c r="K173" s="5">
        <v>110832.53</v>
      </c>
      <c r="L173" s="6" t="s">
        <v>93</v>
      </c>
      <c r="M173" s="45">
        <v>122416.43999999997</v>
      </c>
      <c r="N173" s="68">
        <f>IF(tblMovimientos[[#This Row],[Tipo de Movimiento]]="Ingreso",tblMovimientos[[#This Row],[Monto (S/)]],"0")</f>
        <v>110832.53</v>
      </c>
      <c r="O173" s="68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40">
        <v>46168</v>
      </c>
      <c r="C174" s="4" t="s">
        <v>18</v>
      </c>
      <c r="D174" s="42" t="s">
        <v>97</v>
      </c>
      <c r="E174" s="4" t="s">
        <v>37</v>
      </c>
      <c r="F174" s="42" t="s">
        <v>9</v>
      </c>
      <c r="G174" s="42" t="s">
        <v>87</v>
      </c>
      <c r="H174" s="4" t="str">
        <f>IFERROR(_xlfn.XLOOKUP(G174,Listas!E:E,Listas!F:F,""),"")</f>
        <v>Operativo</v>
      </c>
      <c r="I174" s="47" t="str">
        <f>IFERROR(_xlfn.XLOOKUP(G174,Listas!E:E,Listas!G:G,""),"")</f>
        <v>Externo</v>
      </c>
      <c r="J174" s="44">
        <v>600000</v>
      </c>
      <c r="K174" s="5">
        <v>600000</v>
      </c>
      <c r="L174" s="6" t="s">
        <v>93</v>
      </c>
      <c r="M174" s="45">
        <v>1254760.1600000001</v>
      </c>
      <c r="N174" s="68">
        <f>IF(tblMovimientos[[#This Row],[Tipo de Movimiento]]="Ingreso",tblMovimientos[[#This Row],[Monto (S/)]],"0")</f>
        <v>600000</v>
      </c>
      <c r="O174" s="68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40">
        <v>46169</v>
      </c>
      <c r="C175" s="4" t="s">
        <v>20</v>
      </c>
      <c r="D175" s="42" t="s">
        <v>100</v>
      </c>
      <c r="E175" s="4" t="s">
        <v>36</v>
      </c>
      <c r="F175" s="42" t="s">
        <v>9</v>
      </c>
      <c r="G175" s="42" t="s">
        <v>68</v>
      </c>
      <c r="H175" s="4" t="str">
        <f>IFERROR(_xlfn.XLOOKUP(G175,Listas!E:E,Listas!F:F,""),"")</f>
        <v>Operativo</v>
      </c>
      <c r="I175" s="47" t="str">
        <f>IFERROR(_xlfn.XLOOKUP(G175,Listas!E:E,Listas!G:G,""),"")</f>
        <v>Externo</v>
      </c>
      <c r="J175" s="44">
        <v>17540.53</v>
      </c>
      <c r="K175" s="5">
        <v>17540.53</v>
      </c>
      <c r="L175" s="6" t="s">
        <v>93</v>
      </c>
      <c r="M175" s="45">
        <v>514616.73999999987</v>
      </c>
      <c r="N175" s="68">
        <f>IF(tblMovimientos[[#This Row],[Tipo de Movimiento]]="Ingreso",tblMovimientos[[#This Row],[Monto (S/)]],"0")</f>
        <v>17540.53</v>
      </c>
      <c r="O175" s="68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40">
        <v>46169</v>
      </c>
      <c r="C176" s="4" t="s">
        <v>17</v>
      </c>
      <c r="D176" s="42" t="s">
        <v>94</v>
      </c>
      <c r="E176" s="4" t="s">
        <v>36</v>
      </c>
      <c r="F176" s="42" t="s">
        <v>9</v>
      </c>
      <c r="G176" s="42" t="s">
        <v>68</v>
      </c>
      <c r="H176" s="4" t="str">
        <f>IFERROR(_xlfn.XLOOKUP(G176,Listas!E:E,Listas!F:F,""),"")</f>
        <v>Operativo</v>
      </c>
      <c r="I176" s="47" t="str">
        <f>IFERROR(_xlfn.XLOOKUP(G176,Listas!E:E,Listas!G:G,""),"")</f>
        <v>Externo</v>
      </c>
      <c r="J176" s="44">
        <v>6217.37</v>
      </c>
      <c r="K176" s="5">
        <v>6217.37</v>
      </c>
      <c r="L176" s="6" t="s">
        <v>93</v>
      </c>
      <c r="M176" s="45">
        <v>128633.80999999997</v>
      </c>
      <c r="N176" s="68">
        <f>IF(tblMovimientos[[#This Row],[Tipo de Movimiento]]="Ingreso",tblMovimientos[[#This Row],[Monto (S/)]],"0")</f>
        <v>6217.37</v>
      </c>
      <c r="O176" s="68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40">
        <v>46169</v>
      </c>
      <c r="C177" s="4" t="s">
        <v>33</v>
      </c>
      <c r="D177" s="42" t="s">
        <v>124</v>
      </c>
      <c r="E177" s="4" t="s">
        <v>36</v>
      </c>
      <c r="F177" s="42" t="s">
        <v>9</v>
      </c>
      <c r="G177" s="42" t="s">
        <v>81</v>
      </c>
      <c r="H177" s="4" t="str">
        <f>IFERROR(_xlfn.XLOOKUP(G177,Listas!E:E,Listas!F:F,""),"")</f>
        <v>Operativo</v>
      </c>
      <c r="I177" s="47" t="str">
        <f>IFERROR(_xlfn.XLOOKUP(G177,Listas!E:E,Listas!G:G,""),"")</f>
        <v>Externo</v>
      </c>
      <c r="J177" s="44">
        <v>4400</v>
      </c>
      <c r="K177" s="5">
        <v>4400</v>
      </c>
      <c r="L177" s="6" t="s">
        <v>93</v>
      </c>
      <c r="M177" s="45">
        <v>33606.270000000004</v>
      </c>
      <c r="N177" s="68">
        <f>IF(tblMovimientos[[#This Row],[Tipo de Movimiento]]="Ingreso",tblMovimientos[[#This Row],[Monto (S/)]],"0")</f>
        <v>4400</v>
      </c>
      <c r="O177" s="68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40">
        <v>46169</v>
      </c>
      <c r="C178" s="4" t="s">
        <v>22</v>
      </c>
      <c r="D178" s="42" t="s">
        <v>111</v>
      </c>
      <c r="E178" s="4" t="s">
        <v>37</v>
      </c>
      <c r="F178" s="42" t="s">
        <v>10</v>
      </c>
      <c r="G178" s="42" t="s">
        <v>53</v>
      </c>
      <c r="H178" s="4" t="str">
        <f>IFERROR(_xlfn.XLOOKUP(G178,Listas!E:E,Listas!F:F,""),"")</f>
        <v>Inversion</v>
      </c>
      <c r="I178" s="47" t="str">
        <f>IFERROR(_xlfn.XLOOKUP(G178,Listas!E:E,Listas!G:G,""),"")</f>
        <v>Interno</v>
      </c>
      <c r="J178" s="44">
        <v>10000</v>
      </c>
      <c r="K178" s="5">
        <v>-10000</v>
      </c>
      <c r="L178" s="6" t="s">
        <v>93</v>
      </c>
      <c r="M178" s="45">
        <v>10717.600000000006</v>
      </c>
      <c r="N178" s="68" t="str">
        <f>IF(tblMovimientos[[#This Row],[Tipo de Movimiento]]="Ingreso",tblMovimientos[[#This Row],[Monto (S/)]],"0")</f>
        <v>0</v>
      </c>
      <c r="O178" s="68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40">
        <v>46169</v>
      </c>
      <c r="C179" s="4" t="s">
        <v>34</v>
      </c>
      <c r="D179" s="42" t="s">
        <v>125</v>
      </c>
      <c r="E179" s="4" t="s">
        <v>37</v>
      </c>
      <c r="F179" s="42" t="s">
        <v>9</v>
      </c>
      <c r="G179" s="42" t="s">
        <v>77</v>
      </c>
      <c r="H179" s="4" t="str">
        <f>IFERROR(_xlfn.XLOOKUP(G179,Listas!E:E,Listas!F:F,""),"")</f>
        <v>Inversion</v>
      </c>
      <c r="I179" s="47" t="str">
        <f>IFERROR(_xlfn.XLOOKUP(G179,Listas!E:E,Listas!G:G,""),"")</f>
        <v>Interno</v>
      </c>
      <c r="J179" s="44">
        <v>10000</v>
      </c>
      <c r="K179" s="5">
        <v>10000</v>
      </c>
      <c r="L179" s="6" t="s">
        <v>93</v>
      </c>
      <c r="M179" s="45">
        <v>345</v>
      </c>
      <c r="N179" s="68">
        <f>IF(tblMovimientos[[#This Row],[Tipo de Movimiento]]="Ingreso",tblMovimientos[[#This Row],[Monto (S/)]],"0")</f>
        <v>10000</v>
      </c>
      <c r="O179" s="68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40">
        <v>46169</v>
      </c>
      <c r="C180" s="4" t="s">
        <v>34</v>
      </c>
      <c r="D180" s="42" t="s">
        <v>125</v>
      </c>
      <c r="E180" s="4" t="s">
        <v>37</v>
      </c>
      <c r="F180" s="42" t="s">
        <v>10</v>
      </c>
      <c r="G180" s="42" t="s">
        <v>53</v>
      </c>
      <c r="H180" s="4" t="str">
        <f>IFERROR(_xlfn.XLOOKUP(G180,Listas!E:E,Listas!F:F,""),"")</f>
        <v>Inversion</v>
      </c>
      <c r="I180" s="47" t="str">
        <f>IFERROR(_xlfn.XLOOKUP(G180,Listas!E:E,Listas!G:G,""),"")</f>
        <v>Interno</v>
      </c>
      <c r="J180" s="44">
        <v>10000</v>
      </c>
      <c r="K180" s="5">
        <v>-10000</v>
      </c>
      <c r="L180" s="6" t="s">
        <v>93</v>
      </c>
      <c r="M180" s="45">
        <v>345</v>
      </c>
      <c r="N180" s="68" t="str">
        <f>IF(tblMovimientos[[#This Row],[Tipo de Movimiento]]="Ingreso",tblMovimientos[[#This Row],[Monto (S/)]],"0")</f>
        <v>0</v>
      </c>
      <c r="O180" s="68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40">
        <v>46169</v>
      </c>
      <c r="C181" s="4" t="s">
        <v>35</v>
      </c>
      <c r="D181" s="42" t="s">
        <v>126</v>
      </c>
      <c r="E181" s="4" t="s">
        <v>37</v>
      </c>
      <c r="F181" s="42" t="s">
        <v>10</v>
      </c>
      <c r="G181" s="42" t="s">
        <v>38</v>
      </c>
      <c r="H181" s="4" t="str">
        <f>IFERROR(_xlfn.XLOOKUP(G181,Listas!E:E,Listas!F:F,""),"")</f>
        <v>Operativo</v>
      </c>
      <c r="I181" s="47" t="str">
        <f>IFERROR(_xlfn.XLOOKUP(G181,Listas!E:E,Listas!G:G,""),"")</f>
        <v>Externo</v>
      </c>
      <c r="J181" s="44">
        <v>51.35</v>
      </c>
      <c r="K181" s="5">
        <v>-51.35</v>
      </c>
      <c r="L181" s="6" t="s">
        <v>93</v>
      </c>
      <c r="M181" s="45">
        <v>17588.03</v>
      </c>
      <c r="N181" s="68" t="str">
        <f>IF(tblMovimientos[[#This Row],[Tipo de Movimiento]]="Ingreso",tblMovimientos[[#This Row],[Monto (S/)]],"0")</f>
        <v>0</v>
      </c>
      <c r="O181" s="68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40">
        <v>46169</v>
      </c>
      <c r="C182" s="4" t="s">
        <v>35</v>
      </c>
      <c r="D182" s="42" t="s">
        <v>126</v>
      </c>
      <c r="E182" s="4" t="s">
        <v>37</v>
      </c>
      <c r="F182" s="42" t="s">
        <v>10</v>
      </c>
      <c r="G182" s="42" t="s">
        <v>38</v>
      </c>
      <c r="H182" s="4" t="str">
        <f>IFERROR(_xlfn.XLOOKUP(G182,Listas!E:E,Listas!F:F,""),"")</f>
        <v>Operativo</v>
      </c>
      <c r="I182" s="47" t="str">
        <f>IFERROR(_xlfn.XLOOKUP(G182,Listas!E:E,Listas!G:G,""),"")</f>
        <v>Externo</v>
      </c>
      <c r="J182" s="44">
        <v>528.69000000000005</v>
      </c>
      <c r="K182" s="5">
        <v>-528.69000000000005</v>
      </c>
      <c r="L182" s="6" t="s">
        <v>93</v>
      </c>
      <c r="M182" s="45">
        <v>17588.03</v>
      </c>
      <c r="N182" s="68" t="str">
        <f>IF(tblMovimientos[[#This Row],[Tipo de Movimiento]]="Ingreso",tblMovimientos[[#This Row],[Monto (S/)]],"0")</f>
        <v>0</v>
      </c>
      <c r="O182" s="68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0">
        <v>46169</v>
      </c>
      <c r="C183" s="4" t="s">
        <v>35</v>
      </c>
      <c r="D183" s="42" t="s">
        <v>126</v>
      </c>
      <c r="E183" s="4" t="s">
        <v>37</v>
      </c>
      <c r="F183" s="42" t="s">
        <v>9</v>
      </c>
      <c r="G183" s="42" t="s">
        <v>77</v>
      </c>
      <c r="H183" s="4" t="str">
        <f>IFERROR(_xlfn.XLOOKUP(G183,Listas!E:E,Listas!F:F,""),"")</f>
        <v>Inversion</v>
      </c>
      <c r="I183" s="47" t="str">
        <f>IFERROR(_xlfn.XLOOKUP(G183,Listas!E:E,Listas!G:G,""),"")</f>
        <v>Interno</v>
      </c>
      <c r="J183" s="44">
        <v>10000</v>
      </c>
      <c r="K183" s="5">
        <v>10000</v>
      </c>
      <c r="L183" s="6" t="s">
        <v>93</v>
      </c>
      <c r="M183" s="45">
        <v>17588.03</v>
      </c>
      <c r="N183" s="68">
        <f>IF(tblMovimientos[[#This Row],[Tipo de Movimiento]]="Ingreso",tblMovimientos[[#This Row],[Monto (S/)]],"0")</f>
        <v>10000</v>
      </c>
      <c r="O183" s="68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40">
        <v>46170</v>
      </c>
      <c r="C184" s="4" t="s">
        <v>21</v>
      </c>
      <c r="D184" s="42" t="s">
        <v>101</v>
      </c>
      <c r="E184" s="4" t="s">
        <v>36</v>
      </c>
      <c r="F184" s="42" t="s">
        <v>10</v>
      </c>
      <c r="G184" s="42" t="s">
        <v>38</v>
      </c>
      <c r="H184" s="4" t="str">
        <f>IFERROR(_xlfn.XLOOKUP(G184,Listas!E:E,Listas!F:F,""),"")</f>
        <v>Operativo</v>
      </c>
      <c r="I184" s="47" t="str">
        <f>IFERROR(_xlfn.XLOOKUP(G184,Listas!E:E,Listas!G:G,""),"")</f>
        <v>Externo</v>
      </c>
      <c r="J184" s="44">
        <v>526.75</v>
      </c>
      <c r="K184" s="5">
        <v>-526.75</v>
      </c>
      <c r="L184" s="6" t="s">
        <v>93</v>
      </c>
      <c r="M184" s="45">
        <v>11036.220000000001</v>
      </c>
      <c r="N184" s="68" t="str">
        <f>IF(tblMovimientos[[#This Row],[Tipo de Movimiento]]="Ingreso",tblMovimientos[[#This Row],[Monto (S/)]],"0")</f>
        <v>0</v>
      </c>
      <c r="O184" s="68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40">
        <v>46170</v>
      </c>
      <c r="C185" s="4" t="s">
        <v>20</v>
      </c>
      <c r="D185" s="42" t="s">
        <v>100</v>
      </c>
      <c r="E185" s="4" t="s">
        <v>36</v>
      </c>
      <c r="F185" s="42" t="s">
        <v>9</v>
      </c>
      <c r="G185" s="42" t="s">
        <v>68</v>
      </c>
      <c r="H185" s="4" t="str">
        <f>IFERROR(_xlfn.XLOOKUP(G185,Listas!E:E,Listas!F:F,""),"")</f>
        <v>Operativo</v>
      </c>
      <c r="I185" s="47" t="str">
        <f>IFERROR(_xlfn.XLOOKUP(G185,Listas!E:E,Listas!G:G,""),"")</f>
        <v>Externo</v>
      </c>
      <c r="J185" s="44">
        <v>21979.11</v>
      </c>
      <c r="K185" s="5">
        <v>21979.11</v>
      </c>
      <c r="L185" s="6" t="s">
        <v>93</v>
      </c>
      <c r="M185" s="45">
        <v>376595.84999999986</v>
      </c>
      <c r="N185" s="68">
        <f>IF(tblMovimientos[[#This Row],[Tipo de Movimiento]]="Ingreso",tblMovimientos[[#This Row],[Monto (S/)]],"0")</f>
        <v>21979.11</v>
      </c>
      <c r="O185" s="68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40">
        <v>46170</v>
      </c>
      <c r="C186" s="4" t="s">
        <v>20</v>
      </c>
      <c r="D186" s="42" t="s">
        <v>100</v>
      </c>
      <c r="E186" s="4" t="s">
        <v>36</v>
      </c>
      <c r="F186" s="42" t="s">
        <v>10</v>
      </c>
      <c r="G186" s="42" t="s">
        <v>61</v>
      </c>
      <c r="H186" s="4" t="str">
        <f>IFERROR(_xlfn.XLOOKUP(G186,Listas!E:E,Listas!F:F,""),"")</f>
        <v>Operativo</v>
      </c>
      <c r="I186" s="47" t="str">
        <f>IFERROR(_xlfn.XLOOKUP(G186,Listas!E:E,Listas!G:G,""),"")</f>
        <v>Externo</v>
      </c>
      <c r="J186" s="44">
        <v>60000</v>
      </c>
      <c r="K186" s="5">
        <v>-60000</v>
      </c>
      <c r="L186" s="6" t="s">
        <v>93</v>
      </c>
      <c r="M186" s="45">
        <v>376595.84999999986</v>
      </c>
      <c r="N186" s="68" t="str">
        <f>IF(tblMovimientos[[#This Row],[Tipo de Movimiento]]="Ingreso",tblMovimientos[[#This Row],[Monto (S/)]],"0")</f>
        <v>0</v>
      </c>
      <c r="O186" s="68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40">
        <v>46170</v>
      </c>
      <c r="C187" s="4" t="s">
        <v>20</v>
      </c>
      <c r="D187" s="42" t="s">
        <v>100</v>
      </c>
      <c r="E187" s="4" t="s">
        <v>36</v>
      </c>
      <c r="F187" s="42" t="s">
        <v>10</v>
      </c>
      <c r="G187" s="42" t="s">
        <v>61</v>
      </c>
      <c r="H187" s="4" t="str">
        <f>IFERROR(_xlfn.XLOOKUP(G187,Listas!E:E,Listas!F:F,""),"")</f>
        <v>Operativo</v>
      </c>
      <c r="I187" s="47" t="str">
        <f>IFERROR(_xlfn.XLOOKUP(G187,Listas!E:E,Listas!G:G,""),"")</f>
        <v>Externo</v>
      </c>
      <c r="J187" s="44">
        <v>100000</v>
      </c>
      <c r="K187" s="5">
        <v>-100000</v>
      </c>
      <c r="L187" s="6" t="s">
        <v>93</v>
      </c>
      <c r="M187" s="45">
        <v>376595.84999999986</v>
      </c>
      <c r="N187" s="68" t="str">
        <f>IF(tblMovimientos[[#This Row],[Tipo de Movimiento]]="Ingreso",tblMovimientos[[#This Row],[Monto (S/)]],"0")</f>
        <v>0</v>
      </c>
      <c r="O187" s="68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40">
        <v>46170</v>
      </c>
      <c r="C188" s="4" t="s">
        <v>17</v>
      </c>
      <c r="D188" s="42" t="s">
        <v>94</v>
      </c>
      <c r="E188" s="4" t="s">
        <v>36</v>
      </c>
      <c r="F188" s="42" t="s">
        <v>9</v>
      </c>
      <c r="G188" s="42" t="s">
        <v>68</v>
      </c>
      <c r="H188" s="4" t="str">
        <f>IFERROR(_xlfn.XLOOKUP(G188,Listas!E:E,Listas!F:F,""),"")</f>
        <v>Operativo</v>
      </c>
      <c r="I188" s="47" t="str">
        <f>IFERROR(_xlfn.XLOOKUP(G188,Listas!E:E,Listas!G:G,""),"")</f>
        <v>Externo</v>
      </c>
      <c r="J188" s="44">
        <v>68444.820000000007</v>
      </c>
      <c r="K188" s="5">
        <v>68444.820000000007</v>
      </c>
      <c r="L188" s="6" t="s">
        <v>93</v>
      </c>
      <c r="M188" s="45">
        <v>197078.62999999998</v>
      </c>
      <c r="N188" s="68">
        <f>IF(tblMovimientos[[#This Row],[Tipo de Movimiento]]="Ingreso",tblMovimientos[[#This Row],[Monto (S/)]],"0")</f>
        <v>68444.820000000007</v>
      </c>
      <c r="O188" s="68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0">
        <v>46170</v>
      </c>
      <c r="C189" s="4" t="s">
        <v>31</v>
      </c>
      <c r="D189" s="42" t="s">
        <v>121</v>
      </c>
      <c r="E189" s="4" t="s">
        <v>36</v>
      </c>
      <c r="F189" s="42" t="s">
        <v>9</v>
      </c>
      <c r="G189" s="42" t="s">
        <v>71</v>
      </c>
      <c r="H189" s="4" t="str">
        <f>IFERROR(_xlfn.XLOOKUP(G189,Listas!E:E,Listas!F:F,""),"")</f>
        <v>Operativo</v>
      </c>
      <c r="I189" s="47" t="str">
        <f>IFERROR(_xlfn.XLOOKUP(G189,Listas!E:E,Listas!G:G,""),"")</f>
        <v>Interno</v>
      </c>
      <c r="J189" s="44">
        <v>20000</v>
      </c>
      <c r="K189" s="5">
        <v>20000</v>
      </c>
      <c r="L189" s="6" t="s">
        <v>93</v>
      </c>
      <c r="M189" s="45">
        <v>35123.179999999964</v>
      </c>
      <c r="N189" s="68">
        <f>IF(tblMovimientos[[#This Row],[Tipo de Movimiento]]="Ingreso",tblMovimientos[[#This Row],[Monto (S/)]],"0")</f>
        <v>20000</v>
      </c>
      <c r="O189" s="68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40">
        <v>46170</v>
      </c>
      <c r="C190" s="4" t="s">
        <v>18</v>
      </c>
      <c r="D190" s="42" t="s">
        <v>97</v>
      </c>
      <c r="E190" s="4" t="s">
        <v>37</v>
      </c>
      <c r="F190" s="42" t="s">
        <v>9</v>
      </c>
      <c r="G190" s="42" t="s">
        <v>68</v>
      </c>
      <c r="H190" s="4" t="str">
        <f>IFERROR(_xlfn.XLOOKUP(G190,Listas!E:E,Listas!F:F,""),"")</f>
        <v>Operativo</v>
      </c>
      <c r="I190" s="47" t="str">
        <f>IFERROR(_xlfn.XLOOKUP(G190,Listas!E:E,Listas!G:G,""),"")</f>
        <v>Externo</v>
      </c>
      <c r="J190" s="44">
        <v>2637.12</v>
      </c>
      <c r="K190" s="5">
        <v>2637.12</v>
      </c>
      <c r="L190" s="6" t="s">
        <v>93</v>
      </c>
      <c r="M190" s="45">
        <v>57397.280000000173</v>
      </c>
      <c r="N190" s="68">
        <f>IF(tblMovimientos[[#This Row],[Tipo de Movimiento]]="Ingreso",tblMovimientos[[#This Row],[Monto (S/)]],"0")</f>
        <v>2637.12</v>
      </c>
      <c r="O190" s="68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40">
        <v>46170</v>
      </c>
      <c r="C191" s="4" t="s">
        <v>18</v>
      </c>
      <c r="D191" s="42" t="s">
        <v>97</v>
      </c>
      <c r="E191" s="4" t="s">
        <v>37</v>
      </c>
      <c r="F191" s="42" t="s">
        <v>10</v>
      </c>
      <c r="G191" s="42" t="s">
        <v>65</v>
      </c>
      <c r="H191" s="4" t="str">
        <f>IFERROR(_xlfn.XLOOKUP(G191,Listas!E:E,Listas!F:F,""),"")</f>
        <v>Operativo</v>
      </c>
      <c r="I191" s="47" t="str">
        <f>IFERROR(_xlfn.XLOOKUP(G191,Listas!E:E,Listas!G:G,""),"")</f>
        <v>Externo</v>
      </c>
      <c r="J191" s="44">
        <v>1200000</v>
      </c>
      <c r="K191" s="5">
        <v>-1200000</v>
      </c>
      <c r="L191" s="6" t="s">
        <v>93</v>
      </c>
      <c r="M191" s="45">
        <v>57397.280000000173</v>
      </c>
      <c r="N191" s="68" t="str">
        <f>IF(tblMovimientos[[#This Row],[Tipo de Movimiento]]="Ingreso",tblMovimientos[[#This Row],[Monto (S/)]],"0")</f>
        <v>0</v>
      </c>
      <c r="O191" s="68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40">
        <v>46170</v>
      </c>
      <c r="C192" s="4" t="s">
        <v>17</v>
      </c>
      <c r="D192" s="42" t="s">
        <v>95</v>
      </c>
      <c r="E192" s="4" t="s">
        <v>37</v>
      </c>
      <c r="F192" s="42" t="s">
        <v>9</v>
      </c>
      <c r="G192" s="42" t="s">
        <v>70</v>
      </c>
      <c r="H192" s="4" t="str">
        <f>IFERROR(_xlfn.XLOOKUP(G192,Listas!E:E,Listas!F:F,""),"")</f>
        <v>Operativo</v>
      </c>
      <c r="I192" s="47" t="str">
        <f>IFERROR(_xlfn.XLOOKUP(G192,Listas!E:E,Listas!G:G,""),"")</f>
        <v>Externo</v>
      </c>
      <c r="J192" s="44">
        <v>1200000</v>
      </c>
      <c r="K192" s="5">
        <v>1200000</v>
      </c>
      <c r="L192" s="6" t="s">
        <v>93</v>
      </c>
      <c r="M192" s="45">
        <v>784648.53</v>
      </c>
      <c r="N192" s="68">
        <f>IF(tblMovimientos[[#This Row],[Tipo de Movimiento]]="Ingreso",tblMovimientos[[#This Row],[Monto (S/)]],"0")</f>
        <v>1200000</v>
      </c>
      <c r="O192" s="68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40">
        <v>46170</v>
      </c>
      <c r="C193" s="4" t="s">
        <v>17</v>
      </c>
      <c r="D193" s="42" t="s">
        <v>95</v>
      </c>
      <c r="E193" s="4" t="s">
        <v>37</v>
      </c>
      <c r="F193" s="42" t="s">
        <v>10</v>
      </c>
      <c r="G193" s="42" t="s">
        <v>46</v>
      </c>
      <c r="H193" s="4" t="str">
        <f>IFERROR(_xlfn.XLOOKUP(G193,Listas!E:E,Listas!F:F,""),"")</f>
        <v>Financiamiento</v>
      </c>
      <c r="I193" s="47" t="str">
        <f>IFERROR(_xlfn.XLOOKUP(G193,Listas!E:E,Listas!G:G,""),"")</f>
        <v>Externo</v>
      </c>
      <c r="J193" s="44">
        <v>10000</v>
      </c>
      <c r="K193" s="5">
        <v>-10000</v>
      </c>
      <c r="L193" s="6" t="s">
        <v>93</v>
      </c>
      <c r="M193" s="45">
        <v>784648.53</v>
      </c>
      <c r="N193" s="68" t="str">
        <f>IF(tblMovimientos[[#This Row],[Tipo de Movimiento]]="Ingreso",tblMovimientos[[#This Row],[Monto (S/)]],"0")</f>
        <v>0</v>
      </c>
      <c r="O193" s="68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40">
        <v>46170</v>
      </c>
      <c r="C194" s="4" t="s">
        <v>17</v>
      </c>
      <c r="D194" s="42" t="s">
        <v>95</v>
      </c>
      <c r="E194" s="4" t="s">
        <v>37</v>
      </c>
      <c r="F194" s="42" t="s">
        <v>10</v>
      </c>
      <c r="G194" s="42" t="s">
        <v>46</v>
      </c>
      <c r="H194" s="4" t="str">
        <f>IFERROR(_xlfn.XLOOKUP(G194,Listas!E:E,Listas!F:F,""),"")</f>
        <v>Financiamiento</v>
      </c>
      <c r="I194" s="47" t="str">
        <f>IFERROR(_xlfn.XLOOKUP(G194,Listas!E:E,Listas!G:G,""),"")</f>
        <v>Externo</v>
      </c>
      <c r="J194" s="44">
        <v>10833.33</v>
      </c>
      <c r="K194" s="5">
        <v>-10833.33</v>
      </c>
      <c r="L194" s="6" t="s">
        <v>93</v>
      </c>
      <c r="M194" s="45">
        <v>784648.53</v>
      </c>
      <c r="N194" s="68" t="str">
        <f>IF(tblMovimientos[[#This Row],[Tipo de Movimiento]]="Ingreso",tblMovimientos[[#This Row],[Monto (S/)]],"0")</f>
        <v>0</v>
      </c>
      <c r="O194" s="68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40">
        <v>46170</v>
      </c>
      <c r="C195" s="4" t="s">
        <v>17</v>
      </c>
      <c r="D195" s="42" t="s">
        <v>95</v>
      </c>
      <c r="E195" s="4" t="s">
        <v>37</v>
      </c>
      <c r="F195" s="42" t="s">
        <v>10</v>
      </c>
      <c r="G195" s="42" t="s">
        <v>50</v>
      </c>
      <c r="H195" s="4" t="str">
        <f>IFERROR(_xlfn.XLOOKUP(G195,Listas!E:E,Listas!F:F,""),"")</f>
        <v>Financiamiento</v>
      </c>
      <c r="I195" s="47" t="str">
        <f>IFERROR(_xlfn.XLOOKUP(G195,Listas!E:E,Listas!G:G,""),"")</f>
        <v>Externo</v>
      </c>
      <c r="J195" s="44">
        <v>20000</v>
      </c>
      <c r="K195" s="5">
        <v>-20000</v>
      </c>
      <c r="L195" s="6" t="s">
        <v>93</v>
      </c>
      <c r="M195" s="45">
        <v>784648.53</v>
      </c>
      <c r="N195" s="68" t="str">
        <f>IF(tblMovimientos[[#This Row],[Tipo de Movimiento]]="Ingreso",tblMovimientos[[#This Row],[Monto (S/)]],"0")</f>
        <v>0</v>
      </c>
      <c r="O195" s="68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40">
        <v>46170</v>
      </c>
      <c r="C196" s="4" t="s">
        <v>17</v>
      </c>
      <c r="D196" s="42" t="s">
        <v>95</v>
      </c>
      <c r="E196" s="4" t="s">
        <v>37</v>
      </c>
      <c r="F196" s="42" t="s">
        <v>10</v>
      </c>
      <c r="G196" s="42" t="s">
        <v>61</v>
      </c>
      <c r="H196" s="4" t="str">
        <f>IFERROR(_xlfn.XLOOKUP(G196,Listas!E:E,Listas!F:F,""),"")</f>
        <v>Operativo</v>
      </c>
      <c r="I196" s="47" t="str">
        <f>IFERROR(_xlfn.XLOOKUP(G196,Listas!E:E,Listas!G:G,""),"")</f>
        <v>Externo</v>
      </c>
      <c r="J196" s="44">
        <v>40000</v>
      </c>
      <c r="K196" s="5">
        <v>-40000</v>
      </c>
      <c r="L196" s="6" t="s">
        <v>93</v>
      </c>
      <c r="M196" s="45">
        <v>784648.53</v>
      </c>
      <c r="N196" s="68" t="str">
        <f>IF(tblMovimientos[[#This Row],[Tipo de Movimiento]]="Ingreso",tblMovimientos[[#This Row],[Monto (S/)]],"0")</f>
        <v>0</v>
      </c>
      <c r="O196" s="68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40">
        <v>46170</v>
      </c>
      <c r="C197" s="4" t="s">
        <v>17</v>
      </c>
      <c r="D197" s="42" t="s">
        <v>95</v>
      </c>
      <c r="E197" s="4" t="s">
        <v>37</v>
      </c>
      <c r="F197" s="42" t="s">
        <v>10</v>
      </c>
      <c r="G197" s="42" t="s">
        <v>61</v>
      </c>
      <c r="H197" s="4" t="str">
        <f>IFERROR(_xlfn.XLOOKUP(G197,Listas!E:E,Listas!F:F,""),"")</f>
        <v>Operativo</v>
      </c>
      <c r="I197" s="47" t="str">
        <f>IFERROR(_xlfn.XLOOKUP(G197,Listas!E:E,Listas!G:G,""),"")</f>
        <v>Externo</v>
      </c>
      <c r="J197" s="44">
        <v>60000</v>
      </c>
      <c r="K197" s="5">
        <v>-60000</v>
      </c>
      <c r="L197" s="6" t="s">
        <v>93</v>
      </c>
      <c r="M197" s="45">
        <v>784648.53</v>
      </c>
      <c r="N197" s="68" t="str">
        <f>IF(tblMovimientos[[#This Row],[Tipo de Movimiento]]="Ingreso",tblMovimientos[[#This Row],[Monto (S/)]],"0")</f>
        <v>0</v>
      </c>
      <c r="O197" s="68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40">
        <v>46170</v>
      </c>
      <c r="C198" s="4" t="s">
        <v>17</v>
      </c>
      <c r="D198" s="42" t="s">
        <v>95</v>
      </c>
      <c r="E198" s="4" t="s">
        <v>37</v>
      </c>
      <c r="F198" s="42" t="s">
        <v>10</v>
      </c>
      <c r="G198" s="42" t="s">
        <v>61</v>
      </c>
      <c r="H198" s="4" t="str">
        <f>IFERROR(_xlfn.XLOOKUP(G198,Listas!E:E,Listas!F:F,""),"")</f>
        <v>Operativo</v>
      </c>
      <c r="I198" s="47" t="str">
        <f>IFERROR(_xlfn.XLOOKUP(G198,Listas!E:E,Listas!G:G,""),"")</f>
        <v>Externo</v>
      </c>
      <c r="J198" s="44">
        <v>100000</v>
      </c>
      <c r="K198" s="5">
        <v>-100000</v>
      </c>
      <c r="L198" s="6" t="s">
        <v>93</v>
      </c>
      <c r="M198" s="45">
        <v>784648.53</v>
      </c>
      <c r="N198" s="68" t="str">
        <f>IF(tblMovimientos[[#This Row],[Tipo de Movimiento]]="Ingreso",tblMovimientos[[#This Row],[Monto (S/)]],"0")</f>
        <v>0</v>
      </c>
      <c r="O198" s="68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40">
        <v>46170</v>
      </c>
      <c r="C199" s="4" t="s">
        <v>17</v>
      </c>
      <c r="D199" s="42" t="s">
        <v>95</v>
      </c>
      <c r="E199" s="4" t="s">
        <v>37</v>
      </c>
      <c r="F199" s="42" t="s">
        <v>10</v>
      </c>
      <c r="G199" s="42" t="s">
        <v>62</v>
      </c>
      <c r="H199" s="4" t="str">
        <f>IFERROR(_xlfn.XLOOKUP(G199,Listas!E:E,Listas!F:F,""),"")</f>
        <v>Operativo</v>
      </c>
      <c r="I199" s="47" t="str">
        <f>IFERROR(_xlfn.XLOOKUP(G199,Listas!E:E,Listas!G:G,""),"")</f>
        <v>Interno</v>
      </c>
      <c r="J199" s="44">
        <v>300000</v>
      </c>
      <c r="K199" s="5">
        <v>-300000</v>
      </c>
      <c r="L199" s="6" t="s">
        <v>93</v>
      </c>
      <c r="M199" s="45">
        <v>784648.53</v>
      </c>
      <c r="N199" s="68" t="str">
        <f>IF(tblMovimientos[[#This Row],[Tipo de Movimiento]]="Ingreso",tblMovimientos[[#This Row],[Monto (S/)]],"0")</f>
        <v>0</v>
      </c>
      <c r="O199" s="68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40">
        <v>46170</v>
      </c>
      <c r="C200" s="4" t="s">
        <v>21</v>
      </c>
      <c r="D200" s="42" t="s">
        <v>104</v>
      </c>
      <c r="E200" s="4" t="s">
        <v>37</v>
      </c>
      <c r="F200" s="42" t="s">
        <v>9</v>
      </c>
      <c r="G200" s="42" t="s">
        <v>75</v>
      </c>
      <c r="H200" s="4" t="str">
        <f>IFERROR(_xlfn.XLOOKUP(G200,Listas!E:E,Listas!F:F,""),"")</f>
        <v>Financiamiento</v>
      </c>
      <c r="I200" s="47" t="str">
        <f>IFERROR(_xlfn.XLOOKUP(G200,Listas!E:E,Listas!G:G,""),"")</f>
        <v>Interno</v>
      </c>
      <c r="J200" s="44">
        <v>300000</v>
      </c>
      <c r="K200" s="5">
        <v>300000</v>
      </c>
      <c r="L200" s="6" t="s">
        <v>93</v>
      </c>
      <c r="M200" s="45">
        <v>321514.8599999994</v>
      </c>
      <c r="N200" s="68">
        <f>IF(tblMovimientos[[#This Row],[Tipo de Movimiento]]="Ingreso",tblMovimientos[[#This Row],[Monto (S/)]],"0")</f>
        <v>300000</v>
      </c>
      <c r="O200" s="68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40">
        <v>46170</v>
      </c>
      <c r="C201" s="4" t="s">
        <v>21</v>
      </c>
      <c r="D201" s="42" t="s">
        <v>104</v>
      </c>
      <c r="E201" s="4" t="s">
        <v>37</v>
      </c>
      <c r="F201" s="42" t="s">
        <v>10</v>
      </c>
      <c r="G201" s="42" t="s">
        <v>38</v>
      </c>
      <c r="H201" s="4" t="str">
        <f>IFERROR(_xlfn.XLOOKUP(G201,Listas!E:E,Listas!F:F,""),"")</f>
        <v>Operativo</v>
      </c>
      <c r="I201" s="47" t="str">
        <f>IFERROR(_xlfn.XLOOKUP(G201,Listas!E:E,Listas!G:G,""),"")</f>
        <v>Externo</v>
      </c>
      <c r="J201" s="44">
        <v>10753.2</v>
      </c>
      <c r="K201" s="5">
        <v>-10753.2</v>
      </c>
      <c r="L201" s="6" t="s">
        <v>93</v>
      </c>
      <c r="M201" s="45">
        <v>321514.8599999994</v>
      </c>
      <c r="N201" s="68" t="str">
        <f>IF(tblMovimientos[[#This Row],[Tipo de Movimiento]]="Ingreso",tblMovimientos[[#This Row],[Monto (S/)]],"0")</f>
        <v>0</v>
      </c>
      <c r="O201" s="68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40">
        <v>46170</v>
      </c>
      <c r="C202" s="4" t="s">
        <v>21</v>
      </c>
      <c r="D202" s="42" t="s">
        <v>104</v>
      </c>
      <c r="E202" s="4" t="s">
        <v>37</v>
      </c>
      <c r="F202" s="42" t="s">
        <v>10</v>
      </c>
      <c r="G202" s="42" t="s">
        <v>56</v>
      </c>
      <c r="H202" s="4" t="str">
        <f>IFERROR(_xlfn.XLOOKUP(G202,Listas!E:E,Listas!F:F,""),"")</f>
        <v>Inversion</v>
      </c>
      <c r="I202" s="47" t="str">
        <f>IFERROR(_xlfn.XLOOKUP(G202,Listas!E:E,Listas!G:G,""),"")</f>
        <v>Externo</v>
      </c>
      <c r="J202" s="44">
        <v>16733.29</v>
      </c>
      <c r="K202" s="5">
        <v>-16733.29</v>
      </c>
      <c r="L202" s="6" t="s">
        <v>93</v>
      </c>
      <c r="M202" s="45">
        <v>321514.8599999994</v>
      </c>
      <c r="N202" s="68" t="str">
        <f>IF(tblMovimientos[[#This Row],[Tipo de Movimiento]]="Ingreso",tblMovimientos[[#This Row],[Monto (S/)]],"0")</f>
        <v>0</v>
      </c>
      <c r="O202" s="68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40">
        <v>46170</v>
      </c>
      <c r="C203" s="4" t="s">
        <v>21</v>
      </c>
      <c r="D203" s="42" t="s">
        <v>104</v>
      </c>
      <c r="E203" s="4" t="s">
        <v>37</v>
      </c>
      <c r="F203" s="42" t="s">
        <v>10</v>
      </c>
      <c r="G203" s="42" t="s">
        <v>40</v>
      </c>
      <c r="H203" s="4" t="str">
        <f>IFERROR(_xlfn.XLOOKUP(G203,Listas!E:E,Listas!F:F,""),"")</f>
        <v>Operativo</v>
      </c>
      <c r="I203" s="47" t="str">
        <f>IFERROR(_xlfn.XLOOKUP(G203,Listas!E:E,Listas!G:G,""),"")</f>
        <v>Externo</v>
      </c>
      <c r="J203" s="44">
        <v>162017.17000000001</v>
      </c>
      <c r="K203" s="5">
        <v>-162017.17000000001</v>
      </c>
      <c r="L203" s="6" t="s">
        <v>93</v>
      </c>
      <c r="M203" s="45">
        <v>321514.8599999994</v>
      </c>
      <c r="N203" s="68" t="str">
        <f>IF(tblMovimientos[[#This Row],[Tipo de Movimiento]]="Ingreso",tblMovimientos[[#This Row],[Monto (S/)]],"0")</f>
        <v>0</v>
      </c>
      <c r="O203" s="68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0">
        <v>46170</v>
      </c>
      <c r="C204" s="4" t="s">
        <v>35</v>
      </c>
      <c r="D204" s="42" t="s">
        <v>126</v>
      </c>
      <c r="E204" s="4" t="s">
        <v>37</v>
      </c>
      <c r="F204" s="42" t="s">
        <v>10</v>
      </c>
      <c r="G204" s="42" t="s">
        <v>44</v>
      </c>
      <c r="H204" s="4" t="str">
        <f>IFERROR(_xlfn.XLOOKUP(G204,Listas!E:E,Listas!F:F,""),"")</f>
        <v>Operativo</v>
      </c>
      <c r="I204" s="47" t="str">
        <f>IFERROR(_xlfn.XLOOKUP(G204,Listas!E:E,Listas!G:G,""),"")</f>
        <v>Externo</v>
      </c>
      <c r="J204" s="44">
        <v>15</v>
      </c>
      <c r="K204" s="5">
        <v>-15</v>
      </c>
      <c r="L204" s="6" t="s">
        <v>93</v>
      </c>
      <c r="M204" s="45">
        <v>9076.2400000000016</v>
      </c>
      <c r="N204" s="68" t="str">
        <f>IF(tblMovimientos[[#This Row],[Tipo de Movimiento]]="Ingreso",tblMovimientos[[#This Row],[Monto (S/)]],"0")</f>
        <v>0</v>
      </c>
      <c r="O204" s="68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40">
        <v>46170</v>
      </c>
      <c r="C205" s="4" t="s">
        <v>35</v>
      </c>
      <c r="D205" s="42" t="s">
        <v>126</v>
      </c>
      <c r="E205" s="4" t="s">
        <v>37</v>
      </c>
      <c r="F205" s="42" t="s">
        <v>10</v>
      </c>
      <c r="G205" s="42" t="s">
        <v>44</v>
      </c>
      <c r="H205" s="4" t="str">
        <f>IFERROR(_xlfn.XLOOKUP(G205,Listas!E:E,Listas!F:F,""),"")</f>
        <v>Operativo</v>
      </c>
      <c r="I205" s="47" t="str">
        <f>IFERROR(_xlfn.XLOOKUP(G205,Listas!E:E,Listas!G:G,""),"")</f>
        <v>Externo</v>
      </c>
      <c r="J205" s="44">
        <v>15</v>
      </c>
      <c r="K205" s="5">
        <v>-15</v>
      </c>
      <c r="L205" s="6" t="s">
        <v>93</v>
      </c>
      <c r="M205" s="45">
        <v>9076.2400000000016</v>
      </c>
      <c r="N205" s="68" t="str">
        <f>IF(tblMovimientos[[#This Row],[Tipo de Movimiento]]="Ingreso",tblMovimientos[[#This Row],[Monto (S/)]],"0")</f>
        <v>0</v>
      </c>
      <c r="O205" s="68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40">
        <v>46170</v>
      </c>
      <c r="C206" s="4" t="s">
        <v>35</v>
      </c>
      <c r="D206" s="42" t="s">
        <v>126</v>
      </c>
      <c r="E206" s="4" t="s">
        <v>37</v>
      </c>
      <c r="F206" s="42" t="s">
        <v>10</v>
      </c>
      <c r="G206" s="42" t="s">
        <v>44</v>
      </c>
      <c r="H206" s="4" t="str">
        <f>IFERROR(_xlfn.XLOOKUP(G206,Listas!E:E,Listas!F:F,""),"")</f>
        <v>Operativo</v>
      </c>
      <c r="I206" s="47" t="str">
        <f>IFERROR(_xlfn.XLOOKUP(G206,Listas!E:E,Listas!G:G,""),"")</f>
        <v>Externo</v>
      </c>
      <c r="J206" s="44">
        <v>15</v>
      </c>
      <c r="K206" s="5">
        <v>-15</v>
      </c>
      <c r="L206" s="6" t="s">
        <v>93</v>
      </c>
      <c r="M206" s="45">
        <v>9076.2400000000016</v>
      </c>
      <c r="N206" s="68" t="str">
        <f>IF(tblMovimientos[[#This Row],[Tipo de Movimiento]]="Ingreso",tblMovimientos[[#This Row],[Monto (S/)]],"0")</f>
        <v>0</v>
      </c>
      <c r="O206" s="68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40">
        <v>46170</v>
      </c>
      <c r="C207" s="4" t="s">
        <v>35</v>
      </c>
      <c r="D207" s="42" t="s">
        <v>126</v>
      </c>
      <c r="E207" s="4" t="s">
        <v>37</v>
      </c>
      <c r="F207" s="42" t="s">
        <v>10</v>
      </c>
      <c r="G207" s="42" t="s">
        <v>44</v>
      </c>
      <c r="H207" s="4" t="str">
        <f>IFERROR(_xlfn.XLOOKUP(G207,Listas!E:E,Listas!F:F,""),"")</f>
        <v>Operativo</v>
      </c>
      <c r="I207" s="47" t="str">
        <f>IFERROR(_xlfn.XLOOKUP(G207,Listas!E:E,Listas!G:G,""),"")</f>
        <v>Externo</v>
      </c>
      <c r="J207" s="44">
        <v>15</v>
      </c>
      <c r="K207" s="5">
        <v>-15</v>
      </c>
      <c r="L207" s="6" t="s">
        <v>93</v>
      </c>
      <c r="M207" s="45">
        <v>9076.2400000000016</v>
      </c>
      <c r="N207" s="68" t="str">
        <f>IF(tblMovimientos[[#This Row],[Tipo de Movimiento]]="Ingreso",tblMovimientos[[#This Row],[Monto (S/)]],"0")</f>
        <v>0</v>
      </c>
      <c r="O207" s="68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40">
        <v>46170</v>
      </c>
      <c r="C208" s="4" t="s">
        <v>35</v>
      </c>
      <c r="D208" s="42" t="s">
        <v>126</v>
      </c>
      <c r="E208" s="4" t="s">
        <v>37</v>
      </c>
      <c r="F208" s="42" t="s">
        <v>10</v>
      </c>
      <c r="G208" s="42" t="s">
        <v>38</v>
      </c>
      <c r="H208" s="4" t="str">
        <f>IFERROR(_xlfn.XLOOKUP(G208,Listas!E:E,Listas!F:F,""),"")</f>
        <v>Operativo</v>
      </c>
      <c r="I208" s="47" t="str">
        <f>IFERROR(_xlfn.XLOOKUP(G208,Listas!E:E,Listas!G:G,""),"")</f>
        <v>Externo</v>
      </c>
      <c r="J208" s="44">
        <v>951.3</v>
      </c>
      <c r="K208" s="5">
        <v>-951.3</v>
      </c>
      <c r="L208" s="6" t="s">
        <v>93</v>
      </c>
      <c r="M208" s="45">
        <v>9076.2400000000016</v>
      </c>
      <c r="N208" s="68" t="str">
        <f>IF(tblMovimientos[[#This Row],[Tipo de Movimiento]]="Ingreso",tblMovimientos[[#This Row],[Monto (S/)]],"0")</f>
        <v>0</v>
      </c>
      <c r="O208" s="68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40">
        <v>46170</v>
      </c>
      <c r="C209" s="4" t="s">
        <v>35</v>
      </c>
      <c r="D209" s="42" t="s">
        <v>126</v>
      </c>
      <c r="E209" s="4" t="s">
        <v>37</v>
      </c>
      <c r="F209" s="42" t="s">
        <v>10</v>
      </c>
      <c r="G209" s="42" t="s">
        <v>38</v>
      </c>
      <c r="H209" s="4" t="str">
        <f>IFERROR(_xlfn.XLOOKUP(G209,Listas!E:E,Listas!F:F,""),"")</f>
        <v>Operativo</v>
      </c>
      <c r="I209" s="47" t="str">
        <f>IFERROR(_xlfn.XLOOKUP(G209,Listas!E:E,Listas!G:G,""),"")</f>
        <v>Externo</v>
      </c>
      <c r="J209" s="44">
        <v>1981.86</v>
      </c>
      <c r="K209" s="5">
        <v>-1981.86</v>
      </c>
      <c r="L209" s="6" t="s">
        <v>93</v>
      </c>
      <c r="M209" s="45">
        <v>9076.2400000000016</v>
      </c>
      <c r="N209" s="68" t="str">
        <f>IF(tblMovimientos[[#This Row],[Tipo de Movimiento]]="Ingreso",tblMovimientos[[#This Row],[Monto (S/)]],"0")</f>
        <v>0</v>
      </c>
      <c r="O209" s="68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40">
        <v>46170</v>
      </c>
      <c r="C210" s="4" t="s">
        <v>35</v>
      </c>
      <c r="D210" s="42" t="s">
        <v>126</v>
      </c>
      <c r="E210" s="4" t="s">
        <v>37</v>
      </c>
      <c r="F210" s="42" t="s">
        <v>10</v>
      </c>
      <c r="G210" s="42" t="s">
        <v>38</v>
      </c>
      <c r="H210" s="4" t="str">
        <f>IFERROR(_xlfn.XLOOKUP(G210,Listas!E:E,Listas!F:F,""),"")</f>
        <v>Operativo</v>
      </c>
      <c r="I210" s="47" t="str">
        <f>IFERROR(_xlfn.XLOOKUP(G210,Listas!E:E,Listas!G:G,""),"")</f>
        <v>Externo</v>
      </c>
      <c r="J210" s="44">
        <v>2500</v>
      </c>
      <c r="K210" s="5">
        <v>-2500</v>
      </c>
      <c r="L210" s="6" t="s">
        <v>93</v>
      </c>
      <c r="M210" s="45">
        <v>9076.2400000000016</v>
      </c>
      <c r="N210" s="68" t="str">
        <f>IF(tblMovimientos[[#This Row],[Tipo de Movimiento]]="Ingreso",tblMovimientos[[#This Row],[Monto (S/)]],"0")</f>
        <v>0</v>
      </c>
      <c r="O210" s="68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40">
        <v>46170</v>
      </c>
      <c r="C211" s="4" t="s">
        <v>35</v>
      </c>
      <c r="D211" s="42" t="s">
        <v>126</v>
      </c>
      <c r="E211" s="4" t="s">
        <v>37</v>
      </c>
      <c r="F211" s="42" t="s">
        <v>10</v>
      </c>
      <c r="G211" s="42" t="s">
        <v>38</v>
      </c>
      <c r="H211" s="4" t="str">
        <f>IFERROR(_xlfn.XLOOKUP(G211,Listas!E:E,Listas!F:F,""),"")</f>
        <v>Operativo</v>
      </c>
      <c r="I211" s="47" t="str">
        <f>IFERROR(_xlfn.XLOOKUP(G211,Listas!E:E,Listas!G:G,""),"")</f>
        <v>Externo</v>
      </c>
      <c r="J211" s="44">
        <v>3018.63</v>
      </c>
      <c r="K211" s="5">
        <v>-3018.63</v>
      </c>
      <c r="L211" s="6" t="s">
        <v>93</v>
      </c>
      <c r="M211" s="45">
        <v>9076.2400000000016</v>
      </c>
      <c r="N211" s="68" t="str">
        <f>IF(tblMovimientos[[#This Row],[Tipo de Movimiento]]="Ingreso",tblMovimientos[[#This Row],[Monto (S/)]],"0")</f>
        <v>0</v>
      </c>
      <c r="O211" s="68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40">
        <v>46171</v>
      </c>
      <c r="C212" s="4" t="s">
        <v>21</v>
      </c>
      <c r="D212" s="42" t="s">
        <v>101</v>
      </c>
      <c r="E212" s="4" t="s">
        <v>36</v>
      </c>
      <c r="F212" s="42" t="s">
        <v>10</v>
      </c>
      <c r="G212" s="42" t="s">
        <v>38</v>
      </c>
      <c r="H212" s="4" t="str">
        <f>IFERROR(_xlfn.XLOOKUP(G212,Listas!E:E,Listas!F:F,""),"")</f>
        <v>Operativo</v>
      </c>
      <c r="I212" s="47" t="str">
        <f>IFERROR(_xlfn.XLOOKUP(G212,Listas!E:E,Listas!G:G,""),"")</f>
        <v>Externo</v>
      </c>
      <c r="J212" s="44">
        <v>193.01</v>
      </c>
      <c r="K212" s="5">
        <v>-193.01</v>
      </c>
      <c r="L212" s="6" t="s">
        <v>93</v>
      </c>
      <c r="M212" s="45">
        <v>10843.210000000001</v>
      </c>
      <c r="N212" s="68" t="str">
        <f>IF(tblMovimientos[[#This Row],[Tipo de Movimiento]]="Ingreso",tblMovimientos[[#This Row],[Monto (S/)]],"0")</f>
        <v>0</v>
      </c>
      <c r="O212" s="68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40">
        <v>46171</v>
      </c>
      <c r="C213" s="4" t="s">
        <v>20</v>
      </c>
      <c r="D213" s="42" t="s">
        <v>100</v>
      </c>
      <c r="E213" s="4" t="s">
        <v>36</v>
      </c>
      <c r="F213" s="42" t="s">
        <v>9</v>
      </c>
      <c r="G213" s="42" t="s">
        <v>80</v>
      </c>
      <c r="H213" s="4" t="str">
        <f>IFERROR(_xlfn.XLOOKUP(G213,Listas!E:E,Listas!F:F,""),"")</f>
        <v>Operativo</v>
      </c>
      <c r="I213" s="47" t="str">
        <f>IFERROR(_xlfn.XLOOKUP(G213,Listas!E:E,Listas!G:G,""),"")</f>
        <v>Externo</v>
      </c>
      <c r="J213" s="44">
        <v>46804.94</v>
      </c>
      <c r="K213" s="5">
        <v>46804.94</v>
      </c>
      <c r="L213" s="6" t="s">
        <v>93</v>
      </c>
      <c r="M213" s="45">
        <v>424853.11999999988</v>
      </c>
      <c r="N213" s="68">
        <f>IF(tblMovimientos[[#This Row],[Tipo de Movimiento]]="Ingreso",tblMovimientos[[#This Row],[Monto (S/)]],"0")</f>
        <v>46804.94</v>
      </c>
      <c r="O213" s="68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40">
        <v>46171</v>
      </c>
      <c r="C214" s="4" t="s">
        <v>20</v>
      </c>
      <c r="D214" s="42" t="s">
        <v>100</v>
      </c>
      <c r="E214" s="4" t="s">
        <v>36</v>
      </c>
      <c r="F214" s="42" t="s">
        <v>9</v>
      </c>
      <c r="G214" s="42" t="s">
        <v>68</v>
      </c>
      <c r="H214" s="4" t="str">
        <f>IFERROR(_xlfn.XLOOKUP(G214,Listas!E:E,Listas!F:F,""),"")</f>
        <v>Operativo</v>
      </c>
      <c r="I214" s="47" t="str">
        <f>IFERROR(_xlfn.XLOOKUP(G214,Listas!E:E,Listas!G:G,""),"")</f>
        <v>Externo</v>
      </c>
      <c r="J214" s="44">
        <v>1452.33</v>
      </c>
      <c r="K214" s="5">
        <v>1452.33</v>
      </c>
      <c r="L214" s="6" t="s">
        <v>93</v>
      </c>
      <c r="M214" s="45">
        <v>424853.11999999988</v>
      </c>
      <c r="N214" s="68">
        <f>IF(tblMovimientos[[#This Row],[Tipo de Movimiento]]="Ingreso",tblMovimientos[[#This Row],[Monto (S/)]],"0")</f>
        <v>1452.33</v>
      </c>
      <c r="O214" s="68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40">
        <v>46171</v>
      </c>
      <c r="C215" s="4" t="s">
        <v>17</v>
      </c>
      <c r="D215" s="42" t="s">
        <v>94</v>
      </c>
      <c r="E215" s="4" t="s">
        <v>36</v>
      </c>
      <c r="F215" s="42" t="s">
        <v>10</v>
      </c>
      <c r="G215" s="42" t="s">
        <v>40</v>
      </c>
      <c r="H215" s="4" t="str">
        <f>IFERROR(_xlfn.XLOOKUP(G215,Listas!E:E,Listas!F:F,""),"")</f>
        <v>Operativo</v>
      </c>
      <c r="I215" s="47" t="str">
        <f>IFERROR(_xlfn.XLOOKUP(G215,Listas!E:E,Listas!G:G,""),"")</f>
        <v>Externo</v>
      </c>
      <c r="J215" s="44">
        <v>2977.95</v>
      </c>
      <c r="K215" s="5">
        <v>-2977.95</v>
      </c>
      <c r="L215" s="6" t="s">
        <v>93</v>
      </c>
      <c r="M215" s="45">
        <v>193489.58</v>
      </c>
      <c r="N215" s="68" t="str">
        <f>IF(tblMovimientos[[#This Row],[Tipo de Movimiento]]="Ingreso",tblMovimientos[[#This Row],[Monto (S/)]],"0")</f>
        <v>0</v>
      </c>
      <c r="O215" s="68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40">
        <v>46171</v>
      </c>
      <c r="C216" s="4" t="s">
        <v>17</v>
      </c>
      <c r="D216" s="42" t="s">
        <v>94</v>
      </c>
      <c r="E216" s="4" t="s">
        <v>36</v>
      </c>
      <c r="F216" s="42" t="s">
        <v>10</v>
      </c>
      <c r="G216" s="42" t="s">
        <v>42</v>
      </c>
      <c r="H216" s="4" t="str">
        <f>IFERROR(_xlfn.XLOOKUP(G216,Listas!E:E,Listas!F:F,""),"")</f>
        <v>Operativo</v>
      </c>
      <c r="I216" s="47" t="str">
        <f>IFERROR(_xlfn.XLOOKUP(G216,Listas!E:E,Listas!G:G,""),"")</f>
        <v>Externo</v>
      </c>
      <c r="J216" s="44">
        <v>611.1</v>
      </c>
      <c r="K216" s="5">
        <v>-611.1</v>
      </c>
      <c r="L216" s="6" t="s">
        <v>93</v>
      </c>
      <c r="M216" s="45">
        <v>193489.58</v>
      </c>
      <c r="N216" s="68" t="str">
        <f>IF(tblMovimientos[[#This Row],[Tipo de Movimiento]]="Ingreso",tblMovimientos[[#This Row],[Monto (S/)]],"0")</f>
        <v>0</v>
      </c>
      <c r="O216" s="68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40">
        <v>46171</v>
      </c>
      <c r="C217" s="4" t="s">
        <v>31</v>
      </c>
      <c r="D217" s="42" t="s">
        <v>121</v>
      </c>
      <c r="E217" s="4" t="s">
        <v>36</v>
      </c>
      <c r="F217" s="42" t="s">
        <v>10</v>
      </c>
      <c r="G217" s="42" t="s">
        <v>44</v>
      </c>
      <c r="H217" s="4" t="str">
        <f>IFERROR(_xlfn.XLOOKUP(G217,Listas!E:E,Listas!F:F,""),"")</f>
        <v>Operativo</v>
      </c>
      <c r="I217" s="47" t="str">
        <f>IFERROR(_xlfn.XLOOKUP(G217,Listas!E:E,Listas!G:G,""),"")</f>
        <v>Externo</v>
      </c>
      <c r="J217" s="44">
        <v>15</v>
      </c>
      <c r="K217" s="5">
        <v>-15</v>
      </c>
      <c r="L217" s="6" t="s">
        <v>93</v>
      </c>
      <c r="M217" s="45">
        <v>35108.179999999964</v>
      </c>
      <c r="N217" s="68" t="str">
        <f>IF(tblMovimientos[[#This Row],[Tipo de Movimiento]]="Ingreso",tblMovimientos[[#This Row],[Monto (S/)]],"0")</f>
        <v>0</v>
      </c>
      <c r="O217" s="68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40">
        <v>46171</v>
      </c>
      <c r="C218" s="4" t="s">
        <v>21</v>
      </c>
      <c r="D218" s="42" t="s">
        <v>106</v>
      </c>
      <c r="E218" s="4" t="s">
        <v>37</v>
      </c>
      <c r="F218" s="42" t="s">
        <v>9</v>
      </c>
      <c r="G218" s="42" t="s">
        <v>84</v>
      </c>
      <c r="H218" s="4" t="str">
        <f>IFERROR(_xlfn.XLOOKUP(G218,Listas!E:E,Listas!F:F,""),"")</f>
        <v>Operativo</v>
      </c>
      <c r="I218" s="47" t="str">
        <f>IFERROR(_xlfn.XLOOKUP(G218,Listas!E:E,Listas!G:G,""),"")</f>
        <v>Externo</v>
      </c>
      <c r="J218" s="44">
        <v>2291.75</v>
      </c>
      <c r="K218" s="5">
        <v>2291.75</v>
      </c>
      <c r="L218" s="6" t="s">
        <v>93</v>
      </c>
      <c r="M218" s="45">
        <v>749812.95</v>
      </c>
      <c r="N218" s="68">
        <f>IF(tblMovimientos[[#This Row],[Tipo de Movimiento]]="Ingreso",tblMovimientos[[#This Row],[Monto (S/)]],"0")</f>
        <v>2291.75</v>
      </c>
      <c r="O218" s="68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40">
        <v>46171</v>
      </c>
      <c r="C219" s="4" t="s">
        <v>21</v>
      </c>
      <c r="D219" s="42" t="s">
        <v>104</v>
      </c>
      <c r="E219" s="4" t="s">
        <v>37</v>
      </c>
      <c r="F219" s="42" t="s">
        <v>10</v>
      </c>
      <c r="G219" s="42" t="s">
        <v>42</v>
      </c>
      <c r="H219" s="4" t="str">
        <f>IFERROR(_xlfn.XLOOKUP(G219,Listas!E:E,Listas!F:F,""),"")</f>
        <v>Operativo</v>
      </c>
      <c r="I219" s="47" t="str">
        <f>IFERROR(_xlfn.XLOOKUP(G219,Listas!E:E,Listas!G:G,""),"")</f>
        <v>Externo</v>
      </c>
      <c r="J219" s="44">
        <v>76593.55</v>
      </c>
      <c r="K219" s="5">
        <v>-76593.55</v>
      </c>
      <c r="L219" s="6" t="s">
        <v>93</v>
      </c>
      <c r="M219" s="45">
        <v>244921.30999999936</v>
      </c>
      <c r="N219" s="68" t="str">
        <f>IF(tblMovimientos[[#This Row],[Tipo de Movimiento]]="Ingreso",tblMovimientos[[#This Row],[Monto (S/)]],"0")</f>
        <v>0</v>
      </c>
      <c r="O219" s="68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40">
        <v>46171</v>
      </c>
      <c r="C220" s="4" t="s">
        <v>24</v>
      </c>
      <c r="D220" s="42" t="s">
        <v>113</v>
      </c>
      <c r="E220" s="4" t="s">
        <v>154</v>
      </c>
      <c r="F220" s="42" t="s">
        <v>10</v>
      </c>
      <c r="G220" s="41" t="s">
        <v>38</v>
      </c>
      <c r="H220" s="4" t="str">
        <f>IFERROR(_xlfn.XLOOKUP(G220,Listas!E:E,Listas!F:F,""),"")</f>
        <v>Operativo</v>
      </c>
      <c r="I220" s="47" t="str">
        <f>IFERROR(_xlfn.XLOOKUP(G220,Listas!E:E,Listas!G:G,""),"")</f>
        <v>Externo</v>
      </c>
      <c r="J220" s="44">
        <v>1270.43</v>
      </c>
      <c r="K220" s="5">
        <v>-1270.43</v>
      </c>
      <c r="L220" s="6" t="s">
        <v>93</v>
      </c>
      <c r="M220" s="45">
        <v>1227.9699999999998</v>
      </c>
      <c r="N220" s="68" t="str">
        <f>IF(tblMovimientos[[#This Row],[Tipo de Movimiento]]="Ingreso",tblMovimientos[[#This Row],[Monto (S/)]],"0")</f>
        <v>0</v>
      </c>
      <c r="O220" s="68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40">
        <v>46174</v>
      </c>
      <c r="C221" s="4" t="s">
        <v>20</v>
      </c>
      <c r="D221" s="42" t="s">
        <v>100</v>
      </c>
      <c r="E221" s="4" t="s">
        <v>36</v>
      </c>
      <c r="F221" s="42" t="s">
        <v>9</v>
      </c>
      <c r="G221" s="42" t="s">
        <v>80</v>
      </c>
      <c r="H221" s="4" t="str">
        <f>IFERROR(_xlfn.XLOOKUP(G221,Listas!E:E,Listas!F:F,""),"")</f>
        <v>Operativo</v>
      </c>
      <c r="I221" s="47" t="str">
        <f>IFERROR(_xlfn.XLOOKUP(G221,Listas!E:E,Listas!G:G,""),"")</f>
        <v>Externo</v>
      </c>
      <c r="J221" s="44">
        <v>380000</v>
      </c>
      <c r="K221" s="5">
        <v>380000</v>
      </c>
      <c r="L221" s="15" t="s">
        <v>128</v>
      </c>
      <c r="M221" s="45">
        <v>804853.11999999988</v>
      </c>
      <c r="N221" s="68">
        <f>IF(tblMovimientos[[#This Row],[Tipo de Movimiento]]="Ingreso",tblMovimientos[[#This Row],[Monto (S/)]],"0")</f>
        <v>380000</v>
      </c>
      <c r="O221" s="68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40">
        <v>46174</v>
      </c>
      <c r="C222" s="4" t="s">
        <v>25</v>
      </c>
      <c r="D222" s="42" t="s">
        <v>114</v>
      </c>
      <c r="E222" s="4" t="s">
        <v>36</v>
      </c>
      <c r="F222" s="42" t="s">
        <v>10</v>
      </c>
      <c r="G222" s="42" t="s">
        <v>44</v>
      </c>
      <c r="H222" s="4" t="str">
        <f>IFERROR(_xlfn.XLOOKUP(G222,Listas!E:E,Listas!F:F,""),"")</f>
        <v>Operativo</v>
      </c>
      <c r="I222" s="47" t="str">
        <f>IFERROR(_xlfn.XLOOKUP(G222,Listas!E:E,Listas!G:G,""),"")</f>
        <v>Externo</v>
      </c>
      <c r="J222" s="44">
        <v>29.95</v>
      </c>
      <c r="K222" s="5">
        <v>-29.95</v>
      </c>
      <c r="L222" s="15" t="s">
        <v>128</v>
      </c>
      <c r="M222" s="45">
        <v>84.35</v>
      </c>
      <c r="N222" s="68" t="str">
        <f>IF(tblMovimientos[[#This Row],[Tipo de Movimiento]]="Ingreso",tblMovimientos[[#This Row],[Monto (S/)]],"0")</f>
        <v>0</v>
      </c>
      <c r="O222" s="68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40">
        <v>46174</v>
      </c>
      <c r="C223" s="4" t="s">
        <v>26</v>
      </c>
      <c r="D223" s="42" t="s">
        <v>115</v>
      </c>
      <c r="E223" s="4" t="s">
        <v>36</v>
      </c>
      <c r="F223" s="42" t="s">
        <v>10</v>
      </c>
      <c r="G223" s="42" t="s">
        <v>44</v>
      </c>
      <c r="H223" s="4" t="str">
        <f>IFERROR(_xlfn.XLOOKUP(G223,Listas!E:E,Listas!F:F,""),"")</f>
        <v>Operativo</v>
      </c>
      <c r="I223" s="47" t="str">
        <f>IFERROR(_xlfn.XLOOKUP(G223,Listas!E:E,Listas!G:G,""),"")</f>
        <v>Externo</v>
      </c>
      <c r="J223" s="44">
        <v>29.95</v>
      </c>
      <c r="K223" s="5">
        <v>-29.95</v>
      </c>
      <c r="L223" s="15" t="s">
        <v>128</v>
      </c>
      <c r="M223" s="45">
        <v>2237.77</v>
      </c>
      <c r="N223" s="68" t="str">
        <f>IF(tblMovimientos[[#This Row],[Tipo de Movimiento]]="Ingreso",tblMovimientos[[#This Row],[Monto (S/)]],"0")</f>
        <v>0</v>
      </c>
      <c r="O223" s="68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40">
        <v>46174</v>
      </c>
      <c r="C224" s="4" t="s">
        <v>30</v>
      </c>
      <c r="D224" s="42" t="s">
        <v>120</v>
      </c>
      <c r="E224" s="4" t="s">
        <v>36</v>
      </c>
      <c r="F224" s="42" t="s">
        <v>10</v>
      </c>
      <c r="G224" s="42" t="s">
        <v>44</v>
      </c>
      <c r="H224" s="4" t="str">
        <f>IFERROR(_xlfn.XLOOKUP(G224,Listas!E:E,Listas!F:F,""),"")</f>
        <v>Operativo</v>
      </c>
      <c r="I224" s="47" t="str">
        <f>IFERROR(_xlfn.XLOOKUP(G224,Listas!E:E,Listas!G:G,""),"")</f>
        <v>Externo</v>
      </c>
      <c r="J224" s="44">
        <v>16</v>
      </c>
      <c r="K224" s="5">
        <v>-16</v>
      </c>
      <c r="L224" s="15" t="s">
        <v>128</v>
      </c>
      <c r="M224" s="45">
        <v>1428.08</v>
      </c>
      <c r="N224" s="68" t="str">
        <f>IF(tblMovimientos[[#This Row],[Tipo de Movimiento]]="Ingreso",tblMovimientos[[#This Row],[Monto (S/)]],"0")</f>
        <v>0</v>
      </c>
      <c r="O224" s="68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40">
        <v>46174</v>
      </c>
      <c r="C225" s="4" t="s">
        <v>31</v>
      </c>
      <c r="D225" s="42" t="s">
        <v>121</v>
      </c>
      <c r="E225" s="4" t="s">
        <v>36</v>
      </c>
      <c r="F225" s="42" t="s">
        <v>10</v>
      </c>
      <c r="G225" s="42" t="s">
        <v>38</v>
      </c>
      <c r="H225" s="4" t="str">
        <f>IFERROR(_xlfn.XLOOKUP(G225,Listas!E:E,Listas!F:F,""),"")</f>
        <v>Operativo</v>
      </c>
      <c r="I225" s="47" t="str">
        <f>IFERROR(_xlfn.XLOOKUP(G225,Listas!E:E,Listas!G:G,""),"")</f>
        <v>Externo</v>
      </c>
      <c r="J225" s="44">
        <v>489</v>
      </c>
      <c r="K225" s="5">
        <v>-489</v>
      </c>
      <c r="L225" s="15" t="s">
        <v>128</v>
      </c>
      <c r="M225" s="45">
        <v>26085.849999999962</v>
      </c>
      <c r="N225" s="68" t="str">
        <f>IF(tblMovimientos[[#This Row],[Tipo de Movimiento]]="Ingreso",tblMovimientos[[#This Row],[Monto (S/)]],"0")</f>
        <v>0</v>
      </c>
      <c r="O225" s="68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40">
        <v>46174</v>
      </c>
      <c r="C226" s="4" t="s">
        <v>31</v>
      </c>
      <c r="D226" s="42" t="s">
        <v>121</v>
      </c>
      <c r="E226" s="4" t="s">
        <v>36</v>
      </c>
      <c r="F226" s="42" t="s">
        <v>10</v>
      </c>
      <c r="G226" s="42" t="s">
        <v>65</v>
      </c>
      <c r="H226" s="4" t="str">
        <f>IFERROR(_xlfn.XLOOKUP(G226,Listas!E:E,Listas!F:F,""),"")</f>
        <v>Operativo</v>
      </c>
      <c r="I226" s="47" t="str">
        <f>IFERROR(_xlfn.XLOOKUP(G226,Listas!E:E,Listas!G:G,""),"")</f>
        <v>Externo</v>
      </c>
      <c r="J226" s="44">
        <v>8533.33</v>
      </c>
      <c r="K226" s="5">
        <v>-8533.33</v>
      </c>
      <c r="L226" s="15" t="s">
        <v>128</v>
      </c>
      <c r="M226" s="45">
        <v>26085.849999999962</v>
      </c>
      <c r="N226" s="68" t="str">
        <f>IF(tblMovimientos[[#This Row],[Tipo de Movimiento]]="Ingreso",tblMovimientos[[#This Row],[Monto (S/)]],"0")</f>
        <v>0</v>
      </c>
      <c r="O226" s="68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40">
        <v>46174</v>
      </c>
      <c r="C227" s="4" t="s">
        <v>31</v>
      </c>
      <c r="D227" s="42" t="s">
        <v>122</v>
      </c>
      <c r="E227" s="4" t="s">
        <v>36</v>
      </c>
      <c r="F227" s="42" t="s">
        <v>10</v>
      </c>
      <c r="G227" s="42" t="s">
        <v>44</v>
      </c>
      <c r="H227" s="4" t="str">
        <f>IFERROR(_xlfn.XLOOKUP(G227,Listas!E:E,Listas!F:F,""),"")</f>
        <v>Operativo</v>
      </c>
      <c r="I227" s="47" t="str">
        <f>IFERROR(_xlfn.XLOOKUP(G227,Listas!E:E,Listas!G:G,""),"")</f>
        <v>Externo</v>
      </c>
      <c r="J227" s="44">
        <v>10</v>
      </c>
      <c r="K227" s="5">
        <v>-10</v>
      </c>
      <c r="L227" s="15" t="s">
        <v>128</v>
      </c>
      <c r="M227" s="45">
        <v>330.42</v>
      </c>
      <c r="N227" s="68" t="str">
        <f>IF(tblMovimientos[[#This Row],[Tipo de Movimiento]]="Ingreso",tblMovimientos[[#This Row],[Monto (S/)]],"0")</f>
        <v>0</v>
      </c>
      <c r="O227" s="68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40">
        <v>46174</v>
      </c>
      <c r="C228" s="4" t="s">
        <v>32</v>
      </c>
      <c r="D228" s="42" t="s">
        <v>123</v>
      </c>
      <c r="E228" s="4" t="s">
        <v>36</v>
      </c>
      <c r="F228" s="42" t="s">
        <v>10</v>
      </c>
      <c r="G228" s="42" t="s">
        <v>48</v>
      </c>
      <c r="H228" s="4" t="str">
        <f>IFERROR(_xlfn.XLOOKUP(G228,Listas!E:E,Listas!F:F,""),"")</f>
        <v>Financiamiento</v>
      </c>
      <c r="I228" s="47" t="str">
        <f>IFERROR(_xlfn.XLOOKUP(G228,Listas!E:E,Listas!G:G,""),"")</f>
        <v>Externo</v>
      </c>
      <c r="J228" s="44">
        <v>9798.6299999999992</v>
      </c>
      <c r="K228" s="5">
        <v>-9798.6299999999992</v>
      </c>
      <c r="L228" s="15" t="s">
        <v>128</v>
      </c>
      <c r="M228" s="45">
        <v>5321.4300000000021</v>
      </c>
      <c r="N228" s="68" t="str">
        <f>IF(tblMovimientos[[#This Row],[Tipo de Movimiento]]="Ingreso",tblMovimientos[[#This Row],[Monto (S/)]],"0")</f>
        <v>0</v>
      </c>
      <c r="O228" s="68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0">
        <v>46174</v>
      </c>
      <c r="C229" s="4" t="s">
        <v>33</v>
      </c>
      <c r="D229" s="42" t="s">
        <v>124</v>
      </c>
      <c r="E229" s="4" t="s">
        <v>36</v>
      </c>
      <c r="F229" s="42" t="s">
        <v>10</v>
      </c>
      <c r="G229" s="42" t="s">
        <v>48</v>
      </c>
      <c r="H229" s="4" t="str">
        <f>IFERROR(_xlfn.XLOOKUP(G229,Listas!E:E,Listas!F:F,""),"")</f>
        <v>Financiamiento</v>
      </c>
      <c r="I229" s="47" t="str">
        <f>IFERROR(_xlfn.XLOOKUP(G229,Listas!E:E,Listas!G:G,""),"")</f>
        <v>Externo</v>
      </c>
      <c r="J229" s="44">
        <v>8773.0400000000009</v>
      </c>
      <c r="K229" s="5">
        <v>-8773.0400000000009</v>
      </c>
      <c r="L229" s="15" t="s">
        <v>128</v>
      </c>
      <c r="M229" s="45">
        <v>24833.23</v>
      </c>
      <c r="N229" s="68" t="str">
        <f>IF(tblMovimientos[[#This Row],[Tipo de Movimiento]]="Ingreso",tblMovimientos[[#This Row],[Monto (S/)]],"0")</f>
        <v>0</v>
      </c>
      <c r="O229" s="68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0">
        <v>46174</v>
      </c>
      <c r="C230" s="4" t="s">
        <v>18</v>
      </c>
      <c r="D230" s="42" t="s">
        <v>97</v>
      </c>
      <c r="E230" s="4" t="s">
        <v>37</v>
      </c>
      <c r="F230" s="42" t="s">
        <v>9</v>
      </c>
      <c r="G230" s="42" t="s">
        <v>68</v>
      </c>
      <c r="H230" s="4" t="str">
        <f>IFERROR(_xlfn.XLOOKUP(G230,Listas!E:E,Listas!F:F,""),"")</f>
        <v>Operativo</v>
      </c>
      <c r="I230" s="47" t="str">
        <f>IFERROR(_xlfn.XLOOKUP(G230,Listas!E:E,Listas!G:G,""),"")</f>
        <v>Externo</v>
      </c>
      <c r="J230" s="44">
        <v>6979.11</v>
      </c>
      <c r="K230" s="5">
        <v>6979.11</v>
      </c>
      <c r="L230" s="15" t="s">
        <v>128</v>
      </c>
      <c r="M230" s="45">
        <v>64376.390000000174</v>
      </c>
      <c r="N230" s="68">
        <f>IF(tblMovimientos[[#This Row],[Tipo de Movimiento]]="Ingreso",tblMovimientos[[#This Row],[Monto (S/)]],"0")</f>
        <v>6979.11</v>
      </c>
      <c r="O230" s="68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40">
        <v>46174</v>
      </c>
      <c r="C231" s="4" t="s">
        <v>35</v>
      </c>
      <c r="D231" s="42" t="s">
        <v>126</v>
      </c>
      <c r="E231" s="4" t="s">
        <v>37</v>
      </c>
      <c r="F231" s="42" t="s">
        <v>10</v>
      </c>
      <c r="G231" s="42" t="s">
        <v>38</v>
      </c>
      <c r="H231" s="4" t="str">
        <f>IFERROR(_xlfn.XLOOKUP(G231,Listas!E:E,Listas!F:F,""),"")</f>
        <v>Operativo</v>
      </c>
      <c r="I231" s="47" t="str">
        <f>IFERROR(_xlfn.XLOOKUP(G231,Listas!E:E,Listas!G:G,""),"")</f>
        <v>Externo</v>
      </c>
      <c r="J231" s="44">
        <v>165</v>
      </c>
      <c r="K231" s="5">
        <v>-165</v>
      </c>
      <c r="L231" s="15" t="s">
        <v>128</v>
      </c>
      <c r="M231" s="45">
        <v>6824.47</v>
      </c>
      <c r="N231" s="68" t="str">
        <f>IF(tblMovimientos[[#This Row],[Tipo de Movimiento]]="Ingreso",tblMovimientos[[#This Row],[Monto (S/)]],"0")</f>
        <v>0</v>
      </c>
      <c r="O231" s="68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40">
        <v>46174</v>
      </c>
      <c r="C232" s="4" t="s">
        <v>35</v>
      </c>
      <c r="D232" s="42" t="s">
        <v>126</v>
      </c>
      <c r="E232" s="4" t="s">
        <v>37</v>
      </c>
      <c r="F232" s="42" t="s">
        <v>10</v>
      </c>
      <c r="G232" s="42" t="s">
        <v>38</v>
      </c>
      <c r="H232" s="4" t="str">
        <f>IFERROR(_xlfn.XLOOKUP(G232,Listas!E:E,Listas!F:F,""),"")</f>
        <v>Operativo</v>
      </c>
      <c r="I232" s="47" t="str">
        <f>IFERROR(_xlfn.XLOOKUP(G232,Listas!E:E,Listas!G:G,""),"")</f>
        <v>Externo</v>
      </c>
      <c r="J232" s="44">
        <v>493.38</v>
      </c>
      <c r="K232" s="5">
        <v>-493.38</v>
      </c>
      <c r="L232" s="15" t="s">
        <v>128</v>
      </c>
      <c r="M232" s="45">
        <v>6824.47</v>
      </c>
      <c r="N232" s="68" t="str">
        <f>IF(tblMovimientos[[#This Row],[Tipo de Movimiento]]="Ingreso",tblMovimientos[[#This Row],[Monto (S/)]],"0")</f>
        <v>0</v>
      </c>
      <c r="O232" s="68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40">
        <v>46174</v>
      </c>
      <c r="C233" s="4" t="s">
        <v>35</v>
      </c>
      <c r="D233" s="42" t="s">
        <v>126</v>
      </c>
      <c r="E233" s="4" t="s">
        <v>37</v>
      </c>
      <c r="F233" s="42" t="s">
        <v>10</v>
      </c>
      <c r="G233" s="42" t="s">
        <v>38</v>
      </c>
      <c r="H233" s="4" t="str">
        <f>IFERROR(_xlfn.XLOOKUP(G233,Listas!E:E,Listas!F:F,""),"")</f>
        <v>Operativo</v>
      </c>
      <c r="I233" s="47" t="str">
        <f>IFERROR(_xlfn.XLOOKUP(G233,Listas!E:E,Listas!G:G,""),"")</f>
        <v>Externo</v>
      </c>
      <c r="J233" s="44">
        <v>1593.39</v>
      </c>
      <c r="K233" s="5">
        <v>-1593.39</v>
      </c>
      <c r="L233" s="15" t="s">
        <v>128</v>
      </c>
      <c r="M233" s="45">
        <v>6824.47</v>
      </c>
      <c r="N233" s="68" t="str">
        <f>IF(tblMovimientos[[#This Row],[Tipo de Movimiento]]="Ingreso",tblMovimientos[[#This Row],[Monto (S/)]],"0")</f>
        <v>0</v>
      </c>
      <c r="O233" s="68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50">
        <v>46174</v>
      </c>
      <c r="C234" s="51" t="str">
        <f>_xlfn.XLOOKUP(tblMovimientos[[#This Row],[Cuenta Bancaria]],Listas!$B:$B,Listas!$A:$A,"")</f>
        <v>M1B</v>
      </c>
      <c r="D234" s="52" t="s">
        <v>98</v>
      </c>
      <c r="E234" s="51" t="str">
        <f>_xlfn.XLOOKUP(tblMovimientos[[#This Row],[Cuenta Bancaria]],Listas!$B:$B,Listas!$C:$C,"")</f>
        <v xml:space="preserve">Amerant Bank </v>
      </c>
      <c r="F234" s="52" t="s">
        <v>10</v>
      </c>
      <c r="G234" s="52" t="s">
        <v>44</v>
      </c>
      <c r="H234" s="51" t="str">
        <f>IFERROR(_xlfn.XLOOKUP(G234,Listas!E:E,Listas!F:F,""),"")</f>
        <v>Operativo</v>
      </c>
      <c r="I234" s="53" t="str">
        <f>IFERROR(_xlfn.XLOOKUP(G234,Listas!E:E,Listas!G:G,""),"")</f>
        <v>Externo</v>
      </c>
      <c r="J234" s="54">
        <v>0</v>
      </c>
      <c r="K234" s="60">
        <f>IF(F234="Ingreso",J234,-J234)</f>
        <v>0</v>
      </c>
      <c r="L234" s="55" t="s">
        <v>128</v>
      </c>
      <c r="M234" s="56">
        <f>SUMIFS('Saldos Iniciales'!$D$2:$D$38,'Saldos Iniciales'!$A$2:$A$38,C234,'Saldos Iniciales'!$B$2:$B$38,D234)+SUMIFS($K$1:$K$471,$C$1:$C$471,C234,$D$1:$D$471,D234,$B$1:$B$471,"&lt;="&amp;B234)</f>
        <v>5000</v>
      </c>
      <c r="N234" s="68" t="str">
        <f>IF(tblMovimientos[[#This Row],[Tipo de Movimiento]]="Ingreso",tblMovimientos[[#This Row],[Monto (S/)]],"0")</f>
        <v>0</v>
      </c>
      <c r="O234" s="68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50">
        <v>46174</v>
      </c>
      <c r="C235" s="51" t="str">
        <f>_xlfn.XLOOKUP(tblMovimientos[[#This Row],[Cuenta Bancaria]],Listas!$B:$B,Listas!$A:$A,"")</f>
        <v>SSP Capital</v>
      </c>
      <c r="D235" s="52" t="s">
        <v>107</v>
      </c>
      <c r="E235" s="51" t="str">
        <f>_xlfn.XLOOKUP(tblMovimientos[[#This Row],[Cuenta Bancaria]],Listas!$B:$B,Listas!$C:$C,"")</f>
        <v xml:space="preserve">Amerant Bank </v>
      </c>
      <c r="F235" s="52" t="s">
        <v>10</v>
      </c>
      <c r="G235" s="52" t="s">
        <v>44</v>
      </c>
      <c r="H235" s="51" t="str">
        <f>IFERROR(_xlfn.XLOOKUP(G235,Listas!E:E,Listas!F:F,""),"")</f>
        <v>Operativo</v>
      </c>
      <c r="I235" s="53" t="str">
        <f>IFERROR(_xlfn.XLOOKUP(G235,Listas!E:E,Listas!G:G,""),"")</f>
        <v>Externo</v>
      </c>
      <c r="J235" s="54">
        <v>0</v>
      </c>
      <c r="K235" s="60">
        <f>IF(F235="Ingreso",J235,-J235)</f>
        <v>0</v>
      </c>
      <c r="L235" s="55" t="s">
        <v>128</v>
      </c>
      <c r="M235" s="56">
        <f>SUMIFS('Saldos Iniciales'!$D$2:$D$38,'Saldos Iniciales'!$A$2:$A$38,C235,'Saldos Iniciales'!$B$2:$B$38,D235)+SUMIFS($K$1:$K$471,$C$1:$C$471,C235,$D$1:$D$471,D235,$B$1:$B$471,"&lt;="&amp;B235)</f>
        <v>5000</v>
      </c>
      <c r="N235" s="68" t="str">
        <f>IF(tblMovimientos[[#This Row],[Tipo de Movimiento]]="Ingreso",tblMovimientos[[#This Row],[Monto (S/)]],"0")</f>
        <v>0</v>
      </c>
      <c r="O235" s="68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50">
        <v>46174</v>
      </c>
      <c r="C236" s="51" t="str">
        <f>_xlfn.XLOOKUP(tblMovimientos[[#This Row],[Cuenta Bancaria]],Listas!$B:$B,Listas!$A:$A,"")</f>
        <v>Cross Family Trust</v>
      </c>
      <c r="D236" s="52" t="s">
        <v>108</v>
      </c>
      <c r="E236" s="51" t="str">
        <f>_xlfn.XLOOKUP(tblMovimientos[[#This Row],[Cuenta Bancaria]],Listas!$B:$B,Listas!$C:$C,"")</f>
        <v>Ocean Bank</v>
      </c>
      <c r="F236" s="52" t="s">
        <v>10</v>
      </c>
      <c r="G236" s="52" t="s">
        <v>44</v>
      </c>
      <c r="H236" s="51" t="str">
        <f>IFERROR(_xlfn.XLOOKUP(G236,Listas!E:E,Listas!F:F,""),"")</f>
        <v>Operativo</v>
      </c>
      <c r="I236" s="53" t="str">
        <f>IFERROR(_xlfn.XLOOKUP(G236,Listas!E:E,Listas!G:G,""),"")</f>
        <v>Externo</v>
      </c>
      <c r="J236" s="54">
        <v>0</v>
      </c>
      <c r="K236" s="60">
        <f>IF(F236="Ingreso",J236,-J236)</f>
        <v>0</v>
      </c>
      <c r="L236" s="55" t="s">
        <v>128</v>
      </c>
      <c r="M236" s="56">
        <f>SUMIFS('Saldos Iniciales'!$D$2:$D$38,'Saldos Iniciales'!$A$2:$A$38,C236,'Saldos Iniciales'!$B$2:$B$38,D236)+SUMIFS($K$1:$K$471,$C$1:$C$471,C236,$D$1:$D$471,D236,$B$1:$B$471,"&lt;="&amp;B236)</f>
        <v>57206.89</v>
      </c>
      <c r="N236" s="68" t="str">
        <f>IF(tblMovimientos[[#This Row],[Tipo de Movimiento]]="Ingreso",tblMovimientos[[#This Row],[Monto (S/)]],"0")</f>
        <v>0</v>
      </c>
      <c r="O236" s="68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50">
        <v>46174</v>
      </c>
      <c r="C237" s="51" t="str">
        <f>_xlfn.XLOOKUP(tblMovimientos[[#This Row],[Cuenta Bancaria]],Listas!$B:$B,Listas!$A:$A,"")</f>
        <v>Cross Family Trust</v>
      </c>
      <c r="D237" s="52" t="s">
        <v>109</v>
      </c>
      <c r="E237" s="51" t="str">
        <f>_xlfn.XLOOKUP(tblMovimientos[[#This Row],[Cuenta Bancaria]],Listas!$B:$B,Listas!$C:$C,"")</f>
        <v>Northern Trust</v>
      </c>
      <c r="F237" s="52" t="s">
        <v>10</v>
      </c>
      <c r="G237" s="52" t="s">
        <v>44</v>
      </c>
      <c r="H237" s="51" t="str">
        <f>IFERROR(_xlfn.XLOOKUP(G237,Listas!E:E,Listas!F:F,""),"")</f>
        <v>Operativo</v>
      </c>
      <c r="I237" s="53" t="str">
        <f>IFERROR(_xlfn.XLOOKUP(G237,Listas!E:E,Listas!G:G,""),"")</f>
        <v>Externo</v>
      </c>
      <c r="J237" s="54">
        <v>0</v>
      </c>
      <c r="K237" s="60">
        <f>IF(F237="Ingreso",J237,-J237)</f>
        <v>0</v>
      </c>
      <c r="L237" s="55" t="s">
        <v>128</v>
      </c>
      <c r="M237" s="56">
        <f>SUMIFS('Saldos Iniciales'!$D$2:$D$38,'Saldos Iniciales'!$A$2:$A$38,C237,'Saldos Iniciales'!$B$2:$B$38,D237)+SUMIFS($K$1:$K$471,$C$1:$C$471,C237,$D$1:$D$471,D237,$B$1:$B$471,"&lt;="&amp;B237)</f>
        <v>6365</v>
      </c>
      <c r="N237" s="68" t="str">
        <f>IF(tblMovimientos[[#This Row],[Tipo de Movimiento]]="Ingreso",tblMovimientos[[#This Row],[Monto (S/)]],"0")</f>
        <v>0</v>
      </c>
      <c r="O237" s="68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50">
        <v>46174</v>
      </c>
      <c r="C238" s="51" t="str">
        <f>_xlfn.XLOOKUP(tblMovimientos[[#This Row],[Cuenta Bancaria]],Listas!$B:$B,Listas!$A:$A,"")</f>
        <v>Durand</v>
      </c>
      <c r="D238" s="52" t="s">
        <v>99</v>
      </c>
      <c r="E238" s="51" t="str">
        <f>_xlfn.XLOOKUP(tblMovimientos[[#This Row],[Cuenta Bancaria]],Listas!$B:$B,Listas!$C:$C,"")</f>
        <v xml:space="preserve">Amerant Bank </v>
      </c>
      <c r="F238" s="52" t="s">
        <v>10</v>
      </c>
      <c r="G238" s="52" t="s">
        <v>44</v>
      </c>
      <c r="H238" s="51" t="str">
        <f>IFERROR(_xlfn.XLOOKUP(G238,Listas!E:E,Listas!F:F,""),"")</f>
        <v>Operativo</v>
      </c>
      <c r="I238" s="53" t="str">
        <f>IFERROR(_xlfn.XLOOKUP(G238,Listas!E:E,Listas!G:G,""),"")</f>
        <v>Externo</v>
      </c>
      <c r="J238" s="54">
        <v>0</v>
      </c>
      <c r="K238" s="60">
        <f>IF(F238="Ingreso",J238,-J238)</f>
        <v>0</v>
      </c>
      <c r="L238" s="55" t="s">
        <v>128</v>
      </c>
      <c r="M238" s="56">
        <f>SUMIFS('Saldos Iniciales'!$D$2:$D$38,'Saldos Iniciales'!$A$2:$A$38,C238,'Saldos Iniciales'!$B$2:$B$38,D238)+SUMIFS($K$1:$K$471,$C$1:$C$471,C238,$D$1:$D$471,D238,$B$1:$B$471,"&lt;="&amp;B238)</f>
        <v>1669.89</v>
      </c>
      <c r="N238" s="68" t="str">
        <f>IF(tblMovimientos[[#This Row],[Tipo de Movimiento]]="Ingreso",tblMovimientos[[#This Row],[Monto (S/)]],"0")</f>
        <v>0</v>
      </c>
      <c r="O238" s="68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50">
        <v>46174</v>
      </c>
      <c r="C239" s="51" t="str">
        <f>_xlfn.XLOOKUP(tblMovimientos[[#This Row],[Cuenta Bancaria]],Listas!$B:$B,Listas!$A:$A,"")</f>
        <v>Green Stone Trust</v>
      </c>
      <c r="D239" s="52" t="s">
        <v>117</v>
      </c>
      <c r="E239" s="51" t="str">
        <f>_xlfn.XLOOKUP(tblMovimientos[[#This Row],[Cuenta Bancaria]],Listas!$B:$B,Listas!$C:$C,"")</f>
        <v>Bank of America</v>
      </c>
      <c r="F239" s="52" t="s">
        <v>10</v>
      </c>
      <c r="G239" s="52" t="s">
        <v>44</v>
      </c>
      <c r="H239" s="51" t="str">
        <f>IFERROR(_xlfn.XLOOKUP(G239,Listas!E:E,Listas!F:F,""),"")</f>
        <v>Operativo</v>
      </c>
      <c r="I239" s="53" t="str">
        <f>IFERROR(_xlfn.XLOOKUP(G239,Listas!E:E,Listas!G:G,""),"")</f>
        <v>Externo</v>
      </c>
      <c r="J239" s="54"/>
      <c r="K239" s="60">
        <v>0</v>
      </c>
      <c r="L239" s="55" t="s">
        <v>128</v>
      </c>
      <c r="M239" s="56">
        <f>SUMIFS('Saldos Iniciales'!$D$2:$D$38,'Saldos Iniciales'!$A$2:$A$38,C239,'Saldos Iniciales'!$B$2:$B$38,D239)+SUMIFS($K$1:$K$471,$C$1:$C$471,C239,$D$1:$D$471,D239,$B$1:$B$471,"&lt;="&amp;B239)</f>
        <v>1968.99</v>
      </c>
      <c r="N239" s="68" t="str">
        <f>IF(tblMovimientos[[#This Row],[Tipo de Movimiento]]="Ingreso",tblMovimientos[[#This Row],[Monto (S/)]],"0")</f>
        <v>0</v>
      </c>
      <c r="O239" s="68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40">
        <v>46175</v>
      </c>
      <c r="C240" s="4" t="s">
        <v>31</v>
      </c>
      <c r="D240" s="42" t="s">
        <v>121</v>
      </c>
      <c r="E240" s="4" t="s">
        <v>36</v>
      </c>
      <c r="F240" s="42" t="s">
        <v>10</v>
      </c>
      <c r="G240" s="42" t="s">
        <v>38</v>
      </c>
      <c r="H240" s="4" t="str">
        <f>IFERROR(_xlfn.XLOOKUP(G240,Listas!E:E,Listas!F:F,""),"")</f>
        <v>Operativo</v>
      </c>
      <c r="I240" s="47" t="str">
        <f>IFERROR(_xlfn.XLOOKUP(G240,Listas!E:E,Listas!G:G,""),"")</f>
        <v>Externo</v>
      </c>
      <c r="J240" s="44">
        <v>626.29999999999995</v>
      </c>
      <c r="K240" s="5">
        <v>-626.29999999999995</v>
      </c>
      <c r="L240" s="15" t="s">
        <v>128</v>
      </c>
      <c r="M240" s="45">
        <v>25459.549999999963</v>
      </c>
      <c r="N240" s="68" t="str">
        <f>IF(tblMovimientos[[#This Row],[Tipo de Movimiento]]="Ingreso",tblMovimientos[[#This Row],[Monto (S/)]],"0")</f>
        <v>0</v>
      </c>
      <c r="O240" s="68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0">
        <v>46175</v>
      </c>
      <c r="C241" s="4" t="s">
        <v>35</v>
      </c>
      <c r="D241" s="42" t="s">
        <v>126</v>
      </c>
      <c r="E241" s="4" t="s">
        <v>37</v>
      </c>
      <c r="F241" s="42" t="s">
        <v>10</v>
      </c>
      <c r="G241" s="42" t="s">
        <v>38</v>
      </c>
      <c r="H241" s="4" t="str">
        <f>IFERROR(_xlfn.XLOOKUP(G241,Listas!E:E,Listas!F:F,""),"")</f>
        <v>Operativo</v>
      </c>
      <c r="I241" s="47" t="str">
        <f>IFERROR(_xlfn.XLOOKUP(G241,Listas!E:E,Listas!G:G,""),"")</f>
        <v>Externo</v>
      </c>
      <c r="J241" s="44">
        <v>3309.58</v>
      </c>
      <c r="K241" s="5">
        <v>-3309.58</v>
      </c>
      <c r="L241" s="15" t="s">
        <v>128</v>
      </c>
      <c r="M241" s="45">
        <v>3514.8900000000012</v>
      </c>
      <c r="N241" s="68" t="str">
        <f>IF(tblMovimientos[[#This Row],[Tipo de Movimiento]]="Ingreso",tblMovimientos[[#This Row],[Monto (S/)]],"0")</f>
        <v>0</v>
      </c>
      <c r="O241" s="68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40">
        <v>46176</v>
      </c>
      <c r="C242" s="4" t="s">
        <v>21</v>
      </c>
      <c r="D242" s="42" t="s">
        <v>101</v>
      </c>
      <c r="E242" s="4" t="s">
        <v>36</v>
      </c>
      <c r="F242" s="42" t="s">
        <v>10</v>
      </c>
      <c r="G242" s="42" t="s">
        <v>38</v>
      </c>
      <c r="H242" s="4" t="str">
        <f>IFERROR(_xlfn.XLOOKUP(G242,Listas!E:E,Listas!F:F,""),"")</f>
        <v>Operativo</v>
      </c>
      <c r="I242" s="47" t="str">
        <f>IFERROR(_xlfn.XLOOKUP(G242,Listas!E:E,Listas!G:G,""),"")</f>
        <v>Externo</v>
      </c>
      <c r="J242" s="44">
        <v>290.01</v>
      </c>
      <c r="K242" s="5">
        <v>-290.01</v>
      </c>
      <c r="L242" s="15" t="s">
        <v>128</v>
      </c>
      <c r="M242" s="45">
        <v>10553.2</v>
      </c>
      <c r="N242" s="68" t="str">
        <f>IF(tblMovimientos[[#This Row],[Tipo de Movimiento]]="Ingreso",tblMovimientos[[#This Row],[Monto (S/)]],"0")</f>
        <v>0</v>
      </c>
      <c r="O242" s="68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40">
        <v>46176</v>
      </c>
      <c r="C243" s="4" t="s">
        <v>22</v>
      </c>
      <c r="D243" s="42" t="s">
        <v>110</v>
      </c>
      <c r="E243" s="4" t="s">
        <v>36</v>
      </c>
      <c r="F243" s="42" t="s">
        <v>10</v>
      </c>
      <c r="G243" s="42" t="s">
        <v>38</v>
      </c>
      <c r="H243" s="4" t="str">
        <f>IFERROR(_xlfn.XLOOKUP(G243,Listas!E:E,Listas!F:F,""),"")</f>
        <v>Operativo</v>
      </c>
      <c r="I243" s="47" t="str">
        <f>IFERROR(_xlfn.XLOOKUP(G243,Listas!E:E,Listas!G:G,""),"")</f>
        <v>Externo</v>
      </c>
      <c r="J243" s="44">
        <v>6000</v>
      </c>
      <c r="K243" s="5">
        <v>-6000</v>
      </c>
      <c r="L243" s="15" t="s">
        <v>128</v>
      </c>
      <c r="M243" s="45">
        <v>51206.89</v>
      </c>
      <c r="N243" s="68" t="str">
        <f>IF(tblMovimientos[[#This Row],[Tipo de Movimiento]]="Ingreso",tblMovimientos[[#This Row],[Monto (S/)]],"0")</f>
        <v>0</v>
      </c>
      <c r="O243" s="68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40">
        <v>46177</v>
      </c>
      <c r="C244" s="4" t="s">
        <v>35</v>
      </c>
      <c r="D244" s="42" t="s">
        <v>126</v>
      </c>
      <c r="E244" s="4" t="s">
        <v>37</v>
      </c>
      <c r="F244" s="42" t="s">
        <v>10</v>
      </c>
      <c r="G244" s="42" t="s">
        <v>44</v>
      </c>
      <c r="H244" s="4" t="str">
        <f>IFERROR(_xlfn.XLOOKUP(G244,Listas!E:E,Listas!F:F,""),"")</f>
        <v>Operativo</v>
      </c>
      <c r="I244" s="47" t="str">
        <f>IFERROR(_xlfn.XLOOKUP(G244,Listas!E:E,Listas!G:G,""),"")</f>
        <v>Externo</v>
      </c>
      <c r="J244" s="44">
        <v>15</v>
      </c>
      <c r="K244" s="5">
        <v>-15</v>
      </c>
      <c r="L244" s="15" t="s">
        <v>128</v>
      </c>
      <c r="M244" s="45">
        <v>2422.7400000000016</v>
      </c>
      <c r="N244" s="68" t="str">
        <f>IF(tblMovimientos[[#This Row],[Tipo de Movimiento]]="Ingreso",tblMovimientos[[#This Row],[Monto (S/)]],"0")</f>
        <v>0</v>
      </c>
      <c r="O244" s="68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40">
        <v>46177</v>
      </c>
      <c r="C245" s="4" t="s">
        <v>35</v>
      </c>
      <c r="D245" s="42" t="s">
        <v>126</v>
      </c>
      <c r="E245" s="4" t="s">
        <v>37</v>
      </c>
      <c r="F245" s="42" t="s">
        <v>10</v>
      </c>
      <c r="G245" s="42" t="s">
        <v>44</v>
      </c>
      <c r="H245" s="4" t="str">
        <f>IFERROR(_xlfn.XLOOKUP(G245,Listas!E:E,Listas!F:F,""),"")</f>
        <v>Operativo</v>
      </c>
      <c r="I245" s="47" t="str">
        <f>IFERROR(_xlfn.XLOOKUP(G245,Listas!E:E,Listas!G:G,""),"")</f>
        <v>Externo</v>
      </c>
      <c r="J245" s="44">
        <v>15</v>
      </c>
      <c r="K245" s="5">
        <v>-15</v>
      </c>
      <c r="L245" s="15" t="s">
        <v>128</v>
      </c>
      <c r="M245" s="45">
        <v>2422.7400000000016</v>
      </c>
      <c r="N245" s="68" t="str">
        <f>IF(tblMovimientos[[#This Row],[Tipo de Movimiento]]="Ingreso",tblMovimientos[[#This Row],[Monto (S/)]],"0")</f>
        <v>0</v>
      </c>
      <c r="O245" s="68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40">
        <v>46177</v>
      </c>
      <c r="C246" s="4" t="s">
        <v>35</v>
      </c>
      <c r="D246" s="42" t="s">
        <v>126</v>
      </c>
      <c r="E246" s="4" t="s">
        <v>37</v>
      </c>
      <c r="F246" s="42" t="s">
        <v>10</v>
      </c>
      <c r="G246" s="42" t="s">
        <v>44</v>
      </c>
      <c r="H246" s="4" t="str">
        <f>IFERROR(_xlfn.XLOOKUP(G246,Listas!E:E,Listas!F:F,""),"")</f>
        <v>Operativo</v>
      </c>
      <c r="I246" s="47" t="str">
        <f>IFERROR(_xlfn.XLOOKUP(G246,Listas!E:E,Listas!G:G,""),"")</f>
        <v>Externo</v>
      </c>
      <c r="J246" s="44">
        <v>15</v>
      </c>
      <c r="K246" s="5">
        <v>-15</v>
      </c>
      <c r="L246" s="15" t="s">
        <v>128</v>
      </c>
      <c r="M246" s="45">
        <v>2422.7400000000016</v>
      </c>
      <c r="N246" s="68" t="str">
        <f>IF(tblMovimientos[[#This Row],[Tipo de Movimiento]]="Ingreso",tblMovimientos[[#This Row],[Monto (S/)]],"0")</f>
        <v>0</v>
      </c>
      <c r="O246" s="68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40">
        <v>46177</v>
      </c>
      <c r="C247" s="4" t="s">
        <v>21</v>
      </c>
      <c r="D247" s="42" t="s">
        <v>101</v>
      </c>
      <c r="E247" s="4" t="s">
        <v>36</v>
      </c>
      <c r="F247" s="42" t="s">
        <v>9</v>
      </c>
      <c r="G247" s="42" t="s">
        <v>68</v>
      </c>
      <c r="H247" s="4" t="str">
        <f>IFERROR(_xlfn.XLOOKUP(G247,Listas!E:E,Listas!F:F,""),"")</f>
        <v>Operativo</v>
      </c>
      <c r="I247" s="47" t="str">
        <f>IFERROR(_xlfn.XLOOKUP(G247,Listas!E:E,Listas!G:G,""),"")</f>
        <v>Externo</v>
      </c>
      <c r="J247" s="44">
        <v>15307.88</v>
      </c>
      <c r="K247" s="5">
        <v>15307.88</v>
      </c>
      <c r="L247" s="15" t="s">
        <v>128</v>
      </c>
      <c r="M247" s="45">
        <v>25322.66</v>
      </c>
      <c r="N247" s="68">
        <f>IF(tblMovimientos[[#This Row],[Tipo de Movimiento]]="Ingreso",tblMovimientos[[#This Row],[Monto (S/)]],"0")</f>
        <v>15307.88</v>
      </c>
      <c r="O247" s="68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40">
        <v>46177</v>
      </c>
      <c r="C248" s="4" t="s">
        <v>21</v>
      </c>
      <c r="D248" s="42" t="s">
        <v>101</v>
      </c>
      <c r="E248" s="4" t="s">
        <v>36</v>
      </c>
      <c r="F248" s="42" t="s">
        <v>10</v>
      </c>
      <c r="G248" s="42" t="s">
        <v>38</v>
      </c>
      <c r="H248" s="4" t="str">
        <f>IFERROR(_xlfn.XLOOKUP(G248,Listas!E:E,Listas!F:F,""),"")</f>
        <v>Operativo</v>
      </c>
      <c r="I248" s="47" t="str">
        <f>IFERROR(_xlfn.XLOOKUP(G248,Listas!E:E,Listas!G:G,""),"")</f>
        <v>Externo</v>
      </c>
      <c r="J248" s="44">
        <v>538.41999999999996</v>
      </c>
      <c r="K248" s="5">
        <v>-538.41999999999996</v>
      </c>
      <c r="L248" s="15" t="s">
        <v>128</v>
      </c>
      <c r="M248" s="45">
        <v>25322.66</v>
      </c>
      <c r="N248" s="68" t="str">
        <f>IF(tblMovimientos[[#This Row],[Tipo de Movimiento]]="Ingreso",tblMovimientos[[#This Row],[Monto (S/)]],"0")</f>
        <v>0</v>
      </c>
      <c r="O248" s="68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0">
        <v>46177</v>
      </c>
      <c r="C249" s="4" t="s">
        <v>20</v>
      </c>
      <c r="D249" s="42" t="s">
        <v>100</v>
      </c>
      <c r="E249" s="4" t="s">
        <v>36</v>
      </c>
      <c r="F249" s="42" t="s">
        <v>10</v>
      </c>
      <c r="G249" s="42" t="s">
        <v>61</v>
      </c>
      <c r="H249" s="4" t="str">
        <f>IFERROR(_xlfn.XLOOKUP(G249,Listas!E:E,Listas!F:F,""),"")</f>
        <v>Operativo</v>
      </c>
      <c r="I249" s="47" t="str">
        <f>IFERROR(_xlfn.XLOOKUP(G249,Listas!E:E,Listas!G:G,""),"")</f>
        <v>Externo</v>
      </c>
      <c r="J249" s="44">
        <v>60000</v>
      </c>
      <c r="K249" s="5">
        <v>-60000</v>
      </c>
      <c r="L249" s="15" t="s">
        <v>128</v>
      </c>
      <c r="M249" s="45">
        <v>729545.23999999987</v>
      </c>
      <c r="N249" s="68" t="str">
        <f>IF(tblMovimientos[[#This Row],[Tipo de Movimiento]]="Ingreso",tblMovimientos[[#This Row],[Monto (S/)]],"0")</f>
        <v>0</v>
      </c>
      <c r="O249" s="68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40">
        <v>46177</v>
      </c>
      <c r="C250" s="4" t="s">
        <v>20</v>
      </c>
      <c r="D250" s="42" t="s">
        <v>100</v>
      </c>
      <c r="E250" s="4" t="s">
        <v>36</v>
      </c>
      <c r="F250" s="42" t="s">
        <v>10</v>
      </c>
      <c r="G250" s="42" t="s">
        <v>49</v>
      </c>
      <c r="H250" s="4" t="str">
        <f>IFERROR(_xlfn.XLOOKUP(G250,Listas!E:E,Listas!F:F,""),"")</f>
        <v>Financiamiento</v>
      </c>
      <c r="I250" s="47" t="str">
        <f>IFERROR(_xlfn.XLOOKUP(G250,Listas!E:E,Listas!G:G,""),"")</f>
        <v>Externo</v>
      </c>
      <c r="J250" s="44">
        <v>15307.88</v>
      </c>
      <c r="K250" s="5">
        <v>-15307.88</v>
      </c>
      <c r="L250" s="15" t="s">
        <v>128</v>
      </c>
      <c r="M250" s="45">
        <v>729545.23999999987</v>
      </c>
      <c r="N250" s="68" t="str">
        <f>IF(tblMovimientos[[#This Row],[Tipo de Movimiento]]="Ingreso",tblMovimientos[[#This Row],[Monto (S/)]],"0")</f>
        <v>0</v>
      </c>
      <c r="O250" s="68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40">
        <v>46177</v>
      </c>
      <c r="C251" s="4" t="s">
        <v>17</v>
      </c>
      <c r="D251" s="42" t="s">
        <v>94</v>
      </c>
      <c r="E251" s="4" t="s">
        <v>36</v>
      </c>
      <c r="F251" s="42" t="s">
        <v>10</v>
      </c>
      <c r="G251" s="42" t="s">
        <v>64</v>
      </c>
      <c r="H251" s="4" t="str">
        <f>IFERROR(_xlfn.XLOOKUP(G251,Listas!E:E,Listas!F:F,""),"")</f>
        <v>Operativo</v>
      </c>
      <c r="I251" s="47" t="str">
        <f>IFERROR(_xlfn.XLOOKUP(G251,Listas!E:E,Listas!G:G,""),"")</f>
        <v>Interno</v>
      </c>
      <c r="J251" s="44">
        <v>185000</v>
      </c>
      <c r="K251" s="5">
        <v>-185000</v>
      </c>
      <c r="L251" s="15" t="s">
        <v>128</v>
      </c>
      <c r="M251" s="45">
        <v>8489.5799999999872</v>
      </c>
      <c r="N251" s="68" t="str">
        <f>IF(tblMovimientos[[#This Row],[Tipo de Movimiento]]="Ingreso",tblMovimientos[[#This Row],[Monto (S/)]],"0")</f>
        <v>0</v>
      </c>
      <c r="O251" s="68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40">
        <v>46177</v>
      </c>
      <c r="C252" s="4" t="s">
        <v>17</v>
      </c>
      <c r="D252" s="42" t="s">
        <v>95</v>
      </c>
      <c r="E252" s="4" t="s">
        <v>37</v>
      </c>
      <c r="F252" s="42" t="s">
        <v>9</v>
      </c>
      <c r="G252" s="42" t="s">
        <v>85</v>
      </c>
      <c r="H252" s="4" t="str">
        <f>IFERROR(_xlfn.XLOOKUP(G252,Listas!E:E,Listas!F:F,""),"")</f>
        <v>Operativo</v>
      </c>
      <c r="I252" s="47" t="str">
        <f>IFERROR(_xlfn.XLOOKUP(G252,Listas!E:E,Listas!G:G,""),"")</f>
        <v>Interno</v>
      </c>
      <c r="J252" s="44">
        <v>185000</v>
      </c>
      <c r="K252" s="5">
        <v>185000</v>
      </c>
      <c r="L252" s="15" t="s">
        <v>128</v>
      </c>
      <c r="M252" s="45">
        <v>719648.53</v>
      </c>
      <c r="N252" s="68">
        <f>IF(tblMovimientos[[#This Row],[Tipo de Movimiento]]="Ingreso",tblMovimientos[[#This Row],[Monto (S/)]],"0")</f>
        <v>185000</v>
      </c>
      <c r="O252" s="68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40">
        <v>46177</v>
      </c>
      <c r="C253" s="4" t="s">
        <v>17</v>
      </c>
      <c r="D253" s="42" t="s">
        <v>95</v>
      </c>
      <c r="E253" s="4" t="s">
        <v>37</v>
      </c>
      <c r="F253" s="42" t="s">
        <v>10</v>
      </c>
      <c r="G253" s="42" t="s">
        <v>61</v>
      </c>
      <c r="H253" s="4" t="str">
        <f>IFERROR(_xlfn.XLOOKUP(G253,Listas!E:E,Listas!F:F,""),"")</f>
        <v>Operativo</v>
      </c>
      <c r="I253" s="47" t="str">
        <f>IFERROR(_xlfn.XLOOKUP(G253,Listas!E:E,Listas!G:G,""),"")</f>
        <v>Externo</v>
      </c>
      <c r="J253" s="44">
        <v>30000</v>
      </c>
      <c r="K253" s="5">
        <v>-30000</v>
      </c>
      <c r="L253" s="15" t="s">
        <v>128</v>
      </c>
      <c r="M253" s="45">
        <v>719648.53</v>
      </c>
      <c r="N253" s="68" t="str">
        <f>IF(tblMovimientos[[#This Row],[Tipo de Movimiento]]="Ingreso",tblMovimientos[[#This Row],[Monto (S/)]],"0")</f>
        <v>0</v>
      </c>
      <c r="O253" s="68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40">
        <v>46177</v>
      </c>
      <c r="C254" s="4" t="s">
        <v>17</v>
      </c>
      <c r="D254" s="42" t="s">
        <v>95</v>
      </c>
      <c r="E254" s="4" t="s">
        <v>37</v>
      </c>
      <c r="F254" s="42" t="s">
        <v>10</v>
      </c>
      <c r="G254" s="42" t="s">
        <v>61</v>
      </c>
      <c r="H254" s="4" t="str">
        <f>IFERROR(_xlfn.XLOOKUP(G254,Listas!E:E,Listas!F:F,""),"")</f>
        <v>Operativo</v>
      </c>
      <c r="I254" s="47" t="str">
        <f>IFERROR(_xlfn.XLOOKUP(G254,Listas!E:E,Listas!G:G,""),"")</f>
        <v>Externo</v>
      </c>
      <c r="J254" s="44">
        <v>70000</v>
      </c>
      <c r="K254" s="5">
        <v>-70000</v>
      </c>
      <c r="L254" s="15" t="s">
        <v>128</v>
      </c>
      <c r="M254" s="45">
        <v>719648.53</v>
      </c>
      <c r="N254" s="68" t="str">
        <f>IF(tblMovimientos[[#This Row],[Tipo de Movimiento]]="Ingreso",tblMovimientos[[#This Row],[Monto (S/)]],"0")</f>
        <v>0</v>
      </c>
      <c r="O254" s="68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40">
        <v>46177</v>
      </c>
      <c r="C255" s="4" t="s">
        <v>17</v>
      </c>
      <c r="D255" s="42" t="s">
        <v>95</v>
      </c>
      <c r="E255" s="4" t="s">
        <v>37</v>
      </c>
      <c r="F255" s="42" t="s">
        <v>10</v>
      </c>
      <c r="G255" s="42" t="s">
        <v>50</v>
      </c>
      <c r="H255" s="4" t="str">
        <f>IFERROR(_xlfn.XLOOKUP(G255,Listas!E:E,Listas!F:F,""),"")</f>
        <v>Financiamiento</v>
      </c>
      <c r="I255" s="47" t="str">
        <f>IFERROR(_xlfn.XLOOKUP(G255,Listas!E:E,Listas!G:G,""),"")</f>
        <v>Externo</v>
      </c>
      <c r="J255" s="44">
        <v>150000</v>
      </c>
      <c r="K255" s="5">
        <v>-150000</v>
      </c>
      <c r="L255" s="15" t="s">
        <v>128</v>
      </c>
      <c r="M255" s="45">
        <v>719648.53</v>
      </c>
      <c r="N255" s="68" t="str">
        <f>IF(tblMovimientos[[#This Row],[Tipo de Movimiento]]="Ingreso",tblMovimientos[[#This Row],[Monto (S/)]],"0")</f>
        <v>0</v>
      </c>
      <c r="O255" s="68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40">
        <v>46177</v>
      </c>
      <c r="C256" s="4" t="s">
        <v>29</v>
      </c>
      <c r="D256" s="42" t="s">
        <v>119</v>
      </c>
      <c r="E256" s="4" t="s">
        <v>37</v>
      </c>
      <c r="F256" s="42" t="s">
        <v>10</v>
      </c>
      <c r="G256" s="42" t="s">
        <v>38</v>
      </c>
      <c r="H256" s="4" t="str">
        <f>IFERROR(_xlfn.XLOOKUP(G256,Listas!E:E,Listas!F:F,""),"")</f>
        <v>Operativo</v>
      </c>
      <c r="I256" s="47" t="str">
        <f>IFERROR(_xlfn.XLOOKUP(G256,Listas!E:E,Listas!G:G,""),"")</f>
        <v>Externo</v>
      </c>
      <c r="J256" s="44">
        <v>518.65</v>
      </c>
      <c r="K256" s="5">
        <v>-518.65</v>
      </c>
      <c r="L256" s="15" t="s">
        <v>128</v>
      </c>
      <c r="M256" s="45">
        <v>382.69000000000005</v>
      </c>
      <c r="N256" s="68" t="str">
        <f>IF(tblMovimientos[[#This Row],[Tipo de Movimiento]]="Ingreso",tblMovimientos[[#This Row],[Monto (S/)]],"0")</f>
        <v>0</v>
      </c>
      <c r="O256" s="68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40">
        <v>46177</v>
      </c>
      <c r="C257" s="4" t="s">
        <v>22</v>
      </c>
      <c r="D257" s="42" t="s">
        <v>111</v>
      </c>
      <c r="E257" s="4" t="s">
        <v>37</v>
      </c>
      <c r="F257" s="42" t="s">
        <v>10</v>
      </c>
      <c r="G257" s="42" t="s">
        <v>64</v>
      </c>
      <c r="H257" s="4" t="str">
        <f>IFERROR(_xlfn.XLOOKUP(G257,Listas!E:E,Listas!F:F,""),"")</f>
        <v>Operativo</v>
      </c>
      <c r="I257" s="47" t="str">
        <f>IFERROR(_xlfn.XLOOKUP(G257,Listas!E:E,Listas!G:G,""),"")</f>
        <v>Interno</v>
      </c>
      <c r="J257" s="44">
        <v>9000</v>
      </c>
      <c r="K257" s="5">
        <v>-9000</v>
      </c>
      <c r="L257" s="15" t="s">
        <v>128</v>
      </c>
      <c r="M257" s="45">
        <v>1717.6000000000058</v>
      </c>
      <c r="N257" s="68" t="str">
        <f>IF(tblMovimientos[[#This Row],[Tipo de Movimiento]]="Ingreso",tblMovimientos[[#This Row],[Monto (S/)]],"0")</f>
        <v>0</v>
      </c>
      <c r="O257" s="68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40">
        <v>46177</v>
      </c>
      <c r="C258" s="4" t="s">
        <v>21</v>
      </c>
      <c r="D258" s="42" t="s">
        <v>104</v>
      </c>
      <c r="E258" s="4" t="s">
        <v>37</v>
      </c>
      <c r="F258" s="42" t="s">
        <v>9</v>
      </c>
      <c r="G258" s="42" t="s">
        <v>75</v>
      </c>
      <c r="H258" s="4" t="str">
        <f>IFERROR(_xlfn.XLOOKUP(G258,Listas!E:E,Listas!F:F,""),"")</f>
        <v>Financiamiento</v>
      </c>
      <c r="I258" s="47" t="str">
        <f>IFERROR(_xlfn.XLOOKUP(G258,Listas!E:E,Listas!G:G,""),"")</f>
        <v>Interno</v>
      </c>
      <c r="J258" s="44">
        <v>150000</v>
      </c>
      <c r="K258" s="5">
        <v>150000</v>
      </c>
      <c r="L258" s="15" t="s">
        <v>128</v>
      </c>
      <c r="M258" s="45">
        <v>386254.63999999932</v>
      </c>
      <c r="N258" s="68">
        <f>IF(tblMovimientos[[#This Row],[Tipo de Movimiento]]="Ingreso",tblMovimientos[[#This Row],[Monto (S/)]],"0")</f>
        <v>150000</v>
      </c>
      <c r="O258" s="68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40">
        <v>46177</v>
      </c>
      <c r="C259" s="4" t="s">
        <v>21</v>
      </c>
      <c r="D259" s="42" t="s">
        <v>104</v>
      </c>
      <c r="E259" s="4" t="s">
        <v>37</v>
      </c>
      <c r="F259" s="42" t="s">
        <v>10</v>
      </c>
      <c r="G259" s="42" t="s">
        <v>46</v>
      </c>
      <c r="H259" s="4" t="str">
        <f>IFERROR(_xlfn.XLOOKUP(G259,Listas!E:E,Listas!F:F,""),"")</f>
        <v>Financiamiento</v>
      </c>
      <c r="I259" s="47" t="str">
        <f>IFERROR(_xlfn.XLOOKUP(G259,Listas!E:E,Listas!G:G,""),"")</f>
        <v>Externo</v>
      </c>
      <c r="J259" s="44">
        <v>8666.67</v>
      </c>
      <c r="K259" s="5">
        <v>-8666.67</v>
      </c>
      <c r="L259" s="15" t="s">
        <v>128</v>
      </c>
      <c r="M259" s="45">
        <v>386254.63999999932</v>
      </c>
      <c r="N259" s="68" t="str">
        <f>IF(tblMovimientos[[#This Row],[Tipo de Movimiento]]="Ingreso",tblMovimientos[[#This Row],[Monto (S/)]],"0")</f>
        <v>0</v>
      </c>
      <c r="O259" s="68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40">
        <v>46177</v>
      </c>
      <c r="C260" s="4" t="s">
        <v>34</v>
      </c>
      <c r="D260" s="42" t="s">
        <v>125</v>
      </c>
      <c r="E260" s="4" t="s">
        <v>37</v>
      </c>
      <c r="F260" s="42" t="s">
        <v>9</v>
      </c>
      <c r="G260" s="42" t="s">
        <v>85</v>
      </c>
      <c r="H260" s="4" t="str">
        <f>IFERROR(_xlfn.XLOOKUP(G260,Listas!E:E,Listas!F:F,""),"")</f>
        <v>Operativo</v>
      </c>
      <c r="I260" s="47" t="str">
        <f>IFERROR(_xlfn.XLOOKUP(G260,Listas!E:E,Listas!G:G,""),"")</f>
        <v>Interno</v>
      </c>
      <c r="J260" s="44">
        <v>9000</v>
      </c>
      <c r="K260" s="5">
        <v>9000</v>
      </c>
      <c r="L260" s="15" t="s">
        <v>128</v>
      </c>
      <c r="M260" s="45">
        <v>345</v>
      </c>
      <c r="N260" s="68">
        <f>IF(tblMovimientos[[#This Row],[Tipo de Movimiento]]="Ingreso",tblMovimientos[[#This Row],[Monto (S/)]],"0")</f>
        <v>9000</v>
      </c>
      <c r="O260" s="68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40">
        <v>46177</v>
      </c>
      <c r="C261" s="4" t="s">
        <v>34</v>
      </c>
      <c r="D261" s="42" t="s">
        <v>125</v>
      </c>
      <c r="E261" s="4" t="s">
        <v>37</v>
      </c>
      <c r="F261" s="42" t="s">
        <v>10</v>
      </c>
      <c r="G261" s="42" t="s">
        <v>64</v>
      </c>
      <c r="H261" s="4" t="str">
        <f>IFERROR(_xlfn.XLOOKUP(G261,Listas!E:E,Listas!F:F,""),"")</f>
        <v>Operativo</v>
      </c>
      <c r="I261" s="47" t="str">
        <f>IFERROR(_xlfn.XLOOKUP(G261,Listas!E:E,Listas!G:G,""),"")</f>
        <v>Interno</v>
      </c>
      <c r="J261" s="44">
        <v>9000</v>
      </c>
      <c r="K261" s="5">
        <v>-9000</v>
      </c>
      <c r="L261" s="15" t="s">
        <v>128</v>
      </c>
      <c r="M261" s="45">
        <v>345</v>
      </c>
      <c r="N261" s="68" t="str">
        <f>IF(tblMovimientos[[#This Row],[Tipo de Movimiento]]="Ingreso",tblMovimientos[[#This Row],[Monto (S/)]],"0")</f>
        <v>0</v>
      </c>
      <c r="O261" s="68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40">
        <v>46177</v>
      </c>
      <c r="C262" s="4" t="s">
        <v>35</v>
      </c>
      <c r="D262" s="42" t="s">
        <v>126</v>
      </c>
      <c r="E262" s="4" t="s">
        <v>37</v>
      </c>
      <c r="F262" s="42" t="s">
        <v>10</v>
      </c>
      <c r="G262" s="42" t="s">
        <v>38</v>
      </c>
      <c r="H262" s="4" t="str">
        <f>IFERROR(_xlfn.XLOOKUP(G262,Listas!E:E,Listas!F:F,""),"")</f>
        <v>Operativo</v>
      </c>
      <c r="I262" s="47" t="str">
        <f>IFERROR(_xlfn.XLOOKUP(G262,Listas!E:E,Listas!G:G,""),"")</f>
        <v>Externo</v>
      </c>
      <c r="J262" s="44">
        <v>250</v>
      </c>
      <c r="K262" s="5">
        <v>-250</v>
      </c>
      <c r="L262" s="15" t="s">
        <v>128</v>
      </c>
      <c r="M262" s="45">
        <v>2422.7400000000016</v>
      </c>
      <c r="N262" s="68" t="str">
        <f>IF(tblMovimientos[[#This Row],[Tipo de Movimiento]]="Ingreso",tblMovimientos[[#This Row],[Monto (S/)]],"0")</f>
        <v>0</v>
      </c>
      <c r="O262" s="68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40">
        <v>46177</v>
      </c>
      <c r="C263" s="4" t="s">
        <v>35</v>
      </c>
      <c r="D263" s="42" t="s">
        <v>126</v>
      </c>
      <c r="E263" s="4" t="s">
        <v>37</v>
      </c>
      <c r="F263" s="42" t="s">
        <v>10</v>
      </c>
      <c r="G263" s="42" t="s">
        <v>38</v>
      </c>
      <c r="H263" s="4" t="str">
        <f>IFERROR(_xlfn.XLOOKUP(G263,Listas!E:E,Listas!F:F,""),"")</f>
        <v>Operativo</v>
      </c>
      <c r="I263" s="47" t="str">
        <f>IFERROR(_xlfn.XLOOKUP(G263,Listas!E:E,Listas!G:G,""),"")</f>
        <v>Externo</v>
      </c>
      <c r="J263" s="44">
        <v>2175</v>
      </c>
      <c r="K263" s="5">
        <v>-2175</v>
      </c>
      <c r="L263" s="15" t="s">
        <v>128</v>
      </c>
      <c r="M263" s="45">
        <v>2422.7400000000016</v>
      </c>
      <c r="N263" s="68" t="str">
        <f>IF(tblMovimientos[[#This Row],[Tipo de Movimiento]]="Ingreso",tblMovimientos[[#This Row],[Monto (S/)]],"0")</f>
        <v>0</v>
      </c>
      <c r="O263" s="68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40">
        <v>46177</v>
      </c>
      <c r="C264" s="4" t="s">
        <v>35</v>
      </c>
      <c r="D264" s="42" t="s">
        <v>126</v>
      </c>
      <c r="E264" s="4" t="s">
        <v>37</v>
      </c>
      <c r="F264" s="42" t="s">
        <v>10</v>
      </c>
      <c r="G264" s="42" t="s">
        <v>38</v>
      </c>
      <c r="H264" s="4" t="str">
        <f>IFERROR(_xlfn.XLOOKUP(G264,Listas!E:E,Listas!F:F,""),"")</f>
        <v>Operativo</v>
      </c>
      <c r="I264" s="47" t="str">
        <f>IFERROR(_xlfn.XLOOKUP(G264,Listas!E:E,Listas!G:G,""),"")</f>
        <v>Externo</v>
      </c>
      <c r="J264" s="44">
        <v>3622.15</v>
      </c>
      <c r="K264" s="5">
        <v>-3622.15</v>
      </c>
      <c r="L264" s="15" t="s">
        <v>128</v>
      </c>
      <c r="M264" s="45">
        <v>2422.7400000000016</v>
      </c>
      <c r="N264" s="68" t="str">
        <f>IF(tblMovimientos[[#This Row],[Tipo de Movimiento]]="Ingreso",tblMovimientos[[#This Row],[Monto (S/)]],"0")</f>
        <v>0</v>
      </c>
      <c r="O264" s="68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40">
        <v>46177</v>
      </c>
      <c r="C265" s="4" t="s">
        <v>35</v>
      </c>
      <c r="D265" s="42" t="s">
        <v>126</v>
      </c>
      <c r="E265" s="4" t="s">
        <v>37</v>
      </c>
      <c r="F265" s="42" t="s">
        <v>10</v>
      </c>
      <c r="G265" s="42" t="s">
        <v>38</v>
      </c>
      <c r="H265" s="4" t="str">
        <f>IFERROR(_xlfn.XLOOKUP(G265,Listas!E:E,Listas!F:F,""),"")</f>
        <v>Operativo</v>
      </c>
      <c r="I265" s="47" t="str">
        <f>IFERROR(_xlfn.XLOOKUP(G265,Listas!E:E,Listas!G:G,""),"")</f>
        <v>Externo</v>
      </c>
      <c r="J265" s="44">
        <v>4000</v>
      </c>
      <c r="K265" s="5">
        <v>-4000</v>
      </c>
      <c r="L265" s="15" t="s">
        <v>128</v>
      </c>
      <c r="M265" s="45">
        <v>2422.7400000000016</v>
      </c>
      <c r="N265" s="68" t="str">
        <f>IF(tblMovimientos[[#This Row],[Tipo de Movimiento]]="Ingreso",tblMovimientos[[#This Row],[Monto (S/)]],"0")</f>
        <v>0</v>
      </c>
      <c r="O265" s="68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40">
        <v>46177</v>
      </c>
      <c r="C266" s="4" t="s">
        <v>35</v>
      </c>
      <c r="D266" s="42" t="s">
        <v>126</v>
      </c>
      <c r="E266" s="4" t="str">
        <f>_xlfn.XLOOKUP(tblMovimientos[[#This Row],[Cuenta Bancaria]],Listas!$B:$B,Listas!$C:$C,"")</f>
        <v xml:space="preserve">Amerant Bank </v>
      </c>
      <c r="F266" s="42" t="s">
        <v>9</v>
      </c>
      <c r="G266" s="42" t="s">
        <v>85</v>
      </c>
      <c r="H266" s="4" t="str">
        <f>IFERROR(_xlfn.XLOOKUP(G266,Listas!E:E,Listas!F:F,""),"")</f>
        <v>Operativo</v>
      </c>
      <c r="I266" s="47" t="str">
        <f>IFERROR(_xlfn.XLOOKUP(G266,Listas!E:E,Listas!G:G,""),"")</f>
        <v>Interno</v>
      </c>
      <c r="J266" s="44">
        <v>9000</v>
      </c>
      <c r="K266" s="5">
        <v>9000</v>
      </c>
      <c r="L266" s="15" t="s">
        <v>128</v>
      </c>
      <c r="M266" s="45">
        <v>2422.7400000000016</v>
      </c>
      <c r="N266" s="68">
        <f>IF(tblMovimientos[[#This Row],[Tipo de Movimiento]]="Ingreso",tblMovimientos[[#This Row],[Monto (S/)]],"0")</f>
        <v>9000</v>
      </c>
      <c r="O266" s="68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40">
        <v>46178</v>
      </c>
      <c r="C267" s="4" t="s">
        <v>21</v>
      </c>
      <c r="D267" s="42" t="s">
        <v>101</v>
      </c>
      <c r="E267" s="4" t="s">
        <v>36</v>
      </c>
      <c r="F267" s="42" t="s">
        <v>10</v>
      </c>
      <c r="G267" s="42" t="s">
        <v>38</v>
      </c>
      <c r="H267" s="4" t="str">
        <f>IFERROR(_xlfn.XLOOKUP(G267,Listas!E:E,Listas!F:F,""),"")</f>
        <v>Operativo</v>
      </c>
      <c r="I267" s="47" t="str">
        <f>IFERROR(_xlfn.XLOOKUP(G267,Listas!E:E,Listas!G:G,""),"")</f>
        <v>Externo</v>
      </c>
      <c r="J267" s="44">
        <v>6.35</v>
      </c>
      <c r="K267" s="5">
        <v>-6.35</v>
      </c>
      <c r="L267" s="15" t="s">
        <v>128</v>
      </c>
      <c r="M267" s="45">
        <v>17636.53</v>
      </c>
      <c r="N267" s="68" t="str">
        <f>IF(tblMovimientos[[#This Row],[Tipo de Movimiento]]="Ingreso",tblMovimientos[[#This Row],[Monto (S/)]],"0")</f>
        <v>0</v>
      </c>
      <c r="O267" s="68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40">
        <v>46178</v>
      </c>
      <c r="C268" s="4" t="s">
        <v>21</v>
      </c>
      <c r="D268" s="42" t="s">
        <v>101</v>
      </c>
      <c r="E268" s="4" t="s">
        <v>36</v>
      </c>
      <c r="F268" s="42" t="s">
        <v>10</v>
      </c>
      <c r="G268" s="42" t="s">
        <v>41</v>
      </c>
      <c r="H268" s="4" t="str">
        <f>IFERROR(_xlfn.XLOOKUP(G268,Listas!E:E,Listas!F:F,""),"")</f>
        <v>Operativo</v>
      </c>
      <c r="I268" s="47" t="str">
        <f>IFERROR(_xlfn.XLOOKUP(G268,Listas!E:E,Listas!G:G,""),"")</f>
        <v>Externo</v>
      </c>
      <c r="J268" s="44">
        <v>7679.78</v>
      </c>
      <c r="K268" s="5">
        <v>-7679.78</v>
      </c>
      <c r="L268" s="15" t="s">
        <v>128</v>
      </c>
      <c r="M268" s="45">
        <v>17636.53</v>
      </c>
      <c r="N268" s="68" t="str">
        <f>IF(tblMovimientos[[#This Row],[Tipo de Movimiento]]="Ingreso",tblMovimientos[[#This Row],[Monto (S/)]],"0")</f>
        <v>0</v>
      </c>
      <c r="O268" s="68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40">
        <v>46181</v>
      </c>
      <c r="C269" s="4" t="s">
        <v>35</v>
      </c>
      <c r="D269" s="42" t="s">
        <v>126</v>
      </c>
      <c r="E269" s="4" t="s">
        <v>37</v>
      </c>
      <c r="F269" s="42" t="s">
        <v>10</v>
      </c>
      <c r="G269" s="42" t="s">
        <v>38</v>
      </c>
      <c r="H269" s="4" t="str">
        <f>IFERROR(_xlfn.XLOOKUP(G269,Listas!E:E,Listas!F:F,""),"")</f>
        <v>Operativo</v>
      </c>
      <c r="I269" s="47" t="str">
        <f>IFERROR(_xlfn.XLOOKUP(G269,Listas!E:E,Listas!G:G,""),"")</f>
        <v>Externo</v>
      </c>
      <c r="J269" s="44">
        <v>0.01</v>
      </c>
      <c r="K269" s="5">
        <v>-0.01</v>
      </c>
      <c r="L269" s="15" t="s">
        <v>128</v>
      </c>
      <c r="M269" s="45">
        <v>1451.1500000000015</v>
      </c>
      <c r="N269" s="68" t="str">
        <f>IF(tblMovimientos[[#This Row],[Tipo de Movimiento]]="Ingreso",tblMovimientos[[#This Row],[Monto (S/)]],"0")</f>
        <v>0</v>
      </c>
      <c r="O269" s="68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40">
        <v>46181</v>
      </c>
      <c r="C270" s="4" t="s">
        <v>35</v>
      </c>
      <c r="D270" s="42" t="s">
        <v>126</v>
      </c>
      <c r="E270" s="4" t="s">
        <v>37</v>
      </c>
      <c r="F270" s="42" t="s">
        <v>10</v>
      </c>
      <c r="G270" s="42" t="s">
        <v>38</v>
      </c>
      <c r="H270" s="4" t="str">
        <f>IFERROR(_xlfn.XLOOKUP(G270,Listas!E:E,Listas!F:F,""),"")</f>
        <v>Operativo</v>
      </c>
      <c r="I270" s="47" t="str">
        <f>IFERROR(_xlfn.XLOOKUP(G270,Listas!E:E,Listas!G:G,""),"")</f>
        <v>Externo</v>
      </c>
      <c r="J270" s="44">
        <v>232.06</v>
      </c>
      <c r="K270" s="5">
        <v>-232.06</v>
      </c>
      <c r="L270" s="15" t="s">
        <v>128</v>
      </c>
      <c r="M270" s="45">
        <v>1451.1500000000015</v>
      </c>
      <c r="N270" s="68" t="str">
        <f>IF(tblMovimientos[[#This Row],[Tipo de Movimiento]]="Ingreso",tblMovimientos[[#This Row],[Monto (S/)]],"0")</f>
        <v>0</v>
      </c>
      <c r="O270" s="68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40">
        <v>46181</v>
      </c>
      <c r="C271" s="4" t="s">
        <v>35</v>
      </c>
      <c r="D271" s="42" t="s">
        <v>126</v>
      </c>
      <c r="E271" s="4" t="s">
        <v>37</v>
      </c>
      <c r="F271" s="42" t="s">
        <v>10</v>
      </c>
      <c r="G271" s="42" t="s">
        <v>38</v>
      </c>
      <c r="H271" s="4" t="str">
        <f>IFERROR(_xlfn.XLOOKUP(G271,Listas!E:E,Listas!F:F,""),"")</f>
        <v>Operativo</v>
      </c>
      <c r="I271" s="47" t="str">
        <f>IFERROR(_xlfn.XLOOKUP(G271,Listas!E:E,Listas!G:G,""),"")</f>
        <v>Externo</v>
      </c>
      <c r="J271" s="44">
        <v>739.52</v>
      </c>
      <c r="K271" s="5">
        <v>-739.52</v>
      </c>
      <c r="L271" s="15" t="s">
        <v>128</v>
      </c>
      <c r="M271" s="45">
        <v>1451.1500000000015</v>
      </c>
      <c r="N271" s="68" t="str">
        <f>IF(tblMovimientos[[#This Row],[Tipo de Movimiento]]="Ingreso",tblMovimientos[[#This Row],[Monto (S/)]],"0")</f>
        <v>0</v>
      </c>
      <c r="O271" s="68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40">
        <v>46182</v>
      </c>
      <c r="C272" s="4" t="s">
        <v>35</v>
      </c>
      <c r="D272" s="42" t="s">
        <v>126</v>
      </c>
      <c r="E272" s="4" t="s">
        <v>37</v>
      </c>
      <c r="F272" s="42" t="s">
        <v>10</v>
      </c>
      <c r="G272" s="42" t="s">
        <v>38</v>
      </c>
      <c r="H272" s="4" t="str">
        <f>IFERROR(_xlfn.XLOOKUP(G272,Listas!E:E,Listas!F:F,""),"")</f>
        <v>Operativo</v>
      </c>
      <c r="I272" s="47" t="str">
        <f>IFERROR(_xlfn.XLOOKUP(G272,Listas!E:E,Listas!G:G,""),"")</f>
        <v>Externo</v>
      </c>
      <c r="J272" s="44">
        <v>46.76</v>
      </c>
      <c r="K272" s="5">
        <v>-46.76</v>
      </c>
      <c r="L272" s="15" t="s">
        <v>128</v>
      </c>
      <c r="M272" s="45">
        <v>1289.7300000000014</v>
      </c>
      <c r="N272" s="68" t="str">
        <f>IF(tblMovimientos[[#This Row],[Tipo de Movimiento]]="Ingreso",tblMovimientos[[#This Row],[Monto (S/)]],"0")</f>
        <v>0</v>
      </c>
      <c r="O272" s="68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40">
        <v>46182</v>
      </c>
      <c r="C273" s="4" t="s">
        <v>35</v>
      </c>
      <c r="D273" s="42" t="s">
        <v>126</v>
      </c>
      <c r="E273" s="4" t="s">
        <v>37</v>
      </c>
      <c r="F273" s="42" t="s">
        <v>10</v>
      </c>
      <c r="G273" s="42" t="s">
        <v>38</v>
      </c>
      <c r="H273" s="4" t="str">
        <f>IFERROR(_xlfn.XLOOKUP(G273,Listas!E:E,Listas!F:F,""),"")</f>
        <v>Operativo</v>
      </c>
      <c r="I273" s="47" t="str">
        <f>IFERROR(_xlfn.XLOOKUP(G273,Listas!E:E,Listas!G:G,""),"")</f>
        <v>Externo</v>
      </c>
      <c r="J273" s="44">
        <v>114.66</v>
      </c>
      <c r="K273" s="5">
        <v>-114.66</v>
      </c>
      <c r="L273" s="15" t="s">
        <v>128</v>
      </c>
      <c r="M273" s="45">
        <v>1289.7300000000014</v>
      </c>
      <c r="N273" s="68" t="str">
        <f>IF(tblMovimientos[[#This Row],[Tipo de Movimiento]]="Ingreso",tblMovimientos[[#This Row],[Monto (S/)]],"0")</f>
        <v>0</v>
      </c>
      <c r="O273" s="68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40">
        <v>46182</v>
      </c>
      <c r="C274" s="4" t="s">
        <v>21</v>
      </c>
      <c r="D274" s="42" t="s">
        <v>104</v>
      </c>
      <c r="E274" s="4" t="s">
        <v>37</v>
      </c>
      <c r="F274" s="42" t="s">
        <v>10</v>
      </c>
      <c r="G274" s="42" t="s">
        <v>44</v>
      </c>
      <c r="H274" s="4" t="str">
        <f>IFERROR(_xlfn.XLOOKUP(G274,Listas!E:E,Listas!F:F,""),"")</f>
        <v>Operativo</v>
      </c>
      <c r="I274" s="47" t="str">
        <f>IFERROR(_xlfn.XLOOKUP(G274,Listas!E:E,Listas!G:G,""),"")</f>
        <v>Externo</v>
      </c>
      <c r="J274" s="44">
        <v>2462.62</v>
      </c>
      <c r="K274" s="5">
        <v>-2462.62</v>
      </c>
      <c r="L274" s="15" t="s">
        <v>128</v>
      </c>
      <c r="M274" s="45">
        <v>383792.01999999932</v>
      </c>
      <c r="N274" s="68" t="str">
        <f>IF(tblMovimientos[[#This Row],[Tipo de Movimiento]]="Ingreso",tblMovimientos[[#This Row],[Monto (S/)]],"0")</f>
        <v>0</v>
      </c>
      <c r="O274" s="68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40">
        <v>46182</v>
      </c>
      <c r="C275" s="4" t="s">
        <v>21</v>
      </c>
      <c r="D275" s="42" t="s">
        <v>101</v>
      </c>
      <c r="E275" s="4" t="s">
        <v>36</v>
      </c>
      <c r="F275" s="42" t="s">
        <v>10</v>
      </c>
      <c r="G275" s="42" t="s">
        <v>38</v>
      </c>
      <c r="H275" s="4" t="str">
        <f>IFERROR(_xlfn.XLOOKUP(G275,Listas!E:E,Listas!F:F,""),"")</f>
        <v>Operativo</v>
      </c>
      <c r="I275" s="47" t="str">
        <f>IFERROR(_xlfn.XLOOKUP(G275,Listas!E:E,Listas!G:G,""),"")</f>
        <v>Externo</v>
      </c>
      <c r="J275" s="44">
        <v>1291.6500000000001</v>
      </c>
      <c r="K275" s="5">
        <v>-1291.6500000000001</v>
      </c>
      <c r="L275" s="15" t="s">
        <v>128</v>
      </c>
      <c r="M275" s="45">
        <v>16344.88</v>
      </c>
      <c r="N275" s="68" t="str">
        <f>IF(tblMovimientos[[#This Row],[Tipo de Movimiento]]="Ingreso",tblMovimientos[[#This Row],[Monto (S/)]],"0")</f>
        <v>0</v>
      </c>
      <c r="O275" s="68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0">
        <v>46182</v>
      </c>
      <c r="C276" s="4" t="s">
        <v>17</v>
      </c>
      <c r="D276" s="42" t="s">
        <v>94</v>
      </c>
      <c r="E276" s="4" t="s">
        <v>36</v>
      </c>
      <c r="F276" s="42" t="s">
        <v>9</v>
      </c>
      <c r="G276" s="42" t="s">
        <v>72</v>
      </c>
      <c r="H276" s="4" t="str">
        <f>IFERROR(_xlfn.XLOOKUP(G276,Listas!E:E,Listas!F:F,""),"")</f>
        <v>Operativo</v>
      </c>
      <c r="I276" s="47" t="str">
        <f>IFERROR(_xlfn.XLOOKUP(G276,Listas!E:E,Listas!G:G,""),"")</f>
        <v>Externo</v>
      </c>
      <c r="J276" s="44">
        <v>113987.15</v>
      </c>
      <c r="K276" s="5">
        <v>113987.15</v>
      </c>
      <c r="L276" s="15" t="s">
        <v>128</v>
      </c>
      <c r="M276" s="45">
        <v>122476.72999999998</v>
      </c>
      <c r="N276" s="68">
        <f>IF(tblMovimientos[[#This Row],[Tipo de Movimiento]]="Ingreso",tblMovimientos[[#This Row],[Monto (S/)]],"0")</f>
        <v>113987.15</v>
      </c>
      <c r="O276" s="68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40">
        <v>46183</v>
      </c>
      <c r="C277" s="4" t="s">
        <v>17</v>
      </c>
      <c r="D277" s="42" t="s">
        <v>95</v>
      </c>
      <c r="E277" s="4" t="s">
        <v>37</v>
      </c>
      <c r="F277" s="42" t="s">
        <v>9</v>
      </c>
      <c r="G277" s="42" t="s">
        <v>76</v>
      </c>
      <c r="H277" s="4" t="str">
        <f>IFERROR(_xlfn.XLOOKUP(G277,Listas!E:E,Listas!F:F,""),"")</f>
        <v>Financiamiento</v>
      </c>
      <c r="I277" s="47" t="str">
        <f>IFERROR(_xlfn.XLOOKUP(G277,Listas!E:E,Listas!G:G,""),"")</f>
        <v>Externo</v>
      </c>
      <c r="J277" s="44">
        <v>255000</v>
      </c>
      <c r="K277" s="5">
        <v>255000</v>
      </c>
      <c r="L277" s="15" t="s">
        <v>128</v>
      </c>
      <c r="M277" s="45">
        <v>1974648.53</v>
      </c>
      <c r="N277" s="68">
        <f>IF(tblMovimientos[[#This Row],[Tipo de Movimiento]]="Ingreso",tblMovimientos[[#This Row],[Monto (S/)]],"0")</f>
        <v>255000</v>
      </c>
      <c r="O277" s="68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40">
        <v>46183</v>
      </c>
      <c r="C278" s="4" t="s">
        <v>17</v>
      </c>
      <c r="D278" s="42" t="s">
        <v>95</v>
      </c>
      <c r="E278" s="4" t="s">
        <v>37</v>
      </c>
      <c r="F278" s="42" t="s">
        <v>9</v>
      </c>
      <c r="G278" s="42" t="s">
        <v>76</v>
      </c>
      <c r="H278" s="4" t="str">
        <f>IFERROR(_xlfn.XLOOKUP(G278,Listas!E:E,Listas!F:F,""),"")</f>
        <v>Financiamiento</v>
      </c>
      <c r="I278" s="47" t="str">
        <f>IFERROR(_xlfn.XLOOKUP(G278,Listas!E:E,Listas!G:G,""),"")</f>
        <v>Externo</v>
      </c>
      <c r="J278" s="44">
        <v>1000000</v>
      </c>
      <c r="K278" s="5">
        <v>1000000</v>
      </c>
      <c r="L278" s="15" t="s">
        <v>128</v>
      </c>
      <c r="M278" s="45">
        <v>1974648.53</v>
      </c>
      <c r="N278" s="68">
        <f>IF(tblMovimientos[[#This Row],[Tipo de Movimiento]]="Ingreso",tblMovimientos[[#This Row],[Monto (S/)]],"0")</f>
        <v>1000000</v>
      </c>
      <c r="O278" s="68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40">
        <v>46183</v>
      </c>
      <c r="C279" s="4" t="s">
        <v>20</v>
      </c>
      <c r="D279" s="42" t="s">
        <v>100</v>
      </c>
      <c r="E279" s="4" t="s">
        <v>36</v>
      </c>
      <c r="F279" s="42" t="s">
        <v>9</v>
      </c>
      <c r="G279" s="42" t="s">
        <v>72</v>
      </c>
      <c r="H279" s="4" t="str">
        <f>IFERROR(_xlfn.XLOOKUP(G279,Listas!E:E,Listas!F:F,""),"")</f>
        <v>Operativo</v>
      </c>
      <c r="I279" s="47" t="str">
        <f>IFERROR(_xlfn.XLOOKUP(G279,Listas!E:E,Listas!G:G,""),"")</f>
        <v>Externo</v>
      </c>
      <c r="J279" s="44">
        <v>14761.57</v>
      </c>
      <c r="K279" s="5">
        <v>14761.57</v>
      </c>
      <c r="L279" s="15" t="s">
        <v>128</v>
      </c>
      <c r="M279" s="45">
        <v>744306.80999999982</v>
      </c>
      <c r="N279" s="68">
        <f>IF(tblMovimientos[[#This Row],[Tipo de Movimiento]]="Ingreso",tblMovimientos[[#This Row],[Monto (S/)]],"0")</f>
        <v>14761.57</v>
      </c>
      <c r="O279" s="68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40">
        <v>46183</v>
      </c>
      <c r="C280" s="4" t="s">
        <v>17</v>
      </c>
      <c r="D280" s="42" t="s">
        <v>94</v>
      </c>
      <c r="E280" s="4" t="s">
        <v>36</v>
      </c>
      <c r="F280" s="42" t="s">
        <v>9</v>
      </c>
      <c r="G280" s="42" t="s">
        <v>72</v>
      </c>
      <c r="H280" s="4" t="str">
        <f>IFERROR(_xlfn.XLOOKUP(G280,Listas!E:E,Listas!F:F,""),"")</f>
        <v>Operativo</v>
      </c>
      <c r="I280" s="47" t="str">
        <f>IFERROR(_xlfn.XLOOKUP(G280,Listas!E:E,Listas!G:G,""),"")</f>
        <v>Externo</v>
      </c>
      <c r="J280" s="44">
        <v>99279.52</v>
      </c>
      <c r="K280" s="5">
        <v>99279.52</v>
      </c>
      <c r="L280" s="15" t="s">
        <v>128</v>
      </c>
      <c r="M280" s="45">
        <v>308841.39</v>
      </c>
      <c r="N280" s="68">
        <f>IF(tblMovimientos[[#This Row],[Tipo de Movimiento]]="Ingreso",tblMovimientos[[#This Row],[Monto (S/)]],"0")</f>
        <v>99279.52</v>
      </c>
      <c r="O280" s="68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40">
        <v>46183</v>
      </c>
      <c r="C281" s="4" t="s">
        <v>17</v>
      </c>
      <c r="D281" s="42" t="s">
        <v>94</v>
      </c>
      <c r="E281" s="4" t="s">
        <v>36</v>
      </c>
      <c r="F281" s="42" t="s">
        <v>9</v>
      </c>
      <c r="G281" s="42" t="s">
        <v>72</v>
      </c>
      <c r="H281" s="4" t="str">
        <f>IFERROR(_xlfn.XLOOKUP(G281,Listas!E:E,Listas!F:F,""),"")</f>
        <v>Operativo</v>
      </c>
      <c r="I281" s="47" t="str">
        <f>IFERROR(_xlfn.XLOOKUP(G281,Listas!E:E,Listas!G:G,""),"")</f>
        <v>Externo</v>
      </c>
      <c r="J281" s="44">
        <v>87085.14</v>
      </c>
      <c r="K281" s="5">
        <v>87085.14</v>
      </c>
      <c r="L281" s="15" t="s">
        <v>128</v>
      </c>
      <c r="M281" s="45">
        <v>308841.39</v>
      </c>
      <c r="N281" s="68">
        <f>IF(tblMovimientos[[#This Row],[Tipo de Movimiento]]="Ingreso",tblMovimientos[[#This Row],[Monto (S/)]],"0")</f>
        <v>87085.14</v>
      </c>
      <c r="O281" s="68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40">
        <v>46183</v>
      </c>
      <c r="C282" s="4" t="s">
        <v>33</v>
      </c>
      <c r="D282" s="42" t="s">
        <v>124</v>
      </c>
      <c r="E282" s="4" t="s">
        <v>36</v>
      </c>
      <c r="F282" s="42" t="s">
        <v>10</v>
      </c>
      <c r="G282" s="42" t="s">
        <v>38</v>
      </c>
      <c r="H282" s="4" t="str">
        <f>IFERROR(_xlfn.XLOOKUP(G282,Listas!E:E,Listas!F:F,""),"")</f>
        <v>Operativo</v>
      </c>
      <c r="I282" s="47" t="str">
        <f>IFERROR(_xlfn.XLOOKUP(G282,Listas!E:E,Listas!G:G,""),"")</f>
        <v>Externo</v>
      </c>
      <c r="J282" s="44">
        <v>89.25</v>
      </c>
      <c r="K282" s="5">
        <v>-89.25</v>
      </c>
      <c r="L282" s="15" t="s">
        <v>128</v>
      </c>
      <c r="M282" s="45">
        <v>24743.98</v>
      </c>
      <c r="N282" s="68" t="str">
        <f>IF(tblMovimientos[[#This Row],[Tipo de Movimiento]]="Ingreso",tblMovimientos[[#This Row],[Monto (S/)]],"0")</f>
        <v>0</v>
      </c>
      <c r="O282" s="68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40">
        <v>46184</v>
      </c>
      <c r="C283" s="4" t="str">
        <f>_xlfn.XLOOKUP(tblMovimientos[[#This Row],[Cuenta Bancaria]],Listas!$B:$B,Listas!$A:$A,"")</f>
        <v>Go Blue</v>
      </c>
      <c r="D283" s="42" t="s">
        <v>126</v>
      </c>
      <c r="E283" s="4" t="str">
        <f>_xlfn.XLOOKUP(tblMovimientos[[#This Row],[Cuenta Bancaria]],Listas!$B:$B,Listas!$C:$C,"")</f>
        <v xml:space="preserve">Amerant Bank </v>
      </c>
      <c r="F283" s="42" t="s">
        <v>10</v>
      </c>
      <c r="G283" s="42" t="s">
        <v>44</v>
      </c>
      <c r="H283" s="4" t="str">
        <f>IFERROR(_xlfn.XLOOKUP(G283,Listas!E:E,Listas!F:F,""),"")</f>
        <v>Operativo</v>
      </c>
      <c r="I283" s="47" t="str">
        <f>IFERROR(_xlfn.XLOOKUP(G283,Listas!E:E,Listas!G:G,""),"")</f>
        <v>Externo</v>
      </c>
      <c r="J283" s="44">
        <v>15</v>
      </c>
      <c r="K283" s="5">
        <f>IF(F283="Ingreso",J283,-J283)</f>
        <v>-15</v>
      </c>
      <c r="L283" s="15" t="s">
        <v>128</v>
      </c>
      <c r="M283" s="45">
        <f>SUMIFS('Saldos Iniciales'!$D$2:$D$38,'Saldos Iniciales'!$A$2:$A$38,C283,'Saldos Iniciales'!$B$2:$B$38,D283)+SUMIFS($K$1:$K$471,$C$1:$C$471,C283,$D$1:$D$471,D283,$B$1:$B$471,"&lt;="&amp;B283)</f>
        <v>48774.73</v>
      </c>
      <c r="N283" s="68" t="str">
        <f>IF(tblMovimientos[[#This Row],[Tipo de Movimiento]]="Ingreso",tblMovimientos[[#This Row],[Monto (S/)]],"0")</f>
        <v>0</v>
      </c>
      <c r="O283" s="68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40">
        <v>46184</v>
      </c>
      <c r="C284" s="4" t="s">
        <v>20</v>
      </c>
      <c r="D284" s="42" t="s">
        <v>100</v>
      </c>
      <c r="E284" s="4" t="s">
        <v>36</v>
      </c>
      <c r="F284" s="42" t="s">
        <v>10</v>
      </c>
      <c r="G284" s="42" t="s">
        <v>61</v>
      </c>
      <c r="H284" s="4" t="str">
        <f>IFERROR(_xlfn.XLOOKUP(G284,Listas!E:E,Listas!F:F,""),"")</f>
        <v>Operativo</v>
      </c>
      <c r="I284" s="47" t="str">
        <f>IFERROR(_xlfn.XLOOKUP(G284,Listas!E:E,Listas!G:G,""),"")</f>
        <v>Externo</v>
      </c>
      <c r="J284" s="44">
        <v>60000</v>
      </c>
      <c r="K284" s="5">
        <v>-60000</v>
      </c>
      <c r="L284" s="15" t="s">
        <v>128</v>
      </c>
      <c r="M284" s="45">
        <v>564626.20999999985</v>
      </c>
      <c r="N284" s="68" t="str">
        <f>IF(tblMovimientos[[#This Row],[Tipo de Movimiento]]="Ingreso",tblMovimientos[[#This Row],[Monto (S/)]],"0")</f>
        <v>0</v>
      </c>
      <c r="O284" s="68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40">
        <v>46184</v>
      </c>
      <c r="C285" s="4" t="s">
        <v>20</v>
      </c>
      <c r="D285" s="42" t="s">
        <v>100</v>
      </c>
      <c r="E285" s="4" t="s">
        <v>36</v>
      </c>
      <c r="F285" s="42" t="s">
        <v>10</v>
      </c>
      <c r="G285" s="42" t="s">
        <v>51</v>
      </c>
      <c r="H285" s="4" t="str">
        <f>IFERROR(_xlfn.XLOOKUP(G285,Listas!E:E,Listas!F:F,""),"")</f>
        <v>Financiamiento</v>
      </c>
      <c r="I285" s="47" t="str">
        <f>IFERROR(_xlfn.XLOOKUP(G285,Listas!E:E,Listas!G:G,""),"")</f>
        <v>Externo</v>
      </c>
      <c r="J285" s="44">
        <v>119680.6</v>
      </c>
      <c r="K285" s="5">
        <v>-119680.6</v>
      </c>
      <c r="L285" s="15" t="s">
        <v>128</v>
      </c>
      <c r="M285" s="45">
        <v>564626.20999999985</v>
      </c>
      <c r="N285" s="68" t="str">
        <f>IF(tblMovimientos[[#This Row],[Tipo de Movimiento]]="Ingreso",tblMovimientos[[#This Row],[Monto (S/)]],"0")</f>
        <v>0</v>
      </c>
      <c r="O285" s="68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40">
        <v>46184</v>
      </c>
      <c r="C286" s="4" t="s">
        <v>17</v>
      </c>
      <c r="D286" s="42" t="s">
        <v>95</v>
      </c>
      <c r="E286" s="4" t="s">
        <v>37</v>
      </c>
      <c r="F286" s="42" t="s">
        <v>10</v>
      </c>
      <c r="G286" s="42" t="s">
        <v>46</v>
      </c>
      <c r="H286" s="4" t="str">
        <f>IFERROR(_xlfn.XLOOKUP(G286,Listas!E:E,Listas!F:F,""),"")</f>
        <v>Financiamiento</v>
      </c>
      <c r="I286" s="47" t="str">
        <f>IFERROR(_xlfn.XLOOKUP(G286,Listas!E:E,Listas!G:G,""),"")</f>
        <v>Externo</v>
      </c>
      <c r="J286" s="44">
        <v>2916.67</v>
      </c>
      <c r="K286" s="5">
        <v>-2916.67</v>
      </c>
      <c r="L286" s="15" t="s">
        <v>128</v>
      </c>
      <c r="M286" s="45">
        <v>1523687.4200000002</v>
      </c>
      <c r="N286" s="68" t="str">
        <f>IF(tblMovimientos[[#This Row],[Tipo de Movimiento]]="Ingreso",tblMovimientos[[#This Row],[Monto (S/)]],"0")</f>
        <v>0</v>
      </c>
      <c r="O286" s="68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40">
        <v>46184</v>
      </c>
      <c r="C287" s="4" t="s">
        <v>17</v>
      </c>
      <c r="D287" s="42" t="s">
        <v>95</v>
      </c>
      <c r="E287" s="4" t="s">
        <v>37</v>
      </c>
      <c r="F287" s="42" t="s">
        <v>10</v>
      </c>
      <c r="G287" s="42" t="s">
        <v>46</v>
      </c>
      <c r="H287" s="4" t="str">
        <f>IFERROR(_xlfn.XLOOKUP(G287,Listas!E:E,Listas!F:F,""),"")</f>
        <v>Financiamiento</v>
      </c>
      <c r="I287" s="47" t="str">
        <f>IFERROR(_xlfn.XLOOKUP(G287,Listas!E:E,Listas!G:G,""),"")</f>
        <v>Externo</v>
      </c>
      <c r="J287" s="44">
        <v>5166.67</v>
      </c>
      <c r="K287" s="5">
        <v>-5166.67</v>
      </c>
      <c r="L287" s="15" t="s">
        <v>128</v>
      </c>
      <c r="M287" s="45">
        <v>1523687.4200000002</v>
      </c>
      <c r="N287" s="68" t="str">
        <f>IF(tblMovimientos[[#This Row],[Tipo de Movimiento]]="Ingreso",tblMovimientos[[#This Row],[Monto (S/)]],"0")</f>
        <v>0</v>
      </c>
      <c r="O287" s="68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40">
        <v>46184</v>
      </c>
      <c r="C288" s="4" t="s">
        <v>17</v>
      </c>
      <c r="D288" s="42" t="s">
        <v>95</v>
      </c>
      <c r="E288" s="4" t="s">
        <v>37</v>
      </c>
      <c r="F288" s="42" t="s">
        <v>10</v>
      </c>
      <c r="G288" s="42" t="s">
        <v>46</v>
      </c>
      <c r="H288" s="4" t="str">
        <f>IFERROR(_xlfn.XLOOKUP(G288,Listas!E:E,Listas!F:F,""),"")</f>
        <v>Financiamiento</v>
      </c>
      <c r="I288" s="47" t="str">
        <f>IFERROR(_xlfn.XLOOKUP(G288,Listas!E:E,Listas!G:G,""),"")</f>
        <v>Externo</v>
      </c>
      <c r="J288" s="44">
        <v>27083.33</v>
      </c>
      <c r="K288" s="5">
        <v>-27083.33</v>
      </c>
      <c r="L288" s="15" t="s">
        <v>128</v>
      </c>
      <c r="M288" s="45">
        <v>1523687.4200000002</v>
      </c>
      <c r="N288" s="68" t="str">
        <f>IF(tblMovimientos[[#This Row],[Tipo de Movimiento]]="Ingreso",tblMovimientos[[#This Row],[Monto (S/)]],"0")</f>
        <v>0</v>
      </c>
      <c r="O288" s="68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40">
        <v>46184</v>
      </c>
      <c r="C289" s="4" t="s">
        <v>17</v>
      </c>
      <c r="D289" s="42" t="s">
        <v>95</v>
      </c>
      <c r="E289" s="4" t="s">
        <v>37</v>
      </c>
      <c r="F289" s="42" t="s">
        <v>10</v>
      </c>
      <c r="G289" s="42" t="s">
        <v>61</v>
      </c>
      <c r="H289" s="4" t="str">
        <f>IFERROR(_xlfn.XLOOKUP(G289,Listas!E:E,Listas!F:F,""),"")</f>
        <v>Operativo</v>
      </c>
      <c r="I289" s="47" t="str">
        <f>IFERROR(_xlfn.XLOOKUP(G289,Listas!E:E,Listas!G:G,""),"")</f>
        <v>Externo</v>
      </c>
      <c r="J289" s="44">
        <v>40000</v>
      </c>
      <c r="K289" s="5">
        <v>-40000</v>
      </c>
      <c r="L289" s="15" t="s">
        <v>128</v>
      </c>
      <c r="M289" s="45">
        <v>1523687.4200000002</v>
      </c>
      <c r="N289" s="68" t="str">
        <f>IF(tblMovimientos[[#This Row],[Tipo de Movimiento]]="Ingreso",tblMovimientos[[#This Row],[Monto (S/)]],"0")</f>
        <v>0</v>
      </c>
      <c r="O289" s="68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40">
        <v>46184</v>
      </c>
      <c r="C290" s="4" t="s">
        <v>17</v>
      </c>
      <c r="D290" s="42" t="s">
        <v>95</v>
      </c>
      <c r="E290" s="4" t="s">
        <v>37</v>
      </c>
      <c r="F290" s="42" t="s">
        <v>10</v>
      </c>
      <c r="G290" s="42" t="s">
        <v>46</v>
      </c>
      <c r="H290" s="4" t="str">
        <f>IFERROR(_xlfn.XLOOKUP(G290,Listas!E:E,Listas!F:F,""),"")</f>
        <v>Financiamiento</v>
      </c>
      <c r="I290" s="47" t="str">
        <f>IFERROR(_xlfn.XLOOKUP(G290,Listas!E:E,Listas!G:G,""),"")</f>
        <v>Externo</v>
      </c>
      <c r="J290" s="44">
        <v>57866.67</v>
      </c>
      <c r="K290" s="5">
        <v>-57866.67</v>
      </c>
      <c r="L290" s="15" t="s">
        <v>128</v>
      </c>
      <c r="M290" s="45">
        <v>1523687.4200000002</v>
      </c>
      <c r="N290" s="68" t="str">
        <f>IF(tblMovimientos[[#This Row],[Tipo de Movimiento]]="Ingreso",tblMovimientos[[#This Row],[Monto (S/)]],"0")</f>
        <v>0</v>
      </c>
      <c r="O290" s="68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40">
        <v>46184</v>
      </c>
      <c r="C291" s="4" t="s">
        <v>17</v>
      </c>
      <c r="D291" s="42" t="s">
        <v>95</v>
      </c>
      <c r="E291" s="4" t="s">
        <v>37</v>
      </c>
      <c r="F291" s="42" t="s">
        <v>10</v>
      </c>
      <c r="G291" s="42" t="s">
        <v>61</v>
      </c>
      <c r="H291" s="4" t="str">
        <f>IFERROR(_xlfn.XLOOKUP(G291,Listas!E:E,Listas!F:F,""),"")</f>
        <v>Operativo</v>
      </c>
      <c r="I291" s="47" t="str">
        <f>IFERROR(_xlfn.XLOOKUP(G291,Listas!E:E,Listas!G:G,""),"")</f>
        <v>Externo</v>
      </c>
      <c r="J291" s="44">
        <v>60000</v>
      </c>
      <c r="K291" s="5">
        <v>-60000</v>
      </c>
      <c r="L291" s="15" t="s">
        <v>128</v>
      </c>
      <c r="M291" s="45">
        <v>1523687.4200000002</v>
      </c>
      <c r="N291" s="68" t="str">
        <f>IF(tblMovimientos[[#This Row],[Tipo de Movimiento]]="Ingreso",tblMovimientos[[#This Row],[Monto (S/)]],"0")</f>
        <v>0</v>
      </c>
      <c r="O291" s="68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40">
        <v>46184</v>
      </c>
      <c r="C292" s="4" t="s">
        <v>17</v>
      </c>
      <c r="D292" s="42" t="s">
        <v>95</v>
      </c>
      <c r="E292" s="4" t="s">
        <v>37</v>
      </c>
      <c r="F292" s="42" t="s">
        <v>10</v>
      </c>
      <c r="G292" s="42" t="s">
        <v>46</v>
      </c>
      <c r="H292" s="4" t="str">
        <f>IFERROR(_xlfn.XLOOKUP(G292,Listas!E:E,Listas!F:F,""),"")</f>
        <v>Financiamiento</v>
      </c>
      <c r="I292" s="47" t="str">
        <f>IFERROR(_xlfn.XLOOKUP(G292,Listas!E:E,Listas!G:G,""),"")</f>
        <v>Externo</v>
      </c>
      <c r="J292" s="44">
        <v>72333.33</v>
      </c>
      <c r="K292" s="5">
        <v>-72333.33</v>
      </c>
      <c r="L292" s="15" t="s">
        <v>128</v>
      </c>
      <c r="M292" s="45">
        <v>1523687.4200000002</v>
      </c>
      <c r="N292" s="68" t="str">
        <f>IF(tblMovimientos[[#This Row],[Tipo de Movimiento]]="Ingreso",tblMovimientos[[#This Row],[Monto (S/)]],"0")</f>
        <v>0</v>
      </c>
      <c r="O292" s="68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40">
        <v>46184</v>
      </c>
      <c r="C293" s="4" t="s">
        <v>17</v>
      </c>
      <c r="D293" s="42" t="s">
        <v>95</v>
      </c>
      <c r="E293" s="4" t="s">
        <v>37</v>
      </c>
      <c r="F293" s="42" t="s">
        <v>10</v>
      </c>
      <c r="G293" s="42" t="s">
        <v>46</v>
      </c>
      <c r="H293" s="4" t="str">
        <f>IFERROR(_xlfn.XLOOKUP(G293,Listas!E:E,Listas!F:F,""),"")</f>
        <v>Financiamiento</v>
      </c>
      <c r="I293" s="47" t="str">
        <f>IFERROR(_xlfn.XLOOKUP(G293,Listas!E:E,Listas!G:G,""),"")</f>
        <v>Externo</v>
      </c>
      <c r="J293" s="44">
        <v>85594.44</v>
      </c>
      <c r="K293" s="5">
        <v>-85594.44</v>
      </c>
      <c r="L293" s="15" t="s">
        <v>128</v>
      </c>
      <c r="M293" s="45">
        <v>1523687.4200000002</v>
      </c>
      <c r="N293" s="68" t="str">
        <f>IF(tblMovimientos[[#This Row],[Tipo de Movimiento]]="Ingreso",tblMovimientos[[#This Row],[Monto (S/)]],"0")</f>
        <v>0</v>
      </c>
      <c r="O293" s="68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40">
        <v>46184</v>
      </c>
      <c r="C294" s="4" t="s">
        <v>17</v>
      </c>
      <c r="D294" s="42" t="s">
        <v>95</v>
      </c>
      <c r="E294" s="4" t="s">
        <v>37</v>
      </c>
      <c r="F294" s="42" t="s">
        <v>10</v>
      </c>
      <c r="G294" s="42" t="s">
        <v>61</v>
      </c>
      <c r="H294" s="4" t="str">
        <f>IFERROR(_xlfn.XLOOKUP(G294,Listas!E:E,Listas!F:F,""),"")</f>
        <v>Operativo</v>
      </c>
      <c r="I294" s="47" t="str">
        <f>IFERROR(_xlfn.XLOOKUP(G294,Listas!E:E,Listas!G:G,""),"")</f>
        <v>Externo</v>
      </c>
      <c r="J294" s="44">
        <v>100000</v>
      </c>
      <c r="K294" s="5">
        <v>-100000</v>
      </c>
      <c r="L294" s="15" t="s">
        <v>128</v>
      </c>
      <c r="M294" s="45">
        <v>1523687.4200000002</v>
      </c>
      <c r="N294" s="68" t="str">
        <f>IF(tblMovimientos[[#This Row],[Tipo de Movimiento]]="Ingreso",tblMovimientos[[#This Row],[Monto (S/)]],"0")</f>
        <v>0</v>
      </c>
      <c r="O294" s="68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40">
        <v>46184</v>
      </c>
      <c r="C295" s="4" t="s">
        <v>22</v>
      </c>
      <c r="D295" s="42" t="s">
        <v>111</v>
      </c>
      <c r="E295" s="4" t="s">
        <v>37</v>
      </c>
      <c r="F295" s="42" t="s">
        <v>9</v>
      </c>
      <c r="G295" s="42" t="s">
        <v>75</v>
      </c>
      <c r="H295" s="4" t="str">
        <f>IFERROR(_xlfn.XLOOKUP(G295,Listas!E:E,Listas!F:F,""),"")</f>
        <v>Financiamiento</v>
      </c>
      <c r="I295" s="47" t="str">
        <f>IFERROR(_xlfn.XLOOKUP(G295,Listas!E:E,Listas!G:G,""),"")</f>
        <v>Interno</v>
      </c>
      <c r="J295" s="44">
        <v>50000</v>
      </c>
      <c r="K295" s="5">
        <v>50000</v>
      </c>
      <c r="L295" s="15" t="s">
        <v>128</v>
      </c>
      <c r="M295" s="45">
        <v>1717.6000000000058</v>
      </c>
      <c r="N295" s="68">
        <f>IF(tblMovimientos[[#This Row],[Tipo de Movimiento]]="Ingreso",tblMovimientos[[#This Row],[Monto (S/)]],"0")</f>
        <v>50000</v>
      </c>
      <c r="O295" s="68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40">
        <v>46184</v>
      </c>
      <c r="C296" s="4" t="s">
        <v>22</v>
      </c>
      <c r="D296" s="42" t="s">
        <v>111</v>
      </c>
      <c r="E296" s="4" t="s">
        <v>37</v>
      </c>
      <c r="F296" s="42" t="s">
        <v>10</v>
      </c>
      <c r="G296" s="42" t="s">
        <v>64</v>
      </c>
      <c r="H296" s="4" t="str">
        <f>IFERROR(_xlfn.XLOOKUP(G296,Listas!E:E,Listas!F:F,""),"")</f>
        <v>Operativo</v>
      </c>
      <c r="I296" s="47" t="str">
        <f>IFERROR(_xlfn.XLOOKUP(G296,Listas!E:E,Listas!G:G,""),"")</f>
        <v>Interno</v>
      </c>
      <c r="J296" s="44">
        <v>50000</v>
      </c>
      <c r="K296" s="5">
        <v>-50000</v>
      </c>
      <c r="L296" s="15" t="s">
        <v>128</v>
      </c>
      <c r="M296" s="45">
        <v>1717.6000000000058</v>
      </c>
      <c r="N296" s="68" t="str">
        <f>IF(tblMovimientos[[#This Row],[Tipo de Movimiento]]="Ingreso",tblMovimientos[[#This Row],[Monto (S/)]],"0")</f>
        <v>0</v>
      </c>
      <c r="O296" s="68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40">
        <v>46184</v>
      </c>
      <c r="C297" s="4" t="s">
        <v>21</v>
      </c>
      <c r="D297" s="42" t="s">
        <v>104</v>
      </c>
      <c r="E297" s="4" t="s">
        <v>37</v>
      </c>
      <c r="F297" s="42" t="s">
        <v>10</v>
      </c>
      <c r="G297" s="42" t="s">
        <v>38</v>
      </c>
      <c r="H297" s="4" t="str">
        <f>IFERROR(_xlfn.XLOOKUP(G297,Listas!E:E,Listas!F:F,""),"")</f>
        <v>Operativo</v>
      </c>
      <c r="I297" s="47" t="str">
        <f>IFERROR(_xlfn.XLOOKUP(G297,Listas!E:E,Listas!G:G,""),"")</f>
        <v>Externo</v>
      </c>
      <c r="J297" s="44">
        <v>295</v>
      </c>
      <c r="K297" s="5">
        <v>-295</v>
      </c>
      <c r="L297" s="15" t="s">
        <v>128</v>
      </c>
      <c r="M297" s="45">
        <v>18249.799999999348</v>
      </c>
      <c r="N297" s="68" t="str">
        <f>IF(tblMovimientos[[#This Row],[Tipo de Movimiento]]="Ingreso",tblMovimientos[[#This Row],[Monto (S/)]],"0")</f>
        <v>0</v>
      </c>
      <c r="O297" s="68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40">
        <v>46184</v>
      </c>
      <c r="C298" s="4" t="s">
        <v>21</v>
      </c>
      <c r="D298" s="42" t="s">
        <v>104</v>
      </c>
      <c r="E298" s="4" t="s">
        <v>37</v>
      </c>
      <c r="F298" s="42" t="s">
        <v>10</v>
      </c>
      <c r="G298" s="42" t="s">
        <v>46</v>
      </c>
      <c r="H298" s="4" t="str">
        <f>IFERROR(_xlfn.XLOOKUP(G298,Listas!E:E,Listas!F:F,""),"")</f>
        <v>Financiamiento</v>
      </c>
      <c r="I298" s="47" t="str">
        <f>IFERROR(_xlfn.XLOOKUP(G298,Listas!E:E,Listas!G:G,""),"")</f>
        <v>Externo</v>
      </c>
      <c r="J298" s="44">
        <v>7319.44</v>
      </c>
      <c r="K298" s="5">
        <v>-7319.44</v>
      </c>
      <c r="L298" s="15" t="s">
        <v>128</v>
      </c>
      <c r="M298" s="45">
        <v>18249.799999999348</v>
      </c>
      <c r="N298" s="68" t="str">
        <f>IF(tblMovimientos[[#This Row],[Tipo de Movimiento]]="Ingreso",tblMovimientos[[#This Row],[Monto (S/)]],"0")</f>
        <v>0</v>
      </c>
      <c r="O298" s="68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40">
        <v>46184</v>
      </c>
      <c r="C299" s="4" t="s">
        <v>21</v>
      </c>
      <c r="D299" s="42" t="s">
        <v>104</v>
      </c>
      <c r="E299" s="4" t="s">
        <v>37</v>
      </c>
      <c r="F299" s="42" t="s">
        <v>10</v>
      </c>
      <c r="G299" s="42" t="s">
        <v>48</v>
      </c>
      <c r="H299" s="4" t="str">
        <f>IFERROR(_xlfn.XLOOKUP(G299,Listas!E:E,Listas!F:F,""),"")</f>
        <v>Financiamiento</v>
      </c>
      <c r="I299" s="47" t="str">
        <f>IFERROR(_xlfn.XLOOKUP(G299,Listas!E:E,Listas!G:G,""),"")</f>
        <v>Externo</v>
      </c>
      <c r="J299" s="44">
        <v>55455.56</v>
      </c>
      <c r="K299" s="5">
        <v>-55455.56</v>
      </c>
      <c r="L299" s="15" t="s">
        <v>128</v>
      </c>
      <c r="M299" s="45">
        <v>18249.799999999348</v>
      </c>
      <c r="N299" s="68" t="str">
        <f>IF(tblMovimientos[[#This Row],[Tipo de Movimiento]]="Ingreso",tblMovimientos[[#This Row],[Monto (S/)]],"0")</f>
        <v>0</v>
      </c>
      <c r="O299" s="68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40">
        <v>46184</v>
      </c>
      <c r="C300" s="4" t="s">
        <v>21</v>
      </c>
      <c r="D300" s="42" t="s">
        <v>104</v>
      </c>
      <c r="E300" s="4" t="s">
        <v>37</v>
      </c>
      <c r="F300" s="42" t="s">
        <v>10</v>
      </c>
      <c r="G300" s="42" t="s">
        <v>48</v>
      </c>
      <c r="H300" s="4" t="str">
        <f>IFERROR(_xlfn.XLOOKUP(G300,Listas!E:E,Listas!F:F,""),"")</f>
        <v>Financiamiento</v>
      </c>
      <c r="I300" s="47" t="str">
        <f>IFERROR(_xlfn.XLOOKUP(G300,Listas!E:E,Listas!G:G,""),"")</f>
        <v>Externo</v>
      </c>
      <c r="J300" s="44">
        <v>102472.22</v>
      </c>
      <c r="K300" s="5">
        <v>-102472.22</v>
      </c>
      <c r="L300" s="15" t="s">
        <v>128</v>
      </c>
      <c r="M300" s="45">
        <v>18249.799999999348</v>
      </c>
      <c r="N300" s="68" t="str">
        <f>IF(tblMovimientos[[#This Row],[Tipo de Movimiento]]="Ingreso",tblMovimientos[[#This Row],[Monto (S/)]],"0")</f>
        <v>0</v>
      </c>
      <c r="O300" s="68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0">
        <v>46184</v>
      </c>
      <c r="C301" s="4" t="s">
        <v>21</v>
      </c>
      <c r="D301" s="42" t="s">
        <v>104</v>
      </c>
      <c r="E301" s="4" t="s">
        <v>37</v>
      </c>
      <c r="F301" s="42" t="s">
        <v>10</v>
      </c>
      <c r="G301" s="42" t="s">
        <v>64</v>
      </c>
      <c r="H301" s="4" t="str">
        <f>IFERROR(_xlfn.XLOOKUP(G301,Listas!E:E,Listas!F:F,""),"")</f>
        <v>Operativo</v>
      </c>
      <c r="I301" s="47" t="str">
        <f>IFERROR(_xlfn.XLOOKUP(G301,Listas!E:E,Listas!G:G,""),"")</f>
        <v>Interno</v>
      </c>
      <c r="J301" s="44">
        <v>50000</v>
      </c>
      <c r="K301" s="5">
        <v>-50000</v>
      </c>
      <c r="L301" s="15" t="s">
        <v>128</v>
      </c>
      <c r="M301" s="45">
        <v>18249.799999999348</v>
      </c>
      <c r="N301" s="68" t="str">
        <f>IF(tblMovimientos[[#This Row],[Tipo de Movimiento]]="Ingreso",tblMovimientos[[#This Row],[Monto (S/)]],"0")</f>
        <v>0</v>
      </c>
      <c r="O301" s="68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40">
        <v>46184</v>
      </c>
      <c r="C302" s="4" t="s">
        <v>21</v>
      </c>
      <c r="D302" s="42" t="s">
        <v>104</v>
      </c>
      <c r="E302" s="4" t="s">
        <v>37</v>
      </c>
      <c r="F302" s="42" t="s">
        <v>10</v>
      </c>
      <c r="G302" s="42" t="s">
        <v>64</v>
      </c>
      <c r="H302" s="4" t="str">
        <f>IFERROR(_xlfn.XLOOKUP(G302,Listas!E:E,Listas!F:F,""),"")</f>
        <v>Operativo</v>
      </c>
      <c r="I302" s="47" t="str">
        <f>IFERROR(_xlfn.XLOOKUP(G302,Listas!E:E,Listas!G:G,""),"")</f>
        <v>Interno</v>
      </c>
      <c r="J302" s="44">
        <v>50000</v>
      </c>
      <c r="K302" s="5">
        <v>-50000</v>
      </c>
      <c r="L302" s="15" t="s">
        <v>128</v>
      </c>
      <c r="M302" s="45">
        <v>18249.799999999348</v>
      </c>
      <c r="N302" s="68" t="str">
        <f>IF(tblMovimientos[[#This Row],[Tipo de Movimiento]]="Ingreso",tblMovimientos[[#This Row],[Monto (S/)]],"0")</f>
        <v>0</v>
      </c>
      <c r="O302" s="68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6"/>
      <c r="B303" s="40">
        <v>46184</v>
      </c>
      <c r="C303" s="47" t="s">
        <v>21</v>
      </c>
      <c r="D303" s="42" t="s">
        <v>104</v>
      </c>
      <c r="E303" s="47" t="s">
        <v>37</v>
      </c>
      <c r="F303" s="42" t="s">
        <v>10</v>
      </c>
      <c r="G303" s="42" t="s">
        <v>52</v>
      </c>
      <c r="H303" s="4" t="str">
        <f>IFERROR(_xlfn.XLOOKUP(G303,Listas!E:E,Listas!F:F,""),"")</f>
        <v>Inversion</v>
      </c>
      <c r="I303" s="47" t="str">
        <f>IFERROR(_xlfn.XLOOKUP(G303,Listas!E:E,Listas!G:G,""),"")</f>
        <v>Externo</v>
      </c>
      <c r="J303" s="44">
        <v>100000</v>
      </c>
      <c r="K303" s="48">
        <v>-100000</v>
      </c>
      <c r="L303" s="15" t="s">
        <v>128</v>
      </c>
      <c r="M303" s="45">
        <v>18249.799999999348</v>
      </c>
      <c r="N303" s="68" t="str">
        <f>IF(tblMovimientos[[#This Row],[Tipo de Movimiento]]="Ingreso",tblMovimientos[[#This Row],[Monto (S/)]],"0")</f>
        <v>0</v>
      </c>
      <c r="O303" s="68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40">
        <v>46184</v>
      </c>
      <c r="C304" s="4" t="s">
        <v>34</v>
      </c>
      <c r="D304" s="42" t="s">
        <v>125</v>
      </c>
      <c r="E304" s="47" t="s">
        <v>37</v>
      </c>
      <c r="F304" s="42" t="s">
        <v>9</v>
      </c>
      <c r="G304" s="42" t="s">
        <v>75</v>
      </c>
      <c r="H304" s="4" t="str">
        <f>IFERROR(_xlfn.XLOOKUP(G304,Listas!E:E,Listas!F:F,""),"")</f>
        <v>Financiamiento</v>
      </c>
      <c r="I304" s="47" t="str">
        <f>IFERROR(_xlfn.XLOOKUP(G304,Listas!E:E,Listas!G:G,""),"")</f>
        <v>Interno</v>
      </c>
      <c r="J304" s="44">
        <v>50000</v>
      </c>
      <c r="K304" s="48">
        <v>50000</v>
      </c>
      <c r="L304" s="15" t="s">
        <v>128</v>
      </c>
      <c r="M304" s="45">
        <v>345</v>
      </c>
      <c r="N304" s="68">
        <f>IF(tblMovimientos[[#This Row],[Tipo de Movimiento]]="Ingreso",tblMovimientos[[#This Row],[Monto (S/)]],"0")</f>
        <v>50000</v>
      </c>
      <c r="O304" s="68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40">
        <v>46184</v>
      </c>
      <c r="C305" s="4" t="s">
        <v>34</v>
      </c>
      <c r="D305" s="42" t="s">
        <v>125</v>
      </c>
      <c r="E305" s="47" t="s">
        <v>37</v>
      </c>
      <c r="F305" s="42" t="s">
        <v>10</v>
      </c>
      <c r="G305" s="42" t="s">
        <v>64</v>
      </c>
      <c r="H305" s="4" t="str">
        <f>IFERROR(_xlfn.XLOOKUP(G305,Listas!E:E,Listas!F:F,""),"")</f>
        <v>Operativo</v>
      </c>
      <c r="I305" s="47" t="str">
        <f>IFERROR(_xlfn.XLOOKUP(G305,Listas!E:E,Listas!G:G,""),"")</f>
        <v>Interno</v>
      </c>
      <c r="J305" s="44">
        <v>50000</v>
      </c>
      <c r="K305" s="48">
        <v>-50000</v>
      </c>
      <c r="L305" s="15" t="s">
        <v>128</v>
      </c>
      <c r="M305" s="45">
        <v>345</v>
      </c>
      <c r="N305" s="68" t="str">
        <f>IF(tblMovimientos[[#This Row],[Tipo de Movimiento]]="Ingreso",tblMovimientos[[#This Row],[Monto (S/)]],"0")</f>
        <v>0</v>
      </c>
      <c r="O305" s="68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40">
        <v>46184</v>
      </c>
      <c r="C306" s="4" t="str">
        <f>_xlfn.XLOOKUP(tblMovimientos[[#This Row],[Cuenta Bancaria]],Listas!$B:$B,Listas!$A:$A,"")</f>
        <v>Go Blue</v>
      </c>
      <c r="D306" s="42" t="s">
        <v>126</v>
      </c>
      <c r="E306" s="47" t="str">
        <f>_xlfn.XLOOKUP(tblMovimientos[[#This Row],[Cuenta Bancaria]],Listas!$B:$B,Listas!$C:$C,"")</f>
        <v xml:space="preserve">Amerant Bank </v>
      </c>
      <c r="F306" s="42" t="s">
        <v>10</v>
      </c>
      <c r="G306" s="42" t="s">
        <v>38</v>
      </c>
      <c r="H306" s="4" t="str">
        <f>IFERROR(_xlfn.XLOOKUP(G306,Listas!E:E,Listas!F:F,""),"")</f>
        <v>Operativo</v>
      </c>
      <c r="I306" s="47" t="str">
        <f>IFERROR(_xlfn.XLOOKUP(G306,Listas!E:E,Listas!G:G,""),"")</f>
        <v>Externo</v>
      </c>
      <c r="J306" s="44">
        <v>2500</v>
      </c>
      <c r="K306" s="48">
        <f t="shared" ref="K306:K337" si="0">IF(F306="Ingreso",J306,-J306)</f>
        <v>-2500</v>
      </c>
      <c r="L306" s="15" t="s">
        <v>128</v>
      </c>
      <c r="M306" s="45">
        <f>SUMIFS('Saldos Iniciales'!$D$2:$D$38,'Saldos Iniciales'!$A$2:$A$38,C306,'Saldos Iniciales'!$B$2:$B$38,D306)+SUMIFS($K$1:$K$471,$C$1:$C$471,C306,$D$1:$D$471,D306,$B$1:$B$471,"&lt;="&amp;B306)</f>
        <v>48774.73</v>
      </c>
      <c r="N306" s="68" t="str">
        <f>IF(tblMovimientos[[#This Row],[Tipo de Movimiento]]="Ingreso",tblMovimientos[[#This Row],[Monto (S/)]],"0")</f>
        <v>0</v>
      </c>
      <c r="O306" s="68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40">
        <v>46184</v>
      </c>
      <c r="C307" s="47" t="str">
        <f>_xlfn.XLOOKUP(tblMovimientos[[#This Row],[Cuenta Bancaria]],Listas!$B:$B,Listas!$A:$A,"")</f>
        <v>Go Blue</v>
      </c>
      <c r="D307" s="42" t="s">
        <v>126</v>
      </c>
      <c r="E307" s="47" t="str">
        <f>_xlfn.XLOOKUP(tblMovimientos[[#This Row],[Cuenta Bancaria]],Listas!$B:$B,Listas!$C:$C,"")</f>
        <v xml:space="preserve">Amerant Bank </v>
      </c>
      <c r="F307" s="42" t="s">
        <v>9</v>
      </c>
      <c r="G307" s="42" t="s">
        <v>75</v>
      </c>
      <c r="H307" s="4" t="str">
        <f>IFERROR(_xlfn.XLOOKUP(G307,Listas!E:E,Listas!F:F,""),"")</f>
        <v>Financiamiento</v>
      </c>
      <c r="I307" s="47" t="str">
        <f>IFERROR(_xlfn.XLOOKUP(G307,Listas!E:E,Listas!G:G,""),"")</f>
        <v>Interno</v>
      </c>
      <c r="J307" s="44">
        <v>50000</v>
      </c>
      <c r="K307" s="48">
        <f t="shared" si="0"/>
        <v>50000</v>
      </c>
      <c r="L307" s="15" t="s">
        <v>128</v>
      </c>
      <c r="M307" s="45">
        <f>SUMIFS('Saldos Iniciales'!$D$2:$D$38,'Saldos Iniciales'!$A$2:$A$38,C307,'Saldos Iniciales'!$B$2:$B$38,D307)+SUMIFS($K$1:$K$471,$C$1:$C$471,C307,$D$1:$D$471,D307,$B$1:$B$471,"&lt;="&amp;B307)</f>
        <v>48774.73</v>
      </c>
      <c r="N307" s="68">
        <f>IF(tblMovimientos[[#This Row],[Tipo de Movimiento]]="Ingreso",tblMovimientos[[#This Row],[Monto (S/)]],"0")</f>
        <v>50000</v>
      </c>
      <c r="O307" s="68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40">
        <v>46185</v>
      </c>
      <c r="C308" s="4" t="str">
        <f>_xlfn.XLOOKUP(tblMovimientos[[#This Row],[Cuenta Bancaria]],Listas!$B:$B,Listas!$A:$A,"")</f>
        <v>SSP Capital</v>
      </c>
      <c r="D308" s="42" t="s">
        <v>101</v>
      </c>
      <c r="E308" s="47" t="str">
        <f>_xlfn.XLOOKUP(tblMovimientos[[#This Row],[Cuenta Bancaria]],Listas!$B:$B,Listas!$C:$C,"")</f>
        <v>Bank of America</v>
      </c>
      <c r="F308" s="42" t="s">
        <v>10</v>
      </c>
      <c r="G308" s="42" t="s">
        <v>38</v>
      </c>
      <c r="H308" s="4" t="str">
        <f>IFERROR(_xlfn.XLOOKUP(G308,Listas!E:E,Listas!F:F,""),"")</f>
        <v>Operativo</v>
      </c>
      <c r="I308" s="47" t="str">
        <f>IFERROR(_xlfn.XLOOKUP(G308,Listas!E:E,Listas!G:G,""),"")</f>
        <v>Externo</v>
      </c>
      <c r="J308" s="44">
        <v>1383</v>
      </c>
      <c r="K308" s="48">
        <f t="shared" si="0"/>
        <v>-1383</v>
      </c>
      <c r="L308" s="15" t="s">
        <v>128</v>
      </c>
      <c r="M308" s="45">
        <f>SUMIFS('Saldos Iniciales'!$D$2:$D$38,'Saldos Iniciales'!$A$2:$A$38,C308,'Saldos Iniciales'!$B$2:$B$38,D308)+SUMIFS($K$1:$K$471,$C$1:$C$471,C308,$D$1:$D$471,D308,$B$1:$B$471,"&lt;="&amp;B308)</f>
        <v>14961.88</v>
      </c>
      <c r="N308" s="68" t="str">
        <f>IF(tblMovimientos[[#This Row],[Tipo de Movimiento]]="Ingreso",tblMovimientos[[#This Row],[Monto (S/)]],"0")</f>
        <v>0</v>
      </c>
      <c r="O308" s="68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40">
        <v>46185</v>
      </c>
      <c r="C309" s="4" t="str">
        <f>_xlfn.XLOOKUP(tblMovimientos[[#This Row],[Cuenta Bancaria]],Listas!$B:$B,Listas!$A:$A,"")</f>
        <v>2515 Overbrook</v>
      </c>
      <c r="D309" s="42" t="s">
        <v>121</v>
      </c>
      <c r="E309" s="47" t="str">
        <f>_xlfn.XLOOKUP(tblMovimientos[[#This Row],[Cuenta Bancaria]],Listas!$B:$B,Listas!$C:$C,"")</f>
        <v>Bank of America</v>
      </c>
      <c r="F309" s="42" t="s">
        <v>9</v>
      </c>
      <c r="G309" s="42" t="s">
        <v>81</v>
      </c>
      <c r="H309" s="4" t="str">
        <f>IFERROR(_xlfn.XLOOKUP(G309,Listas!E:E,Listas!F:F,""),"")</f>
        <v>Operativo</v>
      </c>
      <c r="I309" s="47" t="str">
        <f>IFERROR(_xlfn.XLOOKUP(G309,Listas!E:E,Listas!G:G,""),"")</f>
        <v>Externo</v>
      </c>
      <c r="J309" s="44">
        <v>2000</v>
      </c>
      <c r="K309" s="48">
        <f t="shared" si="0"/>
        <v>2000</v>
      </c>
      <c r="L309" s="15" t="s">
        <v>128</v>
      </c>
      <c r="M309" s="45">
        <f>SUMIFS('Saldos Iniciales'!$D$2:$D$38,'Saldos Iniciales'!$A$2:$A$38,C309,'Saldos Iniciales'!$B$2:$B$38,D309)+SUMIFS($K$1:$K$471,$C$1:$C$471,C309,$D$1:$D$471,D309,$B$1:$B$471,"&lt;="&amp;B309)</f>
        <v>27459.549999999963</v>
      </c>
      <c r="N309" s="68">
        <f>IF(tblMovimientos[[#This Row],[Tipo de Movimiento]]="Ingreso",tblMovimientos[[#This Row],[Monto (S/)]],"0")</f>
        <v>2000</v>
      </c>
      <c r="O309" s="68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40">
        <v>46185</v>
      </c>
      <c r="C310" s="4" t="str">
        <f>_xlfn.XLOOKUP(tblMovimientos[[#This Row],[Cuenta Bancaria]],Listas!$B:$B,Listas!$A:$A,"")</f>
        <v>3628 Thomas Ave</v>
      </c>
      <c r="D310" s="42" t="s">
        <v>124</v>
      </c>
      <c r="E310" s="47" t="str">
        <f>_xlfn.XLOOKUP(tblMovimientos[[#This Row],[Cuenta Bancaria]],Listas!$B:$B,Listas!$C:$C,"")</f>
        <v>Bank of America</v>
      </c>
      <c r="F310" s="42" t="s">
        <v>10</v>
      </c>
      <c r="G310" s="42" t="s">
        <v>38</v>
      </c>
      <c r="H310" s="4" t="str">
        <f>IFERROR(_xlfn.XLOOKUP(G310,Listas!E:E,Listas!F:F,""),"")</f>
        <v>Operativo</v>
      </c>
      <c r="I310" s="47" t="str">
        <f>IFERROR(_xlfn.XLOOKUP(G310,Listas!E:E,Listas!G:G,""),"")</f>
        <v>Externo</v>
      </c>
      <c r="J310" s="44">
        <v>259.13</v>
      </c>
      <c r="K310" s="48">
        <f t="shared" si="0"/>
        <v>-259.13</v>
      </c>
      <c r="L310" s="15" t="s">
        <v>128</v>
      </c>
      <c r="M310" s="45">
        <f>SUMIFS('Saldos Iniciales'!$D$2:$D$38,'Saldos Iniciales'!$A$2:$A$38,C310,'Saldos Iniciales'!$B$2:$B$38,D310)+SUMIFS($K$1:$K$471,$C$1:$C$471,C310,$D$1:$D$471,D310,$B$1:$B$471,"&lt;="&amp;B310)</f>
        <v>24484.85</v>
      </c>
      <c r="N310" s="68" t="str">
        <f>IF(tblMovimientos[[#This Row],[Tipo de Movimiento]]="Ingreso",tblMovimientos[[#This Row],[Monto (S/)]],"0")</f>
        <v>0</v>
      </c>
      <c r="O310" s="68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40">
        <v>46185</v>
      </c>
      <c r="C311" s="47" t="str">
        <f>_xlfn.XLOOKUP(tblMovimientos[[#This Row],[Cuenta Bancaria]],Listas!$B:$B,Listas!$A:$A,"")</f>
        <v>SSP Capital</v>
      </c>
      <c r="D311" s="42" t="s">
        <v>104</v>
      </c>
      <c r="E311" s="47" t="str">
        <f>_xlfn.XLOOKUP(tblMovimientos[[#This Row],[Cuenta Bancaria]],Listas!$B:$B,Listas!$C:$C,"")</f>
        <v xml:space="preserve">Amerant Bank </v>
      </c>
      <c r="F311" s="42" t="s">
        <v>9</v>
      </c>
      <c r="G311" s="42" t="s">
        <v>76</v>
      </c>
      <c r="H311" s="4" t="str">
        <f>IFERROR(_xlfn.XLOOKUP(G311,Listas!E:E,Listas!F:F,""),"")</f>
        <v>Financiamiento</v>
      </c>
      <c r="I311" s="47" t="str">
        <f>IFERROR(_xlfn.XLOOKUP(G311,Listas!E:E,Listas!G:G,""),"")</f>
        <v>Externo</v>
      </c>
      <c r="J311" s="44">
        <v>2970000</v>
      </c>
      <c r="K311" s="48">
        <f t="shared" si="0"/>
        <v>2970000</v>
      </c>
      <c r="L311" s="15" t="s">
        <v>128</v>
      </c>
      <c r="M311" s="45">
        <f>SUMIFS('Saldos Iniciales'!$D$2:$D$38,'Saldos Iniciales'!$A$2:$A$38,C311,'Saldos Iniciales'!$B$2:$B$38,D311)+SUMIFS($K$1:$K$471,$C$1:$C$471,C311,$D$1:$D$471,D311,$B$1:$B$471,"&lt;="&amp;B311)</f>
        <v>2988249.7999999993</v>
      </c>
      <c r="N311" s="68">
        <f>IF(tblMovimientos[[#This Row],[Tipo de Movimiento]]="Ingreso",tblMovimientos[[#This Row],[Monto (S/)]],"0")</f>
        <v>2970000</v>
      </c>
      <c r="O311" s="68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40">
        <v>46188</v>
      </c>
      <c r="C312" s="4" t="str">
        <f>_xlfn.XLOOKUP(tblMovimientos[[#This Row],[Cuenta Bancaria]],Listas!$B:$B,Listas!$A:$A,"")</f>
        <v>Go Blue</v>
      </c>
      <c r="D312" s="42" t="s">
        <v>126</v>
      </c>
      <c r="E312" s="47" t="str">
        <f>_xlfn.XLOOKUP(tblMovimientos[[#This Row],[Cuenta Bancaria]],Listas!$B:$B,Listas!$C:$C,"")</f>
        <v xml:space="preserve">Amerant Bank </v>
      </c>
      <c r="F312" s="42" t="s">
        <v>10</v>
      </c>
      <c r="G312" s="42" t="s">
        <v>38</v>
      </c>
      <c r="H312" s="4" t="str">
        <f>IFERROR(_xlfn.XLOOKUP(G312,Listas!E:E,Listas!F:F,""),"")</f>
        <v>Operativo</v>
      </c>
      <c r="I312" s="47" t="str">
        <f>IFERROR(_xlfn.XLOOKUP(G312,Listas!E:E,Listas!G:G,""),"")</f>
        <v>Externo</v>
      </c>
      <c r="J312" s="44">
        <v>50</v>
      </c>
      <c r="K312" s="48">
        <f t="shared" si="0"/>
        <v>-50</v>
      </c>
      <c r="L312" s="15" t="s">
        <v>128</v>
      </c>
      <c r="M312" s="45">
        <f>SUMIFS('Saldos Iniciales'!$D$2:$D$38,'Saldos Iniciales'!$A$2:$A$38,C312,'Saldos Iniciales'!$B$2:$B$38,D312)+SUMIFS($K$1:$K$471,$C$1:$C$471,C312,$D$1:$D$471,D312,$B$1:$B$471,"&lt;="&amp;B312)</f>
        <v>48724.73</v>
      </c>
      <c r="N312" s="68" t="str">
        <f>IF(tblMovimientos[[#This Row],[Tipo de Movimiento]]="Ingreso",tblMovimientos[[#This Row],[Monto (S/)]],"0")</f>
        <v>0</v>
      </c>
      <c r="O312" s="68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40">
        <v>46188</v>
      </c>
      <c r="C313" s="4" t="str">
        <f>_xlfn.XLOOKUP(tblMovimientos[[#This Row],[Cuenta Bancaria]],Listas!$B:$B,Listas!$A:$A,"")</f>
        <v>CFT Group</v>
      </c>
      <c r="D313" s="42" t="s">
        <v>95</v>
      </c>
      <c r="E313" s="47" t="str">
        <f>_xlfn.XLOOKUP(tblMovimientos[[#This Row],[Cuenta Bancaria]],Listas!$B:$B,Listas!$C:$C,"")</f>
        <v xml:space="preserve">Amerant Bank </v>
      </c>
      <c r="F313" s="42" t="s">
        <v>9</v>
      </c>
      <c r="G313" s="42" t="s">
        <v>85</v>
      </c>
      <c r="H313" s="4" t="str">
        <f>IFERROR(_xlfn.XLOOKUP(G313,Listas!E:E,Listas!F:F,""),"")</f>
        <v>Operativo</v>
      </c>
      <c r="I313" s="47" t="str">
        <f>IFERROR(_xlfn.XLOOKUP(G313,Listas!E:E,Listas!G:G,""),"")</f>
        <v>Interno</v>
      </c>
      <c r="J313" s="44">
        <v>270000</v>
      </c>
      <c r="K313" s="48">
        <f t="shared" si="0"/>
        <v>270000</v>
      </c>
      <c r="L313" s="15" t="s">
        <v>128</v>
      </c>
      <c r="M313" s="45">
        <f>SUMIFS('Saldos Iniciales'!$D$2:$D$38,'Saldos Iniciales'!$A$2:$A$38,C313,'Saldos Iniciales'!$B$2:$B$38,D313)+SUMIFS($K$1:$K$471,$C$1:$C$471,C313,$D$1:$D$471,D313,$B$1:$B$471,"&lt;="&amp;B313)</f>
        <v>968878.52000000025</v>
      </c>
      <c r="N313" s="68">
        <f>IF(tblMovimientos[[#This Row],[Tipo de Movimiento]]="Ingreso",tblMovimientos[[#This Row],[Monto (S/)]],"0")</f>
        <v>270000</v>
      </c>
      <c r="O313" s="68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40">
        <v>46188</v>
      </c>
      <c r="C314" s="4" t="str">
        <f>_xlfn.XLOOKUP(tblMovimientos[[#This Row],[Cuenta Bancaria]],Listas!$B:$B,Listas!$A:$A,"")</f>
        <v>CFT Group</v>
      </c>
      <c r="D314" s="42" t="s">
        <v>95</v>
      </c>
      <c r="E314" s="47" t="str">
        <f>_xlfn.XLOOKUP(tblMovimientos[[#This Row],[Cuenta Bancaria]],Listas!$B:$B,Listas!$C:$C,"")</f>
        <v xml:space="preserve">Amerant Bank </v>
      </c>
      <c r="F314" s="42" t="s">
        <v>10</v>
      </c>
      <c r="G314" s="42" t="s">
        <v>48</v>
      </c>
      <c r="H314" s="4" t="str">
        <f>IFERROR(_xlfn.XLOOKUP(G314,Listas!E:E,Listas!F:F,""),"")</f>
        <v>Financiamiento</v>
      </c>
      <c r="I314" s="47" t="str">
        <f>IFERROR(_xlfn.XLOOKUP(G314,Listas!E:E,Listas!G:G,""),"")</f>
        <v>Externo</v>
      </c>
      <c r="J314" s="44">
        <v>2366.67</v>
      </c>
      <c r="K314" s="48">
        <f t="shared" si="0"/>
        <v>-2366.67</v>
      </c>
      <c r="L314" s="15" t="s">
        <v>128</v>
      </c>
      <c r="M314" s="45">
        <f>SUMIFS('Saldos Iniciales'!$D$2:$D$38,'Saldos Iniciales'!$A$2:$A$38,C314,'Saldos Iniciales'!$B$2:$B$38,D314)+SUMIFS($K$1:$K$471,$C$1:$C$471,C314,$D$1:$D$471,D314,$B$1:$B$471,"&lt;="&amp;B314)</f>
        <v>968878.52000000025</v>
      </c>
      <c r="N314" s="68" t="str">
        <f>IF(tblMovimientos[[#This Row],[Tipo de Movimiento]]="Ingreso",tblMovimientos[[#This Row],[Monto (S/)]],"0")</f>
        <v>0</v>
      </c>
      <c r="O314" s="68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40">
        <v>46188</v>
      </c>
      <c r="C315" s="47" t="str">
        <f>_xlfn.XLOOKUP(tblMovimientos[[#This Row],[Cuenta Bancaria]],Listas!$B:$B,Listas!$A:$A,"")</f>
        <v>CFT Group</v>
      </c>
      <c r="D315" s="42" t="s">
        <v>95</v>
      </c>
      <c r="E315" s="47" t="str">
        <f>_xlfn.XLOOKUP(tblMovimientos[[#This Row],[Cuenta Bancaria]],Listas!$B:$B,Listas!$C:$C,"")</f>
        <v xml:space="preserve">Amerant Bank </v>
      </c>
      <c r="F315" s="42" t="s">
        <v>10</v>
      </c>
      <c r="G315" s="42" t="s">
        <v>48</v>
      </c>
      <c r="H315" s="4" t="str">
        <f>IFERROR(_xlfn.XLOOKUP(G315,Listas!E:E,Listas!F:F,""),"")</f>
        <v>Financiamiento</v>
      </c>
      <c r="I315" s="47" t="str">
        <f>IFERROR(_xlfn.XLOOKUP(G315,Listas!E:E,Listas!G:G,""),"")</f>
        <v>Externo</v>
      </c>
      <c r="J315" s="44">
        <v>3500</v>
      </c>
      <c r="K315" s="48">
        <f t="shared" si="0"/>
        <v>-3500</v>
      </c>
      <c r="L315" s="15" t="s">
        <v>128</v>
      </c>
      <c r="M315" s="45">
        <f>SUMIFS('Saldos Iniciales'!$D$2:$D$38,'Saldos Iniciales'!$A$2:$A$38,C315,'Saldos Iniciales'!$B$2:$B$38,D315)+SUMIFS($K$1:$K$471,$C$1:$C$471,C315,$D$1:$D$471,D315,$B$1:$B$471,"&lt;="&amp;B315)</f>
        <v>968878.52000000025</v>
      </c>
      <c r="N315" s="68" t="str">
        <f>IF(tblMovimientos[[#This Row],[Tipo de Movimiento]]="Ingreso",tblMovimientos[[#This Row],[Monto (S/)]],"0")</f>
        <v>0</v>
      </c>
      <c r="O315" s="68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40">
        <v>46188</v>
      </c>
      <c r="C316" s="4" t="str">
        <f>_xlfn.XLOOKUP(tblMovimientos[[#This Row],[Cuenta Bancaria]],Listas!$B:$B,Listas!$A:$A,"")</f>
        <v>CFT Group</v>
      </c>
      <c r="D316" s="42" t="s">
        <v>95</v>
      </c>
      <c r="E316" s="47" t="str">
        <f>_xlfn.XLOOKUP(tblMovimientos[[#This Row],[Cuenta Bancaria]],Listas!$B:$B,Listas!$C:$C,"")</f>
        <v xml:space="preserve">Amerant Bank </v>
      </c>
      <c r="F316" s="42" t="s">
        <v>10</v>
      </c>
      <c r="G316" s="42" t="s">
        <v>48</v>
      </c>
      <c r="H316" s="4" t="str">
        <f>IFERROR(_xlfn.XLOOKUP(G316,Listas!E:E,Listas!F:F,""),"")</f>
        <v>Financiamiento</v>
      </c>
      <c r="I316" s="47" t="str">
        <f>IFERROR(_xlfn.XLOOKUP(G316,Listas!E:E,Listas!G:G,""),"")</f>
        <v>Externo</v>
      </c>
      <c r="J316" s="44">
        <v>10608.89</v>
      </c>
      <c r="K316" s="48">
        <f t="shared" si="0"/>
        <v>-10608.89</v>
      </c>
      <c r="L316" s="15" t="s">
        <v>128</v>
      </c>
      <c r="M316" s="45">
        <f>SUMIFS('Saldos Iniciales'!$D$2:$D$38,'Saldos Iniciales'!$A$2:$A$38,C316,'Saldos Iniciales'!$B$2:$B$38,D316)+SUMIFS($K$1:$K$471,$C$1:$C$471,C316,$D$1:$D$471,D316,$B$1:$B$471,"&lt;="&amp;B316)</f>
        <v>968878.52000000025</v>
      </c>
      <c r="N316" s="68" t="str">
        <f>IF(tblMovimientos[[#This Row],[Tipo de Movimiento]]="Ingreso",tblMovimientos[[#This Row],[Monto (S/)]],"0")</f>
        <v>0</v>
      </c>
      <c r="O316" s="68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40">
        <v>46188</v>
      </c>
      <c r="C317" s="4" t="str">
        <f>_xlfn.XLOOKUP(tblMovimientos[[#This Row],[Cuenta Bancaria]],Listas!$B:$B,Listas!$A:$A,"")</f>
        <v>CFT Group</v>
      </c>
      <c r="D317" s="42" t="s">
        <v>95</v>
      </c>
      <c r="E317" s="47" t="str">
        <f>_xlfn.XLOOKUP(tblMovimientos[[#This Row],[Cuenta Bancaria]],Listas!$B:$B,Listas!$C:$C,"")</f>
        <v xml:space="preserve">Amerant Bank </v>
      </c>
      <c r="F317" s="42" t="s">
        <v>10</v>
      </c>
      <c r="G317" s="42" t="s">
        <v>48</v>
      </c>
      <c r="H317" s="4" t="str">
        <f>IFERROR(_xlfn.XLOOKUP(G317,Listas!E:E,Listas!F:F,""),"")</f>
        <v>Financiamiento</v>
      </c>
      <c r="I317" s="47" t="str">
        <f>IFERROR(_xlfn.XLOOKUP(G317,Listas!E:E,Listas!G:G,""),"")</f>
        <v>Externo</v>
      </c>
      <c r="J317" s="44">
        <v>12055.56</v>
      </c>
      <c r="K317" s="48">
        <f t="shared" si="0"/>
        <v>-12055.56</v>
      </c>
      <c r="L317" s="15" t="s">
        <v>128</v>
      </c>
      <c r="M317" s="45">
        <f>SUMIFS('Saldos Iniciales'!$D$2:$D$38,'Saldos Iniciales'!$A$2:$A$38,C317,'Saldos Iniciales'!$B$2:$B$38,D317)+SUMIFS($K$1:$K$471,$C$1:$C$471,C317,$D$1:$D$471,D317,$B$1:$B$471,"&lt;="&amp;B317)</f>
        <v>968878.52000000025</v>
      </c>
      <c r="N317" s="68" t="str">
        <f>IF(tblMovimientos[[#This Row],[Tipo de Movimiento]]="Ingreso",tblMovimientos[[#This Row],[Monto (S/)]],"0")</f>
        <v>0</v>
      </c>
      <c r="O317" s="68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40">
        <v>46188</v>
      </c>
      <c r="C318" s="4" t="str">
        <f>_xlfn.XLOOKUP(tblMovimientos[[#This Row],[Cuenta Bancaria]],Listas!$B:$B,Listas!$A:$A,"")</f>
        <v>CFT Group</v>
      </c>
      <c r="D318" s="42" t="s">
        <v>95</v>
      </c>
      <c r="E318" s="47" t="str">
        <f>_xlfn.XLOOKUP(tblMovimientos[[#This Row],[Cuenta Bancaria]],Listas!$B:$B,Listas!$C:$C,"")</f>
        <v xml:space="preserve">Amerant Bank </v>
      </c>
      <c r="F318" s="42" t="s">
        <v>10</v>
      </c>
      <c r="G318" s="42" t="s">
        <v>48</v>
      </c>
      <c r="H318" s="4" t="str">
        <f>IFERROR(_xlfn.XLOOKUP(G318,Listas!E:E,Listas!F:F,""),"")</f>
        <v>Financiamiento</v>
      </c>
      <c r="I318" s="47" t="str">
        <f>IFERROR(_xlfn.XLOOKUP(G318,Listas!E:E,Listas!G:G,""),"")</f>
        <v>Externo</v>
      </c>
      <c r="J318" s="44">
        <v>22166.67</v>
      </c>
      <c r="K318" s="48">
        <f t="shared" si="0"/>
        <v>-22166.67</v>
      </c>
      <c r="L318" s="15" t="s">
        <v>128</v>
      </c>
      <c r="M318" s="45">
        <f>SUMIFS('Saldos Iniciales'!$D$2:$D$38,'Saldos Iniciales'!$A$2:$A$38,C318,'Saldos Iniciales'!$B$2:$B$38,D318)+SUMIFS($K$1:$K$471,$C$1:$C$471,C318,$D$1:$D$471,D318,$B$1:$B$471,"&lt;="&amp;B318)</f>
        <v>968878.52000000025</v>
      </c>
      <c r="N318" s="68" t="str">
        <f>IF(tblMovimientos[[#This Row],[Tipo de Movimiento]]="Ingreso",tblMovimientos[[#This Row],[Monto (S/)]],"0")</f>
        <v>0</v>
      </c>
      <c r="O318" s="68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40">
        <v>46188</v>
      </c>
      <c r="C319" s="47" t="str">
        <f>_xlfn.XLOOKUP(tblMovimientos[[#This Row],[Cuenta Bancaria]],Listas!$B:$B,Listas!$A:$A,"")</f>
        <v>CFT Group</v>
      </c>
      <c r="D319" s="42" t="s">
        <v>95</v>
      </c>
      <c r="E319" s="47" t="str">
        <f>_xlfn.XLOOKUP(tblMovimientos[[#This Row],[Cuenta Bancaria]],Listas!$B:$B,Listas!$C:$C,"")</f>
        <v xml:space="preserve">Amerant Bank </v>
      </c>
      <c r="F319" s="42" t="s">
        <v>10</v>
      </c>
      <c r="G319" s="42" t="s">
        <v>48</v>
      </c>
      <c r="H319" s="4" t="str">
        <f>IFERROR(_xlfn.XLOOKUP(G319,Listas!E:E,Listas!F:F,""),"")</f>
        <v>Financiamiento</v>
      </c>
      <c r="I319" s="47" t="str">
        <f>IFERROR(_xlfn.XLOOKUP(G319,Listas!E:E,Listas!G:G,""),"")</f>
        <v>Externo</v>
      </c>
      <c r="J319" s="44">
        <v>24111.11</v>
      </c>
      <c r="K319" s="48">
        <f t="shared" si="0"/>
        <v>-24111.11</v>
      </c>
      <c r="L319" s="15" t="s">
        <v>128</v>
      </c>
      <c r="M319" s="45">
        <f>SUMIFS('Saldos Iniciales'!$D$2:$D$38,'Saldos Iniciales'!$A$2:$A$38,C319,'Saldos Iniciales'!$B$2:$B$38,D319)+SUMIFS($K$1:$K$471,$C$1:$C$471,C319,$D$1:$D$471,D319,$B$1:$B$471,"&lt;="&amp;B319)</f>
        <v>968878.52000000025</v>
      </c>
      <c r="N319" s="68" t="str">
        <f>IF(tblMovimientos[[#This Row],[Tipo de Movimiento]]="Ingreso",tblMovimientos[[#This Row],[Monto (S/)]],"0")</f>
        <v>0</v>
      </c>
      <c r="O319" s="68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40">
        <v>46188</v>
      </c>
      <c r="C320" s="4" t="str">
        <f>_xlfn.XLOOKUP(tblMovimientos[[#This Row],[Cuenta Bancaria]],Listas!$B:$B,Listas!$A:$A,"")</f>
        <v>CFT Group</v>
      </c>
      <c r="D320" s="42" t="s">
        <v>95</v>
      </c>
      <c r="E320" s="47" t="str">
        <f>_xlfn.XLOOKUP(tblMovimientos[[#This Row],[Cuenta Bancaria]],Listas!$B:$B,Listas!$C:$C,"")</f>
        <v xml:space="preserve">Amerant Bank </v>
      </c>
      <c r="F320" s="42" t="s">
        <v>10</v>
      </c>
      <c r="G320" s="42" t="s">
        <v>61</v>
      </c>
      <c r="H320" s="4" t="str">
        <f>IFERROR(_xlfn.XLOOKUP(G320,Listas!E:E,Listas!F:F,""),"")</f>
        <v>Operativo</v>
      </c>
      <c r="I320" s="47" t="str">
        <f>IFERROR(_xlfn.XLOOKUP(G320,Listas!E:E,Listas!G:G,""),"")</f>
        <v>Externo</v>
      </c>
      <c r="J320" s="44">
        <v>40000</v>
      </c>
      <c r="K320" s="48">
        <f t="shared" si="0"/>
        <v>-40000</v>
      </c>
      <c r="L320" s="15" t="s">
        <v>128</v>
      </c>
      <c r="M320" s="45">
        <f>SUMIFS('Saldos Iniciales'!$D$2:$D$38,'Saldos Iniciales'!$A$2:$A$38,C320,'Saldos Iniciales'!$B$2:$B$38,D320)+SUMIFS($K$1:$K$471,$C$1:$C$471,C320,$D$1:$D$471,D320,$B$1:$B$471,"&lt;="&amp;B320)</f>
        <v>968878.52000000025</v>
      </c>
      <c r="N320" s="68" t="str">
        <f>IF(tblMovimientos[[#This Row],[Tipo de Movimiento]]="Ingreso",tblMovimientos[[#This Row],[Monto (S/)]],"0")</f>
        <v>0</v>
      </c>
      <c r="O320" s="68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40">
        <v>46188</v>
      </c>
      <c r="C321" s="4" t="str">
        <f>_xlfn.XLOOKUP(tblMovimientos[[#This Row],[Cuenta Bancaria]],Listas!$B:$B,Listas!$A:$A,"")</f>
        <v>CFT Group</v>
      </c>
      <c r="D321" s="42" t="s">
        <v>95</v>
      </c>
      <c r="E321" s="47" t="str">
        <f>_xlfn.XLOOKUP(tblMovimientos[[#This Row],[Cuenta Bancaria]],Listas!$B:$B,Listas!$C:$C,"")</f>
        <v xml:space="preserve">Amerant Bank </v>
      </c>
      <c r="F321" s="42" t="s">
        <v>10</v>
      </c>
      <c r="G321" s="42" t="s">
        <v>61</v>
      </c>
      <c r="H321" s="4" t="str">
        <f>IFERROR(_xlfn.XLOOKUP(G321,Listas!E:E,Listas!F:F,""),"")</f>
        <v>Operativo</v>
      </c>
      <c r="I321" s="47" t="str">
        <f>IFERROR(_xlfn.XLOOKUP(G321,Listas!E:E,Listas!G:G,""),"")</f>
        <v>Externo</v>
      </c>
      <c r="J321" s="44">
        <v>60000</v>
      </c>
      <c r="K321" s="48">
        <f t="shared" si="0"/>
        <v>-60000</v>
      </c>
      <c r="L321" s="15" t="s">
        <v>128</v>
      </c>
      <c r="M321" s="45">
        <f>SUMIFS('Saldos Iniciales'!$D$2:$D$38,'Saldos Iniciales'!$A$2:$A$38,C321,'Saldos Iniciales'!$B$2:$B$38,D321)+SUMIFS($K$1:$K$471,$C$1:$C$471,C321,$D$1:$D$471,D321,$B$1:$B$471,"&lt;="&amp;B321)</f>
        <v>968878.52000000025</v>
      </c>
      <c r="N321" s="68" t="str">
        <f>IF(tblMovimientos[[#This Row],[Tipo de Movimiento]]="Ingreso",tblMovimientos[[#This Row],[Monto (S/)]],"0")</f>
        <v>0</v>
      </c>
      <c r="O321" s="68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40">
        <v>46188</v>
      </c>
      <c r="C322" s="4" t="str">
        <f>_xlfn.XLOOKUP(tblMovimientos[[#This Row],[Cuenta Bancaria]],Listas!$B:$B,Listas!$A:$A,"")</f>
        <v>CFT Group</v>
      </c>
      <c r="D322" s="42" t="s">
        <v>95</v>
      </c>
      <c r="E322" s="47" t="str">
        <f>_xlfn.XLOOKUP(tblMovimientos[[#This Row],[Cuenta Bancaria]],Listas!$B:$B,Listas!$C:$C,"")</f>
        <v xml:space="preserve">Amerant Bank </v>
      </c>
      <c r="F322" s="42" t="s">
        <v>10</v>
      </c>
      <c r="G322" s="42" t="s">
        <v>61</v>
      </c>
      <c r="H322" s="4" t="str">
        <f>IFERROR(_xlfn.XLOOKUP(G322,Listas!E:E,Listas!F:F,""),"")</f>
        <v>Operativo</v>
      </c>
      <c r="I322" s="47" t="str">
        <f>IFERROR(_xlfn.XLOOKUP(G322,Listas!E:E,Listas!G:G,""),"")</f>
        <v>Externo</v>
      </c>
      <c r="J322" s="44">
        <v>100000</v>
      </c>
      <c r="K322" s="48">
        <f t="shared" si="0"/>
        <v>-100000</v>
      </c>
      <c r="L322" s="15" t="s">
        <v>128</v>
      </c>
      <c r="M322" s="45">
        <f>SUMIFS('Saldos Iniciales'!$D$2:$D$38,'Saldos Iniciales'!$A$2:$A$38,C322,'Saldos Iniciales'!$B$2:$B$38,D322)+SUMIFS($K$1:$K$471,$C$1:$C$471,C322,$D$1:$D$471,D322,$B$1:$B$471,"&lt;="&amp;B322)</f>
        <v>968878.52000000025</v>
      </c>
      <c r="N322" s="68" t="str">
        <f>IF(tblMovimientos[[#This Row],[Tipo de Movimiento]]="Ingreso",tblMovimientos[[#This Row],[Monto (S/)]],"0")</f>
        <v>0</v>
      </c>
      <c r="O322" s="68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40">
        <v>46188</v>
      </c>
      <c r="C323" s="47" t="str">
        <f>_xlfn.XLOOKUP(tblMovimientos[[#This Row],[Cuenta Bancaria]],Listas!$B:$B,Listas!$A:$A,"")</f>
        <v>CFT Group</v>
      </c>
      <c r="D323" s="42" t="s">
        <v>95</v>
      </c>
      <c r="E323" s="47" t="str">
        <f>_xlfn.XLOOKUP(tblMovimientos[[#This Row],[Cuenta Bancaria]],Listas!$B:$B,Listas!$C:$C,"")</f>
        <v xml:space="preserve">Amerant Bank </v>
      </c>
      <c r="F323" s="42" t="s">
        <v>10</v>
      </c>
      <c r="G323" s="42" t="s">
        <v>61</v>
      </c>
      <c r="H323" s="4" t="str">
        <f>IFERROR(_xlfn.XLOOKUP(G323,Listas!E:E,Listas!F:F,""),"")</f>
        <v>Operativo</v>
      </c>
      <c r="I323" s="47" t="str">
        <f>IFERROR(_xlfn.XLOOKUP(G323,Listas!E:E,Listas!G:G,""),"")</f>
        <v>Externo</v>
      </c>
      <c r="J323" s="44">
        <v>150000</v>
      </c>
      <c r="K323" s="48">
        <f t="shared" si="0"/>
        <v>-150000</v>
      </c>
      <c r="L323" s="15" t="s">
        <v>128</v>
      </c>
      <c r="M323" s="45">
        <f>SUMIFS('Saldos Iniciales'!$D$2:$D$38,'Saldos Iniciales'!$A$2:$A$38,C323,'Saldos Iniciales'!$B$2:$B$38,D323)+SUMIFS($K$1:$K$471,$C$1:$C$471,C323,$D$1:$D$471,D323,$B$1:$B$471,"&lt;="&amp;B323)</f>
        <v>968878.52000000025</v>
      </c>
      <c r="N323" s="68" t="str">
        <f>IF(tblMovimientos[[#This Row],[Tipo de Movimiento]]="Ingreso",tblMovimientos[[#This Row],[Monto (S/)]],"0")</f>
        <v>0</v>
      </c>
      <c r="O323" s="68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40">
        <v>46188</v>
      </c>
      <c r="C324" s="4" t="str">
        <f>_xlfn.XLOOKUP(tblMovimientos[[#This Row],[Cuenta Bancaria]],Listas!$B:$B,Listas!$A:$A,"")</f>
        <v>CFT Group</v>
      </c>
      <c r="D324" s="42" t="s">
        <v>95</v>
      </c>
      <c r="E324" s="47" t="str">
        <f>_xlfn.XLOOKUP(tblMovimientos[[#This Row],[Cuenta Bancaria]],Listas!$B:$B,Listas!$C:$C,"")</f>
        <v xml:space="preserve">Amerant Bank </v>
      </c>
      <c r="F324" s="42" t="s">
        <v>10</v>
      </c>
      <c r="G324" s="42" t="s">
        <v>61</v>
      </c>
      <c r="H324" s="4" t="str">
        <f>IFERROR(_xlfn.XLOOKUP(G324,Listas!E:E,Listas!F:F,""),"")</f>
        <v>Operativo</v>
      </c>
      <c r="I324" s="47" t="str">
        <f>IFERROR(_xlfn.XLOOKUP(G324,Listas!E:E,Listas!G:G,""),"")</f>
        <v>Externo</v>
      </c>
      <c r="J324" s="44">
        <v>200000</v>
      </c>
      <c r="K324" s="48">
        <f t="shared" si="0"/>
        <v>-200000</v>
      </c>
      <c r="L324" s="15" t="s">
        <v>128</v>
      </c>
      <c r="M324" s="45">
        <f>SUMIFS('Saldos Iniciales'!$D$2:$D$38,'Saldos Iniciales'!$A$2:$A$38,C324,'Saldos Iniciales'!$B$2:$B$38,D324)+SUMIFS($K$1:$K$471,$C$1:$C$471,C324,$D$1:$D$471,D324,$B$1:$B$471,"&lt;="&amp;B324)</f>
        <v>968878.52000000025</v>
      </c>
      <c r="N324" s="68" t="str">
        <f>IF(tblMovimientos[[#This Row],[Tipo de Movimiento]]="Ingreso",tblMovimientos[[#This Row],[Monto (S/)]],"0")</f>
        <v>0</v>
      </c>
      <c r="O324" s="68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40">
        <v>46188</v>
      </c>
      <c r="C325" s="4" t="str">
        <f>_xlfn.XLOOKUP(tblMovimientos[[#This Row],[Cuenta Bancaria]],Listas!$B:$B,Listas!$A:$A,"")</f>
        <v>CFT Group</v>
      </c>
      <c r="D325" s="42" t="s">
        <v>95</v>
      </c>
      <c r="E325" s="47" t="str">
        <f>_xlfn.XLOOKUP(tblMovimientos[[#This Row],[Cuenta Bancaria]],Listas!$B:$B,Listas!$C:$C,"")</f>
        <v xml:space="preserve">Amerant Bank </v>
      </c>
      <c r="F325" s="42" t="s">
        <v>10</v>
      </c>
      <c r="G325" s="42" t="s">
        <v>61</v>
      </c>
      <c r="H325" s="4" t="str">
        <f>IFERROR(_xlfn.XLOOKUP(G325,Listas!E:E,Listas!F:F,""),"")</f>
        <v>Operativo</v>
      </c>
      <c r="I325" s="47" t="str">
        <f>IFERROR(_xlfn.XLOOKUP(G325,Listas!E:E,Listas!G:G,""),"")</f>
        <v>Externo</v>
      </c>
      <c r="J325" s="44">
        <v>200000</v>
      </c>
      <c r="K325" s="48">
        <f t="shared" si="0"/>
        <v>-200000</v>
      </c>
      <c r="L325" s="15" t="s">
        <v>128</v>
      </c>
      <c r="M325" s="45">
        <f>SUMIFS('Saldos Iniciales'!$D$2:$D$38,'Saldos Iniciales'!$A$2:$A$38,C325,'Saldos Iniciales'!$B$2:$B$38,D325)+SUMIFS($K$1:$K$471,$C$1:$C$471,C325,$D$1:$D$471,D325,$B$1:$B$471,"&lt;="&amp;B325)</f>
        <v>968878.52000000025</v>
      </c>
      <c r="N325" s="68" t="str">
        <f>IF(tblMovimientos[[#This Row],[Tipo de Movimiento]]="Ingreso",tblMovimientos[[#This Row],[Monto (S/)]],"0")</f>
        <v>0</v>
      </c>
      <c r="O325" s="68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40">
        <v>46188</v>
      </c>
      <c r="C326" s="4" t="str">
        <f>_xlfn.XLOOKUP(tblMovimientos[[#This Row],[Cuenta Bancaria]],Listas!$B:$B,Listas!$A:$A,"")</f>
        <v>SSP Capital</v>
      </c>
      <c r="D326" s="42" t="s">
        <v>104</v>
      </c>
      <c r="E326" s="47" t="str">
        <f>_xlfn.XLOOKUP(tblMovimientos[[#This Row],[Cuenta Bancaria]],Listas!$B:$B,Listas!$C:$C,"")</f>
        <v xml:space="preserve">Amerant Bank </v>
      </c>
      <c r="F326" s="42" t="s">
        <v>10</v>
      </c>
      <c r="G326" s="42" t="s">
        <v>48</v>
      </c>
      <c r="H326" s="4" t="str">
        <f>IFERROR(_xlfn.XLOOKUP(G326,Listas!E:E,Listas!F:F,""),"")</f>
        <v>Financiamiento</v>
      </c>
      <c r="I326" s="47" t="str">
        <f>IFERROR(_xlfn.XLOOKUP(G326,Listas!E:E,Listas!G:G,""),"")</f>
        <v>Externo</v>
      </c>
      <c r="J326" s="44">
        <v>26250</v>
      </c>
      <c r="K326" s="48">
        <f t="shared" si="0"/>
        <v>-26250</v>
      </c>
      <c r="L326" s="15" t="s">
        <v>128</v>
      </c>
      <c r="M326" s="45">
        <f>SUMIFS('Saldos Iniciales'!$D$2:$D$38,'Saldos Iniciales'!$A$2:$A$38,C326,'Saldos Iniciales'!$B$2:$B$38,D326)+SUMIFS($K$1:$K$471,$C$1:$C$471,C326,$D$1:$D$471,D326,$B$1:$B$471,"&lt;="&amp;B326)</f>
        <v>2502067.6299999994</v>
      </c>
      <c r="N326" s="68" t="str">
        <f>IF(tblMovimientos[[#This Row],[Tipo de Movimiento]]="Ingreso",tblMovimientos[[#This Row],[Monto (S/)]],"0")</f>
        <v>0</v>
      </c>
      <c r="O326" s="68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40">
        <v>46188</v>
      </c>
      <c r="C327" s="47" t="str">
        <f>_xlfn.XLOOKUP(tblMovimientos[[#This Row],[Cuenta Bancaria]],Listas!$B:$B,Listas!$A:$A,"")</f>
        <v>SSP Capital</v>
      </c>
      <c r="D327" s="42" t="s">
        <v>104</v>
      </c>
      <c r="E327" s="47" t="str">
        <f>_xlfn.XLOOKUP(tblMovimientos[[#This Row],[Cuenta Bancaria]],Listas!$B:$B,Listas!$C:$C,"")</f>
        <v xml:space="preserve">Amerant Bank </v>
      </c>
      <c r="F327" s="42" t="s">
        <v>10</v>
      </c>
      <c r="G327" s="42" t="s">
        <v>48</v>
      </c>
      <c r="H327" s="4" t="str">
        <f>IFERROR(_xlfn.XLOOKUP(G327,Listas!E:E,Listas!F:F,""),"")</f>
        <v>Financiamiento</v>
      </c>
      <c r="I327" s="47" t="str">
        <f>IFERROR(_xlfn.XLOOKUP(G327,Listas!E:E,Listas!G:G,""),"")</f>
        <v>Externo</v>
      </c>
      <c r="J327" s="44">
        <v>32435</v>
      </c>
      <c r="K327" s="48">
        <f t="shared" si="0"/>
        <v>-32435</v>
      </c>
      <c r="L327" s="15" t="s">
        <v>128</v>
      </c>
      <c r="M327" s="45">
        <f>SUMIFS('Saldos Iniciales'!$D$2:$D$38,'Saldos Iniciales'!$A$2:$A$38,C327,'Saldos Iniciales'!$B$2:$B$38,D327)+SUMIFS($K$1:$K$471,$C$1:$C$471,C327,$D$1:$D$471,D327,$B$1:$B$471,"&lt;="&amp;B327)</f>
        <v>2502067.6299999994</v>
      </c>
      <c r="N327" s="68" t="str">
        <f>IF(tblMovimientos[[#This Row],[Tipo de Movimiento]]="Ingreso",tblMovimientos[[#This Row],[Monto (S/)]],"0")</f>
        <v>0</v>
      </c>
      <c r="O327" s="68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40">
        <v>46188</v>
      </c>
      <c r="C328" s="4" t="str">
        <f>_xlfn.XLOOKUP(tblMovimientos[[#This Row],[Cuenta Bancaria]],Listas!$B:$B,Listas!$A:$A,"")</f>
        <v>SSP Capital</v>
      </c>
      <c r="D328" s="42" t="s">
        <v>104</v>
      </c>
      <c r="E328" s="47" t="str">
        <f>_xlfn.XLOOKUP(tblMovimientos[[#This Row],[Cuenta Bancaria]],Listas!$B:$B,Listas!$C:$C,"")</f>
        <v xml:space="preserve">Amerant Bank </v>
      </c>
      <c r="F328" s="42" t="s">
        <v>10</v>
      </c>
      <c r="G328" s="42" t="s">
        <v>48</v>
      </c>
      <c r="H328" s="4" t="str">
        <f>IFERROR(_xlfn.XLOOKUP(G328,Listas!E:E,Listas!F:F,""),"")</f>
        <v>Financiamiento</v>
      </c>
      <c r="I328" s="47" t="str">
        <f>IFERROR(_xlfn.XLOOKUP(G328,Listas!E:E,Listas!G:G,""),"")</f>
        <v>Externo</v>
      </c>
      <c r="J328" s="44">
        <v>49583.34</v>
      </c>
      <c r="K328" s="48">
        <f t="shared" si="0"/>
        <v>-49583.34</v>
      </c>
      <c r="L328" s="15" t="s">
        <v>128</v>
      </c>
      <c r="M328" s="45">
        <f>SUMIFS('Saldos Iniciales'!$D$2:$D$38,'Saldos Iniciales'!$A$2:$A$38,C328,'Saldos Iniciales'!$B$2:$B$38,D328)+SUMIFS($K$1:$K$471,$C$1:$C$471,C328,$D$1:$D$471,D328,$B$1:$B$471,"&lt;="&amp;B328)</f>
        <v>2502067.6299999994</v>
      </c>
      <c r="N328" s="68" t="str">
        <f>IF(tblMovimientos[[#This Row],[Tipo de Movimiento]]="Ingreso",tblMovimientos[[#This Row],[Monto (S/)]],"0")</f>
        <v>0</v>
      </c>
      <c r="O328" s="68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40">
        <v>46188</v>
      </c>
      <c r="C329" s="4" t="str">
        <f>_xlfn.XLOOKUP(tblMovimientos[[#This Row],[Cuenta Bancaria]],Listas!$B:$B,Listas!$A:$A,"")</f>
        <v>SSP Capital</v>
      </c>
      <c r="D329" s="42" t="s">
        <v>104</v>
      </c>
      <c r="E329" s="47" t="str">
        <f>_xlfn.XLOOKUP(tblMovimientos[[#This Row],[Cuenta Bancaria]],Listas!$B:$B,Listas!$C:$C,"")</f>
        <v xml:space="preserve">Amerant Bank </v>
      </c>
      <c r="F329" s="42" t="s">
        <v>10</v>
      </c>
      <c r="G329" s="42" t="s">
        <v>48</v>
      </c>
      <c r="H329" s="4" t="str">
        <f>IFERROR(_xlfn.XLOOKUP(G329,Listas!E:E,Listas!F:F,""),"")</f>
        <v>Financiamiento</v>
      </c>
      <c r="I329" s="47" t="str">
        <f>IFERROR(_xlfn.XLOOKUP(G329,Listas!E:E,Listas!G:G,""),"")</f>
        <v>Externo</v>
      </c>
      <c r="J329" s="44">
        <v>23313.83</v>
      </c>
      <c r="K329" s="48">
        <f t="shared" si="0"/>
        <v>-23313.83</v>
      </c>
      <c r="L329" s="15" t="s">
        <v>128</v>
      </c>
      <c r="M329" s="45">
        <f>SUMIFS('Saldos Iniciales'!$D$2:$D$38,'Saldos Iniciales'!$A$2:$A$38,C329,'Saldos Iniciales'!$B$2:$B$38,D329)+SUMIFS($K$1:$K$471,$C$1:$C$471,C329,$D$1:$D$471,D329,$B$1:$B$471,"&lt;="&amp;B329)</f>
        <v>2502067.6299999994</v>
      </c>
      <c r="N329" s="68" t="str">
        <f>IF(tblMovimientos[[#This Row],[Tipo de Movimiento]]="Ingreso",tblMovimientos[[#This Row],[Monto (S/)]],"0")</f>
        <v>0</v>
      </c>
      <c r="O329" s="68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40">
        <v>46188</v>
      </c>
      <c r="C330" s="4" t="str">
        <f>_xlfn.XLOOKUP(tblMovimientos[[#This Row],[Cuenta Bancaria]],Listas!$B:$B,Listas!$A:$A,"")</f>
        <v>SSP Capital</v>
      </c>
      <c r="D330" s="42" t="s">
        <v>104</v>
      </c>
      <c r="E330" s="47" t="str">
        <f>_xlfn.XLOOKUP(tblMovimientos[[#This Row],[Cuenta Bancaria]],Listas!$B:$B,Listas!$C:$C,"")</f>
        <v xml:space="preserve">Amerant Bank </v>
      </c>
      <c r="F330" s="42" t="s">
        <v>10</v>
      </c>
      <c r="G330" s="42" t="s">
        <v>64</v>
      </c>
      <c r="H330" s="4" t="str">
        <f>IFERROR(_xlfn.XLOOKUP(G330,Listas!E:E,Listas!F:F,""),"")</f>
        <v>Operativo</v>
      </c>
      <c r="I330" s="47" t="str">
        <f>IFERROR(_xlfn.XLOOKUP(G330,Listas!E:E,Listas!G:G,""),"")</f>
        <v>Interno</v>
      </c>
      <c r="J330" s="44">
        <v>54600</v>
      </c>
      <c r="K330" s="48">
        <f t="shared" si="0"/>
        <v>-54600</v>
      </c>
      <c r="L330" s="15" t="s">
        <v>128</v>
      </c>
      <c r="M330" s="45">
        <f>SUMIFS('Saldos Iniciales'!$D$2:$D$38,'Saldos Iniciales'!$A$2:$A$38,C330,'Saldos Iniciales'!$B$2:$B$38,D330)+SUMIFS($K$1:$K$471,$C$1:$C$471,C330,$D$1:$D$471,D330,$B$1:$B$471,"&lt;="&amp;B330)</f>
        <v>2502067.6299999994</v>
      </c>
      <c r="N330" s="68" t="str">
        <f>IF(tblMovimientos[[#This Row],[Tipo de Movimiento]]="Ingreso",tblMovimientos[[#This Row],[Monto (S/)]],"0")</f>
        <v>0</v>
      </c>
      <c r="O330" s="68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40">
        <v>46188</v>
      </c>
      <c r="C331" s="47" t="str">
        <f>_xlfn.XLOOKUP(tblMovimientos[[#This Row],[Cuenta Bancaria]],Listas!$B:$B,Listas!$A:$A,"")</f>
        <v>SSP Capital</v>
      </c>
      <c r="D331" s="42" t="s">
        <v>104</v>
      </c>
      <c r="E331" s="47" t="str">
        <f>_xlfn.XLOOKUP(tblMovimientos[[#This Row],[Cuenta Bancaria]],Listas!$B:$B,Listas!$C:$C,"")</f>
        <v xml:space="preserve">Amerant Bank </v>
      </c>
      <c r="F331" s="42" t="s">
        <v>10</v>
      </c>
      <c r="G331" s="42" t="s">
        <v>61</v>
      </c>
      <c r="H331" s="4" t="str">
        <f>IFERROR(_xlfn.XLOOKUP(G331,Listas!E:E,Listas!F:F,""),"")</f>
        <v>Operativo</v>
      </c>
      <c r="I331" s="47" t="str">
        <f>IFERROR(_xlfn.XLOOKUP(G331,Listas!E:E,Listas!G:G,""),"")</f>
        <v>Externo</v>
      </c>
      <c r="J331" s="44">
        <v>300000</v>
      </c>
      <c r="K331" s="48">
        <f t="shared" si="0"/>
        <v>-300000</v>
      </c>
      <c r="L331" s="15" t="s">
        <v>128</v>
      </c>
      <c r="M331" s="45">
        <f>SUMIFS('Saldos Iniciales'!$D$2:$D$38,'Saldos Iniciales'!$A$2:$A$38,C331,'Saldos Iniciales'!$B$2:$B$38,D331)+SUMIFS($K$1:$K$471,$C$1:$C$471,C331,$D$1:$D$471,D331,$B$1:$B$471,"&lt;="&amp;B331)</f>
        <v>2502067.6299999994</v>
      </c>
      <c r="N331" s="68" t="str">
        <f>IF(tblMovimientos[[#This Row],[Tipo de Movimiento]]="Ingreso",tblMovimientos[[#This Row],[Monto (S/)]],"0")</f>
        <v>0</v>
      </c>
      <c r="O331" s="68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40">
        <v>46188</v>
      </c>
      <c r="C332" s="4" t="str">
        <f>_xlfn.XLOOKUP(tblMovimientos[[#This Row],[Cuenta Bancaria]],Listas!$B:$B,Listas!$A:$A,"")</f>
        <v>SSP Capital</v>
      </c>
      <c r="D332" s="42" t="s">
        <v>102</v>
      </c>
      <c r="E332" s="47" t="str">
        <f>_xlfn.XLOOKUP(tblMovimientos[[#This Row],[Cuenta Bancaria]],Listas!$B:$B,Listas!$C:$C,"")</f>
        <v>Bank of America</v>
      </c>
      <c r="F332" s="42" t="s">
        <v>10</v>
      </c>
      <c r="G332" s="42" t="s">
        <v>44</v>
      </c>
      <c r="H332" s="4" t="str">
        <f>IFERROR(_xlfn.XLOOKUP(G332,Listas!E:E,Listas!F:F,""),"")</f>
        <v>Operativo</v>
      </c>
      <c r="I332" s="47" t="str">
        <f>IFERROR(_xlfn.XLOOKUP(G332,Listas!E:E,Listas!G:G,""),"")</f>
        <v>Externo</v>
      </c>
      <c r="J332" s="44">
        <v>29.42</v>
      </c>
      <c r="K332" s="48">
        <f t="shared" si="0"/>
        <v>-29.42</v>
      </c>
      <c r="L332" s="15" t="s">
        <v>128</v>
      </c>
      <c r="M332" s="45">
        <f>SUMIFS('Saldos Iniciales'!$D$2:$D$38,'Saldos Iniciales'!$A$2:$A$38,C332,'Saldos Iniciales'!$B$2:$B$38,D332)+SUMIFS($K$1:$K$471,$C$1:$C$471,C332,$D$1:$D$471,D332,$B$1:$B$471,"&lt;="&amp;B332)</f>
        <v>533.58000000000004</v>
      </c>
      <c r="N332" s="68" t="str">
        <f>IF(tblMovimientos[[#This Row],[Tipo de Movimiento]]="Ingreso",tblMovimientos[[#This Row],[Monto (S/)]],"0")</f>
        <v>0</v>
      </c>
      <c r="O332" s="68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6"/>
      <c r="B333" s="40">
        <v>46188</v>
      </c>
      <c r="C333" s="4" t="str">
        <f>_xlfn.XLOOKUP(tblMovimientos[[#This Row],[Cuenta Bancaria]],Listas!$B:$B,Listas!$A:$A,"")</f>
        <v>A&amp;M Imports</v>
      </c>
      <c r="D333" s="42" t="s">
        <v>100</v>
      </c>
      <c r="E333" s="47" t="str">
        <f>_xlfn.XLOOKUP(tblMovimientos[[#This Row],[Cuenta Bancaria]],Listas!$B:$B,Listas!$C:$C,"")</f>
        <v>Bank of America</v>
      </c>
      <c r="F333" s="42" t="s">
        <v>10</v>
      </c>
      <c r="G333" s="42" t="s">
        <v>61</v>
      </c>
      <c r="H333" s="4" t="str">
        <f>IFERROR(_xlfn.XLOOKUP(G333,Listas!E:E,Listas!F:F,""),"")</f>
        <v>Operativo</v>
      </c>
      <c r="I333" s="47" t="str">
        <f>IFERROR(_xlfn.XLOOKUP(G333,Listas!E:E,Listas!G:G,""),"")</f>
        <v>Externo</v>
      </c>
      <c r="J333" s="44">
        <v>60000</v>
      </c>
      <c r="K333" s="48">
        <f t="shared" si="0"/>
        <v>-60000</v>
      </c>
      <c r="L333" s="15" t="s">
        <v>128</v>
      </c>
      <c r="M333" s="45">
        <f>SUMIFS('Saldos Iniciales'!$D$2:$D$38,'Saldos Iniciales'!$A$2:$A$38,C333,'Saldos Iniciales'!$B$2:$B$38,D333)+SUMIFS($K$1:$K$471,$C$1:$C$471,C333,$D$1:$D$471,D333,$B$1:$B$471,"&lt;="&amp;B333)</f>
        <v>503904.80999999982</v>
      </c>
      <c r="N333" s="68" t="str">
        <f>IF(tblMovimientos[[#This Row],[Tipo de Movimiento]]="Ingreso",tblMovimientos[[#This Row],[Monto (S/)]],"0")</f>
        <v>0</v>
      </c>
      <c r="O333" s="68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40">
        <v>46188</v>
      </c>
      <c r="C334" s="4" t="str">
        <f>_xlfn.XLOOKUP(tblMovimientos[[#This Row],[Cuenta Bancaria]],Listas!$B:$B,Listas!$A:$A,"")</f>
        <v>A&amp;M Imports</v>
      </c>
      <c r="D334" s="42" t="s">
        <v>100</v>
      </c>
      <c r="E334" s="4" t="str">
        <f>_xlfn.XLOOKUP(tblMovimientos[[#This Row],[Cuenta Bancaria]],Listas!$B:$B,Listas!$C:$C,"")</f>
        <v>Bank of America</v>
      </c>
      <c r="F334" s="42" t="s">
        <v>10</v>
      </c>
      <c r="G334" s="42" t="s">
        <v>44</v>
      </c>
      <c r="H334" s="4" t="str">
        <f>IFERROR(_xlfn.XLOOKUP(G334,Listas!E:E,Listas!F:F,""),"")</f>
        <v>Operativo</v>
      </c>
      <c r="I334" s="47" t="str">
        <f>IFERROR(_xlfn.XLOOKUP(G334,Listas!E:E,Listas!G:G,""),"")</f>
        <v>Externo</v>
      </c>
      <c r="J334" s="44">
        <v>721.4</v>
      </c>
      <c r="K334" s="48">
        <f t="shared" si="0"/>
        <v>-721.4</v>
      </c>
      <c r="L334" s="15" t="s">
        <v>128</v>
      </c>
      <c r="M334" s="45">
        <f>SUMIFS('Saldos Iniciales'!$D$2:$D$38,'Saldos Iniciales'!$A$2:$A$38,C334,'Saldos Iniciales'!$B$2:$B$38,D334)+SUMIFS($K$1:$K$471,$C$1:$C$471,C334,$D$1:$D$471,D334,$B$1:$B$471,"&lt;="&amp;B334)</f>
        <v>503904.80999999982</v>
      </c>
      <c r="N334" s="68" t="str">
        <f>IF(tblMovimientos[[#This Row],[Tipo de Movimiento]]="Ingreso",tblMovimientos[[#This Row],[Monto (S/)]],"0")</f>
        <v>0</v>
      </c>
      <c r="O334" s="68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40">
        <v>46188</v>
      </c>
      <c r="C335" s="4" t="str">
        <f>_xlfn.XLOOKUP(tblMovimientos[[#This Row],[Cuenta Bancaria]],Listas!$B:$B,Listas!$A:$A,"")</f>
        <v>CFT Group</v>
      </c>
      <c r="D335" s="42" t="s">
        <v>94</v>
      </c>
      <c r="E335" s="4" t="str">
        <f>_xlfn.XLOOKUP(tblMovimientos[[#This Row],[Cuenta Bancaria]],Listas!$B:$B,Listas!$C:$C,"")</f>
        <v>Bank of America</v>
      </c>
      <c r="F335" s="42" t="s">
        <v>10</v>
      </c>
      <c r="G335" s="42" t="s">
        <v>64</v>
      </c>
      <c r="H335" s="4" t="str">
        <f>IFERROR(_xlfn.XLOOKUP(G335,Listas!E:E,Listas!F:F,""),"")</f>
        <v>Operativo</v>
      </c>
      <c r="I335" s="47" t="str">
        <f>IFERROR(_xlfn.XLOOKUP(G335,Listas!E:E,Listas!G:G,""),"")</f>
        <v>Interno</v>
      </c>
      <c r="J335" s="44">
        <v>270000</v>
      </c>
      <c r="K335" s="48">
        <f t="shared" si="0"/>
        <v>-270000</v>
      </c>
      <c r="L335" s="15" t="s">
        <v>128</v>
      </c>
      <c r="M335" s="45">
        <f>SUMIFS('Saldos Iniciales'!$D$2:$D$38,'Saldos Iniciales'!$A$2:$A$38,C335,'Saldos Iniciales'!$B$2:$B$38,D335)+SUMIFS($K$1:$K$471,$C$1:$C$471,C335,$D$1:$D$471,D335,$B$1:$B$471,"&lt;="&amp;B335)</f>
        <v>11841.389999999985</v>
      </c>
      <c r="N335" s="68" t="str">
        <f>IF(tblMovimientos[[#This Row],[Tipo de Movimiento]]="Ingreso",tblMovimientos[[#This Row],[Monto (S/)]],"0")</f>
        <v>0</v>
      </c>
      <c r="O335" s="68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40">
        <v>46188</v>
      </c>
      <c r="C336" s="4" t="str">
        <f>_xlfn.XLOOKUP(tblMovimientos[[#This Row],[Cuenta Bancaria]],Listas!$B:$B,Listas!$A:$A,"")</f>
        <v>CFT Group</v>
      </c>
      <c r="D336" s="42" t="s">
        <v>94</v>
      </c>
      <c r="E336" s="4" t="str">
        <f>_xlfn.XLOOKUP(tblMovimientos[[#This Row],[Cuenta Bancaria]],Listas!$B:$B,Listas!$C:$C,"")</f>
        <v>Bank of America</v>
      </c>
      <c r="F336" s="42" t="s">
        <v>10</v>
      </c>
      <c r="G336" s="42" t="s">
        <v>62</v>
      </c>
      <c r="H336" s="4" t="str">
        <f>IFERROR(_xlfn.XLOOKUP(G336,Listas!E:E,Listas!F:F,""),"")</f>
        <v>Operativo</v>
      </c>
      <c r="I336" s="47" t="str">
        <f>IFERROR(_xlfn.XLOOKUP(G336,Listas!E:E,Listas!G:G,""),"")</f>
        <v>Interno</v>
      </c>
      <c r="J336" s="44">
        <v>12000</v>
      </c>
      <c r="K336" s="48">
        <f t="shared" si="0"/>
        <v>-12000</v>
      </c>
      <c r="L336" s="15" t="s">
        <v>128</v>
      </c>
      <c r="M336" s="45">
        <f>SUMIFS('Saldos Iniciales'!$D$2:$D$38,'Saldos Iniciales'!$A$2:$A$38,C336,'Saldos Iniciales'!$B$2:$B$38,D336)+SUMIFS($K$1:$K$471,$C$1:$C$471,C336,$D$1:$D$471,D336,$B$1:$B$471,"&lt;="&amp;B336)</f>
        <v>11841.389999999985</v>
      </c>
      <c r="N336" s="68" t="str">
        <f>IF(tblMovimientos[[#This Row],[Tipo de Movimiento]]="Ingreso",tblMovimientos[[#This Row],[Monto (S/)]],"0")</f>
        <v>0</v>
      </c>
      <c r="O336" s="68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40">
        <v>46188</v>
      </c>
      <c r="C337" s="4" t="str">
        <f>_xlfn.XLOOKUP(tblMovimientos[[#This Row],[Cuenta Bancaria]],Listas!$B:$B,Listas!$A:$A,"")</f>
        <v>CFT Group</v>
      </c>
      <c r="D337" s="42" t="s">
        <v>94</v>
      </c>
      <c r="E337" s="4" t="str">
        <f>_xlfn.XLOOKUP(tblMovimientos[[#This Row],[Cuenta Bancaria]],Listas!$B:$B,Listas!$C:$C,"")</f>
        <v>Bank of America</v>
      </c>
      <c r="F337" s="42" t="s">
        <v>10</v>
      </c>
      <c r="G337" s="42" t="s">
        <v>62</v>
      </c>
      <c r="H337" s="4" t="str">
        <f>IFERROR(_xlfn.XLOOKUP(G337,Listas!E:E,Listas!F:F,""),"")</f>
        <v>Operativo</v>
      </c>
      <c r="I337" s="47" t="str">
        <f>IFERROR(_xlfn.XLOOKUP(G337,Listas!E:E,Listas!G:G,""),"")</f>
        <v>Interno</v>
      </c>
      <c r="J337" s="44">
        <v>15000</v>
      </c>
      <c r="K337" s="48">
        <f t="shared" si="0"/>
        <v>-15000</v>
      </c>
      <c r="L337" s="15" t="s">
        <v>128</v>
      </c>
      <c r="M337" s="45">
        <f>SUMIFS('Saldos Iniciales'!$D$2:$D$38,'Saldos Iniciales'!$A$2:$A$38,C337,'Saldos Iniciales'!$B$2:$B$38,D337)+SUMIFS($K$1:$K$471,$C$1:$C$471,C337,$D$1:$D$471,D337,$B$1:$B$471,"&lt;="&amp;B337)</f>
        <v>11841.389999999985</v>
      </c>
      <c r="N337" s="68" t="str">
        <f>IF(tblMovimientos[[#This Row],[Tipo de Movimiento]]="Ingreso",tblMovimientos[[#This Row],[Monto (S/)]],"0")</f>
        <v>0</v>
      </c>
      <c r="O337" s="68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40">
        <v>46188</v>
      </c>
      <c r="C338" s="4" t="str">
        <f>_xlfn.XLOOKUP(tblMovimientos[[#This Row],[Cuenta Bancaria]],Listas!$B:$B,Listas!$A:$A,"")</f>
        <v>2515 Overbrook</v>
      </c>
      <c r="D338" s="42" t="s">
        <v>121</v>
      </c>
      <c r="E338" s="4" t="str">
        <f>_xlfn.XLOOKUP(tblMovimientos[[#This Row],[Cuenta Bancaria]],Listas!$B:$B,Listas!$C:$C,"")</f>
        <v>Bank of America</v>
      </c>
      <c r="F338" s="42" t="s">
        <v>9</v>
      </c>
      <c r="G338" s="42" t="s">
        <v>81</v>
      </c>
      <c r="H338" s="4" t="str">
        <f>IFERROR(_xlfn.XLOOKUP(G338,Listas!E:E,Listas!F:F,""),"")</f>
        <v>Operativo</v>
      </c>
      <c r="I338" s="47" t="str">
        <f>IFERROR(_xlfn.XLOOKUP(G338,Listas!E:E,Listas!G:G,""),"")</f>
        <v>Externo</v>
      </c>
      <c r="J338" s="44">
        <v>2000</v>
      </c>
      <c r="K338" s="48">
        <f t="shared" ref="K338:K369" si="1">IF(F338="Ingreso",J338,-J338)</f>
        <v>2000</v>
      </c>
      <c r="L338" s="15" t="s">
        <v>128</v>
      </c>
      <c r="M338" s="45">
        <f>SUMIFS('Saldos Iniciales'!$D$2:$D$38,'Saldos Iniciales'!$A$2:$A$38,C338,'Saldos Iniciales'!$B$2:$B$38,D338)+SUMIFS($K$1:$K$471,$C$1:$C$471,C338,$D$1:$D$471,D338,$B$1:$B$471,"&lt;="&amp;B338)</f>
        <v>29459.549999999963</v>
      </c>
      <c r="N338" s="68">
        <f>IF(tblMovimientos[[#This Row],[Tipo de Movimiento]]="Ingreso",tblMovimientos[[#This Row],[Monto (S/)]],"0")</f>
        <v>2000</v>
      </c>
      <c r="O338" s="68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40">
        <v>46188</v>
      </c>
      <c r="C339" s="4" t="str">
        <f>_xlfn.XLOOKUP(tblMovimientos[[#This Row],[Cuenta Bancaria]],Listas!$B:$B,Listas!$A:$A,"")</f>
        <v>3628 Thomas Ave</v>
      </c>
      <c r="D339" s="42" t="s">
        <v>124</v>
      </c>
      <c r="E339" s="4" t="str">
        <f>_xlfn.XLOOKUP(tblMovimientos[[#This Row],[Cuenta Bancaria]],Listas!$B:$B,Listas!$C:$C,"")</f>
        <v>Bank of America</v>
      </c>
      <c r="F339" s="42" t="s">
        <v>10</v>
      </c>
      <c r="G339" s="42" t="s">
        <v>38</v>
      </c>
      <c r="H339" s="4" t="str">
        <f>IFERROR(_xlfn.XLOOKUP(G339,Listas!E:E,Listas!F:F,""),"")</f>
        <v>Operativo</v>
      </c>
      <c r="I339" s="47" t="str">
        <f>IFERROR(_xlfn.XLOOKUP(G339,Listas!E:E,Listas!G:G,""),"")</f>
        <v>Externo</v>
      </c>
      <c r="J339" s="44">
        <v>4000</v>
      </c>
      <c r="K339" s="48">
        <f t="shared" si="1"/>
        <v>-4000</v>
      </c>
      <c r="L339" s="15" t="s">
        <v>128</v>
      </c>
      <c r="M339" s="45">
        <f>SUMIFS('Saldos Iniciales'!$D$2:$D$38,'Saldos Iniciales'!$A$2:$A$38,C339,'Saldos Iniciales'!$B$2:$B$38,D339)+SUMIFS($K$1:$K$471,$C$1:$C$471,C339,$D$1:$D$471,D339,$B$1:$B$471,"&lt;="&amp;B339)</f>
        <v>20484.849999999999</v>
      </c>
      <c r="N339" s="68" t="str">
        <f>IF(tblMovimientos[[#This Row],[Tipo de Movimiento]]="Ingreso",tblMovimientos[[#This Row],[Monto (S/)]],"0")</f>
        <v>0</v>
      </c>
      <c r="O339" s="68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40">
        <v>46188</v>
      </c>
      <c r="C340" s="4" t="str">
        <f>_xlfn.XLOOKUP(tblMovimientos[[#This Row],[Cuenta Bancaria]],Listas!$B:$B,Listas!$A:$A,"")</f>
        <v>SSP Capital</v>
      </c>
      <c r="D340" s="42" t="s">
        <v>106</v>
      </c>
      <c r="E340" s="4" t="str">
        <f>_xlfn.XLOOKUP(tblMovimientos[[#This Row],[Cuenta Bancaria]],Listas!$B:$B,Listas!$C:$C,"")</f>
        <v xml:space="preserve">Amerant Bank </v>
      </c>
      <c r="F340" s="42" t="s">
        <v>9</v>
      </c>
      <c r="G340" s="42" t="s">
        <v>85</v>
      </c>
      <c r="H340" s="4" t="str">
        <f>IFERROR(_xlfn.XLOOKUP(G340,Listas!E:E,Listas!F:F,""),"")</f>
        <v>Operativo</v>
      </c>
      <c r="I340" s="47" t="str">
        <f>IFERROR(_xlfn.XLOOKUP(G340,Listas!E:E,Listas!G:G,""),"")</f>
        <v>Interno</v>
      </c>
      <c r="J340" s="44">
        <v>54600</v>
      </c>
      <c r="K340" s="48">
        <f t="shared" si="1"/>
        <v>54600</v>
      </c>
      <c r="L340" s="15" t="s">
        <v>128</v>
      </c>
      <c r="M340" s="45">
        <f>SUMIFS('Saldos Iniciales'!$D$2:$D$38,'Saldos Iniciales'!$A$2:$A$38,C340,'Saldos Iniciales'!$B$2:$B$38,D340)+SUMIFS($K$1:$K$471,$C$1:$C$471,C340,$D$1:$D$471,D340,$B$1:$B$471,"&lt;="&amp;B340)</f>
        <v>804412.95</v>
      </c>
      <c r="N340" s="68">
        <f>IF(tblMovimientos[[#This Row],[Tipo de Movimiento]]="Ingreso",tblMovimientos[[#This Row],[Monto (S/)]],"0")</f>
        <v>54600</v>
      </c>
      <c r="O340" s="68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40">
        <v>46189</v>
      </c>
      <c r="C341" s="4" t="str">
        <f>_xlfn.XLOOKUP(tblMovimientos[[#This Row],[Cuenta Bancaria]],Listas!$B:$B,Listas!$A:$A,"")</f>
        <v>Go Blue</v>
      </c>
      <c r="D341" s="42" t="s">
        <v>126</v>
      </c>
      <c r="E341" s="4" t="str">
        <f>_xlfn.XLOOKUP(tblMovimientos[[#This Row],[Cuenta Bancaria]],Listas!$B:$B,Listas!$C:$C,"")</f>
        <v xml:space="preserve">Amerant Bank </v>
      </c>
      <c r="F341" s="42" t="s">
        <v>10</v>
      </c>
      <c r="G341" s="42" t="s">
        <v>38</v>
      </c>
      <c r="H341" s="4" t="str">
        <f>IFERROR(_xlfn.XLOOKUP(G341,Listas!E:E,Listas!F:F,""),"")</f>
        <v>Operativo</v>
      </c>
      <c r="I341" s="47" t="str">
        <f>IFERROR(_xlfn.XLOOKUP(G341,Listas!E:E,Listas!G:G,""),"")</f>
        <v>Externo</v>
      </c>
      <c r="J341" s="44">
        <v>522</v>
      </c>
      <c r="K341" s="48">
        <f t="shared" si="1"/>
        <v>-522</v>
      </c>
      <c r="L341" s="15" t="s">
        <v>128</v>
      </c>
      <c r="M341" s="45">
        <f>SUMIFS('Saldos Iniciales'!$D$2:$D$38,'Saldos Iniciales'!$A$2:$A$38,C341,'Saldos Iniciales'!$B$2:$B$38,D341)+SUMIFS($K$1:$K$471,$C$1:$C$471,C341,$D$1:$D$471,D341,$B$1:$B$471,"&lt;="&amp;B341)</f>
        <v>46041.01</v>
      </c>
      <c r="N341" s="68" t="str">
        <f>IF(tblMovimientos[[#This Row],[Tipo de Movimiento]]="Ingreso",tblMovimientos[[#This Row],[Monto (S/)]],"0")</f>
        <v>0</v>
      </c>
      <c r="O341" s="68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40">
        <v>46189</v>
      </c>
      <c r="C342" s="4" t="str">
        <f>_xlfn.XLOOKUP(tblMovimientos[[#This Row],[Cuenta Bancaria]],Listas!$B:$B,Listas!$A:$A,"")</f>
        <v>Go Blue</v>
      </c>
      <c r="D342" s="42" t="s">
        <v>126</v>
      </c>
      <c r="E342" s="4" t="str">
        <f>_xlfn.XLOOKUP(tblMovimientos[[#This Row],[Cuenta Bancaria]],Listas!$B:$B,Listas!$C:$C,"")</f>
        <v xml:space="preserve">Amerant Bank </v>
      </c>
      <c r="F342" s="42" t="s">
        <v>10</v>
      </c>
      <c r="G342" s="42" t="s">
        <v>38</v>
      </c>
      <c r="H342" s="4" t="str">
        <f>IFERROR(_xlfn.XLOOKUP(G342,Listas!E:E,Listas!F:F,""),"")</f>
        <v>Operativo</v>
      </c>
      <c r="I342" s="47" t="str">
        <f>IFERROR(_xlfn.XLOOKUP(G342,Listas!E:E,Listas!G:G,""),"")</f>
        <v>Externo</v>
      </c>
      <c r="J342" s="44">
        <v>2161.7199999999998</v>
      </c>
      <c r="K342" s="48">
        <f t="shared" si="1"/>
        <v>-2161.7199999999998</v>
      </c>
      <c r="L342" s="15" t="s">
        <v>128</v>
      </c>
      <c r="M342" s="45">
        <f>SUMIFS('Saldos Iniciales'!$D$2:$D$38,'Saldos Iniciales'!$A$2:$A$38,C342,'Saldos Iniciales'!$B$2:$B$38,D342)+SUMIFS($K$1:$K$471,$C$1:$C$471,C342,$D$1:$D$471,D342,$B$1:$B$471,"&lt;="&amp;B342)</f>
        <v>46041.01</v>
      </c>
      <c r="N342" s="68" t="str">
        <f>IF(tblMovimientos[[#This Row],[Tipo de Movimiento]]="Ingreso",tblMovimientos[[#This Row],[Monto (S/)]],"0")</f>
        <v>0</v>
      </c>
      <c r="O342" s="68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0">
        <v>46189</v>
      </c>
      <c r="C343" s="4" t="str">
        <f>_xlfn.XLOOKUP(tblMovimientos[[#This Row],[Cuenta Bancaria]],Listas!$B:$B,Listas!$A:$A,"")</f>
        <v>SSP Capital</v>
      </c>
      <c r="D343" s="42" t="s">
        <v>101</v>
      </c>
      <c r="E343" s="4" t="str">
        <f>_xlfn.XLOOKUP(tblMovimientos[[#This Row],[Cuenta Bancaria]],Listas!$B:$B,Listas!$C:$C,"")</f>
        <v>Bank of America</v>
      </c>
      <c r="F343" s="42" t="s">
        <v>10</v>
      </c>
      <c r="G343" s="42" t="s">
        <v>38</v>
      </c>
      <c r="H343" s="4" t="str">
        <f>IFERROR(_xlfn.XLOOKUP(G343,Listas!E:E,Listas!F:F,""),"")</f>
        <v>Operativo</v>
      </c>
      <c r="I343" s="47" t="str">
        <f>IFERROR(_xlfn.XLOOKUP(G343,Listas!E:E,Listas!G:G,""),"")</f>
        <v>Externo</v>
      </c>
      <c r="J343" s="44">
        <v>2490.36</v>
      </c>
      <c r="K343" s="48">
        <f t="shared" si="1"/>
        <v>-2490.36</v>
      </c>
      <c r="L343" s="15" t="s">
        <v>128</v>
      </c>
      <c r="M343" s="45">
        <f>SUMIFS('Saldos Iniciales'!$D$2:$D$38,'Saldos Iniciales'!$A$2:$A$38,C343,'Saldos Iniciales'!$B$2:$B$38,D343)+SUMIFS($K$1:$K$471,$C$1:$C$471,C343,$D$1:$D$471,D343,$B$1:$B$471,"&lt;="&amp;B343)</f>
        <v>12471.52</v>
      </c>
      <c r="N343" s="68" t="str">
        <f>IF(tblMovimientos[[#This Row],[Tipo de Movimiento]]="Ingreso",tblMovimientos[[#This Row],[Monto (S/)]],"0")</f>
        <v>0</v>
      </c>
      <c r="O343" s="68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6"/>
      <c r="B344" s="40">
        <v>46189</v>
      </c>
      <c r="C344" s="4" t="str">
        <f>_xlfn.XLOOKUP(tblMovimientos[[#This Row],[Cuenta Bancaria]],Listas!$B:$B,Listas!$A:$A,"")</f>
        <v>CFT Group</v>
      </c>
      <c r="D344" s="42" t="s">
        <v>94</v>
      </c>
      <c r="E344" s="47" t="str">
        <f>_xlfn.XLOOKUP(tblMovimientos[[#This Row],[Cuenta Bancaria]],Listas!$B:$B,Listas!$C:$C,"")</f>
        <v>Bank of America</v>
      </c>
      <c r="F344" s="42" t="s">
        <v>9</v>
      </c>
      <c r="G344" s="42" t="s">
        <v>72</v>
      </c>
      <c r="H344" s="47" t="str">
        <f>IFERROR(_xlfn.XLOOKUP(G344,Listas!E:E,Listas!F:F,""),"")</f>
        <v>Operativo</v>
      </c>
      <c r="I344" s="47" t="str">
        <f>IFERROR(_xlfn.XLOOKUP(G344,Listas!E:E,Listas!G:G,""),"")</f>
        <v>Externo</v>
      </c>
      <c r="J344" s="44">
        <v>100392.81</v>
      </c>
      <c r="K344" s="48">
        <f t="shared" si="1"/>
        <v>100392.81</v>
      </c>
      <c r="L344" s="15" t="s">
        <v>128</v>
      </c>
      <c r="M344" s="45">
        <f>SUMIFS('Saldos Iniciales'!$D$2:$D$38,'Saldos Iniciales'!$A$2:$A$38,C344,'Saldos Iniciales'!$B$2:$B$38,D344)+SUMIFS($K$1:$K$471,$C$1:$C$471,C344,$D$1:$D$471,D344,$B$1:$B$471,"&lt;="&amp;B344)</f>
        <v>112224.19999999998</v>
      </c>
      <c r="N344" s="68">
        <f>IF(tblMovimientos[[#This Row],[Tipo de Movimiento]]="Ingreso",tblMovimientos[[#This Row],[Monto (S/)]],"0")</f>
        <v>100392.81</v>
      </c>
      <c r="O344" s="68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40">
        <v>46189</v>
      </c>
      <c r="C345" s="4" t="str">
        <f>_xlfn.XLOOKUP(tblMovimientos[[#This Row],[Cuenta Bancaria]],Listas!$B:$B,Listas!$A:$A,"")</f>
        <v>CFT Group</v>
      </c>
      <c r="D345" s="42" t="s">
        <v>94</v>
      </c>
      <c r="E345" s="4" t="str">
        <f>_xlfn.XLOOKUP(tblMovimientos[[#This Row],[Cuenta Bancaria]],Listas!$B:$B,Listas!$C:$C,"")</f>
        <v>Bank of America</v>
      </c>
      <c r="F345" s="42" t="s">
        <v>10</v>
      </c>
      <c r="G345" s="42" t="s">
        <v>44</v>
      </c>
      <c r="H345" s="4" t="str">
        <f>IFERROR(_xlfn.XLOOKUP(G345,Listas!E:E,Listas!F:F,""),"")</f>
        <v>Operativo</v>
      </c>
      <c r="I345" s="47" t="str">
        <f>IFERROR(_xlfn.XLOOKUP(G345,Listas!E:E,Listas!G:G,""),"")</f>
        <v>Externo</v>
      </c>
      <c r="J345" s="44">
        <v>5</v>
      </c>
      <c r="K345" s="48">
        <f t="shared" si="1"/>
        <v>-5</v>
      </c>
      <c r="L345" s="15" t="s">
        <v>128</v>
      </c>
      <c r="M345" s="45">
        <f>SUMIFS('Saldos Iniciales'!$D$2:$D$38,'Saldos Iniciales'!$A$2:$A$38,C345,'Saldos Iniciales'!$B$2:$B$38,D345)+SUMIFS($K$1:$K$471,$C$1:$C$471,C345,$D$1:$D$471,D345,$B$1:$B$471,"&lt;="&amp;B345)</f>
        <v>112224.19999999998</v>
      </c>
      <c r="N345" s="68" t="str">
        <f>IF(tblMovimientos[[#This Row],[Tipo de Movimiento]]="Ingreso",tblMovimientos[[#This Row],[Monto (S/)]],"0")</f>
        <v>0</v>
      </c>
      <c r="O345" s="68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40">
        <v>46189</v>
      </c>
      <c r="C346" s="4" t="str">
        <f>_xlfn.XLOOKUP(tblMovimientos[[#This Row],[Cuenta Bancaria]],Listas!$B:$B,Listas!$A:$A,"")</f>
        <v>CFT Group</v>
      </c>
      <c r="D346" s="42" t="s">
        <v>94</v>
      </c>
      <c r="E346" s="4" t="str">
        <f>_xlfn.XLOOKUP(tblMovimientos[[#This Row],[Cuenta Bancaria]],Listas!$B:$B,Listas!$C:$C,"")</f>
        <v>Bank of America</v>
      </c>
      <c r="F346" s="42" t="s">
        <v>10</v>
      </c>
      <c r="G346" s="42" t="s">
        <v>44</v>
      </c>
      <c r="H346" s="4" t="str">
        <f>IFERROR(_xlfn.XLOOKUP(G346,Listas!E:E,Listas!F:F,""),"")</f>
        <v>Operativo</v>
      </c>
      <c r="I346" s="47" t="str">
        <f>IFERROR(_xlfn.XLOOKUP(G346,Listas!E:E,Listas!G:G,""),"")</f>
        <v>Externo</v>
      </c>
      <c r="J346" s="44">
        <v>5</v>
      </c>
      <c r="K346" s="48">
        <f t="shared" si="1"/>
        <v>-5</v>
      </c>
      <c r="L346" s="15" t="s">
        <v>128</v>
      </c>
      <c r="M346" s="45">
        <f>SUMIFS('Saldos Iniciales'!$D$2:$D$38,'Saldos Iniciales'!$A$2:$A$38,C346,'Saldos Iniciales'!$B$2:$B$38,D346)+SUMIFS($K$1:$K$471,$C$1:$C$471,C346,$D$1:$D$471,D346,$B$1:$B$471,"&lt;="&amp;B346)</f>
        <v>112224.19999999998</v>
      </c>
      <c r="N346" s="68" t="str">
        <f>IF(tblMovimientos[[#This Row],[Tipo de Movimiento]]="Ingreso",tblMovimientos[[#This Row],[Monto (S/)]],"0")</f>
        <v>0</v>
      </c>
      <c r="O346" s="68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40">
        <v>46189</v>
      </c>
      <c r="C347" s="4" t="str">
        <f>_xlfn.XLOOKUP(tblMovimientos[[#This Row],[Cuenta Bancaria]],Listas!$B:$B,Listas!$A:$A,"")</f>
        <v>112 Florida Ave</v>
      </c>
      <c r="D347" s="42" t="s">
        <v>123</v>
      </c>
      <c r="E347" s="4" t="str">
        <f>_xlfn.XLOOKUP(tblMovimientos[[#This Row],[Cuenta Bancaria]],Listas!$B:$B,Listas!$C:$C,"")</f>
        <v>Bank of America</v>
      </c>
      <c r="F347" s="42" t="s">
        <v>9</v>
      </c>
      <c r="G347" s="42" t="s">
        <v>75</v>
      </c>
      <c r="H347" s="4" t="str">
        <f>IFERROR(_xlfn.XLOOKUP(G347,Listas!E:E,Listas!F:F,""),"")</f>
        <v>Financiamiento</v>
      </c>
      <c r="I347" s="47" t="str">
        <f>IFERROR(_xlfn.XLOOKUP(G347,Listas!E:E,Listas!G:G,""),"")</f>
        <v>Interno</v>
      </c>
      <c r="J347" s="44">
        <v>15000</v>
      </c>
      <c r="K347" s="48">
        <f t="shared" si="1"/>
        <v>15000</v>
      </c>
      <c r="L347" s="15" t="s">
        <v>128</v>
      </c>
      <c r="M347" s="45">
        <f>SUMIFS('Saldos Iniciales'!$D$2:$D$38,'Saldos Iniciales'!$A$2:$A$38,C347,'Saldos Iniciales'!$B$2:$B$38,D347)+SUMIFS($K$1:$K$471,$C$1:$C$471,C347,$D$1:$D$471,D347,$B$1:$B$471,"&lt;="&amp;B347)</f>
        <v>20321.43</v>
      </c>
      <c r="N347" s="68">
        <f>IF(tblMovimientos[[#This Row],[Tipo de Movimiento]]="Ingreso",tblMovimientos[[#This Row],[Monto (S/)]],"0")</f>
        <v>15000</v>
      </c>
      <c r="O347" s="68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40">
        <v>46189</v>
      </c>
      <c r="C348" s="4" t="str">
        <f>_xlfn.XLOOKUP(tblMovimientos[[#This Row],[Cuenta Bancaria]],Listas!$B:$B,Listas!$A:$A,"")</f>
        <v>3628 Thomas Ave</v>
      </c>
      <c r="D348" s="42" t="s">
        <v>124</v>
      </c>
      <c r="E348" s="4" t="str">
        <f>_xlfn.XLOOKUP(tblMovimientos[[#This Row],[Cuenta Bancaria]],Listas!$B:$B,Listas!$C:$C,"")</f>
        <v>Bank of America</v>
      </c>
      <c r="F348" s="42" t="s">
        <v>10</v>
      </c>
      <c r="G348" s="42" t="s">
        <v>38</v>
      </c>
      <c r="H348" s="4" t="str">
        <f>IFERROR(_xlfn.XLOOKUP(G348,Listas!E:E,Listas!F:F,""),"")</f>
        <v>Operativo</v>
      </c>
      <c r="I348" s="47" t="str">
        <f>IFERROR(_xlfn.XLOOKUP(G348,Listas!E:E,Listas!G:G,""),"")</f>
        <v>Externo</v>
      </c>
      <c r="J348" s="44">
        <v>173.5</v>
      </c>
      <c r="K348" s="48">
        <f t="shared" si="1"/>
        <v>-173.5</v>
      </c>
      <c r="L348" s="15" t="s">
        <v>128</v>
      </c>
      <c r="M348" s="45">
        <f>SUMIFS('Saldos Iniciales'!$D$2:$D$38,'Saldos Iniciales'!$A$2:$A$38,C348,'Saldos Iniciales'!$B$2:$B$38,D348)+SUMIFS($K$1:$K$471,$C$1:$C$471,C348,$D$1:$D$471,D348,$B$1:$B$471,"&lt;="&amp;B348)</f>
        <v>19811.349999999999</v>
      </c>
      <c r="N348" s="68" t="str">
        <f>IF(tblMovimientos[[#This Row],[Tipo de Movimiento]]="Ingreso",tblMovimientos[[#This Row],[Monto (S/)]],"0")</f>
        <v>0</v>
      </c>
      <c r="O348" s="68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40">
        <v>46189</v>
      </c>
      <c r="C349" s="4" t="str">
        <f>_xlfn.XLOOKUP(tblMovimientos[[#This Row],[Cuenta Bancaria]],Listas!$B:$B,Listas!$A:$A,"")</f>
        <v>3628 Thomas Ave</v>
      </c>
      <c r="D349" s="42" t="s">
        <v>124</v>
      </c>
      <c r="E349" s="4" t="str">
        <f>_xlfn.XLOOKUP(tblMovimientos[[#This Row],[Cuenta Bancaria]],Listas!$B:$B,Listas!$C:$C,"")</f>
        <v>Bank of America</v>
      </c>
      <c r="F349" s="42" t="s">
        <v>10</v>
      </c>
      <c r="G349" s="42" t="s">
        <v>38</v>
      </c>
      <c r="H349" s="4" t="str">
        <f>IFERROR(_xlfn.XLOOKUP(G349,Listas!E:E,Listas!F:F,""),"")</f>
        <v>Operativo</v>
      </c>
      <c r="I349" s="47" t="str">
        <f>IFERROR(_xlfn.XLOOKUP(G349,Listas!E:E,Listas!G:G,""),"")</f>
        <v>Externo</v>
      </c>
      <c r="J349" s="44">
        <v>220</v>
      </c>
      <c r="K349" s="48">
        <f t="shared" si="1"/>
        <v>-220</v>
      </c>
      <c r="L349" s="15" t="s">
        <v>128</v>
      </c>
      <c r="M349" s="45">
        <f>SUMIFS('Saldos Iniciales'!$D$2:$D$38,'Saldos Iniciales'!$A$2:$A$38,C349,'Saldos Iniciales'!$B$2:$B$38,D349)+SUMIFS($K$1:$K$471,$C$1:$C$471,C349,$D$1:$D$471,D349,$B$1:$B$471,"&lt;="&amp;B349)</f>
        <v>19811.349999999999</v>
      </c>
      <c r="N349" s="68" t="str">
        <f>IF(tblMovimientos[[#This Row],[Tipo de Movimiento]]="Ingreso",tblMovimientos[[#This Row],[Monto (S/)]],"0")</f>
        <v>0</v>
      </c>
      <c r="O349" s="68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6"/>
      <c r="B350" s="40">
        <v>46189</v>
      </c>
      <c r="C350" s="4" t="str">
        <f>_xlfn.XLOOKUP(tblMovimientos[[#This Row],[Cuenta Bancaria]],Listas!$B:$B,Listas!$A:$A,"")</f>
        <v>3628 Thomas Ave</v>
      </c>
      <c r="D350" s="42" t="s">
        <v>124</v>
      </c>
      <c r="E350" s="4" t="str">
        <f>_xlfn.XLOOKUP(tblMovimientos[[#This Row],[Cuenta Bancaria]],Listas!$B:$B,Listas!$C:$C,"")</f>
        <v>Bank of America</v>
      </c>
      <c r="F350" s="42" t="s">
        <v>10</v>
      </c>
      <c r="G350" s="42" t="s">
        <v>38</v>
      </c>
      <c r="H350" s="47" t="str">
        <f>IFERROR(_xlfn.XLOOKUP(G350,Listas!E:E,Listas!F:F,""),"")</f>
        <v>Operativo</v>
      </c>
      <c r="I350" s="47" t="str">
        <f>IFERROR(_xlfn.XLOOKUP(G350,Listas!E:E,Listas!G:G,""),"")</f>
        <v>Externo</v>
      </c>
      <c r="J350" s="44">
        <v>80</v>
      </c>
      <c r="K350" s="48">
        <f t="shared" si="1"/>
        <v>-80</v>
      </c>
      <c r="L350" s="15" t="s">
        <v>128</v>
      </c>
      <c r="M350" s="45">
        <f>SUMIFS('Saldos Iniciales'!$D$2:$D$38,'Saldos Iniciales'!$A$2:$A$38,C350,'Saldos Iniciales'!$B$2:$B$38,D350)+SUMIFS($K$1:$K$471,$C$1:$C$471,C350,$D$1:$D$471,D350,$B$1:$B$471,"&lt;="&amp;B350)</f>
        <v>19811.349999999999</v>
      </c>
      <c r="N350" s="68" t="str">
        <f>IF(tblMovimientos[[#This Row],[Tipo de Movimiento]]="Ingreso",tblMovimientos[[#This Row],[Monto (S/)]],"0")</f>
        <v>0</v>
      </c>
      <c r="O350" s="68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40">
        <v>46189</v>
      </c>
      <c r="C351" s="4" t="str">
        <f>_xlfn.XLOOKUP(tblMovimientos[[#This Row],[Cuenta Bancaria]],Listas!$B:$B,Listas!$A:$A,"")</f>
        <v>3628 Thomas Ave</v>
      </c>
      <c r="D351" s="42" t="s">
        <v>124</v>
      </c>
      <c r="E351" s="4" t="str">
        <f>_xlfn.XLOOKUP(tblMovimientos[[#This Row],[Cuenta Bancaria]],Listas!$B:$B,Listas!$C:$C,"")</f>
        <v>Bank of America</v>
      </c>
      <c r="F351" s="42" t="s">
        <v>10</v>
      </c>
      <c r="G351" s="42" t="s">
        <v>38</v>
      </c>
      <c r="H351" s="4" t="str">
        <f>IFERROR(_xlfn.XLOOKUP(G351,Listas!E:E,Listas!F:F,""),"")</f>
        <v>Operativo</v>
      </c>
      <c r="I351" s="47" t="str">
        <f>IFERROR(_xlfn.XLOOKUP(G351,Listas!E:E,Listas!G:G,""),"")</f>
        <v>Externo</v>
      </c>
      <c r="J351" s="44">
        <v>200</v>
      </c>
      <c r="K351" s="48">
        <f t="shared" si="1"/>
        <v>-200</v>
      </c>
      <c r="L351" s="15" t="s">
        <v>128</v>
      </c>
      <c r="M351" s="45">
        <f>SUMIFS('Saldos Iniciales'!$D$2:$D$38,'Saldos Iniciales'!$A$2:$A$38,C351,'Saldos Iniciales'!$B$2:$B$38,D351)+SUMIFS($K$1:$K$471,$C$1:$C$471,C351,$D$1:$D$471,D351,$B$1:$B$471,"&lt;="&amp;B351)</f>
        <v>19811.349999999999</v>
      </c>
      <c r="N351" s="68" t="str">
        <f>IF(tblMovimientos[[#This Row],[Tipo de Movimiento]]="Ingreso",tblMovimientos[[#This Row],[Monto (S/)]],"0")</f>
        <v>0</v>
      </c>
      <c r="O351" s="68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6"/>
      <c r="B352" s="40">
        <v>46190</v>
      </c>
      <c r="C352" s="4" t="str">
        <f>_xlfn.XLOOKUP(tblMovimientos[[#This Row],[Cuenta Bancaria]],Listas!$B:$B,Listas!$A:$A,"")</f>
        <v>Go Blue</v>
      </c>
      <c r="D352" s="42" t="s">
        <v>126</v>
      </c>
      <c r="E352" s="47" t="str">
        <f>_xlfn.XLOOKUP(tblMovimientos[[#This Row],[Cuenta Bancaria]],Listas!$B:$B,Listas!$C:$C,"")</f>
        <v xml:space="preserve">Amerant Bank </v>
      </c>
      <c r="F352" s="42" t="s">
        <v>10</v>
      </c>
      <c r="G352" s="42" t="s">
        <v>38</v>
      </c>
      <c r="H352" s="47" t="str">
        <f>IFERROR(_xlfn.XLOOKUP(G352,Listas!E:E,Listas!F:F,""),"")</f>
        <v>Operativo</v>
      </c>
      <c r="I352" s="47" t="str">
        <f>IFERROR(_xlfn.XLOOKUP(G352,Listas!E:E,Listas!G:G,""),"")</f>
        <v>Externo</v>
      </c>
      <c r="J352" s="44">
        <v>1000</v>
      </c>
      <c r="K352" s="48">
        <f t="shared" si="1"/>
        <v>-1000</v>
      </c>
      <c r="L352" s="15" t="s">
        <v>128</v>
      </c>
      <c r="M352" s="45">
        <f>SUMIFS('Saldos Iniciales'!$D$2:$D$38,'Saldos Iniciales'!$A$2:$A$38,C352,'Saldos Iniciales'!$B$2:$B$38,D352)+SUMIFS($K$1:$K$471,$C$1:$C$471,C352,$D$1:$D$471,D352,$B$1:$B$471,"&lt;="&amp;B352)</f>
        <v>45041.01</v>
      </c>
      <c r="N352" s="68" t="str">
        <f>IF(tblMovimientos[[#This Row],[Tipo de Movimiento]]="Ingreso",tblMovimientos[[#This Row],[Monto (S/)]],"0")</f>
        <v>0</v>
      </c>
      <c r="O352" s="68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40">
        <v>46190</v>
      </c>
      <c r="C353" s="4" t="str">
        <f>_xlfn.XLOOKUP(tblMovimientos[[#This Row],[Cuenta Bancaria]],Listas!$B:$B,Listas!$A:$A,"")</f>
        <v>SSP Capital</v>
      </c>
      <c r="D353" s="42" t="s">
        <v>101</v>
      </c>
      <c r="E353" s="4" t="str">
        <f>_xlfn.XLOOKUP(tblMovimientos[[#This Row],[Cuenta Bancaria]],Listas!$B:$B,Listas!$C:$C,"")</f>
        <v>Bank of America</v>
      </c>
      <c r="F353" s="42" t="s">
        <v>10</v>
      </c>
      <c r="G353" s="42" t="s">
        <v>38</v>
      </c>
      <c r="H353" s="4" t="str">
        <f>IFERROR(_xlfn.XLOOKUP(G353,Listas!E:E,Listas!F:F,""),"")</f>
        <v>Operativo</v>
      </c>
      <c r="I353" s="47" t="str">
        <f>IFERROR(_xlfn.XLOOKUP(G353,Listas!E:E,Listas!G:G,""),"")</f>
        <v>Externo</v>
      </c>
      <c r="J353" s="44">
        <v>2383.4899999999998</v>
      </c>
      <c r="K353" s="48">
        <f t="shared" si="1"/>
        <v>-2383.4899999999998</v>
      </c>
      <c r="L353" s="15" t="s">
        <v>128</v>
      </c>
      <c r="M353" s="45">
        <f>SUMIFS('Saldos Iniciales'!$D$2:$D$38,'Saldos Iniciales'!$A$2:$A$38,C353,'Saldos Iniciales'!$B$2:$B$38,D353)+SUMIFS($K$1:$K$471,$C$1:$C$471,C353,$D$1:$D$471,D353,$B$1:$B$471,"&lt;="&amp;B353)</f>
        <v>10088.029999999999</v>
      </c>
      <c r="N353" s="68" t="str">
        <f>IF(tblMovimientos[[#This Row],[Tipo de Movimiento]]="Ingreso",tblMovimientos[[#This Row],[Monto (S/)]],"0")</f>
        <v>0</v>
      </c>
      <c r="O353" s="68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0">
        <v>46190</v>
      </c>
      <c r="C354" s="4" t="str">
        <f>_xlfn.XLOOKUP(tblMovimientos[[#This Row],[Cuenta Bancaria]],Listas!$B:$B,Listas!$A:$A,"")</f>
        <v>CFT Group</v>
      </c>
      <c r="D354" s="42" t="s">
        <v>94</v>
      </c>
      <c r="E354" s="4" t="str">
        <f>_xlfn.XLOOKUP(tblMovimientos[[#This Row],[Cuenta Bancaria]],Listas!$B:$B,Listas!$C:$C,"")</f>
        <v>Bank of America</v>
      </c>
      <c r="F354" s="42" t="s">
        <v>9</v>
      </c>
      <c r="G354" s="42" t="s">
        <v>75</v>
      </c>
      <c r="H354" s="4" t="str">
        <f>IFERROR(_xlfn.XLOOKUP(G354,Listas!E:E,Listas!F:F,""),"")</f>
        <v>Financiamiento</v>
      </c>
      <c r="I354" s="47" t="str">
        <f>IFERROR(_xlfn.XLOOKUP(G354,Listas!E:E,Listas!G:G,""),"")</f>
        <v>Interno</v>
      </c>
      <c r="J354" s="44">
        <v>12000</v>
      </c>
      <c r="K354" s="48">
        <f t="shared" si="1"/>
        <v>12000</v>
      </c>
      <c r="L354" s="15" t="s">
        <v>128</v>
      </c>
      <c r="M354" s="45">
        <f>SUMIFS('Saldos Iniciales'!$D$2:$D$38,'Saldos Iniciales'!$A$2:$A$38,C354,'Saldos Iniciales'!$B$2:$B$38,D354)+SUMIFS($K$1:$K$471,$C$1:$C$471,C354,$D$1:$D$471,D354,$B$1:$B$471,"&lt;="&amp;B354)</f>
        <v>124224.19999999998</v>
      </c>
      <c r="N354" s="68">
        <f>IF(tblMovimientos[[#This Row],[Tipo de Movimiento]]="Ingreso",tblMovimientos[[#This Row],[Monto (S/)]],"0")</f>
        <v>12000</v>
      </c>
      <c r="O354" s="68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40">
        <v>46190</v>
      </c>
      <c r="C355" s="4" t="str">
        <f>_xlfn.XLOOKUP(tblMovimientos[[#This Row],[Cuenta Bancaria]],Listas!$B:$B,Listas!$A:$A,"")</f>
        <v>3628 Thomas Ave</v>
      </c>
      <c r="D355" s="42" t="s">
        <v>124</v>
      </c>
      <c r="E355" s="4" t="str">
        <f>_xlfn.XLOOKUP(tblMovimientos[[#This Row],[Cuenta Bancaria]],Listas!$B:$B,Listas!$C:$C,"")</f>
        <v>Bank of America</v>
      </c>
      <c r="F355" s="42" t="s">
        <v>10</v>
      </c>
      <c r="G355" s="42" t="s">
        <v>38</v>
      </c>
      <c r="H355" s="4" t="str">
        <f>IFERROR(_xlfn.XLOOKUP(G355,Listas!E:E,Listas!F:F,""),"")</f>
        <v>Operativo</v>
      </c>
      <c r="I355" s="47" t="str">
        <f>IFERROR(_xlfn.XLOOKUP(G355,Listas!E:E,Listas!G:G,""),"")</f>
        <v>Externo</v>
      </c>
      <c r="J355" s="44">
        <v>2200</v>
      </c>
      <c r="K355" s="48">
        <f t="shared" si="1"/>
        <v>-2200</v>
      </c>
      <c r="L355" s="15" t="s">
        <v>128</v>
      </c>
      <c r="M355" s="45">
        <f>SUMIFS('Saldos Iniciales'!$D$2:$D$38,'Saldos Iniciales'!$A$2:$A$38,C355,'Saldos Iniciales'!$B$2:$B$38,D355)+SUMIFS($K$1:$K$471,$C$1:$C$471,C355,$D$1:$D$471,D355,$B$1:$B$471,"&lt;="&amp;B355)</f>
        <v>16681.349999999999</v>
      </c>
      <c r="N355" s="68" t="str">
        <f>IF(tblMovimientos[[#This Row],[Tipo de Movimiento]]="Ingreso",tblMovimientos[[#This Row],[Monto (S/)]],"0")</f>
        <v>0</v>
      </c>
      <c r="O355" s="68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40">
        <v>46190</v>
      </c>
      <c r="C356" s="4" t="str">
        <f>_xlfn.XLOOKUP(tblMovimientos[[#This Row],[Cuenta Bancaria]],Listas!$B:$B,Listas!$A:$A,"")</f>
        <v>3628 Thomas Ave</v>
      </c>
      <c r="D356" s="42" t="s">
        <v>124</v>
      </c>
      <c r="E356" s="4" t="str">
        <f>_xlfn.XLOOKUP(tblMovimientos[[#This Row],[Cuenta Bancaria]],Listas!$B:$B,Listas!$C:$C,"")</f>
        <v>Bank of America</v>
      </c>
      <c r="F356" s="42" t="s">
        <v>10</v>
      </c>
      <c r="G356" s="42" t="s">
        <v>38</v>
      </c>
      <c r="H356" s="4" t="str">
        <f>IFERROR(_xlfn.XLOOKUP(G356,Listas!E:E,Listas!F:F,""),"")</f>
        <v>Operativo</v>
      </c>
      <c r="I356" s="47" t="str">
        <f>IFERROR(_xlfn.XLOOKUP(G356,Listas!E:E,Listas!G:G,""),"")</f>
        <v>Externo</v>
      </c>
      <c r="J356" s="44">
        <v>900</v>
      </c>
      <c r="K356" s="48">
        <f t="shared" si="1"/>
        <v>-900</v>
      </c>
      <c r="L356" s="15" t="s">
        <v>128</v>
      </c>
      <c r="M356" s="45">
        <f>SUMIFS('Saldos Iniciales'!$D$2:$D$38,'Saldos Iniciales'!$A$2:$A$38,C356,'Saldos Iniciales'!$B$2:$B$38,D356)+SUMIFS($K$1:$K$471,$C$1:$C$471,C356,$D$1:$D$471,D356,$B$1:$B$471,"&lt;="&amp;B356)</f>
        <v>16681.349999999999</v>
      </c>
      <c r="N356" s="68" t="str">
        <f>IF(tblMovimientos[[#This Row],[Tipo de Movimiento]]="Ingreso",tblMovimientos[[#This Row],[Monto (S/)]],"0")</f>
        <v>0</v>
      </c>
      <c r="O356" s="68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40">
        <v>46190</v>
      </c>
      <c r="C357" s="4" t="str">
        <f>_xlfn.XLOOKUP(tblMovimientos[[#This Row],[Cuenta Bancaria]],Listas!$B:$B,Listas!$A:$A,"")</f>
        <v>3628 Thomas Ave</v>
      </c>
      <c r="D357" s="42" t="s">
        <v>124</v>
      </c>
      <c r="E357" s="4" t="str">
        <f>_xlfn.XLOOKUP(tblMovimientos[[#This Row],[Cuenta Bancaria]],Listas!$B:$B,Listas!$C:$C,"")</f>
        <v>Bank of America</v>
      </c>
      <c r="F357" s="42" t="s">
        <v>10</v>
      </c>
      <c r="G357" s="42" t="s">
        <v>44</v>
      </c>
      <c r="H357" s="4" t="str">
        <f>IFERROR(_xlfn.XLOOKUP(G357,Listas!E:E,Listas!F:F,""),"")</f>
        <v>Operativo</v>
      </c>
      <c r="I357" s="47" t="str">
        <f>IFERROR(_xlfn.XLOOKUP(G357,Listas!E:E,Listas!G:G,""),"")</f>
        <v>Externo</v>
      </c>
      <c r="J357" s="44">
        <v>30</v>
      </c>
      <c r="K357" s="48">
        <f t="shared" si="1"/>
        <v>-30</v>
      </c>
      <c r="L357" s="15" t="s">
        <v>128</v>
      </c>
      <c r="M357" s="45">
        <f>SUMIFS('Saldos Iniciales'!$D$2:$D$38,'Saldos Iniciales'!$A$2:$A$38,C357,'Saldos Iniciales'!$B$2:$B$38,D357)+SUMIFS($K$1:$K$471,$C$1:$C$471,C357,$D$1:$D$471,D357,$B$1:$B$471,"&lt;="&amp;B357)</f>
        <v>16681.349999999999</v>
      </c>
      <c r="N357" s="68" t="str">
        <f>IF(tblMovimientos[[#This Row],[Tipo de Movimiento]]="Ingreso",tblMovimientos[[#This Row],[Monto (S/)]],"0")</f>
        <v>0</v>
      </c>
      <c r="O357" s="68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40">
        <v>46191</v>
      </c>
      <c r="C358" s="4" t="str">
        <f>_xlfn.XLOOKUP(tblMovimientos[[#This Row],[Cuenta Bancaria]],Listas!$B:$B,Listas!$A:$A,"")</f>
        <v>SSP Capital</v>
      </c>
      <c r="D358" s="42" t="s">
        <v>102</v>
      </c>
      <c r="E358" s="4" t="str">
        <f>_xlfn.XLOOKUP(tblMovimientos[[#This Row],[Cuenta Bancaria]],Listas!$B:$B,Listas!$C:$C,"")</f>
        <v>Bank of America</v>
      </c>
      <c r="F358" s="42" t="s">
        <v>10</v>
      </c>
      <c r="G358" s="42" t="s">
        <v>38</v>
      </c>
      <c r="H358" s="4" t="str">
        <f>IFERROR(_xlfn.XLOOKUP(G358,Listas!E:E,Listas!F:F,""),"")</f>
        <v>Operativo</v>
      </c>
      <c r="I358" s="47" t="str">
        <f>IFERROR(_xlfn.XLOOKUP(G358,Listas!E:E,Listas!G:G,""),"")</f>
        <v>Externo</v>
      </c>
      <c r="J358" s="44">
        <v>166.66</v>
      </c>
      <c r="K358" s="48">
        <f t="shared" si="1"/>
        <v>-166.66</v>
      </c>
      <c r="L358" s="15" t="s">
        <v>128</v>
      </c>
      <c r="M358" s="45">
        <f>SUMIFS('Saldos Iniciales'!$D$2:$D$38,'Saldos Iniciales'!$A$2:$A$38,C358,'Saldos Iniciales'!$B$2:$B$38,D358)+SUMIFS($K$1:$K$471,$C$1:$C$471,C358,$D$1:$D$471,D358,$B$1:$B$471,"&lt;="&amp;B358)</f>
        <v>366.92000000000007</v>
      </c>
      <c r="N358" s="68" t="str">
        <f>IF(tblMovimientos[[#This Row],[Tipo de Movimiento]]="Ingreso",tblMovimientos[[#This Row],[Monto (S/)]],"0")</f>
        <v>0</v>
      </c>
      <c r="O358" s="68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40">
        <v>46195</v>
      </c>
      <c r="C359" s="4" t="str">
        <f>_xlfn.XLOOKUP(tblMovimientos[[#This Row],[Cuenta Bancaria]],Listas!$B:$B,Listas!$A:$A,"")</f>
        <v>SSP Capital</v>
      </c>
      <c r="D359" s="42" t="s">
        <v>101</v>
      </c>
      <c r="E359" s="57" t="str">
        <f>_xlfn.XLOOKUP(tblMovimientos[[#This Row],[Cuenta Bancaria]],Listas!$B:$B,Listas!$C:$C,"")</f>
        <v>Bank of America</v>
      </c>
      <c r="F359" s="42" t="s">
        <v>10</v>
      </c>
      <c r="G359" s="42" t="s">
        <v>38</v>
      </c>
      <c r="H359" s="4" t="str">
        <f>IFERROR(_xlfn.XLOOKUP(G359,Listas!E:E,Listas!F:F,""),"")</f>
        <v>Operativo</v>
      </c>
      <c r="I359" s="47" t="str">
        <f>IFERROR(_xlfn.XLOOKUP(G359,Listas!E:E,Listas!G:G,""),"")</f>
        <v>Externo</v>
      </c>
      <c r="J359" s="44">
        <v>737.04</v>
      </c>
      <c r="K359" s="48">
        <f t="shared" si="1"/>
        <v>-737.04</v>
      </c>
      <c r="L359" s="15" t="s">
        <v>128</v>
      </c>
      <c r="M359" s="45">
        <f>SUMIFS('Saldos Iniciales'!$D$2:$D$38,'Saldos Iniciales'!$A$2:$A$38,C359,'Saldos Iniciales'!$B$2:$B$38,D359)+SUMIFS($K$1:$K$471,$C$1:$C$471,C359,$D$1:$D$471,D359,$B$1:$B$471,"&lt;="&amp;B359)</f>
        <v>9259.99</v>
      </c>
      <c r="N359" s="68" t="str">
        <f>IF(tblMovimientos[[#This Row],[Tipo de Movimiento]]="Ingreso",tblMovimientos[[#This Row],[Monto (S/)]],"0")</f>
        <v>0</v>
      </c>
      <c r="O359" s="68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40">
        <v>46195</v>
      </c>
      <c r="C360" s="4" t="str">
        <f>_xlfn.XLOOKUP(tblMovimientos[[#This Row],[Cuenta Bancaria]],Listas!$B:$B,Listas!$A:$A,"")</f>
        <v>SSP Capital</v>
      </c>
      <c r="D360" s="42" t="s">
        <v>101</v>
      </c>
      <c r="E360" s="57" t="str">
        <f>_xlfn.XLOOKUP(tblMovimientos[[#This Row],[Cuenta Bancaria]],Listas!$B:$B,Listas!$C:$C,"")</f>
        <v>Bank of America</v>
      </c>
      <c r="F360" s="42" t="s">
        <v>10</v>
      </c>
      <c r="G360" s="42" t="s">
        <v>41</v>
      </c>
      <c r="H360" s="4" t="str">
        <f>IFERROR(_xlfn.XLOOKUP(G360,Listas!E:E,Listas!F:F,""),"")</f>
        <v>Operativo</v>
      </c>
      <c r="I360" s="47" t="str">
        <f>IFERROR(_xlfn.XLOOKUP(G360,Listas!E:E,Listas!G:G,""),"")</f>
        <v>Externo</v>
      </c>
      <c r="J360" s="44">
        <v>91</v>
      </c>
      <c r="K360" s="5">
        <f t="shared" si="1"/>
        <v>-91</v>
      </c>
      <c r="L360" s="15" t="s">
        <v>128</v>
      </c>
      <c r="M360" s="45">
        <f>SUMIFS('Saldos Iniciales'!$D$2:$D$38,'Saldos Iniciales'!$A$2:$A$38,C360,'Saldos Iniciales'!$B$2:$B$38,D360)+SUMIFS($K$1:$K$471,$C$1:$C$471,C360,$D$1:$D$471,D360,$B$1:$B$471,"&lt;="&amp;B360)</f>
        <v>9259.99</v>
      </c>
      <c r="N360" s="68" t="str">
        <f>IF(tblMovimientos[[#This Row],[Tipo de Movimiento]]="Ingreso",tblMovimientos[[#This Row],[Monto (S/)]],"0")</f>
        <v>0</v>
      </c>
      <c r="O360" s="68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40">
        <v>46195</v>
      </c>
      <c r="C361" s="4" t="str">
        <f>_xlfn.XLOOKUP(tblMovimientos[[#This Row],[Cuenta Bancaria]],Listas!$B:$B,Listas!$A:$A,"")</f>
        <v>2515 Overbrook</v>
      </c>
      <c r="D361" s="42" t="s">
        <v>121</v>
      </c>
      <c r="E361" s="57" t="str">
        <f>_xlfn.XLOOKUP(tblMovimientos[[#This Row],[Cuenta Bancaria]],Listas!$B:$B,Listas!$C:$C,"")</f>
        <v>Bank of America</v>
      </c>
      <c r="F361" s="42" t="s">
        <v>9</v>
      </c>
      <c r="G361" s="42" t="s">
        <v>81</v>
      </c>
      <c r="H361" s="4" t="str">
        <f>IFERROR(_xlfn.XLOOKUP(G361,Listas!E:E,Listas!F:F,""),"")</f>
        <v>Operativo</v>
      </c>
      <c r="I361" s="47" t="str">
        <f>IFERROR(_xlfn.XLOOKUP(G361,Listas!E:E,Listas!G:G,""),"")</f>
        <v>Externo</v>
      </c>
      <c r="J361" s="44">
        <v>1250</v>
      </c>
      <c r="K361" s="5">
        <f t="shared" si="1"/>
        <v>1250</v>
      </c>
      <c r="L361" s="15" t="s">
        <v>128</v>
      </c>
      <c r="M361" s="45">
        <f>SUMIFS('Saldos Iniciales'!$D$2:$D$38,'Saldos Iniciales'!$A$2:$A$38,C361,'Saldos Iniciales'!$B$2:$B$38,D361)+SUMIFS($K$1:$K$471,$C$1:$C$471,C361,$D$1:$D$471,D361,$B$1:$B$471,"&lt;="&amp;B361)</f>
        <v>30709.549999999963</v>
      </c>
      <c r="N361" s="68">
        <f>IF(tblMovimientos[[#This Row],[Tipo de Movimiento]]="Ingreso",tblMovimientos[[#This Row],[Monto (S/)]],"0")</f>
        <v>1250</v>
      </c>
      <c r="O361" s="68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40">
        <v>46195</v>
      </c>
      <c r="C362" s="4" t="str">
        <f>_xlfn.XLOOKUP(tblMovimientos[[#This Row],[Cuenta Bancaria]],Listas!$B:$B,Listas!$A:$A,"")</f>
        <v>CFT Group</v>
      </c>
      <c r="D362" s="42" t="s">
        <v>95</v>
      </c>
      <c r="E362" s="57" t="str">
        <f>_xlfn.XLOOKUP(tblMovimientos[[#This Row],[Cuenta Bancaria]],Listas!$B:$B,Listas!$C:$C,"")</f>
        <v xml:space="preserve">Amerant Bank </v>
      </c>
      <c r="F362" s="42" t="s">
        <v>9</v>
      </c>
      <c r="G362" s="42" t="s">
        <v>72</v>
      </c>
      <c r="H362" s="4" t="str">
        <f>IFERROR(_xlfn.XLOOKUP(G362,Listas!E:E,Listas!F:F,""),"")</f>
        <v>Operativo</v>
      </c>
      <c r="I362" s="47" t="str">
        <f>IFERROR(_xlfn.XLOOKUP(G362,Listas!E:E,Listas!G:G,""),"")</f>
        <v>Externo</v>
      </c>
      <c r="J362" s="44">
        <v>114973.39</v>
      </c>
      <c r="K362" s="5">
        <f t="shared" si="1"/>
        <v>114973.39</v>
      </c>
      <c r="L362" s="15" t="s">
        <v>128</v>
      </c>
      <c r="M362" s="45">
        <f>SUMIFS('Saldos Iniciales'!$D$2:$D$38,'Saldos Iniciales'!$A$2:$A$38,C362,'Saldos Iniciales'!$B$2:$B$38,D362)+SUMIFS($K$1:$K$471,$C$1:$C$471,C362,$D$1:$D$471,D362,$B$1:$B$471,"&lt;="&amp;B362)</f>
        <v>7483851.9100000001</v>
      </c>
      <c r="N362" s="68">
        <f>IF(tblMovimientos[[#This Row],[Tipo de Movimiento]]="Ingreso",tblMovimientos[[#This Row],[Monto (S/)]],"0")</f>
        <v>114973.39</v>
      </c>
      <c r="O362" s="68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6"/>
      <c r="B363" s="40">
        <v>46195</v>
      </c>
      <c r="C363" s="47" t="str">
        <f>_xlfn.XLOOKUP(tblMovimientos[[#This Row],[Cuenta Bancaria]],Listas!$B:$B,Listas!$A:$A,"")</f>
        <v>CFT Group</v>
      </c>
      <c r="D363" s="42" t="s">
        <v>95</v>
      </c>
      <c r="E363" s="58" t="str">
        <f>_xlfn.XLOOKUP(tblMovimientos[[#This Row],[Cuenta Bancaria]],Listas!$B:$B,Listas!$C:$C,"")</f>
        <v xml:space="preserve">Amerant Bank </v>
      </c>
      <c r="F363" s="42" t="s">
        <v>9</v>
      </c>
      <c r="G363" s="42" t="s">
        <v>72</v>
      </c>
      <c r="H363" s="47" t="str">
        <f>IFERROR(_xlfn.XLOOKUP(G363,Listas!E:E,Listas!F:F,""),"")</f>
        <v>Operativo</v>
      </c>
      <c r="I363" s="47" t="str">
        <f>IFERROR(_xlfn.XLOOKUP(G363,Listas!E:E,Listas!G:G,""),"")</f>
        <v>Externo</v>
      </c>
      <c r="J363" s="44">
        <v>6400000</v>
      </c>
      <c r="K363" s="48">
        <f t="shared" si="1"/>
        <v>6400000</v>
      </c>
      <c r="L363" s="15" t="s">
        <v>128</v>
      </c>
      <c r="M363" s="59">
        <f>SUMIFS('Saldos Iniciales'!$D$2:$D$38,'Saldos Iniciales'!$A$2:$A$38,C363,'Saldos Iniciales'!$B$2:$B$38,D363)+SUMIFS($K$1:$K$471,$C$1:$C$471,C363,$D$1:$D$471,D363,$B$1:$B$471,"&lt;="&amp;B363)</f>
        <v>7483851.9100000001</v>
      </c>
      <c r="N363" s="68">
        <f>IF(tblMovimientos[[#This Row],[Tipo de Movimiento]]="Ingreso",tblMovimientos[[#This Row],[Monto (S/)]],"0")</f>
        <v>6400000</v>
      </c>
      <c r="O363" s="68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6"/>
      <c r="B364" s="40">
        <v>46195</v>
      </c>
      <c r="C364" s="47" t="str">
        <f>_xlfn.XLOOKUP(tblMovimientos[[#This Row],[Cuenta Bancaria]],Listas!$B:$B,Listas!$A:$A,"")</f>
        <v>Go Blue</v>
      </c>
      <c r="D364" s="42" t="s">
        <v>126</v>
      </c>
      <c r="E364" s="58" t="str">
        <f>_xlfn.XLOOKUP(tblMovimientos[[#This Row],[Cuenta Bancaria]],Listas!$B:$B,Listas!$C:$C,"")</f>
        <v xml:space="preserve">Amerant Bank </v>
      </c>
      <c r="F364" s="42" t="s">
        <v>10</v>
      </c>
      <c r="G364" s="42" t="s">
        <v>38</v>
      </c>
      <c r="H364" s="47" t="str">
        <f>IFERROR(_xlfn.XLOOKUP(G364,Listas!E:E,Listas!F:F,""),"")</f>
        <v>Operativo</v>
      </c>
      <c r="I364" s="47" t="str">
        <f>IFERROR(_xlfn.XLOOKUP(G364,Listas!E:E,Listas!G:G,""),"")</f>
        <v>Externo</v>
      </c>
      <c r="J364" s="44">
        <v>224.68</v>
      </c>
      <c r="K364" s="5">
        <f t="shared" si="1"/>
        <v>-224.68</v>
      </c>
      <c r="L364" s="15" t="s">
        <v>128</v>
      </c>
      <c r="M364" s="45">
        <f>SUMIFS('Saldos Iniciales'!$D$2:$D$38,'Saldos Iniciales'!$A$2:$A$38,C364,'Saldos Iniciales'!$B$2:$B$38,D364)+SUMIFS($K$1:$K$471,$C$1:$C$471,C364,$D$1:$D$471,D364,$B$1:$B$471,"&lt;="&amp;B364)</f>
        <v>44816.33</v>
      </c>
      <c r="N364" s="68" t="str">
        <f>IF(tblMovimientos[[#This Row],[Tipo de Movimiento]]="Ingreso",tblMovimientos[[#This Row],[Monto (S/)]],"0")</f>
        <v>0</v>
      </c>
      <c r="O364" s="68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40">
        <v>46196</v>
      </c>
      <c r="C365" s="47" t="str">
        <f>_xlfn.XLOOKUP(tblMovimientos[[#This Row],[Cuenta Bancaria]],Listas!$B:$B,Listas!$A:$A,"")</f>
        <v>Go Blue</v>
      </c>
      <c r="D365" s="42" t="s">
        <v>126</v>
      </c>
      <c r="E365" s="57" t="str">
        <f>_xlfn.XLOOKUP(tblMovimientos[[#This Row],[Cuenta Bancaria]],Listas!$B:$B,Listas!$C:$C,"")</f>
        <v xml:space="preserve">Amerant Bank </v>
      </c>
      <c r="F365" s="42" t="s">
        <v>10</v>
      </c>
      <c r="G365" s="42" t="s">
        <v>38</v>
      </c>
      <c r="H365" s="4" t="str">
        <f>IFERROR(_xlfn.XLOOKUP(G365,Listas!E:E,Listas!F:F,""),"")</f>
        <v>Operativo</v>
      </c>
      <c r="I365" s="47" t="str">
        <f>IFERROR(_xlfn.XLOOKUP(G365,Listas!E:E,Listas!G:G,""),"")</f>
        <v>Externo</v>
      </c>
      <c r="J365" s="44">
        <v>42.79</v>
      </c>
      <c r="K365" s="5">
        <f t="shared" si="1"/>
        <v>-42.79</v>
      </c>
      <c r="L365" s="15" t="s">
        <v>128</v>
      </c>
      <c r="M365" s="45">
        <f>SUMIFS('Saldos Iniciales'!$D$2:$D$38,'Saldos Iniciales'!$A$2:$A$38,C365,'Saldos Iniciales'!$B$2:$B$38,D365)+SUMIFS($K$1:$K$471,$C$1:$C$471,C365,$D$1:$D$471,D365,$B$1:$B$471,"&lt;="&amp;B365)</f>
        <v>44687.96</v>
      </c>
      <c r="N365" s="68" t="str">
        <f>IF(tblMovimientos[[#This Row],[Tipo de Movimiento]]="Ingreso",tblMovimientos[[#This Row],[Monto (S/)]],"0")</f>
        <v>0</v>
      </c>
      <c r="O365" s="68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40">
        <v>46196</v>
      </c>
      <c r="C366" s="47" t="str">
        <f>_xlfn.XLOOKUP(tblMovimientos[[#This Row],[Cuenta Bancaria]],Listas!$B:$B,Listas!$A:$A,"")</f>
        <v>Go Blue</v>
      </c>
      <c r="D366" s="42" t="s">
        <v>126</v>
      </c>
      <c r="E366" s="57" t="str">
        <f>_xlfn.XLOOKUP(tblMovimientos[[#This Row],[Cuenta Bancaria]],Listas!$B:$B,Listas!$C:$C,"")</f>
        <v xml:space="preserve">Amerant Bank </v>
      </c>
      <c r="F366" s="42" t="s">
        <v>10</v>
      </c>
      <c r="G366" s="42" t="s">
        <v>38</v>
      </c>
      <c r="H366" s="4" t="str">
        <f>IFERROR(_xlfn.XLOOKUP(G366,Listas!E:E,Listas!F:F,""),"")</f>
        <v>Operativo</v>
      </c>
      <c r="I366" s="47" t="str">
        <f>IFERROR(_xlfn.XLOOKUP(G366,Listas!E:E,Listas!G:G,""),"")</f>
        <v>Externo</v>
      </c>
      <c r="J366" s="44">
        <v>42.79</v>
      </c>
      <c r="K366" s="48">
        <f t="shared" si="1"/>
        <v>-42.79</v>
      </c>
      <c r="L366" s="15" t="s">
        <v>128</v>
      </c>
      <c r="M366" s="59">
        <f>SUMIFS('Saldos Iniciales'!$D$2:$D$38,'Saldos Iniciales'!$A$2:$A$38,C366,'Saldos Iniciales'!$B$2:$B$38,D366)+SUMIFS($K$1:$K$471,$C$1:$C$471,C366,$D$1:$D$471,D366,$B$1:$B$471,"&lt;="&amp;B366)</f>
        <v>44687.96</v>
      </c>
      <c r="N366" s="68" t="str">
        <f>IF(tblMovimientos[[#This Row],[Tipo de Movimiento]]="Ingreso",tblMovimientos[[#This Row],[Monto (S/)]],"0")</f>
        <v>0</v>
      </c>
      <c r="O366" s="68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6"/>
      <c r="B367" s="40">
        <v>46196</v>
      </c>
      <c r="C367" s="47" t="str">
        <f>_xlfn.XLOOKUP(tblMovimientos[[#This Row],[Cuenta Bancaria]],Listas!$B:$B,Listas!$A:$A,"")</f>
        <v>Go Blue</v>
      </c>
      <c r="D367" s="42" t="s">
        <v>126</v>
      </c>
      <c r="E367" s="58" t="str">
        <f>_xlfn.XLOOKUP(tblMovimientos[[#This Row],[Cuenta Bancaria]],Listas!$B:$B,Listas!$C:$C,"")</f>
        <v xml:space="preserve">Amerant Bank </v>
      </c>
      <c r="F367" s="42" t="s">
        <v>10</v>
      </c>
      <c r="G367" s="42" t="s">
        <v>38</v>
      </c>
      <c r="H367" s="47" t="str">
        <f>IFERROR(_xlfn.XLOOKUP(G367,Listas!E:E,Listas!F:F,""),"")</f>
        <v>Operativo</v>
      </c>
      <c r="I367" s="47" t="str">
        <f>IFERROR(_xlfn.XLOOKUP(G367,Listas!E:E,Listas!G:G,""),"")</f>
        <v>Externo</v>
      </c>
      <c r="J367" s="44">
        <v>42.79</v>
      </c>
      <c r="K367" s="5">
        <f t="shared" si="1"/>
        <v>-42.79</v>
      </c>
      <c r="L367" s="15" t="s">
        <v>128</v>
      </c>
      <c r="M367" s="45">
        <f>SUMIFS('Saldos Iniciales'!$D$2:$D$38,'Saldos Iniciales'!$A$2:$A$38,C367,'Saldos Iniciales'!$B$2:$B$38,D367)+SUMIFS($K$1:$K$471,$C$1:$C$471,C367,$D$1:$D$471,D367,$B$1:$B$471,"&lt;="&amp;B367)</f>
        <v>44687.96</v>
      </c>
      <c r="N367" s="68" t="str">
        <f>IF(tblMovimientos[[#This Row],[Tipo de Movimiento]]="Ingreso",tblMovimientos[[#This Row],[Monto (S/)]],"0")</f>
        <v>0</v>
      </c>
      <c r="O367" s="68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B368" s="40">
        <v>46197</v>
      </c>
      <c r="C368" s="47" t="str">
        <f>_xlfn.XLOOKUP(tblMovimientos[[#This Row],[Cuenta Bancaria]],Listas!$B:$B,Listas!$A:$A,"")</f>
        <v>A&amp;M Imports</v>
      </c>
      <c r="D368" s="42" t="s">
        <v>100</v>
      </c>
      <c r="E368" s="57" t="str">
        <f>_xlfn.XLOOKUP(tblMovimientos[[#This Row],[Cuenta Bancaria]],Listas!$B:$B,Listas!$C:$C,"")</f>
        <v>Bank of America</v>
      </c>
      <c r="F368" s="42" t="s">
        <v>9</v>
      </c>
      <c r="G368" s="42" t="s">
        <v>68</v>
      </c>
      <c r="H368" s="4" t="str">
        <f>IFERROR(_xlfn.XLOOKUP(G368,Listas!E:E,Listas!F:F,""),"")</f>
        <v>Operativo</v>
      </c>
      <c r="I368" s="47" t="str">
        <f>IFERROR(_xlfn.XLOOKUP(G368,Listas!E:E,Listas!G:G,""),"")</f>
        <v>Externo</v>
      </c>
      <c r="J368" s="44">
        <v>23134.93</v>
      </c>
      <c r="K368" s="5">
        <f t="shared" si="1"/>
        <v>23134.93</v>
      </c>
      <c r="L368" s="15" t="s">
        <v>128</v>
      </c>
      <c r="M368" s="45">
        <f>SUMIFS('Saldos Iniciales'!$D$2:$D$38,'Saldos Iniciales'!$A$2:$A$38,C368,'Saldos Iniciales'!$B$2:$B$38,D368)+SUMIFS($K$1:$K$471,$C$1:$C$471,C368,$D$1:$D$471,D368,$B$1:$B$471,"&lt;="&amp;B368)</f>
        <v>532766.72999999986</v>
      </c>
      <c r="N368" s="68">
        <f>IF(tblMovimientos[[#This Row],[Tipo de Movimiento]]="Ingreso",tblMovimientos[[#This Row],[Monto (S/)]],"0")</f>
        <v>23134.93</v>
      </c>
      <c r="O368" s="68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23134.93</v>
      </c>
    </row>
    <row r="369" spans="1:16" x14ac:dyDescent="0.3">
      <c r="B369" s="40">
        <v>46197</v>
      </c>
      <c r="C369" s="47" t="str">
        <f>_xlfn.XLOOKUP(tblMovimientos[[#This Row],[Cuenta Bancaria]],Listas!$B:$B,Listas!$A:$A,"")</f>
        <v>A&amp;M Imports</v>
      </c>
      <c r="D369" s="42" t="s">
        <v>100</v>
      </c>
      <c r="E369" s="57" t="str">
        <f>_xlfn.XLOOKUP(tblMovimientos[[#This Row],[Cuenta Bancaria]],Listas!$B:$B,Listas!$C:$C,"")</f>
        <v>Bank of America</v>
      </c>
      <c r="F369" s="42" t="s">
        <v>9</v>
      </c>
      <c r="G369" s="42" t="s">
        <v>68</v>
      </c>
      <c r="H369" s="4" t="str">
        <f>IFERROR(_xlfn.XLOOKUP(G369,Listas!E:E,Listas!F:F,""),"")</f>
        <v>Operativo</v>
      </c>
      <c r="I369" s="47" t="str">
        <f>IFERROR(_xlfn.XLOOKUP(G369,Listas!E:E,Listas!G:G,""),"")</f>
        <v>Externo</v>
      </c>
      <c r="J369" s="44">
        <v>5726.99</v>
      </c>
      <c r="K369" s="48">
        <f t="shared" si="1"/>
        <v>5726.99</v>
      </c>
      <c r="L369" s="15" t="s">
        <v>128</v>
      </c>
      <c r="M369" s="59">
        <f>SUMIFS('Saldos Iniciales'!$D$2:$D$38,'Saldos Iniciales'!$A$2:$A$38,C369,'Saldos Iniciales'!$B$2:$B$38,D369)+SUMIFS($K$1:$K$471,$C$1:$C$471,C369,$D$1:$D$471,D369,$B$1:$B$471,"&lt;="&amp;B369)</f>
        <v>532766.72999999986</v>
      </c>
      <c r="N369" s="68">
        <f>IF(tblMovimientos[[#This Row],[Tipo de Movimiento]]="Ingreso",tblMovimientos[[#This Row],[Monto (S/)]],"0")</f>
        <v>5726.99</v>
      </c>
      <c r="O369" s="68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5726.99</v>
      </c>
    </row>
    <row r="370" spans="1:16" x14ac:dyDescent="0.3">
      <c r="B370" s="40">
        <v>46197</v>
      </c>
      <c r="C370" s="47" t="str">
        <f>_xlfn.XLOOKUP(tblMovimientos[[#This Row],[Cuenta Bancaria]],Listas!$B:$B,Listas!$A:$A,"")</f>
        <v>CFT Group</v>
      </c>
      <c r="D370" s="42" t="s">
        <v>94</v>
      </c>
      <c r="E370" s="57" t="str">
        <f>_xlfn.XLOOKUP(tblMovimientos[[#This Row],[Cuenta Bancaria]],Listas!$B:$B,Listas!$C:$C,"")</f>
        <v>Bank of America</v>
      </c>
      <c r="F370" s="42" t="s">
        <v>9</v>
      </c>
      <c r="G370" s="42" t="s">
        <v>72</v>
      </c>
      <c r="H370" s="4" t="str">
        <f>IFERROR(_xlfn.XLOOKUP(G370,Listas!E:E,Listas!F:F,""),"")</f>
        <v>Operativo</v>
      </c>
      <c r="I370" s="47" t="str">
        <f>IFERROR(_xlfn.XLOOKUP(G370,Listas!E:E,Listas!G:G,""),"")</f>
        <v>Externo</v>
      </c>
      <c r="J370" s="44">
        <v>67069.119999999995</v>
      </c>
      <c r="K370" s="5">
        <f t="shared" ref="K370:K398" si="2">IF(F370="Ingreso",J370,-J370)</f>
        <v>67069.119999999995</v>
      </c>
      <c r="L370" s="15" t="s">
        <v>128</v>
      </c>
      <c r="M370" s="45">
        <f>SUMIFS('Saldos Iniciales'!$D$2:$D$38,'Saldos Iniciales'!$A$2:$A$38,C370,'Saldos Iniciales'!$B$2:$B$38,D370)+SUMIFS($K$1:$K$471,$C$1:$C$471,C370,$D$1:$D$471,D370,$B$1:$B$471,"&lt;="&amp;B370)</f>
        <v>191293.31999999998</v>
      </c>
      <c r="N370" s="68">
        <f>IF(tblMovimientos[[#This Row],[Tipo de Movimiento]]="Ingreso",tblMovimientos[[#This Row],[Monto (S/)]],"0")</f>
        <v>67069.119999999995</v>
      </c>
      <c r="O370" s="68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0">
        <v>46197</v>
      </c>
      <c r="C371" s="47" t="str">
        <f>_xlfn.XLOOKUP(tblMovimientos[[#This Row],[Cuenta Bancaria]],Listas!$B:$B,Listas!$A:$A,"")</f>
        <v>M1B</v>
      </c>
      <c r="D371" s="42" t="s">
        <v>97</v>
      </c>
      <c r="E371" s="57" t="str">
        <f>_xlfn.XLOOKUP(tblMovimientos[[#This Row],[Cuenta Bancaria]],Listas!$B:$B,Listas!$C:$C,"")</f>
        <v xml:space="preserve">Amerant Bank </v>
      </c>
      <c r="F371" s="42" t="s">
        <v>9</v>
      </c>
      <c r="G371" s="42" t="s">
        <v>68</v>
      </c>
      <c r="H371" s="4" t="str">
        <f>IFERROR(_xlfn.XLOOKUP(G371,Listas!E:E,Listas!F:F,""),"")</f>
        <v>Operativo</v>
      </c>
      <c r="I371" s="47" t="str">
        <f>IFERROR(_xlfn.XLOOKUP(G371,Listas!E:E,Listas!G:G,""),"")</f>
        <v>Externo</v>
      </c>
      <c r="J371" s="44">
        <v>457.74</v>
      </c>
      <c r="K371" s="48">
        <f t="shared" si="2"/>
        <v>457.74</v>
      </c>
      <c r="L371" s="15" t="s">
        <v>128</v>
      </c>
      <c r="M371" s="59">
        <f>SUMIFS('Saldos Iniciales'!$D$2:$D$38,'Saldos Iniciales'!$A$2:$A$38,C371,'Saldos Iniciales'!$B$2:$B$38,D371)+SUMIFS($K$1:$K$471,$C$1:$C$471,C371,$D$1:$D$471,D371,$B$1:$B$471,"&lt;="&amp;B371)</f>
        <v>67386.190000000177</v>
      </c>
      <c r="N371" s="68">
        <f>IF(tblMovimientos[[#This Row],[Tipo de Movimiento]]="Ingreso",tblMovimientos[[#This Row],[Monto (S/)]],"0")</f>
        <v>457.74</v>
      </c>
      <c r="O371" s="68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457.74</v>
      </c>
    </row>
    <row r="372" spans="1:16" x14ac:dyDescent="0.3">
      <c r="A372" s="46"/>
      <c r="B372" s="40">
        <v>46197</v>
      </c>
      <c r="C372" s="47" t="str">
        <f>_xlfn.XLOOKUP(tblMovimientos[[#This Row],[Cuenta Bancaria]],Listas!$B:$B,Listas!$A:$A,"")</f>
        <v>M1B</v>
      </c>
      <c r="D372" s="42" t="s">
        <v>97</v>
      </c>
      <c r="E372" s="58" t="str">
        <f>_xlfn.XLOOKUP(tblMovimientos[[#This Row],[Cuenta Bancaria]],Listas!$B:$B,Listas!$C:$C,"")</f>
        <v xml:space="preserve">Amerant Bank </v>
      </c>
      <c r="F372" s="42" t="s">
        <v>9</v>
      </c>
      <c r="G372" s="42" t="s">
        <v>68</v>
      </c>
      <c r="H372" s="47" t="str">
        <f>IFERROR(_xlfn.XLOOKUP(G372,Listas!E:E,Listas!F:F,""),"")</f>
        <v>Operativo</v>
      </c>
      <c r="I372" s="47" t="str">
        <f>IFERROR(_xlfn.XLOOKUP(G372,Listas!E:E,Listas!G:G,""),"")</f>
        <v>Externo</v>
      </c>
      <c r="J372" s="44">
        <v>2552.06</v>
      </c>
      <c r="K372" s="5">
        <f t="shared" si="2"/>
        <v>2552.06</v>
      </c>
      <c r="L372" s="15" t="s">
        <v>128</v>
      </c>
      <c r="M372" s="45">
        <f>SUMIFS('Saldos Iniciales'!$D$2:$D$38,'Saldos Iniciales'!$A$2:$A$38,C372,'Saldos Iniciales'!$B$2:$B$38,D372)+SUMIFS($K$1:$K$471,$C$1:$C$471,C372,$D$1:$D$471,D372,$B$1:$B$471,"&lt;="&amp;B372)</f>
        <v>67386.190000000177</v>
      </c>
      <c r="N372" s="68">
        <f>IF(tblMovimientos[[#This Row],[Tipo de Movimiento]]="Ingreso",tblMovimientos[[#This Row],[Monto (S/)]],"0")</f>
        <v>2552.06</v>
      </c>
      <c r="O372" s="68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2552.06</v>
      </c>
    </row>
    <row r="373" spans="1:16" x14ac:dyDescent="0.3">
      <c r="B373" s="40">
        <v>46198</v>
      </c>
      <c r="C373" s="47" t="str">
        <f>_xlfn.XLOOKUP(tblMovimientos[[#This Row],[Cuenta Bancaria]],Listas!$B:$B,Listas!$A:$A,"")</f>
        <v>A&amp;M Imports</v>
      </c>
      <c r="D373" s="42" t="s">
        <v>100</v>
      </c>
      <c r="E373" s="57" t="str">
        <f>_xlfn.XLOOKUP(tblMovimientos[[#This Row],[Cuenta Bancaria]],Listas!$B:$B,Listas!$C:$C,"")</f>
        <v>Bank of America</v>
      </c>
      <c r="F373" s="42" t="s">
        <v>10</v>
      </c>
      <c r="G373" s="42" t="s">
        <v>61</v>
      </c>
      <c r="H373" s="4" t="str">
        <f>IFERROR(_xlfn.XLOOKUP(G373,Listas!E:E,Listas!F:F,""),"")</f>
        <v>Operativo</v>
      </c>
      <c r="I373" s="47" t="str">
        <f>IFERROR(_xlfn.XLOOKUP(G373,Listas!E:E,Listas!G:G,""),"")</f>
        <v>Externo</v>
      </c>
      <c r="J373" s="44">
        <v>60000</v>
      </c>
      <c r="K373" s="5">
        <f t="shared" si="2"/>
        <v>-60000</v>
      </c>
      <c r="L373" s="15" t="s">
        <v>128</v>
      </c>
      <c r="M373" s="45">
        <f>SUMIFS('Saldos Iniciales'!$D$2:$D$38,'Saldos Iniciales'!$A$2:$A$38,C373,'Saldos Iniciales'!$B$2:$B$38,D373)+SUMIFS($K$1:$K$471,$C$1:$C$471,C373,$D$1:$D$471,D373,$B$1:$B$471,"&lt;="&amp;B373)</f>
        <v>472766.72999999986</v>
      </c>
      <c r="N373" s="68" t="str">
        <f>IF(tblMovimientos[[#This Row],[Tipo de Movimiento]]="Ingreso",tblMovimientos[[#This Row],[Monto (S/)]],"0")</f>
        <v>0</v>
      </c>
      <c r="O373" s="68">
        <f>IF(tblMovimientos[[#This Row],[Tipo de Movimiento]]="Egreso",tblMovimientos[[#This Row],[Monto (S/)]],"0")</f>
        <v>60000</v>
      </c>
      <c r="P373" s="28">
        <f>IF(tblMovimientos[[#This Row],[Tipo de Movimiento]]="Ingreso",tblMovimientos[[#This Row],[Ingreso]],-tblMovimientos[[#This Row],[Egreso]])</f>
        <v>-60000</v>
      </c>
    </row>
    <row r="374" spans="1:16" x14ac:dyDescent="0.3">
      <c r="B374" s="40">
        <v>46198</v>
      </c>
      <c r="C374" s="47" t="str">
        <f>_xlfn.XLOOKUP(tblMovimientos[[#This Row],[Cuenta Bancaria]],Listas!$B:$B,Listas!$A:$A,"")</f>
        <v>CFT Group</v>
      </c>
      <c r="D374" s="42" t="s">
        <v>94</v>
      </c>
      <c r="E374" s="57" t="str">
        <f>_xlfn.XLOOKUP(tblMovimientos[[#This Row],[Cuenta Bancaria]],Listas!$B:$B,Listas!$C:$C,"")</f>
        <v>Bank of America</v>
      </c>
      <c r="F374" s="42" t="s">
        <v>10</v>
      </c>
      <c r="G374" s="42" t="s">
        <v>62</v>
      </c>
      <c r="H374" s="4" t="str">
        <f>IFERROR(_xlfn.XLOOKUP(G374,Listas!E:E,Listas!F:F,""),"")</f>
        <v>Operativo</v>
      </c>
      <c r="I374" s="47" t="str">
        <f>IFERROR(_xlfn.XLOOKUP(G374,Listas!E:E,Listas!G:G,""),"")</f>
        <v>Interno</v>
      </c>
      <c r="J374" s="44">
        <v>150000</v>
      </c>
      <c r="K374" s="5">
        <f t="shared" si="2"/>
        <v>-150000</v>
      </c>
      <c r="L374" s="15" t="s">
        <v>128</v>
      </c>
      <c r="M374" s="45">
        <f>SUMIFS('Saldos Iniciales'!$D$2:$D$38,'Saldos Iniciales'!$A$2:$A$38,C374,'Saldos Iniciales'!$B$2:$B$38,D374)+SUMIFS($K$1:$K$471,$C$1:$C$471,C374,$D$1:$D$471,D374,$B$1:$B$471,"&lt;="&amp;B374)</f>
        <v>29293.319999999978</v>
      </c>
      <c r="N374" s="68" t="str">
        <f>IF(tblMovimientos[[#This Row],[Tipo de Movimiento]]="Ingreso",tblMovimientos[[#This Row],[Monto (S/)]],"0")</f>
        <v>0</v>
      </c>
      <c r="O374" s="68">
        <f>IF(tblMovimientos[[#This Row],[Tipo de Movimiento]]="Egreso",tblMovimientos[[#This Row],[Monto (S/)]],"0")</f>
        <v>150000</v>
      </c>
      <c r="P374" s="28">
        <f>IF(tblMovimientos[[#This Row],[Tipo de Movimiento]]="Ingreso",tblMovimientos[[#This Row],[Ingreso]],-tblMovimientos[[#This Row],[Egreso]])</f>
        <v>-150000</v>
      </c>
    </row>
    <row r="375" spans="1:16" x14ac:dyDescent="0.3">
      <c r="B375" s="40">
        <v>46198</v>
      </c>
      <c r="C375" s="47" t="str">
        <f>_xlfn.XLOOKUP(tblMovimientos[[#This Row],[Cuenta Bancaria]],Listas!$B:$B,Listas!$A:$A,"")</f>
        <v>CFT Group</v>
      </c>
      <c r="D375" s="42" t="s">
        <v>94</v>
      </c>
      <c r="E375" s="57" t="str">
        <f>_xlfn.XLOOKUP(tblMovimientos[[#This Row],[Cuenta Bancaria]],Listas!$B:$B,Listas!$C:$C,"")</f>
        <v>Bank of America</v>
      </c>
      <c r="F375" s="42" t="s">
        <v>10</v>
      </c>
      <c r="G375" s="42" t="s">
        <v>62</v>
      </c>
      <c r="H375" s="4" t="str">
        <f>IFERROR(_xlfn.XLOOKUP(G375,Listas!E:E,Listas!F:F,""),"")</f>
        <v>Operativo</v>
      </c>
      <c r="I375" s="47" t="str">
        <f>IFERROR(_xlfn.XLOOKUP(G375,Listas!E:E,Listas!G:G,""),"")</f>
        <v>Interno</v>
      </c>
      <c r="J375" s="44">
        <v>12000</v>
      </c>
      <c r="K375" s="48">
        <f t="shared" si="2"/>
        <v>-12000</v>
      </c>
      <c r="L375" s="15" t="s">
        <v>128</v>
      </c>
      <c r="M375" s="59">
        <f>SUMIFS('Saldos Iniciales'!$D$2:$D$38,'Saldos Iniciales'!$A$2:$A$38,C375,'Saldos Iniciales'!$B$2:$B$38,D375)+SUMIFS($K$1:$K$471,$C$1:$C$471,C375,$D$1:$D$471,D375,$B$1:$B$471,"&lt;="&amp;B375)</f>
        <v>29293.319999999978</v>
      </c>
      <c r="N375" s="68" t="str">
        <f>IF(tblMovimientos[[#This Row],[Tipo de Movimiento]]="Ingreso",tblMovimientos[[#This Row],[Monto (S/)]],"0")</f>
        <v>0</v>
      </c>
      <c r="O375" s="68">
        <f>IF(tblMovimientos[[#This Row],[Tipo de Movimiento]]="Egreso",tblMovimientos[[#This Row],[Monto (S/)]],"0")</f>
        <v>12000</v>
      </c>
      <c r="P375" s="28">
        <f>IF(tblMovimientos[[#This Row],[Tipo de Movimiento]]="Ingreso",tblMovimientos[[#This Row],[Ingreso]],-tblMovimientos[[#This Row],[Egreso]])</f>
        <v>-12000</v>
      </c>
    </row>
    <row r="376" spans="1:16" x14ac:dyDescent="0.3">
      <c r="B376" s="40">
        <v>46198</v>
      </c>
      <c r="C376" s="47" t="str">
        <f>_xlfn.XLOOKUP(tblMovimientos[[#This Row],[Cuenta Bancaria]],Listas!$B:$B,Listas!$A:$A,"")</f>
        <v>3628 Thomas Ave</v>
      </c>
      <c r="D376" s="42" t="s">
        <v>124</v>
      </c>
      <c r="E376" s="57" t="str">
        <f>_xlfn.XLOOKUP(tblMovimientos[[#This Row],[Cuenta Bancaria]],Listas!$B:$B,Listas!$C:$C,"")</f>
        <v>Bank of America</v>
      </c>
      <c r="F376" s="42" t="s">
        <v>9</v>
      </c>
      <c r="G376" s="42" t="s">
        <v>75</v>
      </c>
      <c r="H376" s="4" t="str">
        <f>IFERROR(_xlfn.XLOOKUP(G376,Listas!E:E,Listas!F:F,""),"")</f>
        <v>Financiamiento</v>
      </c>
      <c r="I376" s="47" t="str">
        <f>IFERROR(_xlfn.XLOOKUP(G376,Listas!E:E,Listas!G:G,""),"")</f>
        <v>Interno</v>
      </c>
      <c r="J376" s="44">
        <v>12000</v>
      </c>
      <c r="K376" s="5">
        <f t="shared" si="2"/>
        <v>12000</v>
      </c>
      <c r="L376" s="15" t="s">
        <v>128</v>
      </c>
      <c r="M376" s="45">
        <f>SUMIFS('Saldos Iniciales'!$D$2:$D$38,'Saldos Iniciales'!$A$2:$A$38,C376,'Saldos Iniciales'!$B$2:$B$38,D376)+SUMIFS($K$1:$K$471,$C$1:$C$471,C376,$D$1:$D$471,D376,$B$1:$B$471,"&lt;="&amp;B376)</f>
        <v>28473.599999999999</v>
      </c>
      <c r="N376" s="68">
        <f>IF(tblMovimientos[[#This Row],[Tipo de Movimiento]]="Ingreso",tblMovimientos[[#This Row],[Monto (S/)]],"0")</f>
        <v>12000</v>
      </c>
      <c r="O376" s="68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12000</v>
      </c>
    </row>
    <row r="377" spans="1:16" x14ac:dyDescent="0.3">
      <c r="B377" s="40">
        <v>46198</v>
      </c>
      <c r="C377" s="47" t="str">
        <f>_xlfn.XLOOKUP(tblMovimientos[[#This Row],[Cuenta Bancaria]],Listas!$B:$B,Listas!$A:$A,"")</f>
        <v>3628 Thomas Ave</v>
      </c>
      <c r="D377" s="42" t="s">
        <v>124</v>
      </c>
      <c r="E377" s="57" t="str">
        <f>_xlfn.XLOOKUP(tblMovimientos[[#This Row],[Cuenta Bancaria]],Listas!$B:$B,Listas!$C:$C,"")</f>
        <v>Bank of America</v>
      </c>
      <c r="F377" s="42" t="s">
        <v>10</v>
      </c>
      <c r="G377" s="42" t="s">
        <v>38</v>
      </c>
      <c r="H377" s="4" t="str">
        <f>IFERROR(_xlfn.XLOOKUP(G377,Listas!E:E,Listas!F:F,""),"")</f>
        <v>Operativo</v>
      </c>
      <c r="I377" s="47" t="str">
        <f>IFERROR(_xlfn.XLOOKUP(G377,Listas!E:E,Listas!G:G,""),"")</f>
        <v>Externo</v>
      </c>
      <c r="J377" s="44">
        <v>207.75</v>
      </c>
      <c r="K377" s="48">
        <f t="shared" si="2"/>
        <v>-207.75</v>
      </c>
      <c r="L377" s="15" t="s">
        <v>128</v>
      </c>
      <c r="M377" s="59">
        <f>SUMIFS('Saldos Iniciales'!$D$2:$D$38,'Saldos Iniciales'!$A$2:$A$38,C377,'Saldos Iniciales'!$B$2:$B$38,D377)+SUMIFS($K$1:$K$471,$C$1:$C$471,C377,$D$1:$D$471,D377,$B$1:$B$471,"&lt;="&amp;B377)</f>
        <v>28473.599999999999</v>
      </c>
      <c r="N377" s="68" t="str">
        <f>IF(tblMovimientos[[#This Row],[Tipo de Movimiento]]="Ingreso",tblMovimientos[[#This Row],[Monto (S/)]],"0")</f>
        <v>0</v>
      </c>
      <c r="O377" s="68">
        <f>IF(tblMovimientos[[#This Row],[Tipo de Movimiento]]="Egreso",tblMovimientos[[#This Row],[Monto (S/)]],"0")</f>
        <v>207.75</v>
      </c>
      <c r="P377" s="28">
        <f>IF(tblMovimientos[[#This Row],[Tipo de Movimiento]]="Ingreso",tblMovimientos[[#This Row],[Ingreso]],-tblMovimientos[[#This Row],[Egreso]])</f>
        <v>-207.75</v>
      </c>
    </row>
    <row r="378" spans="1:16" x14ac:dyDescent="0.3">
      <c r="B378" s="40">
        <v>46198</v>
      </c>
      <c r="C378" s="47" t="str">
        <f>_xlfn.XLOOKUP(tblMovimientos[[#This Row],[Cuenta Bancaria]],Listas!$B:$B,Listas!$A:$A,"")</f>
        <v>CFT Group</v>
      </c>
      <c r="D378" s="42" t="s">
        <v>95</v>
      </c>
      <c r="E378" s="57" t="str">
        <f>_xlfn.XLOOKUP(tblMovimientos[[#This Row],[Cuenta Bancaria]],Listas!$B:$B,Listas!$C:$C,"")</f>
        <v xml:space="preserve">Amerant Bank </v>
      </c>
      <c r="F378" s="42" t="s">
        <v>9</v>
      </c>
      <c r="H378" s="4">
        <f>IFERROR(_xlfn.XLOOKUP(G378,Listas!E:E,Listas!F:F,""),"")</f>
        <v>0</v>
      </c>
      <c r="I378" s="47">
        <f>IFERROR(_xlfn.XLOOKUP(G378,Listas!E:E,Listas!G:G,""),"")</f>
        <v>0</v>
      </c>
      <c r="J378" s="44">
        <v>10000</v>
      </c>
      <c r="K378" s="5">
        <f t="shared" si="2"/>
        <v>10000</v>
      </c>
      <c r="L378" s="15" t="s">
        <v>128</v>
      </c>
      <c r="M378" s="45">
        <f>SUMIFS('Saldos Iniciales'!$D$2:$D$38,'Saldos Iniciales'!$A$2:$A$38,C378,'Saldos Iniciales'!$B$2:$B$38,D378)+SUMIFS($K$1:$K$471,$C$1:$C$471,C378,$D$1:$D$471,D378,$B$1:$B$471,"&lt;="&amp;B378)</f>
        <v>6201976.9100000001</v>
      </c>
      <c r="N378" s="68">
        <f>IF(tblMovimientos[[#This Row],[Tipo de Movimiento]]="Ingreso",tblMovimientos[[#This Row],[Monto (S/)]],"0")</f>
        <v>10000</v>
      </c>
      <c r="O378" s="68" t="str">
        <f>IF(tblMovimientos[[#This Row],[Tipo de Movimiento]]="Egreso",tblMovimientos[[#This Row],[Monto (S/)]],"0")</f>
        <v>0</v>
      </c>
      <c r="P378" s="28">
        <f>IF(tblMovimientos[[#This Row],[Tipo de Movimiento]]="Ingreso",tblMovimientos[[#This Row],[Ingreso]],-tblMovimientos[[#This Row],[Egreso]])</f>
        <v>10000</v>
      </c>
    </row>
    <row r="379" spans="1:16" x14ac:dyDescent="0.3">
      <c r="B379" s="40">
        <v>46198</v>
      </c>
      <c r="C379" s="47" t="str">
        <f>_xlfn.XLOOKUP(tblMovimientos[[#This Row],[Cuenta Bancaria]],Listas!$B:$B,Listas!$A:$A,"")</f>
        <v>CFT Group</v>
      </c>
      <c r="D379" s="42" t="s">
        <v>95</v>
      </c>
      <c r="E379" s="57" t="str">
        <f>_xlfn.XLOOKUP(tblMovimientos[[#This Row],[Cuenta Bancaria]],Listas!$B:$B,Listas!$C:$C,"")</f>
        <v xml:space="preserve">Amerant Bank </v>
      </c>
      <c r="F379" s="42" t="s">
        <v>9</v>
      </c>
      <c r="G379" s="42" t="s">
        <v>75</v>
      </c>
      <c r="H379" s="4" t="str">
        <f>IFERROR(_xlfn.XLOOKUP(G379,Listas!E:E,Listas!F:F,""),"")</f>
        <v>Financiamiento</v>
      </c>
      <c r="I379" s="47" t="str">
        <f>IFERROR(_xlfn.XLOOKUP(G379,Listas!E:E,Listas!G:G,""),"")</f>
        <v>Interno</v>
      </c>
      <c r="J379" s="44">
        <v>150000</v>
      </c>
      <c r="K379" s="5">
        <f t="shared" si="2"/>
        <v>150000</v>
      </c>
      <c r="L379" s="15" t="s">
        <v>128</v>
      </c>
      <c r="M379" s="45">
        <f>SUMIFS('Saldos Iniciales'!$D$2:$D$38,'Saldos Iniciales'!$A$2:$A$38,C379,'Saldos Iniciales'!$B$2:$B$38,D379)+SUMIFS($K$1:$K$471,$C$1:$C$471,C379,$D$1:$D$471,D379,$B$1:$B$471,"&lt;="&amp;B379)</f>
        <v>6201976.9100000001</v>
      </c>
      <c r="N379" s="68">
        <f>IF(tblMovimientos[[#This Row],[Tipo de Movimiento]]="Ingreso",tblMovimientos[[#This Row],[Monto (S/)]],"0")</f>
        <v>150000</v>
      </c>
      <c r="O379" s="68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150000</v>
      </c>
    </row>
    <row r="380" spans="1:16" x14ac:dyDescent="0.3">
      <c r="B380" s="40">
        <v>46198</v>
      </c>
      <c r="C380" s="47" t="str">
        <f>_xlfn.XLOOKUP(tblMovimientos[[#This Row],[Cuenta Bancaria]],Listas!$B:$B,Listas!$A:$A,"")</f>
        <v>CFT Group</v>
      </c>
      <c r="D380" s="42" t="s">
        <v>95</v>
      </c>
      <c r="E380" s="57" t="str">
        <f>_xlfn.XLOOKUP(tblMovimientos[[#This Row],[Cuenta Bancaria]],Listas!$B:$B,Listas!$C:$C,"")</f>
        <v xml:space="preserve">Amerant Bank </v>
      </c>
      <c r="F380" s="42" t="s">
        <v>9</v>
      </c>
      <c r="G380" s="42" t="s">
        <v>77</v>
      </c>
      <c r="H380" s="4" t="str">
        <f>IFERROR(_xlfn.XLOOKUP(G380,Listas!E:E,Listas!F:F,""),"")</f>
        <v>Inversion</v>
      </c>
      <c r="I380" s="47" t="str">
        <f>IFERROR(_xlfn.XLOOKUP(G380,Listas!E:E,Listas!G:G,""),"")</f>
        <v>Interno</v>
      </c>
      <c r="J380" s="44">
        <v>500000</v>
      </c>
      <c r="K380" s="5">
        <f t="shared" si="2"/>
        <v>500000</v>
      </c>
      <c r="L380" s="15" t="s">
        <v>128</v>
      </c>
      <c r="M380" s="45">
        <f>SUMIFS('Saldos Iniciales'!$D$2:$D$38,'Saldos Iniciales'!$A$2:$A$38,C380,'Saldos Iniciales'!$B$2:$B$38,D380)+SUMIFS($K$1:$K$471,$C$1:$C$471,C380,$D$1:$D$471,D380,$B$1:$B$471,"&lt;="&amp;B380)</f>
        <v>6201976.9100000001</v>
      </c>
      <c r="N380" s="68">
        <f>IF(tblMovimientos[[#This Row],[Tipo de Movimiento]]="Ingreso",tblMovimientos[[#This Row],[Monto (S/)]],"0")</f>
        <v>500000</v>
      </c>
      <c r="O380" s="68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500000</v>
      </c>
    </row>
    <row r="381" spans="1:16" x14ac:dyDescent="0.3">
      <c r="B381" s="40">
        <v>46198</v>
      </c>
      <c r="C381" s="47" t="str">
        <f>_xlfn.XLOOKUP(tblMovimientos[[#This Row],[Cuenta Bancaria]],Listas!$B:$B,Listas!$A:$A,"")</f>
        <v>CFT Group</v>
      </c>
      <c r="D381" s="42" t="s">
        <v>95</v>
      </c>
      <c r="E381" s="57" t="str">
        <f>_xlfn.XLOOKUP(tblMovimientos[[#This Row],[Cuenta Bancaria]],Listas!$B:$B,Listas!$C:$C,"")</f>
        <v xml:space="preserve">Amerant Bank </v>
      </c>
      <c r="F381" s="42" t="s">
        <v>10</v>
      </c>
      <c r="G381" s="42" t="s">
        <v>46</v>
      </c>
      <c r="H381" s="4" t="str">
        <f>IFERROR(_xlfn.XLOOKUP(G381,Listas!E:E,Listas!F:F,""),"")</f>
        <v>Financiamiento</v>
      </c>
      <c r="I381" s="47" t="str">
        <f>IFERROR(_xlfn.XLOOKUP(G381,Listas!E:E,Listas!G:G,""),"")</f>
        <v>Externo</v>
      </c>
      <c r="J381" s="44">
        <v>10000</v>
      </c>
      <c r="K381" s="48">
        <f t="shared" si="2"/>
        <v>-10000</v>
      </c>
      <c r="L381" s="15" t="s">
        <v>128</v>
      </c>
      <c r="M381" s="59">
        <f>SUMIFS('Saldos Iniciales'!$D$2:$D$38,'Saldos Iniciales'!$A$2:$A$38,C381,'Saldos Iniciales'!$B$2:$B$38,D381)+SUMIFS($K$1:$K$471,$C$1:$C$471,C381,$D$1:$D$471,D381,$B$1:$B$471,"&lt;="&amp;B381)</f>
        <v>6201976.9100000001</v>
      </c>
      <c r="N381" s="68" t="str">
        <f>IF(tblMovimientos[[#This Row],[Tipo de Movimiento]]="Ingreso",tblMovimientos[[#This Row],[Monto (S/)]],"0")</f>
        <v>0</v>
      </c>
      <c r="O381" s="68">
        <f>IF(tblMovimientos[[#This Row],[Tipo de Movimiento]]="Egreso",tblMovimientos[[#This Row],[Monto (S/)]],"0")</f>
        <v>10000</v>
      </c>
      <c r="P381" s="28">
        <f>IF(tblMovimientos[[#This Row],[Tipo de Movimiento]]="Ingreso",tblMovimientos[[#This Row],[Ingreso]],-tblMovimientos[[#This Row],[Egreso]])</f>
        <v>-10000</v>
      </c>
    </row>
    <row r="382" spans="1:16" x14ac:dyDescent="0.3">
      <c r="B382" s="40">
        <v>46198</v>
      </c>
      <c r="C382" s="47" t="str">
        <f>_xlfn.XLOOKUP(tblMovimientos[[#This Row],[Cuenta Bancaria]],Listas!$B:$B,Listas!$A:$A,"")</f>
        <v>CFT Group</v>
      </c>
      <c r="D382" s="42" t="s">
        <v>95</v>
      </c>
      <c r="E382" s="57" t="str">
        <f>_xlfn.XLOOKUP(tblMovimientos[[#This Row],[Cuenta Bancaria]],Listas!$B:$B,Listas!$C:$C,"")</f>
        <v xml:space="preserve">Amerant Bank </v>
      </c>
      <c r="F382" s="42" t="s">
        <v>10</v>
      </c>
      <c r="G382" s="42" t="s">
        <v>46</v>
      </c>
      <c r="H382" s="4" t="str">
        <f>IFERROR(_xlfn.XLOOKUP(G382,Listas!E:E,Listas!F:F,""),"")</f>
        <v>Financiamiento</v>
      </c>
      <c r="I382" s="47" t="str">
        <f>IFERROR(_xlfn.XLOOKUP(G382,Listas!E:E,Listas!G:G,""),"")</f>
        <v>Externo</v>
      </c>
      <c r="J382" s="44">
        <v>10833.33</v>
      </c>
      <c r="K382" s="5">
        <f t="shared" si="2"/>
        <v>-10833.33</v>
      </c>
      <c r="L382" s="15" t="s">
        <v>128</v>
      </c>
      <c r="M382" s="45">
        <f>SUMIFS('Saldos Iniciales'!$D$2:$D$38,'Saldos Iniciales'!$A$2:$A$38,C382,'Saldos Iniciales'!$B$2:$B$38,D382)+SUMIFS($K$1:$K$471,$C$1:$C$471,C382,$D$1:$D$471,D382,$B$1:$B$471,"&lt;="&amp;B382)</f>
        <v>6201976.9100000001</v>
      </c>
      <c r="N382" s="68" t="str">
        <f>IF(tblMovimientos[[#This Row],[Tipo de Movimiento]]="Ingreso",tblMovimientos[[#This Row],[Monto (S/)]],"0")</f>
        <v>0</v>
      </c>
      <c r="O382" s="68">
        <f>IF(tblMovimientos[[#This Row],[Tipo de Movimiento]]="Egreso",tblMovimientos[[#This Row],[Monto (S/)]],"0")</f>
        <v>10833.33</v>
      </c>
      <c r="P382" s="28">
        <f>IF(tblMovimientos[[#This Row],[Tipo de Movimiento]]="Ingreso",tblMovimientos[[#This Row],[Ingreso]],-tblMovimientos[[#This Row],[Egreso]])</f>
        <v>-10833.33</v>
      </c>
    </row>
    <row r="383" spans="1:16" x14ac:dyDescent="0.3">
      <c r="B383" s="40">
        <v>46198</v>
      </c>
      <c r="C383" s="47" t="str">
        <f>_xlfn.XLOOKUP(tblMovimientos[[#This Row],[Cuenta Bancaria]],Listas!$B:$B,Listas!$A:$A,"")</f>
        <v>CFT Group</v>
      </c>
      <c r="D383" s="42" t="s">
        <v>95</v>
      </c>
      <c r="E383" s="57" t="str">
        <f>_xlfn.XLOOKUP(tblMovimientos[[#This Row],[Cuenta Bancaria]],Listas!$B:$B,Listas!$C:$C,"")</f>
        <v xml:space="preserve">Amerant Bank </v>
      </c>
      <c r="F383" s="42" t="s">
        <v>10</v>
      </c>
      <c r="G383" s="42" t="s">
        <v>46</v>
      </c>
      <c r="H383" s="4" t="str">
        <f>IFERROR(_xlfn.XLOOKUP(G383,Listas!E:E,Listas!F:F,""),"")</f>
        <v>Financiamiento</v>
      </c>
      <c r="I383" s="47" t="str">
        <f>IFERROR(_xlfn.XLOOKUP(G383,Listas!E:E,Listas!G:G,""),"")</f>
        <v>Externo</v>
      </c>
      <c r="J383" s="44">
        <v>71041.67</v>
      </c>
      <c r="K383" s="5">
        <f t="shared" si="2"/>
        <v>-71041.67</v>
      </c>
      <c r="L383" s="15" t="s">
        <v>128</v>
      </c>
      <c r="M383" s="45">
        <f>SUMIFS('Saldos Iniciales'!$D$2:$D$38,'Saldos Iniciales'!$A$2:$A$38,C383,'Saldos Iniciales'!$B$2:$B$38,D383)+SUMIFS($K$1:$K$471,$C$1:$C$471,C383,$D$1:$D$471,D383,$B$1:$B$471,"&lt;="&amp;B383)</f>
        <v>6201976.9100000001</v>
      </c>
      <c r="N383" s="68" t="str">
        <f>IF(tblMovimientos[[#This Row],[Tipo de Movimiento]]="Ingreso",tblMovimientos[[#This Row],[Monto (S/)]],"0")</f>
        <v>0</v>
      </c>
      <c r="O383" s="68">
        <f>IF(tblMovimientos[[#This Row],[Tipo de Movimiento]]="Egreso",tblMovimientos[[#This Row],[Monto (S/)]],"0")</f>
        <v>71041.67</v>
      </c>
      <c r="P383" s="28">
        <f>IF(tblMovimientos[[#This Row],[Tipo de Movimiento]]="Ingreso",tblMovimientos[[#This Row],[Ingreso]],-tblMovimientos[[#This Row],[Egreso]])</f>
        <v>-71041.67</v>
      </c>
    </row>
    <row r="384" spans="1:16" x14ac:dyDescent="0.3">
      <c r="B384" s="40">
        <v>46198</v>
      </c>
      <c r="C384" s="47" t="str">
        <f>_xlfn.XLOOKUP(tblMovimientos[[#This Row],[Cuenta Bancaria]],Listas!$B:$B,Listas!$A:$A,"")</f>
        <v>CFT Group</v>
      </c>
      <c r="D384" s="42" t="s">
        <v>95</v>
      </c>
      <c r="E384" s="57" t="str">
        <f>_xlfn.XLOOKUP(tblMovimientos[[#This Row],[Cuenta Bancaria]],Listas!$B:$B,Listas!$C:$C,"")</f>
        <v xml:space="preserve">Amerant Bank </v>
      </c>
      <c r="F384" s="42" t="s">
        <v>10</v>
      </c>
      <c r="G384" s="42" t="s">
        <v>62</v>
      </c>
      <c r="H384" s="4" t="str">
        <f>IFERROR(_xlfn.XLOOKUP(G384,Listas!E:E,Listas!F:F,""),"")</f>
        <v>Operativo</v>
      </c>
      <c r="I384" s="47" t="str">
        <f>IFERROR(_xlfn.XLOOKUP(G384,Listas!E:E,Listas!G:G,""),"")</f>
        <v>Interno</v>
      </c>
      <c r="J384" s="44">
        <v>1850000</v>
      </c>
      <c r="K384" s="5">
        <f t="shared" si="2"/>
        <v>-1850000</v>
      </c>
      <c r="L384" s="15" t="s">
        <v>128</v>
      </c>
      <c r="M384" s="45">
        <f>SUMIFS('Saldos Iniciales'!$D$2:$D$38,'Saldos Iniciales'!$A$2:$A$38,C384,'Saldos Iniciales'!$B$2:$B$38,D384)+SUMIFS($K$1:$K$471,$C$1:$C$471,C384,$D$1:$D$471,D384,$B$1:$B$471,"&lt;="&amp;B384)</f>
        <v>6201976.9100000001</v>
      </c>
      <c r="N384" s="68" t="str">
        <f>IF(tblMovimientos[[#This Row],[Tipo de Movimiento]]="Ingreso",tblMovimientos[[#This Row],[Monto (S/)]],"0")</f>
        <v>0</v>
      </c>
      <c r="O384" s="68">
        <f>IF(tblMovimientos[[#This Row],[Tipo de Movimiento]]="Egreso",tblMovimientos[[#This Row],[Monto (S/)]],"0")</f>
        <v>1850000</v>
      </c>
      <c r="P384" s="28">
        <f>IF(tblMovimientos[[#This Row],[Tipo de Movimiento]]="Ingreso",tblMovimientos[[#This Row],[Ingreso]],-tblMovimientos[[#This Row],[Egreso]])</f>
        <v>-1850000</v>
      </c>
    </row>
    <row r="385" spans="2:16" x14ac:dyDescent="0.3">
      <c r="B385" s="40">
        <v>46198</v>
      </c>
      <c r="C385" s="47" t="str">
        <f>_xlfn.XLOOKUP(tblMovimientos[[#This Row],[Cuenta Bancaria]],Listas!$B:$B,Listas!$A:$A,"")</f>
        <v>Cross Family Trust</v>
      </c>
      <c r="D385" s="42" t="s">
        <v>111</v>
      </c>
      <c r="E385" s="57" t="str">
        <f>_xlfn.XLOOKUP(tblMovimientos[[#This Row],[Cuenta Bancaria]],Listas!$B:$B,Listas!$C:$C,"")</f>
        <v xml:space="preserve">Amerant Bank </v>
      </c>
      <c r="F385" s="42" t="s">
        <v>9</v>
      </c>
      <c r="G385" s="42" t="s">
        <v>79</v>
      </c>
      <c r="H385" s="4" t="str">
        <f>IFERROR(_xlfn.XLOOKUP(G385,Listas!E:E,Listas!F:F,""),"")</f>
        <v>Inversion</v>
      </c>
      <c r="I385" s="47" t="str">
        <f>IFERROR(_xlfn.XLOOKUP(G385,Listas!E:E,Listas!G:G,""),"")</f>
        <v>Externo</v>
      </c>
      <c r="J385" s="44">
        <v>150000</v>
      </c>
      <c r="K385" s="48">
        <f t="shared" si="2"/>
        <v>150000</v>
      </c>
      <c r="L385" s="15" t="s">
        <v>128</v>
      </c>
      <c r="M385" s="59">
        <f>SUMIFS('Saldos Iniciales'!$D$2:$D$38,'Saldos Iniciales'!$A$2:$A$38,C385,'Saldos Iniciales'!$B$2:$B$38,D385)+SUMIFS($K$1:$K$471,$C$1:$C$471,C385,$D$1:$D$471,D385,$B$1:$B$471,"&lt;="&amp;B385)</f>
        <v>1881717.6</v>
      </c>
      <c r="N385" s="68">
        <f>IF(tblMovimientos[[#This Row],[Tipo de Movimiento]]="Ingreso",tblMovimientos[[#This Row],[Monto (S/)]],"0")</f>
        <v>150000</v>
      </c>
      <c r="O385" s="68" t="str">
        <f>IF(tblMovimientos[[#This Row],[Tipo de Movimiento]]="Egreso",tblMovimientos[[#This Row],[Monto (S/)]],"0")</f>
        <v>0</v>
      </c>
      <c r="P385" s="28">
        <f>IF(tblMovimientos[[#This Row],[Tipo de Movimiento]]="Ingreso",tblMovimientos[[#This Row],[Ingreso]],-tblMovimientos[[#This Row],[Egreso]])</f>
        <v>150000</v>
      </c>
    </row>
    <row r="386" spans="2:16" x14ac:dyDescent="0.3">
      <c r="B386" s="40">
        <v>46198</v>
      </c>
      <c r="C386" s="47" t="str">
        <f>_xlfn.XLOOKUP(tblMovimientos[[#This Row],[Cuenta Bancaria]],Listas!$B:$B,Listas!$A:$A,"")</f>
        <v>Cross Family Trust</v>
      </c>
      <c r="D386" s="42" t="s">
        <v>111</v>
      </c>
      <c r="E386" s="57" t="str">
        <f>_xlfn.XLOOKUP(tblMovimientos[[#This Row],[Cuenta Bancaria]],Listas!$B:$B,Listas!$C:$C,"")</f>
        <v xml:space="preserve">Amerant Bank </v>
      </c>
      <c r="F386" s="42" t="s">
        <v>9</v>
      </c>
      <c r="G386" s="42" t="s">
        <v>79</v>
      </c>
      <c r="H386" s="4" t="str">
        <f>IFERROR(_xlfn.XLOOKUP(G386,Listas!E:E,Listas!F:F,""),"")</f>
        <v>Inversion</v>
      </c>
      <c r="I386" s="47" t="str">
        <f>IFERROR(_xlfn.XLOOKUP(G386,Listas!E:E,Listas!G:G,""),"")</f>
        <v>Externo</v>
      </c>
      <c r="J386" s="44">
        <v>2380000</v>
      </c>
      <c r="K386" s="5">
        <f t="shared" si="2"/>
        <v>2380000</v>
      </c>
      <c r="L386" s="15" t="s">
        <v>128</v>
      </c>
      <c r="M386" s="45">
        <f>SUMIFS('Saldos Iniciales'!$D$2:$D$38,'Saldos Iniciales'!$A$2:$A$38,C386,'Saldos Iniciales'!$B$2:$B$38,D386)+SUMIFS($K$1:$K$471,$C$1:$C$471,C386,$D$1:$D$471,D386,$B$1:$B$471,"&lt;="&amp;B386)</f>
        <v>1881717.6</v>
      </c>
      <c r="N386" s="68">
        <f>IF(tblMovimientos[[#This Row],[Tipo de Movimiento]]="Ingreso",tblMovimientos[[#This Row],[Monto (S/)]],"0")</f>
        <v>2380000</v>
      </c>
      <c r="O386" s="68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2380000</v>
      </c>
    </row>
    <row r="387" spans="2:16" x14ac:dyDescent="0.3">
      <c r="B387" s="40">
        <v>46198</v>
      </c>
      <c r="C387" s="47" t="str">
        <f>_xlfn.XLOOKUP(tblMovimientos[[#This Row],[Cuenta Bancaria]],Listas!$B:$B,Listas!$A:$A,"")</f>
        <v>Cross Family Trust</v>
      </c>
      <c r="D387" s="42" t="s">
        <v>111</v>
      </c>
      <c r="E387" s="57" t="str">
        <f>_xlfn.XLOOKUP(tblMovimientos[[#This Row],[Cuenta Bancaria]],Listas!$B:$B,Listas!$C:$C,"")</f>
        <v xml:space="preserve">Amerant Bank </v>
      </c>
      <c r="F387" s="42" t="s">
        <v>10</v>
      </c>
      <c r="G387" s="42" t="s">
        <v>60</v>
      </c>
      <c r="H387" s="4" t="str">
        <f>IFERROR(_xlfn.XLOOKUP(G387,Listas!E:E,Listas!F:F,""),"")</f>
        <v>Inversion</v>
      </c>
      <c r="I387" s="47" t="str">
        <f>IFERROR(_xlfn.XLOOKUP(G387,Listas!E:E,Listas!G:G,""),"")</f>
        <v>Interno</v>
      </c>
      <c r="J387" s="44">
        <v>150000</v>
      </c>
      <c r="K387" s="5">
        <f t="shared" si="2"/>
        <v>-150000</v>
      </c>
      <c r="L387" s="15" t="s">
        <v>128</v>
      </c>
      <c r="M387" s="45">
        <f>SUMIFS('Saldos Iniciales'!$D$2:$D$38,'Saldos Iniciales'!$A$2:$A$38,C387,'Saldos Iniciales'!$B$2:$B$38,D387)+SUMIFS($K$1:$K$471,$C$1:$C$471,C387,$D$1:$D$471,D387,$B$1:$B$471,"&lt;="&amp;B387)</f>
        <v>1881717.6</v>
      </c>
      <c r="N387" s="68" t="str">
        <f>IF(tblMovimientos[[#This Row],[Tipo de Movimiento]]="Ingreso",tblMovimientos[[#This Row],[Monto (S/)]],"0")</f>
        <v>0</v>
      </c>
      <c r="O387" s="68">
        <f>IF(tblMovimientos[[#This Row],[Tipo de Movimiento]]="Egreso",tblMovimientos[[#This Row],[Monto (S/)]],"0")</f>
        <v>150000</v>
      </c>
      <c r="P387" s="28">
        <f>IF(tblMovimientos[[#This Row],[Tipo de Movimiento]]="Ingreso",tblMovimientos[[#This Row],[Ingreso]],-tblMovimientos[[#This Row],[Egreso]])</f>
        <v>-150000</v>
      </c>
    </row>
    <row r="388" spans="2:16" x14ac:dyDescent="0.3">
      <c r="B388" s="40">
        <v>46198</v>
      </c>
      <c r="C388" s="47" t="str">
        <f>_xlfn.XLOOKUP(tblMovimientos[[#This Row],[Cuenta Bancaria]],Listas!$B:$B,Listas!$A:$A,"")</f>
        <v>Cross Family Trust</v>
      </c>
      <c r="D388" s="42" t="s">
        <v>111</v>
      </c>
      <c r="E388" s="57" t="str">
        <f>_xlfn.XLOOKUP(tblMovimientos[[#This Row],[Cuenta Bancaria]],Listas!$B:$B,Listas!$C:$C,"")</f>
        <v xml:space="preserve">Amerant Bank </v>
      </c>
      <c r="F388" s="42" t="s">
        <v>10</v>
      </c>
      <c r="G388" s="42" t="s">
        <v>53</v>
      </c>
      <c r="H388" s="4" t="str">
        <f>IFERROR(_xlfn.XLOOKUP(G388,Listas!E:E,Listas!F:F,""),"")</f>
        <v>Inversion</v>
      </c>
      <c r="I388" s="47" t="str">
        <f>IFERROR(_xlfn.XLOOKUP(G388,Listas!E:E,Listas!G:G,""),"")</f>
        <v>Interno</v>
      </c>
      <c r="J388" s="44">
        <v>500000</v>
      </c>
      <c r="K388" s="5">
        <f t="shared" si="2"/>
        <v>-500000</v>
      </c>
      <c r="L388" s="15" t="s">
        <v>128</v>
      </c>
      <c r="M388" s="45">
        <f>SUMIFS('Saldos Iniciales'!$D$2:$D$38,'Saldos Iniciales'!$A$2:$A$38,C388,'Saldos Iniciales'!$B$2:$B$38,D388)+SUMIFS($K$1:$K$471,$C$1:$C$471,C388,$D$1:$D$471,D388,$B$1:$B$471,"&lt;="&amp;B388)</f>
        <v>1881717.6</v>
      </c>
      <c r="N388" s="68" t="str">
        <f>IF(tblMovimientos[[#This Row],[Tipo de Movimiento]]="Ingreso",tblMovimientos[[#This Row],[Monto (S/)]],"0")</f>
        <v>0</v>
      </c>
      <c r="O388" s="68">
        <f>IF(tblMovimientos[[#This Row],[Tipo de Movimiento]]="Egreso",tblMovimientos[[#This Row],[Monto (S/)]],"0")</f>
        <v>500000</v>
      </c>
      <c r="P388" s="28">
        <f>IF(tblMovimientos[[#This Row],[Tipo de Movimiento]]="Ingreso",tblMovimientos[[#This Row],[Ingreso]],-tblMovimientos[[#This Row],[Egreso]])</f>
        <v>-500000</v>
      </c>
    </row>
    <row r="389" spans="2:16" x14ac:dyDescent="0.3">
      <c r="B389" s="40">
        <v>46198</v>
      </c>
      <c r="C389" s="47" t="str">
        <f>_xlfn.XLOOKUP(tblMovimientos[[#This Row],[Cuenta Bancaria]],Listas!$B:$B,Listas!$A:$A,"")</f>
        <v>SSP Capital</v>
      </c>
      <c r="D389" s="42" t="s">
        <v>104</v>
      </c>
      <c r="E389" s="57" t="str">
        <f>_xlfn.XLOOKUP(tblMovimientos[[#This Row],[Cuenta Bancaria]],Listas!$B:$B,Listas!$C:$C,"")</f>
        <v xml:space="preserve">Amerant Bank </v>
      </c>
      <c r="F389" s="42" t="s">
        <v>9</v>
      </c>
      <c r="G389" s="42" t="s">
        <v>75</v>
      </c>
      <c r="H389" s="4" t="str">
        <f>IFERROR(_xlfn.XLOOKUP(G389,Listas!E:E,Listas!F:F,""),"")</f>
        <v>Financiamiento</v>
      </c>
      <c r="I389" s="47" t="str">
        <f>IFERROR(_xlfn.XLOOKUP(G389,Listas!E:E,Listas!G:G,""),"")</f>
        <v>Interno</v>
      </c>
      <c r="J389" s="44">
        <v>1850000</v>
      </c>
      <c r="K389" s="48">
        <f t="shared" si="2"/>
        <v>1850000</v>
      </c>
      <c r="L389" s="15" t="s">
        <v>128</v>
      </c>
      <c r="M389" s="59">
        <f>SUMIFS('Saldos Iniciales'!$D$2:$D$38,'Saldos Iniciales'!$A$2:$A$38,C389,'Saldos Iniciales'!$B$2:$B$38,D389)+SUMIFS($K$1:$K$471,$C$1:$C$471,C389,$D$1:$D$471,D389,$B$1:$B$471,"&lt;="&amp;B389)</f>
        <v>1109351.6499999994</v>
      </c>
      <c r="N389" s="68">
        <f>IF(tblMovimientos[[#This Row],[Tipo de Movimiento]]="Ingreso",tblMovimientos[[#This Row],[Monto (S/)]],"0")</f>
        <v>1850000</v>
      </c>
      <c r="O389" s="68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1850000</v>
      </c>
    </row>
    <row r="390" spans="2:16" x14ac:dyDescent="0.3">
      <c r="B390" s="40">
        <v>46198</v>
      </c>
      <c r="C390" s="47" t="str">
        <f>_xlfn.XLOOKUP(tblMovimientos[[#This Row],[Cuenta Bancaria]],Listas!$B:$B,Listas!$A:$A,"")</f>
        <v>SSP Capital</v>
      </c>
      <c r="D390" s="42" t="s">
        <v>104</v>
      </c>
      <c r="E390" s="57" t="str">
        <f>_xlfn.XLOOKUP(tblMovimientos[[#This Row],[Cuenta Bancaria]],Listas!$B:$B,Listas!$C:$C,"")</f>
        <v xml:space="preserve">Amerant Bank </v>
      </c>
      <c r="F390" s="42" t="s">
        <v>10</v>
      </c>
      <c r="G390" s="42" t="s">
        <v>46</v>
      </c>
      <c r="H390" s="4" t="str">
        <f>IFERROR(_xlfn.XLOOKUP(G390,Listas!E:E,Listas!F:F,""),"")</f>
        <v>Financiamiento</v>
      </c>
      <c r="I390" s="47" t="str">
        <f>IFERROR(_xlfn.XLOOKUP(G390,Listas!E:E,Listas!G:G,""),"")</f>
        <v>Externo</v>
      </c>
      <c r="J390" s="44">
        <v>4071.45</v>
      </c>
      <c r="K390" s="5">
        <f t="shared" si="2"/>
        <v>-4071.45</v>
      </c>
      <c r="L390" s="15" t="s">
        <v>128</v>
      </c>
      <c r="M390" s="45">
        <f>SUMIFS('Saldos Iniciales'!$D$2:$D$38,'Saldos Iniciales'!$A$2:$A$38,C390,'Saldos Iniciales'!$B$2:$B$38,D390)+SUMIFS($K$1:$K$471,$C$1:$C$471,C390,$D$1:$D$471,D390,$B$1:$B$471,"&lt;="&amp;B390)</f>
        <v>1109351.6499999994</v>
      </c>
      <c r="N390" s="68" t="str">
        <f>IF(tblMovimientos[[#This Row],[Tipo de Movimiento]]="Ingreso",tblMovimientos[[#This Row],[Monto (S/)]],"0")</f>
        <v>0</v>
      </c>
      <c r="O390" s="68">
        <f>IF(tblMovimientos[[#This Row],[Tipo de Movimiento]]="Egreso",tblMovimientos[[#This Row],[Monto (S/)]],"0")</f>
        <v>4071.45</v>
      </c>
      <c r="P390" s="28">
        <f>IF(tblMovimientos[[#This Row],[Tipo de Movimiento]]="Ingreso",tblMovimientos[[#This Row],[Ingreso]],-tblMovimientos[[#This Row],[Egreso]])</f>
        <v>-4071.45</v>
      </c>
    </row>
    <row r="391" spans="2:16" x14ac:dyDescent="0.3">
      <c r="B391" s="40">
        <v>46198</v>
      </c>
      <c r="C391" s="47" t="str">
        <f>_xlfn.XLOOKUP(tblMovimientos[[#This Row],[Cuenta Bancaria]],Listas!$B:$B,Listas!$A:$A,"")</f>
        <v>SSP Capital</v>
      </c>
      <c r="D391" s="42" t="s">
        <v>104</v>
      </c>
      <c r="E391" s="57" t="str">
        <f>_xlfn.XLOOKUP(tblMovimientos[[#This Row],[Cuenta Bancaria]],Listas!$B:$B,Listas!$C:$C,"")</f>
        <v xml:space="preserve">Amerant Bank </v>
      </c>
      <c r="F391" s="42" t="s">
        <v>10</v>
      </c>
      <c r="G391" s="42" t="s">
        <v>46</v>
      </c>
      <c r="H391" s="4" t="str">
        <f>IFERROR(_xlfn.XLOOKUP(G391,Listas!E:E,Listas!F:F,""),"")</f>
        <v>Financiamiento</v>
      </c>
      <c r="I391" s="47" t="str">
        <f>IFERROR(_xlfn.XLOOKUP(G391,Listas!E:E,Listas!G:G,""),"")</f>
        <v>Externo</v>
      </c>
      <c r="J391" s="44">
        <v>8400</v>
      </c>
      <c r="K391" s="5">
        <f t="shared" si="2"/>
        <v>-8400</v>
      </c>
      <c r="L391" s="15" t="s">
        <v>128</v>
      </c>
      <c r="M391" s="45">
        <f>SUMIFS('Saldos Iniciales'!$D$2:$D$38,'Saldos Iniciales'!$A$2:$A$38,C391,'Saldos Iniciales'!$B$2:$B$38,D391)+SUMIFS($K$1:$K$471,$C$1:$C$471,C391,$D$1:$D$471,D391,$B$1:$B$471,"&lt;="&amp;B391)</f>
        <v>1109351.6499999994</v>
      </c>
      <c r="N391" s="68" t="str">
        <f>IF(tblMovimientos[[#This Row],[Tipo de Movimiento]]="Ingreso",tblMovimientos[[#This Row],[Monto (S/)]],"0")</f>
        <v>0</v>
      </c>
      <c r="O391" s="68">
        <f>IF(tblMovimientos[[#This Row],[Tipo de Movimiento]]="Egreso",tblMovimientos[[#This Row],[Monto (S/)]],"0")</f>
        <v>8400</v>
      </c>
      <c r="P391" s="28">
        <f>IF(tblMovimientos[[#This Row],[Tipo de Movimiento]]="Ingreso",tblMovimientos[[#This Row],[Ingreso]],-tblMovimientos[[#This Row],[Egreso]])</f>
        <v>-8400</v>
      </c>
    </row>
    <row r="392" spans="2:16" x14ac:dyDescent="0.3">
      <c r="B392" s="40">
        <v>46198</v>
      </c>
      <c r="C392" s="47" t="str">
        <f>_xlfn.XLOOKUP(tblMovimientos[[#This Row],[Cuenta Bancaria]],Listas!$B:$B,Listas!$A:$A,"")</f>
        <v>SSP Capital</v>
      </c>
      <c r="D392" s="42" t="s">
        <v>104</v>
      </c>
      <c r="E392" s="57" t="str">
        <f>_xlfn.XLOOKUP(tblMovimientos[[#This Row],[Cuenta Bancaria]],Listas!$B:$B,Listas!$C:$C,"")</f>
        <v xml:space="preserve">Amerant Bank </v>
      </c>
      <c r="F392" s="42" t="s">
        <v>10</v>
      </c>
      <c r="G392" s="42" t="s">
        <v>46</v>
      </c>
      <c r="H392" s="4" t="str">
        <f>IFERROR(_xlfn.XLOOKUP(G392,Listas!E:E,Listas!F:F,""),"")</f>
        <v>Financiamiento</v>
      </c>
      <c r="I392" s="47" t="str">
        <f>IFERROR(_xlfn.XLOOKUP(G392,Listas!E:E,Listas!G:G,""),"")</f>
        <v>Externo</v>
      </c>
      <c r="J392" s="44">
        <v>8666.67</v>
      </c>
      <c r="K392" s="5">
        <f t="shared" si="2"/>
        <v>-8666.67</v>
      </c>
      <c r="L392" s="15" t="s">
        <v>128</v>
      </c>
      <c r="M392" s="45">
        <f>SUMIFS('Saldos Iniciales'!$D$2:$D$38,'Saldos Iniciales'!$A$2:$A$38,C392,'Saldos Iniciales'!$B$2:$B$38,D392)+SUMIFS($K$1:$K$471,$C$1:$C$471,C392,$D$1:$D$471,D392,$B$1:$B$471,"&lt;="&amp;B392)</f>
        <v>1109351.6499999994</v>
      </c>
      <c r="N392" s="68" t="str">
        <f>IF(tblMovimientos[[#This Row],[Tipo de Movimiento]]="Ingreso",tblMovimientos[[#This Row],[Monto (S/)]],"0")</f>
        <v>0</v>
      </c>
      <c r="O392" s="68">
        <f>IF(tblMovimientos[[#This Row],[Tipo de Movimiento]]="Egreso",tblMovimientos[[#This Row],[Monto (S/)]],"0")</f>
        <v>8666.67</v>
      </c>
      <c r="P392" s="28">
        <f>IF(tblMovimientos[[#This Row],[Tipo de Movimiento]]="Ingreso",tblMovimientos[[#This Row],[Ingreso]],-tblMovimientos[[#This Row],[Egreso]])</f>
        <v>-8666.67</v>
      </c>
    </row>
    <row r="393" spans="2:16" x14ac:dyDescent="0.3">
      <c r="B393" s="40">
        <v>46198</v>
      </c>
      <c r="C393" s="47" t="str">
        <f>_xlfn.XLOOKUP(tblMovimientos[[#This Row],[Cuenta Bancaria]],Listas!$B:$B,Listas!$A:$A,"")</f>
        <v>SSP Capital</v>
      </c>
      <c r="D393" s="42" t="s">
        <v>104</v>
      </c>
      <c r="E393" s="57" t="str">
        <f>_xlfn.XLOOKUP(tblMovimientos[[#This Row],[Cuenta Bancaria]],Listas!$B:$B,Listas!$C:$C,"")</f>
        <v xml:space="preserve">Amerant Bank </v>
      </c>
      <c r="F393" s="42" t="s">
        <v>10</v>
      </c>
      <c r="G393" s="42" t="s">
        <v>46</v>
      </c>
      <c r="H393" s="4" t="str">
        <f>IFERROR(_xlfn.XLOOKUP(G393,Listas!E:E,Listas!F:F,""),"")</f>
        <v>Financiamiento</v>
      </c>
      <c r="I393" s="47" t="str">
        <f>IFERROR(_xlfn.XLOOKUP(G393,Listas!E:E,Listas!G:G,""),"")</f>
        <v>Externo</v>
      </c>
      <c r="J393" s="44">
        <v>10753.2</v>
      </c>
      <c r="K393" s="48">
        <f t="shared" si="2"/>
        <v>-10753.2</v>
      </c>
      <c r="L393" s="15" t="s">
        <v>128</v>
      </c>
      <c r="M393" s="59">
        <f>SUMIFS('Saldos Iniciales'!$D$2:$D$38,'Saldos Iniciales'!$A$2:$A$38,C393,'Saldos Iniciales'!$B$2:$B$38,D393)+SUMIFS($K$1:$K$471,$C$1:$C$471,C393,$D$1:$D$471,D393,$B$1:$B$471,"&lt;="&amp;B393)</f>
        <v>1109351.6499999994</v>
      </c>
      <c r="N393" s="68" t="str">
        <f>IF(tblMovimientos[[#This Row],[Tipo de Movimiento]]="Ingreso",tblMovimientos[[#This Row],[Monto (S/)]],"0")</f>
        <v>0</v>
      </c>
      <c r="O393" s="68">
        <f>IF(tblMovimientos[[#This Row],[Tipo de Movimiento]]="Egreso",tblMovimientos[[#This Row],[Monto (S/)]],"0")</f>
        <v>10753.2</v>
      </c>
      <c r="P393" s="28">
        <f>IF(tblMovimientos[[#This Row],[Tipo de Movimiento]]="Ingreso",tblMovimientos[[#This Row],[Ingreso]],-tblMovimientos[[#This Row],[Egreso]])</f>
        <v>-10753.2</v>
      </c>
    </row>
    <row r="394" spans="2:16" x14ac:dyDescent="0.3">
      <c r="B394" s="40">
        <v>46198</v>
      </c>
      <c r="C394" s="47" t="str">
        <f>_xlfn.XLOOKUP(tblMovimientos[[#This Row],[Cuenta Bancaria]],Listas!$B:$B,Listas!$A:$A,"")</f>
        <v>SSP Capital</v>
      </c>
      <c r="D394" s="42" t="s">
        <v>104</v>
      </c>
      <c r="E394" s="57" t="str">
        <f>_xlfn.XLOOKUP(tblMovimientos[[#This Row],[Cuenta Bancaria]],Listas!$B:$B,Listas!$C:$C,"")</f>
        <v xml:space="preserve">Amerant Bank </v>
      </c>
      <c r="F394" s="42" t="s">
        <v>10</v>
      </c>
      <c r="G394" s="42" t="s">
        <v>46</v>
      </c>
      <c r="H394" s="4" t="str">
        <f>IFERROR(_xlfn.XLOOKUP(G394,Listas!E:E,Listas!F:F,""),"")</f>
        <v>Financiamiento</v>
      </c>
      <c r="I394" s="47" t="str">
        <f>IFERROR(_xlfn.XLOOKUP(G394,Listas!E:E,Listas!G:G,""),"")</f>
        <v>Externo</v>
      </c>
      <c r="J394" s="44">
        <v>33463.550000000003</v>
      </c>
      <c r="K394" s="5">
        <f t="shared" si="2"/>
        <v>-33463.550000000003</v>
      </c>
      <c r="L394" s="15" t="s">
        <v>128</v>
      </c>
      <c r="M394" s="45">
        <f>SUMIFS('Saldos Iniciales'!$D$2:$D$38,'Saldos Iniciales'!$A$2:$A$38,C394,'Saldos Iniciales'!$B$2:$B$38,D394)+SUMIFS($K$1:$K$471,$C$1:$C$471,C394,$D$1:$D$471,D394,$B$1:$B$471,"&lt;="&amp;B394)</f>
        <v>1109351.6499999994</v>
      </c>
      <c r="N394" s="68" t="str">
        <f>IF(tblMovimientos[[#This Row],[Tipo de Movimiento]]="Ingreso",tblMovimientos[[#This Row],[Monto (S/)]],"0")</f>
        <v>0</v>
      </c>
      <c r="O394" s="68">
        <f>IF(tblMovimientos[[#This Row],[Tipo de Movimiento]]="Egreso",tblMovimientos[[#This Row],[Monto (S/)]],"0")</f>
        <v>33463.550000000003</v>
      </c>
      <c r="P394" s="28">
        <f>IF(tblMovimientos[[#This Row],[Tipo de Movimiento]]="Ingreso",tblMovimientos[[#This Row],[Ingreso]],-tblMovimientos[[#This Row],[Egreso]])</f>
        <v>-33463.550000000003</v>
      </c>
    </row>
    <row r="395" spans="2:16" x14ac:dyDescent="0.3">
      <c r="B395" s="40">
        <v>46198</v>
      </c>
      <c r="C395" s="47" t="str">
        <f>_xlfn.XLOOKUP(tblMovimientos[[#This Row],[Cuenta Bancaria]],Listas!$B:$B,Listas!$A:$A,"")</f>
        <v>SSP Capital</v>
      </c>
      <c r="D395" s="42" t="s">
        <v>104</v>
      </c>
      <c r="E395" s="57" t="str">
        <f>_xlfn.XLOOKUP(tblMovimientos[[#This Row],[Cuenta Bancaria]],Listas!$B:$B,Listas!$C:$C,"")</f>
        <v xml:space="preserve">Amerant Bank </v>
      </c>
      <c r="F395" s="42" t="s">
        <v>10</v>
      </c>
      <c r="G395" s="42" t="s">
        <v>46</v>
      </c>
      <c r="H395" s="4" t="str">
        <f>IFERROR(_xlfn.XLOOKUP(G395,Listas!E:E,Listas!F:F,""),"")</f>
        <v>Financiamiento</v>
      </c>
      <c r="I395" s="47" t="str">
        <f>IFERROR(_xlfn.XLOOKUP(G395,Listas!E:E,Listas!G:G,""),"")</f>
        <v>Externo</v>
      </c>
      <c r="J395" s="44">
        <v>47361.11</v>
      </c>
      <c r="K395" s="5">
        <f t="shared" si="2"/>
        <v>-47361.11</v>
      </c>
      <c r="L395" s="15" t="s">
        <v>128</v>
      </c>
      <c r="M395" s="45">
        <f>SUMIFS('Saldos Iniciales'!$D$2:$D$38,'Saldos Iniciales'!$A$2:$A$38,C395,'Saldos Iniciales'!$B$2:$B$38,D395)+SUMIFS($K$1:$K$471,$C$1:$C$471,C395,$D$1:$D$471,D395,$B$1:$B$471,"&lt;="&amp;B395)</f>
        <v>1109351.6499999994</v>
      </c>
      <c r="N395" s="68" t="str">
        <f>IF(tblMovimientos[[#This Row],[Tipo de Movimiento]]="Ingreso",tblMovimientos[[#This Row],[Monto (S/)]],"0")</f>
        <v>0</v>
      </c>
      <c r="O395" s="68">
        <f>IF(tblMovimientos[[#This Row],[Tipo de Movimiento]]="Egreso",tblMovimientos[[#This Row],[Monto (S/)]],"0")</f>
        <v>47361.11</v>
      </c>
      <c r="P395" s="28">
        <f>IF(tblMovimientos[[#This Row],[Tipo de Movimiento]]="Ingreso",tblMovimientos[[#This Row],[Ingreso]],-tblMovimientos[[#This Row],[Egreso]])</f>
        <v>-47361.11</v>
      </c>
    </row>
    <row r="396" spans="2:16" x14ac:dyDescent="0.3">
      <c r="B396" s="40">
        <v>46198</v>
      </c>
      <c r="C396" s="47" t="str">
        <f>_xlfn.XLOOKUP(tblMovimientos[[#This Row],[Cuenta Bancaria]],Listas!$B:$B,Listas!$A:$A,"")</f>
        <v>SSP Capital</v>
      </c>
      <c r="D396" s="42" t="s">
        <v>104</v>
      </c>
      <c r="E396" s="57" t="str">
        <f>_xlfn.XLOOKUP(tblMovimientos[[#This Row],[Cuenta Bancaria]],Listas!$B:$B,Listas!$C:$C,"")</f>
        <v xml:space="preserve">Amerant Bank </v>
      </c>
      <c r="F396" s="42" t="s">
        <v>10</v>
      </c>
      <c r="G396" s="42" t="s">
        <v>60</v>
      </c>
      <c r="H396" s="4" t="str">
        <f>IFERROR(_xlfn.XLOOKUP(G396,Listas!E:E,Listas!F:F,""),"")</f>
        <v>Inversion</v>
      </c>
      <c r="I396" s="47" t="str">
        <f>IFERROR(_xlfn.XLOOKUP(G396,Listas!E:E,Listas!G:G,""),"")</f>
        <v>Interno</v>
      </c>
      <c r="J396" s="44">
        <v>310000</v>
      </c>
      <c r="K396" s="5">
        <f t="shared" si="2"/>
        <v>-310000</v>
      </c>
      <c r="L396" s="15" t="s">
        <v>128</v>
      </c>
      <c r="M396" s="45">
        <f>SUMIFS('Saldos Iniciales'!$D$2:$D$38,'Saldos Iniciales'!$A$2:$A$38,C396,'Saldos Iniciales'!$B$2:$B$38,D396)+SUMIFS($K$1:$K$471,$C$1:$C$471,C396,$D$1:$D$471,D396,$B$1:$B$471,"&lt;="&amp;B396)</f>
        <v>1109351.6499999994</v>
      </c>
      <c r="N396" s="68" t="str">
        <f>IF(tblMovimientos[[#This Row],[Tipo de Movimiento]]="Ingreso",tblMovimientos[[#This Row],[Monto (S/)]],"0")</f>
        <v>0</v>
      </c>
      <c r="O396" s="68">
        <f>IF(tblMovimientos[[#This Row],[Tipo de Movimiento]]="Egreso",tblMovimientos[[#This Row],[Monto (S/)]],"0")</f>
        <v>310000</v>
      </c>
      <c r="P396" s="28">
        <f>IF(tblMovimientos[[#This Row],[Tipo de Movimiento]]="Ingreso",tblMovimientos[[#This Row],[Ingreso]],-tblMovimientos[[#This Row],[Egreso]])</f>
        <v>-310000</v>
      </c>
    </row>
    <row r="397" spans="2:16" x14ac:dyDescent="0.3">
      <c r="B397" s="40">
        <v>46198</v>
      </c>
      <c r="C397" s="47" t="str">
        <f>_xlfn.XLOOKUP(tblMovimientos[[#This Row],[Cuenta Bancaria]],Listas!$B:$B,Listas!$A:$A,"")</f>
        <v>SSP Capital</v>
      </c>
      <c r="D397" s="42" t="s">
        <v>104</v>
      </c>
      <c r="E397" s="57" t="str">
        <f>_xlfn.XLOOKUP(tblMovimientos[[#This Row],[Cuenta Bancaria]],Listas!$B:$B,Listas!$C:$C,"")</f>
        <v xml:space="preserve">Amerant Bank </v>
      </c>
      <c r="F397" s="42" t="s">
        <v>10</v>
      </c>
      <c r="G397" s="42" t="s">
        <v>60</v>
      </c>
      <c r="H397" s="4" t="str">
        <f>IFERROR(_xlfn.XLOOKUP(G397,Listas!E:E,Listas!F:F,""),"")</f>
        <v>Inversion</v>
      </c>
      <c r="I397" s="47" t="str">
        <f>IFERROR(_xlfn.XLOOKUP(G397,Listas!E:E,Listas!G:G,""),"")</f>
        <v>Interno</v>
      </c>
      <c r="J397" s="44">
        <v>90000</v>
      </c>
      <c r="K397" s="48">
        <f t="shared" si="2"/>
        <v>-90000</v>
      </c>
      <c r="L397" s="15" t="s">
        <v>128</v>
      </c>
      <c r="M397" s="59">
        <f>SUMIFS('Saldos Iniciales'!$D$2:$D$38,'Saldos Iniciales'!$A$2:$A$38,C397,'Saldos Iniciales'!$B$2:$B$38,D397)+SUMIFS($K$1:$K$471,$C$1:$C$471,C397,$D$1:$D$471,D397,$B$1:$B$471,"&lt;="&amp;B397)</f>
        <v>1109351.6499999994</v>
      </c>
      <c r="N397" s="68" t="str">
        <f>IF(tblMovimientos[[#This Row],[Tipo de Movimiento]]="Ingreso",tblMovimientos[[#This Row],[Monto (S/)]],"0")</f>
        <v>0</v>
      </c>
      <c r="O397" s="68">
        <f>IF(tblMovimientos[[#This Row],[Tipo de Movimiento]]="Egreso",tblMovimientos[[#This Row],[Monto (S/)]],"0")</f>
        <v>90000</v>
      </c>
      <c r="P397" s="28">
        <f>IF(tblMovimientos[[#This Row],[Tipo de Movimiento]]="Ingreso",tblMovimientos[[#This Row],[Ingreso]],-tblMovimientos[[#This Row],[Egreso]])</f>
        <v>-90000</v>
      </c>
    </row>
    <row r="398" spans="2:16" x14ac:dyDescent="0.3">
      <c r="B398" s="40">
        <v>46198</v>
      </c>
      <c r="C398" s="47" t="str">
        <f>_xlfn.XLOOKUP(tblMovimientos[[#This Row],[Cuenta Bancaria]],Listas!$B:$B,Listas!$A:$A,"")</f>
        <v>SSP Capital</v>
      </c>
      <c r="D398" s="42" t="s">
        <v>104</v>
      </c>
      <c r="E398" s="57" t="str">
        <f>_xlfn.XLOOKUP(tblMovimientos[[#This Row],[Cuenta Bancaria]],Listas!$B:$B,Listas!$C:$C,"")</f>
        <v xml:space="preserve">Amerant Bank </v>
      </c>
      <c r="F398" s="42" t="s">
        <v>10</v>
      </c>
      <c r="G398" s="42" t="s">
        <v>62</v>
      </c>
      <c r="H398" s="4" t="str">
        <f>IFERROR(_xlfn.XLOOKUP(G398,Listas!E:E,Listas!F:F,""),"")</f>
        <v>Operativo</v>
      </c>
      <c r="I398" s="47" t="str">
        <f>IFERROR(_xlfn.XLOOKUP(G398,Listas!E:E,Listas!G:G,""),"")</f>
        <v>Interno</v>
      </c>
      <c r="J398" s="44">
        <v>150000</v>
      </c>
      <c r="K398" s="5">
        <f t="shared" si="2"/>
        <v>-150000</v>
      </c>
      <c r="L398" s="15" t="s">
        <v>128</v>
      </c>
      <c r="M398" s="45">
        <f>SUMIFS('Saldos Iniciales'!$D$2:$D$38,'Saldos Iniciales'!$A$2:$A$38,C398,'Saldos Iniciales'!$B$2:$B$38,D398)+SUMIFS($K$1:$K$471,$C$1:$C$471,C398,$D$1:$D$471,D398,$B$1:$B$471,"&lt;="&amp;B398)</f>
        <v>1109351.6499999994</v>
      </c>
      <c r="N398" s="68" t="str">
        <f>IF(tblMovimientos[[#This Row],[Tipo de Movimiento]]="Ingreso",tblMovimientos[[#This Row],[Monto (S/)]],"0")</f>
        <v>0</v>
      </c>
      <c r="O398" s="68">
        <f>IF(tblMovimientos[[#This Row],[Tipo de Movimiento]]="Egreso",tblMovimientos[[#This Row],[Monto (S/)]],"0")</f>
        <v>150000</v>
      </c>
      <c r="P398" s="28">
        <f>IF(tblMovimientos[[#This Row],[Tipo de Movimiento]]="Ingreso",tblMovimientos[[#This Row],[Ingreso]],-tblMovimientos[[#This Row],[Egreso]])</f>
        <v>-150000</v>
      </c>
    </row>
    <row r="399" spans="2:16" x14ac:dyDescent="0.3">
      <c r="B399" s="40">
        <v>46198</v>
      </c>
      <c r="C399" s="47" t="str">
        <f>_xlfn.XLOOKUP(tblMovimientos[[#This Row],[Cuenta Bancaria]],Listas!$B:$B,Listas!$A:$A,"")</f>
        <v>SSP Capital</v>
      </c>
      <c r="D399" s="42" t="s">
        <v>104</v>
      </c>
      <c r="E399" s="57" t="str">
        <f>_xlfn.XLOOKUP(tblMovimientos[[#This Row],[Cuenta Bancaria]],Listas!$B:$B,Listas!$C:$C,"")</f>
        <v xml:space="preserve">Amerant Bank </v>
      </c>
      <c r="F399" s="42" t="s">
        <v>10</v>
      </c>
      <c r="G399" s="42" t="s">
        <v>61</v>
      </c>
      <c r="H399" s="4" t="str">
        <f>IFERROR(_xlfn.XLOOKUP(G399,Listas!E:E,Listas!F:F,""),"")</f>
        <v>Operativo</v>
      </c>
      <c r="I399" s="47" t="str">
        <f>IFERROR(_xlfn.XLOOKUP(G399,Listas!E:E,Listas!G:G,""),"")</f>
        <v>Externo</v>
      </c>
      <c r="J399" s="44">
        <v>200000</v>
      </c>
      <c r="K399" s="5">
        <f t="shared" ref="K399:K424" si="3">IF(F399="Ingreso",J399,-J399)</f>
        <v>-200000</v>
      </c>
      <c r="L399" s="15" t="s">
        <v>128</v>
      </c>
      <c r="M399" s="45">
        <f>SUMIFS('Saldos Iniciales'!$D$2:$D$38,'Saldos Iniciales'!$A$2:$A$38,C399,'Saldos Iniciales'!$B$2:$B$38,D399)+SUMIFS($K$1:$K$471,$C$1:$C$471,C399,$D$1:$D$471,D399,$B$1:$B$471,"&lt;="&amp;B399)</f>
        <v>1109351.6499999994</v>
      </c>
      <c r="N399" s="68" t="str">
        <f>IF(tblMovimientos[[#This Row],[Tipo de Movimiento]]="Ingreso",tblMovimientos[[#This Row],[Monto (S/)]],"0")</f>
        <v>0</v>
      </c>
      <c r="O399" s="68">
        <f>IF(tblMovimientos[[#This Row],[Tipo de Movimiento]]="Egreso",tblMovimientos[[#This Row],[Monto (S/)]],"0")</f>
        <v>200000</v>
      </c>
      <c r="P399" s="28">
        <f>IF(tblMovimientos[[#This Row],[Tipo de Movimiento]]="Ingreso",tblMovimientos[[#This Row],[Ingreso]],-tblMovimientos[[#This Row],[Egreso]])</f>
        <v>-200000</v>
      </c>
    </row>
    <row r="400" spans="2:16" x14ac:dyDescent="0.3">
      <c r="B400" s="40">
        <v>46198</v>
      </c>
      <c r="C400" s="47" t="str">
        <f>_xlfn.XLOOKUP(tblMovimientos[[#This Row],[Cuenta Bancaria]],Listas!$B:$B,Listas!$A:$A,"")</f>
        <v>SSP Capital</v>
      </c>
      <c r="D400" s="42" t="s">
        <v>104</v>
      </c>
      <c r="E400" s="57" t="str">
        <f>_xlfn.XLOOKUP(tblMovimientos[[#This Row],[Cuenta Bancaria]],Listas!$B:$B,Listas!$C:$C,"")</f>
        <v xml:space="preserve">Amerant Bank </v>
      </c>
      <c r="F400" s="42" t="s">
        <v>10</v>
      </c>
      <c r="G400" s="42" t="s">
        <v>60</v>
      </c>
      <c r="H400" s="4" t="str">
        <f>IFERROR(_xlfn.XLOOKUP(G400,Listas!E:E,Listas!F:F,""),"")</f>
        <v>Inversion</v>
      </c>
      <c r="I400" s="47" t="str">
        <f>IFERROR(_xlfn.XLOOKUP(G400,Listas!E:E,Listas!G:G,""),"")</f>
        <v>Interno</v>
      </c>
      <c r="J400" s="44">
        <v>2380000</v>
      </c>
      <c r="K400" s="5">
        <f t="shared" si="3"/>
        <v>-2380000</v>
      </c>
      <c r="L400" s="15" t="s">
        <v>128</v>
      </c>
      <c r="M400" s="45">
        <f>SUMIFS('Saldos Iniciales'!$D$2:$D$38,'Saldos Iniciales'!$A$2:$A$38,C400,'Saldos Iniciales'!$B$2:$B$38,D400)+SUMIFS($K$1:$K$471,$C$1:$C$471,C400,$D$1:$D$471,D400,$B$1:$B$471,"&lt;="&amp;B400)</f>
        <v>1109351.6499999994</v>
      </c>
      <c r="N400" s="68" t="str">
        <f>IF(tblMovimientos[[#This Row],[Tipo de Movimiento]]="Ingreso",tblMovimientos[[#This Row],[Monto (S/)]],"0")</f>
        <v>0</v>
      </c>
      <c r="O400" s="68">
        <f>IF(tblMovimientos[[#This Row],[Tipo de Movimiento]]="Egreso",tblMovimientos[[#This Row],[Monto (S/)]],"0")</f>
        <v>2380000</v>
      </c>
      <c r="P400" s="28">
        <f>IF(tblMovimientos[[#This Row],[Tipo de Movimiento]]="Ingreso",tblMovimientos[[#This Row],[Ingreso]],-tblMovimientos[[#This Row],[Egreso]])</f>
        <v>-2380000</v>
      </c>
    </row>
    <row r="401" spans="1:16" x14ac:dyDescent="0.3">
      <c r="B401" s="40">
        <v>46198</v>
      </c>
      <c r="C401" s="47" t="str">
        <f>_xlfn.XLOOKUP(tblMovimientos[[#This Row],[Cuenta Bancaria]],Listas!$B:$B,Listas!$A:$A,"")</f>
        <v>Go Blue</v>
      </c>
      <c r="D401" s="42" t="s">
        <v>126</v>
      </c>
      <c r="E401" s="57" t="str">
        <f>_xlfn.XLOOKUP(tblMovimientos[[#This Row],[Cuenta Bancaria]],Listas!$B:$B,Listas!$C:$C,"")</f>
        <v xml:space="preserve">Amerant Bank </v>
      </c>
      <c r="F401" s="42" t="s">
        <v>10</v>
      </c>
      <c r="G401" s="42" t="s">
        <v>38</v>
      </c>
      <c r="H401" s="4" t="str">
        <f>IFERROR(_xlfn.XLOOKUP(G401,Listas!E:E,Listas!F:F,""),"")</f>
        <v>Operativo</v>
      </c>
      <c r="I401" s="47" t="str">
        <f>IFERROR(_xlfn.XLOOKUP(G401,Listas!E:E,Listas!G:G,""),"")</f>
        <v>Externo</v>
      </c>
      <c r="J401" s="44">
        <v>1896.6</v>
      </c>
      <c r="K401" s="48">
        <f t="shared" si="3"/>
        <v>-1896.6</v>
      </c>
      <c r="L401" s="15" t="s">
        <v>128</v>
      </c>
      <c r="M401" s="59">
        <f>SUMIFS('Saldos Iniciales'!$D$2:$D$38,'Saldos Iniciales'!$A$2:$A$38,C401,'Saldos Iniciales'!$B$2:$B$38,D401)+SUMIFS($K$1:$K$471,$C$1:$C$471,C401,$D$1:$D$471,D401,$B$1:$B$471,"&lt;="&amp;B401)</f>
        <v>32732.080000000002</v>
      </c>
      <c r="N401" s="68" t="str">
        <f>IF(tblMovimientos[[#This Row],[Tipo de Movimiento]]="Ingreso",tblMovimientos[[#This Row],[Monto (S/)]],"0")</f>
        <v>0</v>
      </c>
      <c r="O401" s="68">
        <f>IF(tblMovimientos[[#This Row],[Tipo de Movimiento]]="Egreso",tblMovimientos[[#This Row],[Monto (S/)]],"0")</f>
        <v>1896.6</v>
      </c>
      <c r="P401" s="28">
        <f>IF(tblMovimientos[[#This Row],[Tipo de Movimiento]]="Ingreso",tblMovimientos[[#This Row],[Ingreso]],-tblMovimientos[[#This Row],[Egreso]])</f>
        <v>-1896.6</v>
      </c>
    </row>
    <row r="402" spans="1:16" x14ac:dyDescent="0.3">
      <c r="B402" s="40">
        <v>46198</v>
      </c>
      <c r="C402" s="47" t="str">
        <f>_xlfn.XLOOKUP(tblMovimientos[[#This Row],[Cuenta Bancaria]],Listas!$B:$B,Listas!$A:$A,"")</f>
        <v>Go Blue</v>
      </c>
      <c r="D402" s="42" t="s">
        <v>126</v>
      </c>
      <c r="E402" s="57" t="str">
        <f>_xlfn.XLOOKUP(tblMovimientos[[#This Row],[Cuenta Bancaria]],Listas!$B:$B,Listas!$C:$C,"")</f>
        <v xml:space="preserve">Amerant Bank </v>
      </c>
      <c r="F402" s="42" t="s">
        <v>10</v>
      </c>
      <c r="G402" s="42" t="s">
        <v>44</v>
      </c>
      <c r="H402" s="4" t="str">
        <f>IFERROR(_xlfn.XLOOKUP(G402,Listas!E:E,Listas!F:F,""),"")</f>
        <v>Operativo</v>
      </c>
      <c r="I402" s="47" t="str">
        <f>IFERROR(_xlfn.XLOOKUP(G402,Listas!E:E,Listas!G:G,""),"")</f>
        <v>Externo</v>
      </c>
      <c r="J402" s="44">
        <v>15</v>
      </c>
      <c r="K402" s="5">
        <f t="shared" si="3"/>
        <v>-15</v>
      </c>
      <c r="L402" s="15" t="s">
        <v>128</v>
      </c>
      <c r="M402" s="45">
        <f>SUMIFS('Saldos Iniciales'!$D$2:$D$38,'Saldos Iniciales'!$A$2:$A$38,C402,'Saldos Iniciales'!$B$2:$B$38,D402)+SUMIFS($K$1:$K$471,$C$1:$C$471,C402,$D$1:$D$471,D402,$B$1:$B$471,"&lt;="&amp;B402)</f>
        <v>32732.080000000002</v>
      </c>
      <c r="N402" s="68" t="str">
        <f>IF(tblMovimientos[[#This Row],[Tipo de Movimiento]]="Ingreso",tblMovimientos[[#This Row],[Monto (S/)]],"0")</f>
        <v>0</v>
      </c>
      <c r="O402" s="68">
        <f>IF(tblMovimientos[[#This Row],[Tipo de Movimiento]]="Egreso",tblMovimientos[[#This Row],[Monto (S/)]],"0")</f>
        <v>15</v>
      </c>
      <c r="P402" s="28">
        <f>IF(tblMovimientos[[#This Row],[Tipo de Movimiento]]="Ingreso",tblMovimientos[[#This Row],[Ingreso]],-tblMovimientos[[#This Row],[Egreso]])</f>
        <v>-15</v>
      </c>
    </row>
    <row r="403" spans="1:16" x14ac:dyDescent="0.3">
      <c r="B403" s="40">
        <v>46198</v>
      </c>
      <c r="C403" s="47" t="str">
        <f>_xlfn.XLOOKUP(tblMovimientos[[#This Row],[Cuenta Bancaria]],Listas!$B:$B,Listas!$A:$A,"")</f>
        <v>Go Blue</v>
      </c>
      <c r="D403" s="42" t="s">
        <v>126</v>
      </c>
      <c r="E403" s="57" t="str">
        <f>_xlfn.XLOOKUP(tblMovimientos[[#This Row],[Cuenta Bancaria]],Listas!$B:$B,Listas!$C:$C,"")</f>
        <v xml:space="preserve">Amerant Bank </v>
      </c>
      <c r="F403" s="42" t="s">
        <v>10</v>
      </c>
      <c r="G403" s="42" t="s">
        <v>38</v>
      </c>
      <c r="H403" s="4" t="str">
        <f>IFERROR(_xlfn.XLOOKUP(G403,Listas!E:E,Listas!F:F,""),"")</f>
        <v>Operativo</v>
      </c>
      <c r="I403" s="47" t="str">
        <f>IFERROR(_xlfn.XLOOKUP(G403,Listas!E:E,Listas!G:G,""),"")</f>
        <v>Externo</v>
      </c>
      <c r="J403" s="44">
        <v>2500</v>
      </c>
      <c r="K403" s="5">
        <f t="shared" si="3"/>
        <v>-2500</v>
      </c>
      <c r="L403" s="15" t="s">
        <v>128</v>
      </c>
      <c r="M403" s="45">
        <f>SUMIFS('Saldos Iniciales'!$D$2:$D$38,'Saldos Iniciales'!$A$2:$A$38,C403,'Saldos Iniciales'!$B$2:$B$38,D403)+SUMIFS($K$1:$K$471,$C$1:$C$471,C403,$D$1:$D$471,D403,$B$1:$B$471,"&lt;="&amp;B403)</f>
        <v>32732.080000000002</v>
      </c>
      <c r="N403" s="68" t="str">
        <f>IF(tblMovimientos[[#This Row],[Tipo de Movimiento]]="Ingreso",tblMovimientos[[#This Row],[Monto (S/)]],"0")</f>
        <v>0</v>
      </c>
      <c r="O403" s="68">
        <f>IF(tblMovimientos[[#This Row],[Tipo de Movimiento]]="Egreso",tblMovimientos[[#This Row],[Monto (S/)]],"0")</f>
        <v>2500</v>
      </c>
      <c r="P403" s="28">
        <f>IF(tblMovimientos[[#This Row],[Tipo de Movimiento]]="Ingreso",tblMovimientos[[#This Row],[Ingreso]],-tblMovimientos[[#This Row],[Egreso]])</f>
        <v>-2500</v>
      </c>
    </row>
    <row r="404" spans="1:16" x14ac:dyDescent="0.3">
      <c r="B404" s="40">
        <v>46198</v>
      </c>
      <c r="C404" s="47" t="str">
        <f>_xlfn.XLOOKUP(tblMovimientos[[#This Row],[Cuenta Bancaria]],Listas!$B:$B,Listas!$A:$A,"")</f>
        <v>Go Blue</v>
      </c>
      <c r="D404" s="42" t="s">
        <v>126</v>
      </c>
      <c r="E404" s="57" t="str">
        <f>_xlfn.XLOOKUP(tblMovimientos[[#This Row],[Cuenta Bancaria]],Listas!$B:$B,Listas!$C:$C,"")</f>
        <v xml:space="preserve">Amerant Bank </v>
      </c>
      <c r="F404" s="42" t="s">
        <v>10</v>
      </c>
      <c r="G404" s="42" t="s">
        <v>44</v>
      </c>
      <c r="H404" s="4" t="str">
        <f>IFERROR(_xlfn.XLOOKUP(G404,Listas!E:E,Listas!F:F,""),"")</f>
        <v>Operativo</v>
      </c>
      <c r="I404" s="47" t="str">
        <f>IFERROR(_xlfn.XLOOKUP(G404,Listas!E:E,Listas!G:G,""),"")</f>
        <v>Externo</v>
      </c>
      <c r="J404" s="44">
        <v>15</v>
      </c>
      <c r="K404" s="5">
        <f t="shared" si="3"/>
        <v>-15</v>
      </c>
      <c r="L404" s="15" t="s">
        <v>128</v>
      </c>
      <c r="M404" s="45">
        <f>SUMIFS('Saldos Iniciales'!$D$2:$D$38,'Saldos Iniciales'!$A$2:$A$38,C404,'Saldos Iniciales'!$B$2:$B$38,D404)+SUMIFS($K$1:$K$471,$C$1:$C$471,C404,$D$1:$D$471,D404,$B$1:$B$471,"&lt;="&amp;B404)</f>
        <v>32732.080000000002</v>
      </c>
      <c r="N404" s="68" t="str">
        <f>IF(tblMovimientos[[#This Row],[Tipo de Movimiento]]="Ingreso",tblMovimientos[[#This Row],[Monto (S/)]],"0")</f>
        <v>0</v>
      </c>
      <c r="O404" s="68">
        <f>IF(tblMovimientos[[#This Row],[Tipo de Movimiento]]="Egreso",tblMovimientos[[#This Row],[Monto (S/)]],"0")</f>
        <v>15</v>
      </c>
      <c r="P404" s="28">
        <f>IF(tblMovimientos[[#This Row],[Tipo de Movimiento]]="Ingreso",tblMovimientos[[#This Row],[Ingreso]],-tblMovimientos[[#This Row],[Egreso]])</f>
        <v>-15</v>
      </c>
    </row>
    <row r="405" spans="1:16" x14ac:dyDescent="0.3">
      <c r="B405" s="40">
        <v>46198</v>
      </c>
      <c r="C405" s="47" t="str">
        <f>_xlfn.XLOOKUP(tblMovimientos[[#This Row],[Cuenta Bancaria]],Listas!$B:$B,Listas!$A:$A,"")</f>
        <v>Go Blue</v>
      </c>
      <c r="D405" s="42" t="s">
        <v>126</v>
      </c>
      <c r="E405" s="57" t="str">
        <f>_xlfn.XLOOKUP(tblMovimientos[[#This Row],[Cuenta Bancaria]],Listas!$B:$B,Listas!$C:$C,"")</f>
        <v xml:space="preserve">Amerant Bank </v>
      </c>
      <c r="F405" s="42" t="s">
        <v>10</v>
      </c>
      <c r="G405" s="42" t="s">
        <v>38</v>
      </c>
      <c r="H405" s="4" t="str">
        <f>IFERROR(_xlfn.XLOOKUP(G405,Listas!E:E,Listas!F:F,""),"")</f>
        <v>Operativo</v>
      </c>
      <c r="I405" s="47" t="str">
        <f>IFERROR(_xlfn.XLOOKUP(G405,Listas!E:E,Listas!G:G,""),"")</f>
        <v>Externo</v>
      </c>
      <c r="J405" s="44">
        <v>2577.2800000000002</v>
      </c>
      <c r="K405" s="48">
        <f t="shared" si="3"/>
        <v>-2577.2800000000002</v>
      </c>
      <c r="L405" s="15" t="s">
        <v>128</v>
      </c>
      <c r="M405" s="59">
        <f>SUMIFS('Saldos Iniciales'!$D$2:$D$38,'Saldos Iniciales'!$A$2:$A$38,C405,'Saldos Iniciales'!$B$2:$B$38,D405)+SUMIFS($K$1:$K$471,$C$1:$C$471,C405,$D$1:$D$471,D405,$B$1:$B$471,"&lt;="&amp;B405)</f>
        <v>32732.080000000002</v>
      </c>
      <c r="N405" s="68" t="str">
        <f>IF(tblMovimientos[[#This Row],[Tipo de Movimiento]]="Ingreso",tblMovimientos[[#This Row],[Monto (S/)]],"0")</f>
        <v>0</v>
      </c>
      <c r="O405" s="68">
        <f>IF(tblMovimientos[[#This Row],[Tipo de Movimiento]]="Egreso",tblMovimientos[[#This Row],[Monto (S/)]],"0")</f>
        <v>2577.2800000000002</v>
      </c>
      <c r="P405" s="28">
        <f>IF(tblMovimientos[[#This Row],[Tipo de Movimiento]]="Ingreso",tblMovimientos[[#This Row],[Ingreso]],-tblMovimientos[[#This Row],[Egreso]])</f>
        <v>-2577.2800000000002</v>
      </c>
    </row>
    <row r="406" spans="1:16" x14ac:dyDescent="0.3">
      <c r="A406" s="46"/>
      <c r="B406" s="40">
        <v>46198</v>
      </c>
      <c r="C406" s="47" t="str">
        <f>_xlfn.XLOOKUP(tblMovimientos[[#This Row],[Cuenta Bancaria]],Listas!$B:$B,Listas!$A:$A,"")</f>
        <v>Go Blue</v>
      </c>
      <c r="D406" s="42" t="s">
        <v>126</v>
      </c>
      <c r="E406" s="58" t="str">
        <f>_xlfn.XLOOKUP(tblMovimientos[[#This Row],[Cuenta Bancaria]],Listas!$B:$B,Listas!$C:$C,"")</f>
        <v xml:space="preserve">Amerant Bank </v>
      </c>
      <c r="F406" s="42" t="s">
        <v>10</v>
      </c>
      <c r="G406" s="42" t="s">
        <v>44</v>
      </c>
      <c r="H406" s="47" t="str">
        <f>IFERROR(_xlfn.XLOOKUP(G406,Listas!E:E,Listas!F:F,""),"")</f>
        <v>Operativo</v>
      </c>
      <c r="I406" s="47" t="str">
        <f>IFERROR(_xlfn.XLOOKUP(G406,Listas!E:E,Listas!G:G,""),"")</f>
        <v>Externo</v>
      </c>
      <c r="J406" s="44">
        <v>15</v>
      </c>
      <c r="K406" s="5">
        <f t="shared" si="3"/>
        <v>-15</v>
      </c>
      <c r="L406" s="15" t="s">
        <v>128</v>
      </c>
      <c r="M406" s="45">
        <f>SUMIFS('Saldos Iniciales'!$D$2:$D$38,'Saldos Iniciales'!$A$2:$A$38,C406,'Saldos Iniciales'!$B$2:$B$38,D406)+SUMIFS($K$1:$K$471,$C$1:$C$471,C406,$D$1:$D$471,D406,$B$1:$B$471,"&lt;="&amp;B406)</f>
        <v>32732.080000000002</v>
      </c>
      <c r="N406" s="68" t="str">
        <f>IF(tblMovimientos[[#This Row],[Tipo de Movimiento]]="Ingreso",tblMovimientos[[#This Row],[Monto (S/)]],"0")</f>
        <v>0</v>
      </c>
      <c r="O406" s="68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</row>
    <row r="407" spans="1:16" x14ac:dyDescent="0.3">
      <c r="B407" s="40">
        <v>46198</v>
      </c>
      <c r="C407" s="47" t="str">
        <f>_xlfn.XLOOKUP(tblMovimientos[[#This Row],[Cuenta Bancaria]],Listas!$B:$B,Listas!$A:$A,"")</f>
        <v>Go Blue</v>
      </c>
      <c r="D407" s="42" t="s">
        <v>126</v>
      </c>
      <c r="E407" s="57" t="str">
        <f>_xlfn.XLOOKUP(tblMovimientos[[#This Row],[Cuenta Bancaria]],Listas!$B:$B,Listas!$C:$C,"")</f>
        <v xml:space="preserve">Amerant Bank </v>
      </c>
      <c r="F407" s="42" t="s">
        <v>10</v>
      </c>
      <c r="G407" s="42" t="s">
        <v>38</v>
      </c>
      <c r="H407" s="4" t="str">
        <f>IFERROR(_xlfn.XLOOKUP(G407,Listas!E:E,Listas!F:F,""),"")</f>
        <v>Operativo</v>
      </c>
      <c r="I407" s="47" t="str">
        <f>IFERROR(_xlfn.XLOOKUP(G407,Listas!E:E,Listas!G:G,""),"")</f>
        <v>Externo</v>
      </c>
      <c r="J407" s="44">
        <v>4922</v>
      </c>
      <c r="K407" s="48">
        <f t="shared" si="3"/>
        <v>-4922</v>
      </c>
      <c r="L407" s="15" t="s">
        <v>128</v>
      </c>
      <c r="M407" s="59">
        <f>SUMIFS('Saldos Iniciales'!$D$2:$D$38,'Saldos Iniciales'!$A$2:$A$38,C407,'Saldos Iniciales'!$B$2:$B$38,D407)+SUMIFS($K$1:$K$471,$C$1:$C$471,C407,$D$1:$D$471,D407,$B$1:$B$471,"&lt;="&amp;B407)</f>
        <v>32732.080000000002</v>
      </c>
      <c r="N407" s="68" t="str">
        <f>IF(tblMovimientos[[#This Row],[Tipo de Movimiento]]="Ingreso",tblMovimientos[[#This Row],[Monto (S/)]],"0")</f>
        <v>0</v>
      </c>
      <c r="O407" s="68">
        <f>IF(tblMovimientos[[#This Row],[Tipo de Movimiento]]="Egreso",tblMovimientos[[#This Row],[Monto (S/)]],"0")</f>
        <v>4922</v>
      </c>
      <c r="P407" s="28">
        <f>IF(tblMovimientos[[#This Row],[Tipo de Movimiento]]="Ingreso",tblMovimientos[[#This Row],[Ingreso]],-tblMovimientos[[#This Row],[Egreso]])</f>
        <v>-4922</v>
      </c>
    </row>
    <row r="408" spans="1:16" x14ac:dyDescent="0.3">
      <c r="B408" s="40">
        <v>46198</v>
      </c>
      <c r="C408" s="47" t="str">
        <f>_xlfn.XLOOKUP(tblMovimientos[[#This Row],[Cuenta Bancaria]],Listas!$B:$B,Listas!$A:$A,"")</f>
        <v>Go Blue</v>
      </c>
      <c r="D408" s="42" t="s">
        <v>126</v>
      </c>
      <c r="E408" s="57" t="str">
        <f>_xlfn.XLOOKUP(tblMovimientos[[#This Row],[Cuenta Bancaria]],Listas!$B:$B,Listas!$C:$C,"")</f>
        <v xml:space="preserve">Amerant Bank </v>
      </c>
      <c r="F408" s="42" t="s">
        <v>10</v>
      </c>
      <c r="G408" s="42" t="s">
        <v>44</v>
      </c>
      <c r="H408" s="4" t="str">
        <f>IFERROR(_xlfn.XLOOKUP(G408,Listas!E:E,Listas!F:F,""),"")</f>
        <v>Operativo</v>
      </c>
      <c r="I408" s="47" t="str">
        <f>IFERROR(_xlfn.XLOOKUP(G408,Listas!E:E,Listas!G:G,""),"")</f>
        <v>Externo</v>
      </c>
      <c r="J408" s="44">
        <v>15</v>
      </c>
      <c r="K408" s="5">
        <f t="shared" si="3"/>
        <v>-15</v>
      </c>
      <c r="L408" s="15" t="s">
        <v>128</v>
      </c>
      <c r="M408" s="45">
        <f>SUMIFS('Saldos Iniciales'!$D$2:$D$38,'Saldos Iniciales'!$A$2:$A$38,C408,'Saldos Iniciales'!$B$2:$B$38,D408)+SUMIFS($K$1:$K$471,$C$1:$C$471,C408,$D$1:$D$471,D408,$B$1:$B$471,"&lt;="&amp;B408)</f>
        <v>32732.080000000002</v>
      </c>
      <c r="N408" s="68" t="str">
        <f>IF(tblMovimientos[[#This Row],[Tipo de Movimiento]]="Ingreso",tblMovimientos[[#This Row],[Monto (S/)]],"0")</f>
        <v>0</v>
      </c>
      <c r="O408" s="68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</row>
    <row r="409" spans="1:16" x14ac:dyDescent="0.3">
      <c r="B409" s="40">
        <v>46199</v>
      </c>
      <c r="C409" s="47" t="str">
        <f>_xlfn.XLOOKUP(tblMovimientos[[#This Row],[Cuenta Bancaria]],Listas!$B:$B,Listas!$A:$A,"")</f>
        <v>SSP Capital</v>
      </c>
      <c r="D409" s="42" t="s">
        <v>101</v>
      </c>
      <c r="E409" s="57" t="str">
        <f>_xlfn.XLOOKUP(tblMovimientos[[#This Row],[Cuenta Bancaria]],Listas!$B:$B,Listas!$C:$C,"")</f>
        <v>Bank of America</v>
      </c>
      <c r="F409" s="42" t="s">
        <v>10</v>
      </c>
      <c r="G409" s="42" t="s">
        <v>38</v>
      </c>
      <c r="H409" s="4" t="str">
        <f>IFERROR(_xlfn.XLOOKUP(G409,Listas!E:E,Listas!F:F,""),"")</f>
        <v>Operativo</v>
      </c>
      <c r="I409" s="47" t="str">
        <f>IFERROR(_xlfn.XLOOKUP(G409,Listas!E:E,Listas!G:G,""),"")</f>
        <v>Externo</v>
      </c>
      <c r="J409" s="44">
        <v>762.99</v>
      </c>
      <c r="K409" s="5">
        <f t="shared" si="3"/>
        <v>-762.99</v>
      </c>
      <c r="L409" s="15" t="s">
        <v>128</v>
      </c>
      <c r="M409" s="45">
        <f>SUMIFS('Saldos Iniciales'!$D$2:$D$38,'Saldos Iniciales'!$A$2:$A$38,C409,'Saldos Iniciales'!$B$2:$B$38,D409)+SUMIFS($K$1:$K$471,$C$1:$C$471,C409,$D$1:$D$471,D409,$B$1:$B$471,"&lt;="&amp;B409)</f>
        <v>8497</v>
      </c>
      <c r="N409" s="68" t="str">
        <f>IF(tblMovimientos[[#This Row],[Tipo de Movimiento]]="Ingreso",tblMovimientos[[#This Row],[Monto (S/)]],"0")</f>
        <v>0</v>
      </c>
      <c r="O409" s="68">
        <f>IF(tblMovimientos[[#This Row],[Tipo de Movimiento]]="Egreso",tblMovimientos[[#This Row],[Monto (S/)]],"0")</f>
        <v>762.99</v>
      </c>
      <c r="P409" s="28">
        <f>IF(tblMovimientos[[#This Row],[Tipo de Movimiento]]="Ingreso",tblMovimientos[[#This Row],[Ingreso]],-tblMovimientos[[#This Row],[Egreso]])</f>
        <v>-762.99</v>
      </c>
    </row>
    <row r="410" spans="1:16" x14ac:dyDescent="0.3">
      <c r="B410" s="40">
        <v>46199</v>
      </c>
      <c r="C410" s="47" t="str">
        <f>_xlfn.XLOOKUP(tblMovimientos[[#This Row],[Cuenta Bancaria]],Listas!$B:$B,Listas!$A:$A,"")</f>
        <v>CFT Group</v>
      </c>
      <c r="D410" s="42" t="s">
        <v>94</v>
      </c>
      <c r="E410" s="57" t="str">
        <f>_xlfn.XLOOKUP(tblMovimientos[[#This Row],[Cuenta Bancaria]],Listas!$B:$B,Listas!$C:$C,"")</f>
        <v>Bank of America</v>
      </c>
      <c r="F410" s="42" t="s">
        <v>10</v>
      </c>
      <c r="G410" s="42" t="s">
        <v>49</v>
      </c>
      <c r="H410" s="4" t="str">
        <f>IFERROR(_xlfn.XLOOKUP(G410,Listas!E:E,Listas!F:F,""),"")</f>
        <v>Financiamiento</v>
      </c>
      <c r="I410" s="47" t="str">
        <f>IFERROR(_xlfn.XLOOKUP(G410,Listas!E:E,Listas!G:G,""),"")</f>
        <v>Externo</v>
      </c>
      <c r="J410" s="44">
        <v>850</v>
      </c>
      <c r="K410" s="5">
        <f t="shared" si="3"/>
        <v>-850</v>
      </c>
      <c r="L410" s="15" t="s">
        <v>128</v>
      </c>
      <c r="M410" s="45">
        <f>SUMIFS('Saldos Iniciales'!$D$2:$D$38,'Saldos Iniciales'!$A$2:$A$38,C410,'Saldos Iniciales'!$B$2:$B$38,D410)+SUMIFS($K$1:$K$471,$C$1:$C$471,C410,$D$1:$D$471,D410,$B$1:$B$471,"&lt;="&amp;B410)</f>
        <v>28413.319999999978</v>
      </c>
      <c r="N410" s="68" t="str">
        <f>IF(tblMovimientos[[#This Row],[Tipo de Movimiento]]="Ingreso",tblMovimientos[[#This Row],[Monto (S/)]],"0")</f>
        <v>0</v>
      </c>
      <c r="O410" s="68">
        <f>IF(tblMovimientos[[#This Row],[Tipo de Movimiento]]="Egreso",tblMovimientos[[#This Row],[Monto (S/)]],"0")</f>
        <v>850</v>
      </c>
      <c r="P410" s="28">
        <f>IF(tblMovimientos[[#This Row],[Tipo de Movimiento]]="Ingreso",tblMovimientos[[#This Row],[Ingreso]],-tblMovimientos[[#This Row],[Egreso]])</f>
        <v>-850</v>
      </c>
    </row>
    <row r="411" spans="1:16" x14ac:dyDescent="0.3">
      <c r="B411" s="40">
        <v>46199</v>
      </c>
      <c r="C411" s="47" t="str">
        <f>_xlfn.XLOOKUP(tblMovimientos[[#This Row],[Cuenta Bancaria]],Listas!$B:$B,Listas!$A:$A,"")</f>
        <v>CFT Group</v>
      </c>
      <c r="D411" s="42" t="s">
        <v>94</v>
      </c>
      <c r="E411" s="57" t="str">
        <f>_xlfn.XLOOKUP(tblMovimientos[[#This Row],[Cuenta Bancaria]],Listas!$B:$B,Listas!$C:$C,"")</f>
        <v>Bank of America</v>
      </c>
      <c r="F411" s="42" t="s">
        <v>10</v>
      </c>
      <c r="G411" s="42" t="s">
        <v>44</v>
      </c>
      <c r="H411" s="4" t="str">
        <f>IFERROR(_xlfn.XLOOKUP(G411,Listas!E:E,Listas!F:F,""),"")</f>
        <v>Operativo</v>
      </c>
      <c r="I411" s="47" t="str">
        <f>IFERROR(_xlfn.XLOOKUP(G411,Listas!E:E,Listas!G:G,""),"")</f>
        <v>Externo</v>
      </c>
      <c r="J411" s="44">
        <v>30</v>
      </c>
      <c r="K411" s="48">
        <f t="shared" si="3"/>
        <v>-30</v>
      </c>
      <c r="L411" s="15" t="s">
        <v>128</v>
      </c>
      <c r="M411" s="59">
        <f>SUMIFS('Saldos Iniciales'!$D$2:$D$38,'Saldos Iniciales'!$A$2:$A$38,C411,'Saldos Iniciales'!$B$2:$B$38,D411)+SUMIFS($K$1:$K$471,$C$1:$C$471,C411,$D$1:$D$471,D411,$B$1:$B$471,"&lt;="&amp;B411)</f>
        <v>28413.319999999978</v>
      </c>
      <c r="N411" s="68" t="str">
        <f>IF(tblMovimientos[[#This Row],[Tipo de Movimiento]]="Ingreso",tblMovimientos[[#This Row],[Monto (S/)]],"0")</f>
        <v>0</v>
      </c>
      <c r="O411" s="68">
        <f>IF(tblMovimientos[[#This Row],[Tipo de Movimiento]]="Egreso",tblMovimientos[[#This Row],[Monto (S/)]],"0")</f>
        <v>30</v>
      </c>
      <c r="P411" s="28">
        <f>IF(tblMovimientos[[#This Row],[Tipo de Movimiento]]="Ingreso",tblMovimientos[[#This Row],[Ingreso]],-tblMovimientos[[#This Row],[Egreso]])</f>
        <v>-30</v>
      </c>
    </row>
    <row r="412" spans="1:16" x14ac:dyDescent="0.3">
      <c r="B412" s="40">
        <v>46199</v>
      </c>
      <c r="C412" s="47" t="str">
        <f>_xlfn.XLOOKUP(tblMovimientos[[#This Row],[Cuenta Bancaria]],Listas!$B:$B,Listas!$A:$A,"")</f>
        <v>3628 Thomas Ave</v>
      </c>
      <c r="D412" s="42" t="s">
        <v>124</v>
      </c>
      <c r="E412" s="57" t="str">
        <f>_xlfn.XLOOKUP(tblMovimientos[[#This Row],[Cuenta Bancaria]],Listas!$B:$B,Listas!$C:$C,"")</f>
        <v>Bank of America</v>
      </c>
      <c r="F412" s="42" t="s">
        <v>10</v>
      </c>
      <c r="G412" s="42" t="s">
        <v>44</v>
      </c>
      <c r="H412" s="4" t="str">
        <f>IFERROR(_xlfn.XLOOKUP(G412,Listas!E:E,Listas!F:F,""),"")</f>
        <v>Operativo</v>
      </c>
      <c r="I412" s="47" t="str">
        <f>IFERROR(_xlfn.XLOOKUP(G412,Listas!E:E,Listas!G:G,""),"")</f>
        <v>Externo</v>
      </c>
      <c r="J412" s="44">
        <v>15</v>
      </c>
      <c r="K412" s="5">
        <f t="shared" si="3"/>
        <v>-15</v>
      </c>
      <c r="L412" s="15" t="s">
        <v>128</v>
      </c>
      <c r="M412" s="45">
        <f>SUMIFS('Saldos Iniciales'!$D$2:$D$38,'Saldos Iniciales'!$A$2:$A$38,C412,'Saldos Iniciales'!$B$2:$B$38,D412)+SUMIFS($K$1:$K$471,$C$1:$C$471,C412,$D$1:$D$471,D412,$B$1:$B$471,"&lt;="&amp;B412)</f>
        <v>28458.6</v>
      </c>
      <c r="N412" s="68" t="str">
        <f>IF(tblMovimientos[[#This Row],[Tipo de Movimiento]]="Ingreso",tblMovimientos[[#This Row],[Monto (S/)]],"0")</f>
        <v>0</v>
      </c>
      <c r="O412" s="68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</row>
    <row r="413" spans="1:16" x14ac:dyDescent="0.3">
      <c r="B413" s="40">
        <v>46199</v>
      </c>
      <c r="C413" s="47" t="str">
        <f>_xlfn.XLOOKUP(tblMovimientos[[#This Row],[Cuenta Bancaria]],Listas!$B:$B,Listas!$A:$A,"")</f>
        <v>CFT Group</v>
      </c>
      <c r="D413" s="42" t="s">
        <v>95</v>
      </c>
      <c r="E413" s="57" t="str">
        <f>_xlfn.XLOOKUP(tblMovimientos[[#This Row],[Cuenta Bancaria]],Listas!$B:$B,Listas!$C:$C,"")</f>
        <v xml:space="preserve">Amerant Bank </v>
      </c>
      <c r="F413" s="42" t="s">
        <v>10</v>
      </c>
      <c r="G413" s="42" t="s">
        <v>46</v>
      </c>
      <c r="H413" s="4" t="str">
        <f>IFERROR(_xlfn.XLOOKUP(G413,Listas!E:E,Listas!F:F,""),"")</f>
        <v>Financiamiento</v>
      </c>
      <c r="I413" s="47" t="str">
        <f>IFERROR(_xlfn.XLOOKUP(G413,Listas!E:E,Listas!G:G,""),"")</f>
        <v>Externo</v>
      </c>
      <c r="J413" s="44">
        <v>10000</v>
      </c>
      <c r="K413" s="5">
        <f t="shared" si="3"/>
        <v>-10000</v>
      </c>
      <c r="L413" s="15" t="s">
        <v>128</v>
      </c>
      <c r="M413" s="45">
        <f>SUMIFS('Saldos Iniciales'!$D$2:$D$38,'Saldos Iniciales'!$A$2:$A$38,C413,'Saldos Iniciales'!$B$2:$B$38,D413)+SUMIFS($K$1:$K$471,$C$1:$C$471,C413,$D$1:$D$471,D413,$B$1:$B$471,"&lt;="&amp;B413)</f>
        <v>6191976.9100000001</v>
      </c>
      <c r="N413" s="68" t="str">
        <f>IF(tblMovimientos[[#This Row],[Tipo de Movimiento]]="Ingreso",tblMovimientos[[#This Row],[Monto (S/)]],"0")</f>
        <v>0</v>
      </c>
      <c r="O413" s="68">
        <f>IF(tblMovimientos[[#This Row],[Tipo de Movimiento]]="Egreso",tblMovimientos[[#This Row],[Monto (S/)]],"0")</f>
        <v>10000</v>
      </c>
      <c r="P413" s="28">
        <f>IF(tblMovimientos[[#This Row],[Tipo de Movimiento]]="Ingreso",tblMovimientos[[#This Row],[Ingreso]],-tblMovimientos[[#This Row],[Egreso]])</f>
        <v>-10000</v>
      </c>
    </row>
    <row r="414" spans="1:16" x14ac:dyDescent="0.3">
      <c r="B414" s="40">
        <v>46199</v>
      </c>
      <c r="C414" s="47" t="str">
        <f>_xlfn.XLOOKUP(tblMovimientos[[#This Row],[Cuenta Bancaria]],Listas!$B:$B,Listas!$A:$A,"")</f>
        <v>Cross Family Trust</v>
      </c>
      <c r="D414" s="42" t="s">
        <v>111</v>
      </c>
      <c r="E414" s="57" t="str">
        <f>_xlfn.XLOOKUP(tblMovimientos[[#This Row],[Cuenta Bancaria]],Listas!$B:$B,Listas!$C:$C,"")</f>
        <v xml:space="preserve">Amerant Bank </v>
      </c>
      <c r="F414" s="42" t="s">
        <v>10</v>
      </c>
      <c r="G414" s="42" t="s">
        <v>60</v>
      </c>
      <c r="H414" s="4" t="str">
        <f>IFERROR(_xlfn.XLOOKUP(G414,Listas!E:E,Listas!F:F,""),"")</f>
        <v>Inversion</v>
      </c>
      <c r="I414" s="47" t="str">
        <f>IFERROR(_xlfn.XLOOKUP(G414,Listas!E:E,Listas!G:G,""),"")</f>
        <v>Interno</v>
      </c>
      <c r="J414" s="44">
        <v>600000</v>
      </c>
      <c r="K414" s="5">
        <f t="shared" si="3"/>
        <v>-600000</v>
      </c>
      <c r="L414" s="15" t="s">
        <v>128</v>
      </c>
      <c r="M414" s="45">
        <f>SUMIFS('Saldos Iniciales'!$D$2:$D$38,'Saldos Iniciales'!$A$2:$A$38,C414,'Saldos Iniciales'!$B$2:$B$38,D414)+SUMIFS($K$1:$K$471,$C$1:$C$471,C414,$D$1:$D$471,D414,$B$1:$B$471,"&lt;="&amp;B414)</f>
        <v>1281717.6000000001</v>
      </c>
      <c r="N414" s="68" t="str">
        <f>IF(tblMovimientos[[#This Row],[Tipo de Movimiento]]="Ingreso",tblMovimientos[[#This Row],[Monto (S/)]],"0")</f>
        <v>0</v>
      </c>
      <c r="O414" s="68">
        <f>IF(tblMovimientos[[#This Row],[Tipo de Movimiento]]="Egreso",tblMovimientos[[#This Row],[Monto (S/)]],"0")</f>
        <v>600000</v>
      </c>
      <c r="P414" s="28">
        <f>IF(tblMovimientos[[#This Row],[Tipo de Movimiento]]="Ingreso",tblMovimientos[[#This Row],[Ingreso]],-tblMovimientos[[#This Row],[Egreso]])</f>
        <v>-600000</v>
      </c>
    </row>
    <row r="415" spans="1:16" x14ac:dyDescent="0.3">
      <c r="B415" s="40">
        <v>46199</v>
      </c>
      <c r="C415" s="47" t="str">
        <f>_xlfn.XLOOKUP(tblMovimientos[[#This Row],[Cuenta Bancaria]],Listas!$B:$B,Listas!$A:$A,"")</f>
        <v>Go Blue</v>
      </c>
      <c r="D415" s="42" t="s">
        <v>126</v>
      </c>
      <c r="E415" s="57" t="str">
        <f>_xlfn.XLOOKUP(tblMovimientos[[#This Row],[Cuenta Bancaria]],Listas!$B:$B,Listas!$C:$C,"")</f>
        <v xml:space="preserve">Amerant Bank </v>
      </c>
      <c r="F415" s="42" t="s">
        <v>10</v>
      </c>
      <c r="G415" s="42" t="s">
        <v>38</v>
      </c>
      <c r="H415" s="4" t="str">
        <f>IFERROR(_xlfn.XLOOKUP(G415,Listas!E:E,Listas!F:F,""),"")</f>
        <v>Operativo</v>
      </c>
      <c r="I415" s="47" t="str">
        <f>IFERROR(_xlfn.XLOOKUP(G415,Listas!E:E,Listas!G:G,""),"")</f>
        <v>Externo</v>
      </c>
      <c r="J415" s="44">
        <v>3091.79</v>
      </c>
      <c r="K415" s="48">
        <f t="shared" si="3"/>
        <v>-3091.79</v>
      </c>
      <c r="L415" s="15" t="s">
        <v>128</v>
      </c>
      <c r="M415" s="59">
        <f>SUMIFS('Saldos Iniciales'!$D$2:$D$38,'Saldos Iniciales'!$A$2:$A$38,C415,'Saldos Iniciales'!$B$2:$B$38,D415)+SUMIFS($K$1:$K$471,$C$1:$C$471,C415,$D$1:$D$471,D415,$B$1:$B$471,"&lt;="&amp;B415)</f>
        <v>24625.29</v>
      </c>
      <c r="N415" s="68" t="str">
        <f>IF(tblMovimientos[[#This Row],[Tipo de Movimiento]]="Ingreso",tblMovimientos[[#This Row],[Monto (S/)]],"0")</f>
        <v>0</v>
      </c>
      <c r="O415" s="68">
        <f>IF(tblMovimientos[[#This Row],[Tipo de Movimiento]]="Egreso",tblMovimientos[[#This Row],[Monto (S/)]],"0")</f>
        <v>3091.79</v>
      </c>
      <c r="P415" s="28">
        <f>IF(tblMovimientos[[#This Row],[Tipo de Movimiento]]="Ingreso",tblMovimientos[[#This Row],[Ingreso]],-tblMovimientos[[#This Row],[Egreso]])</f>
        <v>-3091.79</v>
      </c>
    </row>
    <row r="416" spans="1:16" x14ac:dyDescent="0.3">
      <c r="B416" s="40">
        <v>46199</v>
      </c>
      <c r="C416" s="47" t="str">
        <f>_xlfn.XLOOKUP(tblMovimientos[[#This Row],[Cuenta Bancaria]],Listas!$B:$B,Listas!$A:$A,"")</f>
        <v>Go Blue</v>
      </c>
      <c r="D416" s="42" t="s">
        <v>126</v>
      </c>
      <c r="E416" s="57" t="str">
        <f>_xlfn.XLOOKUP(tblMovimientos[[#This Row],[Cuenta Bancaria]],Listas!$B:$B,Listas!$C:$C,"")</f>
        <v xml:space="preserve">Amerant Bank </v>
      </c>
      <c r="F416" s="42" t="s">
        <v>10</v>
      </c>
      <c r="G416" s="42" t="s">
        <v>44</v>
      </c>
      <c r="H416" s="4" t="str">
        <f>IFERROR(_xlfn.XLOOKUP(G416,Listas!E:E,Listas!F:F,""),"")</f>
        <v>Operativo</v>
      </c>
      <c r="I416" s="47" t="str">
        <f>IFERROR(_xlfn.XLOOKUP(G416,Listas!E:E,Listas!G:G,""),"")</f>
        <v>Externo</v>
      </c>
      <c r="J416" s="44">
        <v>15</v>
      </c>
      <c r="K416" s="5">
        <f t="shared" si="3"/>
        <v>-15</v>
      </c>
      <c r="L416" s="15" t="s">
        <v>128</v>
      </c>
      <c r="M416" s="45">
        <f>SUMIFS('Saldos Iniciales'!$D$2:$D$38,'Saldos Iniciales'!$A$2:$A$38,C416,'Saldos Iniciales'!$B$2:$B$38,D416)+SUMIFS($K$1:$K$471,$C$1:$C$471,C416,$D$1:$D$471,D416,$B$1:$B$471,"&lt;="&amp;B416)</f>
        <v>24625.29</v>
      </c>
      <c r="N416" s="68" t="str">
        <f>IF(tblMovimientos[[#This Row],[Tipo de Movimiento]]="Ingreso",tblMovimientos[[#This Row],[Monto (S/)]],"0")</f>
        <v>0</v>
      </c>
      <c r="O416" s="68">
        <f>IF(tblMovimientos[[#This Row],[Tipo de Movimiento]]="Egreso",tblMovimientos[[#This Row],[Monto (S/)]],"0")</f>
        <v>15</v>
      </c>
      <c r="P416" s="28">
        <f>IF(tblMovimientos[[#This Row],[Tipo de Movimiento]]="Ingreso",tblMovimientos[[#This Row],[Ingreso]],-tblMovimientos[[#This Row],[Egreso]])</f>
        <v>-15</v>
      </c>
    </row>
    <row r="417" spans="1:16" x14ac:dyDescent="0.3">
      <c r="B417" s="40">
        <v>46199</v>
      </c>
      <c r="C417" s="47" t="str">
        <f>_xlfn.XLOOKUP(tblMovimientos[[#This Row],[Cuenta Bancaria]],Listas!$B:$B,Listas!$A:$A,"")</f>
        <v>Go Blue</v>
      </c>
      <c r="D417" s="42" t="s">
        <v>126</v>
      </c>
      <c r="E417" s="57" t="str">
        <f>_xlfn.XLOOKUP(tblMovimientos[[#This Row],[Cuenta Bancaria]],Listas!$B:$B,Listas!$C:$C,"")</f>
        <v xml:space="preserve">Amerant Bank </v>
      </c>
      <c r="F417" s="42" t="s">
        <v>10</v>
      </c>
      <c r="H417" s="4">
        <f>IFERROR(_xlfn.XLOOKUP(G417,Listas!E:E,Listas!F:F,""),"")</f>
        <v>0</v>
      </c>
      <c r="I417" s="47">
        <f>IFERROR(_xlfn.XLOOKUP(G417,Listas!E:E,Listas!G:G,""),"")</f>
        <v>0</v>
      </c>
      <c r="J417" s="44">
        <v>5000</v>
      </c>
      <c r="K417" s="5">
        <f t="shared" si="3"/>
        <v>-5000</v>
      </c>
      <c r="L417" s="15" t="s">
        <v>128</v>
      </c>
      <c r="M417" s="45">
        <f>SUMIFS('Saldos Iniciales'!$D$2:$D$38,'Saldos Iniciales'!$A$2:$A$38,C417,'Saldos Iniciales'!$B$2:$B$38,D417)+SUMIFS($K$1:$K$471,$C$1:$C$471,C417,$D$1:$D$471,D417,$B$1:$B$471,"&lt;="&amp;B417)</f>
        <v>24625.29</v>
      </c>
      <c r="N417" s="68" t="str">
        <f>IF(tblMovimientos[[#This Row],[Tipo de Movimiento]]="Ingreso",tblMovimientos[[#This Row],[Monto (S/)]],"0")</f>
        <v>0</v>
      </c>
      <c r="O417" s="68">
        <f>IF(tblMovimientos[[#This Row],[Tipo de Movimiento]]="Egreso",tblMovimientos[[#This Row],[Monto (S/)]],"0")</f>
        <v>5000</v>
      </c>
      <c r="P417" s="28">
        <f>IF(tblMovimientos[[#This Row],[Tipo de Movimiento]]="Ingreso",tblMovimientos[[#This Row],[Ingreso]],-tblMovimientos[[#This Row],[Egreso]])</f>
        <v>-5000</v>
      </c>
    </row>
    <row r="418" spans="1:16" x14ac:dyDescent="0.3">
      <c r="B418" s="40">
        <v>46202</v>
      </c>
      <c r="C418" s="47" t="str">
        <f>_xlfn.XLOOKUP(tblMovimientos[[#This Row],[Cuenta Bancaria]],Listas!$B:$B,Listas!$A:$A,"")</f>
        <v>A&amp;M Imports</v>
      </c>
      <c r="D418" s="42" t="s">
        <v>100</v>
      </c>
      <c r="E418" s="57" t="str">
        <f>_xlfn.XLOOKUP(tblMovimientos[[#This Row],[Cuenta Bancaria]],Listas!$B:$B,Listas!$C:$C,"")</f>
        <v>Bank of America</v>
      </c>
      <c r="F418" s="42" t="s">
        <v>9</v>
      </c>
      <c r="G418" s="42" t="s">
        <v>82</v>
      </c>
      <c r="H418" s="4" t="str">
        <f>IFERROR(_xlfn.XLOOKUP(G418,Listas!E:E,Listas!F:F,""),"")</f>
        <v>Operativo</v>
      </c>
      <c r="I418" s="47" t="str">
        <f>IFERROR(_xlfn.XLOOKUP(G418,Listas!E:E,Listas!G:G,""),"")</f>
        <v>Externo</v>
      </c>
      <c r="J418" s="44">
        <v>16978.900000000001</v>
      </c>
      <c r="K418" s="5">
        <f t="shared" si="3"/>
        <v>16978.900000000001</v>
      </c>
      <c r="L418" s="15" t="s">
        <v>128</v>
      </c>
      <c r="M418" s="45">
        <f>SUMIFS('Saldos Iniciales'!$D$2:$D$38,'Saldos Iniciales'!$A$2:$A$38,C418,'Saldos Iniciales'!$B$2:$B$38,D418)+SUMIFS($K$1:$K$471,$C$1:$C$471,C418,$D$1:$D$471,D418,$B$1:$B$471,"&lt;="&amp;B418)</f>
        <v>489745.62999999989</v>
      </c>
      <c r="N418" s="68">
        <f>IF(tblMovimientos[[#This Row],[Tipo de Movimiento]]="Ingreso",tblMovimientos[[#This Row],[Monto (S/)]],"0")</f>
        <v>16978.900000000001</v>
      </c>
      <c r="O418" s="68" t="str">
        <f>IF(tblMovimientos[[#This Row],[Tipo de Movimiento]]="Egreso",tblMovimientos[[#This Row],[Monto (S/)]],"0")</f>
        <v>0</v>
      </c>
      <c r="P418" s="28">
        <f>IF(tblMovimientos[[#This Row],[Tipo de Movimiento]]="Ingreso",tblMovimientos[[#This Row],[Ingreso]],-tblMovimientos[[#This Row],[Egreso]])</f>
        <v>16978.900000000001</v>
      </c>
    </row>
    <row r="419" spans="1:16" x14ac:dyDescent="0.3">
      <c r="B419" s="40">
        <v>46202</v>
      </c>
      <c r="C419" s="47" t="str">
        <f>_xlfn.XLOOKUP(tblMovimientos[[#This Row],[Cuenta Bancaria]],Listas!$B:$B,Listas!$A:$A,"")</f>
        <v>CFT Group</v>
      </c>
      <c r="D419" s="42" t="s">
        <v>94</v>
      </c>
      <c r="E419" s="57" t="str">
        <f>_xlfn.XLOOKUP(tblMovimientos[[#This Row],[Cuenta Bancaria]],Listas!$B:$B,Listas!$C:$C,"")</f>
        <v>Bank of America</v>
      </c>
      <c r="F419" s="42" t="s">
        <v>9</v>
      </c>
      <c r="G419" s="42" t="s">
        <v>68</v>
      </c>
      <c r="H419" s="4" t="str">
        <f>IFERROR(_xlfn.XLOOKUP(G419,Listas!E:E,Listas!F:F,""),"")</f>
        <v>Operativo</v>
      </c>
      <c r="I419" s="47" t="str">
        <f>IFERROR(_xlfn.XLOOKUP(G419,Listas!E:E,Listas!G:G,""),"")</f>
        <v>Externo</v>
      </c>
      <c r="J419" s="44">
        <v>6021.16</v>
      </c>
      <c r="K419" s="48">
        <f t="shared" si="3"/>
        <v>6021.16</v>
      </c>
      <c r="L419" s="15" t="s">
        <v>128</v>
      </c>
      <c r="M419" s="59">
        <f>SUMIFS('Saldos Iniciales'!$D$2:$D$38,'Saldos Iniciales'!$A$2:$A$38,C419,'Saldos Iniciales'!$B$2:$B$38,D419)+SUMIFS($K$1:$K$471,$C$1:$C$471,C419,$D$1:$D$471,D419,$B$1:$B$471,"&lt;="&amp;B419)</f>
        <v>39532.419999999984</v>
      </c>
      <c r="N419" s="68">
        <f>IF(tblMovimientos[[#This Row],[Tipo de Movimiento]]="Ingreso",tblMovimientos[[#This Row],[Monto (S/)]],"0")</f>
        <v>6021.16</v>
      </c>
      <c r="O419" s="68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6021.16</v>
      </c>
    </row>
    <row r="420" spans="1:16" x14ac:dyDescent="0.3">
      <c r="B420" s="40">
        <v>46202</v>
      </c>
      <c r="C420" s="47" t="str">
        <f>_xlfn.XLOOKUP(tblMovimientos[[#This Row],[Cuenta Bancaria]],Listas!$B:$B,Listas!$A:$A,"")</f>
        <v>CFT Group</v>
      </c>
      <c r="D420" s="42" t="s">
        <v>94</v>
      </c>
      <c r="E420" s="57" t="str">
        <f>_xlfn.XLOOKUP(tblMovimientos[[#This Row],[Cuenta Bancaria]],Listas!$B:$B,Listas!$C:$C,"")</f>
        <v>Bank of America</v>
      </c>
      <c r="F420" s="42" t="s">
        <v>9</v>
      </c>
      <c r="G420" s="42" t="s">
        <v>68</v>
      </c>
      <c r="H420" s="4" t="str">
        <f>IFERROR(_xlfn.XLOOKUP(G420,Listas!E:E,Listas!F:F,""),"")</f>
        <v>Operativo</v>
      </c>
      <c r="I420" s="47" t="str">
        <f>IFERROR(_xlfn.XLOOKUP(G420,Listas!E:E,Listas!G:G,""),"")</f>
        <v>Externo</v>
      </c>
      <c r="J420" s="44">
        <v>5097.9399999999996</v>
      </c>
      <c r="K420" s="5">
        <f t="shared" si="3"/>
        <v>5097.9399999999996</v>
      </c>
      <c r="L420" s="15" t="s">
        <v>128</v>
      </c>
      <c r="M420" s="45">
        <f>SUMIFS('Saldos Iniciales'!$D$2:$D$38,'Saldos Iniciales'!$A$2:$A$38,C420,'Saldos Iniciales'!$B$2:$B$38,D420)+SUMIFS($K$1:$K$471,$C$1:$C$471,C420,$D$1:$D$471,D420,$B$1:$B$471,"&lt;="&amp;B420)</f>
        <v>39532.419999999984</v>
      </c>
      <c r="N420" s="68">
        <f>IF(tblMovimientos[[#This Row],[Tipo de Movimiento]]="Ingreso",tblMovimientos[[#This Row],[Monto (S/)]],"0")</f>
        <v>5097.9399999999996</v>
      </c>
      <c r="O420" s="68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5097.9399999999996</v>
      </c>
    </row>
    <row r="421" spans="1:16" x14ac:dyDescent="0.3">
      <c r="B421" s="40">
        <v>46202</v>
      </c>
      <c r="C421" s="47" t="str">
        <f>_xlfn.XLOOKUP(tblMovimientos[[#This Row],[Cuenta Bancaria]],Listas!$B:$B,Listas!$A:$A,"")</f>
        <v>Cross Family Trust</v>
      </c>
      <c r="D421" s="42" t="s">
        <v>111</v>
      </c>
      <c r="E421" s="57" t="str">
        <f>_xlfn.XLOOKUP(tblMovimientos[[#This Row],[Cuenta Bancaria]],Listas!$B:$B,Listas!$C:$C,"")</f>
        <v xml:space="preserve">Amerant Bank </v>
      </c>
      <c r="F421" s="42" t="s">
        <v>10</v>
      </c>
      <c r="G421" s="42" t="s">
        <v>60</v>
      </c>
      <c r="H421" s="4" t="str">
        <f>IFERROR(_xlfn.XLOOKUP(G421,Listas!E:E,Listas!F:F,""),"")</f>
        <v>Inversion</v>
      </c>
      <c r="I421" s="47" t="str">
        <f>IFERROR(_xlfn.XLOOKUP(G421,Listas!E:E,Listas!G:G,""),"")</f>
        <v>Interno</v>
      </c>
      <c r="J421" s="44">
        <v>1000000</v>
      </c>
      <c r="K421" s="48">
        <f t="shared" si="3"/>
        <v>-1000000</v>
      </c>
      <c r="L421" s="15" t="s">
        <v>128</v>
      </c>
      <c r="M421" s="59">
        <f>SUMIFS('Saldos Iniciales'!$D$2:$D$38,'Saldos Iniciales'!$A$2:$A$38,C421,'Saldos Iniciales'!$B$2:$B$38,D421)+SUMIFS($K$1:$K$471,$C$1:$C$471,C421,$D$1:$D$471,D421,$B$1:$B$471,"&lt;="&amp;B421)</f>
        <v>281717.59999999998</v>
      </c>
      <c r="N421" s="68" t="str">
        <f>IF(tblMovimientos[[#This Row],[Tipo de Movimiento]]="Ingreso",tblMovimientos[[#This Row],[Monto (S/)]],"0")</f>
        <v>0</v>
      </c>
      <c r="O421" s="68">
        <f>IF(tblMovimientos[[#This Row],[Tipo de Movimiento]]="Egreso",tblMovimientos[[#This Row],[Monto (S/)]],"0")</f>
        <v>1000000</v>
      </c>
      <c r="P421" s="28">
        <f>IF(tblMovimientos[[#This Row],[Tipo de Movimiento]]="Ingreso",tblMovimientos[[#This Row],[Ingreso]],-tblMovimientos[[#This Row],[Egreso]])</f>
        <v>-1000000</v>
      </c>
    </row>
    <row r="422" spans="1:16" x14ac:dyDescent="0.3">
      <c r="B422" s="40">
        <v>46202</v>
      </c>
      <c r="C422" s="47" t="str">
        <f>_xlfn.XLOOKUP(tblMovimientos[[#This Row],[Cuenta Bancaria]],Listas!$B:$B,Listas!$A:$A,"")</f>
        <v>SSP Capital</v>
      </c>
      <c r="D422" s="42" t="s">
        <v>104</v>
      </c>
      <c r="E422" s="57" t="str">
        <f>_xlfn.XLOOKUP(tblMovimientos[[#This Row],[Cuenta Bancaria]],Listas!$B:$B,Listas!$C:$C,"")</f>
        <v xml:space="preserve">Amerant Bank </v>
      </c>
      <c r="F422" s="42" t="s">
        <v>10</v>
      </c>
      <c r="G422" s="42" t="s">
        <v>40</v>
      </c>
      <c r="H422" s="4" t="str">
        <f>IFERROR(_xlfn.XLOOKUP(G422,Listas!E:E,Listas!F:F,""),"")</f>
        <v>Operativo</v>
      </c>
      <c r="I422" s="47" t="str">
        <f>IFERROR(_xlfn.XLOOKUP(G422,Listas!E:E,Listas!G:G,""),"")</f>
        <v>Externo</v>
      </c>
      <c r="J422" s="44">
        <v>164221.79999999999</v>
      </c>
      <c r="K422" s="5">
        <f t="shared" si="3"/>
        <v>-164221.79999999999</v>
      </c>
      <c r="L422" s="15" t="s">
        <v>128</v>
      </c>
      <c r="M422" s="45">
        <f>SUMIFS('Saldos Iniciales'!$D$2:$D$38,'Saldos Iniciales'!$A$2:$A$38,C422,'Saldos Iniciales'!$B$2:$B$38,D422)+SUMIFS($K$1:$K$471,$C$1:$C$471,C422,$D$1:$D$471,D422,$B$1:$B$471,"&lt;="&amp;B422)</f>
        <v>945129.84999999939</v>
      </c>
      <c r="N422" s="68" t="str">
        <f>IF(tblMovimientos[[#This Row],[Tipo de Movimiento]]="Ingreso",tblMovimientos[[#This Row],[Monto (S/)]],"0")</f>
        <v>0</v>
      </c>
      <c r="O422" s="68">
        <f>IF(tblMovimientos[[#This Row],[Tipo de Movimiento]]="Egreso",tblMovimientos[[#This Row],[Monto (S/)]],"0")</f>
        <v>164221.79999999999</v>
      </c>
      <c r="P422" s="28">
        <f>IF(tblMovimientos[[#This Row],[Tipo de Movimiento]]="Ingreso",tblMovimientos[[#This Row],[Ingreso]],-tblMovimientos[[#This Row],[Egreso]])</f>
        <v>-164221.79999999999</v>
      </c>
    </row>
    <row r="423" spans="1:16" x14ac:dyDescent="0.3">
      <c r="B423" s="40">
        <v>46202</v>
      </c>
      <c r="C423" s="47" t="str">
        <f>_xlfn.XLOOKUP(tblMovimientos[[#This Row],[Cuenta Bancaria]],Listas!$B:$B,Listas!$A:$A,"")</f>
        <v>Go Blue</v>
      </c>
      <c r="D423" s="42" t="s">
        <v>126</v>
      </c>
      <c r="E423" s="57" t="str">
        <f>_xlfn.XLOOKUP(tblMovimientos[[#This Row],[Cuenta Bancaria]],Listas!$B:$B,Listas!$C:$C,"")</f>
        <v xml:space="preserve">Amerant Bank </v>
      </c>
      <c r="F423" s="42" t="s">
        <v>10</v>
      </c>
      <c r="G423" s="42" t="s">
        <v>38</v>
      </c>
      <c r="H423" s="4" t="str">
        <f>IFERROR(_xlfn.XLOOKUP(G423,Listas!E:E,Listas!F:F,""),"")</f>
        <v>Operativo</v>
      </c>
      <c r="I423" s="47" t="str">
        <f>IFERROR(_xlfn.XLOOKUP(G423,Listas!E:E,Listas!G:G,""),"")</f>
        <v>Externo</v>
      </c>
      <c r="J423" s="44">
        <v>45.86</v>
      </c>
      <c r="K423" s="5">
        <f t="shared" si="3"/>
        <v>-45.86</v>
      </c>
      <c r="L423" s="15" t="s">
        <v>128</v>
      </c>
      <c r="M423" s="45">
        <f>SUMIFS('Saldos Iniciales'!$D$2:$D$38,'Saldos Iniciales'!$A$2:$A$38,C423,'Saldos Iniciales'!$B$2:$B$38,D423)+SUMIFS($K$1:$K$471,$C$1:$C$471,C423,$D$1:$D$471,D423,$B$1:$B$471,"&lt;="&amp;B423)</f>
        <v>18579.43</v>
      </c>
      <c r="N423" s="68" t="str">
        <f>IF(tblMovimientos[[#This Row],[Tipo de Movimiento]]="Ingreso",tblMovimientos[[#This Row],[Monto (S/)]],"0")</f>
        <v>0</v>
      </c>
      <c r="O423" s="68">
        <f>IF(tblMovimientos[[#This Row],[Tipo de Movimiento]]="Egreso",tblMovimientos[[#This Row],[Monto (S/)]],"0")</f>
        <v>45.86</v>
      </c>
      <c r="P423" s="28">
        <f>IF(tblMovimientos[[#This Row],[Tipo de Movimiento]]="Ingreso",tblMovimientos[[#This Row],[Ingreso]],-tblMovimientos[[#This Row],[Egreso]])</f>
        <v>-45.86</v>
      </c>
    </row>
    <row r="424" spans="1:16" x14ac:dyDescent="0.3">
      <c r="A424" s="46"/>
      <c r="B424" s="40">
        <v>46202</v>
      </c>
      <c r="C424" s="47" t="str">
        <f>_xlfn.XLOOKUP(tblMovimientos[[#This Row],[Cuenta Bancaria]],Listas!$B:$B,Listas!$A:$A,"")</f>
        <v>Go Blue</v>
      </c>
      <c r="D424" s="42" t="s">
        <v>126</v>
      </c>
      <c r="E424" s="58" t="str">
        <f>_xlfn.XLOOKUP(tblMovimientos[[#This Row],[Cuenta Bancaria]],Listas!$B:$B,Listas!$C:$C,"")</f>
        <v xml:space="preserve">Amerant Bank </v>
      </c>
      <c r="F424" s="42" t="s">
        <v>10</v>
      </c>
      <c r="H424" s="47">
        <f>IFERROR(_xlfn.XLOOKUP(G424,Listas!E:E,Listas!F:F,""),"")</f>
        <v>0</v>
      </c>
      <c r="I424" s="47">
        <f>IFERROR(_xlfn.XLOOKUP(G424,Listas!E:E,Listas!G:G,""),"")</f>
        <v>0</v>
      </c>
      <c r="J424" s="44">
        <v>6000</v>
      </c>
      <c r="K424" s="5">
        <f t="shared" si="3"/>
        <v>-6000</v>
      </c>
      <c r="L424" s="15" t="s">
        <v>128</v>
      </c>
      <c r="M424" s="45">
        <f>SUMIFS('Saldos Iniciales'!$D$2:$D$38,'Saldos Iniciales'!$A$2:$A$38,C424,'Saldos Iniciales'!$B$2:$B$38,D424)+SUMIFS($K$1:$K$471,$C$1:$C$471,C424,$D$1:$D$471,D424,$B$1:$B$471,"&lt;="&amp;B424)</f>
        <v>18579.43</v>
      </c>
      <c r="N424" s="68" t="str">
        <f>IF(tblMovimientos[[#This Row],[Tipo de Movimiento]]="Ingreso",tblMovimientos[[#This Row],[Monto (S/)]],"0")</f>
        <v>0</v>
      </c>
      <c r="O424" s="68">
        <f>IF(tblMovimientos[[#This Row],[Tipo de Movimiento]]="Egreso",tblMovimientos[[#This Row],[Monto (S/)]],"0")</f>
        <v>6000</v>
      </c>
      <c r="P424" s="28">
        <f>IF(tblMovimientos[[#This Row],[Tipo de Movimiento]]="Ingreso",tblMovimientos[[#This Row],[Ingreso]],-tblMovimientos[[#This Row],[Egreso]])</f>
        <v>-6000</v>
      </c>
    </row>
    <row r="425" spans="1:16" x14ac:dyDescent="0.3">
      <c r="B425" s="40">
        <v>46203</v>
      </c>
      <c r="C425" s="47" t="str">
        <f>_xlfn.XLOOKUP(tblMovimientos[[#This Row],[Cuenta Bancaria]],Listas!$B:$B,Listas!$A:$A,"")</f>
        <v>M1B</v>
      </c>
      <c r="D425" s="42" t="s">
        <v>97</v>
      </c>
      <c r="E425" s="57" t="str">
        <f>_xlfn.XLOOKUP(tblMovimientos[[#This Row],[Cuenta Bancaria]],Listas!$B:$B,Listas!$C:$C,"")</f>
        <v xml:space="preserve">Amerant Bank </v>
      </c>
      <c r="F425" s="42" t="s">
        <v>9</v>
      </c>
      <c r="G425" s="42" t="s">
        <v>68</v>
      </c>
      <c r="H425" s="4" t="str">
        <f>IFERROR(_xlfn.XLOOKUP(G425,Listas!E:E,Listas!F:F,""),"")</f>
        <v>Operativo</v>
      </c>
      <c r="I425" s="47" t="str">
        <f>IFERROR(_xlfn.XLOOKUP(G425,Listas!E:E,Listas!G:G,""),"")</f>
        <v>Externo</v>
      </c>
      <c r="J425" s="44">
        <v>6753.49</v>
      </c>
      <c r="K425" s="5">
        <f t="shared" ref="K425:K442" si="4">IF(F425="Ingreso",J425,-J425)</f>
        <v>6753.49</v>
      </c>
      <c r="L425" s="15" t="s">
        <v>128</v>
      </c>
      <c r="M425" s="45">
        <f>SUMIFS('Saldos Iniciales'!$D$2:$D$38,'Saldos Iniciales'!$A$2:$A$38,C425,'Saldos Iniciales'!$B$2:$B$38,D425)+SUMIFS($K$1:$K$471,$C$1:$C$471,C425,$D$1:$D$471,D425,$B$1:$B$471,"&lt;="&amp;B425)</f>
        <v>74139.680000000168</v>
      </c>
      <c r="N425" s="68">
        <f>IF(tblMovimientos[[#This Row],[Tipo de Movimiento]]="Ingreso",tblMovimientos[[#This Row],[Monto (S/)]],"0")</f>
        <v>6753.49</v>
      </c>
      <c r="O425" s="68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6753.49</v>
      </c>
    </row>
    <row r="426" spans="1:16" x14ac:dyDescent="0.3">
      <c r="B426" s="40">
        <v>46203</v>
      </c>
      <c r="C426" s="47" t="str">
        <f>_xlfn.XLOOKUP(tblMovimientos[[#This Row],[Cuenta Bancaria]],Listas!$B:$B,Listas!$A:$A,"")</f>
        <v>SSP Capital</v>
      </c>
      <c r="D426" s="42" t="s">
        <v>106</v>
      </c>
      <c r="E426" s="57" t="str">
        <f>_xlfn.XLOOKUP(tblMovimientos[[#This Row],[Cuenta Bancaria]],Listas!$B:$B,Listas!$C:$C,"")</f>
        <v xml:space="preserve">Amerant Bank </v>
      </c>
      <c r="F426" s="42" t="s">
        <v>9</v>
      </c>
      <c r="G426" s="42" t="s">
        <v>84</v>
      </c>
      <c r="H426" s="4" t="str">
        <f>IFERROR(_xlfn.XLOOKUP(G426,Listas!E:E,Listas!F:F,""),"")</f>
        <v>Operativo</v>
      </c>
      <c r="I426" s="47" t="str">
        <f>IFERROR(_xlfn.XLOOKUP(G426,Listas!E:E,Listas!G:G,""),"")</f>
        <v>Externo</v>
      </c>
      <c r="J426" s="44">
        <v>2267.66</v>
      </c>
      <c r="K426" s="5">
        <f t="shared" si="4"/>
        <v>2267.66</v>
      </c>
      <c r="L426" s="15" t="s">
        <v>128</v>
      </c>
      <c r="M426" s="45">
        <f>SUMIFS('Saldos Iniciales'!$D$2:$D$38,'Saldos Iniciales'!$A$2:$A$38,C426,'Saldos Iniciales'!$B$2:$B$38,D426)+SUMIFS($K$1:$K$471,$C$1:$C$471,C426,$D$1:$D$471,D426,$B$1:$B$471,"&lt;="&amp;B426)</f>
        <v>806680.61</v>
      </c>
      <c r="N426" s="68">
        <f>IF(tblMovimientos[[#This Row],[Tipo de Movimiento]]="Ingreso",tblMovimientos[[#This Row],[Monto (S/)]],"0")</f>
        <v>2267.66</v>
      </c>
      <c r="O426" s="68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2267.66</v>
      </c>
    </row>
    <row r="427" spans="1:16" x14ac:dyDescent="0.3">
      <c r="B427" s="40">
        <v>46203</v>
      </c>
      <c r="C427" s="47" t="str">
        <f>_xlfn.XLOOKUP(tblMovimientos[[#This Row],[Cuenta Bancaria]],Listas!$B:$B,Listas!$A:$A,"")</f>
        <v>SSP Capital</v>
      </c>
      <c r="D427" s="42" t="s">
        <v>104</v>
      </c>
      <c r="E427" s="57" t="str">
        <f>_xlfn.XLOOKUP(tblMovimientos[[#This Row],[Cuenta Bancaria]],Listas!$B:$B,Listas!$C:$C,"")</f>
        <v xml:space="preserve">Amerant Bank </v>
      </c>
      <c r="F427" s="42" t="s">
        <v>10</v>
      </c>
      <c r="G427" s="42" t="s">
        <v>42</v>
      </c>
      <c r="H427" s="4" t="str">
        <f>IFERROR(_xlfn.XLOOKUP(G427,Listas!E:E,Listas!F:F,""),"")</f>
        <v>Operativo</v>
      </c>
      <c r="I427" s="47" t="str">
        <f>IFERROR(_xlfn.XLOOKUP(G427,Listas!E:E,Listas!G:G,""),"")</f>
        <v>Externo</v>
      </c>
      <c r="J427" s="44">
        <v>73431.09</v>
      </c>
      <c r="K427" s="5">
        <f t="shared" si="4"/>
        <v>-73431.09</v>
      </c>
      <c r="L427" s="15" t="s">
        <v>128</v>
      </c>
      <c r="M427" s="45">
        <f>SUMIFS('Saldos Iniciales'!$D$2:$D$38,'Saldos Iniciales'!$A$2:$A$38,C427,'Saldos Iniciales'!$B$2:$B$38,D427)+SUMIFS($K$1:$K$471,$C$1:$C$471,C427,$D$1:$D$471,D427,$B$1:$B$471,"&lt;="&amp;B427)</f>
        <v>871698.75999999943</v>
      </c>
      <c r="N427" s="68" t="str">
        <f>IF(tblMovimientos[[#This Row],[Tipo de Movimiento]]="Ingreso",tblMovimientos[[#This Row],[Monto (S/)]],"0")</f>
        <v>0</v>
      </c>
      <c r="O427" s="68">
        <f>IF(tblMovimientos[[#This Row],[Tipo de Movimiento]]="Egreso",tblMovimientos[[#This Row],[Monto (S/)]],"0")</f>
        <v>73431.09</v>
      </c>
      <c r="P427" s="28">
        <f>IF(tblMovimientos[[#This Row],[Tipo de Movimiento]]="Ingreso",tblMovimientos[[#This Row],[Ingreso]],-tblMovimientos[[#This Row],[Egreso]])</f>
        <v>-73431.09</v>
      </c>
    </row>
    <row r="428" spans="1:16" x14ac:dyDescent="0.3">
      <c r="B428" s="40">
        <v>46203</v>
      </c>
      <c r="C428" s="47" t="str">
        <f>_xlfn.XLOOKUP(tblMovimientos[[#This Row],[Cuenta Bancaria]],Listas!$B:$B,Listas!$A:$A,"")</f>
        <v>SSP Capital</v>
      </c>
      <c r="D428" s="42" t="s">
        <v>101</v>
      </c>
      <c r="E428" s="57" t="str">
        <f>_xlfn.XLOOKUP(tblMovimientos[[#This Row],[Cuenta Bancaria]],Listas!$B:$B,Listas!$C:$C,"")</f>
        <v>Bank of America</v>
      </c>
      <c r="F428" s="42" t="s">
        <v>10</v>
      </c>
      <c r="G428" s="42" t="s">
        <v>38</v>
      </c>
      <c r="H428" s="4" t="str">
        <f>IFERROR(_xlfn.XLOOKUP(G428,Listas!E:E,Listas!F:F,""),"")</f>
        <v>Operativo</v>
      </c>
      <c r="I428" s="47" t="str">
        <f>IFERROR(_xlfn.XLOOKUP(G428,Listas!E:E,Listas!G:G,""),"")</f>
        <v>Externo</v>
      </c>
      <c r="J428" s="44">
        <v>526.75</v>
      </c>
      <c r="K428" s="5">
        <f t="shared" si="4"/>
        <v>-526.75</v>
      </c>
      <c r="L428" s="15" t="s">
        <v>128</v>
      </c>
      <c r="M428" s="45">
        <f>SUMIFS('Saldos Iniciales'!$D$2:$D$38,'Saldos Iniciales'!$A$2:$A$38,C428,'Saldos Iniciales'!$B$2:$B$38,D428)+SUMIFS($K$1:$K$471,$C$1:$C$471,C428,$D$1:$D$471,D428,$B$1:$B$471,"&lt;="&amp;B428)</f>
        <v>7777.24</v>
      </c>
      <c r="N428" s="68" t="str">
        <f>IF(tblMovimientos[[#This Row],[Tipo de Movimiento]]="Ingreso",tblMovimientos[[#This Row],[Monto (S/)]],"0")</f>
        <v>0</v>
      </c>
      <c r="O428" s="68">
        <f>IF(tblMovimientos[[#This Row],[Tipo de Movimiento]]="Egreso",tblMovimientos[[#This Row],[Monto (S/)]],"0")</f>
        <v>526.75</v>
      </c>
      <c r="P428" s="28">
        <f>IF(tblMovimientos[[#This Row],[Tipo de Movimiento]]="Ingreso",tblMovimientos[[#This Row],[Ingreso]],-tblMovimientos[[#This Row],[Egreso]])</f>
        <v>-526.75</v>
      </c>
    </row>
    <row r="429" spans="1:16" x14ac:dyDescent="0.3">
      <c r="B429" s="40">
        <v>46203</v>
      </c>
      <c r="C429" s="47" t="str">
        <f>_xlfn.XLOOKUP(tblMovimientos[[#This Row],[Cuenta Bancaria]],Listas!$B:$B,Listas!$A:$A,"")</f>
        <v>SSP Capital</v>
      </c>
      <c r="D429" s="42" t="s">
        <v>101</v>
      </c>
      <c r="E429" s="57" t="str">
        <f>_xlfn.XLOOKUP(tblMovimientos[[#This Row],[Cuenta Bancaria]],Listas!$B:$B,Listas!$C:$C,"")</f>
        <v>Bank of America</v>
      </c>
      <c r="F429" s="42" t="s">
        <v>10</v>
      </c>
      <c r="G429" s="42" t="s">
        <v>38</v>
      </c>
      <c r="H429" s="4" t="str">
        <f>IFERROR(_xlfn.XLOOKUP(G429,Listas!E:E,Listas!F:F,""),"")</f>
        <v>Operativo</v>
      </c>
      <c r="I429" s="47" t="str">
        <f>IFERROR(_xlfn.XLOOKUP(G429,Listas!E:E,Listas!G:G,""),"")</f>
        <v>Externo</v>
      </c>
      <c r="J429" s="44">
        <v>193.01</v>
      </c>
      <c r="K429" s="5">
        <f t="shared" si="4"/>
        <v>-193.01</v>
      </c>
      <c r="L429" s="15" t="s">
        <v>128</v>
      </c>
      <c r="M429" s="45">
        <f>SUMIFS('Saldos Iniciales'!$D$2:$D$38,'Saldos Iniciales'!$A$2:$A$38,C429,'Saldos Iniciales'!$B$2:$B$38,D429)+SUMIFS($K$1:$K$471,$C$1:$C$471,C429,$D$1:$D$471,D429,$B$1:$B$471,"&lt;="&amp;B429)</f>
        <v>7777.24</v>
      </c>
      <c r="N429" s="68" t="str">
        <f>IF(tblMovimientos[[#This Row],[Tipo de Movimiento]]="Ingreso",tblMovimientos[[#This Row],[Monto (S/)]],"0")</f>
        <v>0</v>
      </c>
      <c r="O429" s="68">
        <f>IF(tblMovimientos[[#This Row],[Tipo de Movimiento]]="Egreso",tblMovimientos[[#This Row],[Monto (S/)]],"0")</f>
        <v>193.01</v>
      </c>
      <c r="P429" s="28">
        <f>IF(tblMovimientos[[#This Row],[Tipo de Movimiento]]="Ingreso",tblMovimientos[[#This Row],[Ingreso]],-tblMovimientos[[#This Row],[Egreso]])</f>
        <v>-193.01</v>
      </c>
    </row>
    <row r="430" spans="1:16" x14ac:dyDescent="0.3">
      <c r="B430" s="40">
        <v>46203</v>
      </c>
      <c r="C430" s="47" t="str">
        <f>_xlfn.XLOOKUP(tblMovimientos[[#This Row],[Cuenta Bancaria]],Listas!$B:$B,Listas!$A:$A,"")</f>
        <v>CFT Group</v>
      </c>
      <c r="D430" s="42" t="s">
        <v>94</v>
      </c>
      <c r="E430" s="57" t="str">
        <f>_xlfn.XLOOKUP(tblMovimientos[[#This Row],[Cuenta Bancaria]],Listas!$B:$B,Listas!$C:$C,"")</f>
        <v>Bank of America</v>
      </c>
      <c r="F430" s="42" t="s">
        <v>10</v>
      </c>
      <c r="G430" s="42" t="s">
        <v>38</v>
      </c>
      <c r="H430" s="4" t="str">
        <f>IFERROR(_xlfn.XLOOKUP(G430,Listas!E:E,Listas!F:F,""),"")</f>
        <v>Operativo</v>
      </c>
      <c r="I430" s="47" t="str">
        <f>IFERROR(_xlfn.XLOOKUP(G430,Listas!E:E,Listas!G:G,""),"")</f>
        <v>Externo</v>
      </c>
      <c r="J430" s="44">
        <v>2977.94</v>
      </c>
      <c r="K430" s="5">
        <f t="shared" si="4"/>
        <v>-2977.94</v>
      </c>
      <c r="L430" s="15" t="s">
        <v>128</v>
      </c>
      <c r="M430" s="45">
        <f>SUMIFS('Saldos Iniciales'!$D$2:$D$38,'Saldos Iniciales'!$A$2:$A$38,C430,'Saldos Iniciales'!$B$2:$B$38,D430)+SUMIFS($K$1:$K$471,$C$1:$C$471,C430,$D$1:$D$471,D430,$B$1:$B$471,"&lt;="&amp;B430)</f>
        <v>35943.359999999986</v>
      </c>
      <c r="N430" s="68" t="str">
        <f>IF(tblMovimientos[[#This Row],[Tipo de Movimiento]]="Ingreso",tblMovimientos[[#This Row],[Monto (S/)]],"0")</f>
        <v>0</v>
      </c>
      <c r="O430" s="68">
        <f>IF(tblMovimientos[[#This Row],[Tipo de Movimiento]]="Egreso",tblMovimientos[[#This Row],[Monto (S/)]],"0")</f>
        <v>2977.94</v>
      </c>
      <c r="P430" s="28">
        <f>IF(tblMovimientos[[#This Row],[Tipo de Movimiento]]="Ingreso",tblMovimientos[[#This Row],[Ingreso]],-tblMovimientos[[#This Row],[Egreso]])</f>
        <v>-2977.94</v>
      </c>
    </row>
    <row r="431" spans="1:16" x14ac:dyDescent="0.3">
      <c r="B431" s="40">
        <v>46203</v>
      </c>
      <c r="C431" s="47" t="str">
        <f>_xlfn.XLOOKUP(tblMovimientos[[#This Row],[Cuenta Bancaria]],Listas!$B:$B,Listas!$A:$A,"")</f>
        <v>CFT Group</v>
      </c>
      <c r="D431" s="42" t="s">
        <v>94</v>
      </c>
      <c r="E431" s="57" t="str">
        <f>_xlfn.XLOOKUP(tblMovimientos[[#This Row],[Cuenta Bancaria]],Listas!$B:$B,Listas!$C:$C,"")</f>
        <v>Bank of America</v>
      </c>
      <c r="F431" s="42" t="s">
        <v>10</v>
      </c>
      <c r="G431" s="42" t="s">
        <v>40</v>
      </c>
      <c r="H431" s="4" t="str">
        <f>IFERROR(_xlfn.XLOOKUP(G431,Listas!E:E,Listas!F:F,""),"")</f>
        <v>Operativo</v>
      </c>
      <c r="I431" s="47" t="str">
        <f>IFERROR(_xlfn.XLOOKUP(G431,Listas!E:E,Listas!G:G,""),"")</f>
        <v>Externo</v>
      </c>
      <c r="J431" s="44">
        <v>611.12</v>
      </c>
      <c r="K431" s="5">
        <f t="shared" si="4"/>
        <v>-611.12</v>
      </c>
      <c r="L431" s="15" t="s">
        <v>128</v>
      </c>
      <c r="M431" s="45">
        <f>SUMIFS('Saldos Iniciales'!$D$2:$D$38,'Saldos Iniciales'!$A$2:$A$38,C431,'Saldos Iniciales'!$B$2:$B$38,D431)+SUMIFS($K$1:$K$471,$C$1:$C$471,C431,$D$1:$D$471,D431,$B$1:$B$471,"&lt;="&amp;B431)</f>
        <v>35943.359999999986</v>
      </c>
      <c r="N431" s="68" t="str">
        <f>IF(tblMovimientos[[#This Row],[Tipo de Movimiento]]="Ingreso",tblMovimientos[[#This Row],[Monto (S/)]],"0")</f>
        <v>0</v>
      </c>
      <c r="O431" s="68">
        <f>IF(tblMovimientos[[#This Row],[Tipo de Movimiento]]="Egreso",tblMovimientos[[#This Row],[Monto (S/)]],"0")</f>
        <v>611.12</v>
      </c>
      <c r="P431" s="28">
        <f>IF(tblMovimientos[[#This Row],[Tipo de Movimiento]]="Ingreso",tblMovimientos[[#This Row],[Ingreso]],-tblMovimientos[[#This Row],[Egreso]])</f>
        <v>-611.12</v>
      </c>
    </row>
    <row r="432" spans="1:16" x14ac:dyDescent="0.3">
      <c r="A432" s="46"/>
      <c r="B432" s="40">
        <v>46203</v>
      </c>
      <c r="C432" s="47" t="str">
        <f>_xlfn.XLOOKUP(tblMovimientos[[#This Row],[Cuenta Bancaria]],Listas!$B:$B,Listas!$A:$A,"")</f>
        <v>Cross Family Trust</v>
      </c>
      <c r="D432" s="42" t="s">
        <v>110</v>
      </c>
      <c r="E432" s="58" t="str">
        <f>_xlfn.XLOOKUP(tblMovimientos[[#This Row],[Cuenta Bancaria]],Listas!$B:$B,Listas!$C:$C,"")</f>
        <v>Bank of America</v>
      </c>
      <c r="F432" s="42" t="s">
        <v>10</v>
      </c>
      <c r="G432" s="42" t="s">
        <v>38</v>
      </c>
      <c r="H432" s="47" t="str">
        <f>IFERROR(_xlfn.XLOOKUP(G432,Listas!E:E,Listas!F:F,""),"")</f>
        <v>Operativo</v>
      </c>
      <c r="I432" s="47" t="str">
        <f>IFERROR(_xlfn.XLOOKUP(G432,Listas!E:E,Listas!G:G,""),"")</f>
        <v>Externo</v>
      </c>
      <c r="J432" s="44">
        <v>6000</v>
      </c>
      <c r="K432" s="5">
        <f t="shared" si="4"/>
        <v>-6000</v>
      </c>
      <c r="L432" s="15" t="s">
        <v>128</v>
      </c>
      <c r="M432" s="45">
        <f>SUMIFS('Saldos Iniciales'!$D$2:$D$38,'Saldos Iniciales'!$A$2:$A$38,C432,'Saldos Iniciales'!$B$2:$B$38,D432)+SUMIFS($K$1:$K$471,$C$1:$C$471,C432,$D$1:$D$471,D432,$B$1:$B$471,"&lt;="&amp;B432)</f>
        <v>45206.89</v>
      </c>
      <c r="N432" s="68" t="str">
        <f>IF(tblMovimientos[[#This Row],[Tipo de Movimiento]]="Ingreso",tblMovimientos[[#This Row],[Monto (S/)]],"0")</f>
        <v>0</v>
      </c>
      <c r="O432" s="68">
        <f>IF(tblMovimientos[[#This Row],[Tipo de Movimiento]]="Egreso",tblMovimientos[[#This Row],[Monto (S/)]],"0")</f>
        <v>6000</v>
      </c>
      <c r="P432" s="28">
        <f>IF(tblMovimientos[[#This Row],[Tipo de Movimiento]]="Ingreso",tblMovimientos[[#This Row],[Ingreso]],-tblMovimientos[[#This Row],[Egreso]])</f>
        <v>-6000</v>
      </c>
    </row>
    <row r="433" spans="1:16" x14ac:dyDescent="0.3">
      <c r="B433" s="40">
        <v>46204</v>
      </c>
      <c r="C433" s="47" t="str">
        <f>_xlfn.XLOOKUP(tblMovimientos[[#This Row],[Cuenta Bancaria]],Listas!$B:$B,Listas!$A:$A,"")</f>
        <v>Go Blue</v>
      </c>
      <c r="D433" s="42" t="s">
        <v>126</v>
      </c>
      <c r="E433" s="57" t="str">
        <f>_xlfn.XLOOKUP(tblMovimientos[[#This Row],[Cuenta Bancaria]],Listas!$B:$B,Listas!$C:$C,"")</f>
        <v xml:space="preserve">Amerant Bank </v>
      </c>
      <c r="F433" s="42" t="s">
        <v>10</v>
      </c>
      <c r="G433" s="42" t="s">
        <v>38</v>
      </c>
      <c r="H433" s="4" t="str">
        <f>IFERROR(_xlfn.XLOOKUP(G433,Listas!E:E,Listas!F:F,""),"")</f>
        <v>Operativo</v>
      </c>
      <c r="I433" s="47" t="str">
        <f>IFERROR(_xlfn.XLOOKUP(G433,Listas!E:E,Listas!G:G,""),"")</f>
        <v>Externo</v>
      </c>
      <c r="J433" s="44">
        <v>175</v>
      </c>
      <c r="K433" s="5">
        <f t="shared" si="4"/>
        <v>-175</v>
      </c>
      <c r="L433" s="15" t="s">
        <v>129</v>
      </c>
      <c r="M433" s="45">
        <f>SUMIFS('Saldos Iniciales'!$D$2:$D$38,'Saldos Iniciales'!$A$2:$A$38,C433,'Saldos Iniciales'!$B$2:$B$38,D433)+SUMIFS($K$1:$K$471,$C$1:$C$471,C433,$D$1:$D$471,D433,$B$1:$B$471,"&lt;="&amp;B433)</f>
        <v>18404.43</v>
      </c>
      <c r="N433" s="68" t="str">
        <f>IF(tblMovimientos[[#This Row],[Tipo de Movimiento]]="Ingreso",tblMovimientos[[#This Row],[Monto (S/)]],"0")</f>
        <v>0</v>
      </c>
      <c r="O433" s="68">
        <f>IF(tblMovimientos[[#This Row],[Tipo de Movimiento]]="Egreso",tblMovimientos[[#This Row],[Monto (S/)]],"0")</f>
        <v>175</v>
      </c>
      <c r="P433" s="28">
        <f>IF(tblMovimientos[[#This Row],[Tipo de Movimiento]]="Ingreso",tblMovimientos[[#This Row],[Ingreso]],-tblMovimientos[[#This Row],[Egreso]])</f>
        <v>-175</v>
      </c>
    </row>
    <row r="434" spans="1:16" x14ac:dyDescent="0.3">
      <c r="B434" s="40">
        <v>46204</v>
      </c>
      <c r="C434" s="47" t="str">
        <f>_xlfn.XLOOKUP(tblMovimientos[[#This Row],[Cuenta Bancaria]],Listas!$B:$B,Listas!$A:$A,"")</f>
        <v>A&amp;M Imports</v>
      </c>
      <c r="D434" s="42" t="s">
        <v>100</v>
      </c>
      <c r="E434" s="57" t="str">
        <f>_xlfn.XLOOKUP(tblMovimientos[[#This Row],[Cuenta Bancaria]],Listas!$B:$B,Listas!$C:$C,"")</f>
        <v>Bank of America</v>
      </c>
      <c r="F434" s="42" t="s">
        <v>9</v>
      </c>
      <c r="G434" s="42" t="s">
        <v>68</v>
      </c>
      <c r="H434" s="4" t="str">
        <f>IFERROR(_xlfn.XLOOKUP(G434,Listas!E:E,Listas!F:F,""),"")</f>
        <v>Operativo</v>
      </c>
      <c r="I434" s="47" t="str">
        <f>IFERROR(_xlfn.XLOOKUP(G434,Listas!E:E,Listas!G:G,""),"")</f>
        <v>Externo</v>
      </c>
      <c r="J434" s="44">
        <v>16785.27</v>
      </c>
      <c r="K434" s="5">
        <f t="shared" si="4"/>
        <v>16785.27</v>
      </c>
      <c r="L434" s="15" t="s">
        <v>129</v>
      </c>
      <c r="M434" s="45">
        <f>SUMIFS('Saldos Iniciales'!$D$2:$D$38,'Saldos Iniciales'!$A$2:$A$38,C434,'Saldos Iniciales'!$B$2:$B$38,D434)+SUMIFS($K$1:$K$471,$C$1:$C$471,C434,$D$1:$D$471,D434,$B$1:$B$471,"&lt;="&amp;B434)</f>
        <v>507936.37999999989</v>
      </c>
      <c r="N434" s="68">
        <f>IF(tblMovimientos[[#This Row],[Tipo de Movimiento]]="Ingreso",tblMovimientos[[#This Row],[Monto (S/)]],"0")</f>
        <v>16785.27</v>
      </c>
      <c r="O434" s="68" t="str">
        <f>IF(tblMovimientos[[#This Row],[Tipo de Movimiento]]="Egreso",tblMovimientos[[#This Row],[Monto (S/)]],"0")</f>
        <v>0</v>
      </c>
      <c r="P434" s="28">
        <f>IF(tblMovimientos[[#This Row],[Tipo de Movimiento]]="Ingreso",tblMovimientos[[#This Row],[Ingreso]],-tblMovimientos[[#This Row],[Egreso]])</f>
        <v>16785.27</v>
      </c>
    </row>
    <row r="435" spans="1:16" x14ac:dyDescent="0.3">
      <c r="B435" s="40">
        <v>46204</v>
      </c>
      <c r="C435" s="47" t="str">
        <f>_xlfn.XLOOKUP(tblMovimientos[[#This Row],[Cuenta Bancaria]],Listas!$B:$B,Listas!$A:$A,"")</f>
        <v>A&amp;M Imports</v>
      </c>
      <c r="D435" s="42" t="s">
        <v>100</v>
      </c>
      <c r="E435" s="57" t="str">
        <f>_xlfn.XLOOKUP(tblMovimientos[[#This Row],[Cuenta Bancaria]],Listas!$B:$B,Listas!$C:$C,"")</f>
        <v>Bank of America</v>
      </c>
      <c r="F435" s="42" t="s">
        <v>9</v>
      </c>
      <c r="G435" s="42" t="s">
        <v>68</v>
      </c>
      <c r="H435" s="4" t="str">
        <f>IFERROR(_xlfn.XLOOKUP(G435,Listas!E:E,Listas!F:F,""),"")</f>
        <v>Operativo</v>
      </c>
      <c r="I435" s="47" t="str">
        <f>IFERROR(_xlfn.XLOOKUP(G435,Listas!E:E,Listas!G:G,""),"")</f>
        <v>Externo</v>
      </c>
      <c r="J435" s="44">
        <v>1405.48</v>
      </c>
      <c r="K435" s="5">
        <f t="shared" si="4"/>
        <v>1405.48</v>
      </c>
      <c r="L435" s="15" t="s">
        <v>129</v>
      </c>
      <c r="M435" s="45">
        <f>SUMIFS('Saldos Iniciales'!$D$2:$D$38,'Saldos Iniciales'!$A$2:$A$38,C435,'Saldos Iniciales'!$B$2:$B$38,D435)+SUMIFS($K$1:$K$471,$C$1:$C$471,C435,$D$1:$D$471,D435,$B$1:$B$471,"&lt;="&amp;B435)</f>
        <v>507936.37999999989</v>
      </c>
      <c r="N435" s="68">
        <f>IF(tblMovimientos[[#This Row],[Tipo de Movimiento]]="Ingreso",tblMovimientos[[#This Row],[Monto (S/)]],"0")</f>
        <v>1405.48</v>
      </c>
      <c r="O435" s="68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1405.48</v>
      </c>
    </row>
    <row r="436" spans="1:16" x14ac:dyDescent="0.3">
      <c r="B436" s="40">
        <v>46204</v>
      </c>
      <c r="C436" s="47" t="str">
        <f>_xlfn.XLOOKUP(tblMovimientos[[#This Row],[Cuenta Bancaria]],Listas!$B:$B,Listas!$A:$A,"")</f>
        <v>Sacred Valley Capital</v>
      </c>
      <c r="D436" s="42" t="s">
        <v>114</v>
      </c>
      <c r="E436" s="57" t="str">
        <f>_xlfn.XLOOKUP(tblMovimientos[[#This Row],[Cuenta Bancaria]],Listas!$B:$B,Listas!$C:$C,"")</f>
        <v>Bank of America</v>
      </c>
      <c r="F436" s="42" t="s">
        <v>10</v>
      </c>
      <c r="G436" s="42" t="s">
        <v>44</v>
      </c>
      <c r="H436" s="4" t="str">
        <f>IFERROR(_xlfn.XLOOKUP(G436,Listas!E:E,Listas!F:F,""),"")</f>
        <v>Operativo</v>
      </c>
      <c r="I436" s="47" t="str">
        <f>IFERROR(_xlfn.XLOOKUP(G436,Listas!E:E,Listas!G:G,""),"")</f>
        <v>Externo</v>
      </c>
      <c r="J436" s="44">
        <v>29.95</v>
      </c>
      <c r="K436" s="5">
        <f t="shared" si="4"/>
        <v>-29.95</v>
      </c>
      <c r="L436" s="15" t="s">
        <v>129</v>
      </c>
      <c r="M436" s="45">
        <f>SUMIFS('Saldos Iniciales'!$D$2:$D$38,'Saldos Iniciales'!$A$2:$A$38,C436,'Saldos Iniciales'!$B$2:$B$38,D436)+SUMIFS($K$1:$K$471,$C$1:$C$471,C436,$D$1:$D$471,D436,$B$1:$B$471,"&lt;="&amp;B436)</f>
        <v>54.400000000000006</v>
      </c>
      <c r="N436" s="68" t="str">
        <f>IF(tblMovimientos[[#This Row],[Tipo de Movimiento]]="Ingreso",tblMovimientos[[#This Row],[Monto (S/)]],"0")</f>
        <v>0</v>
      </c>
      <c r="O436" s="68">
        <f>IF(tblMovimientos[[#This Row],[Tipo de Movimiento]]="Egreso",tblMovimientos[[#This Row],[Monto (S/)]],"0")</f>
        <v>29.95</v>
      </c>
      <c r="P436" s="28">
        <f>IF(tblMovimientos[[#This Row],[Tipo de Movimiento]]="Ingreso",tblMovimientos[[#This Row],[Ingreso]],-tblMovimientos[[#This Row],[Egreso]])</f>
        <v>-29.95</v>
      </c>
    </row>
    <row r="437" spans="1:16" x14ac:dyDescent="0.3">
      <c r="B437" s="40">
        <v>46204</v>
      </c>
      <c r="C437" s="47" t="str">
        <f>_xlfn.XLOOKUP(tblMovimientos[[#This Row],[Cuenta Bancaria]],Listas!$B:$B,Listas!$A:$A,"")</f>
        <v>YWC Capital</v>
      </c>
      <c r="D437" s="42" t="s">
        <v>115</v>
      </c>
      <c r="E437" s="57" t="str">
        <f>_xlfn.XLOOKUP(tblMovimientos[[#This Row],[Cuenta Bancaria]],Listas!$B:$B,Listas!$C:$C,"")</f>
        <v>Bank of America</v>
      </c>
      <c r="F437" s="42" t="s">
        <v>10</v>
      </c>
      <c r="G437" s="42" t="s">
        <v>44</v>
      </c>
      <c r="H437" s="4" t="str">
        <f>IFERROR(_xlfn.XLOOKUP(G437,Listas!E:E,Listas!F:F,""),"")</f>
        <v>Operativo</v>
      </c>
      <c r="I437" s="47" t="str">
        <f>IFERROR(_xlfn.XLOOKUP(G437,Listas!E:E,Listas!G:G,""),"")</f>
        <v>Externo</v>
      </c>
      <c r="J437" s="44">
        <v>29.95</v>
      </c>
      <c r="K437" s="5">
        <f t="shared" si="4"/>
        <v>-29.95</v>
      </c>
      <c r="L437" s="15" t="s">
        <v>129</v>
      </c>
      <c r="M437" s="45">
        <f>SUMIFS('Saldos Iniciales'!$D$2:$D$38,'Saldos Iniciales'!$A$2:$A$38,C437,'Saldos Iniciales'!$B$2:$B$38,D437)+SUMIFS($K$1:$K$471,$C$1:$C$471,C437,$D$1:$D$471,D437,$B$1:$B$471,"&lt;="&amp;B437)</f>
        <v>2207.8200000000002</v>
      </c>
      <c r="N437" s="68" t="str">
        <f>IF(tblMovimientos[[#This Row],[Tipo de Movimiento]]="Ingreso",tblMovimientos[[#This Row],[Monto (S/)]],"0")</f>
        <v>0</v>
      </c>
      <c r="O437" s="68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40">
        <v>46204</v>
      </c>
      <c r="C438" s="47" t="str">
        <f>_xlfn.XLOOKUP(tblMovimientos[[#This Row],[Cuenta Bancaria]],Listas!$B:$B,Listas!$A:$A,"")</f>
        <v>Arbor Capital Properties</v>
      </c>
      <c r="D438" s="42" t="s">
        <v>120</v>
      </c>
      <c r="E438" s="57" t="str">
        <f>_xlfn.XLOOKUP(tblMovimientos[[#This Row],[Cuenta Bancaria]],Listas!$B:$B,Listas!$C:$C,"")</f>
        <v>Bank of America</v>
      </c>
      <c r="F438" s="42" t="s">
        <v>10</v>
      </c>
      <c r="G438" s="42" t="s">
        <v>44</v>
      </c>
      <c r="H438" s="4" t="str">
        <f>IFERROR(_xlfn.XLOOKUP(G438,Listas!E:E,Listas!F:F,""),"")</f>
        <v>Operativo</v>
      </c>
      <c r="I438" s="47" t="str">
        <f>IFERROR(_xlfn.XLOOKUP(G438,Listas!E:E,Listas!G:G,""),"")</f>
        <v>Externo</v>
      </c>
      <c r="J438" s="44">
        <v>16</v>
      </c>
      <c r="K438" s="5">
        <f t="shared" si="4"/>
        <v>-16</v>
      </c>
      <c r="L438" s="15" t="s">
        <v>129</v>
      </c>
      <c r="M438" s="45">
        <f>SUMIFS('Saldos Iniciales'!$D$2:$D$38,'Saldos Iniciales'!$A$2:$A$38,C438,'Saldos Iniciales'!$B$2:$B$38,D438)+SUMIFS($K$1:$K$471,$C$1:$C$471,C438,$D$1:$D$471,D438,$B$1:$B$471,"&lt;="&amp;B438)</f>
        <v>1412.08</v>
      </c>
      <c r="N438" s="68" t="str">
        <f>IF(tblMovimientos[[#This Row],[Tipo de Movimiento]]="Ingreso",tblMovimientos[[#This Row],[Monto (S/)]],"0")</f>
        <v>0</v>
      </c>
      <c r="O438" s="68">
        <f>IF(tblMovimientos[[#This Row],[Tipo de Movimiento]]="Egreso",tblMovimientos[[#This Row],[Monto (S/)]],"0")</f>
        <v>16</v>
      </c>
      <c r="P438" s="28">
        <f>IF(tblMovimientos[[#This Row],[Tipo de Movimiento]]="Ingreso",tblMovimientos[[#This Row],[Ingreso]],-tblMovimientos[[#This Row],[Egreso]])</f>
        <v>-16</v>
      </c>
    </row>
    <row r="439" spans="1:16" x14ac:dyDescent="0.3">
      <c r="B439" s="40">
        <v>46204</v>
      </c>
      <c r="C439" s="47" t="str">
        <f>_xlfn.XLOOKUP(tblMovimientos[[#This Row],[Cuenta Bancaria]],Listas!$B:$B,Listas!$A:$A,"")</f>
        <v>2515 Overbrook</v>
      </c>
      <c r="D439" s="42" t="s">
        <v>121</v>
      </c>
      <c r="E439" s="57" t="str">
        <f>_xlfn.XLOOKUP(tblMovimientos[[#This Row],[Cuenta Bancaria]],Listas!$B:$B,Listas!$C:$C,"")</f>
        <v>Bank of America</v>
      </c>
      <c r="F439" s="42" t="s">
        <v>10</v>
      </c>
      <c r="G439" s="42" t="s">
        <v>46</v>
      </c>
      <c r="H439" s="4" t="str">
        <f>IFERROR(_xlfn.XLOOKUP(G439,Listas!E:E,Listas!F:F,""),"")</f>
        <v>Financiamiento</v>
      </c>
      <c r="I439" s="47" t="str">
        <f>IFERROR(_xlfn.XLOOKUP(G439,Listas!E:E,Listas!G:G,""),"")</f>
        <v>Externo</v>
      </c>
      <c r="J439" s="44">
        <v>8533.33</v>
      </c>
      <c r="K439" s="5">
        <f t="shared" si="4"/>
        <v>-8533.33</v>
      </c>
      <c r="L439" s="15" t="s">
        <v>129</v>
      </c>
      <c r="M439" s="45">
        <f>SUMIFS('Saldos Iniciales'!$D$2:$D$38,'Saldos Iniciales'!$A$2:$A$38,C439,'Saldos Iniciales'!$B$2:$B$38,D439)+SUMIFS($K$1:$K$471,$C$1:$C$471,C439,$D$1:$D$471,D439,$B$1:$B$471,"&lt;="&amp;B439)</f>
        <v>22176.219999999961</v>
      </c>
      <c r="N439" s="68" t="str">
        <f>IF(tblMovimientos[[#This Row],[Tipo de Movimiento]]="Ingreso",tblMovimientos[[#This Row],[Monto (S/)]],"0")</f>
        <v>0</v>
      </c>
      <c r="O439" s="68">
        <f>IF(tblMovimientos[[#This Row],[Tipo de Movimiento]]="Egreso",tblMovimientos[[#This Row],[Monto (S/)]],"0")</f>
        <v>8533.33</v>
      </c>
      <c r="P439" s="28">
        <f>IF(tblMovimientos[[#This Row],[Tipo de Movimiento]]="Ingreso",tblMovimientos[[#This Row],[Ingreso]],-tblMovimientos[[#This Row],[Egreso]])</f>
        <v>-8533.33</v>
      </c>
    </row>
    <row r="440" spans="1:16" x14ac:dyDescent="0.3">
      <c r="B440" s="40">
        <v>46204</v>
      </c>
      <c r="C440" s="47" t="str">
        <f>_xlfn.XLOOKUP(tblMovimientos[[#This Row],[Cuenta Bancaria]],Listas!$B:$B,Listas!$A:$A,"")</f>
        <v>2515 Overbrook</v>
      </c>
      <c r="D440" s="42" t="s">
        <v>122</v>
      </c>
      <c r="E440" s="57" t="str">
        <f>_xlfn.XLOOKUP(tblMovimientos[[#This Row],[Cuenta Bancaria]],Listas!$B:$B,Listas!$C:$C,"")</f>
        <v>Bank of America</v>
      </c>
      <c r="F440" s="42" t="s">
        <v>10</v>
      </c>
      <c r="G440" s="42" t="s">
        <v>44</v>
      </c>
      <c r="H440" s="4" t="str">
        <f>IFERROR(_xlfn.XLOOKUP(G440,Listas!E:E,Listas!F:F,""),"")</f>
        <v>Operativo</v>
      </c>
      <c r="I440" s="47" t="str">
        <f>IFERROR(_xlfn.XLOOKUP(G440,Listas!E:E,Listas!G:G,""),"")</f>
        <v>Externo</v>
      </c>
      <c r="J440" s="44">
        <v>10</v>
      </c>
      <c r="K440" s="5">
        <f t="shared" si="4"/>
        <v>-10</v>
      </c>
      <c r="L440" s="15" t="s">
        <v>129</v>
      </c>
      <c r="M440" s="45">
        <f>SUMIFS('Saldos Iniciales'!$D$2:$D$38,'Saldos Iniciales'!$A$2:$A$38,C440,'Saldos Iniciales'!$B$2:$B$38,D440)+SUMIFS($K$1:$K$471,$C$1:$C$471,C440,$D$1:$D$471,D440,$B$1:$B$471,"&lt;="&amp;B440)</f>
        <v>320.42</v>
      </c>
      <c r="N440" s="68" t="str">
        <f>IF(tblMovimientos[[#This Row],[Tipo de Movimiento]]="Ingreso",tblMovimientos[[#This Row],[Monto (S/)]],"0")</f>
        <v>0</v>
      </c>
      <c r="O440" s="68">
        <f>IF(tblMovimientos[[#This Row],[Tipo de Movimiento]]="Egreso",tblMovimientos[[#This Row],[Monto (S/)]],"0")</f>
        <v>10</v>
      </c>
      <c r="P440" s="28">
        <f>IF(tblMovimientos[[#This Row],[Tipo de Movimiento]]="Ingreso",tblMovimientos[[#This Row],[Ingreso]],-tblMovimientos[[#This Row],[Egreso]])</f>
        <v>-10</v>
      </c>
    </row>
    <row r="441" spans="1:16" x14ac:dyDescent="0.3">
      <c r="B441" s="40">
        <v>46204</v>
      </c>
      <c r="C441" s="47" t="str">
        <f>_xlfn.XLOOKUP(tblMovimientos[[#This Row],[Cuenta Bancaria]],Listas!$B:$B,Listas!$A:$A,"")</f>
        <v>112 Florida Ave</v>
      </c>
      <c r="D441" s="42" t="s">
        <v>123</v>
      </c>
      <c r="E441" s="57" t="str">
        <f>_xlfn.XLOOKUP(tblMovimientos[[#This Row],[Cuenta Bancaria]],Listas!$B:$B,Listas!$C:$C,"")</f>
        <v>Bank of America</v>
      </c>
      <c r="F441" s="42" t="s">
        <v>10</v>
      </c>
      <c r="G441" s="42" t="s">
        <v>48</v>
      </c>
      <c r="H441" s="4" t="str">
        <f>IFERROR(_xlfn.XLOOKUP(G441,Listas!E:E,Listas!F:F,""),"")</f>
        <v>Financiamiento</v>
      </c>
      <c r="I441" s="47" t="str">
        <f>IFERROR(_xlfn.XLOOKUP(G441,Listas!E:E,Listas!G:G,""),"")</f>
        <v>Externo</v>
      </c>
      <c r="J441" s="44">
        <v>9798.6299999999992</v>
      </c>
      <c r="K441" s="5">
        <f t="shared" si="4"/>
        <v>-9798.6299999999992</v>
      </c>
      <c r="L441" s="15" t="s">
        <v>129</v>
      </c>
      <c r="M441" s="45">
        <f>SUMIFS('Saldos Iniciales'!$D$2:$D$38,'Saldos Iniciales'!$A$2:$A$38,C441,'Saldos Iniciales'!$B$2:$B$38,D441)+SUMIFS($K$1:$K$471,$C$1:$C$471,C441,$D$1:$D$471,D441,$B$1:$B$471,"&lt;="&amp;B441)</f>
        <v>10522.800000000003</v>
      </c>
      <c r="N441" s="68" t="str">
        <f>IF(tblMovimientos[[#This Row],[Tipo de Movimiento]]="Ingreso",tblMovimientos[[#This Row],[Monto (S/)]],"0")</f>
        <v>0</v>
      </c>
      <c r="O441" s="68">
        <f>IF(tblMovimientos[[#This Row],[Tipo de Movimiento]]="Egreso",tblMovimientos[[#This Row],[Monto (S/)]],"0")</f>
        <v>9798.6299999999992</v>
      </c>
      <c r="P441" s="28">
        <f>IF(tblMovimientos[[#This Row],[Tipo de Movimiento]]="Ingreso",tblMovimientos[[#This Row],[Ingreso]],-tblMovimientos[[#This Row],[Egreso]])</f>
        <v>-9798.6299999999992</v>
      </c>
    </row>
    <row r="442" spans="1:16" x14ac:dyDescent="0.3">
      <c r="A442" s="46"/>
      <c r="B442" s="40">
        <v>46204</v>
      </c>
      <c r="C442" s="47" t="str">
        <f>_xlfn.XLOOKUP(tblMovimientos[[#This Row],[Cuenta Bancaria]],Listas!$B:$B,Listas!$A:$A,"")</f>
        <v>3628 Thomas Ave</v>
      </c>
      <c r="D442" s="42" t="s">
        <v>124</v>
      </c>
      <c r="E442" s="58" t="str">
        <f>_xlfn.XLOOKUP(tblMovimientos[[#This Row],[Cuenta Bancaria]],Listas!$B:$B,Listas!$C:$C,"")</f>
        <v>Bank of America</v>
      </c>
      <c r="F442" s="42" t="s">
        <v>10</v>
      </c>
      <c r="G442" s="42" t="s">
        <v>48</v>
      </c>
      <c r="H442" s="47" t="str">
        <f>IFERROR(_xlfn.XLOOKUP(G442,Listas!E:E,Listas!F:F,""),"")</f>
        <v>Financiamiento</v>
      </c>
      <c r="I442" s="47" t="str">
        <f>IFERROR(_xlfn.XLOOKUP(G442,Listas!E:E,Listas!G:G,""),"")</f>
        <v>Externo</v>
      </c>
      <c r="J442" s="44">
        <v>8773.0400000000009</v>
      </c>
      <c r="K442" s="5">
        <f t="shared" si="4"/>
        <v>-8773.0400000000009</v>
      </c>
      <c r="L442" s="15" t="s">
        <v>129</v>
      </c>
      <c r="M442" s="45">
        <f>SUMIFS('Saldos Iniciales'!$D$2:$D$38,'Saldos Iniciales'!$A$2:$A$38,C442,'Saldos Iniciales'!$B$2:$B$38,D442)+SUMIFS($K$1:$K$471,$C$1:$C$471,C442,$D$1:$D$471,D442,$B$1:$B$471,"&lt;="&amp;B442)</f>
        <v>19685.559999999998</v>
      </c>
      <c r="N442" s="68" t="str">
        <f>IF(tblMovimientos[[#This Row],[Tipo de Movimiento]]="Ingreso",tblMovimientos[[#This Row],[Monto (S/)]],"0")</f>
        <v>0</v>
      </c>
      <c r="O442" s="68">
        <f>IF(tblMovimientos[[#This Row],[Tipo de Movimiento]]="Egreso",tblMovimientos[[#This Row],[Monto (S/)]],"0")</f>
        <v>8773.0400000000009</v>
      </c>
      <c r="P442" s="28">
        <f>IF(tblMovimientos[[#This Row],[Tipo de Movimiento]]="Ingreso",tblMovimientos[[#This Row],[Ingreso]],-tblMovimientos[[#This Row],[Egreso]])</f>
        <v>-8773.0400000000009</v>
      </c>
    </row>
    <row r="443" spans="1:16" x14ac:dyDescent="0.3">
      <c r="B443" s="40">
        <v>46205</v>
      </c>
      <c r="C443" s="47" t="str">
        <f>_xlfn.XLOOKUP(tblMovimientos[[#This Row],[Cuenta Bancaria]],Listas!$B:$B,Listas!$A:$A,"")</f>
        <v>SSP Capital</v>
      </c>
      <c r="D443" s="42" t="s">
        <v>101</v>
      </c>
      <c r="E443" s="57" t="str">
        <f>_xlfn.XLOOKUP(tblMovimientos[[#This Row],[Cuenta Bancaria]],Listas!$B:$B,Listas!$C:$C,"")</f>
        <v>Bank of America</v>
      </c>
      <c r="F443" s="42" t="s">
        <v>9</v>
      </c>
      <c r="G443" s="42" t="s">
        <v>73</v>
      </c>
      <c r="H443" s="4" t="str">
        <f>IFERROR(_xlfn.XLOOKUP(G443,Listas!E:E,Listas!F:F,""),"")</f>
        <v>Operativo</v>
      </c>
      <c r="I443" s="47" t="str">
        <f>IFERROR(_xlfn.XLOOKUP(G443,Listas!E:E,Listas!G:G,""),"")</f>
        <v>Interno</v>
      </c>
      <c r="J443" s="44">
        <v>15280.15</v>
      </c>
      <c r="K443" s="5">
        <f t="shared" ref="K443:K468" si="5">IF(F443="Ingreso",J443,-J443)</f>
        <v>15280.15</v>
      </c>
      <c r="L443" s="15" t="s">
        <v>129</v>
      </c>
      <c r="M443" s="45">
        <f>SUMIFS('Saldos Iniciales'!$D$2:$D$38,'Saldos Iniciales'!$A$2:$A$38,C443,'Saldos Iniciales'!$B$2:$B$38,D443)+SUMIFS($K$1:$K$471,$C$1:$C$471,C443,$D$1:$D$471,D443,$B$1:$B$471,"&lt;="&amp;B443)</f>
        <v>23057.39</v>
      </c>
      <c r="N443" s="68">
        <f>IF(tblMovimientos[[#This Row],[Tipo de Movimiento]]="Ingreso",tblMovimientos[[#This Row],[Monto (S/)]],"0")</f>
        <v>15280.15</v>
      </c>
      <c r="O443" s="68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15280.15</v>
      </c>
    </row>
    <row r="444" spans="1:16" x14ac:dyDescent="0.3">
      <c r="B444" s="40">
        <v>46205</v>
      </c>
      <c r="C444" s="47" t="str">
        <f>_xlfn.XLOOKUP(tblMovimientos[[#This Row],[Cuenta Bancaria]],Listas!$B:$B,Listas!$A:$A,"")</f>
        <v>A&amp;M Imports</v>
      </c>
      <c r="D444" s="42" t="s">
        <v>100</v>
      </c>
      <c r="E444" s="57" t="str">
        <f>_xlfn.XLOOKUP(tblMovimientos[[#This Row],[Cuenta Bancaria]],Listas!$B:$B,Listas!$C:$C,"")</f>
        <v>Bank of America</v>
      </c>
      <c r="F444" s="42" t="s">
        <v>10</v>
      </c>
      <c r="G444" s="42" t="s">
        <v>61</v>
      </c>
      <c r="H444" s="4" t="str">
        <f>IFERROR(_xlfn.XLOOKUP(G444,Listas!E:E,Listas!F:F,""),"")</f>
        <v>Operativo</v>
      </c>
      <c r="I444" s="47" t="str">
        <f>IFERROR(_xlfn.XLOOKUP(G444,Listas!E:E,Listas!G:G,""),"")</f>
        <v>Externo</v>
      </c>
      <c r="J444" s="44">
        <v>60000</v>
      </c>
      <c r="K444" s="5">
        <f t="shared" si="5"/>
        <v>-60000</v>
      </c>
      <c r="L444" s="15" t="s">
        <v>129</v>
      </c>
      <c r="M444" s="45">
        <f>SUMIFS('Saldos Iniciales'!$D$2:$D$38,'Saldos Iniciales'!$A$2:$A$38,C444,'Saldos Iniciales'!$B$2:$B$38,D444)+SUMIFS($K$1:$K$471,$C$1:$C$471,C444,$D$1:$D$471,D444,$B$1:$B$471,"&lt;="&amp;B444)</f>
        <v>350475.62999999989</v>
      </c>
      <c r="N444" s="68" t="str">
        <f>IF(tblMovimientos[[#This Row],[Tipo de Movimiento]]="Ingreso",tblMovimientos[[#This Row],[Monto (S/)]],"0")</f>
        <v>0</v>
      </c>
      <c r="O444" s="68">
        <f>IF(tblMovimientos[[#This Row],[Tipo de Movimiento]]="Egreso",tblMovimientos[[#This Row],[Monto (S/)]],"0")</f>
        <v>60000</v>
      </c>
      <c r="P444" s="28">
        <f>IF(tblMovimientos[[#This Row],[Tipo de Movimiento]]="Ingreso",tblMovimientos[[#This Row],[Ingreso]],-tblMovimientos[[#This Row],[Egreso]])</f>
        <v>-60000</v>
      </c>
    </row>
    <row r="445" spans="1:16" x14ac:dyDescent="0.3">
      <c r="B445" s="40">
        <v>46205</v>
      </c>
      <c r="C445" s="47" t="str">
        <f>_xlfn.XLOOKUP(tblMovimientos[[#This Row],[Cuenta Bancaria]],Listas!$B:$B,Listas!$A:$A,"")</f>
        <v>A&amp;M Imports</v>
      </c>
      <c r="D445" s="42" t="s">
        <v>100</v>
      </c>
      <c r="E445" s="57" t="str">
        <f>_xlfn.XLOOKUP(tblMovimientos[[#This Row],[Cuenta Bancaria]],Listas!$B:$B,Listas!$C:$C,"")</f>
        <v>Bank of America</v>
      </c>
      <c r="F445" s="42" t="s">
        <v>10</v>
      </c>
      <c r="G445" s="42" t="s">
        <v>51</v>
      </c>
      <c r="H445" s="4" t="str">
        <f>IFERROR(_xlfn.XLOOKUP(G445,Listas!E:E,Listas!F:F,""),"")</f>
        <v>Financiamiento</v>
      </c>
      <c r="I445" s="47" t="str">
        <f>IFERROR(_xlfn.XLOOKUP(G445,Listas!E:E,Listas!G:G,""),"")</f>
        <v>Externo</v>
      </c>
      <c r="J445" s="44">
        <v>15280.15</v>
      </c>
      <c r="K445" s="5">
        <f t="shared" si="5"/>
        <v>-15280.15</v>
      </c>
      <c r="L445" s="15" t="s">
        <v>129</v>
      </c>
      <c r="M445" s="45">
        <f>SUMIFS('Saldos Iniciales'!$D$2:$D$38,'Saldos Iniciales'!$A$2:$A$38,C445,'Saldos Iniciales'!$B$2:$B$38,D445)+SUMIFS($K$1:$K$471,$C$1:$C$471,C445,$D$1:$D$471,D445,$B$1:$B$471,"&lt;="&amp;B445)</f>
        <v>350475.62999999989</v>
      </c>
      <c r="N445" s="68" t="str">
        <f>IF(tblMovimientos[[#This Row],[Tipo de Movimiento]]="Ingreso",tblMovimientos[[#This Row],[Monto (S/)]],"0")</f>
        <v>0</v>
      </c>
      <c r="O445" s="68">
        <f>IF(tblMovimientos[[#This Row],[Tipo de Movimiento]]="Egreso",tblMovimientos[[#This Row],[Monto (S/)]],"0")</f>
        <v>15280.15</v>
      </c>
      <c r="P445" s="28">
        <f>IF(tblMovimientos[[#This Row],[Tipo de Movimiento]]="Ingreso",tblMovimientos[[#This Row],[Ingreso]],-tblMovimientos[[#This Row],[Egreso]])</f>
        <v>-15280.15</v>
      </c>
    </row>
    <row r="446" spans="1:16" x14ac:dyDescent="0.3">
      <c r="B446" s="40">
        <v>46205</v>
      </c>
      <c r="C446" s="47" t="str">
        <f>_xlfn.XLOOKUP(tblMovimientos[[#This Row],[Cuenta Bancaria]],Listas!$B:$B,Listas!$A:$A,"")</f>
        <v>A&amp;M Imports</v>
      </c>
      <c r="D446" s="42" t="s">
        <v>100</v>
      </c>
      <c r="E446" s="57" t="str">
        <f>_xlfn.XLOOKUP(tblMovimientos[[#This Row],[Cuenta Bancaria]],Listas!$B:$B,Listas!$C:$C,"")</f>
        <v>Bank of America</v>
      </c>
      <c r="F446" s="42" t="s">
        <v>10</v>
      </c>
      <c r="G446" s="42" t="s">
        <v>51</v>
      </c>
      <c r="H446" s="4" t="str">
        <f>IFERROR(_xlfn.XLOOKUP(G446,Listas!E:E,Listas!F:F,""),"")</f>
        <v>Financiamiento</v>
      </c>
      <c r="I446" s="47" t="str">
        <f>IFERROR(_xlfn.XLOOKUP(G446,Listas!E:E,Listas!G:G,""),"")</f>
        <v>Externo</v>
      </c>
      <c r="J446" s="44">
        <v>82180.600000000006</v>
      </c>
      <c r="K446" s="5">
        <f t="shared" si="5"/>
        <v>-82180.600000000006</v>
      </c>
      <c r="L446" s="15" t="s">
        <v>129</v>
      </c>
      <c r="M446" s="45">
        <f>SUMIFS('Saldos Iniciales'!$D$2:$D$38,'Saldos Iniciales'!$A$2:$A$38,C446,'Saldos Iniciales'!$B$2:$B$38,D446)+SUMIFS($K$1:$K$471,$C$1:$C$471,C446,$D$1:$D$471,D446,$B$1:$B$471,"&lt;="&amp;B446)</f>
        <v>350475.62999999989</v>
      </c>
      <c r="N446" s="68" t="str">
        <f>IF(tblMovimientos[[#This Row],[Tipo de Movimiento]]="Ingreso",tblMovimientos[[#This Row],[Monto (S/)]],"0")</f>
        <v>0</v>
      </c>
      <c r="O446" s="68">
        <f>IF(tblMovimientos[[#This Row],[Tipo de Movimiento]]="Egreso",tblMovimientos[[#This Row],[Monto (S/)]],"0")</f>
        <v>82180.600000000006</v>
      </c>
      <c r="P446" s="28">
        <f>IF(tblMovimientos[[#This Row],[Tipo de Movimiento]]="Ingreso",tblMovimientos[[#This Row],[Ingreso]],-tblMovimientos[[#This Row],[Egreso]])</f>
        <v>-82180.600000000006</v>
      </c>
    </row>
    <row r="447" spans="1:16" x14ac:dyDescent="0.3">
      <c r="B447" s="40">
        <v>46205</v>
      </c>
      <c r="C447" s="47" t="str">
        <f>_xlfn.XLOOKUP(tblMovimientos[[#This Row],[Cuenta Bancaria]],Listas!$B:$B,Listas!$A:$A,"")</f>
        <v>3628 Thomas Ave</v>
      </c>
      <c r="D447" s="42" t="s">
        <v>124</v>
      </c>
      <c r="E447" s="57" t="str">
        <f>_xlfn.XLOOKUP(tblMovimientos[[#This Row],[Cuenta Bancaria]],Listas!$B:$B,Listas!$C:$C,"")</f>
        <v>Bank of America</v>
      </c>
      <c r="F447" s="42" t="s">
        <v>9</v>
      </c>
      <c r="G447" s="42" t="s">
        <v>81</v>
      </c>
      <c r="H447" s="4" t="str">
        <f>IFERROR(_xlfn.XLOOKUP(G447,Listas!E:E,Listas!F:F,""),"")</f>
        <v>Operativo</v>
      </c>
      <c r="I447" s="47" t="str">
        <f>IFERROR(_xlfn.XLOOKUP(G447,Listas!E:E,Listas!G:G,""),"")</f>
        <v>Externo</v>
      </c>
      <c r="J447" s="44">
        <v>4400</v>
      </c>
      <c r="K447" s="5">
        <f t="shared" si="5"/>
        <v>4400</v>
      </c>
      <c r="L447" s="15" t="s">
        <v>129</v>
      </c>
      <c r="M447" s="45">
        <f>SUMIFS('Saldos Iniciales'!$D$2:$D$38,'Saldos Iniciales'!$A$2:$A$38,C447,'Saldos Iniciales'!$B$2:$B$38,D447)+SUMIFS($K$1:$K$471,$C$1:$C$471,C447,$D$1:$D$471,D447,$B$1:$B$471,"&lt;="&amp;B447)</f>
        <v>24085.559999999998</v>
      </c>
      <c r="N447" s="68">
        <f>IF(tblMovimientos[[#This Row],[Tipo de Movimiento]]="Ingreso",tblMovimientos[[#This Row],[Monto (S/)]],"0")</f>
        <v>4400</v>
      </c>
      <c r="O447" s="68" t="str">
        <f>IF(tblMovimientos[[#This Row],[Tipo de Movimiento]]="Egreso",tblMovimientos[[#This Row],[Monto (S/)]],"0")</f>
        <v>0</v>
      </c>
      <c r="P447" s="28">
        <f>IF(tblMovimientos[[#This Row],[Tipo de Movimiento]]="Ingreso",tblMovimientos[[#This Row],[Ingreso]],-tblMovimientos[[#This Row],[Egreso]])</f>
        <v>4400</v>
      </c>
    </row>
    <row r="448" spans="1:16" x14ac:dyDescent="0.3">
      <c r="B448" s="40">
        <v>46205</v>
      </c>
      <c r="C448" s="47" t="str">
        <f>_xlfn.XLOOKUP(tblMovimientos[[#This Row],[Cuenta Bancaria]],Listas!$B:$B,Listas!$A:$A,"")</f>
        <v>CFT Group</v>
      </c>
      <c r="D448" s="42" t="s">
        <v>95</v>
      </c>
      <c r="E448" s="57" t="str">
        <f>_xlfn.XLOOKUP(tblMovimientos[[#This Row],[Cuenta Bancaria]],Listas!$B:$B,Listas!$C:$C,"")</f>
        <v xml:space="preserve">Amerant Bank </v>
      </c>
      <c r="F448" s="42" t="s">
        <v>10</v>
      </c>
      <c r="G448" s="42" t="s">
        <v>55</v>
      </c>
      <c r="H448" s="4" t="str">
        <f>IFERROR(_xlfn.XLOOKUP(G448,Listas!E:E,Listas!F:F,""),"")</f>
        <v>Inversion</v>
      </c>
      <c r="I448" s="47" t="str">
        <f>IFERROR(_xlfn.XLOOKUP(G448,Listas!E:E,Listas!G:G,""),"")</f>
        <v>Externo</v>
      </c>
      <c r="J448" s="44">
        <v>3000</v>
      </c>
      <c r="K448" s="5">
        <f t="shared" si="5"/>
        <v>-3000</v>
      </c>
      <c r="L448" s="15" t="s">
        <v>129</v>
      </c>
      <c r="M448" s="45">
        <f>SUMIFS('Saldos Iniciales'!$D$2:$D$38,'Saldos Iniciales'!$A$2:$A$38,C448,'Saldos Iniciales'!$B$2:$B$38,D448)+SUMIFS($K$1:$K$471,$C$1:$C$471,C448,$D$1:$D$471,D448,$B$1:$B$471,"&lt;="&amp;B448)</f>
        <v>5488976.9100000001</v>
      </c>
      <c r="N448" s="68" t="str">
        <f>IF(tblMovimientos[[#This Row],[Tipo de Movimiento]]="Ingreso",tblMovimientos[[#This Row],[Monto (S/)]],"0")</f>
        <v>0</v>
      </c>
      <c r="O448" s="68">
        <f>IF(tblMovimientos[[#This Row],[Tipo de Movimiento]]="Egreso",tblMovimientos[[#This Row],[Monto (S/)]],"0")</f>
        <v>3000</v>
      </c>
      <c r="P448" s="28">
        <f>IF(tblMovimientos[[#This Row],[Tipo de Movimiento]]="Ingreso",tblMovimientos[[#This Row],[Ingreso]],-tblMovimientos[[#This Row],[Egreso]])</f>
        <v>-3000</v>
      </c>
    </row>
    <row r="449" spans="2:16" x14ac:dyDescent="0.3">
      <c r="B449" s="40">
        <v>46205</v>
      </c>
      <c r="C449" s="47" t="str">
        <f>_xlfn.XLOOKUP(tblMovimientos[[#This Row],[Cuenta Bancaria]],Listas!$B:$B,Listas!$A:$A,"")</f>
        <v>CFT Group</v>
      </c>
      <c r="D449" s="42" t="s">
        <v>95</v>
      </c>
      <c r="E449" s="57" t="str">
        <f>_xlfn.XLOOKUP(tblMovimientos[[#This Row],[Cuenta Bancaria]],Listas!$B:$B,Listas!$C:$C,"")</f>
        <v xml:space="preserve">Amerant Bank </v>
      </c>
      <c r="F449" s="42" t="s">
        <v>10</v>
      </c>
      <c r="G449" s="42" t="s">
        <v>61</v>
      </c>
      <c r="H449" s="4" t="str">
        <f>IFERROR(_xlfn.XLOOKUP(G449,Listas!E:E,Listas!F:F,""),"")</f>
        <v>Operativo</v>
      </c>
      <c r="I449" s="47" t="str">
        <f>IFERROR(_xlfn.XLOOKUP(G449,Listas!E:E,Listas!G:G,""),"")</f>
        <v>Externo</v>
      </c>
      <c r="J449" s="44">
        <v>55000</v>
      </c>
      <c r="K449" s="5">
        <f t="shared" si="5"/>
        <v>-55000</v>
      </c>
      <c r="L449" s="15" t="s">
        <v>129</v>
      </c>
      <c r="M449" s="45">
        <f>SUMIFS('Saldos Iniciales'!$D$2:$D$38,'Saldos Iniciales'!$A$2:$A$38,C449,'Saldos Iniciales'!$B$2:$B$38,D449)+SUMIFS($K$1:$K$471,$C$1:$C$471,C449,$D$1:$D$471,D449,$B$1:$B$471,"&lt;="&amp;B449)</f>
        <v>5488976.9100000001</v>
      </c>
      <c r="N449" s="68" t="str">
        <f>IF(tblMovimientos[[#This Row],[Tipo de Movimiento]]="Ingreso",tblMovimientos[[#This Row],[Monto (S/)]],"0")</f>
        <v>0</v>
      </c>
      <c r="O449" s="68">
        <f>IF(tblMovimientos[[#This Row],[Tipo de Movimiento]]="Egreso",tblMovimientos[[#This Row],[Monto (S/)]],"0")</f>
        <v>55000</v>
      </c>
      <c r="P449" s="28">
        <f>IF(tblMovimientos[[#This Row],[Tipo de Movimiento]]="Ingreso",tblMovimientos[[#This Row],[Ingreso]],-tblMovimientos[[#This Row],[Egreso]])</f>
        <v>-55000</v>
      </c>
    </row>
    <row r="450" spans="2:16" x14ac:dyDescent="0.3">
      <c r="B450" s="40">
        <v>46205</v>
      </c>
      <c r="C450" s="47" t="str">
        <f>_xlfn.XLOOKUP(tblMovimientos[[#This Row],[Cuenta Bancaria]],Listas!$B:$B,Listas!$A:$A,"")</f>
        <v>CFT Group</v>
      </c>
      <c r="D450" s="42" t="s">
        <v>95</v>
      </c>
      <c r="E450" s="57" t="str">
        <f>_xlfn.XLOOKUP(tblMovimientos[[#This Row],[Cuenta Bancaria]],Listas!$B:$B,Listas!$C:$C,"")</f>
        <v xml:space="preserve">Amerant Bank </v>
      </c>
      <c r="F450" s="42" t="s">
        <v>10</v>
      </c>
      <c r="G450" s="42" t="s">
        <v>61</v>
      </c>
      <c r="H450" s="4" t="str">
        <f>IFERROR(_xlfn.XLOOKUP(G450,Listas!E:E,Listas!F:F,""),"")</f>
        <v>Operativo</v>
      </c>
      <c r="I450" s="47" t="str">
        <f>IFERROR(_xlfn.XLOOKUP(G450,Listas!E:E,Listas!G:G,""),"")</f>
        <v>Externo</v>
      </c>
      <c r="J450" s="44">
        <v>60000</v>
      </c>
      <c r="K450" s="5">
        <f t="shared" si="5"/>
        <v>-60000</v>
      </c>
      <c r="L450" s="15" t="s">
        <v>129</v>
      </c>
      <c r="M450" s="45">
        <f>SUMIFS('Saldos Iniciales'!$D$2:$D$38,'Saldos Iniciales'!$A$2:$A$38,C450,'Saldos Iniciales'!$B$2:$B$38,D450)+SUMIFS($K$1:$K$471,$C$1:$C$471,C450,$D$1:$D$471,D450,$B$1:$B$471,"&lt;="&amp;B450)</f>
        <v>5488976.9100000001</v>
      </c>
      <c r="N450" s="68" t="str">
        <f>IF(tblMovimientos[[#This Row],[Tipo de Movimiento]]="Ingreso",tblMovimientos[[#This Row],[Monto (S/)]],"0")</f>
        <v>0</v>
      </c>
      <c r="O450" s="68">
        <f>IF(tblMovimientos[[#This Row],[Tipo de Movimiento]]="Egreso",tblMovimientos[[#This Row],[Monto (S/)]],"0")</f>
        <v>60000</v>
      </c>
      <c r="P450" s="28">
        <f>IF(tblMovimientos[[#This Row],[Tipo de Movimiento]]="Ingreso",tblMovimientos[[#This Row],[Ingreso]],-tblMovimientos[[#This Row],[Egreso]])</f>
        <v>-60000</v>
      </c>
    </row>
    <row r="451" spans="2:16" x14ac:dyDescent="0.3">
      <c r="B451" s="40">
        <v>46205</v>
      </c>
      <c r="C451" s="47" t="str">
        <f>_xlfn.XLOOKUP(tblMovimientos[[#This Row],[Cuenta Bancaria]],Listas!$B:$B,Listas!$A:$A,"")</f>
        <v>CFT Group</v>
      </c>
      <c r="D451" s="42" t="s">
        <v>95</v>
      </c>
      <c r="E451" s="57" t="str">
        <f>_xlfn.XLOOKUP(tblMovimientos[[#This Row],[Cuenta Bancaria]],Listas!$B:$B,Listas!$C:$C,"")</f>
        <v xml:space="preserve">Amerant Bank </v>
      </c>
      <c r="F451" s="42" t="s">
        <v>10</v>
      </c>
      <c r="G451" s="42" t="s">
        <v>61</v>
      </c>
      <c r="H451" s="4" t="str">
        <f>IFERROR(_xlfn.XLOOKUP(G451,Listas!E:E,Listas!F:F,""),"")</f>
        <v>Operativo</v>
      </c>
      <c r="I451" s="47" t="str">
        <f>IFERROR(_xlfn.XLOOKUP(G451,Listas!E:E,Listas!G:G,""),"")</f>
        <v>Externo</v>
      </c>
      <c r="J451" s="44">
        <v>85000</v>
      </c>
      <c r="K451" s="5">
        <f t="shared" si="5"/>
        <v>-85000</v>
      </c>
      <c r="L451" s="15" t="s">
        <v>129</v>
      </c>
      <c r="M451" s="45">
        <f>SUMIFS('Saldos Iniciales'!$D$2:$D$38,'Saldos Iniciales'!$A$2:$A$38,C451,'Saldos Iniciales'!$B$2:$B$38,D451)+SUMIFS($K$1:$K$471,$C$1:$C$471,C451,$D$1:$D$471,D451,$B$1:$B$471,"&lt;="&amp;B451)</f>
        <v>5488976.9100000001</v>
      </c>
      <c r="N451" s="68" t="str">
        <f>IF(tblMovimientos[[#This Row],[Tipo de Movimiento]]="Ingreso",tblMovimientos[[#This Row],[Monto (S/)]],"0")</f>
        <v>0</v>
      </c>
      <c r="O451" s="68">
        <f>IF(tblMovimientos[[#This Row],[Tipo de Movimiento]]="Egreso",tblMovimientos[[#This Row],[Monto (S/)]],"0")</f>
        <v>85000</v>
      </c>
      <c r="P451" s="28">
        <f>IF(tblMovimientos[[#This Row],[Tipo de Movimiento]]="Ingreso",tblMovimientos[[#This Row],[Ingreso]],-tblMovimientos[[#This Row],[Egreso]])</f>
        <v>-85000</v>
      </c>
    </row>
    <row r="452" spans="2:16" x14ac:dyDescent="0.3">
      <c r="B452" s="40">
        <v>46205</v>
      </c>
      <c r="C452" s="47" t="str">
        <f>_xlfn.XLOOKUP(tblMovimientos[[#This Row],[Cuenta Bancaria]],Listas!$B:$B,Listas!$A:$A,"")</f>
        <v>CFT Group</v>
      </c>
      <c r="D452" s="42" t="s">
        <v>95</v>
      </c>
      <c r="E452" s="57" t="str">
        <f>_xlfn.XLOOKUP(tblMovimientos[[#This Row],[Cuenta Bancaria]],Listas!$B:$B,Listas!$C:$C,"")</f>
        <v xml:space="preserve">Amerant Bank </v>
      </c>
      <c r="F452" s="42" t="s">
        <v>10</v>
      </c>
      <c r="G452" s="42" t="s">
        <v>61</v>
      </c>
      <c r="H452" s="4" t="str">
        <f>IFERROR(_xlfn.XLOOKUP(G452,Listas!E:E,Listas!F:F,""),"")</f>
        <v>Operativo</v>
      </c>
      <c r="I452" s="47" t="str">
        <f>IFERROR(_xlfn.XLOOKUP(G452,Listas!E:E,Listas!G:G,""),"")</f>
        <v>Externo</v>
      </c>
      <c r="J452" s="44">
        <v>100000</v>
      </c>
      <c r="K452" s="5">
        <f t="shared" si="5"/>
        <v>-100000</v>
      </c>
      <c r="L452" s="15" t="s">
        <v>129</v>
      </c>
      <c r="M452" s="45">
        <f>SUMIFS('Saldos Iniciales'!$D$2:$D$38,'Saldos Iniciales'!$A$2:$A$38,C452,'Saldos Iniciales'!$B$2:$B$38,D452)+SUMIFS($K$1:$K$471,$C$1:$C$471,C452,$D$1:$D$471,D452,$B$1:$B$471,"&lt;="&amp;B452)</f>
        <v>5488976.9100000001</v>
      </c>
      <c r="N452" s="68" t="str">
        <f>IF(tblMovimientos[[#This Row],[Tipo de Movimiento]]="Ingreso",tblMovimientos[[#This Row],[Monto (S/)]],"0")</f>
        <v>0</v>
      </c>
      <c r="O452" s="68">
        <f>IF(tblMovimientos[[#This Row],[Tipo de Movimiento]]="Egreso",tblMovimientos[[#This Row],[Monto (S/)]],"0")</f>
        <v>100000</v>
      </c>
      <c r="P452" s="28">
        <f>IF(tblMovimientos[[#This Row],[Tipo de Movimiento]]="Ingreso",tblMovimientos[[#This Row],[Ingreso]],-tblMovimientos[[#This Row],[Egreso]])</f>
        <v>-100000</v>
      </c>
    </row>
    <row r="453" spans="2:16" x14ac:dyDescent="0.3">
      <c r="B453" s="40">
        <v>46205</v>
      </c>
      <c r="C453" s="47" t="str">
        <f>_xlfn.XLOOKUP(tblMovimientos[[#This Row],[Cuenta Bancaria]],Listas!$B:$B,Listas!$A:$A,"")</f>
        <v>CFT Group</v>
      </c>
      <c r="D453" s="42" t="s">
        <v>95</v>
      </c>
      <c r="E453" s="57" t="str">
        <f>_xlfn.XLOOKUP(tblMovimientos[[#This Row],[Cuenta Bancaria]],Listas!$B:$B,Listas!$C:$C,"")</f>
        <v xml:space="preserve">Amerant Bank </v>
      </c>
      <c r="F453" s="42" t="s">
        <v>10</v>
      </c>
      <c r="G453" s="42" t="s">
        <v>61</v>
      </c>
      <c r="H453" s="4" t="str">
        <f>IFERROR(_xlfn.XLOOKUP(G453,Listas!E:E,Listas!F:F,""),"")</f>
        <v>Operativo</v>
      </c>
      <c r="I453" s="47" t="str">
        <f>IFERROR(_xlfn.XLOOKUP(G453,Listas!E:E,Listas!G:G,""),"")</f>
        <v>Externo</v>
      </c>
      <c r="J453" s="44">
        <v>100000</v>
      </c>
      <c r="K453" s="5">
        <f t="shared" si="5"/>
        <v>-100000</v>
      </c>
      <c r="L453" s="15" t="s">
        <v>129</v>
      </c>
      <c r="M453" s="45">
        <f>SUMIFS('Saldos Iniciales'!$D$2:$D$38,'Saldos Iniciales'!$A$2:$A$38,C453,'Saldos Iniciales'!$B$2:$B$38,D453)+SUMIFS($K$1:$K$471,$C$1:$C$471,C453,$D$1:$D$471,D453,$B$1:$B$471,"&lt;="&amp;B453)</f>
        <v>5488976.9100000001</v>
      </c>
      <c r="N453" s="68" t="str">
        <f>IF(tblMovimientos[[#This Row],[Tipo de Movimiento]]="Ingreso",tblMovimientos[[#This Row],[Monto (S/)]],"0")</f>
        <v>0</v>
      </c>
      <c r="O453" s="68">
        <f>IF(tblMovimientos[[#This Row],[Tipo de Movimiento]]="Egreso",tblMovimientos[[#This Row],[Monto (S/)]],"0")</f>
        <v>100000</v>
      </c>
      <c r="P453" s="28">
        <f>IF(tblMovimientos[[#This Row],[Tipo de Movimiento]]="Ingreso",tblMovimientos[[#This Row],[Ingreso]],-tblMovimientos[[#This Row],[Egreso]])</f>
        <v>-100000</v>
      </c>
    </row>
    <row r="454" spans="2:16" x14ac:dyDescent="0.3">
      <c r="B454" s="40">
        <v>46205</v>
      </c>
      <c r="C454" s="47" t="str">
        <f>_xlfn.XLOOKUP(tblMovimientos[[#This Row],[Cuenta Bancaria]],Listas!$B:$B,Listas!$A:$A,"")</f>
        <v>CFT Group</v>
      </c>
      <c r="D454" s="42" t="s">
        <v>95</v>
      </c>
      <c r="E454" s="57" t="str">
        <f>_xlfn.XLOOKUP(tblMovimientos[[#This Row],[Cuenta Bancaria]],Listas!$B:$B,Listas!$C:$C,"")</f>
        <v xml:space="preserve">Amerant Bank </v>
      </c>
      <c r="F454" s="42" t="s">
        <v>10</v>
      </c>
      <c r="G454" s="42" t="s">
        <v>61</v>
      </c>
      <c r="H454" s="4" t="str">
        <f>IFERROR(_xlfn.XLOOKUP(G454,Listas!E:E,Listas!F:F,""),"")</f>
        <v>Operativo</v>
      </c>
      <c r="I454" s="47" t="str">
        <f>IFERROR(_xlfn.XLOOKUP(G454,Listas!E:E,Listas!G:G,""),"")</f>
        <v>Externo</v>
      </c>
      <c r="J454" s="44">
        <v>100000</v>
      </c>
      <c r="K454" s="5">
        <f t="shared" si="5"/>
        <v>-100000</v>
      </c>
      <c r="L454" s="15" t="s">
        <v>129</v>
      </c>
      <c r="M454" s="45">
        <f>SUMIFS('Saldos Iniciales'!$D$2:$D$38,'Saldos Iniciales'!$A$2:$A$38,C454,'Saldos Iniciales'!$B$2:$B$38,D454)+SUMIFS($K$1:$K$471,$C$1:$C$471,C454,$D$1:$D$471,D454,$B$1:$B$471,"&lt;="&amp;B454)</f>
        <v>5488976.9100000001</v>
      </c>
      <c r="N454" s="68" t="str">
        <f>IF(tblMovimientos[[#This Row],[Tipo de Movimiento]]="Ingreso",tblMovimientos[[#This Row],[Monto (S/)]],"0")</f>
        <v>0</v>
      </c>
      <c r="O454" s="68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40">
        <v>46205</v>
      </c>
      <c r="C455" s="47" t="str">
        <f>_xlfn.XLOOKUP(tblMovimientos[[#This Row],[Cuenta Bancaria]],Listas!$B:$B,Listas!$A:$A,"")</f>
        <v>CFT Group</v>
      </c>
      <c r="D455" s="42" t="s">
        <v>95</v>
      </c>
      <c r="E455" s="57" t="str">
        <f>_xlfn.XLOOKUP(tblMovimientos[[#This Row],[Cuenta Bancaria]],Listas!$B:$B,Listas!$C:$C,"")</f>
        <v xml:space="preserve">Amerant Bank </v>
      </c>
      <c r="F455" s="42" t="s">
        <v>10</v>
      </c>
      <c r="G455" s="42" t="s">
        <v>61</v>
      </c>
      <c r="H455" s="4" t="str">
        <f>IFERROR(_xlfn.XLOOKUP(G455,Listas!E:E,Listas!F:F,""),"")</f>
        <v>Operativo</v>
      </c>
      <c r="I455" s="47" t="str">
        <f>IFERROR(_xlfn.XLOOKUP(G455,Listas!E:E,Listas!G:G,""),"")</f>
        <v>Externo</v>
      </c>
      <c r="J455" s="44">
        <v>200000</v>
      </c>
      <c r="K455" s="5">
        <f t="shared" si="5"/>
        <v>-200000</v>
      </c>
      <c r="L455" s="15" t="s">
        <v>129</v>
      </c>
      <c r="M455" s="45">
        <f>SUMIFS('Saldos Iniciales'!$D$2:$D$38,'Saldos Iniciales'!$A$2:$A$38,C455,'Saldos Iniciales'!$B$2:$B$38,D455)+SUMIFS($K$1:$K$471,$C$1:$C$471,C455,$D$1:$D$471,D455,$B$1:$B$471,"&lt;="&amp;B455)</f>
        <v>5488976.9100000001</v>
      </c>
      <c r="N455" s="68" t="str">
        <f>IF(tblMovimientos[[#This Row],[Tipo de Movimiento]]="Ingreso",tblMovimientos[[#This Row],[Monto (S/)]],"0")</f>
        <v>0</v>
      </c>
      <c r="O455" s="68">
        <f>IF(tblMovimientos[[#This Row],[Tipo de Movimiento]]="Egreso",tblMovimientos[[#This Row],[Monto (S/)]],"0")</f>
        <v>200000</v>
      </c>
      <c r="P455" s="28">
        <f>IF(tblMovimientos[[#This Row],[Tipo de Movimiento]]="Ingreso",tblMovimientos[[#This Row],[Ingreso]],-tblMovimientos[[#This Row],[Egreso]])</f>
        <v>-200000</v>
      </c>
    </row>
    <row r="456" spans="2:16" x14ac:dyDescent="0.3">
      <c r="B456" s="40">
        <v>46205</v>
      </c>
      <c r="C456" s="47" t="str">
        <f>_xlfn.XLOOKUP(tblMovimientos[[#This Row],[Cuenta Bancaria]],Listas!$B:$B,Listas!$A:$A,"")</f>
        <v>Cross Family Trust</v>
      </c>
      <c r="D456" s="42" t="s">
        <v>111</v>
      </c>
      <c r="E456" s="57" t="str">
        <f>_xlfn.XLOOKUP(tblMovimientos[[#This Row],[Cuenta Bancaria]],Listas!$B:$B,Listas!$C:$C,"")</f>
        <v xml:space="preserve">Amerant Bank </v>
      </c>
      <c r="F456" s="42" t="s">
        <v>10</v>
      </c>
      <c r="G456" s="42" t="s">
        <v>53</v>
      </c>
      <c r="H456" s="4" t="str">
        <f>IFERROR(_xlfn.XLOOKUP(G456,Listas!E:E,Listas!F:F,""),"")</f>
        <v>Inversion</v>
      </c>
      <c r="I456" s="47" t="str">
        <f>IFERROR(_xlfn.XLOOKUP(G456,Listas!E:E,Listas!G:G,""),"")</f>
        <v>Interno</v>
      </c>
      <c r="J456" s="44">
        <v>20000</v>
      </c>
      <c r="K456" s="5">
        <f t="shared" si="5"/>
        <v>-20000</v>
      </c>
      <c r="L456" s="15" t="s">
        <v>129</v>
      </c>
      <c r="M456" s="45">
        <f>SUMIFS('Saldos Iniciales'!$D$2:$D$38,'Saldos Iniciales'!$A$2:$A$38,C456,'Saldos Iniciales'!$B$2:$B$38,D456)+SUMIFS($K$1:$K$471,$C$1:$C$471,C456,$D$1:$D$471,D456,$B$1:$B$471,"&lt;="&amp;B456)</f>
        <v>111717.6</v>
      </c>
      <c r="N456" s="68" t="str">
        <f>IF(tblMovimientos[[#This Row],[Tipo de Movimiento]]="Ingreso",tblMovimientos[[#This Row],[Monto (S/)]],"0")</f>
        <v>0</v>
      </c>
      <c r="O456" s="68">
        <f>IF(tblMovimientos[[#This Row],[Tipo de Movimiento]]="Egreso",tblMovimientos[[#This Row],[Monto (S/)]],"0")</f>
        <v>20000</v>
      </c>
      <c r="P456" s="28">
        <f>IF(tblMovimientos[[#This Row],[Tipo de Movimiento]]="Ingreso",tblMovimientos[[#This Row],[Ingreso]],-tblMovimientos[[#This Row],[Egreso]])</f>
        <v>-20000</v>
      </c>
    </row>
    <row r="457" spans="2:16" x14ac:dyDescent="0.3">
      <c r="B457" s="40">
        <v>46205</v>
      </c>
      <c r="C457" s="47" t="str">
        <f>_xlfn.XLOOKUP(tblMovimientos[[#This Row],[Cuenta Bancaria]],Listas!$B:$B,Listas!$A:$A,"")</f>
        <v>Cross Family Trust</v>
      </c>
      <c r="D457" s="42" t="s">
        <v>111</v>
      </c>
      <c r="E457" s="57" t="str">
        <f>_xlfn.XLOOKUP(tblMovimientos[[#This Row],[Cuenta Bancaria]],Listas!$B:$B,Listas!$C:$C,"")</f>
        <v xml:space="preserve">Amerant Bank </v>
      </c>
      <c r="F457" s="42" t="s">
        <v>10</v>
      </c>
      <c r="G457" s="42" t="s">
        <v>53</v>
      </c>
      <c r="H457" s="4" t="str">
        <f>IFERROR(_xlfn.XLOOKUP(G457,Listas!E:E,Listas!F:F,""),"")</f>
        <v>Inversion</v>
      </c>
      <c r="I457" s="47" t="str">
        <f>IFERROR(_xlfn.XLOOKUP(G457,Listas!E:E,Listas!G:G,""),"")</f>
        <v>Interno</v>
      </c>
      <c r="J457" s="44">
        <v>150000</v>
      </c>
      <c r="K457" s="5">
        <f t="shared" si="5"/>
        <v>-150000</v>
      </c>
      <c r="L457" s="15" t="s">
        <v>129</v>
      </c>
      <c r="M457" s="45">
        <f>SUMIFS('Saldos Iniciales'!$D$2:$D$38,'Saldos Iniciales'!$A$2:$A$38,C457,'Saldos Iniciales'!$B$2:$B$38,D457)+SUMIFS($K$1:$K$471,$C$1:$C$471,C457,$D$1:$D$471,D457,$B$1:$B$471,"&lt;="&amp;B457)</f>
        <v>111717.6</v>
      </c>
      <c r="N457" s="68" t="str">
        <f>IF(tblMovimientos[[#This Row],[Tipo de Movimiento]]="Ingreso",tblMovimientos[[#This Row],[Monto (S/)]],"0")</f>
        <v>0</v>
      </c>
      <c r="O457" s="68">
        <f>IF(tblMovimientos[[#This Row],[Tipo de Movimiento]]="Egreso",tblMovimientos[[#This Row],[Monto (S/)]],"0")</f>
        <v>150000</v>
      </c>
      <c r="P457" s="28">
        <f>IF(tblMovimientos[[#This Row],[Tipo de Movimiento]]="Ingreso",tblMovimientos[[#This Row],[Ingreso]],-tblMovimientos[[#This Row],[Egreso]])</f>
        <v>-150000</v>
      </c>
    </row>
    <row r="458" spans="2:16" x14ac:dyDescent="0.3">
      <c r="B458" s="40">
        <v>46205</v>
      </c>
      <c r="C458" s="47" t="str">
        <f>_xlfn.XLOOKUP(tblMovimientos[[#This Row],[Cuenta Bancaria]],Listas!$B:$B,Listas!$A:$A,"")</f>
        <v>SSP Capital</v>
      </c>
      <c r="D458" s="42" t="s">
        <v>104</v>
      </c>
      <c r="E458" s="57" t="str">
        <f>_xlfn.XLOOKUP(tblMovimientos[[#This Row],[Cuenta Bancaria]],Listas!$B:$B,Listas!$C:$C,"")</f>
        <v xml:space="preserve">Amerant Bank </v>
      </c>
      <c r="F458" s="42" t="s">
        <v>9</v>
      </c>
      <c r="G458" s="42" t="s">
        <v>77</v>
      </c>
      <c r="H458" s="4" t="str">
        <f>IFERROR(_xlfn.XLOOKUP(G458,Listas!E:E,Listas!F:F,""),"")</f>
        <v>Inversion</v>
      </c>
      <c r="I458" s="47" t="str">
        <f>IFERROR(_xlfn.XLOOKUP(G458,Listas!E:E,Listas!G:G,""),"")</f>
        <v>Interno</v>
      </c>
      <c r="J458" s="44">
        <v>150000</v>
      </c>
      <c r="K458" s="5">
        <f t="shared" si="5"/>
        <v>150000</v>
      </c>
      <c r="L458" s="15" t="s">
        <v>129</v>
      </c>
      <c r="M458" s="45">
        <f>SUMIFS('Saldos Iniciales'!$D$2:$D$38,'Saldos Iniciales'!$A$2:$A$38,C458,'Saldos Iniciales'!$B$2:$B$38,D458)+SUMIFS($K$1:$K$471,$C$1:$C$471,C458,$D$1:$D$471,D458,$B$1:$B$471,"&lt;="&amp;B458)</f>
        <v>921698.75999999943</v>
      </c>
      <c r="N458" s="68">
        <f>IF(tblMovimientos[[#This Row],[Tipo de Movimiento]]="Ingreso",tblMovimientos[[#This Row],[Monto (S/)]],"0")</f>
        <v>150000</v>
      </c>
      <c r="O458" s="68" t="str">
        <f>IF(tblMovimientos[[#This Row],[Tipo de Movimiento]]="Egreso",tblMovimientos[[#This Row],[Monto (S/)]],"0")</f>
        <v>0</v>
      </c>
      <c r="P458" s="28">
        <f>IF(tblMovimientos[[#This Row],[Tipo de Movimiento]]="Ingreso",tblMovimientos[[#This Row],[Ingreso]],-tblMovimientos[[#This Row],[Egreso]])</f>
        <v>150000</v>
      </c>
    </row>
    <row r="459" spans="2:16" x14ac:dyDescent="0.3">
      <c r="B459" s="40">
        <v>46205</v>
      </c>
      <c r="C459" s="47" t="str">
        <f>_xlfn.XLOOKUP(tblMovimientos[[#This Row],[Cuenta Bancaria]],Listas!$B:$B,Listas!$A:$A,"")</f>
        <v>SSP Capital</v>
      </c>
      <c r="D459" s="42" t="s">
        <v>104</v>
      </c>
      <c r="E459" s="57" t="str">
        <f>_xlfn.XLOOKUP(tblMovimientos[[#This Row],[Cuenta Bancaria]],Listas!$B:$B,Listas!$C:$C,"")</f>
        <v xml:space="preserve">Amerant Bank </v>
      </c>
      <c r="F459" s="42" t="s">
        <v>10</v>
      </c>
      <c r="G459" s="42" t="s">
        <v>53</v>
      </c>
      <c r="H459" s="4" t="str">
        <f>IFERROR(_xlfn.XLOOKUP(G459,Listas!E:E,Listas!F:F,""),"")</f>
        <v>Inversion</v>
      </c>
      <c r="I459" s="47" t="str">
        <f>IFERROR(_xlfn.XLOOKUP(G459,Listas!E:E,Listas!G:G,""),"")</f>
        <v>Interno</v>
      </c>
      <c r="J459" s="44">
        <v>100000</v>
      </c>
      <c r="K459" s="5">
        <f t="shared" si="5"/>
        <v>-100000</v>
      </c>
      <c r="L459" s="15" t="s">
        <v>129</v>
      </c>
      <c r="M459" s="45">
        <f>SUMIFS('Saldos Iniciales'!$D$2:$D$38,'Saldos Iniciales'!$A$2:$A$38,C459,'Saldos Iniciales'!$B$2:$B$38,D459)+SUMIFS($K$1:$K$471,$C$1:$C$471,C459,$D$1:$D$471,D459,$B$1:$B$471,"&lt;="&amp;B459)</f>
        <v>921698.75999999943</v>
      </c>
      <c r="N459" s="68" t="str">
        <f>IF(tblMovimientos[[#This Row],[Tipo de Movimiento]]="Ingreso",tblMovimientos[[#This Row],[Monto (S/)]],"0")</f>
        <v>0</v>
      </c>
      <c r="O459" s="68">
        <f>IF(tblMovimientos[[#This Row],[Tipo de Movimiento]]="Egreso",tblMovimientos[[#This Row],[Monto (S/)]],"0")</f>
        <v>100000</v>
      </c>
      <c r="P459" s="28">
        <f>IF(tblMovimientos[[#This Row],[Tipo de Movimiento]]="Ingreso",tblMovimientos[[#This Row],[Ingreso]],-tblMovimientos[[#This Row],[Egreso]])</f>
        <v>-100000</v>
      </c>
    </row>
    <row r="460" spans="2:16" x14ac:dyDescent="0.3">
      <c r="B460" s="40">
        <v>46205</v>
      </c>
      <c r="C460" s="47" t="str">
        <f>_xlfn.XLOOKUP(tblMovimientos[[#This Row],[Cuenta Bancaria]],Listas!$B:$B,Listas!$A:$A,"")</f>
        <v>Green Harbor Trust</v>
      </c>
      <c r="D460" s="42" t="s">
        <v>125</v>
      </c>
      <c r="E460" s="57" t="str">
        <f>_xlfn.XLOOKUP(tblMovimientos[[#This Row],[Cuenta Bancaria]],Listas!$B:$B,Listas!$C:$C,"")</f>
        <v xml:space="preserve">Amerant Bank </v>
      </c>
      <c r="F460" s="42" t="s">
        <v>9</v>
      </c>
      <c r="G460" s="42" t="s">
        <v>77</v>
      </c>
      <c r="H460" s="4" t="str">
        <f>IFERROR(_xlfn.XLOOKUP(G460,Listas!E:E,Listas!F:F,""),"")</f>
        <v>Inversion</v>
      </c>
      <c r="I460" s="47" t="str">
        <f>IFERROR(_xlfn.XLOOKUP(G460,Listas!E:E,Listas!G:G,""),"")</f>
        <v>Interno</v>
      </c>
      <c r="J460" s="44">
        <v>20000</v>
      </c>
      <c r="K460" s="5">
        <f t="shared" si="5"/>
        <v>20000</v>
      </c>
      <c r="L460" s="15" t="s">
        <v>129</v>
      </c>
      <c r="M460" s="45">
        <f>SUMIFS('Saldos Iniciales'!$D$2:$D$38,'Saldos Iniciales'!$A$2:$A$38,C460,'Saldos Iniciales'!$B$2:$B$38,D460)+SUMIFS($K$1:$K$471,$C$1:$C$471,C460,$D$1:$D$471,D460,$B$1:$B$471,"&lt;="&amp;B460)</f>
        <v>345</v>
      </c>
      <c r="N460" s="68">
        <f>IF(tblMovimientos[[#This Row],[Tipo de Movimiento]]="Ingreso",tblMovimientos[[#This Row],[Monto (S/)]],"0")</f>
        <v>20000</v>
      </c>
      <c r="O460" s="68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20000</v>
      </c>
    </row>
    <row r="461" spans="2:16" x14ac:dyDescent="0.3">
      <c r="B461" s="40">
        <v>46205</v>
      </c>
      <c r="C461" s="47" t="str">
        <f>_xlfn.XLOOKUP(tblMovimientos[[#This Row],[Cuenta Bancaria]],Listas!$B:$B,Listas!$A:$A,"")</f>
        <v>Green Harbor Trust</v>
      </c>
      <c r="D461" s="42" t="s">
        <v>125</v>
      </c>
      <c r="E461" s="57" t="str">
        <f>_xlfn.XLOOKUP(tblMovimientos[[#This Row],[Cuenta Bancaria]],Listas!$B:$B,Listas!$C:$C,"")</f>
        <v xml:space="preserve">Amerant Bank </v>
      </c>
      <c r="F461" s="42" t="s">
        <v>10</v>
      </c>
      <c r="G461" s="42" t="s">
        <v>53</v>
      </c>
      <c r="H461" s="4" t="str">
        <f>IFERROR(_xlfn.XLOOKUP(G461,Listas!E:E,Listas!F:F,""),"")</f>
        <v>Inversion</v>
      </c>
      <c r="I461" s="47" t="str">
        <f>IFERROR(_xlfn.XLOOKUP(G461,Listas!E:E,Listas!G:G,""),"")</f>
        <v>Interno</v>
      </c>
      <c r="J461" s="44">
        <v>20000</v>
      </c>
      <c r="K461" s="5">
        <f t="shared" si="5"/>
        <v>-20000</v>
      </c>
      <c r="L461" s="15" t="s">
        <v>129</v>
      </c>
      <c r="M461" s="45">
        <f>SUMIFS('Saldos Iniciales'!$D$2:$D$38,'Saldos Iniciales'!$A$2:$A$38,C461,'Saldos Iniciales'!$B$2:$B$38,D461)+SUMIFS($K$1:$K$471,$C$1:$C$471,C461,$D$1:$D$471,D461,$B$1:$B$471,"&lt;="&amp;B461)</f>
        <v>345</v>
      </c>
      <c r="N461" s="68" t="str">
        <f>IF(tblMovimientos[[#This Row],[Tipo de Movimiento]]="Ingreso",tblMovimientos[[#This Row],[Monto (S/)]],"0")</f>
        <v>0</v>
      </c>
      <c r="O461" s="68">
        <f>IF(tblMovimientos[[#This Row],[Tipo de Movimiento]]="Egreso",tblMovimientos[[#This Row],[Monto (S/)]],"0")</f>
        <v>20000</v>
      </c>
      <c r="P461" s="28">
        <f>IF(tblMovimientos[[#This Row],[Tipo de Movimiento]]="Ingreso",tblMovimientos[[#This Row],[Ingreso]],-tblMovimientos[[#This Row],[Egreso]])</f>
        <v>-20000</v>
      </c>
    </row>
    <row r="462" spans="2:16" x14ac:dyDescent="0.3">
      <c r="B462" s="40">
        <v>46205</v>
      </c>
      <c r="C462" s="47" t="str">
        <f>_xlfn.XLOOKUP(tblMovimientos[[#This Row],[Cuenta Bancaria]],Listas!$B:$B,Listas!$A:$A,"")</f>
        <v>Go Blue</v>
      </c>
      <c r="D462" s="42" t="s">
        <v>126</v>
      </c>
      <c r="E462" s="57" t="str">
        <f>_xlfn.XLOOKUP(tblMovimientos[[#This Row],[Cuenta Bancaria]],Listas!$B:$B,Listas!$C:$C,"")</f>
        <v xml:space="preserve">Amerant Bank </v>
      </c>
      <c r="F462" s="42" t="s">
        <v>9</v>
      </c>
      <c r="G462" s="42" t="s">
        <v>77</v>
      </c>
      <c r="H462" s="4" t="str">
        <f>IFERROR(_xlfn.XLOOKUP(G462,Listas!E:E,Listas!F:F,""),"")</f>
        <v>Inversion</v>
      </c>
      <c r="I462" s="47" t="str">
        <f>IFERROR(_xlfn.XLOOKUP(G462,Listas!E:E,Listas!G:G,""),"")</f>
        <v>Interno</v>
      </c>
      <c r="J462" s="44">
        <v>20000</v>
      </c>
      <c r="K462" s="5">
        <f t="shared" si="5"/>
        <v>20000</v>
      </c>
      <c r="L462" s="15" t="s">
        <v>129</v>
      </c>
      <c r="M462" s="45">
        <f>SUMIFS('Saldos Iniciales'!$D$2:$D$38,'Saldos Iniciales'!$A$2:$A$38,C462,'Saldos Iniciales'!$B$2:$B$38,D462)+SUMIFS($K$1:$K$471,$C$1:$C$471,C462,$D$1:$D$471,D462,$B$1:$B$471,"&lt;="&amp;B462)</f>
        <v>31206.370000000003</v>
      </c>
      <c r="N462" s="68">
        <f>IF(tblMovimientos[[#This Row],[Tipo de Movimiento]]="Ingreso",tblMovimientos[[#This Row],[Monto (S/)]],"0")</f>
        <v>20000</v>
      </c>
      <c r="O462" s="68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40">
        <v>46205</v>
      </c>
      <c r="C463" s="47" t="str">
        <f>_xlfn.XLOOKUP(tblMovimientos[[#This Row],[Cuenta Bancaria]],Listas!$B:$B,Listas!$A:$A,"")</f>
        <v>Go Blue</v>
      </c>
      <c r="D463" s="42" t="s">
        <v>126</v>
      </c>
      <c r="E463" s="57" t="str">
        <f>_xlfn.XLOOKUP(tblMovimientos[[#This Row],[Cuenta Bancaria]],Listas!$B:$B,Listas!$C:$C,"")</f>
        <v xml:space="preserve">Amerant Bank </v>
      </c>
      <c r="F463" s="42" t="s">
        <v>10</v>
      </c>
      <c r="G463" s="42" t="s">
        <v>38</v>
      </c>
      <c r="H463" s="4" t="str">
        <f>IFERROR(_xlfn.XLOOKUP(G463,Listas!E:E,Listas!F:F,""),"")</f>
        <v>Operativo</v>
      </c>
      <c r="I463" s="47" t="str">
        <f>IFERROR(_xlfn.XLOOKUP(G463,Listas!E:E,Listas!G:G,""),"")</f>
        <v>Externo</v>
      </c>
      <c r="J463" s="44">
        <v>2830.5</v>
      </c>
      <c r="K463" s="5">
        <f t="shared" si="5"/>
        <v>-2830.5</v>
      </c>
      <c r="L463" s="15" t="s">
        <v>129</v>
      </c>
      <c r="M463" s="45">
        <f>SUMIFS('Saldos Iniciales'!$D$2:$D$38,'Saldos Iniciales'!$A$2:$A$38,C463,'Saldos Iniciales'!$B$2:$B$38,D463)+SUMIFS($K$1:$K$471,$C$1:$C$471,C463,$D$1:$D$471,D463,$B$1:$B$471,"&lt;="&amp;B463)</f>
        <v>31206.370000000003</v>
      </c>
      <c r="N463" s="68" t="str">
        <f>IF(tblMovimientos[[#This Row],[Tipo de Movimiento]]="Ingreso",tblMovimientos[[#This Row],[Monto (S/)]],"0")</f>
        <v>0</v>
      </c>
      <c r="O463" s="68">
        <f>IF(tblMovimientos[[#This Row],[Tipo de Movimiento]]="Egreso",tblMovimientos[[#This Row],[Monto (S/)]],"0")</f>
        <v>2830.5</v>
      </c>
      <c r="P463" s="28">
        <f>IF(tblMovimientos[[#This Row],[Tipo de Movimiento]]="Ingreso",tblMovimientos[[#This Row],[Ingreso]],-tblMovimientos[[#This Row],[Egreso]])</f>
        <v>-2830.5</v>
      </c>
    </row>
    <row r="464" spans="2:16" x14ac:dyDescent="0.3">
      <c r="B464" s="40">
        <v>46205</v>
      </c>
      <c r="C464" s="47" t="str">
        <f>_xlfn.XLOOKUP(tblMovimientos[[#This Row],[Cuenta Bancaria]],Listas!$B:$B,Listas!$A:$A,"")</f>
        <v>Go Blue</v>
      </c>
      <c r="D464" s="42" t="s">
        <v>126</v>
      </c>
      <c r="E464" s="57" t="str">
        <f>_xlfn.XLOOKUP(tblMovimientos[[#This Row],[Cuenta Bancaria]],Listas!$B:$B,Listas!$C:$C,"")</f>
        <v xml:space="preserve">Amerant Bank </v>
      </c>
      <c r="F464" s="42" t="s">
        <v>10</v>
      </c>
      <c r="G464" s="42" t="s">
        <v>38</v>
      </c>
      <c r="H464" s="4" t="str">
        <f>IFERROR(_xlfn.XLOOKUP(G464,Listas!E:E,Listas!F:F,""),"")</f>
        <v>Operativo</v>
      </c>
      <c r="I464" s="47" t="str">
        <f>IFERROR(_xlfn.XLOOKUP(G464,Listas!E:E,Listas!G:G,""),"")</f>
        <v>Externo</v>
      </c>
      <c r="J464" s="44">
        <v>350</v>
      </c>
      <c r="K464" s="5">
        <f t="shared" si="5"/>
        <v>-350</v>
      </c>
      <c r="L464" s="15" t="s">
        <v>129</v>
      </c>
      <c r="M464" s="45">
        <f>SUMIFS('Saldos Iniciales'!$D$2:$D$38,'Saldos Iniciales'!$A$2:$A$38,C464,'Saldos Iniciales'!$B$2:$B$38,D464)+SUMIFS($K$1:$K$471,$C$1:$C$471,C464,$D$1:$D$471,D464,$B$1:$B$471,"&lt;="&amp;B464)</f>
        <v>31206.370000000003</v>
      </c>
      <c r="N464" s="68" t="str">
        <f>IF(tblMovimientos[[#This Row],[Tipo de Movimiento]]="Ingreso",tblMovimientos[[#This Row],[Monto (S/)]],"0")</f>
        <v>0</v>
      </c>
      <c r="O464" s="68">
        <f>IF(tblMovimientos[[#This Row],[Tipo de Movimiento]]="Egreso",tblMovimientos[[#This Row],[Monto (S/)]],"0")</f>
        <v>350</v>
      </c>
      <c r="P464" s="28">
        <f>IF(tblMovimientos[[#This Row],[Tipo de Movimiento]]="Ingreso",tblMovimientos[[#This Row],[Ingreso]],-tblMovimientos[[#This Row],[Egreso]])</f>
        <v>-350</v>
      </c>
    </row>
    <row r="465" spans="1:16" x14ac:dyDescent="0.3">
      <c r="B465" s="40">
        <v>46205</v>
      </c>
      <c r="C465" s="47" t="str">
        <f>_xlfn.XLOOKUP(tblMovimientos[[#This Row],[Cuenta Bancaria]],Listas!$B:$B,Listas!$A:$A,"")</f>
        <v>Go Blue</v>
      </c>
      <c r="D465" s="42" t="s">
        <v>126</v>
      </c>
      <c r="E465" s="57" t="str">
        <f>_xlfn.XLOOKUP(tblMovimientos[[#This Row],[Cuenta Bancaria]],Listas!$B:$B,Listas!$C:$C,"")</f>
        <v xml:space="preserve">Amerant Bank </v>
      </c>
      <c r="F465" s="42" t="s">
        <v>10</v>
      </c>
      <c r="G465" s="42" t="s">
        <v>38</v>
      </c>
      <c r="H465" s="4" t="str">
        <f>IFERROR(_xlfn.XLOOKUP(G465,Listas!E:E,Listas!F:F,""),"")</f>
        <v>Operativo</v>
      </c>
      <c r="I465" s="47" t="str">
        <f>IFERROR(_xlfn.XLOOKUP(G465,Listas!E:E,Listas!G:G,""),"")</f>
        <v>Externo</v>
      </c>
      <c r="J465" s="44">
        <v>610</v>
      </c>
      <c r="K465" s="5">
        <f t="shared" si="5"/>
        <v>-610</v>
      </c>
      <c r="L465" s="15" t="s">
        <v>129</v>
      </c>
      <c r="M465" s="45">
        <f>SUMIFS('Saldos Iniciales'!$D$2:$D$38,'Saldos Iniciales'!$A$2:$A$38,C465,'Saldos Iniciales'!$B$2:$B$38,D465)+SUMIFS($K$1:$K$471,$C$1:$C$471,C465,$D$1:$D$471,D465,$B$1:$B$471,"&lt;="&amp;B465)</f>
        <v>31206.370000000003</v>
      </c>
      <c r="N465" s="68" t="str">
        <f>IF(tblMovimientos[[#This Row],[Tipo de Movimiento]]="Ingreso",tblMovimientos[[#This Row],[Monto (S/)]],"0")</f>
        <v>0</v>
      </c>
      <c r="O465" s="68">
        <f>IF(tblMovimientos[[#This Row],[Tipo de Movimiento]]="Egreso",tblMovimientos[[#This Row],[Monto (S/)]],"0")</f>
        <v>610</v>
      </c>
      <c r="P465" s="28">
        <f>IF(tblMovimientos[[#This Row],[Tipo de Movimiento]]="Ingreso",tblMovimientos[[#This Row],[Ingreso]],-tblMovimientos[[#This Row],[Egreso]])</f>
        <v>-610</v>
      </c>
    </row>
    <row r="466" spans="1:16" x14ac:dyDescent="0.3">
      <c r="B466" s="40">
        <v>46205</v>
      </c>
      <c r="C466" s="47" t="str">
        <f>_xlfn.XLOOKUP(tblMovimientos[[#This Row],[Cuenta Bancaria]],Listas!$B:$B,Listas!$A:$A,"")</f>
        <v>Go Blue</v>
      </c>
      <c r="D466" s="42" t="s">
        <v>126</v>
      </c>
      <c r="E466" s="57" t="str">
        <f>_xlfn.XLOOKUP(tblMovimientos[[#This Row],[Cuenta Bancaria]],Listas!$B:$B,Listas!$C:$C,"")</f>
        <v xml:space="preserve">Amerant Bank </v>
      </c>
      <c r="F466" s="42" t="s">
        <v>10</v>
      </c>
      <c r="G466" s="42" t="s">
        <v>44</v>
      </c>
      <c r="H466" s="4" t="str">
        <f>IFERROR(_xlfn.XLOOKUP(G466,Listas!E:E,Listas!F:F,""),"")</f>
        <v>Operativo</v>
      </c>
      <c r="I466" s="47" t="str">
        <f>IFERROR(_xlfn.XLOOKUP(G466,Listas!E:E,Listas!G:G,""),"")</f>
        <v>Externo</v>
      </c>
      <c r="J466" s="44">
        <v>15</v>
      </c>
      <c r="K466" s="5">
        <f t="shared" si="5"/>
        <v>-15</v>
      </c>
      <c r="L466" s="15" t="s">
        <v>129</v>
      </c>
      <c r="M466" s="45">
        <f>SUMIFS('Saldos Iniciales'!$D$2:$D$38,'Saldos Iniciales'!$A$2:$A$38,C466,'Saldos Iniciales'!$B$2:$B$38,D466)+SUMIFS($K$1:$K$471,$C$1:$C$471,C466,$D$1:$D$471,D466,$B$1:$B$471,"&lt;="&amp;B466)</f>
        <v>31206.370000000003</v>
      </c>
      <c r="N466" s="68" t="str">
        <f>IF(tblMovimientos[[#This Row],[Tipo de Movimiento]]="Ingreso",tblMovimientos[[#This Row],[Monto (S/)]],"0")</f>
        <v>0</v>
      </c>
      <c r="O466" s="68">
        <f>IF(tblMovimientos[[#This Row],[Tipo de Movimiento]]="Egreso",tblMovimientos[[#This Row],[Monto (S/)]],"0")</f>
        <v>15</v>
      </c>
      <c r="P466" s="28">
        <f>IF(tblMovimientos[[#This Row],[Tipo de Movimiento]]="Ingreso",tblMovimientos[[#This Row],[Ingreso]],-tblMovimientos[[#This Row],[Egreso]])</f>
        <v>-15</v>
      </c>
    </row>
    <row r="467" spans="1:16" x14ac:dyDescent="0.3">
      <c r="B467" s="40">
        <v>46205</v>
      </c>
      <c r="C467" s="47" t="str">
        <f>_xlfn.XLOOKUP(tblMovimientos[[#This Row],[Cuenta Bancaria]],Listas!$B:$B,Listas!$A:$A,"")</f>
        <v>Go Blue</v>
      </c>
      <c r="D467" s="42" t="s">
        <v>126</v>
      </c>
      <c r="E467" s="57" t="str">
        <f>_xlfn.XLOOKUP(tblMovimientos[[#This Row],[Cuenta Bancaria]],Listas!$B:$B,Listas!$C:$C,"")</f>
        <v xml:space="preserve">Amerant Bank </v>
      </c>
      <c r="F467" s="42" t="s">
        <v>10</v>
      </c>
      <c r="G467" s="42" t="s">
        <v>38</v>
      </c>
      <c r="H467" s="4" t="str">
        <f>IFERROR(_xlfn.XLOOKUP(G467,Listas!E:E,Listas!F:F,""),"")</f>
        <v>Operativo</v>
      </c>
      <c r="I467" s="47" t="str">
        <f>IFERROR(_xlfn.XLOOKUP(G467,Listas!E:E,Listas!G:G,""),"")</f>
        <v>Externo</v>
      </c>
      <c r="J467" s="44">
        <v>82.98</v>
      </c>
      <c r="K467" s="5">
        <f t="shared" si="5"/>
        <v>-82.98</v>
      </c>
      <c r="L467" s="15" t="s">
        <v>129</v>
      </c>
      <c r="M467" s="45">
        <f>SUMIFS('Saldos Iniciales'!$D$2:$D$38,'Saldos Iniciales'!$A$2:$A$38,C467,'Saldos Iniciales'!$B$2:$B$38,D467)+SUMIFS($K$1:$K$471,$C$1:$C$471,C467,$D$1:$D$471,D467,$B$1:$B$471,"&lt;="&amp;B467)</f>
        <v>31206.370000000003</v>
      </c>
      <c r="N467" s="68" t="str">
        <f>IF(tblMovimientos[[#This Row],[Tipo de Movimiento]]="Ingreso",tblMovimientos[[#This Row],[Monto (S/)]],"0")</f>
        <v>0</v>
      </c>
      <c r="O467" s="68">
        <f>IF(tblMovimientos[[#This Row],[Tipo de Movimiento]]="Egreso",tblMovimientos[[#This Row],[Monto (S/)]],"0")</f>
        <v>82.98</v>
      </c>
      <c r="P467" s="28">
        <f>IF(tblMovimientos[[#This Row],[Tipo de Movimiento]]="Ingreso",tblMovimientos[[#This Row],[Ingreso]],-tblMovimientos[[#This Row],[Egreso]])</f>
        <v>-82.98</v>
      </c>
    </row>
    <row r="468" spans="1:16" x14ac:dyDescent="0.3">
      <c r="B468" s="40">
        <v>46205</v>
      </c>
      <c r="C468" s="47" t="str">
        <f>_xlfn.XLOOKUP(tblMovimientos[[#This Row],[Cuenta Bancaria]],Listas!$B:$B,Listas!$A:$A,"")</f>
        <v>Go Blue</v>
      </c>
      <c r="D468" s="42" t="s">
        <v>126</v>
      </c>
      <c r="E468" s="57" t="str">
        <f>_xlfn.XLOOKUP(tblMovimientos[[#This Row],[Cuenta Bancaria]],Listas!$B:$B,Listas!$C:$C,"")</f>
        <v xml:space="preserve">Amerant Bank </v>
      </c>
      <c r="F468" s="42" t="s">
        <v>10</v>
      </c>
      <c r="G468" s="42" t="s">
        <v>38</v>
      </c>
      <c r="H468" s="4" t="str">
        <f>IFERROR(_xlfn.XLOOKUP(G468,Listas!E:E,Listas!F:F,""),"")</f>
        <v>Operativo</v>
      </c>
      <c r="I468" s="47" t="str">
        <f>IFERROR(_xlfn.XLOOKUP(G468,Listas!E:E,Listas!G:G,""),"")</f>
        <v>Externo</v>
      </c>
      <c r="J468" s="44">
        <v>3309.58</v>
      </c>
      <c r="K468" s="5">
        <f t="shared" si="5"/>
        <v>-3309.58</v>
      </c>
      <c r="L468" s="15" t="s">
        <v>129</v>
      </c>
      <c r="M468" s="45">
        <f>SUMIFS('Saldos Iniciales'!$D$2:$D$38,'Saldos Iniciales'!$A$2:$A$38,C468,'Saldos Iniciales'!$B$2:$B$38,D468)+SUMIFS($K$1:$K$471,$C$1:$C$471,C468,$D$1:$D$471,D468,$B$1:$B$471,"&lt;="&amp;B468)</f>
        <v>31206.370000000003</v>
      </c>
      <c r="N468" s="68" t="str">
        <f>IF(tblMovimientos[[#This Row],[Tipo de Movimiento]]="Ingreso",tblMovimientos[[#This Row],[Monto (S/)]],"0")</f>
        <v>0</v>
      </c>
      <c r="O468" s="68">
        <f>IF(tblMovimientos[[#This Row],[Tipo de Movimiento]]="Egreso",tblMovimientos[[#This Row],[Monto (S/)]],"0")</f>
        <v>3309.58</v>
      </c>
      <c r="P468" s="28">
        <f>IF(tblMovimientos[[#This Row],[Tipo de Movimiento]]="Ingreso",tblMovimientos[[#This Row],[Ingreso]],-tblMovimientos[[#This Row],[Egreso]])</f>
        <v>-3309.58</v>
      </c>
    </row>
    <row r="469" spans="1:16" x14ac:dyDescent="0.3">
      <c r="A469" s="46"/>
      <c r="B469" s="40">
        <v>46206</v>
      </c>
      <c r="C469" s="47" t="str">
        <f>_xlfn.XLOOKUP(tblMovimientos[[#This Row],[Cuenta Bancaria]],Listas!$B:$B,Listas!$A:$A,"")</f>
        <v>Go Blue</v>
      </c>
      <c r="D469" s="42" t="s">
        <v>126</v>
      </c>
      <c r="E469" s="58" t="str">
        <f>_xlfn.XLOOKUP(tblMovimientos[[#This Row],[Cuenta Bancaria]],Listas!$B:$B,Listas!$C:$C,"")</f>
        <v xml:space="preserve">Amerant Bank </v>
      </c>
      <c r="F469" s="42" t="s">
        <v>10</v>
      </c>
      <c r="G469" s="42" t="s">
        <v>38</v>
      </c>
      <c r="H469" s="4" t="str">
        <f>IFERROR(_xlfn.XLOOKUP(G469,Listas!E:E,Listas!F:F,""),"")</f>
        <v>Operativo</v>
      </c>
      <c r="I469" s="47" t="str">
        <f>IFERROR(_xlfn.XLOOKUP(G469,Listas!E:E,Listas!G:G,""),"")</f>
        <v>Externo</v>
      </c>
      <c r="J469" s="44">
        <v>2363.85</v>
      </c>
      <c r="K469" s="5">
        <f t="shared" ref="K469:K470" si="6">IF(F469="Ingreso",J469,-J469)</f>
        <v>-2363.85</v>
      </c>
      <c r="L469" s="15" t="s">
        <v>129</v>
      </c>
      <c r="M469" s="45">
        <f>SUMIFS('Saldos Iniciales'!$D$2:$D$38,'Saldos Iniciales'!$A$2:$A$38,C469,'Saldos Iniciales'!$B$2:$B$38,D469)+SUMIFS($K$1:$K$471,$C$1:$C$471,C469,$D$1:$D$471,D469,$B$1:$B$471,"&lt;="&amp;B469)</f>
        <v>28842.52</v>
      </c>
      <c r="N469" s="68" t="str">
        <f>IF(tblMovimientos[[#This Row],[Tipo de Movimiento]]="Ingreso",tblMovimientos[[#This Row],[Monto (S/)]],"0")</f>
        <v>0</v>
      </c>
      <c r="O469" s="68">
        <f>IF(tblMovimientos[[#This Row],[Tipo de Movimiento]]="Egreso",tblMovimientos[[#This Row],[Monto (S/)]],"0")</f>
        <v>2363.85</v>
      </c>
      <c r="P469" s="28">
        <f>IF(tblMovimientos[[#This Row],[Tipo de Movimiento]]="Ingreso",tblMovimientos[[#This Row],[Ingreso]],-tblMovimientos[[#This Row],[Egreso]])</f>
        <v>-2363.85</v>
      </c>
    </row>
    <row r="470" spans="1:16" x14ac:dyDescent="0.3">
      <c r="B470" s="40">
        <v>46209</v>
      </c>
      <c r="C470" s="47" t="str">
        <f>_xlfn.XLOOKUP(tblMovimientos[[#This Row],[Cuenta Bancaria]],Listas!$B:$B,Listas!$A:$A,"")</f>
        <v>SSP Capital</v>
      </c>
      <c r="D470" s="42" t="s">
        <v>101</v>
      </c>
      <c r="E470" s="4" t="str">
        <f>_xlfn.XLOOKUP(tblMovimientos[[#This Row],[Cuenta Bancaria]],Listas!$B:$B,Listas!$C:$C,"")</f>
        <v>Bank of America</v>
      </c>
      <c r="F470" s="42" t="s">
        <v>10</v>
      </c>
      <c r="G470" s="42" t="s">
        <v>38</v>
      </c>
      <c r="H470" s="69" t="str">
        <f>IFERROR(_xlfn.XLOOKUP(G470,Listas!E:E,Listas!F:F,""),"")</f>
        <v>Operativo</v>
      </c>
      <c r="I470" s="47" t="str">
        <f>IFERROR(_xlfn.XLOOKUP(G470,Listas!E:E,Listas!G:G,""),"")</f>
        <v>Externo</v>
      </c>
      <c r="J470" s="44">
        <v>538.41999999999996</v>
      </c>
      <c r="K470" s="5">
        <f t="shared" si="6"/>
        <v>-538.41999999999996</v>
      </c>
      <c r="L470" s="15" t="s">
        <v>129</v>
      </c>
      <c r="M470" s="45">
        <f>SUMIFS('Saldos Iniciales'!$D$2:$D$38,'Saldos Iniciales'!$A$2:$A$38,C470,'Saldos Iniciales'!$B$2:$B$38,D470)+SUMIFS($K$1:$K$471,$C$1:$C$471,C470,$D$1:$D$471,D470,$B$1:$B$471,"&lt;="&amp;B470)</f>
        <v>22518.97</v>
      </c>
      <c r="N470" s="68" t="str">
        <f>IF(tblMovimientos[[#This Row],[Tipo de Movimiento]]="Ingreso",tblMovimientos[[#This Row],[Monto (S/)]],"0")</f>
        <v>0</v>
      </c>
      <c r="O470" s="68">
        <f>IF(tblMovimientos[[#This Row],[Tipo de Movimiento]]="Egreso",tblMovimientos[[#This Row],[Monto (S/)]],"0")</f>
        <v>538.41999999999996</v>
      </c>
      <c r="P470" s="28">
        <f>IF(tblMovimientos[[#This Row],[Tipo de Movimiento]]="Ingreso",tblMovimientos[[#This Row],[Ingreso]],-tblMovimientos[[#This Row],[Egreso]])</f>
        <v>-538.41999999999996</v>
      </c>
    </row>
    <row r="471" spans="1:16" x14ac:dyDescent="0.3">
      <c r="A471" s="46"/>
      <c r="B471" s="70">
        <v>46209</v>
      </c>
      <c r="C471" s="47" t="str">
        <f>_xlfn.XLOOKUP(tblMovimientos[[#This Row],[Cuenta Bancaria]],Listas!$B:$B,Listas!$A:$A,"")</f>
        <v>Go Blue</v>
      </c>
      <c r="D471" s="71" t="s">
        <v>126</v>
      </c>
      <c r="E471" s="47" t="str">
        <f>_xlfn.XLOOKUP(tblMovimientos[[#This Row],[Cuenta Bancaria]],Listas!$B:$B,Listas!$C:$C,"")</f>
        <v xml:space="preserve">Amerant Bank </v>
      </c>
      <c r="F471" s="71" t="s">
        <v>10</v>
      </c>
      <c r="G471" s="42" t="s">
        <v>38</v>
      </c>
      <c r="H471" s="72" t="str">
        <f>IFERROR(_xlfn.XLOOKUP(G471,Listas!E:E,Listas!F:F,""),"")</f>
        <v>Operativo</v>
      </c>
      <c r="I471" s="47" t="str">
        <f>IFERROR(_xlfn.XLOOKUP(G471,Listas!E:E,Listas!G:G,""),"")</f>
        <v>Externo</v>
      </c>
      <c r="J471" s="73">
        <v>17151.490000000002</v>
      </c>
      <c r="K471" s="5">
        <f t="shared" ref="K471" si="7">IF(F471="Ingreso",J471,-J471)</f>
        <v>-17151.490000000002</v>
      </c>
      <c r="L471" s="15" t="s">
        <v>129</v>
      </c>
      <c r="M471" s="45">
        <f>SUMIFS('Saldos Iniciales'!$D$2:$D$38,'Saldos Iniciales'!$A$2:$A$38,C471,'Saldos Iniciales'!$B$2:$B$38,D471)+SUMIFS($K$1:$K$471,$C$1:$C$471,C471,$D$1:$D$471,D471,$B$1:$B$471,"&lt;="&amp;B471)</f>
        <v>11691.029999999999</v>
      </c>
      <c r="N471" s="68" t="str">
        <f>IF(tblMovimientos[[#This Row],[Tipo de Movimiento]]="Ingreso",tblMovimientos[[#This Row],[Monto (S/)]],"0")</f>
        <v>0</v>
      </c>
      <c r="O471" s="68">
        <f>IF(tblMovimientos[[#This Row],[Tipo de Movimiento]]="Egreso",tblMovimientos[[#This Row],[Monto (S/)]],"0")</f>
        <v>17151.490000000002</v>
      </c>
      <c r="P471" s="28">
        <f>IF(tblMovimientos[[#This Row],[Tipo de Movimiento]]="Ingreso",tblMovimientos[[#This Row],[Ingreso]],-tblMovimientos[[#This Row],[Egreso]])</f>
        <v>-17151.490000000002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C2:C471</xm:sqref>
        </x14:dataValidation>
        <x14:dataValidation type="list" allowBlank="1" xr:uid="{AAA2F2FB-5D82-4852-BA68-E541EA956BD2}">
          <x14:formula1>
            <xm:f>Listas!$B$2:$B$34</xm:f>
          </x14:formula1>
          <xm:sqref>D2:D471</xm:sqref>
        </x14:dataValidation>
        <x14:dataValidation type="list" allowBlank="1" xr:uid="{DC8BA3D2-F104-4639-8653-545CA2BBE131}">
          <x14:formula1>
            <xm:f>Listas!$E$2:$E$52</xm:f>
          </x14:formula1>
          <xm:sqref>G2:G471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F2:F471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163</v>
      </c>
      <c r="C1" s="29" t="s">
        <v>165</v>
      </c>
      <c r="D1" s="29" t="s">
        <v>168</v>
      </c>
      <c r="E1" s="30" t="s">
        <v>164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188672.1700000001</v>
      </c>
      <c r="E2" s="38">
        <f>C2+D2</f>
        <v>605350.42999999993</v>
      </c>
    </row>
    <row r="3" spans="1:5" x14ac:dyDescent="0.3">
      <c r="A3" s="32" t="s">
        <v>166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6265293.9900000067</v>
      </c>
      <c r="E3" s="38">
        <f t="shared" ref="E3:E9" si="0">C3+D3</f>
        <v>7427302.1700000064</v>
      </c>
    </row>
    <row r="4" spans="1:5" x14ac:dyDescent="0.3">
      <c r="A4" s="32" t="s">
        <v>152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8">
        <f t="shared" si="0"/>
        <v>16382.23</v>
      </c>
    </row>
    <row r="5" spans="1:5" x14ac:dyDescent="0.3">
      <c r="A5" s="32" t="s">
        <v>153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8">
        <f t="shared" si="0"/>
        <v>57206.89</v>
      </c>
    </row>
    <row r="6" spans="1:5" x14ac:dyDescent="0.3">
      <c r="A6" s="32" t="s">
        <v>154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8">
        <f t="shared" si="0"/>
        <v>1227.9699999999998</v>
      </c>
    </row>
    <row r="7" spans="1:5" x14ac:dyDescent="0.3">
      <c r="A7" s="32" t="s">
        <v>155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8">
        <f t="shared" si="0"/>
        <v>3349.94</v>
      </c>
    </row>
    <row r="8" spans="1:5" x14ac:dyDescent="0.3">
      <c r="A8" s="32" t="s">
        <v>156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8">
        <f t="shared" si="0"/>
        <v>0</v>
      </c>
    </row>
    <row r="9" spans="1:5" x14ac:dyDescent="0.3">
      <c r="A9" s="31" t="s">
        <v>167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M21" sqref="M21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5">
        <v>994464.58000000007</v>
      </c>
      <c r="F2" s="45">
        <v>933664.04999999993</v>
      </c>
      <c r="G2" s="17">
        <v>60800.530000000144</v>
      </c>
      <c r="H2" s="12">
        <f>D2+E2-F2</f>
        <v>193489.58000000019</v>
      </c>
      <c r="I2" s="49">
        <f>H2</f>
        <v>193489.58000000019</v>
      </c>
      <c r="J2" s="45">
        <f>SUMIFS(Movimientos!$J$1:$J$471,Movimientos!$C$1:$C$471,$B2,Movimientos!$D$1:$D$471,$C2,Movimientos!$L$1:$L$471,A$3,Movimientos!$F$1:$F$471,"Ingreso")</f>
        <v>490932.83999999997</v>
      </c>
      <c r="K2" s="45">
        <f>SUMIFS(Movimientos!$J$1:$J$471,Movimientos!$C$1:$C$471,$B2,Movimientos!$D$1:$D$471,$C2,Movimientos!$L$1:$L$471,A$3,Movimientos!$F$1:$F$471,"Egreso")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5">
        <f>SUMIFS(Movimientos!$J$1:$J$471,Movimientos!$C$1:$C$471,$B2,Movimientos!$D$1:$D$471,$C2,Movimientos!$L$1:$L$471,A$4,Movimientos!$F$1:$F$471,"Ingreso")</f>
        <v>0</v>
      </c>
      <c r="P2" s="45">
        <f>SUMIFS(Movimientos!$J$1:$J$471,Movimientos!$C$1:$C$471,$B2,Movimientos!$D$1:$D$471,$C2,Movimientos!$L$1:$L$471,A$4,Movimientos!$F$1:$F$471,"Egreso")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5">
        <v>2605274</v>
      </c>
      <c r="F3" s="45">
        <v>1883425.0000000002</v>
      </c>
      <c r="G3" s="17">
        <v>721848.99999999977</v>
      </c>
      <c r="H3" s="12">
        <f>D3+E3-F3</f>
        <v>784648.53</v>
      </c>
      <c r="I3" s="49">
        <f>H3</f>
        <v>784648.53</v>
      </c>
      <c r="J3" s="45">
        <f>SUMIFS(Movimientos!$J$1:$J$471,Movimientos!$C$1:$C$471,$B3,Movimientos!$D$1:$D$471,$C3,Movimientos!$L$1:$L$471,A$3,Movimientos!$F$1:$F$471,"Ingreso")</f>
        <v>8884973.3900000006</v>
      </c>
      <c r="K3" s="45">
        <f>SUMIFS(Movimientos!$J$1:$J$471,Movimientos!$C$1:$C$471,$B3,Movimientos!$D$1:$D$471,$C3,Movimientos!$L$1:$L$471,A$3,Movimientos!$F$1:$F$471,"Egreso")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5">
        <f>SUMIFS(Movimientos!$J$1:$J$471,Movimientos!$C$1:$C$471,$B3,Movimientos!$D$1:$D$471,$C3,Movimientos!$L$1:$L$471,A$4,Movimientos!$F$1:$F$471,"Ingreso")</f>
        <v>0</v>
      </c>
      <c r="P3" s="45">
        <f>SUMIFS(Movimientos!$J$1:$J$471,Movimientos!$C$1:$C$471,$B3,Movimientos!$D$1:$D$471,$C3,Movimientos!$L$1:$L$471,A$4,Movimientos!$F$1:$F$471,"Egreso")</f>
        <v>703000</v>
      </c>
      <c r="Q3" s="7">
        <f t="shared" ref="Q3:Q34" si="1">+O3-P3</f>
        <v>-703000</v>
      </c>
      <c r="R3" s="12">
        <f>N3+O3-P3</f>
        <v>5488976.9100000001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5">
        <v>0</v>
      </c>
      <c r="F4" s="45">
        <v>18.82</v>
      </c>
      <c r="G4" s="17">
        <v>-18.82</v>
      </c>
      <c r="H4" s="12">
        <f>D4+E4-F4</f>
        <v>5256.0300000000007</v>
      </c>
      <c r="I4" s="49">
        <f>H4</f>
        <v>5256.0300000000007</v>
      </c>
      <c r="J4" s="45">
        <f>SUMIFS(Movimientos!$J$1:$J$471,Movimientos!$C$1:$C$471,$B4,Movimientos!$D$1:$D$471,$C4,Movimientos!$L$1:$L$471,A$3,Movimientos!$F$1:$F$471,"Ingreso")</f>
        <v>0</v>
      </c>
      <c r="K4" s="45">
        <f>SUMIFS(Movimientos!$J$1:$J$471,Movimientos!$C$1:$C$471,$B4,Movimientos!$D$1:$D$471,$C4,Movimientos!$L$1:$L$471,A$3,Movimientos!$F$1:$F$471,"Egreso")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5">
        <f>SUMIFS(Movimientos!$J$1:$J$471,Movimientos!$C$1:$C$471,$B4,Movimientos!$D$1:$D$471,$C4,Movimientos!$L$1:$L$471,A$4,Movimientos!$F$1:$F$471,"Ingreso")</f>
        <v>0</v>
      </c>
      <c r="P4" s="45">
        <f>SUMIFS(Movimientos!$J$1:$J$471,Movimientos!$C$1:$C$471,$B4,Movimientos!$D$1:$D$471,$C4,Movimientos!$L$1:$L$471,A$4,Movimientos!$F$1:$F$471,"Egreso")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5">
        <v>1787857.7400000002</v>
      </c>
      <c r="F5" s="45">
        <v>1770000</v>
      </c>
      <c r="G5" s="17">
        <v>17857.740000000224</v>
      </c>
      <c r="H5" s="12">
        <f>D5+E5-F5</f>
        <v>57397.280000000261</v>
      </c>
      <c r="I5" s="49">
        <f>H5</f>
        <v>57397.280000000261</v>
      </c>
      <c r="J5" s="45">
        <f>SUMIFS(Movimientos!$J$1:$J$471,Movimientos!$C$1:$C$471,$B5,Movimientos!$D$1:$D$471,$C5,Movimientos!$L$1:$L$471,A$3,Movimientos!$F$1:$F$471,"Ingreso")</f>
        <v>16742.400000000001</v>
      </c>
      <c r="K5" s="45">
        <f>SUMIFS(Movimientos!$J$1:$J$471,Movimientos!$C$1:$C$471,$B5,Movimientos!$D$1:$D$471,$C5,Movimientos!$L$1:$L$471,A$3,Movimientos!$F$1:$F$471,"Egreso")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5">
        <f>SUMIFS(Movimientos!$J$1:$J$471,Movimientos!$C$1:$C$471,$B5,Movimientos!$D$1:$D$471,$C5,Movimientos!$L$1:$L$471,A$4,Movimientos!$F$1:$F$471,"Ingreso")</f>
        <v>0</v>
      </c>
      <c r="P5" s="45">
        <f>SUMIFS(Movimientos!$J$1:$J$471,Movimientos!$C$1:$C$471,$B5,Movimientos!$D$1:$D$471,$C5,Movimientos!$L$1:$L$471,A$4,Movimientos!$F$1:$F$471,"Egreso")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5">
        <v>0</v>
      </c>
      <c r="F6" s="45">
        <v>0</v>
      </c>
      <c r="G6" s="17">
        <v>0</v>
      </c>
      <c r="H6" s="12">
        <f>D6+E6-F6</f>
        <v>5000</v>
      </c>
      <c r="I6" s="49">
        <f>H6</f>
        <v>5000</v>
      </c>
      <c r="J6" s="45">
        <f>SUMIFS(Movimientos!$J$1:$J$471,Movimientos!$C$1:$C$471,$B6,Movimientos!$D$1:$D$471,$C6,Movimientos!$L$1:$L$471,A$3,Movimientos!$F$1:$F$471,"Ingreso")</f>
        <v>0</v>
      </c>
      <c r="K6" s="45">
        <f>SUMIFS(Movimientos!$J$1:$J$471,Movimientos!$C$1:$C$471,$B6,Movimientos!$D$1:$D$471,$C6,Movimientos!$L$1:$L$471,A$3,Movimientos!$F$1:$F$471,"Egreso")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5">
        <f>SUMIFS(Movimientos!$J$1:$J$471,Movimientos!$C$1:$C$471,$B6,Movimientos!$D$1:$D$471,$C6,Movimientos!$L$1:$L$471,A$4,Movimientos!$F$1:$F$471,"Ingreso")</f>
        <v>0</v>
      </c>
      <c r="P6" s="45">
        <f>SUMIFS(Movimientos!$J$1:$J$471,Movimientos!$C$1:$C$471,$B6,Movimientos!$D$1:$D$471,$C6,Movimientos!$L$1:$L$471,A$4,Movimientos!$F$1:$F$471,"Egreso")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5">
        <v>0</v>
      </c>
      <c r="F7" s="45">
        <v>0</v>
      </c>
      <c r="G7" s="17">
        <v>0</v>
      </c>
      <c r="H7" s="12">
        <f t="shared" ref="H7:H34" si="2">D7+E7-F7</f>
        <v>1669.89</v>
      </c>
      <c r="I7" s="49">
        <f t="shared" ref="I7:I34" si="3">H7</f>
        <v>1669.89</v>
      </c>
      <c r="J7" s="45">
        <f>SUMIFS(Movimientos!$J$1:$J$471,Movimientos!$C$1:$C$471,$B7,Movimientos!$D$1:$D$471,$C7,Movimientos!$L$1:$L$471,A$3,Movimientos!$F$1:$F$471,"Ingreso")</f>
        <v>0</v>
      </c>
      <c r="K7" s="45">
        <f>SUMIFS(Movimientos!$J$1:$J$471,Movimientos!$C$1:$C$471,$B7,Movimientos!$D$1:$D$471,$C7,Movimientos!$L$1:$L$471,A$3,Movimientos!$F$1:$F$471,"Egreso")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5">
        <f>SUMIFS(Movimientos!$J$1:$J$471,Movimientos!$C$1:$C$471,$B7,Movimientos!$D$1:$D$471,$C7,Movimientos!$L$1:$L$471,A$4,Movimientos!$F$1:$F$471,"Ingreso")</f>
        <v>0</v>
      </c>
      <c r="P7" s="45">
        <f>SUMIFS(Movimientos!$J$1:$J$471,Movimientos!$C$1:$C$471,$B7,Movimientos!$D$1:$D$471,$C7,Movimientos!$L$1:$L$471,A$4,Movimientos!$F$1:$F$471,"Egreso")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5">
        <v>2810870.3299999996</v>
      </c>
      <c r="F8" s="45">
        <v>2563105.7999999998</v>
      </c>
      <c r="G8" s="17">
        <v>247764.5299999998</v>
      </c>
      <c r="H8" s="12">
        <f t="shared" si="2"/>
        <v>424853.11999999965</v>
      </c>
      <c r="I8" s="49">
        <f t="shared" si="3"/>
        <v>424853.11999999965</v>
      </c>
      <c r="J8" s="45">
        <f>SUMIFS(Movimientos!$J$1:$J$471,Movimientos!$C$1:$C$471,$B8,Movimientos!$D$1:$D$471,$C8,Movimientos!$L$1:$L$471,A$3,Movimientos!$F$1:$F$471,"Ingreso")</f>
        <v>440602.39</v>
      </c>
      <c r="K8" s="45">
        <f>SUMIFS(Movimientos!$J$1:$J$471,Movimientos!$C$1:$C$471,$B8,Movimientos!$D$1:$D$471,$C8,Movimientos!$L$1:$L$471,A$3,Movimientos!$F$1:$F$471,"Egreso")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5">
        <f>SUMIFS(Movimientos!$J$1:$J$471,Movimientos!$C$1:$C$471,$B8,Movimientos!$D$1:$D$471,$C8,Movimientos!$L$1:$L$471,A$4,Movimientos!$F$1:$F$471,"Ingreso")</f>
        <v>18190.75</v>
      </c>
      <c r="P8" s="45">
        <f>SUMIFS(Movimientos!$J$1:$J$471,Movimientos!$C$1:$C$471,$B8,Movimientos!$D$1:$D$471,$C8,Movimientos!$L$1:$L$471,A$4,Movimientos!$F$1:$F$471,"Egreso")</f>
        <v>157460.75</v>
      </c>
      <c r="Q8" s="7">
        <f t="shared" si="1"/>
        <v>-139270</v>
      </c>
      <c r="R8" s="12">
        <f t="shared" si="6"/>
        <v>350475.62999999966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5">
        <v>15321.74</v>
      </c>
      <c r="F9" s="45">
        <v>16857.71</v>
      </c>
      <c r="G9" s="17">
        <v>-1535.9699999999993</v>
      </c>
      <c r="H9" s="12">
        <f t="shared" si="2"/>
        <v>10843.21</v>
      </c>
      <c r="I9" s="49">
        <f t="shared" si="3"/>
        <v>10843.21</v>
      </c>
      <c r="J9" s="45">
        <f>SUMIFS(Movimientos!$J$1:$J$471,Movimientos!$C$1:$C$471,$B9,Movimientos!$D$1:$D$471,$C9,Movimientos!$L$1:$L$471,A$3,Movimientos!$F$1:$F$471,"Ingreso")</f>
        <v>15307.88</v>
      </c>
      <c r="K9" s="45">
        <f>SUMIFS(Movimientos!$J$1:$J$471,Movimientos!$C$1:$C$471,$B9,Movimientos!$D$1:$D$471,$C9,Movimientos!$L$1:$L$471,A$3,Movimientos!$F$1:$F$471,"Egreso")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5">
        <f>SUMIFS(Movimientos!$J$1:$J$471,Movimientos!$C$1:$C$471,$B9,Movimientos!$D$1:$D$471,$C9,Movimientos!$L$1:$L$471,A$4,Movimientos!$F$1:$F$471,"Ingreso")</f>
        <v>15280.15</v>
      </c>
      <c r="P9" s="45">
        <f>SUMIFS(Movimientos!$J$1:$J$471,Movimientos!$C$1:$C$471,$B9,Movimientos!$D$1:$D$471,$C9,Movimientos!$L$1:$L$471,A$4,Movimientos!$F$1:$F$471,"Egreso")</f>
        <v>538.41999999999996</v>
      </c>
      <c r="Q9" s="7">
        <f t="shared" si="1"/>
        <v>14741.73</v>
      </c>
      <c r="R9" s="12">
        <f t="shared" si="6"/>
        <v>22518.97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5">
        <v>0</v>
      </c>
      <c r="F10" s="45">
        <v>196.07</v>
      </c>
      <c r="G10" s="17">
        <v>-196.07</v>
      </c>
      <c r="H10" s="12">
        <f t="shared" si="2"/>
        <v>563</v>
      </c>
      <c r="I10" s="49">
        <f t="shared" si="3"/>
        <v>563</v>
      </c>
      <c r="J10" s="45">
        <f>SUMIFS(Movimientos!$J$1:$J$471,Movimientos!$C$1:$C$471,$B10,Movimientos!$D$1:$D$471,$C10,Movimientos!$L$1:$L$471,A$3,Movimientos!$F$1:$F$471,"Ingreso")</f>
        <v>0</v>
      </c>
      <c r="K10" s="45">
        <f>SUMIFS(Movimientos!$J$1:$J$471,Movimientos!$C$1:$C$471,$B10,Movimientos!$D$1:$D$471,$C10,Movimientos!$L$1:$L$471,A$3,Movimientos!$F$1:$F$471,"Egreso")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5">
        <f>SUMIFS(Movimientos!$J$1:$J$471,Movimientos!$C$1:$C$471,$B10,Movimientos!$D$1:$D$471,$C10,Movimientos!$L$1:$L$471,A$4,Movimientos!$F$1:$F$471,"Ingreso")</f>
        <v>0</v>
      </c>
      <c r="P10" s="45">
        <f>SUMIFS(Movimientos!$J$1:$J$471,Movimientos!$C$1:$C$471,$B10,Movimientos!$D$1:$D$471,$C10,Movimientos!$L$1:$L$471,A$4,Movimientos!$F$1:$F$471,"Egreso")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5">
        <v>0</v>
      </c>
      <c r="F11" s="45">
        <v>0</v>
      </c>
      <c r="G11" s="17">
        <v>0</v>
      </c>
      <c r="H11" s="12">
        <f t="shared" si="2"/>
        <v>0</v>
      </c>
      <c r="I11" s="49">
        <f t="shared" si="3"/>
        <v>0</v>
      </c>
      <c r="J11" s="45">
        <f>SUMIFS(Movimientos!$J$1:$J$471,Movimientos!$C$1:$C$471,$B11,Movimientos!$D$1:$D$471,$C11,Movimientos!$L$1:$L$471,A$3,Movimientos!$F$1:$F$471,"Ingreso")</f>
        <v>0</v>
      </c>
      <c r="K11" s="45">
        <f>SUMIFS(Movimientos!$J$1:$J$471,Movimientos!$C$1:$C$471,$B11,Movimientos!$D$1:$D$471,$C11,Movimientos!$L$1:$L$471,A$3,Movimientos!$F$1:$F$471,"Egreso")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5">
        <f>SUMIFS(Movimientos!$J$1:$J$471,Movimientos!$C$1:$C$471,$B11,Movimientos!$D$1:$D$471,$C11,Movimientos!$L$1:$L$471,A$4,Movimientos!$F$1:$F$471,"Ingreso")</f>
        <v>0</v>
      </c>
      <c r="P11" s="45">
        <f>SUMIFS(Movimientos!$J$1:$J$471,Movimientos!$C$1:$C$471,$B11,Movimientos!$D$1:$D$471,$C11,Movimientos!$L$1:$L$471,A$4,Movimientos!$F$1:$F$471,"Egreso")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5">
        <v>1689975</v>
      </c>
      <c r="F12" s="45">
        <v>1664911.5100000002</v>
      </c>
      <c r="G12" s="17">
        <v>25063.489999999758</v>
      </c>
      <c r="H12" s="12">
        <f t="shared" si="2"/>
        <v>244921.30999999912</v>
      </c>
      <c r="I12" s="49">
        <f t="shared" si="3"/>
        <v>244921.30999999912</v>
      </c>
      <c r="J12" s="45">
        <f>SUMIFS(Movimientos!$J$1:$J$471,Movimientos!$C$1:$C$471,$B12,Movimientos!$D$1:$D$471,$C12,Movimientos!$L$1:$L$471,A$3,Movimientos!$F$1:$F$471,"Ingreso")</f>
        <v>4970000</v>
      </c>
      <c r="K12" s="45">
        <f>SUMIFS(Movimientos!$J$1:$J$471,Movimientos!$C$1:$C$471,$B12,Movimientos!$D$1:$D$471,$C12,Movimientos!$L$1:$L$471,A$3,Movimientos!$F$1:$F$471,"Egreso")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5">
        <f>SUMIFS(Movimientos!$J$1:$J$471,Movimientos!$C$1:$C$471,$B12,Movimientos!$D$1:$D$471,$C12,Movimientos!$L$1:$L$471,A$4,Movimientos!$F$1:$F$471,"Ingreso")</f>
        <v>150000</v>
      </c>
      <c r="P12" s="45">
        <f>SUMIFS(Movimientos!$J$1:$J$471,Movimientos!$C$1:$C$471,$B12,Movimientos!$D$1:$D$471,$C12,Movimientos!$L$1:$L$471,A$4,Movimientos!$F$1:$F$471,"Egreso")</f>
        <v>100000</v>
      </c>
      <c r="Q12" s="7">
        <f t="shared" si="1"/>
        <v>50000</v>
      </c>
      <c r="R12" s="12">
        <f t="shared" si="6"/>
        <v>921698.75999999885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5">
        <v>0</v>
      </c>
      <c r="F13" s="45">
        <v>108.91</v>
      </c>
      <c r="G13" s="17">
        <v>-108.91</v>
      </c>
      <c r="H13" s="12">
        <f t="shared" si="2"/>
        <v>4761.2</v>
      </c>
      <c r="I13" s="49">
        <f t="shared" si="3"/>
        <v>4761.2</v>
      </c>
      <c r="J13" s="45">
        <f>SUMIFS(Movimientos!$J$1:$J$471,Movimientos!$C$1:$C$471,$B13,Movimientos!$D$1:$D$471,$C13,Movimientos!$L$1:$L$471,A$3,Movimientos!$F$1:$F$471,"Ingreso")</f>
        <v>0</v>
      </c>
      <c r="K13" s="45">
        <f>SUMIFS(Movimientos!$J$1:$J$471,Movimientos!$C$1:$C$471,$B13,Movimientos!$D$1:$D$471,$C13,Movimientos!$L$1:$L$471,A$3,Movimientos!$F$1:$F$471,"Egreso")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5">
        <f>SUMIFS(Movimientos!$J$1:$J$471,Movimientos!$C$1:$C$471,$B13,Movimientos!$D$1:$D$471,$C13,Movimientos!$L$1:$L$471,A$4,Movimientos!$F$1:$F$471,"Ingreso")</f>
        <v>0</v>
      </c>
      <c r="P13" s="45">
        <f>SUMIFS(Movimientos!$J$1:$J$471,Movimientos!$C$1:$C$471,$B13,Movimientos!$D$1:$D$471,$C13,Movimientos!$L$1:$L$471,A$4,Movimientos!$F$1:$F$471,"Egreso")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5">
        <v>2291.75</v>
      </c>
      <c r="F14" s="45">
        <v>0</v>
      </c>
      <c r="G14" s="17">
        <v>2291.75</v>
      </c>
      <c r="H14" s="12">
        <f t="shared" si="2"/>
        <v>749812.95</v>
      </c>
      <c r="I14" s="49">
        <f t="shared" si="3"/>
        <v>749812.95</v>
      </c>
      <c r="J14" s="45">
        <f>SUMIFS(Movimientos!$J$1:$J$471,Movimientos!$C$1:$C$471,$B14,Movimientos!$D$1:$D$471,$C14,Movimientos!$L$1:$L$471,A$3,Movimientos!$F$1:$F$471,"Ingreso")</f>
        <v>56867.66</v>
      </c>
      <c r="K14" s="45">
        <f>SUMIFS(Movimientos!$J$1:$J$471,Movimientos!$C$1:$C$471,$B14,Movimientos!$D$1:$D$471,$C14,Movimientos!$L$1:$L$471,A$3,Movimientos!$F$1:$F$471,"Egreso")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5">
        <f>SUMIFS(Movimientos!$J$1:$J$471,Movimientos!$C$1:$C$471,$B14,Movimientos!$D$1:$D$471,$C14,Movimientos!$L$1:$L$471,A$4,Movimientos!$F$1:$F$471,"Ingreso")</f>
        <v>0</v>
      </c>
      <c r="P14" s="45">
        <f>SUMIFS(Movimientos!$J$1:$J$471,Movimientos!$C$1:$C$471,$B14,Movimientos!$D$1:$D$471,$C14,Movimientos!$L$1:$L$471,A$4,Movimientos!$F$1:$F$471,"Egreso")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5">
        <v>0</v>
      </c>
      <c r="F15" s="45">
        <v>0</v>
      </c>
      <c r="G15" s="17">
        <v>0</v>
      </c>
      <c r="H15" s="12">
        <f t="shared" si="2"/>
        <v>5000</v>
      </c>
      <c r="I15" s="49">
        <f t="shared" si="3"/>
        <v>5000</v>
      </c>
      <c r="J15" s="45">
        <f>SUMIFS(Movimientos!$J$1:$J$471,Movimientos!$C$1:$C$471,$B15,Movimientos!$D$1:$D$471,$C15,Movimientos!$L$1:$L$471,A$3,Movimientos!$F$1:$F$471,"Ingreso")</f>
        <v>0</v>
      </c>
      <c r="K15" s="45">
        <f>SUMIFS(Movimientos!$J$1:$J$471,Movimientos!$C$1:$C$471,$B15,Movimientos!$D$1:$D$471,$C15,Movimientos!$L$1:$L$471,A$3,Movimientos!$F$1:$F$471,"Egreso")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5">
        <f>SUMIFS(Movimientos!$J$1:$J$471,Movimientos!$C$1:$C$471,$B15,Movimientos!$D$1:$D$471,$C15,Movimientos!$L$1:$L$471,A$4,Movimientos!$F$1:$F$471,"Ingreso")</f>
        <v>0</v>
      </c>
      <c r="P15" s="45">
        <f>SUMIFS(Movimientos!$J$1:$J$471,Movimientos!$C$1:$C$471,$B15,Movimientos!$D$1:$D$471,$C15,Movimientos!$L$1:$L$471,A$4,Movimientos!$F$1:$F$471,"Egreso")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5">
        <v>0</v>
      </c>
      <c r="F16" s="45">
        <v>0</v>
      </c>
      <c r="G16" s="17">
        <v>0</v>
      </c>
      <c r="H16" s="12">
        <f t="shared" si="2"/>
        <v>57206.89</v>
      </c>
      <c r="I16" s="49">
        <f t="shared" si="3"/>
        <v>57206.89</v>
      </c>
      <c r="J16" s="45">
        <f>SUMIFS(Movimientos!$J$1:$J$471,Movimientos!$C$1:$C$471,$B16,Movimientos!$D$1:$D$471,$C16,Movimientos!$L$1:$L$471,A$3,Movimientos!$F$1:$F$471,"Ingreso")</f>
        <v>0</v>
      </c>
      <c r="K16" s="45">
        <f>SUMIFS(Movimientos!$J$1:$J$471,Movimientos!$C$1:$C$471,$B16,Movimientos!$D$1:$D$471,$C16,Movimientos!$L$1:$L$471,A$3,Movimientos!$F$1:$F$471,"Egreso")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5">
        <f>SUMIFS(Movimientos!$J$1:$J$471,Movimientos!$C$1:$C$471,$B16,Movimientos!$D$1:$D$471,$C16,Movimientos!$L$1:$L$471,A$4,Movimientos!$F$1:$F$471,"Ingreso")</f>
        <v>0</v>
      </c>
      <c r="P16" s="45">
        <f>SUMIFS(Movimientos!$J$1:$J$471,Movimientos!$C$1:$C$471,$B16,Movimientos!$D$1:$D$471,$C16,Movimientos!$L$1:$L$471,A$4,Movimientos!$F$1:$F$471,"Egreso")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5">
        <v>0</v>
      </c>
      <c r="F17" s="45">
        <v>0</v>
      </c>
      <c r="G17" s="17">
        <v>0</v>
      </c>
      <c r="H17" s="12">
        <f t="shared" si="2"/>
        <v>6365</v>
      </c>
      <c r="I17" s="49">
        <f t="shared" si="3"/>
        <v>6365</v>
      </c>
      <c r="J17" s="45">
        <f>SUMIFS(Movimientos!$J$1:$J$471,Movimientos!$C$1:$C$471,$B17,Movimientos!$D$1:$D$471,$C17,Movimientos!$L$1:$L$471,A$3,Movimientos!$F$1:$F$471,"Ingreso")</f>
        <v>0</v>
      </c>
      <c r="K17" s="45">
        <f>SUMIFS(Movimientos!$J$1:$J$471,Movimientos!$C$1:$C$471,$B17,Movimientos!$D$1:$D$471,$C17,Movimientos!$L$1:$L$471,A$3,Movimientos!$F$1:$F$471,"Egreso")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5">
        <f>SUMIFS(Movimientos!$J$1:$J$471,Movimientos!$C$1:$C$471,$B17,Movimientos!$D$1:$D$471,$C17,Movimientos!$L$1:$L$471,A$4,Movimientos!$F$1:$F$471,"Ingreso")</f>
        <v>0</v>
      </c>
      <c r="P17" s="45">
        <f>SUMIFS(Movimientos!$J$1:$J$471,Movimientos!$C$1:$C$471,$B17,Movimientos!$D$1:$D$471,$C17,Movimientos!$L$1:$L$471,A$4,Movimientos!$F$1:$F$471,"Egreso")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5">
        <v>50000</v>
      </c>
      <c r="F18" s="45">
        <v>6015</v>
      </c>
      <c r="G18" s="17">
        <v>43985</v>
      </c>
      <c r="H18" s="12">
        <f t="shared" si="2"/>
        <v>57206.89</v>
      </c>
      <c r="I18" s="49">
        <f t="shared" si="3"/>
        <v>57206.89</v>
      </c>
      <c r="J18" s="45">
        <f>SUMIFS(Movimientos!$J$1:$J$471,Movimientos!$C$1:$C$471,$B18,Movimientos!$D$1:$D$471,$C18,Movimientos!$L$1:$L$471,A$3,Movimientos!$F$1:$F$471,"Ingreso")</f>
        <v>0</v>
      </c>
      <c r="K18" s="45">
        <f>SUMIFS(Movimientos!$J$1:$J$471,Movimientos!$C$1:$C$471,$B18,Movimientos!$D$1:$D$471,$C18,Movimientos!$L$1:$L$471,A$3,Movimientos!$F$1:$F$471,"Egreso")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5">
        <f>SUMIFS(Movimientos!$J$1:$J$471,Movimientos!$C$1:$C$471,$B18,Movimientos!$D$1:$D$471,$C18,Movimientos!$L$1:$L$471,A$4,Movimientos!$F$1:$F$471,"Ingreso")</f>
        <v>0</v>
      </c>
      <c r="P18" s="45">
        <f>SUMIFS(Movimientos!$J$1:$J$471,Movimientos!$C$1:$C$471,$B18,Movimientos!$D$1:$D$471,$C18,Movimientos!$L$1:$L$471,A$4,Movimientos!$F$1:$F$471,"Egreso")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5">
        <v>0</v>
      </c>
      <c r="F19" s="45">
        <v>55000</v>
      </c>
      <c r="G19" s="17">
        <v>-55000</v>
      </c>
      <c r="H19" s="12">
        <f t="shared" si="2"/>
        <v>10717.600000000006</v>
      </c>
      <c r="I19" s="49">
        <f t="shared" si="3"/>
        <v>10717.600000000006</v>
      </c>
      <c r="J19" s="45">
        <f>SUMIFS(Movimientos!$J$1:$J$471,Movimientos!$C$1:$C$471,$B19,Movimientos!$D$1:$D$471,$C19,Movimientos!$L$1:$L$471,A$3,Movimientos!$F$1:$F$471,"Ingreso")</f>
        <v>2580000</v>
      </c>
      <c r="K19" s="45">
        <f>SUMIFS(Movimientos!$J$1:$J$471,Movimientos!$C$1:$C$471,$B19,Movimientos!$D$1:$D$471,$C19,Movimientos!$L$1:$L$471,A$3,Movimientos!$F$1:$F$471,"Egreso")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5">
        <f>SUMIFS(Movimientos!$J$1:$J$471,Movimientos!$C$1:$C$471,$B19,Movimientos!$D$1:$D$471,$C19,Movimientos!$L$1:$L$471,A$4,Movimientos!$F$1:$F$471,"Ingreso")</f>
        <v>0</v>
      </c>
      <c r="P19" s="45">
        <f>SUMIFS(Movimientos!$J$1:$J$471,Movimientos!$C$1:$C$471,$B19,Movimientos!$D$1:$D$471,$C19,Movimientos!$L$1:$L$471,A$4,Movimientos!$F$1:$F$471,"Egreso")</f>
        <v>170000</v>
      </c>
      <c r="Q19" s="7">
        <f t="shared" si="1"/>
        <v>-170000</v>
      </c>
      <c r="R19" s="12">
        <f t="shared" si="6"/>
        <v>111717.60000000009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5">
        <v>1575001.78</v>
      </c>
      <c r="F20" s="45">
        <v>1500000</v>
      </c>
      <c r="G20" s="17">
        <v>75001.780000000028</v>
      </c>
      <c r="H20" s="12">
        <f t="shared" si="2"/>
        <v>88090.370000000112</v>
      </c>
      <c r="I20" s="49">
        <f t="shared" si="3"/>
        <v>88090.370000000112</v>
      </c>
      <c r="J20" s="45">
        <f>SUMIFS(Movimientos!$J$1:$J$471,Movimientos!$C$1:$C$471,$B20,Movimientos!$D$1:$D$471,$C20,Movimientos!$L$1:$L$471,A$3,Movimientos!$F$1:$F$471,"Ingreso")</f>
        <v>0</v>
      </c>
      <c r="K20" s="45">
        <f>SUMIFS(Movimientos!$J$1:$J$471,Movimientos!$C$1:$C$471,$B20,Movimientos!$D$1:$D$471,$C20,Movimientos!$L$1:$L$471,A$3,Movimientos!$F$1:$F$471,"Egreso")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5">
        <f>SUMIFS(Movimientos!$J$1:$J$471,Movimientos!$C$1:$C$471,$B20,Movimientos!$D$1:$D$471,$C20,Movimientos!$L$1:$L$471,A$4,Movimientos!$F$1:$F$471,"Ingreso")</f>
        <v>0</v>
      </c>
      <c r="P20" s="45">
        <f>SUMIFS(Movimientos!$J$1:$J$471,Movimientos!$C$1:$C$471,$B20,Movimientos!$D$1:$D$471,$C20,Movimientos!$L$1:$L$471,A$4,Movimientos!$F$1:$F$471,"Egreso")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5">
        <v>3000</v>
      </c>
      <c r="F21" s="45">
        <v>2580.86</v>
      </c>
      <c r="G21" s="17">
        <v>419.13999999999987</v>
      </c>
      <c r="H21" s="12">
        <f t="shared" si="2"/>
        <v>1227.9699999999998</v>
      </c>
      <c r="I21" s="49">
        <f t="shared" si="3"/>
        <v>1227.9699999999998</v>
      </c>
      <c r="J21" s="45">
        <f>SUMIFS(Movimientos!$J$1:$J$471,Movimientos!$C$1:$C$471,$B21,Movimientos!$D$1:$D$471,$C21,Movimientos!$L$1:$L$471,A$3,Movimientos!$F$1:$F$471,"Ingreso")</f>
        <v>0</v>
      </c>
      <c r="K21" s="45">
        <f>SUMIFS(Movimientos!$J$1:$J$471,Movimientos!$C$1:$C$471,$B21,Movimientos!$D$1:$D$471,$C21,Movimientos!$L$1:$L$471,A$3,Movimientos!$F$1:$F$471,"Egreso")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5">
        <f>SUMIFS(Movimientos!$J$1:$J$471,Movimientos!$C$1:$C$471,$B21,Movimientos!$D$1:$D$471,$C21,Movimientos!$L$1:$L$471,A$4,Movimientos!$F$1:$F$471,"Ingreso")</f>
        <v>0</v>
      </c>
      <c r="P21" s="45">
        <f>SUMIFS(Movimientos!$J$1:$J$471,Movimientos!$C$1:$C$471,$B21,Movimientos!$D$1:$D$471,$C21,Movimientos!$L$1:$L$471,A$4,Movimientos!$F$1:$F$471,"Egreso")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5">
        <v>0</v>
      </c>
      <c r="F22" s="45">
        <v>29.95</v>
      </c>
      <c r="G22" s="17">
        <v>-29.95</v>
      </c>
      <c r="H22" s="12">
        <f t="shared" si="2"/>
        <v>114.3</v>
      </c>
      <c r="I22" s="49">
        <f t="shared" si="3"/>
        <v>114.3</v>
      </c>
      <c r="J22" s="45">
        <f>SUMIFS(Movimientos!$J$1:$J$471,Movimientos!$C$1:$C$471,$B22,Movimientos!$D$1:$D$471,$C22,Movimientos!$L$1:$L$471,A$3,Movimientos!$F$1:$F$471,"Ingreso")</f>
        <v>0</v>
      </c>
      <c r="K22" s="45">
        <f>SUMIFS(Movimientos!$J$1:$J$471,Movimientos!$C$1:$C$471,$B22,Movimientos!$D$1:$D$471,$C22,Movimientos!$L$1:$L$471,A$3,Movimientos!$F$1:$F$471,"Egreso")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5">
        <f>SUMIFS(Movimientos!$J$1:$J$471,Movimientos!$C$1:$C$471,$B22,Movimientos!$D$1:$D$471,$C22,Movimientos!$L$1:$L$471,A$4,Movimientos!$F$1:$F$471,"Ingreso")</f>
        <v>0</v>
      </c>
      <c r="P22" s="45">
        <f>SUMIFS(Movimientos!$J$1:$J$471,Movimientos!$C$1:$C$471,$B22,Movimientos!$D$1:$D$471,$C22,Movimientos!$L$1:$L$471,A$4,Movimientos!$F$1:$F$471,"Egreso")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5">
        <v>0</v>
      </c>
      <c r="F23" s="45">
        <v>29.95</v>
      </c>
      <c r="G23" s="17">
        <v>-29.95</v>
      </c>
      <c r="H23" s="12">
        <f t="shared" si="2"/>
        <v>2267.7200000000003</v>
      </c>
      <c r="I23" s="49">
        <f t="shared" si="3"/>
        <v>2267.7200000000003</v>
      </c>
      <c r="J23" s="45">
        <f>SUMIFS(Movimientos!$J$1:$J$471,Movimientos!$C$1:$C$471,$B23,Movimientos!$D$1:$D$471,$C23,Movimientos!$L$1:$L$471,A$3,Movimientos!$F$1:$F$471,"Ingreso")</f>
        <v>0</v>
      </c>
      <c r="K23" s="45">
        <f>SUMIFS(Movimientos!$J$1:$J$471,Movimientos!$C$1:$C$471,$B23,Movimientos!$D$1:$D$471,$C23,Movimientos!$L$1:$L$471,A$3,Movimientos!$F$1:$F$471,"Egreso")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5">
        <f>SUMIFS(Movimientos!$J$1:$J$471,Movimientos!$C$1:$C$471,$B23,Movimientos!$D$1:$D$471,$C23,Movimientos!$L$1:$L$471,A$4,Movimientos!$F$1:$F$471,"Ingreso")</f>
        <v>0</v>
      </c>
      <c r="P23" s="45">
        <f>SUMIFS(Movimientos!$J$1:$J$471,Movimientos!$C$1:$C$471,$B23,Movimientos!$D$1:$D$471,$C23,Movimientos!$L$1:$L$471,A$4,Movimientos!$F$1:$F$471,"Egreso")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5">
        <v>0</v>
      </c>
      <c r="F24" s="45">
        <v>15</v>
      </c>
      <c r="G24" s="17">
        <v>-15</v>
      </c>
      <c r="H24" s="12">
        <f t="shared" si="2"/>
        <v>3349.94</v>
      </c>
      <c r="I24" s="49">
        <f t="shared" si="3"/>
        <v>3349.94</v>
      </c>
      <c r="J24" s="45">
        <f>SUMIFS(Movimientos!$J$1:$J$471,Movimientos!$C$1:$C$471,$B24,Movimientos!$D$1:$D$471,$C24,Movimientos!$L$1:$L$471,A$3,Movimientos!$F$1:$F$471,"Ingreso")</f>
        <v>0</v>
      </c>
      <c r="K24" s="45">
        <f>SUMIFS(Movimientos!$J$1:$J$471,Movimientos!$C$1:$C$471,$B24,Movimientos!$D$1:$D$471,$C24,Movimientos!$L$1:$L$471,A$3,Movimientos!$F$1:$F$471,"Egreso")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5">
        <f>SUMIFS(Movimientos!$J$1:$J$471,Movimientos!$C$1:$C$471,$B24,Movimientos!$D$1:$D$471,$C24,Movimientos!$L$1:$L$471,A$4,Movimientos!$F$1:$F$471,"Ingreso")</f>
        <v>0</v>
      </c>
      <c r="P24" s="45">
        <f>SUMIFS(Movimientos!$J$1:$J$471,Movimientos!$C$1:$C$471,$B24,Movimientos!$D$1:$D$471,$C24,Movimientos!$L$1:$L$471,A$4,Movimientos!$F$1:$F$471,"Egreso")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5">
        <v>0</v>
      </c>
      <c r="F25" s="45">
        <v>0</v>
      </c>
      <c r="G25" s="17">
        <v>0</v>
      </c>
      <c r="H25" s="12">
        <f t="shared" si="2"/>
        <v>1968.99</v>
      </c>
      <c r="I25" s="49">
        <f t="shared" si="3"/>
        <v>1968.99</v>
      </c>
      <c r="J25" s="45">
        <f>SUMIFS(Movimientos!$J$1:$J$471,Movimientos!$C$1:$C$471,$B25,Movimientos!$D$1:$D$471,$C25,Movimientos!$L$1:$L$471,A$3,Movimientos!$F$1:$F$471,"Ingreso")</f>
        <v>0</v>
      </c>
      <c r="K25" s="45">
        <f>SUMIFS(Movimientos!$J$1:$J$471,Movimientos!$C$1:$C$471,$B25,Movimientos!$D$1:$D$471,$C25,Movimientos!$L$1:$L$471,A$3,Movimientos!$F$1:$F$471,"Egreso")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5">
        <f>SUMIFS(Movimientos!$J$1:$J$471,Movimientos!$C$1:$C$471,$B25,Movimientos!$D$1:$D$471,$C25,Movimientos!$L$1:$L$471,A$4,Movimientos!$F$1:$F$471,"Ingreso")</f>
        <v>0</v>
      </c>
      <c r="P25" s="45">
        <f>SUMIFS(Movimientos!$J$1:$J$471,Movimientos!$C$1:$C$471,$B25,Movimientos!$D$1:$D$471,$C25,Movimientos!$L$1:$L$471,A$4,Movimientos!$F$1:$F$471,"Egreso")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5">
        <v>0</v>
      </c>
      <c r="F26" s="45">
        <v>0</v>
      </c>
      <c r="G26" s="17">
        <v>0</v>
      </c>
      <c r="H26" s="12">
        <f t="shared" si="2"/>
        <v>0</v>
      </c>
      <c r="I26" s="49">
        <f t="shared" si="3"/>
        <v>0</v>
      </c>
      <c r="J26" s="45">
        <f>SUMIFS(Movimientos!$J$1:$J$471,Movimientos!$C$1:$C$471,$B26,Movimientos!$D$1:$D$471,$C26,Movimientos!$L$1:$L$471,A$3,Movimientos!$F$1:$F$471,"Ingreso")</f>
        <v>0</v>
      </c>
      <c r="K26" s="45">
        <f>SUMIFS(Movimientos!$J$1:$J$471,Movimientos!$C$1:$C$471,$B26,Movimientos!$D$1:$D$471,$C26,Movimientos!$L$1:$L$471,A$3,Movimientos!$F$1:$F$471,"Egreso")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5">
        <f>SUMIFS(Movimientos!$J$1:$J$471,Movimientos!$C$1:$C$471,$B26,Movimientos!$D$1:$D$471,$C26,Movimientos!$L$1:$L$471,A$4,Movimientos!$F$1:$F$471,"Ingreso")</f>
        <v>0</v>
      </c>
      <c r="P26" s="45">
        <f>SUMIFS(Movimientos!$J$1:$J$471,Movimientos!$C$1:$C$471,$B26,Movimientos!$D$1:$D$471,$C26,Movimientos!$L$1:$L$471,A$4,Movimientos!$F$1:$F$471,"Egreso")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5">
        <v>0</v>
      </c>
      <c r="F27" s="45">
        <v>0</v>
      </c>
      <c r="G27" s="17">
        <v>0</v>
      </c>
      <c r="H27" s="12">
        <f t="shared" si="2"/>
        <v>901.34</v>
      </c>
      <c r="I27" s="49">
        <f t="shared" si="3"/>
        <v>901.34</v>
      </c>
      <c r="J27" s="45">
        <f>SUMIFS(Movimientos!$J$1:$J$471,Movimientos!$C$1:$C$471,$B27,Movimientos!$D$1:$D$471,$C27,Movimientos!$L$1:$L$471,A$3,Movimientos!$F$1:$F$471,"Ingreso")</f>
        <v>0</v>
      </c>
      <c r="K27" s="45">
        <f>SUMIFS(Movimientos!$J$1:$J$471,Movimientos!$C$1:$C$471,$B27,Movimientos!$D$1:$D$471,$C27,Movimientos!$L$1:$L$471,A$3,Movimientos!$F$1:$F$471,"Egreso")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5">
        <f>SUMIFS(Movimientos!$J$1:$J$471,Movimientos!$C$1:$C$471,$B27,Movimientos!$D$1:$D$471,$C27,Movimientos!$L$1:$L$471,A$4,Movimientos!$F$1:$F$471,"Ingreso")</f>
        <v>0</v>
      </c>
      <c r="P27" s="45">
        <f>SUMIFS(Movimientos!$J$1:$J$471,Movimientos!$C$1:$C$471,$B27,Movimientos!$D$1:$D$471,$C27,Movimientos!$L$1:$L$471,A$4,Movimientos!$F$1:$F$471,"Egreso")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5">
        <v>0</v>
      </c>
      <c r="F28" s="45">
        <v>16</v>
      </c>
      <c r="G28" s="17">
        <v>-16</v>
      </c>
      <c r="H28" s="12">
        <f t="shared" si="2"/>
        <v>1444.08</v>
      </c>
      <c r="I28" s="49">
        <f t="shared" si="3"/>
        <v>1444.08</v>
      </c>
      <c r="J28" s="45">
        <f>SUMIFS(Movimientos!$J$1:$J$471,Movimientos!$C$1:$C$471,$B28,Movimientos!$D$1:$D$471,$C28,Movimientos!$L$1:$L$471,A$3,Movimientos!$F$1:$F$471,"Ingreso")</f>
        <v>0</v>
      </c>
      <c r="K28" s="45">
        <f>SUMIFS(Movimientos!$J$1:$J$471,Movimientos!$C$1:$C$471,$B28,Movimientos!$D$1:$D$471,$C28,Movimientos!$L$1:$L$471,A$3,Movimientos!$F$1:$F$471,"Egreso")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5">
        <f>SUMIFS(Movimientos!$J$1:$J$471,Movimientos!$C$1:$C$471,$B28,Movimientos!$D$1:$D$471,$C28,Movimientos!$L$1:$L$471,A$4,Movimientos!$F$1:$F$471,"Ingreso")</f>
        <v>0</v>
      </c>
      <c r="P28" s="45">
        <f>SUMIFS(Movimientos!$J$1:$J$471,Movimientos!$C$1:$C$471,$B28,Movimientos!$D$1:$D$471,$C28,Movimientos!$L$1:$L$471,A$4,Movimientos!$F$1:$F$471,"Egreso")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5">
        <v>25250</v>
      </c>
      <c r="F29" s="45">
        <v>16408.330000000002</v>
      </c>
      <c r="G29" s="17">
        <v>8841.6699999999983</v>
      </c>
      <c r="H29" s="12">
        <f t="shared" si="2"/>
        <v>35108.179999999964</v>
      </c>
      <c r="I29" s="49">
        <f t="shared" si="3"/>
        <v>35108.179999999964</v>
      </c>
      <c r="J29" s="45">
        <f>SUMIFS(Movimientos!$J$1:$J$471,Movimientos!$C$1:$C$471,$B29,Movimientos!$D$1:$D$471,$C29,Movimientos!$L$1:$L$471,A$3,Movimientos!$F$1:$F$471,"Ingreso")</f>
        <v>5250</v>
      </c>
      <c r="K29" s="45">
        <f>SUMIFS(Movimientos!$J$1:$J$471,Movimientos!$C$1:$C$471,$B29,Movimientos!$D$1:$D$471,$C29,Movimientos!$L$1:$L$471,A$3,Movimientos!$F$1:$F$471,"Egreso")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5">
        <f>SUMIFS(Movimientos!$J$1:$J$471,Movimientos!$C$1:$C$471,$B29,Movimientos!$D$1:$D$471,$C29,Movimientos!$L$1:$L$471,A$4,Movimientos!$F$1:$F$471,"Ingreso")</f>
        <v>0</v>
      </c>
      <c r="P29" s="45">
        <f>SUMIFS(Movimientos!$J$1:$J$471,Movimientos!$C$1:$C$471,$B29,Movimientos!$D$1:$D$471,$C29,Movimientos!$L$1:$L$471,A$4,Movimientos!$F$1:$F$471,"Egreso")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5">
        <v>0</v>
      </c>
      <c r="F30" s="45">
        <v>10</v>
      </c>
      <c r="G30" s="17">
        <v>-10</v>
      </c>
      <c r="H30" s="12">
        <f t="shared" si="2"/>
        <v>340.42</v>
      </c>
      <c r="I30" s="49">
        <f t="shared" si="3"/>
        <v>340.42</v>
      </c>
      <c r="J30" s="45">
        <f>SUMIFS(Movimientos!$J$1:$J$471,Movimientos!$C$1:$C$471,$B30,Movimientos!$D$1:$D$471,$C30,Movimientos!$L$1:$L$471,A$3,Movimientos!$F$1:$F$471,"Ingreso")</f>
        <v>0</v>
      </c>
      <c r="K30" s="45">
        <f>SUMIFS(Movimientos!$J$1:$J$471,Movimientos!$C$1:$C$471,$B30,Movimientos!$D$1:$D$471,$C30,Movimientos!$L$1:$L$471,A$3,Movimientos!$F$1:$F$471,"Egreso")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5">
        <f>SUMIFS(Movimientos!$J$1:$J$471,Movimientos!$C$1:$C$471,$B30,Movimientos!$D$1:$D$471,$C30,Movimientos!$L$1:$L$471,A$4,Movimientos!$F$1:$F$471,"Ingreso")</f>
        <v>0</v>
      </c>
      <c r="P30" s="45">
        <f>SUMIFS(Movimientos!$J$1:$J$471,Movimientos!$C$1:$C$471,$B30,Movimientos!$D$1:$D$471,$C30,Movimientos!$L$1:$L$471,A$4,Movimientos!$F$1:$F$471,"Egreso")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5">
        <v>16750</v>
      </c>
      <c r="F31" s="45">
        <v>11532.48</v>
      </c>
      <c r="G31" s="17">
        <v>5217.5200000000004</v>
      </c>
      <c r="H31" s="12">
        <f t="shared" si="2"/>
        <v>15120.060000000001</v>
      </c>
      <c r="I31" s="49">
        <f t="shared" si="3"/>
        <v>15120.060000000001</v>
      </c>
      <c r="J31" s="45">
        <f>SUMIFS(Movimientos!$J$1:$J$471,Movimientos!$C$1:$C$471,$B31,Movimientos!$D$1:$D$471,$C31,Movimientos!$L$1:$L$471,A$3,Movimientos!$F$1:$F$471,"Ingreso")</f>
        <v>15000</v>
      </c>
      <c r="K31" s="45">
        <f>SUMIFS(Movimientos!$J$1:$J$471,Movimientos!$C$1:$C$471,$B31,Movimientos!$D$1:$D$471,$C31,Movimientos!$L$1:$L$471,A$3,Movimientos!$F$1:$F$471,"Egreso")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5">
        <f>SUMIFS(Movimientos!$J$1:$J$471,Movimientos!$C$1:$C$471,$B31,Movimientos!$D$1:$D$471,$C31,Movimientos!$L$1:$L$471,A$4,Movimientos!$F$1:$F$471,"Ingreso")</f>
        <v>0</v>
      </c>
      <c r="P31" s="45">
        <f>SUMIFS(Movimientos!$J$1:$J$471,Movimientos!$C$1:$C$471,$B31,Movimientos!$D$1:$D$471,$C31,Movimientos!$L$1:$L$471,A$4,Movimientos!$F$1:$F$471,"Egreso")</f>
        <v>9798.6299999999992</v>
      </c>
      <c r="Q31" s="7">
        <f t="shared" si="1"/>
        <v>-9798.6299999999992</v>
      </c>
      <c r="R31" s="12">
        <f t="shared" si="6"/>
        <v>10522.800000000001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5">
        <v>21650</v>
      </c>
      <c r="F32" s="45">
        <v>13105.160000000002</v>
      </c>
      <c r="G32" s="17">
        <v>8544.8399999999983</v>
      </c>
      <c r="H32" s="12">
        <f t="shared" si="2"/>
        <v>33606.269999999997</v>
      </c>
      <c r="I32" s="49">
        <f t="shared" si="3"/>
        <v>33606.269999999997</v>
      </c>
      <c r="J32" s="45">
        <f>SUMIFS(Movimientos!$J$1:$J$471,Movimientos!$C$1:$C$471,$B32,Movimientos!$D$1:$D$471,$C32,Movimientos!$L$1:$L$471,A$3,Movimientos!$F$1:$F$471,"Ingreso")</f>
        <v>12000</v>
      </c>
      <c r="K32" s="45">
        <f>SUMIFS(Movimientos!$J$1:$J$471,Movimientos!$C$1:$C$471,$B32,Movimientos!$D$1:$D$471,$C32,Movimientos!$L$1:$L$471,A$3,Movimientos!$F$1:$F$471,"Egreso")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5">
        <f>SUMIFS(Movimientos!$J$1:$J$471,Movimientos!$C$1:$C$471,$B32,Movimientos!$D$1:$D$471,$C32,Movimientos!$L$1:$L$471,A$4,Movimientos!$F$1:$F$471,"Ingreso")</f>
        <v>4400</v>
      </c>
      <c r="P32" s="45">
        <f>SUMIFS(Movimientos!$J$1:$J$471,Movimientos!$C$1:$C$471,$B32,Movimientos!$D$1:$D$471,$C32,Movimientos!$L$1:$L$471,A$4,Movimientos!$F$1:$F$471,"Egreso")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5">
        <v>10000</v>
      </c>
      <c r="F33" s="45">
        <v>10000</v>
      </c>
      <c r="G33" s="17">
        <v>0</v>
      </c>
      <c r="H33" s="12">
        <f t="shared" si="2"/>
        <v>345</v>
      </c>
      <c r="I33" s="49">
        <f t="shared" si="3"/>
        <v>345</v>
      </c>
      <c r="J33" s="45">
        <f>SUMIFS(Movimientos!$J$1:$J$471,Movimientos!$C$1:$C$471,$B33,Movimientos!$D$1:$D$471,$C33,Movimientos!$L$1:$L$471,A$3,Movimientos!$F$1:$F$471,"Ingreso")</f>
        <v>59000</v>
      </c>
      <c r="K33" s="45">
        <f>SUMIFS(Movimientos!$J$1:$J$471,Movimientos!$C$1:$C$471,$B33,Movimientos!$D$1:$D$471,$C33,Movimientos!$L$1:$L$471,A$3,Movimientos!$F$1:$F$471,"Egreso")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5">
        <f>SUMIFS(Movimientos!$J$1:$J$471,Movimientos!$C$1:$C$471,$B33,Movimientos!$D$1:$D$471,$C33,Movimientos!$L$1:$L$471,A$4,Movimientos!$F$1:$F$471,"Ingreso")</f>
        <v>20000</v>
      </c>
      <c r="P33" s="45">
        <f>SUMIFS(Movimientos!$J$1:$J$471,Movimientos!$C$1:$C$471,$B33,Movimientos!$D$1:$D$471,$C33,Movimientos!$L$1:$L$471,A$4,Movimientos!$F$1:$F$471,"Egreso")</f>
        <v>20000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5">
        <v>55000</v>
      </c>
      <c r="F34" s="45">
        <v>59580.020000000004</v>
      </c>
      <c r="G34" s="17">
        <v>-4580.0200000000041</v>
      </c>
      <c r="H34" s="12">
        <f t="shared" si="2"/>
        <v>9076.2399999999907</v>
      </c>
      <c r="I34" s="49">
        <f t="shared" si="3"/>
        <v>9076.2399999999907</v>
      </c>
      <c r="J34" s="45">
        <f>SUMIFS(Movimientos!$J$1:$J$471,Movimientos!$C$1:$C$471,$B34,Movimientos!$D$1:$D$471,$C34,Movimientos!$L$1:$L$471,A$3,Movimientos!$F$1:$F$471,"Ingreso")</f>
        <v>59000</v>
      </c>
      <c r="K34" s="45">
        <f>SUMIFS(Movimientos!$J$1:$J$471,Movimientos!$C$1:$C$471,$B34,Movimientos!$D$1:$D$471,$C34,Movimientos!$L$1:$L$471,A$3,Movimientos!$F$1:$F$471,"Egreso")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5">
        <f>SUMIFS(Movimientos!$J$1:$J$471,Movimientos!$C$1:$C$471,$B34,Movimientos!$D$1:$D$471,$C34,Movimientos!$L$1:$L$471,A$4,Movimientos!$F$1:$F$471,"Ingreso")</f>
        <v>20000</v>
      </c>
      <c r="P34" s="45">
        <f>SUMIFS(Movimientos!$J$1:$J$471,Movimientos!$C$1:$C$471,$B34,Movimientos!$D$1:$D$471,$C34,Movimientos!$L$1:$L$471,A$4,Movimientos!$F$1:$F$471,"Egreso")</f>
        <v>26888.400000000001</v>
      </c>
      <c r="Q34" s="7">
        <f t="shared" si="1"/>
        <v>-6888.4000000000015</v>
      </c>
      <c r="R34" s="12">
        <f t="shared" si="6"/>
        <v>11691.029999999984</v>
      </c>
    </row>
    <row r="35" spans="1:18" x14ac:dyDescent="0.3">
      <c r="C35" s="37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7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4" sqref="B6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Group")+SUMIFS(Movimientos!$K$1:$K$471,Movimientos!$C$1:$C$471,"CFT Group",Movimientos!$B$1:$B$471,"&lt;="&amp;$B33)</f>
        <v>983394.14000000013</v>
      </c>
      <c r="D33" s="24">
        <f>SUMIFS('Saldos Iniciales'!$D:$D,'Saldos Iniciales'!$A:$A,"M1B")+SUMIFS(Movimientos!$K$1:$K$471,Movimientos!$C$1:$C$471,"M1B",Movimientos!$B$1:$B$471,"&lt;="&amp;$B33)</f>
        <v>69376.390000000174</v>
      </c>
      <c r="E33" s="24">
        <f>SUMIFS('Saldos Iniciales'!$D:$D,'Saldos Iniciales'!$A:$A,"Durand")+SUMIFS(Movimientos!$K$1:$K$471,Movimientos!$C$1:$C$471,"Durand",Movimientos!$B$1:$B$471,"&lt;="&amp;$B33)</f>
        <v>1669.89</v>
      </c>
      <c r="F33" s="24">
        <f>SUMIFS('Saldos Iniciales'!$D:$D,'Saldos Iniciales'!$A:$A,"A&amp;M Imports")+SUMIFS(Movimientos!$K$1:$K$471,Movimientos!$C$1:$C$471,"A&amp;M Imports",Movimientos!$B$1:$B$471,"&lt;="&amp;$B33)</f>
        <v>804853.11999999988</v>
      </c>
      <c r="G33" s="24">
        <f>SUMIFS('Saldos Iniciales'!$D:$D,'Saldos Iniciales'!$A:$A,"SSP Capital")+SUMIFS(Movimientos!$K$1:$K$471,Movimientos!$C$1:$C$471,"SSP Capital",Movimientos!$B$1:$B$471,"&lt;="&amp;$B33)</f>
        <v>1015901.6699999992</v>
      </c>
      <c r="H33" s="24">
        <f>SUMIFS('Saldos Iniciales'!$D:$D,'Saldos Iniciales'!$A:$A,"Cross Family Trust")+SUMIFS(Movimientos!$K$1:$K$471,Movimientos!$C$1:$C$471,"Cross Family Trust",Movimientos!$B$1:$B$471,"&lt;="&amp;$B33)</f>
        <v>131496.38</v>
      </c>
      <c r="I33" s="24">
        <f>SUMIFS('Saldos Iniciales'!$D:$D,'Saldos Iniciales'!$A:$A,"Cross Security Trust")+SUMIFS(Movimientos!$K$1:$K$471,Movimientos!$C$1:$C$471,"Cross Security Trust",Movimientos!$B$1:$B$471,"&lt;="&amp;$B33)</f>
        <v>88090.37</v>
      </c>
      <c r="J33" s="24">
        <f>SUMIFS('Saldos Iniciales'!$D:$D,'Saldos Iniciales'!$A:$A,"Electrama")+SUMIFS(Movimientos!$K$1:$K$471,Movimientos!$C$1:$C$471,"Electrama",Movimientos!$B$1:$B$471,"&lt;="&amp;$B33)</f>
        <v>1227.9699999999998</v>
      </c>
      <c r="K33" s="24">
        <f>SUMIFS('Saldos Iniciales'!$D:$D,'Saldos Iniciales'!$A:$A,"Sacred Valley Capital")+SUMIFS(Movimientos!$K$1:$K$471,Movimientos!$C$1:$C$471,"Sacred Valley Capital",Movimientos!$B$1:$B$471,"&lt;="&amp;$B33)</f>
        <v>84.35</v>
      </c>
      <c r="L33" s="24">
        <f>SUMIFS('Saldos Iniciales'!$D:$D,'Saldos Iniciales'!$A:$A,"YWC Capital")+SUMIFS(Movimientos!$K$1:$K$471,Movimientos!$C$1:$C$471,"YWC Capital",Movimientos!$B$1:$B$471,"&lt;="&amp;$B33)</f>
        <v>2237.77</v>
      </c>
      <c r="M33" s="24">
        <f>SUMIFS('Saldos Iniciales'!$D:$D,'Saldos Iniciales'!$A:$A,"Soweto")+SUMIFS(Movimientos!$K$1:$K$471,Movimientos!$C$1:$C$471,"Soweto",Movimientos!$B$1:$B$471,"&lt;="&amp;$B33)</f>
        <v>3349.94</v>
      </c>
      <c r="N33" s="24">
        <f>SUMIFS('Saldos Iniciales'!$D:$D,'Saldos Iniciales'!$A:$A,"Green Stone Trust")+SUMIFS(Movimientos!$K$1:$K$471,Movimientos!$C$1:$C$471,"Green Stone Trust",Movimientos!$B$1:$B$471,"&lt;="&amp;$B33)</f>
        <v>1968.99</v>
      </c>
      <c r="O33" s="24">
        <f>SUMIFS('Saldos Iniciales'!$D:$D,'Saldos Iniciales'!$A:$A,"EC Auto")+SUMIFS(Movimientos!$K$1:$K$471,Movimientos!$C$1:$C$471,"EC Auto",Movimientos!$B$1:$B$471,"&lt;="&amp;$B33)</f>
        <v>901.34</v>
      </c>
      <c r="P33" s="24">
        <f>SUMIFS('Saldos Iniciales'!$D:$D,'Saldos Iniciales'!$A:$A,"Arbor Capital Properties")+SUMIFS(Movimientos!$K$1:$K$471,Movimientos!$C$1:$C$471,"Arbor Capital Properties",Movimientos!$B$1:$B$471,"&lt;="&amp;$B33)</f>
        <v>1428.08</v>
      </c>
      <c r="Q33" s="24">
        <f>SUMIFS('Saldos Iniciales'!$D:$D,'Saldos Iniciales'!$A:$A,"2515 Overbrook")+SUMIFS(Movimientos!$K$1:$K$471,Movimientos!$C$1:$C$471,"2515 Overbrook",Movimientos!$B$1:$B$471,"&lt;="&amp;$B33)</f>
        <v>26416.26999999996</v>
      </c>
      <c r="R33" s="24">
        <f>SUMIFS('Saldos Iniciales'!$D:$D,'Saldos Iniciales'!$A:$A,"112 Florida Ave")+SUMIFS(Movimientos!$K$1:$K$471,Movimientos!$C$1:$C$471,"112 Florida Ave",Movimientos!$B$1:$B$471,"&lt;="&amp;$B33)</f>
        <v>5321.4300000000021</v>
      </c>
      <c r="S33" s="24">
        <f>SUMIFS('Saldos Iniciales'!$D:$D,'Saldos Iniciales'!$A:$A,"3628 Thomas Ave")+SUMIFS(Movimientos!$K$1:$K$471,Movimientos!$C$1:$C$471,"3628 Thomas Ave",Movimientos!$B$1:$B$471,"&lt;="&amp;$B33)</f>
        <v>24833.23</v>
      </c>
      <c r="T33" s="24">
        <f>SUMIFS('Saldos Iniciales'!$D:$D,'Saldos Iniciales'!$A:$A,"Green Harbor Trust")+SUMIFS(Movimientos!$K$1:$K$471,Movimientos!$C$1:$C$471,"Green Harbor Trust",Movimientos!$B$1:$B$471,"&lt;="&amp;$B33)</f>
        <v>345</v>
      </c>
      <c r="U33" s="24">
        <f>SUMIFS('Saldos Iniciales'!$D:$D,'Saldos Iniciales'!$A:$A,"Go Blue")+SUMIFS(Movimientos!$K$1:$K$471,Movimientos!$C$1:$C$471,"Go Blue",Movimientos!$B$1:$B$471,"&lt;="&amp;$B33)</f>
        <v>6824.47</v>
      </c>
      <c r="V33" s="25">
        <f t="shared" ref="V33:V39" si="1">SUM(C33:U33)</f>
        <v>3169720.8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Group")+SUMIFS(Movimientos!$K$1:$K$471,Movimientos!$C$1:$C$471,"CFT Group",Movimientos!$B$1:$B$471,"&lt;="&amp;$B34)</f>
        <v>983394.14000000013</v>
      </c>
      <c r="D34" s="24">
        <f>SUMIFS('Saldos Iniciales'!$D:$D,'Saldos Iniciales'!$A:$A,"M1B")+SUMIFS(Movimientos!$K$1:$K$471,Movimientos!$C$1:$C$471,"M1B",Movimientos!$B$1:$B$471,"&lt;="&amp;$B34)</f>
        <v>69376.390000000174</v>
      </c>
      <c r="E34" s="24">
        <f>SUMIFS('Saldos Iniciales'!$D:$D,'Saldos Iniciales'!$A:$A,"Durand")+SUMIFS(Movimientos!$K$1:$K$471,Movimientos!$C$1:$C$471,"Durand",Movimientos!$B$1:$B$471,"&lt;="&amp;$B34)</f>
        <v>1669.89</v>
      </c>
      <c r="F34" s="24">
        <f>SUMIFS('Saldos Iniciales'!$D:$D,'Saldos Iniciales'!$A:$A,"A&amp;M Imports")+SUMIFS(Movimientos!$K$1:$K$471,Movimientos!$C$1:$C$471,"A&amp;M Imports",Movimientos!$B$1:$B$471,"&lt;="&amp;$B34)</f>
        <v>804853.11999999988</v>
      </c>
      <c r="G34" s="24">
        <f>SUMIFS('Saldos Iniciales'!$D:$D,'Saldos Iniciales'!$A:$A,"SSP Capital")+SUMIFS(Movimientos!$K$1:$K$471,Movimientos!$C$1:$C$471,"SSP Capital",Movimientos!$B$1:$B$471,"&lt;="&amp;$B34)</f>
        <v>1015901.6699999992</v>
      </c>
      <c r="H34" s="24">
        <f>SUMIFS('Saldos Iniciales'!$D:$D,'Saldos Iniciales'!$A:$A,"Cross Family Trust")+SUMIFS(Movimientos!$K$1:$K$471,Movimientos!$C$1:$C$471,"Cross Family Trust",Movimientos!$B$1:$B$471,"&lt;="&amp;$B34)</f>
        <v>131496.38</v>
      </c>
      <c r="I34" s="24">
        <f>SUMIFS('Saldos Iniciales'!$D:$D,'Saldos Iniciales'!$A:$A,"Cross Security Trust")+SUMIFS(Movimientos!$K$1:$K$471,Movimientos!$C$1:$C$471,"Cross Security Trust",Movimientos!$B$1:$B$471,"&lt;="&amp;$B34)</f>
        <v>88090.37</v>
      </c>
      <c r="J34" s="24">
        <f>SUMIFS('Saldos Iniciales'!$D:$D,'Saldos Iniciales'!$A:$A,"Electrama")+SUMIFS(Movimientos!$K$1:$K$471,Movimientos!$C$1:$C$471,"Electrama",Movimientos!$B$1:$B$471,"&lt;="&amp;$B34)</f>
        <v>1227.9699999999998</v>
      </c>
      <c r="K34" s="24">
        <f>SUMIFS('Saldos Iniciales'!$D:$D,'Saldos Iniciales'!$A:$A,"Sacred Valley Capital")+SUMIFS(Movimientos!$K$1:$K$471,Movimientos!$C$1:$C$471,"Sacred Valley Capital",Movimientos!$B$1:$B$471,"&lt;="&amp;$B34)</f>
        <v>84.35</v>
      </c>
      <c r="L34" s="24">
        <f>SUMIFS('Saldos Iniciales'!$D:$D,'Saldos Iniciales'!$A:$A,"YWC Capital")+SUMIFS(Movimientos!$K$1:$K$471,Movimientos!$C$1:$C$471,"YWC Capital",Movimientos!$B$1:$B$471,"&lt;="&amp;$B34)</f>
        <v>2237.77</v>
      </c>
      <c r="M34" s="24">
        <f>SUMIFS('Saldos Iniciales'!$D:$D,'Saldos Iniciales'!$A:$A,"Soweto")+SUMIFS(Movimientos!$K$1:$K$471,Movimientos!$C$1:$C$471,"Soweto",Movimientos!$B$1:$B$471,"&lt;="&amp;$B34)</f>
        <v>3349.94</v>
      </c>
      <c r="N34" s="24">
        <f>SUMIFS('Saldos Iniciales'!$D:$D,'Saldos Iniciales'!$A:$A,"Green Stone Trust")+SUMIFS(Movimientos!$K$1:$K$471,Movimientos!$C$1:$C$471,"Green Stone Trust",Movimientos!$B$1:$B$471,"&lt;="&amp;$B34)</f>
        <v>1968.99</v>
      </c>
      <c r="O34" s="24">
        <f>SUMIFS('Saldos Iniciales'!$D:$D,'Saldos Iniciales'!$A:$A,"EC Auto")+SUMIFS(Movimientos!$K$1:$K$471,Movimientos!$C$1:$C$471,"EC Auto",Movimientos!$B$1:$B$471,"&lt;="&amp;$B34)</f>
        <v>901.34</v>
      </c>
      <c r="P34" s="24">
        <f>SUMIFS('Saldos Iniciales'!$D:$D,'Saldos Iniciales'!$A:$A,"Arbor Capital Properties")+SUMIFS(Movimientos!$K$1:$K$471,Movimientos!$C$1:$C$471,"Arbor Capital Properties",Movimientos!$B$1:$B$471,"&lt;="&amp;$B34)</f>
        <v>1428.08</v>
      </c>
      <c r="Q34" s="24">
        <f>SUMIFS('Saldos Iniciales'!$D:$D,'Saldos Iniciales'!$A:$A,"2515 Overbrook")+SUMIFS(Movimientos!$K$1:$K$471,Movimientos!$C$1:$C$471,"2515 Overbrook",Movimientos!$B$1:$B$471,"&lt;="&amp;$B34)</f>
        <v>25789.969999999961</v>
      </c>
      <c r="R34" s="24">
        <f>SUMIFS('Saldos Iniciales'!$D:$D,'Saldos Iniciales'!$A:$A,"112 Florida Ave")+SUMIFS(Movimientos!$K$1:$K$471,Movimientos!$C$1:$C$471,"112 Florida Ave",Movimientos!$B$1:$B$471,"&lt;="&amp;$B34)</f>
        <v>5321.4300000000021</v>
      </c>
      <c r="S34" s="24">
        <f>SUMIFS('Saldos Iniciales'!$D:$D,'Saldos Iniciales'!$A:$A,"3628 Thomas Ave")+SUMIFS(Movimientos!$K$1:$K$471,Movimientos!$C$1:$C$471,"3628 Thomas Ave",Movimientos!$B$1:$B$471,"&lt;="&amp;$B34)</f>
        <v>24833.23</v>
      </c>
      <c r="T34" s="24">
        <f>SUMIFS('Saldos Iniciales'!$D:$D,'Saldos Iniciales'!$A:$A,"Green Harbor Trust")+SUMIFS(Movimientos!$K$1:$K$471,Movimientos!$C$1:$C$471,"Green Harbor Trust",Movimientos!$B$1:$B$471,"&lt;="&amp;$B34)</f>
        <v>345</v>
      </c>
      <c r="U34" s="24">
        <f>SUMIFS('Saldos Iniciales'!$D:$D,'Saldos Iniciales'!$A:$A,"Go Blue")+SUMIFS(Movimientos!$K$1:$K$471,Movimientos!$C$1:$C$471,"Go Blue",Movimientos!$B$1:$B$471,"&lt;="&amp;$B34)</f>
        <v>3514.8900000000012</v>
      </c>
      <c r="V34" s="25">
        <f t="shared" si="1"/>
        <v>3165784.9199999995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Group")+SUMIFS(Movimientos!$K$1:$K$471,Movimientos!$C$1:$C$471,"CFT Group",Movimientos!$B$1:$B$471,"&lt;="&amp;$B35)</f>
        <v>983394.14000000013</v>
      </c>
      <c r="D35" s="24">
        <f>SUMIFS('Saldos Iniciales'!$D:$D,'Saldos Iniciales'!$A:$A,"M1B")+SUMIFS(Movimientos!$K$1:$K$471,Movimientos!$C$1:$C$471,"M1B",Movimientos!$B$1:$B$471,"&lt;="&amp;$B35)</f>
        <v>69376.390000000174</v>
      </c>
      <c r="E35" s="24">
        <f>SUMIFS('Saldos Iniciales'!$D:$D,'Saldos Iniciales'!$A:$A,"Durand")+SUMIFS(Movimientos!$K$1:$K$471,Movimientos!$C$1:$C$471,"Durand",Movimientos!$B$1:$B$471,"&lt;="&amp;$B35)</f>
        <v>1669.89</v>
      </c>
      <c r="F35" s="24">
        <f>SUMIFS('Saldos Iniciales'!$D:$D,'Saldos Iniciales'!$A:$A,"A&amp;M Imports")+SUMIFS(Movimientos!$K$1:$K$471,Movimientos!$C$1:$C$471,"A&amp;M Imports",Movimientos!$B$1:$B$471,"&lt;="&amp;$B35)</f>
        <v>804853.11999999988</v>
      </c>
      <c r="G35" s="24">
        <f>SUMIFS('Saldos Iniciales'!$D:$D,'Saldos Iniciales'!$A:$A,"SSP Capital")+SUMIFS(Movimientos!$K$1:$K$471,Movimientos!$C$1:$C$471,"SSP Capital",Movimientos!$B$1:$B$471,"&lt;="&amp;$B35)</f>
        <v>1015611.6599999993</v>
      </c>
      <c r="H35" s="24">
        <f>SUMIFS('Saldos Iniciales'!$D:$D,'Saldos Iniciales'!$A:$A,"Cross Family Trust")+SUMIFS(Movimientos!$K$1:$K$471,Movimientos!$C$1:$C$471,"Cross Family Trust",Movimientos!$B$1:$B$471,"&lt;="&amp;$B35)</f>
        <v>125496.38</v>
      </c>
      <c r="I35" s="24">
        <f>SUMIFS('Saldos Iniciales'!$D:$D,'Saldos Iniciales'!$A:$A,"Cross Security Trust")+SUMIFS(Movimientos!$K$1:$K$471,Movimientos!$C$1:$C$471,"Cross Security Trust",Movimientos!$B$1:$B$471,"&lt;="&amp;$B35)</f>
        <v>88090.37</v>
      </c>
      <c r="J35" s="24">
        <f>SUMIFS('Saldos Iniciales'!$D:$D,'Saldos Iniciales'!$A:$A,"Electrama")+SUMIFS(Movimientos!$K$1:$K$471,Movimientos!$C$1:$C$471,"Electrama",Movimientos!$B$1:$B$471,"&lt;="&amp;$B35)</f>
        <v>1227.9699999999998</v>
      </c>
      <c r="K35" s="24">
        <f>SUMIFS('Saldos Iniciales'!$D:$D,'Saldos Iniciales'!$A:$A,"Sacred Valley Capital")+SUMIFS(Movimientos!$K$1:$K$471,Movimientos!$C$1:$C$471,"Sacred Valley Capital",Movimientos!$B$1:$B$471,"&lt;="&amp;$B35)</f>
        <v>84.35</v>
      </c>
      <c r="L35" s="24">
        <f>SUMIFS('Saldos Iniciales'!$D:$D,'Saldos Iniciales'!$A:$A,"YWC Capital")+SUMIFS(Movimientos!$K$1:$K$471,Movimientos!$C$1:$C$471,"YWC Capital",Movimientos!$B$1:$B$471,"&lt;="&amp;$B35)</f>
        <v>2237.77</v>
      </c>
      <c r="M35" s="24">
        <f>SUMIFS('Saldos Iniciales'!$D:$D,'Saldos Iniciales'!$A:$A,"Soweto")+SUMIFS(Movimientos!$K$1:$K$471,Movimientos!$C$1:$C$471,"Soweto",Movimientos!$B$1:$B$471,"&lt;="&amp;$B35)</f>
        <v>3349.94</v>
      </c>
      <c r="N35" s="24">
        <f>SUMIFS('Saldos Iniciales'!$D:$D,'Saldos Iniciales'!$A:$A,"Green Stone Trust")+SUMIFS(Movimientos!$K$1:$K$471,Movimientos!$C$1:$C$471,"Green Stone Trust",Movimientos!$B$1:$B$471,"&lt;="&amp;$B35)</f>
        <v>1968.99</v>
      </c>
      <c r="O35" s="24">
        <f>SUMIFS('Saldos Iniciales'!$D:$D,'Saldos Iniciales'!$A:$A,"EC Auto")+SUMIFS(Movimientos!$K$1:$K$471,Movimientos!$C$1:$C$471,"EC Auto",Movimientos!$B$1:$B$471,"&lt;="&amp;$B35)</f>
        <v>901.34</v>
      </c>
      <c r="P35" s="24">
        <f>SUMIFS('Saldos Iniciales'!$D:$D,'Saldos Iniciales'!$A:$A,"Arbor Capital Properties")+SUMIFS(Movimientos!$K$1:$K$471,Movimientos!$C$1:$C$471,"Arbor Capital Properties",Movimientos!$B$1:$B$471,"&lt;="&amp;$B35)</f>
        <v>1428.08</v>
      </c>
      <c r="Q35" s="24">
        <f>SUMIFS('Saldos Iniciales'!$D:$D,'Saldos Iniciales'!$A:$A,"2515 Overbrook")+SUMIFS(Movimientos!$K$1:$K$471,Movimientos!$C$1:$C$471,"2515 Overbrook",Movimientos!$B$1:$B$471,"&lt;="&amp;$B35)</f>
        <v>25789.969999999961</v>
      </c>
      <c r="R35" s="24">
        <f>SUMIFS('Saldos Iniciales'!$D:$D,'Saldos Iniciales'!$A:$A,"112 Florida Ave")+SUMIFS(Movimientos!$K$1:$K$471,Movimientos!$C$1:$C$471,"112 Florida Ave",Movimientos!$B$1:$B$471,"&lt;="&amp;$B35)</f>
        <v>5321.4300000000021</v>
      </c>
      <c r="S35" s="24">
        <f>SUMIFS('Saldos Iniciales'!$D:$D,'Saldos Iniciales'!$A:$A,"3628 Thomas Ave")+SUMIFS(Movimientos!$K$1:$K$471,Movimientos!$C$1:$C$471,"3628 Thomas Ave",Movimientos!$B$1:$B$471,"&lt;="&amp;$B35)</f>
        <v>24833.23</v>
      </c>
      <c r="T35" s="24">
        <f>SUMIFS('Saldos Iniciales'!$D:$D,'Saldos Iniciales'!$A:$A,"Green Harbor Trust")+SUMIFS(Movimientos!$K$1:$K$471,Movimientos!$C$1:$C$471,"Green Harbor Trust",Movimientos!$B$1:$B$471,"&lt;="&amp;$B35)</f>
        <v>345</v>
      </c>
      <c r="U35" s="24">
        <f>SUMIFS('Saldos Iniciales'!$D:$D,'Saldos Iniciales'!$A:$A,"Go Blue")+SUMIFS(Movimientos!$K$1:$K$471,Movimientos!$C$1:$C$471,"Go Blue",Movimientos!$B$1:$B$471,"&lt;="&amp;$B35)</f>
        <v>3514.8900000000012</v>
      </c>
      <c r="V35" s="25">
        <f t="shared" si="1"/>
        <v>3159494.9099999997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Group")+SUMIFS(Movimientos!$K$1:$K$471,Movimientos!$C$1:$C$471,"CFT Group",Movimientos!$B$1:$B$471,"&lt;="&amp;$B36)</f>
        <v>733394.14000000013</v>
      </c>
      <c r="D36" s="24">
        <f>SUMIFS('Saldos Iniciales'!$D:$D,'Saldos Iniciales'!$A:$A,"M1B")+SUMIFS(Movimientos!$K$1:$K$471,Movimientos!$C$1:$C$471,"M1B",Movimientos!$B$1:$B$471,"&lt;="&amp;$B36)</f>
        <v>69376.390000000174</v>
      </c>
      <c r="E36" s="24">
        <f>SUMIFS('Saldos Iniciales'!$D:$D,'Saldos Iniciales'!$A:$A,"Durand")+SUMIFS(Movimientos!$K$1:$K$471,Movimientos!$C$1:$C$471,"Durand",Movimientos!$B$1:$B$471,"&lt;="&amp;$B36)</f>
        <v>1669.89</v>
      </c>
      <c r="F36" s="24">
        <f>SUMIFS('Saldos Iniciales'!$D:$D,'Saldos Iniciales'!$A:$A,"A&amp;M Imports")+SUMIFS(Movimientos!$K$1:$K$471,Movimientos!$C$1:$C$471,"A&amp;M Imports",Movimientos!$B$1:$B$471,"&lt;="&amp;$B36)</f>
        <v>729545.23999999987</v>
      </c>
      <c r="G36" s="24">
        <f>SUMIFS('Saldos Iniciales'!$D:$D,'Saldos Iniciales'!$A:$A,"SSP Capital")+SUMIFS(Movimientos!$K$1:$K$471,Movimientos!$C$1:$C$471,"SSP Capital",Movimientos!$B$1:$B$471,"&lt;="&amp;$B36)</f>
        <v>1171714.4499999993</v>
      </c>
      <c r="H36" s="24">
        <f>SUMIFS('Saldos Iniciales'!$D:$D,'Saldos Iniciales'!$A:$A,"Cross Family Trust")+SUMIFS(Movimientos!$K$1:$K$471,Movimientos!$C$1:$C$471,"Cross Family Trust",Movimientos!$B$1:$B$471,"&lt;="&amp;$B36)</f>
        <v>116496.38</v>
      </c>
      <c r="I36" s="24">
        <f>SUMIFS('Saldos Iniciales'!$D:$D,'Saldos Iniciales'!$A:$A,"Cross Security Trust")+SUMIFS(Movimientos!$K$1:$K$471,Movimientos!$C$1:$C$471,"Cross Security Trust",Movimientos!$B$1:$B$471,"&lt;="&amp;$B36)</f>
        <v>88090.37</v>
      </c>
      <c r="J36" s="24">
        <f>SUMIFS('Saldos Iniciales'!$D:$D,'Saldos Iniciales'!$A:$A,"Electrama")+SUMIFS(Movimientos!$K$1:$K$471,Movimientos!$C$1:$C$471,"Electrama",Movimientos!$B$1:$B$471,"&lt;="&amp;$B36)</f>
        <v>1227.9699999999998</v>
      </c>
      <c r="K36" s="24">
        <f>SUMIFS('Saldos Iniciales'!$D:$D,'Saldos Iniciales'!$A:$A,"Sacred Valley Capital")+SUMIFS(Movimientos!$K$1:$K$471,Movimientos!$C$1:$C$471,"Sacred Valley Capital",Movimientos!$B$1:$B$471,"&lt;="&amp;$B36)</f>
        <v>84.35</v>
      </c>
      <c r="L36" s="24">
        <f>SUMIFS('Saldos Iniciales'!$D:$D,'Saldos Iniciales'!$A:$A,"YWC Capital")+SUMIFS(Movimientos!$K$1:$K$471,Movimientos!$C$1:$C$471,"YWC Capital",Movimientos!$B$1:$B$471,"&lt;="&amp;$B36)</f>
        <v>2237.77</v>
      </c>
      <c r="M36" s="24">
        <f>SUMIFS('Saldos Iniciales'!$D:$D,'Saldos Iniciales'!$A:$A,"Soweto")+SUMIFS(Movimientos!$K$1:$K$471,Movimientos!$C$1:$C$471,"Soweto",Movimientos!$B$1:$B$471,"&lt;="&amp;$B36)</f>
        <v>3349.94</v>
      </c>
      <c r="N36" s="24">
        <f>SUMIFS('Saldos Iniciales'!$D:$D,'Saldos Iniciales'!$A:$A,"Green Stone Trust")+SUMIFS(Movimientos!$K$1:$K$471,Movimientos!$C$1:$C$471,"Green Stone Trust",Movimientos!$B$1:$B$471,"&lt;="&amp;$B36)</f>
        <v>1968.99</v>
      </c>
      <c r="O36" s="24">
        <f>SUMIFS('Saldos Iniciales'!$D:$D,'Saldos Iniciales'!$A:$A,"EC Auto")+SUMIFS(Movimientos!$K$1:$K$471,Movimientos!$C$1:$C$471,"EC Auto",Movimientos!$B$1:$B$471,"&lt;="&amp;$B36)</f>
        <v>382.69000000000005</v>
      </c>
      <c r="P36" s="24">
        <f>SUMIFS('Saldos Iniciales'!$D:$D,'Saldos Iniciales'!$A:$A,"Arbor Capital Properties")+SUMIFS(Movimientos!$K$1:$K$471,Movimientos!$C$1:$C$471,"Arbor Capital Properties",Movimientos!$B$1:$B$471,"&lt;="&amp;$B36)</f>
        <v>1428.08</v>
      </c>
      <c r="Q36" s="24">
        <f>SUMIFS('Saldos Iniciales'!$D:$D,'Saldos Iniciales'!$A:$A,"2515 Overbrook")+SUMIFS(Movimientos!$K$1:$K$471,Movimientos!$C$1:$C$471,"2515 Overbrook",Movimientos!$B$1:$B$471,"&lt;="&amp;$B36)</f>
        <v>25789.969999999961</v>
      </c>
      <c r="R36" s="24">
        <f>SUMIFS('Saldos Iniciales'!$D:$D,'Saldos Iniciales'!$A:$A,"112 Florida Ave")+SUMIFS(Movimientos!$K$1:$K$471,Movimientos!$C$1:$C$471,"112 Florida Ave",Movimientos!$B$1:$B$471,"&lt;="&amp;$B36)</f>
        <v>5321.4300000000021</v>
      </c>
      <c r="S36" s="24">
        <f>SUMIFS('Saldos Iniciales'!$D:$D,'Saldos Iniciales'!$A:$A,"3628 Thomas Ave")+SUMIFS(Movimientos!$K$1:$K$471,Movimientos!$C$1:$C$471,"3628 Thomas Ave",Movimientos!$B$1:$B$471,"&lt;="&amp;$B36)</f>
        <v>24833.23</v>
      </c>
      <c r="T36" s="24">
        <f>SUMIFS('Saldos Iniciales'!$D:$D,'Saldos Iniciales'!$A:$A,"Green Harbor Trust")+SUMIFS(Movimientos!$K$1:$K$471,Movimientos!$C$1:$C$471,"Green Harbor Trust",Movimientos!$B$1:$B$471,"&lt;="&amp;$B36)</f>
        <v>345</v>
      </c>
      <c r="U36" s="24">
        <f>SUMIFS('Saldos Iniciales'!$D:$D,'Saldos Iniciales'!$A:$A,"Go Blue")+SUMIFS(Movimientos!$K$1:$K$471,Movimientos!$C$1:$C$471,"Go Blue",Movimientos!$B$1:$B$471,"&lt;="&amp;$B36)</f>
        <v>2422.7400000000034</v>
      </c>
      <c r="V36" s="25">
        <f t="shared" si="1"/>
        <v>2979679.02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Group")+SUMIFS(Movimientos!$K$1:$K$471,Movimientos!$C$1:$C$471,"CFT Group",Movimientos!$B$1:$B$471,"&lt;="&amp;$B37)</f>
        <v>733394.14000000013</v>
      </c>
      <c r="D37" s="24">
        <f>SUMIFS('Saldos Iniciales'!$D:$D,'Saldos Iniciales'!$A:$A,"M1B")+SUMIFS(Movimientos!$K$1:$K$471,Movimientos!$C$1:$C$471,"M1B",Movimientos!$B$1:$B$471,"&lt;="&amp;$B37)</f>
        <v>69376.390000000174</v>
      </c>
      <c r="E37" s="24">
        <f>SUMIFS('Saldos Iniciales'!$D:$D,'Saldos Iniciales'!$A:$A,"Durand")+SUMIFS(Movimientos!$K$1:$K$471,Movimientos!$C$1:$C$471,"Durand",Movimientos!$B$1:$B$471,"&lt;="&amp;$B37)</f>
        <v>1669.89</v>
      </c>
      <c r="F37" s="24">
        <f>SUMIFS('Saldos Iniciales'!$D:$D,'Saldos Iniciales'!$A:$A,"A&amp;M Imports")+SUMIFS(Movimientos!$K$1:$K$471,Movimientos!$C$1:$C$471,"A&amp;M Imports",Movimientos!$B$1:$B$471,"&lt;="&amp;$B37)</f>
        <v>729545.23999999987</v>
      </c>
      <c r="G37" s="24">
        <f>SUMIFS('Saldos Iniciales'!$D:$D,'Saldos Iniciales'!$A:$A,"SSP Capital")+SUMIFS(Movimientos!$K$1:$K$471,Movimientos!$C$1:$C$471,"SSP Capital",Movimientos!$B$1:$B$471,"&lt;="&amp;$B37)</f>
        <v>1164028.3199999994</v>
      </c>
      <c r="H37" s="24">
        <f>SUMIFS('Saldos Iniciales'!$D:$D,'Saldos Iniciales'!$A:$A,"Cross Family Trust")+SUMIFS(Movimientos!$K$1:$K$471,Movimientos!$C$1:$C$471,"Cross Family Trust",Movimientos!$B$1:$B$471,"&lt;="&amp;$B37)</f>
        <v>116496.38</v>
      </c>
      <c r="I37" s="24">
        <f>SUMIFS('Saldos Iniciales'!$D:$D,'Saldos Iniciales'!$A:$A,"Cross Security Trust")+SUMIFS(Movimientos!$K$1:$K$471,Movimientos!$C$1:$C$471,"Cross Security Trust",Movimientos!$B$1:$B$471,"&lt;="&amp;$B37)</f>
        <v>88090.37</v>
      </c>
      <c r="J37" s="24">
        <f>SUMIFS('Saldos Iniciales'!$D:$D,'Saldos Iniciales'!$A:$A,"Electrama")+SUMIFS(Movimientos!$K$1:$K$471,Movimientos!$C$1:$C$471,"Electrama",Movimientos!$B$1:$B$471,"&lt;="&amp;$B37)</f>
        <v>1227.9699999999998</v>
      </c>
      <c r="K37" s="24">
        <f>SUMIFS('Saldos Iniciales'!$D:$D,'Saldos Iniciales'!$A:$A,"Sacred Valley Capital")+SUMIFS(Movimientos!$K$1:$K$471,Movimientos!$C$1:$C$471,"Sacred Valley Capital",Movimientos!$B$1:$B$471,"&lt;="&amp;$B37)</f>
        <v>84.35</v>
      </c>
      <c r="L37" s="24">
        <f>SUMIFS('Saldos Iniciales'!$D:$D,'Saldos Iniciales'!$A:$A,"YWC Capital")+SUMIFS(Movimientos!$K$1:$K$471,Movimientos!$C$1:$C$471,"YWC Capital",Movimientos!$B$1:$B$471,"&lt;="&amp;$B37)</f>
        <v>2237.77</v>
      </c>
      <c r="M37" s="24">
        <f>SUMIFS('Saldos Iniciales'!$D:$D,'Saldos Iniciales'!$A:$A,"Soweto")+SUMIFS(Movimientos!$K$1:$K$471,Movimientos!$C$1:$C$471,"Soweto",Movimientos!$B$1:$B$471,"&lt;="&amp;$B37)</f>
        <v>3349.94</v>
      </c>
      <c r="N37" s="24">
        <f>SUMIFS('Saldos Iniciales'!$D:$D,'Saldos Iniciales'!$A:$A,"Green Stone Trust")+SUMIFS(Movimientos!$K$1:$K$471,Movimientos!$C$1:$C$471,"Green Stone Trust",Movimientos!$B$1:$B$471,"&lt;="&amp;$B37)</f>
        <v>1968.99</v>
      </c>
      <c r="O37" s="24">
        <f>SUMIFS('Saldos Iniciales'!$D:$D,'Saldos Iniciales'!$A:$A,"EC Auto")+SUMIFS(Movimientos!$K$1:$K$471,Movimientos!$C$1:$C$471,"EC Auto",Movimientos!$B$1:$B$471,"&lt;="&amp;$B37)</f>
        <v>382.69000000000005</v>
      </c>
      <c r="P37" s="24">
        <f>SUMIFS('Saldos Iniciales'!$D:$D,'Saldos Iniciales'!$A:$A,"Arbor Capital Properties")+SUMIFS(Movimientos!$K$1:$K$471,Movimientos!$C$1:$C$471,"Arbor Capital Properties",Movimientos!$B$1:$B$471,"&lt;="&amp;$B37)</f>
        <v>1428.08</v>
      </c>
      <c r="Q37" s="24">
        <f>SUMIFS('Saldos Iniciales'!$D:$D,'Saldos Iniciales'!$A:$A,"2515 Overbrook")+SUMIFS(Movimientos!$K$1:$K$471,Movimientos!$C$1:$C$471,"2515 Overbrook",Movimientos!$B$1:$B$471,"&lt;="&amp;$B37)</f>
        <v>25789.969999999961</v>
      </c>
      <c r="R37" s="24">
        <f>SUMIFS('Saldos Iniciales'!$D:$D,'Saldos Iniciales'!$A:$A,"112 Florida Ave")+SUMIFS(Movimientos!$K$1:$K$471,Movimientos!$C$1:$C$471,"112 Florida Ave",Movimientos!$B$1:$B$471,"&lt;="&amp;$B37)</f>
        <v>5321.4300000000021</v>
      </c>
      <c r="S37" s="24">
        <f>SUMIFS('Saldos Iniciales'!$D:$D,'Saldos Iniciales'!$A:$A,"3628 Thomas Ave")+SUMIFS(Movimientos!$K$1:$K$471,Movimientos!$C$1:$C$471,"3628 Thomas Ave",Movimientos!$B$1:$B$471,"&lt;="&amp;$B37)</f>
        <v>24833.23</v>
      </c>
      <c r="T37" s="24">
        <f>SUMIFS('Saldos Iniciales'!$D:$D,'Saldos Iniciales'!$A:$A,"Green Harbor Trust")+SUMIFS(Movimientos!$K$1:$K$471,Movimientos!$C$1:$C$471,"Green Harbor Trust",Movimientos!$B$1:$B$471,"&lt;="&amp;$B37)</f>
        <v>345</v>
      </c>
      <c r="U37" s="24">
        <f>SUMIFS('Saldos Iniciales'!$D:$D,'Saldos Iniciales'!$A:$A,"Go Blue")+SUMIFS(Movimientos!$K$1:$K$471,Movimientos!$C$1:$C$471,"Go Blue",Movimientos!$B$1:$B$471,"&lt;="&amp;$B37)</f>
        <v>2422.7400000000034</v>
      </c>
      <c r="V37" s="25">
        <f t="shared" si="1"/>
        <v>2971992.89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Group")+SUMIFS(Movimientos!$K$1:$K$471,Movimientos!$C$1:$C$471,"CFT Group",Movimientos!$B$1:$B$471,"&lt;="&amp;$B38)</f>
        <v>733394.14000000013</v>
      </c>
      <c r="D38" s="24">
        <f>SUMIFS('Saldos Iniciales'!$D:$D,'Saldos Iniciales'!$A:$A,"M1B")+SUMIFS(Movimientos!$K$1:$K$471,Movimientos!$C$1:$C$471,"M1B",Movimientos!$B$1:$B$471,"&lt;="&amp;$B38)</f>
        <v>69376.390000000174</v>
      </c>
      <c r="E38" s="24">
        <f>SUMIFS('Saldos Iniciales'!$D:$D,'Saldos Iniciales'!$A:$A,"Durand")+SUMIFS(Movimientos!$K$1:$K$471,Movimientos!$C$1:$C$471,"Durand",Movimientos!$B$1:$B$471,"&lt;="&amp;$B38)</f>
        <v>1669.89</v>
      </c>
      <c r="F38" s="24">
        <f>SUMIFS('Saldos Iniciales'!$D:$D,'Saldos Iniciales'!$A:$A,"A&amp;M Imports")+SUMIFS(Movimientos!$K$1:$K$471,Movimientos!$C$1:$C$471,"A&amp;M Imports",Movimientos!$B$1:$B$471,"&lt;="&amp;$B38)</f>
        <v>729545.23999999987</v>
      </c>
      <c r="G38" s="24">
        <f>SUMIFS('Saldos Iniciales'!$D:$D,'Saldos Iniciales'!$A:$A,"SSP Capital")+SUMIFS(Movimientos!$K$1:$K$471,Movimientos!$C$1:$C$471,"SSP Capital",Movimientos!$B$1:$B$471,"&lt;="&amp;$B38)</f>
        <v>1164028.3199999994</v>
      </c>
      <c r="H38" s="24">
        <f>SUMIFS('Saldos Iniciales'!$D:$D,'Saldos Iniciales'!$A:$A,"Cross Family Trust")+SUMIFS(Movimientos!$K$1:$K$471,Movimientos!$C$1:$C$471,"Cross Family Trust",Movimientos!$B$1:$B$471,"&lt;="&amp;$B38)</f>
        <v>116496.38</v>
      </c>
      <c r="I38" s="24">
        <f>SUMIFS('Saldos Iniciales'!$D:$D,'Saldos Iniciales'!$A:$A,"Cross Security Trust")+SUMIFS(Movimientos!$K$1:$K$471,Movimientos!$C$1:$C$471,"Cross Security Trust",Movimientos!$B$1:$B$471,"&lt;="&amp;$B38)</f>
        <v>88090.37</v>
      </c>
      <c r="J38" s="24">
        <f>SUMIFS('Saldos Iniciales'!$D:$D,'Saldos Iniciales'!$A:$A,"Electrama")+SUMIFS(Movimientos!$K$1:$K$471,Movimientos!$C$1:$C$471,"Electrama",Movimientos!$B$1:$B$471,"&lt;="&amp;$B38)</f>
        <v>1227.9699999999998</v>
      </c>
      <c r="K38" s="24">
        <f>SUMIFS('Saldos Iniciales'!$D:$D,'Saldos Iniciales'!$A:$A,"Sacred Valley Capital")+SUMIFS(Movimientos!$K$1:$K$471,Movimientos!$C$1:$C$471,"Sacred Valley Capital",Movimientos!$B$1:$B$471,"&lt;="&amp;$B38)</f>
        <v>84.35</v>
      </c>
      <c r="L38" s="24">
        <f>SUMIFS('Saldos Iniciales'!$D:$D,'Saldos Iniciales'!$A:$A,"YWC Capital")+SUMIFS(Movimientos!$K$1:$K$471,Movimientos!$C$1:$C$471,"YWC Capital",Movimientos!$B$1:$B$471,"&lt;="&amp;$B38)</f>
        <v>2237.77</v>
      </c>
      <c r="M38" s="24">
        <f>SUMIFS('Saldos Iniciales'!$D:$D,'Saldos Iniciales'!$A:$A,"Soweto")+SUMIFS(Movimientos!$K$1:$K$471,Movimientos!$C$1:$C$471,"Soweto",Movimientos!$B$1:$B$471,"&lt;="&amp;$B38)</f>
        <v>3349.94</v>
      </c>
      <c r="N38" s="24">
        <f>SUMIFS('Saldos Iniciales'!$D:$D,'Saldos Iniciales'!$A:$A,"Green Stone Trust")+SUMIFS(Movimientos!$K$1:$K$471,Movimientos!$C$1:$C$471,"Green Stone Trust",Movimientos!$B$1:$B$471,"&lt;="&amp;$B38)</f>
        <v>1968.99</v>
      </c>
      <c r="O38" s="24">
        <f>SUMIFS('Saldos Iniciales'!$D:$D,'Saldos Iniciales'!$A:$A,"EC Auto")+SUMIFS(Movimientos!$K$1:$K$471,Movimientos!$C$1:$C$471,"EC Auto",Movimientos!$B$1:$B$471,"&lt;="&amp;$B38)</f>
        <v>382.69000000000005</v>
      </c>
      <c r="P38" s="24">
        <f>SUMIFS('Saldos Iniciales'!$D:$D,'Saldos Iniciales'!$A:$A,"Arbor Capital Properties")+SUMIFS(Movimientos!$K$1:$K$471,Movimientos!$C$1:$C$471,"Arbor Capital Properties",Movimientos!$B$1:$B$471,"&lt;="&amp;$B38)</f>
        <v>1428.08</v>
      </c>
      <c r="Q38" s="24">
        <f>SUMIFS('Saldos Iniciales'!$D:$D,'Saldos Iniciales'!$A:$A,"2515 Overbrook")+SUMIFS(Movimientos!$K$1:$K$471,Movimientos!$C$1:$C$471,"2515 Overbrook",Movimientos!$B$1:$B$471,"&lt;="&amp;$B38)</f>
        <v>25789.969999999961</v>
      </c>
      <c r="R38" s="24">
        <f>SUMIFS('Saldos Iniciales'!$D:$D,'Saldos Iniciales'!$A:$A,"112 Florida Ave")+SUMIFS(Movimientos!$K$1:$K$471,Movimientos!$C$1:$C$471,"112 Florida Ave",Movimientos!$B$1:$B$471,"&lt;="&amp;$B38)</f>
        <v>5321.4300000000021</v>
      </c>
      <c r="S38" s="24">
        <f>SUMIFS('Saldos Iniciales'!$D:$D,'Saldos Iniciales'!$A:$A,"3628 Thomas Ave")+SUMIFS(Movimientos!$K$1:$K$471,Movimientos!$C$1:$C$471,"3628 Thomas Ave",Movimientos!$B$1:$B$471,"&lt;="&amp;$B38)</f>
        <v>24833.23</v>
      </c>
      <c r="T38" s="24">
        <f>SUMIFS('Saldos Iniciales'!$D:$D,'Saldos Iniciales'!$A:$A,"Green Harbor Trust")+SUMIFS(Movimientos!$K$1:$K$471,Movimientos!$C$1:$C$471,"Green Harbor Trust",Movimientos!$B$1:$B$471,"&lt;="&amp;$B38)</f>
        <v>345</v>
      </c>
      <c r="U38" s="24">
        <f>SUMIFS('Saldos Iniciales'!$D:$D,'Saldos Iniciales'!$A:$A,"Go Blue")+SUMIFS(Movimientos!$K$1:$K$471,Movimientos!$C$1:$C$471,"Go Blue",Movimientos!$B$1:$B$471,"&lt;="&amp;$B38)</f>
        <v>2422.7400000000034</v>
      </c>
      <c r="V38" s="25">
        <f t="shared" si="1"/>
        <v>2971992.89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Group")+SUMIFS(Movimientos!$K$1:$K$471,Movimientos!$C$1:$C$471,"CFT Group",Movimientos!$B$1:$B$471,"&lt;="&amp;$B39)</f>
        <v>733394.14000000013</v>
      </c>
      <c r="D39" s="24">
        <f>SUMIFS('Saldos Iniciales'!$D:$D,'Saldos Iniciales'!$A:$A,"M1B")+SUMIFS(Movimientos!$K$1:$K$471,Movimientos!$C$1:$C$471,"M1B",Movimientos!$B$1:$B$471,"&lt;="&amp;$B39)</f>
        <v>69376.390000000174</v>
      </c>
      <c r="E39" s="24">
        <f>SUMIFS('Saldos Iniciales'!$D:$D,'Saldos Iniciales'!$A:$A,"Durand")+SUMIFS(Movimientos!$K$1:$K$471,Movimientos!$C$1:$C$471,"Durand",Movimientos!$B$1:$B$471,"&lt;="&amp;$B39)</f>
        <v>1669.89</v>
      </c>
      <c r="F39" s="24">
        <f>SUMIFS('Saldos Iniciales'!$D:$D,'Saldos Iniciales'!$A:$A,"A&amp;M Imports")+SUMIFS(Movimientos!$K$1:$K$471,Movimientos!$C$1:$C$471,"A&amp;M Imports",Movimientos!$B$1:$B$471,"&lt;="&amp;$B39)</f>
        <v>729545.23999999987</v>
      </c>
      <c r="G39" s="24">
        <f>SUMIFS('Saldos Iniciales'!$D:$D,'Saldos Iniciales'!$A:$A,"SSP Capital")+SUMIFS(Movimientos!$K$1:$K$471,Movimientos!$C$1:$C$471,"SSP Capital",Movimientos!$B$1:$B$471,"&lt;="&amp;$B39)</f>
        <v>1164028.3199999994</v>
      </c>
      <c r="H39" s="24">
        <f>SUMIFS('Saldos Iniciales'!$D:$D,'Saldos Iniciales'!$A:$A,"Cross Family Trust")+SUMIFS(Movimientos!$K$1:$K$471,Movimientos!$C$1:$C$471,"Cross Family Trust",Movimientos!$B$1:$B$471,"&lt;="&amp;$B39)</f>
        <v>116496.38</v>
      </c>
      <c r="I39" s="24">
        <f>SUMIFS('Saldos Iniciales'!$D:$D,'Saldos Iniciales'!$A:$A,"Cross Security Trust")+SUMIFS(Movimientos!$K$1:$K$471,Movimientos!$C$1:$C$471,"Cross Security Trust",Movimientos!$B$1:$B$471,"&lt;="&amp;$B39)</f>
        <v>88090.37</v>
      </c>
      <c r="J39" s="24">
        <f>SUMIFS('Saldos Iniciales'!$D:$D,'Saldos Iniciales'!$A:$A,"Electrama")+SUMIFS(Movimientos!$K$1:$K$471,Movimientos!$C$1:$C$471,"Electrama",Movimientos!$B$1:$B$471,"&lt;="&amp;$B39)</f>
        <v>1227.9699999999998</v>
      </c>
      <c r="K39" s="24">
        <f>SUMIFS('Saldos Iniciales'!$D:$D,'Saldos Iniciales'!$A:$A,"Sacred Valley Capital")+SUMIFS(Movimientos!$K$1:$K$471,Movimientos!$C$1:$C$471,"Sacred Valley Capital",Movimientos!$B$1:$B$471,"&lt;="&amp;$B39)</f>
        <v>84.35</v>
      </c>
      <c r="L39" s="24">
        <f>SUMIFS('Saldos Iniciales'!$D:$D,'Saldos Iniciales'!$A:$A,"YWC Capital")+SUMIFS(Movimientos!$K$1:$K$471,Movimientos!$C$1:$C$471,"YWC Capital",Movimientos!$B$1:$B$471,"&lt;="&amp;$B39)</f>
        <v>2237.77</v>
      </c>
      <c r="M39" s="24">
        <f>SUMIFS('Saldos Iniciales'!$D:$D,'Saldos Iniciales'!$A:$A,"Soweto")+SUMIFS(Movimientos!$K$1:$K$471,Movimientos!$C$1:$C$471,"Soweto",Movimientos!$B$1:$B$471,"&lt;="&amp;$B39)</f>
        <v>3349.94</v>
      </c>
      <c r="N39" s="24">
        <f>SUMIFS('Saldos Iniciales'!$D:$D,'Saldos Iniciales'!$A:$A,"Green Stone Trust")+SUMIFS(Movimientos!$K$1:$K$471,Movimientos!$C$1:$C$471,"Green Stone Trust",Movimientos!$B$1:$B$471,"&lt;="&amp;$B39)</f>
        <v>1968.99</v>
      </c>
      <c r="O39" s="24">
        <f>SUMIFS('Saldos Iniciales'!$D:$D,'Saldos Iniciales'!$A:$A,"EC Auto")+SUMIFS(Movimientos!$K$1:$K$471,Movimientos!$C$1:$C$471,"EC Auto",Movimientos!$B$1:$B$471,"&lt;="&amp;$B39)</f>
        <v>382.69000000000005</v>
      </c>
      <c r="P39" s="24">
        <f>SUMIFS('Saldos Iniciales'!$D:$D,'Saldos Iniciales'!$A:$A,"Arbor Capital Properties")+SUMIFS(Movimientos!$K$1:$K$471,Movimientos!$C$1:$C$471,"Arbor Capital Properties",Movimientos!$B$1:$B$471,"&lt;="&amp;$B39)</f>
        <v>1428.08</v>
      </c>
      <c r="Q39" s="24">
        <f>SUMIFS('Saldos Iniciales'!$D:$D,'Saldos Iniciales'!$A:$A,"2515 Overbrook")+SUMIFS(Movimientos!$K$1:$K$471,Movimientos!$C$1:$C$471,"2515 Overbrook",Movimientos!$B$1:$B$471,"&lt;="&amp;$B39)</f>
        <v>25789.969999999961</v>
      </c>
      <c r="R39" s="24">
        <f>SUMIFS('Saldos Iniciales'!$D:$D,'Saldos Iniciales'!$A:$A,"112 Florida Ave")+SUMIFS(Movimientos!$K$1:$K$471,Movimientos!$C$1:$C$471,"112 Florida Ave",Movimientos!$B$1:$B$471,"&lt;="&amp;$B39)</f>
        <v>5321.4300000000021</v>
      </c>
      <c r="S39" s="24">
        <f>SUMIFS('Saldos Iniciales'!$D:$D,'Saldos Iniciales'!$A:$A,"3628 Thomas Ave")+SUMIFS(Movimientos!$K$1:$K$471,Movimientos!$C$1:$C$471,"3628 Thomas Ave",Movimientos!$B$1:$B$471,"&lt;="&amp;$B39)</f>
        <v>24833.23</v>
      </c>
      <c r="T39" s="24">
        <f>SUMIFS('Saldos Iniciales'!$D:$D,'Saldos Iniciales'!$A:$A,"Green Harbor Trust")+SUMIFS(Movimientos!$K$1:$K$471,Movimientos!$C$1:$C$471,"Green Harbor Trust",Movimientos!$B$1:$B$471,"&lt;="&amp;$B39)</f>
        <v>345</v>
      </c>
      <c r="U39" s="24">
        <f>SUMIFS('Saldos Iniciales'!$D:$D,'Saldos Iniciales'!$A:$A,"Go Blue")+SUMIFS(Movimientos!$K$1:$K$471,Movimientos!$C$1:$C$471,"Go Blue",Movimientos!$B$1:$B$471,"&lt;="&amp;$B39)</f>
        <v>2422.7400000000034</v>
      </c>
      <c r="V39" s="25">
        <f t="shared" si="1"/>
        <v>2971992.89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Group")+SUMIFS(Movimientos!$K$1:$K$471,Movimientos!$C$1:$C$471,"CFT Group",Movimientos!$B$1:$B$471,"&lt;="&amp;$B40)</f>
        <v>733394.14000000013</v>
      </c>
      <c r="D40" s="24">
        <f>SUMIFS('Saldos Iniciales'!$D:$D,'Saldos Iniciales'!$A:$A,"M1B")+SUMIFS(Movimientos!$K$1:$K$471,Movimientos!$C$1:$C$471,"M1B",Movimientos!$B$1:$B$471,"&lt;="&amp;$B40)</f>
        <v>69376.390000000174</v>
      </c>
      <c r="E40" s="24">
        <f>SUMIFS('Saldos Iniciales'!$D:$D,'Saldos Iniciales'!$A:$A,"Durand")+SUMIFS(Movimientos!$K$1:$K$471,Movimientos!$C$1:$C$471,"Durand",Movimientos!$B$1:$B$471,"&lt;="&amp;$B40)</f>
        <v>1669.89</v>
      </c>
      <c r="F40" s="24">
        <f>SUMIFS('Saldos Iniciales'!$D:$D,'Saldos Iniciales'!$A:$A,"A&amp;M Imports")+SUMIFS(Movimientos!$K$1:$K$471,Movimientos!$C$1:$C$471,"A&amp;M Imports",Movimientos!$B$1:$B$471,"&lt;="&amp;$B40)</f>
        <v>729545.23999999987</v>
      </c>
      <c r="G40" s="24">
        <f>SUMIFS('Saldos Iniciales'!$D:$D,'Saldos Iniciales'!$A:$A,"SSP Capital")+SUMIFS(Movimientos!$K$1:$K$471,Movimientos!$C$1:$C$471,"SSP Capital",Movimientos!$B$1:$B$471,"&lt;="&amp;$B40)</f>
        <v>1164028.3199999994</v>
      </c>
      <c r="H40" s="24">
        <f>SUMIFS('Saldos Iniciales'!$D:$D,'Saldos Iniciales'!$A:$A,"Cross Family Trust")+SUMIFS(Movimientos!$K$1:$K$471,Movimientos!$C$1:$C$471,"Cross Family Trust",Movimientos!$B$1:$B$471,"&lt;="&amp;$B40)</f>
        <v>116496.38</v>
      </c>
      <c r="I40" s="24">
        <f>SUMIFS('Saldos Iniciales'!$D:$D,'Saldos Iniciales'!$A:$A,"Cross Security Trust")+SUMIFS(Movimientos!$K$1:$K$471,Movimientos!$C$1:$C$471,"Cross Security Trust",Movimientos!$B$1:$B$471,"&lt;="&amp;$B40)</f>
        <v>88090.37</v>
      </c>
      <c r="J40" s="24">
        <f>SUMIFS('Saldos Iniciales'!$D:$D,'Saldos Iniciales'!$A:$A,"Electrama")+SUMIFS(Movimientos!$K$1:$K$471,Movimientos!$C$1:$C$471,"Electrama",Movimientos!$B$1:$B$471,"&lt;="&amp;$B40)</f>
        <v>1227.9699999999998</v>
      </c>
      <c r="K40" s="24">
        <f>SUMIFS('Saldos Iniciales'!$D:$D,'Saldos Iniciales'!$A:$A,"Sacred Valley Capital")+SUMIFS(Movimientos!$K$1:$K$471,Movimientos!$C$1:$C$471,"Sacred Valley Capital",Movimientos!$B$1:$B$471,"&lt;="&amp;$B40)</f>
        <v>84.35</v>
      </c>
      <c r="L40" s="24">
        <f>SUMIFS('Saldos Iniciales'!$D:$D,'Saldos Iniciales'!$A:$A,"YWC Capital")+SUMIFS(Movimientos!$K$1:$K$471,Movimientos!$C$1:$C$471,"YWC Capital",Movimientos!$B$1:$B$471,"&lt;="&amp;$B40)</f>
        <v>2237.77</v>
      </c>
      <c r="M40" s="24">
        <f>SUMIFS('Saldos Iniciales'!$D:$D,'Saldos Iniciales'!$A:$A,"Soweto")+SUMIFS(Movimientos!$K$1:$K$471,Movimientos!$C$1:$C$471,"Soweto",Movimientos!$B$1:$B$471,"&lt;="&amp;$B40)</f>
        <v>3349.94</v>
      </c>
      <c r="N40" s="24">
        <f>SUMIFS('Saldos Iniciales'!$D:$D,'Saldos Iniciales'!$A:$A,"Green Stone Trust")+SUMIFS(Movimientos!$K$1:$K$471,Movimientos!$C$1:$C$471,"Green Stone Trust",Movimientos!$B$1:$B$471,"&lt;="&amp;$B40)</f>
        <v>1968.99</v>
      </c>
      <c r="O40" s="24">
        <f>SUMIFS('Saldos Iniciales'!$D:$D,'Saldos Iniciales'!$A:$A,"EC Auto")+SUMIFS(Movimientos!$K$1:$K$471,Movimientos!$C$1:$C$471,"EC Auto",Movimientos!$B$1:$B$471,"&lt;="&amp;$B40)</f>
        <v>382.69000000000005</v>
      </c>
      <c r="P40" s="24">
        <f>SUMIFS('Saldos Iniciales'!$D:$D,'Saldos Iniciales'!$A:$A,"Arbor Capital Properties")+SUMIFS(Movimientos!$K$1:$K$471,Movimientos!$C$1:$C$471,"Arbor Capital Properties",Movimientos!$B$1:$B$471,"&lt;="&amp;$B40)</f>
        <v>1428.08</v>
      </c>
      <c r="Q40" s="24">
        <f>SUMIFS('Saldos Iniciales'!$D:$D,'Saldos Iniciales'!$A:$A,"2515 Overbrook")+SUMIFS(Movimientos!$K$1:$K$471,Movimientos!$C$1:$C$471,"2515 Overbrook",Movimientos!$B$1:$B$471,"&lt;="&amp;$B40)</f>
        <v>25789.969999999961</v>
      </c>
      <c r="R40" s="24">
        <f>SUMIFS('Saldos Iniciales'!$D:$D,'Saldos Iniciales'!$A:$A,"112 Florida Ave")+SUMIFS(Movimientos!$K$1:$K$471,Movimientos!$C$1:$C$471,"112 Florida Ave",Movimientos!$B$1:$B$471,"&lt;="&amp;$B40)</f>
        <v>5321.4300000000021</v>
      </c>
      <c r="S40" s="24">
        <f>SUMIFS('Saldos Iniciales'!$D:$D,'Saldos Iniciales'!$A:$A,"3628 Thomas Ave")+SUMIFS(Movimientos!$K$1:$K$471,Movimientos!$C$1:$C$471,"3628 Thomas Ave",Movimientos!$B$1:$B$471,"&lt;="&amp;$B40)</f>
        <v>24833.23</v>
      </c>
      <c r="T40" s="24">
        <f>SUMIFS('Saldos Iniciales'!$D:$D,'Saldos Iniciales'!$A:$A,"Green Harbor Trust")+SUMIFS(Movimientos!$K$1:$K$471,Movimientos!$C$1:$C$471,"Green Harbor Trust",Movimientos!$B$1:$B$471,"&lt;="&amp;$B40)</f>
        <v>345</v>
      </c>
      <c r="U40" s="24">
        <f>SUMIFS('Saldos Iniciales'!$D:$D,'Saldos Iniciales'!$A:$A,"Go Blue")+SUMIFS(Movimientos!$K$1:$K$471,Movimientos!$C$1:$C$471,"Go Blue",Movimientos!$B$1:$B$471,"&lt;="&amp;$B40)</f>
        <v>1451.1500000000033</v>
      </c>
      <c r="V40" s="25">
        <f t="shared" ref="V40:V43" si="2">SUM(C40:U40)</f>
        <v>2971021.3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Group")+SUMIFS(Movimientos!$K$1:$K$471,Movimientos!$C$1:$C$471,"CFT Group",Movimientos!$B$1:$B$471,"&lt;="&amp;$B41)</f>
        <v>847381.29000000015</v>
      </c>
      <c r="D41" s="24">
        <f>SUMIFS('Saldos Iniciales'!$D:$D,'Saldos Iniciales'!$A:$A,"M1B")+SUMIFS(Movimientos!$K$1:$K$471,Movimientos!$C$1:$C$471,"M1B",Movimientos!$B$1:$B$471,"&lt;="&amp;$B41)</f>
        <v>69376.390000000174</v>
      </c>
      <c r="E41" s="24">
        <f>SUMIFS('Saldos Iniciales'!$D:$D,'Saldos Iniciales'!$A:$A,"Durand")+SUMIFS(Movimientos!$K$1:$K$471,Movimientos!$C$1:$C$471,"Durand",Movimientos!$B$1:$B$471,"&lt;="&amp;$B41)</f>
        <v>1669.89</v>
      </c>
      <c r="F41" s="24">
        <f>SUMIFS('Saldos Iniciales'!$D:$D,'Saldos Iniciales'!$A:$A,"A&amp;M Imports")+SUMIFS(Movimientos!$K$1:$K$471,Movimientos!$C$1:$C$471,"A&amp;M Imports",Movimientos!$B$1:$B$471,"&lt;="&amp;$B41)</f>
        <v>729545.23999999987</v>
      </c>
      <c r="G41" s="24">
        <f>SUMIFS('Saldos Iniciales'!$D:$D,'Saldos Iniciales'!$A:$A,"SSP Capital")+SUMIFS(Movimientos!$K$1:$K$471,Movimientos!$C$1:$C$471,"SSP Capital",Movimientos!$B$1:$B$471,"&lt;="&amp;$B41)</f>
        <v>1160274.0499999993</v>
      </c>
      <c r="H41" s="24">
        <f>SUMIFS('Saldos Iniciales'!$D:$D,'Saldos Iniciales'!$A:$A,"Cross Family Trust")+SUMIFS(Movimientos!$K$1:$K$471,Movimientos!$C$1:$C$471,"Cross Family Trust",Movimientos!$B$1:$B$471,"&lt;="&amp;$B41)</f>
        <v>116496.38</v>
      </c>
      <c r="I41" s="24">
        <f>SUMIFS('Saldos Iniciales'!$D:$D,'Saldos Iniciales'!$A:$A,"Cross Security Trust")+SUMIFS(Movimientos!$K$1:$K$471,Movimientos!$C$1:$C$471,"Cross Security Trust",Movimientos!$B$1:$B$471,"&lt;="&amp;$B41)</f>
        <v>88090.37</v>
      </c>
      <c r="J41" s="24">
        <f>SUMIFS('Saldos Iniciales'!$D:$D,'Saldos Iniciales'!$A:$A,"Electrama")+SUMIFS(Movimientos!$K$1:$K$471,Movimientos!$C$1:$C$471,"Electrama",Movimientos!$B$1:$B$471,"&lt;="&amp;$B41)</f>
        <v>1227.9699999999998</v>
      </c>
      <c r="K41" s="24">
        <f>SUMIFS('Saldos Iniciales'!$D:$D,'Saldos Iniciales'!$A:$A,"Sacred Valley Capital")+SUMIFS(Movimientos!$K$1:$K$471,Movimientos!$C$1:$C$471,"Sacred Valley Capital",Movimientos!$B$1:$B$471,"&lt;="&amp;$B41)</f>
        <v>84.35</v>
      </c>
      <c r="L41" s="24">
        <f>SUMIFS('Saldos Iniciales'!$D:$D,'Saldos Iniciales'!$A:$A,"YWC Capital")+SUMIFS(Movimientos!$K$1:$K$471,Movimientos!$C$1:$C$471,"YWC Capital",Movimientos!$B$1:$B$471,"&lt;="&amp;$B41)</f>
        <v>2237.77</v>
      </c>
      <c r="M41" s="24">
        <f>SUMIFS('Saldos Iniciales'!$D:$D,'Saldos Iniciales'!$A:$A,"Soweto")+SUMIFS(Movimientos!$K$1:$K$471,Movimientos!$C$1:$C$471,"Soweto",Movimientos!$B$1:$B$471,"&lt;="&amp;$B41)</f>
        <v>3349.94</v>
      </c>
      <c r="N41" s="24">
        <f>SUMIFS('Saldos Iniciales'!$D:$D,'Saldos Iniciales'!$A:$A,"Green Stone Trust")+SUMIFS(Movimientos!$K$1:$K$471,Movimientos!$C$1:$C$471,"Green Stone Trust",Movimientos!$B$1:$B$471,"&lt;="&amp;$B41)</f>
        <v>1968.99</v>
      </c>
      <c r="O41" s="24">
        <f>SUMIFS('Saldos Iniciales'!$D:$D,'Saldos Iniciales'!$A:$A,"EC Auto")+SUMIFS(Movimientos!$K$1:$K$471,Movimientos!$C$1:$C$471,"EC Auto",Movimientos!$B$1:$B$471,"&lt;="&amp;$B41)</f>
        <v>382.69000000000005</v>
      </c>
      <c r="P41" s="24">
        <f>SUMIFS('Saldos Iniciales'!$D:$D,'Saldos Iniciales'!$A:$A,"Arbor Capital Properties")+SUMIFS(Movimientos!$K$1:$K$471,Movimientos!$C$1:$C$471,"Arbor Capital Properties",Movimientos!$B$1:$B$471,"&lt;="&amp;$B41)</f>
        <v>1428.08</v>
      </c>
      <c r="Q41" s="24">
        <f>SUMIFS('Saldos Iniciales'!$D:$D,'Saldos Iniciales'!$A:$A,"2515 Overbrook")+SUMIFS(Movimientos!$K$1:$K$471,Movimientos!$C$1:$C$471,"2515 Overbrook",Movimientos!$B$1:$B$471,"&lt;="&amp;$B41)</f>
        <v>25789.969999999961</v>
      </c>
      <c r="R41" s="24">
        <f>SUMIFS('Saldos Iniciales'!$D:$D,'Saldos Iniciales'!$A:$A,"112 Florida Ave")+SUMIFS(Movimientos!$K$1:$K$471,Movimientos!$C$1:$C$471,"112 Florida Ave",Movimientos!$B$1:$B$471,"&lt;="&amp;$B41)</f>
        <v>5321.4300000000021</v>
      </c>
      <c r="S41" s="24">
        <f>SUMIFS('Saldos Iniciales'!$D:$D,'Saldos Iniciales'!$A:$A,"3628 Thomas Ave")+SUMIFS(Movimientos!$K$1:$K$471,Movimientos!$C$1:$C$471,"3628 Thomas Ave",Movimientos!$B$1:$B$471,"&lt;="&amp;$B41)</f>
        <v>24833.23</v>
      </c>
      <c r="T41" s="24">
        <f>SUMIFS('Saldos Iniciales'!$D:$D,'Saldos Iniciales'!$A:$A,"Green Harbor Trust")+SUMIFS(Movimientos!$K$1:$K$471,Movimientos!$C$1:$C$471,"Green Harbor Trust",Movimientos!$B$1:$B$471,"&lt;="&amp;$B41)</f>
        <v>345</v>
      </c>
      <c r="U41" s="24">
        <f>SUMIFS('Saldos Iniciales'!$D:$D,'Saldos Iniciales'!$A:$A,"Go Blue")+SUMIFS(Movimientos!$K$1:$K$471,Movimientos!$C$1:$C$471,"Go Blue",Movimientos!$B$1:$B$471,"&lt;="&amp;$B41)</f>
        <v>1289.7300000000032</v>
      </c>
      <c r="V41" s="25">
        <f t="shared" si="2"/>
        <v>3081092.76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Group")+SUMIFS(Movimientos!$K$1:$K$471,Movimientos!$C$1:$C$471,"CFT Group",Movimientos!$B$1:$B$471,"&lt;="&amp;$B42)</f>
        <v>2288745.9500000002</v>
      </c>
      <c r="D42" s="24">
        <f>SUMIFS('Saldos Iniciales'!$D:$D,'Saldos Iniciales'!$A:$A,"M1B")+SUMIFS(Movimientos!$K$1:$K$471,Movimientos!$C$1:$C$471,"M1B",Movimientos!$B$1:$B$471,"&lt;="&amp;$B42)</f>
        <v>69376.390000000174</v>
      </c>
      <c r="E42" s="24">
        <f>SUMIFS('Saldos Iniciales'!$D:$D,'Saldos Iniciales'!$A:$A,"Durand")+SUMIFS(Movimientos!$K$1:$K$471,Movimientos!$C$1:$C$471,"Durand",Movimientos!$B$1:$B$471,"&lt;="&amp;$B42)</f>
        <v>1669.89</v>
      </c>
      <c r="F42" s="24">
        <f>SUMIFS('Saldos Iniciales'!$D:$D,'Saldos Iniciales'!$A:$A,"A&amp;M Imports")+SUMIFS(Movimientos!$K$1:$K$471,Movimientos!$C$1:$C$471,"A&amp;M Imports",Movimientos!$B$1:$B$471,"&lt;="&amp;$B42)</f>
        <v>744306.80999999982</v>
      </c>
      <c r="G42" s="24">
        <f>SUMIFS('Saldos Iniciales'!$D:$D,'Saldos Iniciales'!$A:$A,"SSP Capital")+SUMIFS(Movimientos!$K$1:$K$471,Movimientos!$C$1:$C$471,"SSP Capital",Movimientos!$B$1:$B$471,"&lt;="&amp;$B42)</f>
        <v>1160274.0499999993</v>
      </c>
      <c r="H42" s="24">
        <f>SUMIFS('Saldos Iniciales'!$D:$D,'Saldos Iniciales'!$A:$A,"Cross Family Trust")+SUMIFS(Movimientos!$K$1:$K$471,Movimientos!$C$1:$C$471,"Cross Family Trust",Movimientos!$B$1:$B$471,"&lt;="&amp;$B42)</f>
        <v>116496.38</v>
      </c>
      <c r="I42" s="24">
        <f>SUMIFS('Saldos Iniciales'!$D:$D,'Saldos Iniciales'!$A:$A,"Cross Security Trust")+SUMIFS(Movimientos!$K$1:$K$471,Movimientos!$C$1:$C$471,"Cross Security Trust",Movimientos!$B$1:$B$471,"&lt;="&amp;$B42)</f>
        <v>88090.37</v>
      </c>
      <c r="J42" s="24">
        <f>SUMIFS('Saldos Iniciales'!$D:$D,'Saldos Iniciales'!$A:$A,"Electrama")+SUMIFS(Movimientos!$K$1:$K$471,Movimientos!$C$1:$C$471,"Electrama",Movimientos!$B$1:$B$471,"&lt;="&amp;$B42)</f>
        <v>1227.9699999999998</v>
      </c>
      <c r="K42" s="24">
        <f>SUMIFS('Saldos Iniciales'!$D:$D,'Saldos Iniciales'!$A:$A,"Sacred Valley Capital")+SUMIFS(Movimientos!$K$1:$K$471,Movimientos!$C$1:$C$471,"Sacred Valley Capital",Movimientos!$B$1:$B$471,"&lt;="&amp;$B42)</f>
        <v>84.35</v>
      </c>
      <c r="L42" s="24">
        <f>SUMIFS('Saldos Iniciales'!$D:$D,'Saldos Iniciales'!$A:$A,"YWC Capital")+SUMIFS(Movimientos!$K$1:$K$471,Movimientos!$C$1:$C$471,"YWC Capital",Movimientos!$B$1:$B$471,"&lt;="&amp;$B42)</f>
        <v>2237.77</v>
      </c>
      <c r="M42" s="24">
        <f>SUMIFS('Saldos Iniciales'!$D:$D,'Saldos Iniciales'!$A:$A,"Soweto")+SUMIFS(Movimientos!$K$1:$K$471,Movimientos!$C$1:$C$471,"Soweto",Movimientos!$B$1:$B$471,"&lt;="&amp;$B42)</f>
        <v>3349.94</v>
      </c>
      <c r="N42" s="24">
        <f>SUMIFS('Saldos Iniciales'!$D:$D,'Saldos Iniciales'!$A:$A,"Green Stone Trust")+SUMIFS(Movimientos!$K$1:$K$471,Movimientos!$C$1:$C$471,"Green Stone Trust",Movimientos!$B$1:$B$471,"&lt;="&amp;$B42)</f>
        <v>1968.99</v>
      </c>
      <c r="O42" s="24">
        <f>SUMIFS('Saldos Iniciales'!$D:$D,'Saldos Iniciales'!$A:$A,"EC Auto")+SUMIFS(Movimientos!$K$1:$K$471,Movimientos!$C$1:$C$471,"EC Auto",Movimientos!$B$1:$B$471,"&lt;="&amp;$B42)</f>
        <v>382.69000000000005</v>
      </c>
      <c r="P42" s="24">
        <f>SUMIFS('Saldos Iniciales'!$D:$D,'Saldos Iniciales'!$A:$A,"Arbor Capital Properties")+SUMIFS(Movimientos!$K$1:$K$471,Movimientos!$C$1:$C$471,"Arbor Capital Properties",Movimientos!$B$1:$B$471,"&lt;="&amp;$B42)</f>
        <v>1428.08</v>
      </c>
      <c r="Q42" s="24">
        <f>SUMIFS('Saldos Iniciales'!$D:$D,'Saldos Iniciales'!$A:$A,"2515 Overbrook")+SUMIFS(Movimientos!$K$1:$K$471,Movimientos!$C$1:$C$471,"2515 Overbrook",Movimientos!$B$1:$B$471,"&lt;="&amp;$B42)</f>
        <v>25789.969999999961</v>
      </c>
      <c r="R42" s="24">
        <f>SUMIFS('Saldos Iniciales'!$D:$D,'Saldos Iniciales'!$A:$A,"112 Florida Ave")+SUMIFS(Movimientos!$K$1:$K$471,Movimientos!$C$1:$C$471,"112 Florida Ave",Movimientos!$B$1:$B$471,"&lt;="&amp;$B42)</f>
        <v>5321.4300000000021</v>
      </c>
      <c r="S42" s="24">
        <f>SUMIFS('Saldos Iniciales'!$D:$D,'Saldos Iniciales'!$A:$A,"3628 Thomas Ave")+SUMIFS(Movimientos!$K$1:$K$471,Movimientos!$C$1:$C$471,"3628 Thomas Ave",Movimientos!$B$1:$B$471,"&lt;="&amp;$B42)</f>
        <v>24743.98</v>
      </c>
      <c r="T42" s="24">
        <f>SUMIFS('Saldos Iniciales'!$D:$D,'Saldos Iniciales'!$A:$A,"Green Harbor Trust")+SUMIFS(Movimientos!$K$1:$K$471,Movimientos!$C$1:$C$471,"Green Harbor Trust",Movimientos!$B$1:$B$471,"&lt;="&amp;$B42)</f>
        <v>345</v>
      </c>
      <c r="U42" s="24">
        <f>SUMIFS('Saldos Iniciales'!$D:$D,'Saldos Iniciales'!$A:$A,"Go Blue")+SUMIFS(Movimientos!$K$1:$K$471,Movimientos!$C$1:$C$471,"Go Blue",Movimientos!$B$1:$B$471,"&lt;="&amp;$B42)</f>
        <v>1289.7300000000032</v>
      </c>
      <c r="V42" s="25">
        <f t="shared" si="2"/>
        <v>4537129.74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Group")+SUMIFS(Movimientos!$K$1:$K$471,Movimientos!$C$1:$C$471,"CFT Group",Movimientos!$B$1:$B$471,"&lt;="&amp;$B43)</f>
        <v>1837784.84</v>
      </c>
      <c r="D43" s="24">
        <f>SUMIFS('Saldos Iniciales'!$D:$D,'Saldos Iniciales'!$A:$A,"M1B")+SUMIFS(Movimientos!$K$1:$K$471,Movimientos!$C$1:$C$471,"M1B",Movimientos!$B$1:$B$471,"&lt;="&amp;$B43)</f>
        <v>69376.390000000174</v>
      </c>
      <c r="E43" s="24">
        <f>SUMIFS('Saldos Iniciales'!$D:$D,'Saldos Iniciales'!$A:$A,"Durand")+SUMIFS(Movimientos!$K$1:$K$471,Movimientos!$C$1:$C$471,"Durand",Movimientos!$B$1:$B$471,"&lt;="&amp;$B43)</f>
        <v>1669.89</v>
      </c>
      <c r="F43" s="24">
        <f>SUMIFS('Saldos Iniciales'!$D:$D,'Saldos Iniciales'!$A:$A,"A&amp;M Imports")+SUMIFS(Movimientos!$K$1:$K$471,Movimientos!$C$1:$C$471,"A&amp;M Imports",Movimientos!$B$1:$B$471,"&lt;="&amp;$B43)</f>
        <v>564626.20999999985</v>
      </c>
      <c r="G43" s="24">
        <f>SUMIFS('Saldos Iniciales'!$D:$D,'Saldos Iniciales'!$A:$A,"SSP Capital")+SUMIFS(Movimientos!$K$1:$K$471,Movimientos!$C$1:$C$471,"SSP Capital",Movimientos!$B$1:$B$471,"&lt;="&amp;$B43)</f>
        <v>794731.82999999926</v>
      </c>
      <c r="H43" s="24">
        <f>SUMIFS('Saldos Iniciales'!$D:$D,'Saldos Iniciales'!$A:$A,"Cross Family Trust")+SUMIFS(Movimientos!$K$1:$K$471,Movimientos!$C$1:$C$471,"Cross Family Trust",Movimientos!$B$1:$B$471,"&lt;="&amp;$B43)</f>
        <v>116496.38</v>
      </c>
      <c r="I43" s="24">
        <f>SUMIFS('Saldos Iniciales'!$D:$D,'Saldos Iniciales'!$A:$A,"Cross Security Trust")+SUMIFS(Movimientos!$K$1:$K$471,Movimientos!$C$1:$C$471,"Cross Security Trust",Movimientos!$B$1:$B$471,"&lt;="&amp;$B43)</f>
        <v>88090.37</v>
      </c>
      <c r="J43" s="24">
        <f>SUMIFS('Saldos Iniciales'!$D:$D,'Saldos Iniciales'!$A:$A,"Electrama")+SUMIFS(Movimientos!$K$1:$K$471,Movimientos!$C$1:$C$471,"Electrama",Movimientos!$B$1:$B$471,"&lt;="&amp;$B43)</f>
        <v>1227.9699999999998</v>
      </c>
      <c r="K43" s="24">
        <f>SUMIFS('Saldos Iniciales'!$D:$D,'Saldos Iniciales'!$A:$A,"Sacred Valley Capital")+SUMIFS(Movimientos!$K$1:$K$471,Movimientos!$C$1:$C$471,"Sacred Valley Capital",Movimientos!$B$1:$B$471,"&lt;="&amp;$B43)</f>
        <v>84.35</v>
      </c>
      <c r="L43" s="24">
        <f>SUMIFS('Saldos Iniciales'!$D:$D,'Saldos Iniciales'!$A:$A,"YWC Capital")+SUMIFS(Movimientos!$K$1:$K$471,Movimientos!$C$1:$C$471,"YWC Capital",Movimientos!$B$1:$B$471,"&lt;="&amp;$B43)</f>
        <v>2237.77</v>
      </c>
      <c r="M43" s="24">
        <f>SUMIFS('Saldos Iniciales'!$D:$D,'Saldos Iniciales'!$A:$A,"Soweto")+SUMIFS(Movimientos!$K$1:$K$471,Movimientos!$C$1:$C$471,"Soweto",Movimientos!$B$1:$B$471,"&lt;="&amp;$B43)</f>
        <v>3349.94</v>
      </c>
      <c r="N43" s="24">
        <f>SUMIFS('Saldos Iniciales'!$D:$D,'Saldos Iniciales'!$A:$A,"Green Stone Trust")+SUMIFS(Movimientos!$K$1:$K$471,Movimientos!$C$1:$C$471,"Green Stone Trust",Movimientos!$B$1:$B$471,"&lt;="&amp;$B43)</f>
        <v>1968.99</v>
      </c>
      <c r="O43" s="24">
        <f>SUMIFS('Saldos Iniciales'!$D:$D,'Saldos Iniciales'!$A:$A,"EC Auto")+SUMIFS(Movimientos!$K$1:$K$471,Movimientos!$C$1:$C$471,"EC Auto",Movimientos!$B$1:$B$471,"&lt;="&amp;$B43)</f>
        <v>382.69000000000005</v>
      </c>
      <c r="P43" s="24">
        <f>SUMIFS('Saldos Iniciales'!$D:$D,'Saldos Iniciales'!$A:$A,"Arbor Capital Properties")+SUMIFS(Movimientos!$K$1:$K$471,Movimientos!$C$1:$C$471,"Arbor Capital Properties",Movimientos!$B$1:$B$471,"&lt;="&amp;$B43)</f>
        <v>1428.08</v>
      </c>
      <c r="Q43" s="24">
        <f>SUMIFS('Saldos Iniciales'!$D:$D,'Saldos Iniciales'!$A:$A,"2515 Overbrook")+SUMIFS(Movimientos!$K$1:$K$471,Movimientos!$C$1:$C$471,"2515 Overbrook",Movimientos!$B$1:$B$471,"&lt;="&amp;$B43)</f>
        <v>25789.969999999961</v>
      </c>
      <c r="R43" s="24">
        <f>SUMIFS('Saldos Iniciales'!$D:$D,'Saldos Iniciales'!$A:$A,"112 Florida Ave")+SUMIFS(Movimientos!$K$1:$K$471,Movimientos!$C$1:$C$471,"112 Florida Ave",Movimientos!$B$1:$B$471,"&lt;="&amp;$B43)</f>
        <v>5321.4300000000021</v>
      </c>
      <c r="S43" s="24">
        <f>SUMIFS('Saldos Iniciales'!$D:$D,'Saldos Iniciales'!$A:$A,"3628 Thomas Ave")+SUMIFS(Movimientos!$K$1:$K$471,Movimientos!$C$1:$C$471,"3628 Thomas Ave",Movimientos!$B$1:$B$471,"&lt;="&amp;$B43)</f>
        <v>24743.98</v>
      </c>
      <c r="T43" s="24">
        <f>SUMIFS('Saldos Iniciales'!$D:$D,'Saldos Iniciales'!$A:$A,"Green Harbor Trust")+SUMIFS(Movimientos!$K$1:$K$471,Movimientos!$C$1:$C$471,"Green Harbor Trust",Movimientos!$B$1:$B$471,"&lt;="&amp;$B43)</f>
        <v>345</v>
      </c>
      <c r="U43" s="24">
        <f>SUMIFS('Saldos Iniciales'!$D:$D,'Saldos Iniciales'!$A:$A,"Go Blue")+SUMIFS(Movimientos!$K$1:$K$471,Movimientos!$C$1:$C$471,"Go Blue",Movimientos!$B$1:$B$471,"&lt;="&amp;$B43)</f>
        <v>48774.73</v>
      </c>
      <c r="V43" s="25">
        <f t="shared" si="2"/>
        <v>3588430.8099999996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Group")+SUMIFS(Movimientos!$K$1:$K$471,Movimientos!$C$1:$C$471,"CFT Group",Movimientos!$B$1:$B$471,"&lt;="&amp;$B44)</f>
        <v>1837784.84</v>
      </c>
      <c r="D44" s="24">
        <f>SUMIFS('Saldos Iniciales'!$D:$D,'Saldos Iniciales'!$A:$A,"M1B")+SUMIFS(Movimientos!$K$1:$K$471,Movimientos!$C$1:$C$471,"M1B",Movimientos!$B$1:$B$471,"&lt;="&amp;$B44)</f>
        <v>69376.390000000174</v>
      </c>
      <c r="E44" s="24">
        <f>SUMIFS('Saldos Iniciales'!$D:$D,'Saldos Iniciales'!$A:$A,"Durand")+SUMIFS(Movimientos!$K$1:$K$471,Movimientos!$C$1:$C$471,"Durand",Movimientos!$B$1:$B$471,"&lt;="&amp;$B44)</f>
        <v>1669.89</v>
      </c>
      <c r="F44" s="24">
        <f>SUMIFS('Saldos Iniciales'!$D:$D,'Saldos Iniciales'!$A:$A,"A&amp;M Imports")+SUMIFS(Movimientos!$K$1:$K$471,Movimientos!$C$1:$C$471,"A&amp;M Imports",Movimientos!$B$1:$B$471,"&lt;="&amp;$B44)</f>
        <v>564626.20999999985</v>
      </c>
      <c r="G44" s="24">
        <f>SUMIFS('Saldos Iniciales'!$D:$D,'Saldos Iniciales'!$A:$A,"SSP Capital")+SUMIFS(Movimientos!$K$1:$K$471,Movimientos!$C$1:$C$471,"SSP Capital",Movimientos!$B$1:$B$471,"&lt;="&amp;$B44)</f>
        <v>3763348.8299999996</v>
      </c>
      <c r="H44" s="24">
        <f>SUMIFS('Saldos Iniciales'!$D:$D,'Saldos Iniciales'!$A:$A,"Cross Family Trust")+SUMIFS(Movimientos!$K$1:$K$471,Movimientos!$C$1:$C$471,"Cross Family Trust",Movimientos!$B$1:$B$471,"&lt;="&amp;$B44)</f>
        <v>116496.38</v>
      </c>
      <c r="I44" s="24">
        <f>SUMIFS('Saldos Iniciales'!$D:$D,'Saldos Iniciales'!$A:$A,"Cross Security Trust")+SUMIFS(Movimientos!$K$1:$K$471,Movimientos!$C$1:$C$471,"Cross Security Trust",Movimientos!$B$1:$B$471,"&lt;="&amp;$B44)</f>
        <v>88090.37</v>
      </c>
      <c r="J44" s="24">
        <f>SUMIFS('Saldos Iniciales'!$D:$D,'Saldos Iniciales'!$A:$A,"Electrama")+SUMIFS(Movimientos!$K$1:$K$471,Movimientos!$C$1:$C$471,"Electrama",Movimientos!$B$1:$B$471,"&lt;="&amp;$B44)</f>
        <v>1227.9699999999998</v>
      </c>
      <c r="K44" s="24">
        <f>SUMIFS('Saldos Iniciales'!$D:$D,'Saldos Iniciales'!$A:$A,"Sacred Valley Capital")+SUMIFS(Movimientos!$K$1:$K$471,Movimientos!$C$1:$C$471,"Sacred Valley Capital",Movimientos!$B$1:$B$471,"&lt;="&amp;$B44)</f>
        <v>84.35</v>
      </c>
      <c r="L44" s="24">
        <f>SUMIFS('Saldos Iniciales'!$D:$D,'Saldos Iniciales'!$A:$A,"YWC Capital")+SUMIFS(Movimientos!$K$1:$K$471,Movimientos!$C$1:$C$471,"YWC Capital",Movimientos!$B$1:$B$471,"&lt;="&amp;$B44)</f>
        <v>2237.77</v>
      </c>
      <c r="M44" s="24">
        <f>SUMIFS('Saldos Iniciales'!$D:$D,'Saldos Iniciales'!$A:$A,"Soweto")+SUMIFS(Movimientos!$K$1:$K$471,Movimientos!$C$1:$C$471,"Soweto",Movimientos!$B$1:$B$471,"&lt;="&amp;$B44)</f>
        <v>3349.94</v>
      </c>
      <c r="N44" s="24">
        <f>SUMIFS('Saldos Iniciales'!$D:$D,'Saldos Iniciales'!$A:$A,"Green Stone Trust")+SUMIFS(Movimientos!$K$1:$K$471,Movimientos!$C$1:$C$471,"Green Stone Trust",Movimientos!$B$1:$B$471,"&lt;="&amp;$B44)</f>
        <v>1968.99</v>
      </c>
      <c r="O44" s="24">
        <f>SUMIFS('Saldos Iniciales'!$D:$D,'Saldos Iniciales'!$A:$A,"EC Auto")+SUMIFS(Movimientos!$K$1:$K$471,Movimientos!$C$1:$C$471,"EC Auto",Movimientos!$B$1:$B$471,"&lt;="&amp;$B44)</f>
        <v>382.69000000000005</v>
      </c>
      <c r="P44" s="24">
        <f>SUMIFS('Saldos Iniciales'!$D:$D,'Saldos Iniciales'!$A:$A,"Arbor Capital Properties")+SUMIFS(Movimientos!$K$1:$K$471,Movimientos!$C$1:$C$471,"Arbor Capital Properties",Movimientos!$B$1:$B$471,"&lt;="&amp;$B44)</f>
        <v>1428.08</v>
      </c>
      <c r="Q44" s="24">
        <f>SUMIFS('Saldos Iniciales'!$D:$D,'Saldos Iniciales'!$A:$A,"2515 Overbrook")+SUMIFS(Movimientos!$K$1:$K$471,Movimientos!$C$1:$C$471,"2515 Overbrook",Movimientos!$B$1:$B$471,"&lt;="&amp;$B44)</f>
        <v>27789.969999999961</v>
      </c>
      <c r="R44" s="24">
        <f>SUMIFS('Saldos Iniciales'!$D:$D,'Saldos Iniciales'!$A:$A,"112 Florida Ave")+SUMIFS(Movimientos!$K$1:$K$471,Movimientos!$C$1:$C$471,"112 Florida Ave",Movimientos!$B$1:$B$471,"&lt;="&amp;$B44)</f>
        <v>5321.4300000000021</v>
      </c>
      <c r="S44" s="24">
        <f>SUMIFS('Saldos Iniciales'!$D:$D,'Saldos Iniciales'!$A:$A,"3628 Thomas Ave")+SUMIFS(Movimientos!$K$1:$K$471,Movimientos!$C$1:$C$471,"3628 Thomas Ave",Movimientos!$B$1:$B$471,"&lt;="&amp;$B44)</f>
        <v>24484.85</v>
      </c>
      <c r="T44" s="24">
        <f>SUMIFS('Saldos Iniciales'!$D:$D,'Saldos Iniciales'!$A:$A,"Green Harbor Trust")+SUMIFS(Movimientos!$K$1:$K$471,Movimientos!$C$1:$C$471,"Green Harbor Trust",Movimientos!$B$1:$B$471,"&lt;="&amp;$B44)</f>
        <v>345</v>
      </c>
      <c r="U44" s="24">
        <f>SUMIFS('Saldos Iniciales'!$D:$D,'Saldos Iniciales'!$A:$A,"Go Blue")+SUMIFS(Movimientos!$K$1:$K$471,Movimientos!$C$1:$C$471,"Go Blue",Movimientos!$B$1:$B$471,"&lt;="&amp;$B44)</f>
        <v>48774.73</v>
      </c>
      <c r="V44" s="25">
        <f t="shared" ref="V44:V46" si="3">SUM(C44:U44)</f>
        <v>6558788.6799999997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Group")+SUMIFS(Movimientos!$K$1:$K$471,Movimientos!$C$1:$C$471,"CFT Group",Movimientos!$B$1:$B$471,"&lt;="&amp;$B45)</f>
        <v>1837784.84</v>
      </c>
      <c r="D45" s="24">
        <f>SUMIFS('Saldos Iniciales'!$D:$D,'Saldos Iniciales'!$A:$A,"M1B")+SUMIFS(Movimientos!$K$1:$K$471,Movimientos!$C$1:$C$471,"M1B",Movimientos!$B$1:$B$471,"&lt;="&amp;$B45)</f>
        <v>69376.390000000174</v>
      </c>
      <c r="E45" s="24">
        <f>SUMIFS('Saldos Iniciales'!$D:$D,'Saldos Iniciales'!$A:$A,"Durand")+SUMIFS(Movimientos!$K$1:$K$471,Movimientos!$C$1:$C$471,"Durand",Movimientos!$B$1:$B$471,"&lt;="&amp;$B45)</f>
        <v>1669.89</v>
      </c>
      <c r="F45" s="24">
        <f>SUMIFS('Saldos Iniciales'!$D:$D,'Saldos Iniciales'!$A:$A,"A&amp;M Imports")+SUMIFS(Movimientos!$K$1:$K$471,Movimientos!$C$1:$C$471,"A&amp;M Imports",Movimientos!$B$1:$B$471,"&lt;="&amp;$B45)</f>
        <v>564626.20999999985</v>
      </c>
      <c r="G45" s="24">
        <f>SUMIFS('Saldos Iniciales'!$D:$D,'Saldos Iniciales'!$A:$A,"SSP Capital")+SUMIFS(Movimientos!$K$1:$K$471,Movimientos!$C$1:$C$471,"SSP Capital",Movimientos!$B$1:$B$471,"&lt;="&amp;$B45)</f>
        <v>3763348.8299999996</v>
      </c>
      <c r="H45" s="24">
        <f>SUMIFS('Saldos Iniciales'!$D:$D,'Saldos Iniciales'!$A:$A,"Cross Family Trust")+SUMIFS(Movimientos!$K$1:$K$471,Movimientos!$C$1:$C$471,"Cross Family Trust",Movimientos!$B$1:$B$471,"&lt;="&amp;$B45)</f>
        <v>116496.38</v>
      </c>
      <c r="I45" s="24">
        <f>SUMIFS('Saldos Iniciales'!$D:$D,'Saldos Iniciales'!$A:$A,"Cross Security Trust")+SUMIFS(Movimientos!$K$1:$K$471,Movimientos!$C$1:$C$471,"Cross Security Trust",Movimientos!$B$1:$B$471,"&lt;="&amp;$B45)</f>
        <v>88090.37</v>
      </c>
      <c r="J45" s="24">
        <f>SUMIFS('Saldos Iniciales'!$D:$D,'Saldos Iniciales'!$A:$A,"Electrama")+SUMIFS(Movimientos!$K$1:$K$471,Movimientos!$C$1:$C$471,"Electrama",Movimientos!$B$1:$B$471,"&lt;="&amp;$B45)</f>
        <v>1227.9699999999998</v>
      </c>
      <c r="K45" s="24">
        <f>SUMIFS('Saldos Iniciales'!$D:$D,'Saldos Iniciales'!$A:$A,"Sacred Valley Capital")+SUMIFS(Movimientos!$K$1:$K$471,Movimientos!$C$1:$C$471,"Sacred Valley Capital",Movimientos!$B$1:$B$471,"&lt;="&amp;$B45)</f>
        <v>84.35</v>
      </c>
      <c r="L45" s="24">
        <f>SUMIFS('Saldos Iniciales'!$D:$D,'Saldos Iniciales'!$A:$A,"YWC Capital")+SUMIFS(Movimientos!$K$1:$K$471,Movimientos!$C$1:$C$471,"YWC Capital",Movimientos!$B$1:$B$471,"&lt;="&amp;$B45)</f>
        <v>2237.77</v>
      </c>
      <c r="M45" s="24">
        <f>SUMIFS('Saldos Iniciales'!$D:$D,'Saldos Iniciales'!$A:$A,"Soweto")+SUMIFS(Movimientos!$K$1:$K$471,Movimientos!$C$1:$C$471,"Soweto",Movimientos!$B$1:$B$471,"&lt;="&amp;$B45)</f>
        <v>3349.94</v>
      </c>
      <c r="N45" s="24">
        <f>SUMIFS('Saldos Iniciales'!$D:$D,'Saldos Iniciales'!$A:$A,"Green Stone Trust")+SUMIFS(Movimientos!$K$1:$K$471,Movimientos!$C$1:$C$471,"Green Stone Trust",Movimientos!$B$1:$B$471,"&lt;="&amp;$B45)</f>
        <v>1968.99</v>
      </c>
      <c r="O45" s="24">
        <f>SUMIFS('Saldos Iniciales'!$D:$D,'Saldos Iniciales'!$A:$A,"EC Auto")+SUMIFS(Movimientos!$K$1:$K$471,Movimientos!$C$1:$C$471,"EC Auto",Movimientos!$B$1:$B$471,"&lt;="&amp;$B45)</f>
        <v>382.69000000000005</v>
      </c>
      <c r="P45" s="24">
        <f>SUMIFS('Saldos Iniciales'!$D:$D,'Saldos Iniciales'!$A:$A,"Arbor Capital Properties")+SUMIFS(Movimientos!$K$1:$K$471,Movimientos!$C$1:$C$471,"Arbor Capital Properties",Movimientos!$B$1:$B$471,"&lt;="&amp;$B45)</f>
        <v>1428.08</v>
      </c>
      <c r="Q45" s="24">
        <f>SUMIFS('Saldos Iniciales'!$D:$D,'Saldos Iniciales'!$A:$A,"2515 Overbrook")+SUMIFS(Movimientos!$K$1:$K$471,Movimientos!$C$1:$C$471,"2515 Overbrook",Movimientos!$B$1:$B$471,"&lt;="&amp;$B45)</f>
        <v>27789.969999999961</v>
      </c>
      <c r="R45" s="24">
        <f>SUMIFS('Saldos Iniciales'!$D:$D,'Saldos Iniciales'!$A:$A,"112 Florida Ave")+SUMIFS(Movimientos!$K$1:$K$471,Movimientos!$C$1:$C$471,"112 Florida Ave",Movimientos!$B$1:$B$471,"&lt;="&amp;$B45)</f>
        <v>5321.4300000000021</v>
      </c>
      <c r="S45" s="24">
        <f>SUMIFS('Saldos Iniciales'!$D:$D,'Saldos Iniciales'!$A:$A,"3628 Thomas Ave")+SUMIFS(Movimientos!$K$1:$K$471,Movimientos!$C$1:$C$471,"3628 Thomas Ave",Movimientos!$B$1:$B$471,"&lt;="&amp;$B45)</f>
        <v>24484.85</v>
      </c>
      <c r="T45" s="24">
        <f>SUMIFS('Saldos Iniciales'!$D:$D,'Saldos Iniciales'!$A:$A,"Green Harbor Trust")+SUMIFS(Movimientos!$K$1:$K$471,Movimientos!$C$1:$C$471,"Green Harbor Trust",Movimientos!$B$1:$B$471,"&lt;="&amp;$B45)</f>
        <v>345</v>
      </c>
      <c r="U45" s="24">
        <f>SUMIFS('Saldos Iniciales'!$D:$D,'Saldos Iniciales'!$A:$A,"Go Blue")+SUMIFS(Movimientos!$K$1:$K$471,Movimientos!$C$1:$C$471,"Go Blue",Movimientos!$B$1:$B$471,"&lt;="&amp;$B45)</f>
        <v>48774.73</v>
      </c>
      <c r="V45" s="25">
        <f t="shared" si="3"/>
        <v>6558788.6799999997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Group")+SUMIFS(Movimientos!$K$1:$K$471,Movimientos!$C$1:$C$471,"CFT Group",Movimientos!$B$1:$B$471,"&lt;="&amp;$B46)</f>
        <v>1837784.84</v>
      </c>
      <c r="D46" s="24">
        <f>SUMIFS('Saldos Iniciales'!$D:$D,'Saldos Iniciales'!$A:$A,"M1B")+SUMIFS(Movimientos!$K$1:$K$471,Movimientos!$C$1:$C$471,"M1B",Movimientos!$B$1:$B$471,"&lt;="&amp;$B46)</f>
        <v>69376.390000000174</v>
      </c>
      <c r="E46" s="24">
        <f>SUMIFS('Saldos Iniciales'!$D:$D,'Saldos Iniciales'!$A:$A,"Durand")+SUMIFS(Movimientos!$K$1:$K$471,Movimientos!$C$1:$C$471,"Durand",Movimientos!$B$1:$B$471,"&lt;="&amp;$B46)</f>
        <v>1669.89</v>
      </c>
      <c r="F46" s="24">
        <f>SUMIFS('Saldos Iniciales'!$D:$D,'Saldos Iniciales'!$A:$A,"A&amp;M Imports")+SUMIFS(Movimientos!$K$1:$K$471,Movimientos!$C$1:$C$471,"A&amp;M Imports",Movimientos!$B$1:$B$471,"&lt;="&amp;$B46)</f>
        <v>564626.20999999985</v>
      </c>
      <c r="G46" s="24">
        <f>SUMIFS('Saldos Iniciales'!$D:$D,'Saldos Iniciales'!$A:$A,"SSP Capital")+SUMIFS(Movimientos!$K$1:$K$471,Movimientos!$C$1:$C$471,"SSP Capital",Movimientos!$B$1:$B$471,"&lt;="&amp;$B46)</f>
        <v>3763348.8299999996</v>
      </c>
      <c r="H46" s="24">
        <f>SUMIFS('Saldos Iniciales'!$D:$D,'Saldos Iniciales'!$A:$A,"Cross Family Trust")+SUMIFS(Movimientos!$K$1:$K$471,Movimientos!$C$1:$C$471,"Cross Family Trust",Movimientos!$B$1:$B$471,"&lt;="&amp;$B46)</f>
        <v>116496.38</v>
      </c>
      <c r="I46" s="24">
        <f>SUMIFS('Saldos Iniciales'!$D:$D,'Saldos Iniciales'!$A:$A,"Cross Security Trust")+SUMIFS(Movimientos!$K$1:$K$471,Movimientos!$C$1:$C$471,"Cross Security Trust",Movimientos!$B$1:$B$471,"&lt;="&amp;$B46)</f>
        <v>88090.37</v>
      </c>
      <c r="J46" s="24">
        <f>SUMIFS('Saldos Iniciales'!$D:$D,'Saldos Iniciales'!$A:$A,"Electrama")+SUMIFS(Movimientos!$K$1:$K$471,Movimientos!$C$1:$C$471,"Electrama",Movimientos!$B$1:$B$471,"&lt;="&amp;$B46)</f>
        <v>1227.9699999999998</v>
      </c>
      <c r="K46" s="24">
        <f>SUMIFS('Saldos Iniciales'!$D:$D,'Saldos Iniciales'!$A:$A,"Sacred Valley Capital")+SUMIFS(Movimientos!$K$1:$K$471,Movimientos!$C$1:$C$471,"Sacred Valley Capital",Movimientos!$B$1:$B$471,"&lt;="&amp;$B46)</f>
        <v>84.35</v>
      </c>
      <c r="L46" s="24">
        <f>SUMIFS('Saldos Iniciales'!$D:$D,'Saldos Iniciales'!$A:$A,"YWC Capital")+SUMIFS(Movimientos!$K$1:$K$471,Movimientos!$C$1:$C$471,"YWC Capital",Movimientos!$B$1:$B$471,"&lt;="&amp;$B46)</f>
        <v>2237.77</v>
      </c>
      <c r="M46" s="24">
        <f>SUMIFS('Saldos Iniciales'!$D:$D,'Saldos Iniciales'!$A:$A,"Soweto")+SUMIFS(Movimientos!$K$1:$K$471,Movimientos!$C$1:$C$471,"Soweto",Movimientos!$B$1:$B$471,"&lt;="&amp;$B46)</f>
        <v>3349.94</v>
      </c>
      <c r="N46" s="24">
        <f>SUMIFS('Saldos Iniciales'!$D:$D,'Saldos Iniciales'!$A:$A,"Green Stone Trust")+SUMIFS(Movimientos!$K$1:$K$471,Movimientos!$C$1:$C$471,"Green Stone Trust",Movimientos!$B$1:$B$471,"&lt;="&amp;$B46)</f>
        <v>1968.99</v>
      </c>
      <c r="O46" s="24">
        <f>SUMIFS('Saldos Iniciales'!$D:$D,'Saldos Iniciales'!$A:$A,"EC Auto")+SUMIFS(Movimientos!$K$1:$K$471,Movimientos!$C$1:$C$471,"EC Auto",Movimientos!$B$1:$B$471,"&lt;="&amp;$B46)</f>
        <v>382.69000000000005</v>
      </c>
      <c r="P46" s="24">
        <f>SUMIFS('Saldos Iniciales'!$D:$D,'Saldos Iniciales'!$A:$A,"Arbor Capital Properties")+SUMIFS(Movimientos!$K$1:$K$471,Movimientos!$C$1:$C$471,"Arbor Capital Properties",Movimientos!$B$1:$B$471,"&lt;="&amp;$B46)</f>
        <v>1428.08</v>
      </c>
      <c r="Q46" s="24">
        <f>SUMIFS('Saldos Iniciales'!$D:$D,'Saldos Iniciales'!$A:$A,"2515 Overbrook")+SUMIFS(Movimientos!$K$1:$K$471,Movimientos!$C$1:$C$471,"2515 Overbrook",Movimientos!$B$1:$B$471,"&lt;="&amp;$B46)</f>
        <v>27789.969999999961</v>
      </c>
      <c r="R46" s="24">
        <f>SUMIFS('Saldos Iniciales'!$D:$D,'Saldos Iniciales'!$A:$A,"112 Florida Ave")+SUMIFS(Movimientos!$K$1:$K$471,Movimientos!$C$1:$C$471,"112 Florida Ave",Movimientos!$B$1:$B$471,"&lt;="&amp;$B46)</f>
        <v>5321.4300000000021</v>
      </c>
      <c r="S46" s="24">
        <f>SUMIFS('Saldos Iniciales'!$D:$D,'Saldos Iniciales'!$A:$A,"3628 Thomas Ave")+SUMIFS(Movimientos!$K$1:$K$471,Movimientos!$C$1:$C$471,"3628 Thomas Ave",Movimientos!$B$1:$B$471,"&lt;="&amp;$B46)</f>
        <v>24484.85</v>
      </c>
      <c r="T46" s="24">
        <f>SUMIFS('Saldos Iniciales'!$D:$D,'Saldos Iniciales'!$A:$A,"Green Harbor Trust")+SUMIFS(Movimientos!$K$1:$K$471,Movimientos!$C$1:$C$471,"Green Harbor Trust",Movimientos!$B$1:$B$471,"&lt;="&amp;$B46)</f>
        <v>345</v>
      </c>
      <c r="U46" s="24">
        <f>SUMIFS('Saldos Iniciales'!$D:$D,'Saldos Iniciales'!$A:$A,"Go Blue")+SUMIFS(Movimientos!$K$1:$K$471,Movimientos!$C$1:$C$471,"Go Blue",Movimientos!$B$1:$B$471,"&lt;="&amp;$B46)</f>
        <v>48774.73</v>
      </c>
      <c r="V46" s="25">
        <f t="shared" si="3"/>
        <v>6558788.6799999997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Group")+SUMIFS(Movimientos!$K$1:$K$471,Movimientos!$C$1:$C$471,"CFT Group",Movimientos!$B$1:$B$471,"&lt;="&amp;$B47)</f>
        <v>985975.94000000029</v>
      </c>
      <c r="D47" s="24">
        <f>SUMIFS('Saldos Iniciales'!$D:$D,'Saldos Iniciales'!$A:$A,"M1B")+SUMIFS(Movimientos!$K$1:$K$471,Movimientos!$C$1:$C$471,"M1B",Movimientos!$B$1:$B$471,"&lt;="&amp;$B47)</f>
        <v>69376.390000000174</v>
      </c>
      <c r="E47" s="24">
        <f>SUMIFS('Saldos Iniciales'!$D:$D,'Saldos Iniciales'!$A:$A,"Durand")+SUMIFS(Movimientos!$K$1:$K$471,Movimientos!$C$1:$C$471,"Durand",Movimientos!$B$1:$B$471,"&lt;="&amp;$B47)</f>
        <v>1669.89</v>
      </c>
      <c r="F47" s="24">
        <f>SUMIFS('Saldos Iniciales'!$D:$D,'Saldos Iniciales'!$A:$A,"A&amp;M Imports")+SUMIFS(Movimientos!$K$1:$K$471,Movimientos!$C$1:$C$471,"A&amp;M Imports",Movimientos!$B$1:$B$471,"&lt;="&amp;$B47)</f>
        <v>503904.80999999982</v>
      </c>
      <c r="G47" s="24">
        <f>SUMIFS('Saldos Iniciales'!$D:$D,'Saldos Iniciales'!$A:$A,"SSP Capital")+SUMIFS(Movimientos!$K$1:$K$471,Movimientos!$C$1:$C$471,"SSP Capital",Movimientos!$B$1:$B$471,"&lt;="&amp;$B47)</f>
        <v>3331737.2399999998</v>
      </c>
      <c r="H47" s="24">
        <f>SUMIFS('Saldos Iniciales'!$D:$D,'Saldos Iniciales'!$A:$A,"Cross Family Trust")+SUMIFS(Movimientos!$K$1:$K$471,Movimientos!$C$1:$C$471,"Cross Family Trust",Movimientos!$B$1:$B$471,"&lt;="&amp;$B47)</f>
        <v>116496.38</v>
      </c>
      <c r="I47" s="24">
        <f>SUMIFS('Saldos Iniciales'!$D:$D,'Saldos Iniciales'!$A:$A,"Cross Security Trust")+SUMIFS(Movimientos!$K$1:$K$471,Movimientos!$C$1:$C$471,"Cross Security Trust",Movimientos!$B$1:$B$471,"&lt;="&amp;$B47)</f>
        <v>88090.37</v>
      </c>
      <c r="J47" s="24">
        <f>SUMIFS('Saldos Iniciales'!$D:$D,'Saldos Iniciales'!$A:$A,"Electrama")+SUMIFS(Movimientos!$K$1:$K$471,Movimientos!$C$1:$C$471,"Electrama",Movimientos!$B$1:$B$471,"&lt;="&amp;$B47)</f>
        <v>1227.9699999999998</v>
      </c>
      <c r="K47" s="24">
        <f>SUMIFS('Saldos Iniciales'!$D:$D,'Saldos Iniciales'!$A:$A,"Sacred Valley Capital")+SUMIFS(Movimientos!$K$1:$K$471,Movimientos!$C$1:$C$471,"Sacred Valley Capital",Movimientos!$B$1:$B$471,"&lt;="&amp;$B47)</f>
        <v>84.35</v>
      </c>
      <c r="L47" s="24">
        <f>SUMIFS('Saldos Iniciales'!$D:$D,'Saldos Iniciales'!$A:$A,"YWC Capital")+SUMIFS(Movimientos!$K$1:$K$471,Movimientos!$C$1:$C$471,"YWC Capital",Movimientos!$B$1:$B$471,"&lt;="&amp;$B47)</f>
        <v>2237.77</v>
      </c>
      <c r="M47" s="24">
        <f>SUMIFS('Saldos Iniciales'!$D:$D,'Saldos Iniciales'!$A:$A,"Soweto")+SUMIFS(Movimientos!$K$1:$K$471,Movimientos!$C$1:$C$471,"Soweto",Movimientos!$B$1:$B$471,"&lt;="&amp;$B47)</f>
        <v>3349.94</v>
      </c>
      <c r="N47" s="24">
        <f>SUMIFS('Saldos Iniciales'!$D:$D,'Saldos Iniciales'!$A:$A,"Green Stone Trust")+SUMIFS(Movimientos!$K$1:$K$471,Movimientos!$C$1:$C$471,"Green Stone Trust",Movimientos!$B$1:$B$471,"&lt;="&amp;$B47)</f>
        <v>1968.99</v>
      </c>
      <c r="O47" s="24">
        <f>SUMIFS('Saldos Iniciales'!$D:$D,'Saldos Iniciales'!$A:$A,"EC Auto")+SUMIFS(Movimientos!$K$1:$K$471,Movimientos!$C$1:$C$471,"EC Auto",Movimientos!$B$1:$B$471,"&lt;="&amp;$B47)</f>
        <v>382.69000000000005</v>
      </c>
      <c r="P47" s="24">
        <f>SUMIFS('Saldos Iniciales'!$D:$D,'Saldos Iniciales'!$A:$A,"Arbor Capital Properties")+SUMIFS(Movimientos!$K$1:$K$471,Movimientos!$C$1:$C$471,"Arbor Capital Properties",Movimientos!$B$1:$B$471,"&lt;="&amp;$B47)</f>
        <v>1428.08</v>
      </c>
      <c r="Q47" s="24">
        <f>SUMIFS('Saldos Iniciales'!$D:$D,'Saldos Iniciales'!$A:$A,"2515 Overbrook")+SUMIFS(Movimientos!$K$1:$K$471,Movimientos!$C$1:$C$471,"2515 Overbrook",Movimientos!$B$1:$B$471,"&lt;="&amp;$B47)</f>
        <v>29789.969999999961</v>
      </c>
      <c r="R47" s="24">
        <f>SUMIFS('Saldos Iniciales'!$D:$D,'Saldos Iniciales'!$A:$A,"112 Florida Ave")+SUMIFS(Movimientos!$K$1:$K$471,Movimientos!$C$1:$C$471,"112 Florida Ave",Movimientos!$B$1:$B$471,"&lt;="&amp;$B47)</f>
        <v>5321.4300000000021</v>
      </c>
      <c r="S47" s="24">
        <f>SUMIFS('Saldos Iniciales'!$D:$D,'Saldos Iniciales'!$A:$A,"3628 Thomas Ave")+SUMIFS(Movimientos!$K$1:$K$471,Movimientos!$C$1:$C$471,"3628 Thomas Ave",Movimientos!$B$1:$B$471,"&lt;="&amp;$B47)</f>
        <v>20484.849999999999</v>
      </c>
      <c r="T47" s="24">
        <f>SUMIFS('Saldos Iniciales'!$D:$D,'Saldos Iniciales'!$A:$A,"Green Harbor Trust")+SUMIFS(Movimientos!$K$1:$K$471,Movimientos!$C$1:$C$471,"Green Harbor Trust",Movimientos!$B$1:$B$471,"&lt;="&amp;$B47)</f>
        <v>345</v>
      </c>
      <c r="U47" s="24">
        <f>SUMIFS('Saldos Iniciales'!$D:$D,'Saldos Iniciales'!$A:$A,"Go Blue")+SUMIFS(Movimientos!$K$1:$K$471,Movimientos!$C$1:$C$471,"Go Blue",Movimientos!$B$1:$B$471,"&lt;="&amp;$B47)</f>
        <v>48724.73</v>
      </c>
      <c r="V47" s="25">
        <f t="shared" ref="V47" si="4">SUM(C47:U47)</f>
        <v>5212596.7899999991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Group")+SUMIFS(Movimientos!$K$1:$K$471,Movimientos!$C$1:$C$471,"CFT Group",Movimientos!$B$1:$B$471,"&lt;="&amp;$B48)</f>
        <v>1086358.7500000002</v>
      </c>
      <c r="D48" s="24">
        <f>SUMIFS('Saldos Iniciales'!$D:$D,'Saldos Iniciales'!$A:$A,"M1B")+SUMIFS(Movimientos!$K$1:$K$471,Movimientos!$C$1:$C$471,"M1B",Movimientos!$B$1:$B$471,"&lt;="&amp;$B48)</f>
        <v>69376.390000000174</v>
      </c>
      <c r="E48" s="24">
        <f>SUMIFS('Saldos Iniciales'!$D:$D,'Saldos Iniciales'!$A:$A,"Durand")+SUMIFS(Movimientos!$K$1:$K$471,Movimientos!$C$1:$C$471,"Durand",Movimientos!$B$1:$B$471,"&lt;="&amp;$B48)</f>
        <v>1669.89</v>
      </c>
      <c r="F48" s="24">
        <f>SUMIFS('Saldos Iniciales'!$D:$D,'Saldos Iniciales'!$A:$A,"A&amp;M Imports")+SUMIFS(Movimientos!$K$1:$K$471,Movimientos!$C$1:$C$471,"A&amp;M Imports",Movimientos!$B$1:$B$471,"&lt;="&amp;$B48)</f>
        <v>503904.80999999982</v>
      </c>
      <c r="G48" s="24">
        <f>SUMIFS('Saldos Iniciales'!$D:$D,'Saldos Iniciales'!$A:$A,"SSP Capital")+SUMIFS(Movimientos!$K$1:$K$471,Movimientos!$C$1:$C$471,"SSP Capital",Movimientos!$B$1:$B$471,"&lt;="&amp;$B48)</f>
        <v>3329246.88</v>
      </c>
      <c r="H48" s="24">
        <f>SUMIFS('Saldos Iniciales'!$D:$D,'Saldos Iniciales'!$A:$A,"Cross Family Trust")+SUMIFS(Movimientos!$K$1:$K$471,Movimientos!$C$1:$C$471,"Cross Family Trust",Movimientos!$B$1:$B$471,"&lt;="&amp;$B48)</f>
        <v>116496.38</v>
      </c>
      <c r="I48" s="24">
        <f>SUMIFS('Saldos Iniciales'!$D:$D,'Saldos Iniciales'!$A:$A,"Cross Security Trust")+SUMIFS(Movimientos!$K$1:$K$471,Movimientos!$C$1:$C$471,"Cross Security Trust",Movimientos!$B$1:$B$471,"&lt;="&amp;$B48)</f>
        <v>88090.37</v>
      </c>
      <c r="J48" s="24">
        <f>SUMIFS('Saldos Iniciales'!$D:$D,'Saldos Iniciales'!$A:$A,"Electrama")+SUMIFS(Movimientos!$K$1:$K$471,Movimientos!$C$1:$C$471,"Electrama",Movimientos!$B$1:$B$471,"&lt;="&amp;$B48)</f>
        <v>1227.9699999999998</v>
      </c>
      <c r="K48" s="24">
        <f>SUMIFS('Saldos Iniciales'!$D:$D,'Saldos Iniciales'!$A:$A,"Sacred Valley Capital")+SUMIFS(Movimientos!$K$1:$K$471,Movimientos!$C$1:$C$471,"Sacred Valley Capital",Movimientos!$B$1:$B$471,"&lt;="&amp;$B48)</f>
        <v>84.35</v>
      </c>
      <c r="L48" s="24">
        <f>SUMIFS('Saldos Iniciales'!$D:$D,'Saldos Iniciales'!$A:$A,"YWC Capital")+SUMIFS(Movimientos!$K$1:$K$471,Movimientos!$C$1:$C$471,"YWC Capital",Movimientos!$B$1:$B$471,"&lt;="&amp;$B48)</f>
        <v>2237.77</v>
      </c>
      <c r="M48" s="24">
        <f>SUMIFS('Saldos Iniciales'!$D:$D,'Saldos Iniciales'!$A:$A,"Soweto")+SUMIFS(Movimientos!$K$1:$K$471,Movimientos!$C$1:$C$471,"Soweto",Movimientos!$B$1:$B$471,"&lt;="&amp;$B48)</f>
        <v>3349.94</v>
      </c>
      <c r="N48" s="24">
        <f>SUMIFS('Saldos Iniciales'!$D:$D,'Saldos Iniciales'!$A:$A,"Green Stone Trust")+SUMIFS(Movimientos!$K$1:$K$471,Movimientos!$C$1:$C$471,"Green Stone Trust",Movimientos!$B$1:$B$471,"&lt;="&amp;$B48)</f>
        <v>1968.99</v>
      </c>
      <c r="O48" s="24">
        <f>SUMIFS('Saldos Iniciales'!$D:$D,'Saldos Iniciales'!$A:$A,"EC Auto")+SUMIFS(Movimientos!$K$1:$K$471,Movimientos!$C$1:$C$471,"EC Auto",Movimientos!$B$1:$B$471,"&lt;="&amp;$B48)</f>
        <v>382.69000000000005</v>
      </c>
      <c r="P48" s="24">
        <f>SUMIFS('Saldos Iniciales'!$D:$D,'Saldos Iniciales'!$A:$A,"Arbor Capital Properties")+SUMIFS(Movimientos!$K$1:$K$471,Movimientos!$C$1:$C$471,"Arbor Capital Properties",Movimientos!$B$1:$B$471,"&lt;="&amp;$B48)</f>
        <v>1428.08</v>
      </c>
      <c r="Q48" s="24">
        <f>SUMIFS('Saldos Iniciales'!$D:$D,'Saldos Iniciales'!$A:$A,"2515 Overbrook")+SUMIFS(Movimientos!$K$1:$K$471,Movimientos!$C$1:$C$471,"2515 Overbrook",Movimientos!$B$1:$B$471,"&lt;="&amp;$B48)</f>
        <v>29789.969999999961</v>
      </c>
      <c r="R48" s="24">
        <f>SUMIFS('Saldos Iniciales'!$D:$D,'Saldos Iniciales'!$A:$A,"112 Florida Ave")+SUMIFS(Movimientos!$K$1:$K$471,Movimientos!$C$1:$C$471,"112 Florida Ave",Movimientos!$B$1:$B$471,"&lt;="&amp;$B48)</f>
        <v>20321.43</v>
      </c>
      <c r="S48" s="24">
        <f>SUMIFS('Saldos Iniciales'!$D:$D,'Saldos Iniciales'!$A:$A,"3628 Thomas Ave")+SUMIFS(Movimientos!$K$1:$K$471,Movimientos!$C$1:$C$471,"3628 Thomas Ave",Movimientos!$B$1:$B$471,"&lt;="&amp;$B48)</f>
        <v>19811.349999999999</v>
      </c>
      <c r="T48" s="24">
        <f>SUMIFS('Saldos Iniciales'!$D:$D,'Saldos Iniciales'!$A:$A,"Green Harbor Trust")+SUMIFS(Movimientos!$K$1:$K$471,Movimientos!$C$1:$C$471,"Green Harbor Trust",Movimientos!$B$1:$B$471,"&lt;="&amp;$B48)</f>
        <v>345</v>
      </c>
      <c r="U48" s="24">
        <f>SUMIFS('Saldos Iniciales'!$D:$D,'Saldos Iniciales'!$A:$A,"Go Blue")+SUMIFS(Movimientos!$K$1:$K$471,Movimientos!$C$1:$C$471,"Go Blue",Movimientos!$B$1:$B$471,"&lt;="&amp;$B48)</f>
        <v>46041.01</v>
      </c>
      <c r="V48" s="25">
        <f t="shared" ref="V48" si="5">SUM(C48:U48)</f>
        <v>5322132.0199999986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Group")+SUMIFS(Movimientos!$K$1:$K$471,Movimientos!$C$1:$C$471,"CFT Group",Movimientos!$B$1:$B$471,"&lt;="&amp;$B49)</f>
        <v>1098358.7500000002</v>
      </c>
      <c r="D49" s="24">
        <f>SUMIFS('Saldos Iniciales'!$D:$D,'Saldos Iniciales'!$A:$A,"M1B")+SUMIFS(Movimientos!$K$1:$K$471,Movimientos!$C$1:$C$471,"M1B",Movimientos!$B$1:$B$471,"&lt;="&amp;$B49)</f>
        <v>69376.390000000174</v>
      </c>
      <c r="E49" s="24">
        <f>SUMIFS('Saldos Iniciales'!$D:$D,'Saldos Iniciales'!$A:$A,"Durand")+SUMIFS(Movimientos!$K$1:$K$471,Movimientos!$C$1:$C$471,"Durand",Movimientos!$B$1:$B$471,"&lt;="&amp;$B49)</f>
        <v>1669.89</v>
      </c>
      <c r="F49" s="24">
        <f>SUMIFS('Saldos Iniciales'!$D:$D,'Saldos Iniciales'!$A:$A,"A&amp;M Imports")+SUMIFS(Movimientos!$K$1:$K$471,Movimientos!$C$1:$C$471,"A&amp;M Imports",Movimientos!$B$1:$B$471,"&lt;="&amp;$B49)</f>
        <v>503904.80999999982</v>
      </c>
      <c r="G49" s="24">
        <f>SUMIFS('Saldos Iniciales'!$D:$D,'Saldos Iniciales'!$A:$A,"SSP Capital")+SUMIFS(Movimientos!$K$1:$K$471,Movimientos!$C$1:$C$471,"SSP Capital",Movimientos!$B$1:$B$471,"&lt;="&amp;$B49)</f>
        <v>3326863.3899999997</v>
      </c>
      <c r="H49" s="24">
        <f>SUMIFS('Saldos Iniciales'!$D:$D,'Saldos Iniciales'!$A:$A,"Cross Family Trust")+SUMIFS(Movimientos!$K$1:$K$471,Movimientos!$C$1:$C$471,"Cross Family Trust",Movimientos!$B$1:$B$471,"&lt;="&amp;$B49)</f>
        <v>116496.38</v>
      </c>
      <c r="I49" s="24">
        <f>SUMIFS('Saldos Iniciales'!$D:$D,'Saldos Iniciales'!$A:$A,"Cross Security Trust")+SUMIFS(Movimientos!$K$1:$K$471,Movimientos!$C$1:$C$471,"Cross Security Trust",Movimientos!$B$1:$B$471,"&lt;="&amp;$B49)</f>
        <v>88090.37</v>
      </c>
      <c r="J49" s="24">
        <f>SUMIFS('Saldos Iniciales'!$D:$D,'Saldos Iniciales'!$A:$A,"Electrama")+SUMIFS(Movimientos!$K$1:$K$471,Movimientos!$C$1:$C$471,"Electrama",Movimientos!$B$1:$B$471,"&lt;="&amp;$B49)</f>
        <v>1227.9699999999998</v>
      </c>
      <c r="K49" s="24">
        <f>SUMIFS('Saldos Iniciales'!$D:$D,'Saldos Iniciales'!$A:$A,"Sacred Valley Capital")+SUMIFS(Movimientos!$K$1:$K$471,Movimientos!$C$1:$C$471,"Sacred Valley Capital",Movimientos!$B$1:$B$471,"&lt;="&amp;$B49)</f>
        <v>84.35</v>
      </c>
      <c r="L49" s="24">
        <f>SUMIFS('Saldos Iniciales'!$D:$D,'Saldos Iniciales'!$A:$A,"YWC Capital")+SUMIFS(Movimientos!$K$1:$K$471,Movimientos!$C$1:$C$471,"YWC Capital",Movimientos!$B$1:$B$471,"&lt;="&amp;$B49)</f>
        <v>2237.77</v>
      </c>
      <c r="M49" s="24">
        <f>SUMIFS('Saldos Iniciales'!$D:$D,'Saldos Iniciales'!$A:$A,"Soweto")+SUMIFS(Movimientos!$K$1:$K$471,Movimientos!$C$1:$C$471,"Soweto",Movimientos!$B$1:$B$471,"&lt;="&amp;$B49)</f>
        <v>3349.94</v>
      </c>
      <c r="N49" s="24">
        <f>SUMIFS('Saldos Iniciales'!$D:$D,'Saldos Iniciales'!$A:$A,"Green Stone Trust")+SUMIFS(Movimientos!$K$1:$K$471,Movimientos!$C$1:$C$471,"Green Stone Trust",Movimientos!$B$1:$B$471,"&lt;="&amp;$B49)</f>
        <v>1968.99</v>
      </c>
      <c r="O49" s="24">
        <f>SUMIFS('Saldos Iniciales'!$D:$D,'Saldos Iniciales'!$A:$A,"EC Auto")+SUMIFS(Movimientos!$K$1:$K$471,Movimientos!$C$1:$C$471,"EC Auto",Movimientos!$B$1:$B$471,"&lt;="&amp;$B49)</f>
        <v>382.69000000000005</v>
      </c>
      <c r="P49" s="24">
        <f>SUMIFS('Saldos Iniciales'!$D:$D,'Saldos Iniciales'!$A:$A,"Arbor Capital Properties")+SUMIFS(Movimientos!$K$1:$K$471,Movimientos!$C$1:$C$471,"Arbor Capital Properties",Movimientos!$B$1:$B$471,"&lt;="&amp;$B49)</f>
        <v>1428.08</v>
      </c>
      <c r="Q49" s="24">
        <f>SUMIFS('Saldos Iniciales'!$D:$D,'Saldos Iniciales'!$A:$A,"2515 Overbrook")+SUMIFS(Movimientos!$K$1:$K$471,Movimientos!$C$1:$C$471,"2515 Overbrook",Movimientos!$B$1:$B$471,"&lt;="&amp;$B49)</f>
        <v>29789.969999999961</v>
      </c>
      <c r="R49" s="24">
        <f>SUMIFS('Saldos Iniciales'!$D:$D,'Saldos Iniciales'!$A:$A,"112 Florida Ave")+SUMIFS(Movimientos!$K$1:$K$471,Movimientos!$C$1:$C$471,"112 Florida Ave",Movimientos!$B$1:$B$471,"&lt;="&amp;$B49)</f>
        <v>20321.43</v>
      </c>
      <c r="S49" s="24">
        <f>SUMIFS('Saldos Iniciales'!$D:$D,'Saldos Iniciales'!$A:$A,"3628 Thomas Ave")+SUMIFS(Movimientos!$K$1:$K$471,Movimientos!$C$1:$C$471,"3628 Thomas Ave",Movimientos!$B$1:$B$471,"&lt;="&amp;$B49)</f>
        <v>16681.349999999999</v>
      </c>
      <c r="T49" s="24">
        <f>SUMIFS('Saldos Iniciales'!$D:$D,'Saldos Iniciales'!$A:$A,"Green Harbor Trust")+SUMIFS(Movimientos!$K$1:$K$471,Movimientos!$C$1:$C$471,"Green Harbor Trust",Movimientos!$B$1:$B$471,"&lt;="&amp;$B49)</f>
        <v>345</v>
      </c>
      <c r="U49" s="24">
        <f>SUMIFS('Saldos Iniciales'!$D:$D,'Saldos Iniciales'!$A:$A,"Go Blue")+SUMIFS(Movimientos!$K$1:$K$471,Movimientos!$C$1:$C$471,"Go Blue",Movimientos!$B$1:$B$471,"&lt;="&amp;$B49)</f>
        <v>45041.01</v>
      </c>
      <c r="V49" s="25">
        <f t="shared" ref="V49" si="6">SUM(C49:U49)</f>
        <v>5327618.5299999984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Group")+SUMIFS(Movimientos!$K$1:$K$471,Movimientos!$C$1:$C$471,"CFT Group",Movimientos!$B$1:$B$471,"&lt;="&amp;$B50)</f>
        <v>1098358.7500000002</v>
      </c>
      <c r="D50" s="24">
        <f>SUMIFS('Saldos Iniciales'!$D:$D,'Saldos Iniciales'!$A:$A,"M1B")+SUMIFS(Movimientos!$K$1:$K$471,Movimientos!$C$1:$C$471,"M1B",Movimientos!$B$1:$B$471,"&lt;="&amp;$B50)</f>
        <v>69376.390000000174</v>
      </c>
      <c r="E50" s="24">
        <f>SUMIFS('Saldos Iniciales'!$D:$D,'Saldos Iniciales'!$A:$A,"Durand")+SUMIFS(Movimientos!$K$1:$K$471,Movimientos!$C$1:$C$471,"Durand",Movimientos!$B$1:$B$471,"&lt;="&amp;$B50)</f>
        <v>1669.89</v>
      </c>
      <c r="F50" s="24">
        <f>SUMIFS('Saldos Iniciales'!$D:$D,'Saldos Iniciales'!$A:$A,"A&amp;M Imports")+SUMIFS(Movimientos!$K$1:$K$471,Movimientos!$C$1:$C$471,"A&amp;M Imports",Movimientos!$B$1:$B$471,"&lt;="&amp;$B50)</f>
        <v>503904.80999999982</v>
      </c>
      <c r="G50" s="24">
        <f>SUMIFS('Saldos Iniciales'!$D:$D,'Saldos Iniciales'!$A:$A,"SSP Capital")+SUMIFS(Movimientos!$K$1:$K$471,Movimientos!$C$1:$C$471,"SSP Capital",Movimientos!$B$1:$B$471,"&lt;="&amp;$B50)</f>
        <v>3326696.7299999995</v>
      </c>
      <c r="H50" s="24">
        <f>SUMIFS('Saldos Iniciales'!$D:$D,'Saldos Iniciales'!$A:$A,"Cross Family Trust")+SUMIFS(Movimientos!$K$1:$K$471,Movimientos!$C$1:$C$471,"Cross Family Trust",Movimientos!$B$1:$B$471,"&lt;="&amp;$B50)</f>
        <v>116496.38</v>
      </c>
      <c r="I50" s="24">
        <f>SUMIFS('Saldos Iniciales'!$D:$D,'Saldos Iniciales'!$A:$A,"Cross Security Trust")+SUMIFS(Movimientos!$K$1:$K$471,Movimientos!$C$1:$C$471,"Cross Security Trust",Movimientos!$B$1:$B$471,"&lt;="&amp;$B50)</f>
        <v>88090.37</v>
      </c>
      <c r="J50" s="24">
        <f>SUMIFS('Saldos Iniciales'!$D:$D,'Saldos Iniciales'!$A:$A,"Electrama")+SUMIFS(Movimientos!$K$1:$K$471,Movimientos!$C$1:$C$471,"Electrama",Movimientos!$B$1:$B$471,"&lt;="&amp;$B50)</f>
        <v>1227.9699999999998</v>
      </c>
      <c r="K50" s="24">
        <f>SUMIFS('Saldos Iniciales'!$D:$D,'Saldos Iniciales'!$A:$A,"Sacred Valley Capital")+SUMIFS(Movimientos!$K$1:$K$471,Movimientos!$C$1:$C$471,"Sacred Valley Capital",Movimientos!$B$1:$B$471,"&lt;="&amp;$B50)</f>
        <v>84.35</v>
      </c>
      <c r="L50" s="24">
        <f>SUMIFS('Saldos Iniciales'!$D:$D,'Saldos Iniciales'!$A:$A,"YWC Capital")+SUMIFS(Movimientos!$K$1:$K$471,Movimientos!$C$1:$C$471,"YWC Capital",Movimientos!$B$1:$B$471,"&lt;="&amp;$B50)</f>
        <v>2237.77</v>
      </c>
      <c r="M50" s="24">
        <f>SUMIFS('Saldos Iniciales'!$D:$D,'Saldos Iniciales'!$A:$A,"Soweto")+SUMIFS(Movimientos!$K$1:$K$471,Movimientos!$C$1:$C$471,"Soweto",Movimientos!$B$1:$B$471,"&lt;="&amp;$B50)</f>
        <v>3349.94</v>
      </c>
      <c r="N50" s="24">
        <f>SUMIFS('Saldos Iniciales'!$D:$D,'Saldos Iniciales'!$A:$A,"Green Stone Trust")+SUMIFS(Movimientos!$K$1:$K$471,Movimientos!$C$1:$C$471,"Green Stone Trust",Movimientos!$B$1:$B$471,"&lt;="&amp;$B50)</f>
        <v>1968.99</v>
      </c>
      <c r="O50" s="24">
        <f>SUMIFS('Saldos Iniciales'!$D:$D,'Saldos Iniciales'!$A:$A,"EC Auto")+SUMIFS(Movimientos!$K$1:$K$471,Movimientos!$C$1:$C$471,"EC Auto",Movimientos!$B$1:$B$471,"&lt;="&amp;$B50)</f>
        <v>382.69000000000005</v>
      </c>
      <c r="P50" s="24">
        <f>SUMIFS('Saldos Iniciales'!$D:$D,'Saldos Iniciales'!$A:$A,"Arbor Capital Properties")+SUMIFS(Movimientos!$K$1:$K$471,Movimientos!$C$1:$C$471,"Arbor Capital Properties",Movimientos!$B$1:$B$471,"&lt;="&amp;$B50)</f>
        <v>1428.08</v>
      </c>
      <c r="Q50" s="24">
        <f>SUMIFS('Saldos Iniciales'!$D:$D,'Saldos Iniciales'!$A:$A,"2515 Overbrook")+SUMIFS(Movimientos!$K$1:$K$471,Movimientos!$C$1:$C$471,"2515 Overbrook",Movimientos!$B$1:$B$471,"&lt;="&amp;$B50)</f>
        <v>29789.969999999961</v>
      </c>
      <c r="R50" s="24">
        <f>SUMIFS('Saldos Iniciales'!$D:$D,'Saldos Iniciales'!$A:$A,"112 Florida Ave")+SUMIFS(Movimientos!$K$1:$K$471,Movimientos!$C$1:$C$471,"112 Florida Ave",Movimientos!$B$1:$B$471,"&lt;="&amp;$B50)</f>
        <v>20321.43</v>
      </c>
      <c r="S50" s="24">
        <f>SUMIFS('Saldos Iniciales'!$D:$D,'Saldos Iniciales'!$A:$A,"3628 Thomas Ave")+SUMIFS(Movimientos!$K$1:$K$471,Movimientos!$C$1:$C$471,"3628 Thomas Ave",Movimientos!$B$1:$B$471,"&lt;="&amp;$B50)</f>
        <v>16681.349999999999</v>
      </c>
      <c r="T50" s="24">
        <f>SUMIFS('Saldos Iniciales'!$D:$D,'Saldos Iniciales'!$A:$A,"Green Harbor Trust")+SUMIFS(Movimientos!$K$1:$K$471,Movimientos!$C$1:$C$471,"Green Harbor Trust",Movimientos!$B$1:$B$471,"&lt;="&amp;$B50)</f>
        <v>345</v>
      </c>
      <c r="U50" s="24">
        <f>SUMIFS('Saldos Iniciales'!$D:$D,'Saldos Iniciales'!$A:$A,"Go Blue")+SUMIFS(Movimientos!$K$1:$K$471,Movimientos!$C$1:$C$471,"Go Blue",Movimientos!$B$1:$B$471,"&lt;="&amp;$B50)</f>
        <v>45041.01</v>
      </c>
      <c r="V50" s="25">
        <f t="shared" ref="V50:V51" si="7">SUM(C50:U50)</f>
        <v>5327451.8699999982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Group")+SUMIFS(Movimientos!$K$1:$K$471,Movimientos!$C$1:$C$471,"CFT Group",Movimientos!$B$1:$B$471,"&lt;="&amp;$B51)</f>
        <v>1098358.7500000002</v>
      </c>
      <c r="D51" s="24">
        <f>SUMIFS('Saldos Iniciales'!$D:$D,'Saldos Iniciales'!$A:$A,"M1B")+SUMIFS(Movimientos!$K$1:$K$471,Movimientos!$C$1:$C$471,"M1B",Movimientos!$B$1:$B$471,"&lt;="&amp;$B51)</f>
        <v>69376.390000000174</v>
      </c>
      <c r="E51" s="24">
        <f>SUMIFS('Saldos Iniciales'!$D:$D,'Saldos Iniciales'!$A:$A,"Durand")+SUMIFS(Movimientos!$K$1:$K$471,Movimientos!$C$1:$C$471,"Durand",Movimientos!$B$1:$B$471,"&lt;="&amp;$B51)</f>
        <v>1669.89</v>
      </c>
      <c r="F51" s="24">
        <f>SUMIFS('Saldos Iniciales'!$D:$D,'Saldos Iniciales'!$A:$A,"A&amp;M Imports")+SUMIFS(Movimientos!$K$1:$K$471,Movimientos!$C$1:$C$471,"A&amp;M Imports",Movimientos!$B$1:$B$471,"&lt;="&amp;$B51)</f>
        <v>503904.80999999982</v>
      </c>
      <c r="G51" s="24">
        <f>SUMIFS('Saldos Iniciales'!$D:$D,'Saldos Iniciales'!$A:$A,"SSP Capital")+SUMIFS(Movimientos!$K$1:$K$471,Movimientos!$C$1:$C$471,"SSP Capital",Movimientos!$B$1:$B$471,"&lt;="&amp;$B51)</f>
        <v>3326696.7299999995</v>
      </c>
      <c r="H51" s="24">
        <f>SUMIFS('Saldos Iniciales'!$D:$D,'Saldos Iniciales'!$A:$A,"Cross Family Trust")+SUMIFS(Movimientos!$K$1:$K$471,Movimientos!$C$1:$C$471,"Cross Family Trust",Movimientos!$B$1:$B$471,"&lt;="&amp;$B51)</f>
        <v>116496.38</v>
      </c>
      <c r="I51" s="24">
        <f>SUMIFS('Saldos Iniciales'!$D:$D,'Saldos Iniciales'!$A:$A,"Cross Security Trust")+SUMIFS(Movimientos!$K$1:$K$471,Movimientos!$C$1:$C$471,"Cross Security Trust",Movimientos!$B$1:$B$471,"&lt;="&amp;$B51)</f>
        <v>88090.37</v>
      </c>
      <c r="J51" s="24">
        <f>SUMIFS('Saldos Iniciales'!$D:$D,'Saldos Iniciales'!$A:$A,"Electrama")+SUMIFS(Movimientos!$K$1:$K$471,Movimientos!$C$1:$C$471,"Electrama",Movimientos!$B$1:$B$471,"&lt;="&amp;$B51)</f>
        <v>1227.9699999999998</v>
      </c>
      <c r="K51" s="24">
        <f>SUMIFS('Saldos Iniciales'!$D:$D,'Saldos Iniciales'!$A:$A,"Sacred Valley Capital")+SUMIFS(Movimientos!$K$1:$K$471,Movimientos!$C$1:$C$471,"Sacred Valley Capital",Movimientos!$B$1:$B$471,"&lt;="&amp;$B51)</f>
        <v>84.35</v>
      </c>
      <c r="L51" s="24">
        <f>SUMIFS('Saldos Iniciales'!$D:$D,'Saldos Iniciales'!$A:$A,"YWC Capital")+SUMIFS(Movimientos!$K$1:$K$471,Movimientos!$C$1:$C$471,"YWC Capital",Movimientos!$B$1:$B$471,"&lt;="&amp;$B51)</f>
        <v>2237.77</v>
      </c>
      <c r="M51" s="24">
        <f>SUMIFS('Saldos Iniciales'!$D:$D,'Saldos Iniciales'!$A:$A,"Soweto")+SUMIFS(Movimientos!$K$1:$K$471,Movimientos!$C$1:$C$471,"Soweto",Movimientos!$B$1:$B$471,"&lt;="&amp;$B51)</f>
        <v>3349.94</v>
      </c>
      <c r="N51" s="24">
        <f>SUMIFS('Saldos Iniciales'!$D:$D,'Saldos Iniciales'!$A:$A,"Green Stone Trust")+SUMIFS(Movimientos!$K$1:$K$471,Movimientos!$C$1:$C$471,"Green Stone Trust",Movimientos!$B$1:$B$471,"&lt;="&amp;$B51)</f>
        <v>1968.99</v>
      </c>
      <c r="O51" s="24">
        <f>SUMIFS('Saldos Iniciales'!$D:$D,'Saldos Iniciales'!$A:$A,"EC Auto")+SUMIFS(Movimientos!$K$1:$K$471,Movimientos!$C$1:$C$471,"EC Auto",Movimientos!$B$1:$B$471,"&lt;="&amp;$B51)</f>
        <v>382.69000000000005</v>
      </c>
      <c r="P51" s="24">
        <f>SUMIFS('Saldos Iniciales'!$D:$D,'Saldos Iniciales'!$A:$A,"Arbor Capital Properties")+SUMIFS(Movimientos!$K$1:$K$471,Movimientos!$C$1:$C$471,"Arbor Capital Properties",Movimientos!$B$1:$B$471,"&lt;="&amp;$B51)</f>
        <v>1428.08</v>
      </c>
      <c r="Q51" s="24">
        <f>SUMIFS('Saldos Iniciales'!$D:$D,'Saldos Iniciales'!$A:$A,"2515 Overbrook")+SUMIFS(Movimientos!$K$1:$K$471,Movimientos!$C$1:$C$471,"2515 Overbrook",Movimientos!$B$1:$B$471,"&lt;="&amp;$B51)</f>
        <v>29789.969999999961</v>
      </c>
      <c r="R51" s="24">
        <f>SUMIFS('Saldos Iniciales'!$D:$D,'Saldos Iniciales'!$A:$A,"112 Florida Ave")+SUMIFS(Movimientos!$K$1:$K$471,Movimientos!$C$1:$C$471,"112 Florida Ave",Movimientos!$B$1:$B$471,"&lt;="&amp;$B51)</f>
        <v>20321.43</v>
      </c>
      <c r="S51" s="24">
        <f>SUMIFS('Saldos Iniciales'!$D:$D,'Saldos Iniciales'!$A:$A,"3628 Thomas Ave")+SUMIFS(Movimientos!$K$1:$K$471,Movimientos!$C$1:$C$471,"3628 Thomas Ave",Movimientos!$B$1:$B$471,"&lt;="&amp;$B51)</f>
        <v>16681.349999999999</v>
      </c>
      <c r="T51" s="24">
        <f>SUMIFS('Saldos Iniciales'!$D:$D,'Saldos Iniciales'!$A:$A,"Green Harbor Trust")+SUMIFS(Movimientos!$K$1:$K$471,Movimientos!$C$1:$C$471,"Green Harbor Trust",Movimientos!$B$1:$B$471,"&lt;="&amp;$B51)</f>
        <v>345</v>
      </c>
      <c r="U51" s="24">
        <f>SUMIFS('Saldos Iniciales'!$D:$D,'Saldos Iniciales'!$A:$A,"Go Blue")+SUMIFS(Movimientos!$K$1:$K$471,Movimientos!$C$1:$C$471,"Go Blue",Movimientos!$B$1:$B$471,"&lt;="&amp;$B51)</f>
        <v>45041.01</v>
      </c>
      <c r="V51" s="25">
        <f t="shared" si="7"/>
        <v>5327451.8699999982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Group")+SUMIFS(Movimientos!$K$1:$K$471,Movimientos!$C$1:$C$471,"CFT Group",Movimientos!$B$1:$B$471,"&lt;="&amp;$B52)</f>
        <v>1098358.7500000002</v>
      </c>
      <c r="D52" s="24">
        <f>SUMIFS('Saldos Iniciales'!$D:$D,'Saldos Iniciales'!$A:$A,"M1B")+SUMIFS(Movimientos!$K$1:$K$471,Movimientos!$C$1:$C$471,"M1B",Movimientos!$B$1:$B$471,"&lt;="&amp;$B52)</f>
        <v>69376.390000000174</v>
      </c>
      <c r="E52" s="24">
        <f>SUMIFS('Saldos Iniciales'!$D:$D,'Saldos Iniciales'!$A:$A,"Durand")+SUMIFS(Movimientos!$K$1:$K$471,Movimientos!$C$1:$C$471,"Durand",Movimientos!$B$1:$B$471,"&lt;="&amp;$B52)</f>
        <v>1669.89</v>
      </c>
      <c r="F52" s="24">
        <f>SUMIFS('Saldos Iniciales'!$D:$D,'Saldos Iniciales'!$A:$A,"A&amp;M Imports")+SUMIFS(Movimientos!$K$1:$K$471,Movimientos!$C$1:$C$471,"A&amp;M Imports",Movimientos!$B$1:$B$471,"&lt;="&amp;$B52)</f>
        <v>503904.80999999982</v>
      </c>
      <c r="G52" s="24">
        <f>SUMIFS('Saldos Iniciales'!$D:$D,'Saldos Iniciales'!$A:$A,"SSP Capital")+SUMIFS(Movimientos!$K$1:$K$471,Movimientos!$C$1:$C$471,"SSP Capital",Movimientos!$B$1:$B$471,"&lt;="&amp;$B52)</f>
        <v>3326696.7299999995</v>
      </c>
      <c r="H52" s="24">
        <f>SUMIFS('Saldos Iniciales'!$D:$D,'Saldos Iniciales'!$A:$A,"Cross Family Trust")+SUMIFS(Movimientos!$K$1:$K$471,Movimientos!$C$1:$C$471,"Cross Family Trust",Movimientos!$B$1:$B$471,"&lt;="&amp;$B52)</f>
        <v>116496.38</v>
      </c>
      <c r="I52" s="24">
        <f>SUMIFS('Saldos Iniciales'!$D:$D,'Saldos Iniciales'!$A:$A,"Cross Security Trust")+SUMIFS(Movimientos!$K$1:$K$471,Movimientos!$C$1:$C$471,"Cross Security Trust",Movimientos!$B$1:$B$471,"&lt;="&amp;$B52)</f>
        <v>88090.37</v>
      </c>
      <c r="J52" s="24">
        <f>SUMIFS('Saldos Iniciales'!$D:$D,'Saldos Iniciales'!$A:$A,"Electrama")+SUMIFS(Movimientos!$K$1:$K$471,Movimientos!$C$1:$C$471,"Electrama",Movimientos!$B$1:$B$471,"&lt;="&amp;$B52)</f>
        <v>1227.9699999999998</v>
      </c>
      <c r="K52" s="24">
        <f>SUMIFS('Saldos Iniciales'!$D:$D,'Saldos Iniciales'!$A:$A,"Sacred Valley Capital")+SUMIFS(Movimientos!$K$1:$K$471,Movimientos!$C$1:$C$471,"Sacred Valley Capital",Movimientos!$B$1:$B$471,"&lt;="&amp;$B52)</f>
        <v>84.35</v>
      </c>
      <c r="L52" s="24">
        <f>SUMIFS('Saldos Iniciales'!$D:$D,'Saldos Iniciales'!$A:$A,"YWC Capital")+SUMIFS(Movimientos!$K$1:$K$471,Movimientos!$C$1:$C$471,"YWC Capital",Movimientos!$B$1:$B$471,"&lt;="&amp;$B52)</f>
        <v>2237.77</v>
      </c>
      <c r="M52" s="24">
        <f>SUMIFS('Saldos Iniciales'!$D:$D,'Saldos Iniciales'!$A:$A,"Soweto")+SUMIFS(Movimientos!$K$1:$K$471,Movimientos!$C$1:$C$471,"Soweto",Movimientos!$B$1:$B$471,"&lt;="&amp;$B52)</f>
        <v>3349.94</v>
      </c>
      <c r="N52" s="24">
        <f>SUMIFS('Saldos Iniciales'!$D:$D,'Saldos Iniciales'!$A:$A,"Green Stone Trust")+SUMIFS(Movimientos!$K$1:$K$471,Movimientos!$C$1:$C$471,"Green Stone Trust",Movimientos!$B$1:$B$471,"&lt;="&amp;$B52)</f>
        <v>1968.99</v>
      </c>
      <c r="O52" s="24">
        <f>SUMIFS('Saldos Iniciales'!$D:$D,'Saldos Iniciales'!$A:$A,"EC Auto")+SUMIFS(Movimientos!$K$1:$K$471,Movimientos!$C$1:$C$471,"EC Auto",Movimientos!$B$1:$B$471,"&lt;="&amp;$B52)</f>
        <v>382.69000000000005</v>
      </c>
      <c r="P52" s="24">
        <f>SUMIFS('Saldos Iniciales'!$D:$D,'Saldos Iniciales'!$A:$A,"Arbor Capital Properties")+SUMIFS(Movimientos!$K$1:$K$471,Movimientos!$C$1:$C$471,"Arbor Capital Properties",Movimientos!$B$1:$B$471,"&lt;="&amp;$B52)</f>
        <v>1428.08</v>
      </c>
      <c r="Q52" s="24">
        <f>SUMIFS('Saldos Iniciales'!$D:$D,'Saldos Iniciales'!$A:$A,"2515 Overbrook")+SUMIFS(Movimientos!$K$1:$K$471,Movimientos!$C$1:$C$471,"2515 Overbrook",Movimientos!$B$1:$B$471,"&lt;="&amp;$B52)</f>
        <v>29789.969999999961</v>
      </c>
      <c r="R52" s="24">
        <f>SUMIFS('Saldos Iniciales'!$D:$D,'Saldos Iniciales'!$A:$A,"112 Florida Ave")+SUMIFS(Movimientos!$K$1:$K$471,Movimientos!$C$1:$C$471,"112 Florida Ave",Movimientos!$B$1:$B$471,"&lt;="&amp;$B52)</f>
        <v>20321.43</v>
      </c>
      <c r="S52" s="24">
        <f>SUMIFS('Saldos Iniciales'!$D:$D,'Saldos Iniciales'!$A:$A,"3628 Thomas Ave")+SUMIFS(Movimientos!$K$1:$K$471,Movimientos!$C$1:$C$471,"3628 Thomas Ave",Movimientos!$B$1:$B$471,"&lt;="&amp;$B52)</f>
        <v>16681.349999999999</v>
      </c>
      <c r="T52" s="24">
        <f>SUMIFS('Saldos Iniciales'!$D:$D,'Saldos Iniciales'!$A:$A,"Green Harbor Trust")+SUMIFS(Movimientos!$K$1:$K$471,Movimientos!$C$1:$C$471,"Green Harbor Trust",Movimientos!$B$1:$B$471,"&lt;="&amp;$B52)</f>
        <v>345</v>
      </c>
      <c r="U52" s="24">
        <f>SUMIFS('Saldos Iniciales'!$D:$D,'Saldos Iniciales'!$A:$A,"Go Blue")+SUMIFS(Movimientos!$K$1:$K$471,Movimientos!$C$1:$C$471,"Go Blue",Movimientos!$B$1:$B$471,"&lt;="&amp;$B52)</f>
        <v>45041.01</v>
      </c>
      <c r="V52" s="25">
        <f t="shared" ref="V52:V53" si="8">SUM(C52:U52)</f>
        <v>5327451.8699999982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Group")+SUMIFS(Movimientos!$K$1:$K$471,Movimientos!$C$1:$C$471,"CFT Group",Movimientos!$B$1:$B$471,"&lt;="&amp;$B53)</f>
        <v>1098358.7500000002</v>
      </c>
      <c r="D53" s="24">
        <f>SUMIFS('Saldos Iniciales'!$D:$D,'Saldos Iniciales'!$A:$A,"M1B")+SUMIFS(Movimientos!$K$1:$K$471,Movimientos!$C$1:$C$471,"M1B",Movimientos!$B$1:$B$471,"&lt;="&amp;$B53)</f>
        <v>69376.390000000174</v>
      </c>
      <c r="E53" s="24">
        <f>SUMIFS('Saldos Iniciales'!$D:$D,'Saldos Iniciales'!$A:$A,"Durand")+SUMIFS(Movimientos!$K$1:$K$471,Movimientos!$C$1:$C$471,"Durand",Movimientos!$B$1:$B$471,"&lt;="&amp;$B53)</f>
        <v>1669.89</v>
      </c>
      <c r="F53" s="24">
        <f>SUMIFS('Saldos Iniciales'!$D:$D,'Saldos Iniciales'!$A:$A,"A&amp;M Imports")+SUMIFS(Movimientos!$K$1:$K$471,Movimientos!$C$1:$C$471,"A&amp;M Imports",Movimientos!$B$1:$B$471,"&lt;="&amp;$B53)</f>
        <v>503904.80999999982</v>
      </c>
      <c r="G53" s="24">
        <f>SUMIFS('Saldos Iniciales'!$D:$D,'Saldos Iniciales'!$A:$A,"SSP Capital")+SUMIFS(Movimientos!$K$1:$K$471,Movimientos!$C$1:$C$471,"SSP Capital",Movimientos!$B$1:$B$471,"&lt;="&amp;$B53)</f>
        <v>3326696.7299999995</v>
      </c>
      <c r="H53" s="24">
        <f>SUMIFS('Saldos Iniciales'!$D:$D,'Saldos Iniciales'!$A:$A,"Cross Family Trust")+SUMIFS(Movimientos!$K$1:$K$471,Movimientos!$C$1:$C$471,"Cross Family Trust",Movimientos!$B$1:$B$471,"&lt;="&amp;$B53)</f>
        <v>116496.38</v>
      </c>
      <c r="I53" s="24">
        <f>SUMIFS('Saldos Iniciales'!$D:$D,'Saldos Iniciales'!$A:$A,"Cross Security Trust")+SUMIFS(Movimientos!$K$1:$K$471,Movimientos!$C$1:$C$471,"Cross Security Trust",Movimientos!$B$1:$B$471,"&lt;="&amp;$B53)</f>
        <v>88090.37</v>
      </c>
      <c r="J53" s="24">
        <f>SUMIFS('Saldos Iniciales'!$D:$D,'Saldos Iniciales'!$A:$A,"Electrama")+SUMIFS(Movimientos!$K$1:$K$471,Movimientos!$C$1:$C$471,"Electrama",Movimientos!$B$1:$B$471,"&lt;="&amp;$B53)</f>
        <v>1227.9699999999998</v>
      </c>
      <c r="K53" s="24">
        <f>SUMIFS('Saldos Iniciales'!$D:$D,'Saldos Iniciales'!$A:$A,"Sacred Valley Capital")+SUMIFS(Movimientos!$K$1:$K$471,Movimientos!$C$1:$C$471,"Sacred Valley Capital",Movimientos!$B$1:$B$471,"&lt;="&amp;$B53)</f>
        <v>84.35</v>
      </c>
      <c r="L53" s="24">
        <f>SUMIFS('Saldos Iniciales'!$D:$D,'Saldos Iniciales'!$A:$A,"YWC Capital")+SUMIFS(Movimientos!$K$1:$K$471,Movimientos!$C$1:$C$471,"YWC Capital",Movimientos!$B$1:$B$471,"&lt;="&amp;$B53)</f>
        <v>2237.77</v>
      </c>
      <c r="M53" s="24">
        <f>SUMIFS('Saldos Iniciales'!$D:$D,'Saldos Iniciales'!$A:$A,"Soweto")+SUMIFS(Movimientos!$K$1:$K$471,Movimientos!$C$1:$C$471,"Soweto",Movimientos!$B$1:$B$471,"&lt;="&amp;$B53)</f>
        <v>3349.94</v>
      </c>
      <c r="N53" s="24">
        <f>SUMIFS('Saldos Iniciales'!$D:$D,'Saldos Iniciales'!$A:$A,"Green Stone Trust")+SUMIFS(Movimientos!$K$1:$K$471,Movimientos!$C$1:$C$471,"Green Stone Trust",Movimientos!$B$1:$B$471,"&lt;="&amp;$B53)</f>
        <v>1968.99</v>
      </c>
      <c r="O53" s="24">
        <f>SUMIFS('Saldos Iniciales'!$D:$D,'Saldos Iniciales'!$A:$A,"EC Auto")+SUMIFS(Movimientos!$K$1:$K$471,Movimientos!$C$1:$C$471,"EC Auto",Movimientos!$B$1:$B$471,"&lt;="&amp;$B53)</f>
        <v>382.69000000000005</v>
      </c>
      <c r="P53" s="24">
        <f>SUMIFS('Saldos Iniciales'!$D:$D,'Saldos Iniciales'!$A:$A,"Arbor Capital Properties")+SUMIFS(Movimientos!$K$1:$K$471,Movimientos!$C$1:$C$471,"Arbor Capital Properties",Movimientos!$B$1:$B$471,"&lt;="&amp;$B53)</f>
        <v>1428.08</v>
      </c>
      <c r="Q53" s="24">
        <f>SUMIFS('Saldos Iniciales'!$D:$D,'Saldos Iniciales'!$A:$A,"2515 Overbrook")+SUMIFS(Movimientos!$K$1:$K$471,Movimientos!$C$1:$C$471,"2515 Overbrook",Movimientos!$B$1:$B$471,"&lt;="&amp;$B53)</f>
        <v>29789.969999999961</v>
      </c>
      <c r="R53" s="24">
        <f>SUMIFS('Saldos Iniciales'!$D:$D,'Saldos Iniciales'!$A:$A,"112 Florida Ave")+SUMIFS(Movimientos!$K$1:$K$471,Movimientos!$C$1:$C$471,"112 Florida Ave",Movimientos!$B$1:$B$471,"&lt;="&amp;$B53)</f>
        <v>20321.43</v>
      </c>
      <c r="S53" s="24">
        <f>SUMIFS('Saldos Iniciales'!$D:$D,'Saldos Iniciales'!$A:$A,"3628 Thomas Ave")+SUMIFS(Movimientos!$K$1:$K$471,Movimientos!$C$1:$C$471,"3628 Thomas Ave",Movimientos!$B$1:$B$471,"&lt;="&amp;$B53)</f>
        <v>16681.349999999999</v>
      </c>
      <c r="T53" s="24">
        <f>SUMIFS('Saldos Iniciales'!$D:$D,'Saldos Iniciales'!$A:$A,"Green Harbor Trust")+SUMIFS(Movimientos!$K$1:$K$471,Movimientos!$C$1:$C$471,"Green Harbor Trust",Movimientos!$B$1:$B$471,"&lt;="&amp;$B53)</f>
        <v>345</v>
      </c>
      <c r="U53" s="24">
        <f>SUMIFS('Saldos Iniciales'!$D:$D,'Saldos Iniciales'!$A:$A,"Go Blue")+SUMIFS(Movimientos!$K$1:$K$471,Movimientos!$C$1:$C$471,"Go Blue",Movimientos!$B$1:$B$471,"&lt;="&amp;$B53)</f>
        <v>45041.01</v>
      </c>
      <c r="V53" s="25">
        <f t="shared" si="8"/>
        <v>5327451.8699999982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Group")+SUMIFS(Movimientos!$K$1:$K$471,Movimientos!$C$1:$C$471,"CFT Group",Movimientos!$B$1:$B$471,"&lt;="&amp;$B54)</f>
        <v>7613332.1400000006</v>
      </c>
      <c r="D54" s="24">
        <f>SUMIFS('Saldos Iniciales'!$D:$D,'Saldos Iniciales'!$A:$A,"M1B")+SUMIFS(Movimientos!$K$1:$K$471,Movimientos!$C$1:$C$471,"M1B",Movimientos!$B$1:$B$471,"&lt;="&amp;$B54)</f>
        <v>69376.390000000174</v>
      </c>
      <c r="E54" s="24">
        <f>SUMIFS('Saldos Iniciales'!$D:$D,'Saldos Iniciales'!$A:$A,"Durand")+SUMIFS(Movimientos!$K$1:$K$471,Movimientos!$C$1:$C$471,"Durand",Movimientos!$B$1:$B$471,"&lt;="&amp;$B54)</f>
        <v>1669.89</v>
      </c>
      <c r="F54" s="24">
        <f>SUMIFS('Saldos Iniciales'!$D:$D,'Saldos Iniciales'!$A:$A,"A&amp;M Imports")+SUMIFS(Movimientos!$K$1:$K$471,Movimientos!$C$1:$C$471,"A&amp;M Imports",Movimientos!$B$1:$B$471,"&lt;="&amp;$B54)</f>
        <v>503904.80999999982</v>
      </c>
      <c r="G54" s="24">
        <f>SUMIFS('Saldos Iniciales'!$D:$D,'Saldos Iniciales'!$A:$A,"SSP Capital")+SUMIFS(Movimientos!$K$1:$K$471,Movimientos!$C$1:$C$471,"SSP Capital",Movimientos!$B$1:$B$471,"&lt;="&amp;$B54)</f>
        <v>3325868.6899999995</v>
      </c>
      <c r="H54" s="24">
        <f>SUMIFS('Saldos Iniciales'!$D:$D,'Saldos Iniciales'!$A:$A,"Cross Family Trust")+SUMIFS(Movimientos!$K$1:$K$471,Movimientos!$C$1:$C$471,"Cross Family Trust",Movimientos!$B$1:$B$471,"&lt;="&amp;$B54)</f>
        <v>116496.38</v>
      </c>
      <c r="I54" s="24">
        <f>SUMIFS('Saldos Iniciales'!$D:$D,'Saldos Iniciales'!$A:$A,"Cross Security Trust")+SUMIFS(Movimientos!$K$1:$K$471,Movimientos!$C$1:$C$471,"Cross Security Trust",Movimientos!$B$1:$B$471,"&lt;="&amp;$B54)</f>
        <v>88090.37</v>
      </c>
      <c r="J54" s="24">
        <f>SUMIFS('Saldos Iniciales'!$D:$D,'Saldos Iniciales'!$A:$A,"Electrama")+SUMIFS(Movimientos!$K$1:$K$471,Movimientos!$C$1:$C$471,"Electrama",Movimientos!$B$1:$B$471,"&lt;="&amp;$B54)</f>
        <v>1227.9699999999998</v>
      </c>
      <c r="K54" s="24">
        <f>SUMIFS('Saldos Iniciales'!$D:$D,'Saldos Iniciales'!$A:$A,"Sacred Valley Capital")+SUMIFS(Movimientos!$K$1:$K$471,Movimientos!$C$1:$C$471,"Sacred Valley Capital",Movimientos!$B$1:$B$471,"&lt;="&amp;$B54)</f>
        <v>84.35</v>
      </c>
      <c r="L54" s="24">
        <f>SUMIFS('Saldos Iniciales'!$D:$D,'Saldos Iniciales'!$A:$A,"YWC Capital")+SUMIFS(Movimientos!$K$1:$K$471,Movimientos!$C$1:$C$471,"YWC Capital",Movimientos!$B$1:$B$471,"&lt;="&amp;$B54)</f>
        <v>2237.77</v>
      </c>
      <c r="M54" s="24">
        <f>SUMIFS('Saldos Iniciales'!$D:$D,'Saldos Iniciales'!$A:$A,"Soweto")+SUMIFS(Movimientos!$K$1:$K$471,Movimientos!$C$1:$C$471,"Soweto",Movimientos!$B$1:$B$471,"&lt;="&amp;$B54)</f>
        <v>3349.94</v>
      </c>
      <c r="N54" s="24">
        <f>SUMIFS('Saldos Iniciales'!$D:$D,'Saldos Iniciales'!$A:$A,"Green Stone Trust")+SUMIFS(Movimientos!$K$1:$K$471,Movimientos!$C$1:$C$471,"Green Stone Trust",Movimientos!$B$1:$B$471,"&lt;="&amp;$B54)</f>
        <v>1968.99</v>
      </c>
      <c r="O54" s="24">
        <f>SUMIFS('Saldos Iniciales'!$D:$D,'Saldos Iniciales'!$A:$A,"EC Auto")+SUMIFS(Movimientos!$K$1:$K$471,Movimientos!$C$1:$C$471,"EC Auto",Movimientos!$B$1:$B$471,"&lt;="&amp;$B54)</f>
        <v>382.69000000000005</v>
      </c>
      <c r="P54" s="24">
        <f>SUMIFS('Saldos Iniciales'!$D:$D,'Saldos Iniciales'!$A:$A,"Arbor Capital Properties")+SUMIFS(Movimientos!$K$1:$K$471,Movimientos!$C$1:$C$471,"Arbor Capital Properties",Movimientos!$B$1:$B$471,"&lt;="&amp;$B54)</f>
        <v>1428.08</v>
      </c>
      <c r="Q54" s="24">
        <f>SUMIFS('Saldos Iniciales'!$D:$D,'Saldos Iniciales'!$A:$A,"2515 Overbrook")+SUMIFS(Movimientos!$K$1:$K$471,Movimientos!$C$1:$C$471,"2515 Overbrook",Movimientos!$B$1:$B$471,"&lt;="&amp;$B54)</f>
        <v>31039.969999999961</v>
      </c>
      <c r="R54" s="24">
        <f>SUMIFS('Saldos Iniciales'!$D:$D,'Saldos Iniciales'!$A:$A,"112 Florida Ave")+SUMIFS(Movimientos!$K$1:$K$471,Movimientos!$C$1:$C$471,"112 Florida Ave",Movimientos!$B$1:$B$471,"&lt;="&amp;$B54)</f>
        <v>20321.43</v>
      </c>
      <c r="S54" s="24">
        <f>SUMIFS('Saldos Iniciales'!$D:$D,'Saldos Iniciales'!$A:$A,"3628 Thomas Ave")+SUMIFS(Movimientos!$K$1:$K$471,Movimientos!$C$1:$C$471,"3628 Thomas Ave",Movimientos!$B$1:$B$471,"&lt;="&amp;$B54)</f>
        <v>16681.349999999999</v>
      </c>
      <c r="T54" s="24">
        <f>SUMIFS('Saldos Iniciales'!$D:$D,'Saldos Iniciales'!$A:$A,"Green Harbor Trust")+SUMIFS(Movimientos!$K$1:$K$471,Movimientos!$C$1:$C$471,"Green Harbor Trust",Movimientos!$B$1:$B$471,"&lt;="&amp;$B54)</f>
        <v>345</v>
      </c>
      <c r="U54" s="24">
        <f>SUMIFS('Saldos Iniciales'!$D:$D,'Saldos Iniciales'!$A:$A,"Go Blue")+SUMIFS(Movimientos!$K$1:$K$471,Movimientos!$C$1:$C$471,"Go Blue",Movimientos!$B$1:$B$471,"&lt;="&amp;$B54)</f>
        <v>44816.33</v>
      </c>
      <c r="V54" s="25">
        <f t="shared" ref="V54:V55" si="9">SUM(C54:U54)</f>
        <v>11842622.539999999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Group")+SUMIFS(Movimientos!$K$1:$K$471,Movimientos!$C$1:$C$471,"CFT Group",Movimientos!$B$1:$B$471,"&lt;="&amp;$B55)</f>
        <v>7613332.1400000006</v>
      </c>
      <c r="D55" s="24">
        <f>SUMIFS('Saldos Iniciales'!$D:$D,'Saldos Iniciales'!$A:$A,"M1B")+SUMIFS(Movimientos!$K$1:$K$471,Movimientos!$C$1:$C$471,"M1B",Movimientos!$B$1:$B$471,"&lt;="&amp;$B55)</f>
        <v>69376.390000000174</v>
      </c>
      <c r="E55" s="24">
        <f>SUMIFS('Saldos Iniciales'!$D:$D,'Saldos Iniciales'!$A:$A,"Durand")+SUMIFS(Movimientos!$K$1:$K$471,Movimientos!$C$1:$C$471,"Durand",Movimientos!$B$1:$B$471,"&lt;="&amp;$B55)</f>
        <v>1669.89</v>
      </c>
      <c r="F55" s="24">
        <f>SUMIFS('Saldos Iniciales'!$D:$D,'Saldos Iniciales'!$A:$A,"A&amp;M Imports")+SUMIFS(Movimientos!$K$1:$K$471,Movimientos!$C$1:$C$471,"A&amp;M Imports",Movimientos!$B$1:$B$471,"&lt;="&amp;$B55)</f>
        <v>503904.80999999982</v>
      </c>
      <c r="G55" s="24">
        <f>SUMIFS('Saldos Iniciales'!$D:$D,'Saldos Iniciales'!$A:$A,"SSP Capital")+SUMIFS(Movimientos!$K$1:$K$471,Movimientos!$C$1:$C$471,"SSP Capital",Movimientos!$B$1:$B$471,"&lt;="&amp;$B55)</f>
        <v>3325868.6899999995</v>
      </c>
      <c r="H55" s="24">
        <f>SUMIFS('Saldos Iniciales'!$D:$D,'Saldos Iniciales'!$A:$A,"Cross Family Trust")+SUMIFS(Movimientos!$K$1:$K$471,Movimientos!$C$1:$C$471,"Cross Family Trust",Movimientos!$B$1:$B$471,"&lt;="&amp;$B55)</f>
        <v>116496.38</v>
      </c>
      <c r="I55" s="24">
        <f>SUMIFS('Saldos Iniciales'!$D:$D,'Saldos Iniciales'!$A:$A,"Cross Security Trust")+SUMIFS(Movimientos!$K$1:$K$471,Movimientos!$C$1:$C$471,"Cross Security Trust",Movimientos!$B$1:$B$471,"&lt;="&amp;$B55)</f>
        <v>88090.37</v>
      </c>
      <c r="J55" s="24">
        <f>SUMIFS('Saldos Iniciales'!$D:$D,'Saldos Iniciales'!$A:$A,"Electrama")+SUMIFS(Movimientos!$K$1:$K$471,Movimientos!$C$1:$C$471,"Electrama",Movimientos!$B$1:$B$471,"&lt;="&amp;$B55)</f>
        <v>1227.9699999999998</v>
      </c>
      <c r="K55" s="24">
        <f>SUMIFS('Saldos Iniciales'!$D:$D,'Saldos Iniciales'!$A:$A,"Sacred Valley Capital")+SUMIFS(Movimientos!$K$1:$K$471,Movimientos!$C$1:$C$471,"Sacred Valley Capital",Movimientos!$B$1:$B$471,"&lt;="&amp;$B55)</f>
        <v>84.35</v>
      </c>
      <c r="L55" s="24">
        <f>SUMIFS('Saldos Iniciales'!$D:$D,'Saldos Iniciales'!$A:$A,"YWC Capital")+SUMIFS(Movimientos!$K$1:$K$471,Movimientos!$C$1:$C$471,"YWC Capital",Movimientos!$B$1:$B$471,"&lt;="&amp;$B55)</f>
        <v>2237.77</v>
      </c>
      <c r="M55" s="24">
        <f>SUMIFS('Saldos Iniciales'!$D:$D,'Saldos Iniciales'!$A:$A,"Soweto")+SUMIFS(Movimientos!$K$1:$K$471,Movimientos!$C$1:$C$471,"Soweto",Movimientos!$B$1:$B$471,"&lt;="&amp;$B55)</f>
        <v>3349.94</v>
      </c>
      <c r="N55" s="24">
        <f>SUMIFS('Saldos Iniciales'!$D:$D,'Saldos Iniciales'!$A:$A,"Green Stone Trust")+SUMIFS(Movimientos!$K$1:$K$471,Movimientos!$C$1:$C$471,"Green Stone Trust",Movimientos!$B$1:$B$471,"&lt;="&amp;$B55)</f>
        <v>1968.99</v>
      </c>
      <c r="O55" s="24">
        <f>SUMIFS('Saldos Iniciales'!$D:$D,'Saldos Iniciales'!$A:$A,"EC Auto")+SUMIFS(Movimientos!$K$1:$K$471,Movimientos!$C$1:$C$471,"EC Auto",Movimientos!$B$1:$B$471,"&lt;="&amp;$B55)</f>
        <v>382.69000000000005</v>
      </c>
      <c r="P55" s="24">
        <f>SUMIFS('Saldos Iniciales'!$D:$D,'Saldos Iniciales'!$A:$A,"Arbor Capital Properties")+SUMIFS(Movimientos!$K$1:$K$471,Movimientos!$C$1:$C$471,"Arbor Capital Properties",Movimientos!$B$1:$B$471,"&lt;="&amp;$B55)</f>
        <v>1428.08</v>
      </c>
      <c r="Q55" s="24">
        <f>SUMIFS('Saldos Iniciales'!$D:$D,'Saldos Iniciales'!$A:$A,"2515 Overbrook")+SUMIFS(Movimientos!$K$1:$K$471,Movimientos!$C$1:$C$471,"2515 Overbrook",Movimientos!$B$1:$B$471,"&lt;="&amp;$B55)</f>
        <v>31039.969999999961</v>
      </c>
      <c r="R55" s="24">
        <f>SUMIFS('Saldos Iniciales'!$D:$D,'Saldos Iniciales'!$A:$A,"112 Florida Ave")+SUMIFS(Movimientos!$K$1:$K$471,Movimientos!$C$1:$C$471,"112 Florida Ave",Movimientos!$B$1:$B$471,"&lt;="&amp;$B55)</f>
        <v>20321.43</v>
      </c>
      <c r="S55" s="24">
        <f>SUMIFS('Saldos Iniciales'!$D:$D,'Saldos Iniciales'!$A:$A,"3628 Thomas Ave")+SUMIFS(Movimientos!$K$1:$K$471,Movimientos!$C$1:$C$471,"3628 Thomas Ave",Movimientos!$B$1:$B$471,"&lt;="&amp;$B55)</f>
        <v>16681.349999999999</v>
      </c>
      <c r="T55" s="24">
        <f>SUMIFS('Saldos Iniciales'!$D:$D,'Saldos Iniciales'!$A:$A,"Green Harbor Trust")+SUMIFS(Movimientos!$K$1:$K$471,Movimientos!$C$1:$C$471,"Green Harbor Trust",Movimientos!$B$1:$B$471,"&lt;="&amp;$B55)</f>
        <v>345</v>
      </c>
      <c r="U55" s="24">
        <f>SUMIFS('Saldos Iniciales'!$D:$D,'Saldos Iniciales'!$A:$A,"Go Blue")+SUMIFS(Movimientos!$K$1:$K$471,Movimientos!$C$1:$C$471,"Go Blue",Movimientos!$B$1:$B$471,"&lt;="&amp;$B55)</f>
        <v>44687.96</v>
      </c>
      <c r="V55" s="25">
        <f t="shared" si="9"/>
        <v>11842494.17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Group")+SUMIFS(Movimientos!$K$1:$K$471,Movimientos!$C$1:$C$471,"CFT Group",Movimientos!$B$1:$B$471,"&lt;="&amp;$B56)</f>
        <v>7680401.2600000007</v>
      </c>
      <c r="D56" s="24">
        <f>SUMIFS('Saldos Iniciales'!$D:$D,'Saldos Iniciales'!$A:$A,"M1B")+SUMIFS(Movimientos!$K$1:$K$471,Movimientos!$C$1:$C$471,"M1B",Movimientos!$B$1:$B$471,"&lt;="&amp;$B56)</f>
        <v>72386.190000000177</v>
      </c>
      <c r="E56" s="24">
        <f>SUMIFS('Saldos Iniciales'!$D:$D,'Saldos Iniciales'!$A:$A,"Durand")+SUMIFS(Movimientos!$K$1:$K$471,Movimientos!$C$1:$C$471,"Durand",Movimientos!$B$1:$B$471,"&lt;="&amp;$B56)</f>
        <v>1669.89</v>
      </c>
      <c r="F56" s="24">
        <f>SUMIFS('Saldos Iniciales'!$D:$D,'Saldos Iniciales'!$A:$A,"A&amp;M Imports")+SUMIFS(Movimientos!$K$1:$K$471,Movimientos!$C$1:$C$471,"A&amp;M Imports",Movimientos!$B$1:$B$471,"&lt;="&amp;$B56)</f>
        <v>532766.72999999986</v>
      </c>
      <c r="G56" s="24">
        <f>SUMIFS('Saldos Iniciales'!$D:$D,'Saldos Iniciales'!$A:$A,"SSP Capital")+SUMIFS(Movimientos!$K$1:$K$471,Movimientos!$C$1:$C$471,"SSP Capital",Movimientos!$B$1:$B$471,"&lt;="&amp;$B56)</f>
        <v>3325868.6899999995</v>
      </c>
      <c r="H56" s="24">
        <f>SUMIFS('Saldos Iniciales'!$D:$D,'Saldos Iniciales'!$A:$A,"Cross Family Trust")+SUMIFS(Movimientos!$K$1:$K$471,Movimientos!$C$1:$C$471,"Cross Family Trust",Movimientos!$B$1:$B$471,"&lt;="&amp;$B56)</f>
        <v>116496.38</v>
      </c>
      <c r="I56" s="24">
        <f>SUMIFS('Saldos Iniciales'!$D:$D,'Saldos Iniciales'!$A:$A,"Cross Security Trust")+SUMIFS(Movimientos!$K$1:$K$471,Movimientos!$C$1:$C$471,"Cross Security Trust",Movimientos!$B$1:$B$471,"&lt;="&amp;$B56)</f>
        <v>88090.37</v>
      </c>
      <c r="J56" s="24">
        <f>SUMIFS('Saldos Iniciales'!$D:$D,'Saldos Iniciales'!$A:$A,"Electrama")+SUMIFS(Movimientos!$K$1:$K$471,Movimientos!$C$1:$C$471,"Electrama",Movimientos!$B$1:$B$471,"&lt;="&amp;$B56)</f>
        <v>1227.9699999999998</v>
      </c>
      <c r="K56" s="24">
        <f>SUMIFS('Saldos Iniciales'!$D:$D,'Saldos Iniciales'!$A:$A,"Sacred Valley Capital")+SUMIFS(Movimientos!$K$1:$K$471,Movimientos!$C$1:$C$471,"Sacred Valley Capital",Movimientos!$B$1:$B$471,"&lt;="&amp;$B56)</f>
        <v>84.35</v>
      </c>
      <c r="L56" s="24">
        <f>SUMIFS('Saldos Iniciales'!$D:$D,'Saldos Iniciales'!$A:$A,"YWC Capital")+SUMIFS(Movimientos!$K$1:$K$471,Movimientos!$C$1:$C$471,"YWC Capital",Movimientos!$B$1:$B$471,"&lt;="&amp;$B56)</f>
        <v>2237.77</v>
      </c>
      <c r="M56" s="24">
        <f>SUMIFS('Saldos Iniciales'!$D:$D,'Saldos Iniciales'!$A:$A,"Soweto")+SUMIFS(Movimientos!$K$1:$K$471,Movimientos!$C$1:$C$471,"Soweto",Movimientos!$B$1:$B$471,"&lt;="&amp;$B56)</f>
        <v>3349.94</v>
      </c>
      <c r="N56" s="24">
        <f>SUMIFS('Saldos Iniciales'!$D:$D,'Saldos Iniciales'!$A:$A,"Green Stone Trust")+SUMIFS(Movimientos!$K$1:$K$471,Movimientos!$C$1:$C$471,"Green Stone Trust",Movimientos!$B$1:$B$471,"&lt;="&amp;$B56)</f>
        <v>1968.99</v>
      </c>
      <c r="O56" s="24">
        <f>SUMIFS('Saldos Iniciales'!$D:$D,'Saldos Iniciales'!$A:$A,"EC Auto")+SUMIFS(Movimientos!$K$1:$K$471,Movimientos!$C$1:$C$471,"EC Auto",Movimientos!$B$1:$B$471,"&lt;="&amp;$B56)</f>
        <v>382.69000000000005</v>
      </c>
      <c r="P56" s="24">
        <f>SUMIFS('Saldos Iniciales'!$D:$D,'Saldos Iniciales'!$A:$A,"Arbor Capital Properties")+SUMIFS(Movimientos!$K$1:$K$471,Movimientos!$C$1:$C$471,"Arbor Capital Properties",Movimientos!$B$1:$B$471,"&lt;="&amp;$B56)</f>
        <v>1428.08</v>
      </c>
      <c r="Q56" s="24">
        <f>SUMIFS('Saldos Iniciales'!$D:$D,'Saldos Iniciales'!$A:$A,"2515 Overbrook")+SUMIFS(Movimientos!$K$1:$K$471,Movimientos!$C$1:$C$471,"2515 Overbrook",Movimientos!$B$1:$B$471,"&lt;="&amp;$B56)</f>
        <v>31039.969999999961</v>
      </c>
      <c r="R56" s="24">
        <f>SUMIFS('Saldos Iniciales'!$D:$D,'Saldos Iniciales'!$A:$A,"112 Florida Ave")+SUMIFS(Movimientos!$K$1:$K$471,Movimientos!$C$1:$C$471,"112 Florida Ave",Movimientos!$B$1:$B$471,"&lt;="&amp;$B56)</f>
        <v>20321.43</v>
      </c>
      <c r="S56" s="24">
        <f>SUMIFS('Saldos Iniciales'!$D:$D,'Saldos Iniciales'!$A:$A,"3628 Thomas Ave")+SUMIFS(Movimientos!$K$1:$K$471,Movimientos!$C$1:$C$471,"3628 Thomas Ave",Movimientos!$B$1:$B$471,"&lt;="&amp;$B56)</f>
        <v>16681.349999999999</v>
      </c>
      <c r="T56" s="24">
        <f>SUMIFS('Saldos Iniciales'!$D:$D,'Saldos Iniciales'!$A:$A,"Green Harbor Trust")+SUMIFS(Movimientos!$K$1:$K$471,Movimientos!$C$1:$C$471,"Green Harbor Trust",Movimientos!$B$1:$B$471,"&lt;="&amp;$B56)</f>
        <v>345</v>
      </c>
      <c r="U56" s="24">
        <f>SUMIFS('Saldos Iniciales'!$D:$D,'Saldos Iniciales'!$A:$A,"Go Blue")+SUMIFS(Movimientos!$K$1:$K$471,Movimientos!$C$1:$C$471,"Go Blue",Movimientos!$B$1:$B$471,"&lt;="&amp;$B56)</f>
        <v>44687.96</v>
      </c>
      <c r="V56" s="25">
        <f t="shared" ref="V56:V58" si="10">SUM(C56:U56)</f>
        <v>11941435.01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Group")+SUMIFS(Movimientos!$K$1:$K$471,Movimientos!$C$1:$C$471,"CFT Group",Movimientos!$B$1:$B$471,"&lt;="&amp;$B57)</f>
        <v>6236526.2600000007</v>
      </c>
      <c r="D57" s="24">
        <f>SUMIFS('Saldos Iniciales'!$D:$D,'Saldos Iniciales'!$A:$A,"M1B")+SUMIFS(Movimientos!$K$1:$K$471,Movimientos!$C$1:$C$471,"M1B",Movimientos!$B$1:$B$471,"&lt;="&amp;$B57)</f>
        <v>72386.190000000177</v>
      </c>
      <c r="E57" s="24">
        <f>SUMIFS('Saldos Iniciales'!$D:$D,'Saldos Iniciales'!$A:$A,"Durand")+SUMIFS(Movimientos!$K$1:$K$471,Movimientos!$C$1:$C$471,"Durand",Movimientos!$B$1:$B$471,"&lt;="&amp;$B57)</f>
        <v>1669.89</v>
      </c>
      <c r="F57" s="24">
        <f>SUMIFS('Saldos Iniciales'!$D:$D,'Saldos Iniciales'!$A:$A,"A&amp;M Imports")+SUMIFS(Movimientos!$K$1:$K$471,Movimientos!$C$1:$C$471,"A&amp;M Imports",Movimientos!$B$1:$B$471,"&lt;="&amp;$B57)</f>
        <v>472766.72999999986</v>
      </c>
      <c r="G57" s="24">
        <f>SUMIFS('Saldos Iniciales'!$D:$D,'Saldos Iniciales'!$A:$A,"SSP Capital")+SUMIFS(Movimientos!$K$1:$K$471,Movimientos!$C$1:$C$471,"SSP Capital",Movimientos!$B$1:$B$471,"&lt;="&amp;$B57)</f>
        <v>1933152.7099999995</v>
      </c>
      <c r="H57" s="24">
        <f>SUMIFS('Saldos Iniciales'!$D:$D,'Saldos Iniciales'!$A:$A,"Cross Family Trust")+SUMIFS(Movimientos!$K$1:$K$471,Movimientos!$C$1:$C$471,"Cross Family Trust",Movimientos!$B$1:$B$471,"&lt;="&amp;$B57)</f>
        <v>1996496.38</v>
      </c>
      <c r="I57" s="24">
        <f>SUMIFS('Saldos Iniciales'!$D:$D,'Saldos Iniciales'!$A:$A,"Cross Security Trust")+SUMIFS(Movimientos!$K$1:$K$471,Movimientos!$C$1:$C$471,"Cross Security Trust",Movimientos!$B$1:$B$471,"&lt;="&amp;$B57)</f>
        <v>88090.37</v>
      </c>
      <c r="J57" s="24">
        <f>SUMIFS('Saldos Iniciales'!$D:$D,'Saldos Iniciales'!$A:$A,"Electrama")+SUMIFS(Movimientos!$K$1:$K$471,Movimientos!$C$1:$C$471,"Electrama",Movimientos!$B$1:$B$471,"&lt;="&amp;$B57)</f>
        <v>1227.9699999999998</v>
      </c>
      <c r="K57" s="24">
        <f>SUMIFS('Saldos Iniciales'!$D:$D,'Saldos Iniciales'!$A:$A,"Sacred Valley Capital")+SUMIFS(Movimientos!$K$1:$K$471,Movimientos!$C$1:$C$471,"Sacred Valley Capital",Movimientos!$B$1:$B$471,"&lt;="&amp;$B57)</f>
        <v>84.35</v>
      </c>
      <c r="L57" s="24">
        <f>SUMIFS('Saldos Iniciales'!$D:$D,'Saldos Iniciales'!$A:$A,"YWC Capital")+SUMIFS(Movimientos!$K$1:$K$471,Movimientos!$C$1:$C$471,"YWC Capital",Movimientos!$B$1:$B$471,"&lt;="&amp;$B57)</f>
        <v>2237.77</v>
      </c>
      <c r="M57" s="24">
        <f>SUMIFS('Saldos Iniciales'!$D:$D,'Saldos Iniciales'!$A:$A,"Soweto")+SUMIFS(Movimientos!$K$1:$K$471,Movimientos!$C$1:$C$471,"Soweto",Movimientos!$B$1:$B$471,"&lt;="&amp;$B57)</f>
        <v>3349.94</v>
      </c>
      <c r="N57" s="24">
        <f>SUMIFS('Saldos Iniciales'!$D:$D,'Saldos Iniciales'!$A:$A,"Green Stone Trust")+SUMIFS(Movimientos!$K$1:$K$471,Movimientos!$C$1:$C$471,"Green Stone Trust",Movimientos!$B$1:$B$471,"&lt;="&amp;$B57)</f>
        <v>1968.99</v>
      </c>
      <c r="O57" s="24">
        <f>SUMIFS('Saldos Iniciales'!$D:$D,'Saldos Iniciales'!$A:$A,"EC Auto")+SUMIFS(Movimientos!$K$1:$K$471,Movimientos!$C$1:$C$471,"EC Auto",Movimientos!$B$1:$B$471,"&lt;="&amp;$B57)</f>
        <v>382.69000000000005</v>
      </c>
      <c r="P57" s="24">
        <f>SUMIFS('Saldos Iniciales'!$D:$D,'Saldos Iniciales'!$A:$A,"Arbor Capital Properties")+SUMIFS(Movimientos!$K$1:$K$471,Movimientos!$C$1:$C$471,"Arbor Capital Properties",Movimientos!$B$1:$B$471,"&lt;="&amp;$B57)</f>
        <v>1428.08</v>
      </c>
      <c r="Q57" s="24">
        <f>SUMIFS('Saldos Iniciales'!$D:$D,'Saldos Iniciales'!$A:$A,"2515 Overbrook")+SUMIFS(Movimientos!$K$1:$K$471,Movimientos!$C$1:$C$471,"2515 Overbrook",Movimientos!$B$1:$B$471,"&lt;="&amp;$B57)</f>
        <v>31039.969999999961</v>
      </c>
      <c r="R57" s="24">
        <f>SUMIFS('Saldos Iniciales'!$D:$D,'Saldos Iniciales'!$A:$A,"112 Florida Ave")+SUMIFS(Movimientos!$K$1:$K$471,Movimientos!$C$1:$C$471,"112 Florida Ave",Movimientos!$B$1:$B$471,"&lt;="&amp;$B57)</f>
        <v>20321.43</v>
      </c>
      <c r="S57" s="24">
        <f>SUMIFS('Saldos Iniciales'!$D:$D,'Saldos Iniciales'!$A:$A,"3628 Thomas Ave")+SUMIFS(Movimientos!$K$1:$K$471,Movimientos!$C$1:$C$471,"3628 Thomas Ave",Movimientos!$B$1:$B$471,"&lt;="&amp;$B57)</f>
        <v>28473.599999999999</v>
      </c>
      <c r="T57" s="24">
        <f>SUMIFS('Saldos Iniciales'!$D:$D,'Saldos Iniciales'!$A:$A,"Green Harbor Trust")+SUMIFS(Movimientos!$K$1:$K$471,Movimientos!$C$1:$C$471,"Green Harbor Trust",Movimientos!$B$1:$B$471,"&lt;="&amp;$B57)</f>
        <v>345</v>
      </c>
      <c r="U57" s="24">
        <f>SUMIFS('Saldos Iniciales'!$D:$D,'Saldos Iniciales'!$A:$A,"Go Blue")+SUMIFS(Movimientos!$K$1:$K$471,Movimientos!$C$1:$C$471,"Go Blue",Movimientos!$B$1:$B$471,"&lt;="&amp;$B57)</f>
        <v>32732.080000000002</v>
      </c>
      <c r="V57" s="25">
        <f t="shared" si="10"/>
        <v>10924680.399999999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Group")+SUMIFS(Movimientos!$K$1:$K$471,Movimientos!$C$1:$C$471,"CFT Group",Movimientos!$B$1:$B$471,"&lt;="&amp;$B58)</f>
        <v>6225646.2600000007</v>
      </c>
      <c r="D58" s="24">
        <f>SUMIFS('Saldos Iniciales'!$D:$D,'Saldos Iniciales'!$A:$A,"M1B")+SUMIFS(Movimientos!$K$1:$K$471,Movimientos!$C$1:$C$471,"M1B",Movimientos!$B$1:$B$471,"&lt;="&amp;$B58)</f>
        <v>72386.190000000177</v>
      </c>
      <c r="E58" s="24">
        <f>SUMIFS('Saldos Iniciales'!$D:$D,'Saldos Iniciales'!$A:$A,"Durand")+SUMIFS(Movimientos!$K$1:$K$471,Movimientos!$C$1:$C$471,"Durand",Movimientos!$B$1:$B$471,"&lt;="&amp;$B58)</f>
        <v>1669.89</v>
      </c>
      <c r="F58" s="24">
        <f>SUMIFS('Saldos Iniciales'!$D:$D,'Saldos Iniciales'!$A:$A,"A&amp;M Imports")+SUMIFS(Movimientos!$K$1:$K$471,Movimientos!$C$1:$C$471,"A&amp;M Imports",Movimientos!$B$1:$B$471,"&lt;="&amp;$B58)</f>
        <v>472766.72999999986</v>
      </c>
      <c r="G58" s="24">
        <f>SUMIFS('Saldos Iniciales'!$D:$D,'Saldos Iniciales'!$A:$A,"SSP Capital")+SUMIFS(Movimientos!$K$1:$K$471,Movimientos!$C$1:$C$471,"SSP Capital",Movimientos!$B$1:$B$471,"&lt;="&amp;$B58)</f>
        <v>1932389.7199999993</v>
      </c>
      <c r="H58" s="24">
        <f>SUMIFS('Saldos Iniciales'!$D:$D,'Saldos Iniciales'!$A:$A,"Cross Family Trust")+SUMIFS(Movimientos!$K$1:$K$471,Movimientos!$C$1:$C$471,"Cross Family Trust",Movimientos!$B$1:$B$471,"&lt;="&amp;$B58)</f>
        <v>1396496.38</v>
      </c>
      <c r="I58" s="24">
        <f>SUMIFS('Saldos Iniciales'!$D:$D,'Saldos Iniciales'!$A:$A,"Cross Security Trust")+SUMIFS(Movimientos!$K$1:$K$471,Movimientos!$C$1:$C$471,"Cross Security Trust",Movimientos!$B$1:$B$471,"&lt;="&amp;$B58)</f>
        <v>88090.37</v>
      </c>
      <c r="J58" s="24">
        <f>SUMIFS('Saldos Iniciales'!$D:$D,'Saldos Iniciales'!$A:$A,"Electrama")+SUMIFS(Movimientos!$K$1:$K$471,Movimientos!$C$1:$C$471,"Electrama",Movimientos!$B$1:$B$471,"&lt;="&amp;$B58)</f>
        <v>1227.9699999999998</v>
      </c>
      <c r="K58" s="24">
        <f>SUMIFS('Saldos Iniciales'!$D:$D,'Saldos Iniciales'!$A:$A,"Sacred Valley Capital")+SUMIFS(Movimientos!$K$1:$K$471,Movimientos!$C$1:$C$471,"Sacred Valley Capital",Movimientos!$B$1:$B$471,"&lt;="&amp;$B58)</f>
        <v>84.35</v>
      </c>
      <c r="L58" s="24">
        <f>SUMIFS('Saldos Iniciales'!$D:$D,'Saldos Iniciales'!$A:$A,"YWC Capital")+SUMIFS(Movimientos!$K$1:$K$471,Movimientos!$C$1:$C$471,"YWC Capital",Movimientos!$B$1:$B$471,"&lt;="&amp;$B58)</f>
        <v>2237.77</v>
      </c>
      <c r="M58" s="24">
        <f>SUMIFS('Saldos Iniciales'!$D:$D,'Saldos Iniciales'!$A:$A,"Soweto")+SUMIFS(Movimientos!$K$1:$K$471,Movimientos!$C$1:$C$471,"Soweto",Movimientos!$B$1:$B$471,"&lt;="&amp;$B58)</f>
        <v>3349.94</v>
      </c>
      <c r="N58" s="24">
        <f>SUMIFS('Saldos Iniciales'!$D:$D,'Saldos Iniciales'!$A:$A,"Green Stone Trust")+SUMIFS(Movimientos!$K$1:$K$471,Movimientos!$C$1:$C$471,"Green Stone Trust",Movimientos!$B$1:$B$471,"&lt;="&amp;$B58)</f>
        <v>1968.99</v>
      </c>
      <c r="O58" s="24">
        <f>SUMIFS('Saldos Iniciales'!$D:$D,'Saldos Iniciales'!$A:$A,"EC Auto")+SUMIFS(Movimientos!$K$1:$K$471,Movimientos!$C$1:$C$471,"EC Auto",Movimientos!$B$1:$B$471,"&lt;="&amp;$B58)</f>
        <v>382.69000000000005</v>
      </c>
      <c r="P58" s="24">
        <f>SUMIFS('Saldos Iniciales'!$D:$D,'Saldos Iniciales'!$A:$A,"Arbor Capital Properties")+SUMIFS(Movimientos!$K$1:$K$471,Movimientos!$C$1:$C$471,"Arbor Capital Properties",Movimientos!$B$1:$B$471,"&lt;="&amp;$B58)</f>
        <v>1428.08</v>
      </c>
      <c r="Q58" s="24">
        <f>SUMIFS('Saldos Iniciales'!$D:$D,'Saldos Iniciales'!$A:$A,"2515 Overbrook")+SUMIFS(Movimientos!$K$1:$K$471,Movimientos!$C$1:$C$471,"2515 Overbrook",Movimientos!$B$1:$B$471,"&lt;="&amp;$B58)</f>
        <v>31039.969999999961</v>
      </c>
      <c r="R58" s="24">
        <f>SUMIFS('Saldos Iniciales'!$D:$D,'Saldos Iniciales'!$A:$A,"112 Florida Ave")+SUMIFS(Movimientos!$K$1:$K$471,Movimientos!$C$1:$C$471,"112 Florida Ave",Movimientos!$B$1:$B$471,"&lt;="&amp;$B58)</f>
        <v>20321.43</v>
      </c>
      <c r="S58" s="24">
        <f>SUMIFS('Saldos Iniciales'!$D:$D,'Saldos Iniciales'!$A:$A,"3628 Thomas Ave")+SUMIFS(Movimientos!$K$1:$K$471,Movimientos!$C$1:$C$471,"3628 Thomas Ave",Movimientos!$B$1:$B$471,"&lt;="&amp;$B58)</f>
        <v>28458.6</v>
      </c>
      <c r="T58" s="24">
        <f>SUMIFS('Saldos Iniciales'!$D:$D,'Saldos Iniciales'!$A:$A,"Green Harbor Trust")+SUMIFS(Movimientos!$K$1:$K$471,Movimientos!$C$1:$C$471,"Green Harbor Trust",Movimientos!$B$1:$B$471,"&lt;="&amp;$B58)</f>
        <v>345</v>
      </c>
      <c r="U58" s="24">
        <f>SUMIFS('Saldos Iniciales'!$D:$D,'Saldos Iniciales'!$A:$A,"Go Blue")+SUMIFS(Movimientos!$K$1:$K$471,Movimientos!$C$1:$C$471,"Go Blue",Movimientos!$B$1:$B$471,"&lt;="&amp;$B58)</f>
        <v>24625.29</v>
      </c>
      <c r="V58" s="25">
        <f t="shared" si="10"/>
        <v>10304915.619999995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Group")+SUMIFS(Movimientos!$K$1:$K$471,Movimientos!$C$1:$C$471,"CFT Group",Movimientos!$B$1:$B$471,"&lt;="&amp;$B59)</f>
        <v>6225646.2600000007</v>
      </c>
      <c r="D59" s="24">
        <f>SUMIFS('Saldos Iniciales'!$D:$D,'Saldos Iniciales'!$A:$A,"M1B")+SUMIFS(Movimientos!$K$1:$K$471,Movimientos!$C$1:$C$471,"M1B",Movimientos!$B$1:$B$471,"&lt;="&amp;$B59)</f>
        <v>72386.190000000177</v>
      </c>
      <c r="E59" s="24">
        <f>SUMIFS('Saldos Iniciales'!$D:$D,'Saldos Iniciales'!$A:$A,"Durand")+SUMIFS(Movimientos!$K$1:$K$471,Movimientos!$C$1:$C$471,"Durand",Movimientos!$B$1:$B$471,"&lt;="&amp;$B59)</f>
        <v>1669.89</v>
      </c>
      <c r="F59" s="24">
        <f>SUMIFS('Saldos Iniciales'!$D:$D,'Saldos Iniciales'!$A:$A,"A&amp;M Imports")+SUMIFS(Movimientos!$K$1:$K$471,Movimientos!$C$1:$C$471,"A&amp;M Imports",Movimientos!$B$1:$B$471,"&lt;="&amp;$B59)</f>
        <v>472766.72999999986</v>
      </c>
      <c r="G59" s="24">
        <f>SUMIFS('Saldos Iniciales'!$D:$D,'Saldos Iniciales'!$A:$A,"SSP Capital")+SUMIFS(Movimientos!$K$1:$K$471,Movimientos!$C$1:$C$471,"SSP Capital",Movimientos!$B$1:$B$471,"&lt;="&amp;$B59)</f>
        <v>1932389.7199999993</v>
      </c>
      <c r="H59" s="24">
        <f>SUMIFS('Saldos Iniciales'!$D:$D,'Saldos Iniciales'!$A:$A,"Cross Family Trust")+SUMIFS(Movimientos!$K$1:$K$471,Movimientos!$C$1:$C$471,"Cross Family Trust",Movimientos!$B$1:$B$471,"&lt;="&amp;$B59)</f>
        <v>1396496.38</v>
      </c>
      <c r="I59" s="24">
        <f>SUMIFS('Saldos Iniciales'!$D:$D,'Saldos Iniciales'!$A:$A,"Cross Security Trust")+SUMIFS(Movimientos!$K$1:$K$471,Movimientos!$C$1:$C$471,"Cross Security Trust",Movimientos!$B$1:$B$471,"&lt;="&amp;$B59)</f>
        <v>88090.37</v>
      </c>
      <c r="J59" s="24">
        <f>SUMIFS('Saldos Iniciales'!$D:$D,'Saldos Iniciales'!$A:$A,"Electrama")+SUMIFS(Movimientos!$K$1:$K$471,Movimientos!$C$1:$C$471,"Electrama",Movimientos!$B$1:$B$471,"&lt;="&amp;$B59)</f>
        <v>1227.9699999999998</v>
      </c>
      <c r="K59" s="24">
        <f>SUMIFS('Saldos Iniciales'!$D:$D,'Saldos Iniciales'!$A:$A,"Sacred Valley Capital")+SUMIFS(Movimientos!$K$1:$K$471,Movimientos!$C$1:$C$471,"Sacred Valley Capital",Movimientos!$B$1:$B$471,"&lt;="&amp;$B59)</f>
        <v>84.35</v>
      </c>
      <c r="L59" s="24">
        <f>SUMIFS('Saldos Iniciales'!$D:$D,'Saldos Iniciales'!$A:$A,"YWC Capital")+SUMIFS(Movimientos!$K$1:$K$471,Movimientos!$C$1:$C$471,"YWC Capital",Movimientos!$B$1:$B$471,"&lt;="&amp;$B59)</f>
        <v>2237.77</v>
      </c>
      <c r="M59" s="24">
        <f>SUMIFS('Saldos Iniciales'!$D:$D,'Saldos Iniciales'!$A:$A,"Soweto")+SUMIFS(Movimientos!$K$1:$K$471,Movimientos!$C$1:$C$471,"Soweto",Movimientos!$B$1:$B$471,"&lt;="&amp;$B59)</f>
        <v>3349.94</v>
      </c>
      <c r="N59" s="24">
        <f>SUMIFS('Saldos Iniciales'!$D:$D,'Saldos Iniciales'!$A:$A,"Green Stone Trust")+SUMIFS(Movimientos!$K$1:$K$471,Movimientos!$C$1:$C$471,"Green Stone Trust",Movimientos!$B$1:$B$471,"&lt;="&amp;$B59)</f>
        <v>1968.99</v>
      </c>
      <c r="O59" s="24">
        <f>SUMIFS('Saldos Iniciales'!$D:$D,'Saldos Iniciales'!$A:$A,"EC Auto")+SUMIFS(Movimientos!$K$1:$K$471,Movimientos!$C$1:$C$471,"EC Auto",Movimientos!$B$1:$B$471,"&lt;="&amp;$B59)</f>
        <v>382.69000000000005</v>
      </c>
      <c r="P59" s="24">
        <f>SUMIFS('Saldos Iniciales'!$D:$D,'Saldos Iniciales'!$A:$A,"Arbor Capital Properties")+SUMIFS(Movimientos!$K$1:$K$471,Movimientos!$C$1:$C$471,"Arbor Capital Properties",Movimientos!$B$1:$B$471,"&lt;="&amp;$B59)</f>
        <v>1428.08</v>
      </c>
      <c r="Q59" s="24">
        <f>SUMIFS('Saldos Iniciales'!$D:$D,'Saldos Iniciales'!$A:$A,"2515 Overbrook")+SUMIFS(Movimientos!$K$1:$K$471,Movimientos!$C$1:$C$471,"2515 Overbrook",Movimientos!$B$1:$B$471,"&lt;="&amp;$B59)</f>
        <v>31039.969999999961</v>
      </c>
      <c r="R59" s="24">
        <f>SUMIFS('Saldos Iniciales'!$D:$D,'Saldos Iniciales'!$A:$A,"112 Florida Ave")+SUMIFS(Movimientos!$K$1:$K$471,Movimientos!$C$1:$C$471,"112 Florida Ave",Movimientos!$B$1:$B$471,"&lt;="&amp;$B59)</f>
        <v>20321.43</v>
      </c>
      <c r="S59" s="24">
        <f>SUMIFS('Saldos Iniciales'!$D:$D,'Saldos Iniciales'!$A:$A,"3628 Thomas Ave")+SUMIFS(Movimientos!$K$1:$K$471,Movimientos!$C$1:$C$471,"3628 Thomas Ave",Movimientos!$B$1:$B$471,"&lt;="&amp;$B59)</f>
        <v>28458.6</v>
      </c>
      <c r="T59" s="24">
        <f>SUMIFS('Saldos Iniciales'!$D:$D,'Saldos Iniciales'!$A:$A,"Green Harbor Trust")+SUMIFS(Movimientos!$K$1:$K$471,Movimientos!$C$1:$C$471,"Green Harbor Trust",Movimientos!$B$1:$B$471,"&lt;="&amp;$B59)</f>
        <v>345</v>
      </c>
      <c r="U59" s="24">
        <f>SUMIFS('Saldos Iniciales'!$D:$D,'Saldos Iniciales'!$A:$A,"Go Blue")+SUMIFS(Movimientos!$K$1:$K$471,Movimientos!$C$1:$C$471,"Go Blue",Movimientos!$B$1:$B$471,"&lt;="&amp;$B59)</f>
        <v>24625.29</v>
      </c>
      <c r="V59" s="25">
        <f t="shared" ref="V59" si="11">SUM(C59:U59)</f>
        <v>10304915.619999995</v>
      </c>
    </row>
    <row r="60" spans="1:22" hidden="1" outlineLevel="1" x14ac:dyDescent="0.3">
      <c r="A60" s="22">
        <f t="shared" ref="A60:A67" si="12">+A59+1</f>
        <v>59</v>
      </c>
      <c r="B60" s="23">
        <v>46201</v>
      </c>
      <c r="C60" s="24">
        <f>SUMIFS('Saldos Iniciales'!$D:$D,'Saldos Iniciales'!$A:$A,"CFT Group")+SUMIFS(Movimientos!$K$1:$K$471,Movimientos!$C$1:$C$471,"CFT Group",Movimientos!$B$1:$B$471,"&lt;="&amp;$B60)</f>
        <v>6225646.2600000007</v>
      </c>
      <c r="D60" s="24">
        <f>SUMIFS('Saldos Iniciales'!$D:$D,'Saldos Iniciales'!$A:$A,"M1B")+SUMIFS(Movimientos!$K$1:$K$471,Movimientos!$C$1:$C$471,"M1B",Movimientos!$B$1:$B$471,"&lt;="&amp;$B60)</f>
        <v>72386.190000000177</v>
      </c>
      <c r="E60" s="24">
        <f>SUMIFS('Saldos Iniciales'!$D:$D,'Saldos Iniciales'!$A:$A,"Durand")+SUMIFS(Movimientos!$K$1:$K$471,Movimientos!$C$1:$C$471,"Durand",Movimientos!$B$1:$B$471,"&lt;="&amp;$B60)</f>
        <v>1669.89</v>
      </c>
      <c r="F60" s="24">
        <f>SUMIFS('Saldos Iniciales'!$D:$D,'Saldos Iniciales'!$A:$A,"A&amp;M Imports")+SUMIFS(Movimientos!$K$1:$K$471,Movimientos!$C$1:$C$471,"A&amp;M Imports",Movimientos!$B$1:$B$471,"&lt;="&amp;$B60)</f>
        <v>472766.72999999986</v>
      </c>
      <c r="G60" s="24">
        <f>SUMIFS('Saldos Iniciales'!$D:$D,'Saldos Iniciales'!$A:$A,"SSP Capital")+SUMIFS(Movimientos!$K$1:$K$471,Movimientos!$C$1:$C$471,"SSP Capital",Movimientos!$B$1:$B$471,"&lt;="&amp;$B60)</f>
        <v>1932389.7199999993</v>
      </c>
      <c r="H60" s="24">
        <f>SUMIFS('Saldos Iniciales'!$D:$D,'Saldos Iniciales'!$A:$A,"Cross Family Trust")+SUMIFS(Movimientos!$K$1:$K$471,Movimientos!$C$1:$C$471,"Cross Family Trust",Movimientos!$B$1:$B$471,"&lt;="&amp;$B60)</f>
        <v>1396496.38</v>
      </c>
      <c r="I60" s="24">
        <f>SUMIFS('Saldos Iniciales'!$D:$D,'Saldos Iniciales'!$A:$A,"Cross Security Trust")+SUMIFS(Movimientos!$K$1:$K$471,Movimientos!$C$1:$C$471,"Cross Security Trust",Movimientos!$B$1:$B$471,"&lt;="&amp;$B60)</f>
        <v>88090.37</v>
      </c>
      <c r="J60" s="24">
        <f>SUMIFS('Saldos Iniciales'!$D:$D,'Saldos Iniciales'!$A:$A,"Electrama")+SUMIFS(Movimientos!$K$1:$K$471,Movimientos!$C$1:$C$471,"Electrama",Movimientos!$B$1:$B$471,"&lt;="&amp;$B60)</f>
        <v>1227.9699999999998</v>
      </c>
      <c r="K60" s="24">
        <f>SUMIFS('Saldos Iniciales'!$D:$D,'Saldos Iniciales'!$A:$A,"Sacred Valley Capital")+SUMIFS(Movimientos!$K$1:$K$471,Movimientos!$C$1:$C$471,"Sacred Valley Capital",Movimientos!$B$1:$B$471,"&lt;="&amp;$B60)</f>
        <v>84.35</v>
      </c>
      <c r="L60" s="24">
        <f>SUMIFS('Saldos Iniciales'!$D:$D,'Saldos Iniciales'!$A:$A,"YWC Capital")+SUMIFS(Movimientos!$K$1:$K$471,Movimientos!$C$1:$C$471,"YWC Capital",Movimientos!$B$1:$B$471,"&lt;="&amp;$B60)</f>
        <v>2237.77</v>
      </c>
      <c r="M60" s="24">
        <f>SUMIFS('Saldos Iniciales'!$D:$D,'Saldos Iniciales'!$A:$A,"Soweto")+SUMIFS(Movimientos!$K$1:$K$471,Movimientos!$C$1:$C$471,"Soweto",Movimientos!$B$1:$B$471,"&lt;="&amp;$B60)</f>
        <v>3349.94</v>
      </c>
      <c r="N60" s="24">
        <f>SUMIFS('Saldos Iniciales'!$D:$D,'Saldos Iniciales'!$A:$A,"Green Stone Trust")+SUMIFS(Movimientos!$K$1:$K$471,Movimientos!$C$1:$C$471,"Green Stone Trust",Movimientos!$B$1:$B$471,"&lt;="&amp;$B60)</f>
        <v>1968.99</v>
      </c>
      <c r="O60" s="24">
        <f>SUMIFS('Saldos Iniciales'!$D:$D,'Saldos Iniciales'!$A:$A,"EC Auto")+SUMIFS(Movimientos!$K$1:$K$471,Movimientos!$C$1:$C$471,"EC Auto",Movimientos!$B$1:$B$471,"&lt;="&amp;$B60)</f>
        <v>382.69000000000005</v>
      </c>
      <c r="P60" s="24">
        <f>SUMIFS('Saldos Iniciales'!$D:$D,'Saldos Iniciales'!$A:$A,"Arbor Capital Properties")+SUMIFS(Movimientos!$K$1:$K$471,Movimientos!$C$1:$C$471,"Arbor Capital Properties",Movimientos!$B$1:$B$471,"&lt;="&amp;$B60)</f>
        <v>1428.08</v>
      </c>
      <c r="Q60" s="24">
        <f>SUMIFS('Saldos Iniciales'!$D:$D,'Saldos Iniciales'!$A:$A,"2515 Overbrook")+SUMIFS(Movimientos!$K$1:$K$471,Movimientos!$C$1:$C$471,"2515 Overbrook",Movimientos!$B$1:$B$471,"&lt;="&amp;$B60)</f>
        <v>31039.969999999961</v>
      </c>
      <c r="R60" s="24">
        <f>SUMIFS('Saldos Iniciales'!$D:$D,'Saldos Iniciales'!$A:$A,"112 Florida Ave")+SUMIFS(Movimientos!$K$1:$K$471,Movimientos!$C$1:$C$471,"112 Florida Ave",Movimientos!$B$1:$B$471,"&lt;="&amp;$B60)</f>
        <v>20321.43</v>
      </c>
      <c r="S60" s="24">
        <f>SUMIFS('Saldos Iniciales'!$D:$D,'Saldos Iniciales'!$A:$A,"3628 Thomas Ave")+SUMIFS(Movimientos!$K$1:$K$471,Movimientos!$C$1:$C$471,"3628 Thomas Ave",Movimientos!$B$1:$B$471,"&lt;="&amp;$B60)</f>
        <v>28458.6</v>
      </c>
      <c r="T60" s="24">
        <f>SUMIFS('Saldos Iniciales'!$D:$D,'Saldos Iniciales'!$A:$A,"Green Harbor Trust")+SUMIFS(Movimientos!$K$1:$K$471,Movimientos!$C$1:$C$471,"Green Harbor Trust",Movimientos!$B$1:$B$471,"&lt;="&amp;$B60)</f>
        <v>345</v>
      </c>
      <c r="U60" s="24">
        <f>SUMIFS('Saldos Iniciales'!$D:$D,'Saldos Iniciales'!$A:$A,"Go Blue")+SUMIFS(Movimientos!$K$1:$K$471,Movimientos!$C$1:$C$471,"Go Blue",Movimientos!$B$1:$B$471,"&lt;="&amp;$B60)</f>
        <v>24625.29</v>
      </c>
      <c r="V60" s="25">
        <f>SUM(C60:U60)</f>
        <v>10304915.619999995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Group")+SUMIFS(Movimientos!$K$1:$K$471,Movimientos!$C$1:$C$471,"CFT Group",Movimientos!$B$1:$B$471,"&lt;="&amp;$B61)</f>
        <v>6236765.3600000013</v>
      </c>
      <c r="D61" s="24">
        <f>SUMIFS('Saldos Iniciales'!$D:$D,'Saldos Iniciales'!$A:$A,"M1B")+SUMIFS(Movimientos!$K$1:$K$471,Movimientos!$C$1:$C$471,"M1B",Movimientos!$B$1:$B$471,"&lt;="&amp;$B61)</f>
        <v>72386.190000000177</v>
      </c>
      <c r="E61" s="24">
        <f>SUMIFS('Saldos Iniciales'!$D:$D,'Saldos Iniciales'!$A:$A,"Durand")+SUMIFS(Movimientos!$K$1:$K$471,Movimientos!$C$1:$C$471,"Durand",Movimientos!$B$1:$B$471,"&lt;="&amp;$B61)</f>
        <v>1669.89</v>
      </c>
      <c r="F61" s="24">
        <f>SUMIFS('Saldos Iniciales'!$D:$D,'Saldos Iniciales'!$A:$A,"A&amp;M Imports")+SUMIFS(Movimientos!$K$1:$K$471,Movimientos!$C$1:$C$471,"A&amp;M Imports",Movimientos!$B$1:$B$471,"&lt;="&amp;$B61)</f>
        <v>489745.62999999989</v>
      </c>
      <c r="G61" s="24">
        <f>SUMIFS('Saldos Iniciales'!$D:$D,'Saldos Iniciales'!$A:$A,"SSP Capital")+SUMIFS(Movimientos!$K$1:$K$471,Movimientos!$C$1:$C$471,"SSP Capital",Movimientos!$B$1:$B$471,"&lt;="&amp;$B61)</f>
        <v>1768167.9199999995</v>
      </c>
      <c r="H61" s="24">
        <f>SUMIFS('Saldos Iniciales'!$D:$D,'Saldos Iniciales'!$A:$A,"Cross Family Trust")+SUMIFS(Movimientos!$K$1:$K$471,Movimientos!$C$1:$C$471,"Cross Family Trust",Movimientos!$B$1:$B$471,"&lt;="&amp;$B61)</f>
        <v>396496.38</v>
      </c>
      <c r="I61" s="24">
        <f>SUMIFS('Saldos Iniciales'!$D:$D,'Saldos Iniciales'!$A:$A,"Cross Security Trust")+SUMIFS(Movimientos!$K$1:$K$471,Movimientos!$C$1:$C$471,"Cross Security Trust",Movimientos!$B$1:$B$471,"&lt;="&amp;$B61)</f>
        <v>88090.37</v>
      </c>
      <c r="J61" s="24">
        <f>SUMIFS('Saldos Iniciales'!$D:$D,'Saldos Iniciales'!$A:$A,"Electrama")+SUMIFS(Movimientos!$K$1:$K$471,Movimientos!$C$1:$C$471,"Electrama",Movimientos!$B$1:$B$471,"&lt;="&amp;$B61)</f>
        <v>1227.9699999999998</v>
      </c>
      <c r="K61" s="24">
        <f>SUMIFS('Saldos Iniciales'!$D:$D,'Saldos Iniciales'!$A:$A,"Sacred Valley Capital")+SUMIFS(Movimientos!$K$1:$K$471,Movimientos!$C$1:$C$471,"Sacred Valley Capital",Movimientos!$B$1:$B$471,"&lt;="&amp;$B61)</f>
        <v>84.35</v>
      </c>
      <c r="L61" s="24">
        <f>SUMIFS('Saldos Iniciales'!$D:$D,'Saldos Iniciales'!$A:$A,"YWC Capital")+SUMIFS(Movimientos!$K$1:$K$471,Movimientos!$C$1:$C$471,"YWC Capital",Movimientos!$B$1:$B$471,"&lt;="&amp;$B61)</f>
        <v>2237.77</v>
      </c>
      <c r="M61" s="24">
        <f>SUMIFS('Saldos Iniciales'!$D:$D,'Saldos Iniciales'!$A:$A,"Soweto")+SUMIFS(Movimientos!$K$1:$K$471,Movimientos!$C$1:$C$471,"Soweto",Movimientos!$B$1:$B$471,"&lt;="&amp;$B61)</f>
        <v>3349.94</v>
      </c>
      <c r="N61" s="24">
        <f>SUMIFS('Saldos Iniciales'!$D:$D,'Saldos Iniciales'!$A:$A,"Green Stone Trust")+SUMIFS(Movimientos!$K$1:$K$471,Movimientos!$C$1:$C$471,"Green Stone Trust",Movimientos!$B$1:$B$471,"&lt;="&amp;$B61)</f>
        <v>1968.99</v>
      </c>
      <c r="O61" s="24">
        <f>SUMIFS('Saldos Iniciales'!$D:$D,'Saldos Iniciales'!$A:$A,"EC Auto")+SUMIFS(Movimientos!$K$1:$K$471,Movimientos!$C$1:$C$471,"EC Auto",Movimientos!$B$1:$B$471,"&lt;="&amp;$B61)</f>
        <v>382.69000000000005</v>
      </c>
      <c r="P61" s="24">
        <f>SUMIFS('Saldos Iniciales'!$D:$D,'Saldos Iniciales'!$A:$A,"Arbor Capital Properties")+SUMIFS(Movimientos!$K$1:$K$471,Movimientos!$C$1:$C$471,"Arbor Capital Properties",Movimientos!$B$1:$B$471,"&lt;="&amp;$B61)</f>
        <v>1428.08</v>
      </c>
      <c r="Q61" s="24">
        <f>SUMIFS('Saldos Iniciales'!$D:$D,'Saldos Iniciales'!$A:$A,"2515 Overbrook")+SUMIFS(Movimientos!$K$1:$K$471,Movimientos!$C$1:$C$471,"2515 Overbrook",Movimientos!$B$1:$B$471,"&lt;="&amp;$B61)</f>
        <v>31039.969999999961</v>
      </c>
      <c r="R61" s="24">
        <f>SUMIFS('Saldos Iniciales'!$D:$D,'Saldos Iniciales'!$A:$A,"112 Florida Ave")+SUMIFS(Movimientos!$K$1:$K$471,Movimientos!$C$1:$C$471,"112 Florida Ave",Movimientos!$B$1:$B$471,"&lt;="&amp;$B61)</f>
        <v>20321.43</v>
      </c>
      <c r="S61" s="24">
        <f>SUMIFS('Saldos Iniciales'!$D:$D,'Saldos Iniciales'!$A:$A,"3628 Thomas Ave")+SUMIFS(Movimientos!$K$1:$K$471,Movimientos!$C$1:$C$471,"3628 Thomas Ave",Movimientos!$B$1:$B$471,"&lt;="&amp;$B61)</f>
        <v>28458.6</v>
      </c>
      <c r="T61" s="24">
        <f>SUMIFS('Saldos Iniciales'!$D:$D,'Saldos Iniciales'!$A:$A,"Green Harbor Trust")+SUMIFS(Movimientos!$K$1:$K$471,Movimientos!$C$1:$C$471,"Green Harbor Trust",Movimientos!$B$1:$B$471,"&lt;="&amp;$B61)</f>
        <v>345</v>
      </c>
      <c r="U61" s="24">
        <f>SUMIFS('Saldos Iniciales'!$D:$D,'Saldos Iniciales'!$A:$A,"Go Blue")+SUMIFS(Movimientos!$K$1:$K$471,Movimientos!$C$1:$C$471,"Go Blue",Movimientos!$B$1:$B$471,"&lt;="&amp;$B61)</f>
        <v>18579.43</v>
      </c>
      <c r="V61" s="25">
        <f t="shared" ref="V61:V62" si="13">SUM(C61:U61)</f>
        <v>9162745.959999999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Group")+SUMIFS(Movimientos!$K$1:$K$471,Movimientos!$C$1:$C$471,"CFT Group",Movimientos!$B$1:$B$471,"&lt;="&amp;$B62)</f>
        <v>6233176.3000000007</v>
      </c>
      <c r="D62" s="24">
        <f>SUMIFS('Saldos Iniciales'!$D:$D,'Saldos Iniciales'!$A:$A,"M1B")+SUMIFS(Movimientos!$K$1:$K$471,Movimientos!$C$1:$C$471,"M1B",Movimientos!$B$1:$B$471,"&lt;="&amp;$B62)</f>
        <v>79139.680000000168</v>
      </c>
      <c r="E62" s="24">
        <f>SUMIFS('Saldos Iniciales'!$D:$D,'Saldos Iniciales'!$A:$A,"Durand")+SUMIFS(Movimientos!$K$1:$K$471,Movimientos!$C$1:$C$471,"Durand",Movimientos!$B$1:$B$471,"&lt;="&amp;$B62)</f>
        <v>1669.89</v>
      </c>
      <c r="F62" s="24">
        <f>SUMIFS('Saldos Iniciales'!$D:$D,'Saldos Iniciales'!$A:$A,"A&amp;M Imports")+SUMIFS(Movimientos!$K$1:$K$471,Movimientos!$C$1:$C$471,"A&amp;M Imports",Movimientos!$B$1:$B$471,"&lt;="&amp;$B62)</f>
        <v>489745.62999999989</v>
      </c>
      <c r="G62" s="24">
        <f>SUMIFS('Saldos Iniciales'!$D:$D,'Saldos Iniciales'!$A:$A,"SSP Capital")+SUMIFS(Movimientos!$K$1:$K$471,Movimientos!$C$1:$C$471,"SSP Capital",Movimientos!$B$1:$B$471,"&lt;="&amp;$B62)</f>
        <v>1696284.7299999995</v>
      </c>
      <c r="H62" s="24">
        <f>SUMIFS('Saldos Iniciales'!$D:$D,'Saldos Iniciales'!$A:$A,"Cross Family Trust")+SUMIFS(Movimientos!$K$1:$K$471,Movimientos!$C$1:$C$471,"Cross Family Trust",Movimientos!$B$1:$B$471,"&lt;="&amp;$B62)</f>
        <v>390496.38</v>
      </c>
      <c r="I62" s="24">
        <f>SUMIFS('Saldos Iniciales'!$D:$D,'Saldos Iniciales'!$A:$A,"Cross Security Trust")+SUMIFS(Movimientos!$K$1:$K$471,Movimientos!$C$1:$C$471,"Cross Security Trust",Movimientos!$B$1:$B$471,"&lt;="&amp;$B62)</f>
        <v>88090.37</v>
      </c>
      <c r="J62" s="24">
        <f>SUMIFS('Saldos Iniciales'!$D:$D,'Saldos Iniciales'!$A:$A,"Electrama")+SUMIFS(Movimientos!$K$1:$K$471,Movimientos!$C$1:$C$471,"Electrama",Movimientos!$B$1:$B$471,"&lt;="&amp;$B62)</f>
        <v>1227.9699999999998</v>
      </c>
      <c r="K62" s="24">
        <f>SUMIFS('Saldos Iniciales'!$D:$D,'Saldos Iniciales'!$A:$A,"Sacred Valley Capital")+SUMIFS(Movimientos!$K$1:$K$471,Movimientos!$C$1:$C$471,"Sacred Valley Capital",Movimientos!$B$1:$B$471,"&lt;="&amp;$B62)</f>
        <v>84.35</v>
      </c>
      <c r="L62" s="24">
        <f>SUMIFS('Saldos Iniciales'!$D:$D,'Saldos Iniciales'!$A:$A,"YWC Capital")+SUMIFS(Movimientos!$K$1:$K$471,Movimientos!$C$1:$C$471,"YWC Capital",Movimientos!$B$1:$B$471,"&lt;="&amp;$B62)</f>
        <v>2237.77</v>
      </c>
      <c r="M62" s="24">
        <f>SUMIFS('Saldos Iniciales'!$D:$D,'Saldos Iniciales'!$A:$A,"Soweto")+SUMIFS(Movimientos!$K$1:$K$471,Movimientos!$C$1:$C$471,"Soweto",Movimientos!$B$1:$B$471,"&lt;="&amp;$B62)</f>
        <v>3349.94</v>
      </c>
      <c r="N62" s="24">
        <f>SUMIFS('Saldos Iniciales'!$D:$D,'Saldos Iniciales'!$A:$A,"Green Stone Trust")+SUMIFS(Movimientos!$K$1:$K$471,Movimientos!$C$1:$C$471,"Green Stone Trust",Movimientos!$B$1:$B$471,"&lt;="&amp;$B62)</f>
        <v>1968.99</v>
      </c>
      <c r="O62" s="24">
        <f>SUMIFS('Saldos Iniciales'!$D:$D,'Saldos Iniciales'!$A:$A,"EC Auto")+SUMIFS(Movimientos!$K$1:$K$471,Movimientos!$C$1:$C$471,"EC Auto",Movimientos!$B$1:$B$471,"&lt;="&amp;$B62)</f>
        <v>382.69000000000005</v>
      </c>
      <c r="P62" s="24">
        <f>SUMIFS('Saldos Iniciales'!$D:$D,'Saldos Iniciales'!$A:$A,"Arbor Capital Properties")+SUMIFS(Movimientos!$K$1:$K$471,Movimientos!$C$1:$C$471,"Arbor Capital Properties",Movimientos!$B$1:$B$471,"&lt;="&amp;$B62)</f>
        <v>1428.08</v>
      </c>
      <c r="Q62" s="24">
        <f>SUMIFS('Saldos Iniciales'!$D:$D,'Saldos Iniciales'!$A:$A,"2515 Overbrook")+SUMIFS(Movimientos!$K$1:$K$471,Movimientos!$C$1:$C$471,"2515 Overbrook",Movimientos!$B$1:$B$471,"&lt;="&amp;$B62)</f>
        <v>31039.969999999961</v>
      </c>
      <c r="R62" s="24">
        <f>SUMIFS('Saldos Iniciales'!$D:$D,'Saldos Iniciales'!$A:$A,"112 Florida Ave")+SUMIFS(Movimientos!$K$1:$K$471,Movimientos!$C$1:$C$471,"112 Florida Ave",Movimientos!$B$1:$B$471,"&lt;="&amp;$B62)</f>
        <v>20321.43</v>
      </c>
      <c r="S62" s="24">
        <f>SUMIFS('Saldos Iniciales'!$D:$D,'Saldos Iniciales'!$A:$A,"3628 Thomas Ave")+SUMIFS(Movimientos!$K$1:$K$471,Movimientos!$C$1:$C$471,"3628 Thomas Ave",Movimientos!$B$1:$B$471,"&lt;="&amp;$B62)</f>
        <v>28458.6</v>
      </c>
      <c r="T62" s="24">
        <f>SUMIFS('Saldos Iniciales'!$D:$D,'Saldos Iniciales'!$A:$A,"Green Harbor Trust")+SUMIFS(Movimientos!$K$1:$K$471,Movimientos!$C$1:$C$471,"Green Harbor Trust",Movimientos!$B$1:$B$471,"&lt;="&amp;$B62)</f>
        <v>345</v>
      </c>
      <c r="U62" s="24">
        <f>SUMIFS('Saldos Iniciales'!$D:$D,'Saldos Iniciales'!$A:$A,"Go Blue")+SUMIFS(Movimientos!$K$1:$K$471,Movimientos!$C$1:$C$471,"Go Blue",Movimientos!$B$1:$B$471,"&lt;="&amp;$B62)</f>
        <v>18579.43</v>
      </c>
      <c r="V62" s="25">
        <f t="shared" si="13"/>
        <v>9088027.1999999993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Group")+SUMIFS(Movimientos!$K$1:$K$471,Movimientos!$C$1:$C$471,"CFT Group",Movimientos!$B$1:$B$471,"&lt;="&amp;$B63)</f>
        <v>6233176.3000000007</v>
      </c>
      <c r="D63" s="24">
        <f>SUMIFS('Saldos Iniciales'!$D:$D,'Saldos Iniciales'!$A:$A,"M1B")+SUMIFS(Movimientos!$K$1:$K$471,Movimientos!$C$1:$C$471,"M1B",Movimientos!$B$1:$B$471,"&lt;="&amp;$B63)</f>
        <v>79139.680000000168</v>
      </c>
      <c r="E63" s="24">
        <f>SUMIFS('Saldos Iniciales'!$D:$D,'Saldos Iniciales'!$A:$A,"Durand")+SUMIFS(Movimientos!$K$1:$K$471,Movimientos!$C$1:$C$471,"Durand",Movimientos!$B$1:$B$471,"&lt;="&amp;$B63)</f>
        <v>1669.89</v>
      </c>
      <c r="F63" s="24">
        <f>SUMIFS('Saldos Iniciales'!$D:$D,'Saldos Iniciales'!$A:$A,"A&amp;M Imports")+SUMIFS(Movimientos!$K$1:$K$471,Movimientos!$C$1:$C$471,"A&amp;M Imports",Movimientos!$B$1:$B$471,"&lt;="&amp;$B63)</f>
        <v>507936.37999999989</v>
      </c>
      <c r="G63" s="24">
        <f>SUMIFS('Saldos Iniciales'!$D:$D,'Saldos Iniciales'!$A:$A,"SSP Capital")+SUMIFS(Movimientos!$K$1:$K$471,Movimientos!$C$1:$C$471,"SSP Capital",Movimientos!$B$1:$B$471,"&lt;="&amp;$B63)</f>
        <v>1696284.7299999995</v>
      </c>
      <c r="H63" s="24">
        <f>SUMIFS('Saldos Iniciales'!$D:$D,'Saldos Iniciales'!$A:$A,"Cross Family Trust")+SUMIFS(Movimientos!$K$1:$K$471,Movimientos!$C$1:$C$471,"Cross Family Trust",Movimientos!$B$1:$B$471,"&lt;="&amp;$B63)</f>
        <v>390496.38</v>
      </c>
      <c r="I63" s="24">
        <f>SUMIFS('Saldos Iniciales'!$D:$D,'Saldos Iniciales'!$A:$A,"Cross Security Trust")+SUMIFS(Movimientos!$K$1:$K$471,Movimientos!$C$1:$C$471,"Cross Security Trust",Movimientos!$B$1:$B$471,"&lt;="&amp;$B63)</f>
        <v>88090.37</v>
      </c>
      <c r="J63" s="24">
        <f>SUMIFS('Saldos Iniciales'!$D:$D,'Saldos Iniciales'!$A:$A,"Electrama")+SUMIFS(Movimientos!$K$1:$K$471,Movimientos!$C$1:$C$471,"Electrama",Movimientos!$B$1:$B$471,"&lt;="&amp;$B63)</f>
        <v>1227.9699999999998</v>
      </c>
      <c r="K63" s="24">
        <f>SUMIFS('Saldos Iniciales'!$D:$D,'Saldos Iniciales'!$A:$A,"Sacred Valley Capital")+SUMIFS(Movimientos!$K$1:$K$471,Movimientos!$C$1:$C$471,"Sacred Valley Capital",Movimientos!$B$1:$B$471,"&lt;="&amp;$B63)</f>
        <v>54.400000000000006</v>
      </c>
      <c r="L63" s="24">
        <f>SUMIFS('Saldos Iniciales'!$D:$D,'Saldos Iniciales'!$A:$A,"YWC Capital")+SUMIFS(Movimientos!$K$1:$K$471,Movimientos!$C$1:$C$471,"YWC Capital",Movimientos!$B$1:$B$471,"&lt;="&amp;$B63)</f>
        <v>2207.8200000000002</v>
      </c>
      <c r="M63" s="24">
        <f>SUMIFS('Saldos Iniciales'!$D:$D,'Saldos Iniciales'!$A:$A,"Soweto")+SUMIFS(Movimientos!$K$1:$K$471,Movimientos!$C$1:$C$471,"Soweto",Movimientos!$B$1:$B$471,"&lt;="&amp;$B63)</f>
        <v>3349.94</v>
      </c>
      <c r="N63" s="24">
        <f>SUMIFS('Saldos Iniciales'!$D:$D,'Saldos Iniciales'!$A:$A,"Green Stone Trust")+SUMIFS(Movimientos!$K$1:$K$471,Movimientos!$C$1:$C$471,"Green Stone Trust",Movimientos!$B$1:$B$471,"&lt;="&amp;$B63)</f>
        <v>1968.99</v>
      </c>
      <c r="O63" s="24">
        <f>SUMIFS('Saldos Iniciales'!$D:$D,'Saldos Iniciales'!$A:$A,"EC Auto")+SUMIFS(Movimientos!$K$1:$K$471,Movimientos!$C$1:$C$471,"EC Auto",Movimientos!$B$1:$B$471,"&lt;="&amp;$B63)</f>
        <v>382.69000000000005</v>
      </c>
      <c r="P63" s="24">
        <f>SUMIFS('Saldos Iniciales'!$D:$D,'Saldos Iniciales'!$A:$A,"Arbor Capital Properties")+SUMIFS(Movimientos!$K$1:$K$471,Movimientos!$C$1:$C$471,"Arbor Capital Properties",Movimientos!$B$1:$B$471,"&lt;="&amp;$B63)</f>
        <v>1412.08</v>
      </c>
      <c r="Q63" s="24">
        <f>SUMIFS('Saldos Iniciales'!$D:$D,'Saldos Iniciales'!$A:$A,"2515 Overbrook")+SUMIFS(Movimientos!$K$1:$K$471,Movimientos!$C$1:$C$471,"2515 Overbrook",Movimientos!$B$1:$B$471,"&lt;="&amp;$B63)</f>
        <v>22496.639999999959</v>
      </c>
      <c r="R63" s="24">
        <f>SUMIFS('Saldos Iniciales'!$D:$D,'Saldos Iniciales'!$A:$A,"112 Florida Ave")+SUMIFS(Movimientos!$K$1:$K$471,Movimientos!$C$1:$C$471,"112 Florida Ave",Movimientos!$B$1:$B$471,"&lt;="&amp;$B63)</f>
        <v>10522.800000000003</v>
      </c>
      <c r="S63" s="24">
        <f>SUMIFS('Saldos Iniciales'!$D:$D,'Saldos Iniciales'!$A:$A,"3628 Thomas Ave")+SUMIFS(Movimientos!$K$1:$K$471,Movimientos!$C$1:$C$471,"3628 Thomas Ave",Movimientos!$B$1:$B$471,"&lt;="&amp;$B63)</f>
        <v>19685.559999999998</v>
      </c>
      <c r="T63" s="24">
        <f>SUMIFS('Saldos Iniciales'!$D:$D,'Saldos Iniciales'!$A:$A,"Green Harbor Trust")+SUMIFS(Movimientos!$K$1:$K$471,Movimientos!$C$1:$C$471,"Green Harbor Trust",Movimientos!$B$1:$B$471,"&lt;="&amp;$B63)</f>
        <v>345</v>
      </c>
      <c r="U63" s="24">
        <f>SUMIFS('Saldos Iniciales'!$D:$D,'Saldos Iniciales'!$A:$A,"Go Blue")+SUMIFS(Movimientos!$K$1:$K$471,Movimientos!$C$1:$C$471,"Go Blue",Movimientos!$B$1:$B$471,"&lt;="&amp;$B63)</f>
        <v>18404.43</v>
      </c>
      <c r="V63" s="25">
        <f t="shared" ref="V63:V67" si="14">SUM(C63:U63)</f>
        <v>9078852.0500000026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Group")+SUMIFS(Movimientos!$K$1:$K$471,Movimientos!$C$1:$C$471,"CFT Group",Movimientos!$B$1:$B$471,"&lt;="&amp;$B64)</f>
        <v>5530176.3000000007</v>
      </c>
      <c r="D64" s="24">
        <f>SUMIFS('Saldos Iniciales'!$D:$D,'Saldos Iniciales'!$A:$A,"M1B")+SUMIFS(Movimientos!$K$1:$K$471,Movimientos!$C$1:$C$471,"M1B",Movimientos!$B$1:$B$471,"&lt;="&amp;$B64)</f>
        <v>79139.680000000168</v>
      </c>
      <c r="E64" s="24">
        <f>SUMIFS('Saldos Iniciales'!$D:$D,'Saldos Iniciales'!$A:$A,"Durand")+SUMIFS(Movimientos!$K$1:$K$471,Movimientos!$C$1:$C$471,"Durand",Movimientos!$B$1:$B$471,"&lt;="&amp;$B64)</f>
        <v>1669.89</v>
      </c>
      <c r="F64" s="24">
        <f>SUMIFS('Saldos Iniciales'!$D:$D,'Saldos Iniciales'!$A:$A,"A&amp;M Imports")+SUMIFS(Movimientos!$K$1:$K$471,Movimientos!$C$1:$C$471,"A&amp;M Imports",Movimientos!$B$1:$B$471,"&lt;="&amp;$B64)</f>
        <v>350475.62999999989</v>
      </c>
      <c r="G64" s="24">
        <f>SUMIFS('Saldos Iniciales'!$D:$D,'Saldos Iniciales'!$A:$A,"SSP Capital")+SUMIFS(Movimientos!$K$1:$K$471,Movimientos!$C$1:$C$471,"SSP Capital",Movimientos!$B$1:$B$471,"&lt;="&amp;$B64)</f>
        <v>1761564.8799999994</v>
      </c>
      <c r="H64" s="24">
        <f>SUMIFS('Saldos Iniciales'!$D:$D,'Saldos Iniciales'!$A:$A,"Cross Family Trust")+SUMIFS(Movimientos!$K$1:$K$471,Movimientos!$C$1:$C$471,"Cross Family Trust",Movimientos!$B$1:$B$471,"&lt;="&amp;$B64)</f>
        <v>220496.38</v>
      </c>
      <c r="I64" s="24">
        <f>SUMIFS('Saldos Iniciales'!$D:$D,'Saldos Iniciales'!$A:$A,"Cross Security Trust")+SUMIFS(Movimientos!$K$1:$K$471,Movimientos!$C$1:$C$471,"Cross Security Trust",Movimientos!$B$1:$B$471,"&lt;="&amp;$B64)</f>
        <v>88090.37</v>
      </c>
      <c r="J64" s="24">
        <f>SUMIFS('Saldos Iniciales'!$D:$D,'Saldos Iniciales'!$A:$A,"Electrama")+SUMIFS(Movimientos!$K$1:$K$471,Movimientos!$C$1:$C$471,"Electrama",Movimientos!$B$1:$B$471,"&lt;="&amp;$B64)</f>
        <v>1227.9699999999998</v>
      </c>
      <c r="K64" s="24">
        <f>SUMIFS('Saldos Iniciales'!$D:$D,'Saldos Iniciales'!$A:$A,"Sacred Valley Capital")+SUMIFS(Movimientos!$K$1:$K$471,Movimientos!$C$1:$C$471,"Sacred Valley Capital",Movimientos!$B$1:$B$471,"&lt;="&amp;$B64)</f>
        <v>54.400000000000006</v>
      </c>
      <c r="L64" s="24">
        <f>SUMIFS('Saldos Iniciales'!$D:$D,'Saldos Iniciales'!$A:$A,"YWC Capital")+SUMIFS(Movimientos!$K$1:$K$471,Movimientos!$C$1:$C$471,"YWC Capital",Movimientos!$B$1:$B$471,"&lt;="&amp;$B64)</f>
        <v>2207.8200000000002</v>
      </c>
      <c r="M64" s="24">
        <f>SUMIFS('Saldos Iniciales'!$D:$D,'Saldos Iniciales'!$A:$A,"Soweto")+SUMIFS(Movimientos!$K$1:$K$471,Movimientos!$C$1:$C$471,"Soweto",Movimientos!$B$1:$B$471,"&lt;="&amp;$B64)</f>
        <v>3349.94</v>
      </c>
      <c r="N64" s="24">
        <f>SUMIFS('Saldos Iniciales'!$D:$D,'Saldos Iniciales'!$A:$A,"Green Stone Trust")+SUMIFS(Movimientos!$K$1:$K$471,Movimientos!$C$1:$C$471,"Green Stone Trust",Movimientos!$B$1:$B$471,"&lt;="&amp;$B64)</f>
        <v>1968.99</v>
      </c>
      <c r="O64" s="24">
        <f>SUMIFS('Saldos Iniciales'!$D:$D,'Saldos Iniciales'!$A:$A,"EC Auto")+SUMIFS(Movimientos!$K$1:$K$471,Movimientos!$C$1:$C$471,"EC Auto",Movimientos!$B$1:$B$471,"&lt;="&amp;$B64)</f>
        <v>382.69000000000005</v>
      </c>
      <c r="P64" s="24">
        <f>SUMIFS('Saldos Iniciales'!$D:$D,'Saldos Iniciales'!$A:$A,"Arbor Capital Properties")+SUMIFS(Movimientos!$K$1:$K$471,Movimientos!$C$1:$C$471,"Arbor Capital Properties",Movimientos!$B$1:$B$471,"&lt;="&amp;$B64)</f>
        <v>1412.08</v>
      </c>
      <c r="Q64" s="24">
        <f>SUMIFS('Saldos Iniciales'!$D:$D,'Saldos Iniciales'!$A:$A,"2515 Overbrook")+SUMIFS(Movimientos!$K$1:$K$471,Movimientos!$C$1:$C$471,"2515 Overbrook",Movimientos!$B$1:$B$471,"&lt;="&amp;$B64)</f>
        <v>22496.639999999959</v>
      </c>
      <c r="R64" s="24">
        <f>SUMIFS('Saldos Iniciales'!$D:$D,'Saldos Iniciales'!$A:$A,"112 Florida Ave")+SUMIFS(Movimientos!$K$1:$K$471,Movimientos!$C$1:$C$471,"112 Florida Ave",Movimientos!$B$1:$B$471,"&lt;="&amp;$B64)</f>
        <v>10522.800000000003</v>
      </c>
      <c r="S64" s="24">
        <f>SUMIFS('Saldos Iniciales'!$D:$D,'Saldos Iniciales'!$A:$A,"3628 Thomas Ave")+SUMIFS(Movimientos!$K$1:$K$471,Movimientos!$C$1:$C$471,"3628 Thomas Ave",Movimientos!$B$1:$B$471,"&lt;="&amp;$B64)</f>
        <v>24085.559999999998</v>
      </c>
      <c r="T64" s="24">
        <f>SUMIFS('Saldos Iniciales'!$D:$D,'Saldos Iniciales'!$A:$A,"Green Harbor Trust")+SUMIFS(Movimientos!$K$1:$K$471,Movimientos!$C$1:$C$471,"Green Harbor Trust",Movimientos!$B$1:$B$471,"&lt;="&amp;$B64)</f>
        <v>345</v>
      </c>
      <c r="U64" s="24">
        <f>SUMIFS('Saldos Iniciales'!$D:$D,'Saldos Iniciales'!$A:$A,"Go Blue")+SUMIFS(Movimientos!$K$1:$K$471,Movimientos!$C$1:$C$471,"Go Blue",Movimientos!$B$1:$B$471,"&lt;="&amp;$B64)</f>
        <v>31206.370000000003</v>
      </c>
      <c r="V64" s="25">
        <f t="shared" si="14"/>
        <v>8130873.3899999997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Group")+SUMIFS(Movimientos!$K$1:$K$471,Movimientos!$C$1:$C$471,"CFT Group",Movimientos!$B$1:$B$471,"&lt;="&amp;$B65)</f>
        <v>5530176.3000000007</v>
      </c>
      <c r="D65" s="24">
        <f>SUMIFS('Saldos Iniciales'!$D:$D,'Saldos Iniciales'!$A:$A,"M1B")+SUMIFS(Movimientos!$K$1:$K$471,Movimientos!$C$1:$C$471,"M1B",Movimientos!$B$1:$B$471,"&lt;="&amp;$B65)</f>
        <v>79139.680000000168</v>
      </c>
      <c r="E65" s="24">
        <f>SUMIFS('Saldos Iniciales'!$D:$D,'Saldos Iniciales'!$A:$A,"Durand")+SUMIFS(Movimientos!$K$1:$K$471,Movimientos!$C$1:$C$471,"Durand",Movimientos!$B$1:$B$471,"&lt;="&amp;$B65)</f>
        <v>1669.89</v>
      </c>
      <c r="F65" s="24">
        <f>SUMIFS('Saldos Iniciales'!$D:$D,'Saldos Iniciales'!$A:$A,"A&amp;M Imports")+SUMIFS(Movimientos!$K$1:$K$471,Movimientos!$C$1:$C$471,"A&amp;M Imports",Movimientos!$B$1:$B$471,"&lt;="&amp;$B65)</f>
        <v>350475.62999999989</v>
      </c>
      <c r="G65" s="24">
        <f>SUMIFS('Saldos Iniciales'!$D:$D,'Saldos Iniciales'!$A:$A,"SSP Capital")+SUMIFS(Movimientos!$K$1:$K$471,Movimientos!$C$1:$C$471,"SSP Capital",Movimientos!$B$1:$B$471,"&lt;="&amp;$B65)</f>
        <v>1761564.8799999994</v>
      </c>
      <c r="H65" s="24">
        <f>SUMIFS('Saldos Iniciales'!$D:$D,'Saldos Iniciales'!$A:$A,"Cross Family Trust")+SUMIFS(Movimientos!$K$1:$K$471,Movimientos!$C$1:$C$471,"Cross Family Trust",Movimientos!$B$1:$B$471,"&lt;="&amp;$B65)</f>
        <v>220496.38</v>
      </c>
      <c r="I65" s="24">
        <f>SUMIFS('Saldos Iniciales'!$D:$D,'Saldos Iniciales'!$A:$A,"Cross Security Trust")+SUMIFS(Movimientos!$K$1:$K$471,Movimientos!$C$1:$C$471,"Cross Security Trust",Movimientos!$B$1:$B$471,"&lt;="&amp;$B65)</f>
        <v>88090.37</v>
      </c>
      <c r="J65" s="24">
        <f>SUMIFS('Saldos Iniciales'!$D:$D,'Saldos Iniciales'!$A:$A,"Electrama")+SUMIFS(Movimientos!$K$1:$K$471,Movimientos!$C$1:$C$471,"Electrama",Movimientos!$B$1:$B$471,"&lt;="&amp;$B65)</f>
        <v>1227.9699999999998</v>
      </c>
      <c r="K65" s="24">
        <f>SUMIFS('Saldos Iniciales'!$D:$D,'Saldos Iniciales'!$A:$A,"Sacred Valley Capital")+SUMIFS(Movimientos!$K$1:$K$471,Movimientos!$C$1:$C$471,"Sacred Valley Capital",Movimientos!$B$1:$B$471,"&lt;="&amp;$B65)</f>
        <v>54.400000000000006</v>
      </c>
      <c r="L65" s="24">
        <f>SUMIFS('Saldos Iniciales'!$D:$D,'Saldos Iniciales'!$A:$A,"YWC Capital")+SUMIFS(Movimientos!$K$1:$K$471,Movimientos!$C$1:$C$471,"YWC Capital",Movimientos!$B$1:$B$471,"&lt;="&amp;$B65)</f>
        <v>2207.8200000000002</v>
      </c>
      <c r="M65" s="24">
        <f>SUMIFS('Saldos Iniciales'!$D:$D,'Saldos Iniciales'!$A:$A,"Soweto")+SUMIFS(Movimientos!$K$1:$K$471,Movimientos!$C$1:$C$471,"Soweto",Movimientos!$B$1:$B$471,"&lt;="&amp;$B65)</f>
        <v>3349.94</v>
      </c>
      <c r="N65" s="24">
        <f>SUMIFS('Saldos Iniciales'!$D:$D,'Saldos Iniciales'!$A:$A,"Green Stone Trust")+SUMIFS(Movimientos!$K$1:$K$471,Movimientos!$C$1:$C$471,"Green Stone Trust",Movimientos!$B$1:$B$471,"&lt;="&amp;$B65)</f>
        <v>1968.99</v>
      </c>
      <c r="O65" s="24">
        <f>SUMIFS('Saldos Iniciales'!$D:$D,'Saldos Iniciales'!$A:$A,"EC Auto")+SUMIFS(Movimientos!$K$1:$K$471,Movimientos!$C$1:$C$471,"EC Auto",Movimientos!$B$1:$B$471,"&lt;="&amp;$B65)</f>
        <v>382.69000000000005</v>
      </c>
      <c r="P65" s="24">
        <f>SUMIFS('Saldos Iniciales'!$D:$D,'Saldos Iniciales'!$A:$A,"Arbor Capital Properties")+SUMIFS(Movimientos!$K$1:$K$471,Movimientos!$C$1:$C$471,"Arbor Capital Properties",Movimientos!$B$1:$B$471,"&lt;="&amp;$B65)</f>
        <v>1412.08</v>
      </c>
      <c r="Q65" s="24">
        <f>SUMIFS('Saldos Iniciales'!$D:$D,'Saldos Iniciales'!$A:$A,"2515 Overbrook")+SUMIFS(Movimientos!$K$1:$K$471,Movimientos!$C$1:$C$471,"2515 Overbrook",Movimientos!$B$1:$B$471,"&lt;="&amp;$B65)</f>
        <v>22496.639999999959</v>
      </c>
      <c r="R65" s="24">
        <f>SUMIFS('Saldos Iniciales'!$D:$D,'Saldos Iniciales'!$A:$A,"112 Florida Ave")+SUMIFS(Movimientos!$K$1:$K$471,Movimientos!$C$1:$C$471,"112 Florida Ave",Movimientos!$B$1:$B$471,"&lt;="&amp;$B65)</f>
        <v>10522.800000000003</v>
      </c>
      <c r="S65" s="24">
        <f>SUMIFS('Saldos Iniciales'!$D:$D,'Saldos Iniciales'!$A:$A,"3628 Thomas Ave")+SUMIFS(Movimientos!$K$1:$K$471,Movimientos!$C$1:$C$471,"3628 Thomas Ave",Movimientos!$B$1:$B$471,"&lt;="&amp;$B65)</f>
        <v>24085.559999999998</v>
      </c>
      <c r="T65" s="24">
        <f>SUMIFS('Saldos Iniciales'!$D:$D,'Saldos Iniciales'!$A:$A,"Green Harbor Trust")+SUMIFS(Movimientos!$K$1:$K$471,Movimientos!$C$1:$C$471,"Green Harbor Trust",Movimientos!$B$1:$B$471,"&lt;="&amp;$B65)</f>
        <v>345</v>
      </c>
      <c r="U65" s="24">
        <f>SUMIFS('Saldos Iniciales'!$D:$D,'Saldos Iniciales'!$A:$A,"Go Blue")+SUMIFS(Movimientos!$K$1:$K$471,Movimientos!$C$1:$C$471,"Go Blue",Movimientos!$B$1:$B$471,"&lt;="&amp;$B65)</f>
        <v>28842.52</v>
      </c>
      <c r="V65" s="25">
        <f t="shared" si="14"/>
        <v>8128509.5399999991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Group")+SUMIFS(Movimientos!$K$1:$K$471,Movimientos!$C$1:$C$471,"CFT Group",Movimientos!$B$1:$B$471,"&lt;="&amp;$B66)</f>
        <v>5530176.3000000007</v>
      </c>
      <c r="D66" s="24">
        <f>SUMIFS('Saldos Iniciales'!$D:$D,'Saldos Iniciales'!$A:$A,"M1B")+SUMIFS(Movimientos!$K$1:$K$471,Movimientos!$C$1:$C$471,"M1B",Movimientos!$B$1:$B$471,"&lt;="&amp;$B66)</f>
        <v>79139.680000000168</v>
      </c>
      <c r="E66" s="24">
        <f>SUMIFS('Saldos Iniciales'!$D:$D,'Saldos Iniciales'!$A:$A,"Durand")+SUMIFS(Movimientos!$K$1:$K$471,Movimientos!$C$1:$C$471,"Durand",Movimientos!$B$1:$B$471,"&lt;="&amp;$B66)</f>
        <v>1669.89</v>
      </c>
      <c r="F66" s="24">
        <f>SUMIFS('Saldos Iniciales'!$D:$D,'Saldos Iniciales'!$A:$A,"A&amp;M Imports")+SUMIFS(Movimientos!$K$1:$K$471,Movimientos!$C$1:$C$471,"A&amp;M Imports",Movimientos!$B$1:$B$471,"&lt;="&amp;$B66)</f>
        <v>350475.62999999989</v>
      </c>
      <c r="G66" s="24">
        <f>SUMIFS('Saldos Iniciales'!$D:$D,'Saldos Iniciales'!$A:$A,"SSP Capital")+SUMIFS(Movimientos!$K$1:$K$471,Movimientos!$C$1:$C$471,"SSP Capital",Movimientos!$B$1:$B$471,"&lt;="&amp;$B66)</f>
        <v>1761564.8799999994</v>
      </c>
      <c r="H66" s="24">
        <f>SUMIFS('Saldos Iniciales'!$D:$D,'Saldos Iniciales'!$A:$A,"Cross Family Trust")+SUMIFS(Movimientos!$K$1:$K$471,Movimientos!$C$1:$C$471,"Cross Family Trust",Movimientos!$B$1:$B$471,"&lt;="&amp;$B66)</f>
        <v>220496.38</v>
      </c>
      <c r="I66" s="24">
        <f>SUMIFS('Saldos Iniciales'!$D:$D,'Saldos Iniciales'!$A:$A,"Cross Security Trust")+SUMIFS(Movimientos!$K$1:$K$471,Movimientos!$C$1:$C$471,"Cross Security Trust",Movimientos!$B$1:$B$471,"&lt;="&amp;$B66)</f>
        <v>88090.37</v>
      </c>
      <c r="J66" s="24">
        <f>SUMIFS('Saldos Iniciales'!$D:$D,'Saldos Iniciales'!$A:$A,"Electrama")+SUMIFS(Movimientos!$K$1:$K$471,Movimientos!$C$1:$C$471,"Electrama",Movimientos!$B$1:$B$471,"&lt;="&amp;$B66)</f>
        <v>1227.9699999999998</v>
      </c>
      <c r="K66" s="24">
        <f>SUMIFS('Saldos Iniciales'!$D:$D,'Saldos Iniciales'!$A:$A,"Sacred Valley Capital")+SUMIFS(Movimientos!$K$1:$K$471,Movimientos!$C$1:$C$471,"Sacred Valley Capital",Movimientos!$B$1:$B$471,"&lt;="&amp;$B66)</f>
        <v>54.400000000000006</v>
      </c>
      <c r="L66" s="24">
        <f>SUMIFS('Saldos Iniciales'!$D:$D,'Saldos Iniciales'!$A:$A,"YWC Capital")+SUMIFS(Movimientos!$K$1:$K$471,Movimientos!$C$1:$C$471,"YWC Capital",Movimientos!$B$1:$B$471,"&lt;="&amp;$B66)</f>
        <v>2207.8200000000002</v>
      </c>
      <c r="M66" s="24">
        <f>SUMIFS('Saldos Iniciales'!$D:$D,'Saldos Iniciales'!$A:$A,"Soweto")+SUMIFS(Movimientos!$K$1:$K$471,Movimientos!$C$1:$C$471,"Soweto",Movimientos!$B$1:$B$471,"&lt;="&amp;$B66)</f>
        <v>3349.94</v>
      </c>
      <c r="N66" s="24">
        <f>SUMIFS('Saldos Iniciales'!$D:$D,'Saldos Iniciales'!$A:$A,"Green Stone Trust")+SUMIFS(Movimientos!$K$1:$K$471,Movimientos!$C$1:$C$471,"Green Stone Trust",Movimientos!$B$1:$B$471,"&lt;="&amp;$B66)</f>
        <v>1968.99</v>
      </c>
      <c r="O66" s="24">
        <f>SUMIFS('Saldos Iniciales'!$D:$D,'Saldos Iniciales'!$A:$A,"EC Auto")+SUMIFS(Movimientos!$K$1:$K$471,Movimientos!$C$1:$C$471,"EC Auto",Movimientos!$B$1:$B$471,"&lt;="&amp;$B66)</f>
        <v>382.69000000000005</v>
      </c>
      <c r="P66" s="24">
        <f>SUMIFS('Saldos Iniciales'!$D:$D,'Saldos Iniciales'!$A:$A,"Arbor Capital Properties")+SUMIFS(Movimientos!$K$1:$K$471,Movimientos!$C$1:$C$471,"Arbor Capital Properties",Movimientos!$B$1:$B$471,"&lt;="&amp;$B66)</f>
        <v>1412.08</v>
      </c>
      <c r="Q66" s="24">
        <f>SUMIFS('Saldos Iniciales'!$D:$D,'Saldos Iniciales'!$A:$A,"2515 Overbrook")+SUMIFS(Movimientos!$K$1:$K$471,Movimientos!$C$1:$C$471,"2515 Overbrook",Movimientos!$B$1:$B$471,"&lt;="&amp;$B66)</f>
        <v>22496.639999999959</v>
      </c>
      <c r="R66" s="24">
        <f>SUMIFS('Saldos Iniciales'!$D:$D,'Saldos Iniciales'!$A:$A,"112 Florida Ave")+SUMIFS(Movimientos!$K$1:$K$471,Movimientos!$C$1:$C$471,"112 Florida Ave",Movimientos!$B$1:$B$471,"&lt;="&amp;$B66)</f>
        <v>10522.800000000003</v>
      </c>
      <c r="S66" s="24">
        <f>SUMIFS('Saldos Iniciales'!$D:$D,'Saldos Iniciales'!$A:$A,"3628 Thomas Ave")+SUMIFS(Movimientos!$K$1:$K$471,Movimientos!$C$1:$C$471,"3628 Thomas Ave",Movimientos!$B$1:$B$471,"&lt;="&amp;$B66)</f>
        <v>24085.559999999998</v>
      </c>
      <c r="T66" s="24">
        <f>SUMIFS('Saldos Iniciales'!$D:$D,'Saldos Iniciales'!$A:$A,"Green Harbor Trust")+SUMIFS(Movimientos!$K$1:$K$471,Movimientos!$C$1:$C$471,"Green Harbor Trust",Movimientos!$B$1:$B$471,"&lt;="&amp;$B66)</f>
        <v>345</v>
      </c>
      <c r="U66" s="24">
        <f>SUMIFS('Saldos Iniciales'!$D:$D,'Saldos Iniciales'!$A:$A,"Go Blue")+SUMIFS(Movimientos!$K$1:$K$471,Movimientos!$C$1:$C$471,"Go Blue",Movimientos!$B$1:$B$471,"&lt;="&amp;$B66)</f>
        <v>28842.52</v>
      </c>
      <c r="V66" s="25">
        <f t="shared" si="14"/>
        <v>8128509.5399999991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Group")+SUMIFS(Movimientos!$K$1:$K$471,Movimientos!$C$1:$C$471,"CFT Group",Movimientos!$B$1:$B$471,"&lt;="&amp;$B67)</f>
        <v>5530176.3000000007</v>
      </c>
      <c r="D67" s="24">
        <f>SUMIFS('Saldos Iniciales'!$D:$D,'Saldos Iniciales'!$A:$A,"M1B")+SUMIFS(Movimientos!$K$1:$K$471,Movimientos!$C$1:$C$471,"M1B",Movimientos!$B$1:$B$471,"&lt;="&amp;$B67)</f>
        <v>79139.680000000168</v>
      </c>
      <c r="E67" s="24">
        <f>SUMIFS('Saldos Iniciales'!$D:$D,'Saldos Iniciales'!$A:$A,"Durand")+SUMIFS(Movimientos!$K$1:$K$471,Movimientos!$C$1:$C$471,"Durand",Movimientos!$B$1:$B$471,"&lt;="&amp;$B67)</f>
        <v>1669.89</v>
      </c>
      <c r="F67" s="24">
        <f>SUMIFS('Saldos Iniciales'!$D:$D,'Saldos Iniciales'!$A:$A,"A&amp;M Imports")+SUMIFS(Movimientos!$K$1:$K$471,Movimientos!$C$1:$C$471,"A&amp;M Imports",Movimientos!$B$1:$B$471,"&lt;="&amp;$B67)</f>
        <v>350475.62999999989</v>
      </c>
      <c r="G67" s="24">
        <f>SUMIFS('Saldos Iniciales'!$D:$D,'Saldos Iniciales'!$A:$A,"SSP Capital")+SUMIFS(Movimientos!$K$1:$K$471,Movimientos!$C$1:$C$471,"SSP Capital",Movimientos!$B$1:$B$471,"&lt;="&amp;$B67)</f>
        <v>1761564.8799999994</v>
      </c>
      <c r="H67" s="24">
        <f>SUMIFS('Saldos Iniciales'!$D:$D,'Saldos Iniciales'!$A:$A,"Cross Family Trust")+SUMIFS(Movimientos!$K$1:$K$471,Movimientos!$C$1:$C$471,"Cross Family Trust",Movimientos!$B$1:$B$471,"&lt;="&amp;$B67)</f>
        <v>220496.38</v>
      </c>
      <c r="I67" s="24">
        <f>SUMIFS('Saldos Iniciales'!$D:$D,'Saldos Iniciales'!$A:$A,"Cross Security Trust")+SUMIFS(Movimientos!$K$1:$K$471,Movimientos!$C$1:$C$471,"Cross Security Trust",Movimientos!$B$1:$B$471,"&lt;="&amp;$B67)</f>
        <v>88090.37</v>
      </c>
      <c r="J67" s="24">
        <f>SUMIFS('Saldos Iniciales'!$D:$D,'Saldos Iniciales'!$A:$A,"Electrama")+SUMIFS(Movimientos!$K$1:$K$471,Movimientos!$C$1:$C$471,"Electrama",Movimientos!$B$1:$B$471,"&lt;="&amp;$B67)</f>
        <v>1227.9699999999998</v>
      </c>
      <c r="K67" s="24">
        <f>SUMIFS('Saldos Iniciales'!$D:$D,'Saldos Iniciales'!$A:$A,"Sacred Valley Capital")+SUMIFS(Movimientos!$K$1:$K$471,Movimientos!$C$1:$C$471,"Sacred Valley Capital",Movimientos!$B$1:$B$471,"&lt;="&amp;$B67)</f>
        <v>54.400000000000006</v>
      </c>
      <c r="L67" s="24">
        <f>SUMIFS('Saldos Iniciales'!$D:$D,'Saldos Iniciales'!$A:$A,"YWC Capital")+SUMIFS(Movimientos!$K$1:$K$471,Movimientos!$C$1:$C$471,"YWC Capital",Movimientos!$B$1:$B$471,"&lt;="&amp;$B67)</f>
        <v>2207.8200000000002</v>
      </c>
      <c r="M67" s="24">
        <f>SUMIFS('Saldos Iniciales'!$D:$D,'Saldos Iniciales'!$A:$A,"Soweto")+SUMIFS(Movimientos!$K$1:$K$471,Movimientos!$C$1:$C$471,"Soweto",Movimientos!$B$1:$B$471,"&lt;="&amp;$B67)</f>
        <v>3349.94</v>
      </c>
      <c r="N67" s="24">
        <f>SUMIFS('Saldos Iniciales'!$D:$D,'Saldos Iniciales'!$A:$A,"Green Stone Trust")+SUMIFS(Movimientos!$K$1:$K$471,Movimientos!$C$1:$C$471,"Green Stone Trust",Movimientos!$B$1:$B$471,"&lt;="&amp;$B67)</f>
        <v>1968.99</v>
      </c>
      <c r="O67" s="24">
        <f>SUMIFS('Saldos Iniciales'!$D:$D,'Saldos Iniciales'!$A:$A,"EC Auto")+SUMIFS(Movimientos!$K$1:$K$471,Movimientos!$C$1:$C$471,"EC Auto",Movimientos!$B$1:$B$471,"&lt;="&amp;$B67)</f>
        <v>382.69000000000005</v>
      </c>
      <c r="P67" s="24">
        <f>SUMIFS('Saldos Iniciales'!$D:$D,'Saldos Iniciales'!$A:$A,"Arbor Capital Properties")+SUMIFS(Movimientos!$K$1:$K$471,Movimientos!$C$1:$C$471,"Arbor Capital Properties",Movimientos!$B$1:$B$471,"&lt;="&amp;$B67)</f>
        <v>1412.08</v>
      </c>
      <c r="Q67" s="24">
        <f>SUMIFS('Saldos Iniciales'!$D:$D,'Saldos Iniciales'!$A:$A,"2515 Overbrook")+SUMIFS(Movimientos!$K$1:$K$471,Movimientos!$C$1:$C$471,"2515 Overbrook",Movimientos!$B$1:$B$471,"&lt;="&amp;$B67)</f>
        <v>22496.639999999959</v>
      </c>
      <c r="R67" s="24">
        <f>SUMIFS('Saldos Iniciales'!$D:$D,'Saldos Iniciales'!$A:$A,"112 Florida Ave")+SUMIFS(Movimientos!$K$1:$K$471,Movimientos!$C$1:$C$471,"112 Florida Ave",Movimientos!$B$1:$B$471,"&lt;="&amp;$B67)</f>
        <v>10522.800000000003</v>
      </c>
      <c r="S67" s="24">
        <f>SUMIFS('Saldos Iniciales'!$D:$D,'Saldos Iniciales'!$A:$A,"3628 Thomas Ave")+SUMIFS(Movimientos!$K$1:$K$471,Movimientos!$C$1:$C$471,"3628 Thomas Ave",Movimientos!$B$1:$B$471,"&lt;="&amp;$B67)</f>
        <v>24085.559999999998</v>
      </c>
      <c r="T67" s="24">
        <f>SUMIFS('Saldos Iniciales'!$D:$D,'Saldos Iniciales'!$A:$A,"Green Harbor Trust")+SUMIFS(Movimientos!$K$1:$K$471,Movimientos!$C$1:$C$471,"Green Harbor Trust",Movimientos!$B$1:$B$471,"&lt;="&amp;$B67)</f>
        <v>345</v>
      </c>
      <c r="U67" s="24">
        <f>SUMIFS('Saldos Iniciales'!$D:$D,'Saldos Iniciales'!$A:$A,"Go Blue")+SUMIFS(Movimientos!$K$1:$K$471,Movimientos!$C$1:$C$471,"Go Blue",Movimientos!$B$1:$B$471,"&lt;="&amp;$B67)</f>
        <v>28842.52</v>
      </c>
      <c r="V67" s="25">
        <f t="shared" si="14"/>
        <v>8128509.5399999991</v>
      </c>
    </row>
  </sheetData>
  <conditionalFormatting sqref="C2:V67">
    <cfRule type="cellIs" dxfId="1" priority="1" operator="lessThan">
      <formula>0</formula>
    </cfRule>
  </conditionalFormatting>
  <conditionalFormatting sqref="V2:V67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255"/>
  <sheetViews>
    <sheetView zoomScale="80" zoomScaleNormal="80" workbookViewId="0">
      <pane ySplit="1" topLeftCell="A1234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1" customFormat="1" x14ac:dyDescent="0.3">
      <c r="A1" s="61" t="s">
        <v>2</v>
      </c>
      <c r="B1" s="61" t="s">
        <v>130</v>
      </c>
      <c r="C1" s="62" t="s">
        <v>173</v>
      </c>
      <c r="D1" s="61" t="s">
        <v>131</v>
      </c>
      <c r="G1" s="63" t="s">
        <v>2</v>
      </c>
      <c r="H1" s="64" t="s">
        <v>130</v>
      </c>
      <c r="I1" s="65" t="s">
        <v>173</v>
      </c>
      <c r="J1" s="66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2422.7400000000034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2422.7400000000034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2422.7400000000034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2422.7400000000034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1451.1500000000033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1289.7300000000032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1289.7300000000032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46041.01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1227.9699999999998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45041.01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1227.9699999999998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45041.01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1227.9699999999998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45041.01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1227.9699999999998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45041.01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1227.9699999999998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45041.01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1227.9699999999998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44816.33</v>
      </c>
    </row>
    <row r="1009" spans="1:4" x14ac:dyDescent="0.3">
      <c r="A1009" t="s">
        <v>17</v>
      </c>
      <c r="C1009" s="16">
        <v>46196</v>
      </c>
      <c r="D1009">
        <v>7613332.1400000006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1227.9699999999998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44687.96</v>
      </c>
    </row>
    <row r="1028" spans="1:4" x14ac:dyDescent="0.3">
      <c r="A1028" t="s">
        <v>17</v>
      </c>
      <c r="C1028" s="16">
        <v>46197</v>
      </c>
      <c r="D1028">
        <v>7680401.2600000007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1227.9699999999998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44687.96</v>
      </c>
    </row>
    <row r="1047" spans="1:4" x14ac:dyDescent="0.3">
      <c r="A1047" t="s">
        <v>17</v>
      </c>
      <c r="C1047" s="16">
        <v>46198</v>
      </c>
      <c r="D1047">
        <v>6236526.2600000007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1227.9699999999998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32732.080000000002</v>
      </c>
    </row>
    <row r="1066" spans="1:4" x14ac:dyDescent="0.3">
      <c r="A1066" t="s">
        <v>17</v>
      </c>
      <c r="C1066" s="16">
        <v>46199</v>
      </c>
      <c r="D1066">
        <v>6225646.2600000007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1227.9699999999998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24625.29</v>
      </c>
    </row>
    <row r="1085" spans="1:4" x14ac:dyDescent="0.3">
      <c r="A1085" t="s">
        <v>17</v>
      </c>
      <c r="C1085" s="16">
        <v>46200</v>
      </c>
      <c r="D1085">
        <v>6225646.2600000007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1227.9699999999998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24625.29</v>
      </c>
    </row>
    <row r="1104" spans="1:4" x14ac:dyDescent="0.3">
      <c r="A1104" t="s">
        <v>17</v>
      </c>
      <c r="C1104" s="16">
        <v>46201</v>
      </c>
      <c r="D1104">
        <v>6225646.2600000007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1227.9699999999998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24625.29</v>
      </c>
    </row>
    <row r="1123" spans="1:4" x14ac:dyDescent="0.3">
      <c r="A1123" t="s">
        <v>17</v>
      </c>
      <c r="C1123" s="16">
        <v>46202</v>
      </c>
      <c r="D1123">
        <v>6236765.3600000013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1227.9699999999998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18579.43</v>
      </c>
    </row>
    <row r="1142" spans="1:4" x14ac:dyDescent="0.3">
      <c r="A1142" t="s">
        <v>17</v>
      </c>
      <c r="C1142" s="16">
        <v>46203</v>
      </c>
      <c r="D1142">
        <v>6233176.3000000007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1227.9699999999998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18579.43</v>
      </c>
    </row>
    <row r="1161" spans="1:4" x14ac:dyDescent="0.3">
      <c r="A1161" t="s">
        <v>17</v>
      </c>
      <c r="C1161" s="16">
        <v>46204</v>
      </c>
      <c r="D1161">
        <v>6233176.3000000007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1227.9699999999998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18404.43</v>
      </c>
    </row>
    <row r="1180" spans="1:4" x14ac:dyDescent="0.3">
      <c r="A1180" t="s">
        <v>17</v>
      </c>
      <c r="C1180" s="16">
        <v>46205</v>
      </c>
      <c r="D1180">
        <v>5530176.3000000007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1227.9699999999998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24085.559999999998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31206.370000000003</v>
      </c>
    </row>
    <row r="1199" spans="1:4" x14ac:dyDescent="0.3">
      <c r="A1199" t="s">
        <v>17</v>
      </c>
      <c r="C1199" s="16">
        <v>46206</v>
      </c>
      <c r="D1199">
        <v>5530176.3000000007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1227.9699999999998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24085.559999999998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28842.52</v>
      </c>
    </row>
    <row r="1218" spans="1:4" x14ac:dyDescent="0.3">
      <c r="A1218" t="s">
        <v>17</v>
      </c>
      <c r="C1218" s="16">
        <v>46207</v>
      </c>
      <c r="D1218">
        <v>5530176.3000000007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1227.9699999999998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24085.559999999998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28842.52</v>
      </c>
    </row>
    <row r="1237" spans="1:4" x14ac:dyDescent="0.3">
      <c r="A1237" t="s">
        <v>17</v>
      </c>
      <c r="C1237" s="16">
        <v>46208</v>
      </c>
      <c r="D1237">
        <v>5530176.3000000007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1227.9699999999998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24085.559999999998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28842.52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2026-07-07T14:19:17Z</dcterms:modified>
  <dc:language>en-US</dc:language>
</cp:coreProperties>
</file>