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263" documentId="8_{BBC9EA4E-7F3B-475F-B61B-890F681C3A1C}" xr6:coauthVersionLast="47" xr6:coauthVersionMax="47" xr10:uidLastSave="{61EF30C4-197B-412B-A0C6-8CC356767671}"/>
  <bookViews>
    <workbookView xWindow="1116" yWindow="1116" windowWidth="11520" windowHeight="11052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diaria'!$A$1:$D$1939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00" i="6" l="1"/>
  <c r="C100" i="6"/>
  <c r="D100" i="6"/>
  <c r="E100" i="6"/>
  <c r="F100" i="6"/>
  <c r="G100" i="6"/>
  <c r="H100" i="6"/>
  <c r="V100" i="6" s="1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A101" i="6"/>
  <c r="C101" i="6"/>
  <c r="V101" i="6" s="1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A102" i="6"/>
  <c r="C102" i="6"/>
  <c r="D102" i="6"/>
  <c r="E102" i="6"/>
  <c r="F102" i="6"/>
  <c r="V102" i="6" s="1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A103" i="6"/>
  <c r="C103" i="6"/>
  <c r="V103" i="6" s="1"/>
  <c r="D103" i="6"/>
  <c r="E103" i="6"/>
  <c r="F103" i="6"/>
  <c r="G103" i="6"/>
  <c r="H103" i="6"/>
  <c r="I103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K723" i="1"/>
  <c r="M723" i="1"/>
  <c r="N723" i="1"/>
  <c r="O723" i="1"/>
  <c r="P723" i="1"/>
  <c r="K724" i="1"/>
  <c r="M724" i="1"/>
  <c r="N724" i="1"/>
  <c r="O724" i="1"/>
  <c r="P724" i="1"/>
  <c r="K725" i="1"/>
  <c r="M725" i="1"/>
  <c r="N725" i="1"/>
  <c r="O725" i="1"/>
  <c r="P725" i="1"/>
  <c r="K726" i="1"/>
  <c r="M726" i="1"/>
  <c r="N726" i="1"/>
  <c r="O726" i="1"/>
  <c r="P726" i="1"/>
  <c r="K727" i="1"/>
  <c r="M727" i="1"/>
  <c r="N727" i="1"/>
  <c r="P727" i="1" s="1"/>
  <c r="O727" i="1"/>
  <c r="K728" i="1"/>
  <c r="M728" i="1" s="1"/>
  <c r="N728" i="1"/>
  <c r="O728" i="1"/>
  <c r="P728" i="1"/>
  <c r="K729" i="1"/>
  <c r="M729" i="1" s="1"/>
  <c r="N729" i="1"/>
  <c r="P729" i="1" s="1"/>
  <c r="O729" i="1"/>
  <c r="K730" i="1"/>
  <c r="M730" i="1" s="1"/>
  <c r="N730" i="1"/>
  <c r="O730" i="1"/>
  <c r="P730" i="1" s="1"/>
  <c r="K731" i="1"/>
  <c r="M731" i="1"/>
  <c r="N731" i="1"/>
  <c r="O731" i="1"/>
  <c r="P731" i="1" s="1"/>
  <c r="K732" i="1"/>
  <c r="M732" i="1"/>
  <c r="N732" i="1"/>
  <c r="O732" i="1"/>
  <c r="P732" i="1"/>
  <c r="K733" i="1"/>
  <c r="M733" i="1"/>
  <c r="N733" i="1"/>
  <c r="O733" i="1"/>
  <c r="P733" i="1"/>
  <c r="K734" i="1"/>
  <c r="M734" i="1"/>
  <c r="N734" i="1"/>
  <c r="O734" i="1"/>
  <c r="P734" i="1"/>
  <c r="K735" i="1"/>
  <c r="M735" i="1"/>
  <c r="N735" i="1"/>
  <c r="O735" i="1"/>
  <c r="P735" i="1"/>
  <c r="E736" i="1"/>
  <c r="T26" i="3"/>
  <c r="J33" i="3"/>
  <c r="T2" i="3"/>
  <c r="U2" i="3"/>
  <c r="P20" i="3"/>
  <c r="O11" i="3"/>
  <c r="U11" i="3"/>
  <c r="K13" i="3"/>
  <c r="O26" i="3"/>
  <c r="J20" i="3"/>
  <c r="T4" i="3"/>
  <c r="J4" i="3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A98" i="6"/>
  <c r="A99" i="6"/>
  <c r="N667" i="1"/>
  <c r="O667" i="1"/>
  <c r="P667" i="1" s="1"/>
  <c r="N668" i="1"/>
  <c r="O668" i="1"/>
  <c r="P668" i="1" s="1"/>
  <c r="N669" i="1"/>
  <c r="O669" i="1"/>
  <c r="P669" i="1" s="1"/>
  <c r="N670" i="1"/>
  <c r="O670" i="1"/>
  <c r="P670" i="1" s="1"/>
  <c r="N671" i="1"/>
  <c r="O671" i="1"/>
  <c r="P671" i="1" s="1"/>
  <c r="N672" i="1"/>
  <c r="O672" i="1"/>
  <c r="P672" i="1" s="1"/>
  <c r="N673" i="1"/>
  <c r="O673" i="1"/>
  <c r="P673" i="1" s="1"/>
  <c r="N674" i="1"/>
  <c r="O674" i="1"/>
  <c r="P674" i="1" s="1"/>
  <c r="N675" i="1"/>
  <c r="O675" i="1"/>
  <c r="P675" i="1" s="1"/>
  <c r="N676" i="1"/>
  <c r="O676" i="1"/>
  <c r="P676" i="1" s="1"/>
  <c r="N677" i="1"/>
  <c r="O677" i="1"/>
  <c r="P677" i="1" s="1"/>
  <c r="N678" i="1"/>
  <c r="O678" i="1"/>
  <c r="P678" i="1" s="1"/>
  <c r="N679" i="1"/>
  <c r="O679" i="1"/>
  <c r="P679" i="1" s="1"/>
  <c r="N680" i="1"/>
  <c r="O680" i="1"/>
  <c r="P680" i="1" s="1"/>
  <c r="N681" i="1"/>
  <c r="O681" i="1"/>
  <c r="P681" i="1" s="1"/>
  <c r="N682" i="1"/>
  <c r="O682" i="1"/>
  <c r="P682" i="1" s="1"/>
  <c r="N683" i="1"/>
  <c r="O683" i="1"/>
  <c r="P683" i="1" s="1"/>
  <c r="N684" i="1"/>
  <c r="O684" i="1"/>
  <c r="P684" i="1" s="1"/>
  <c r="N685" i="1"/>
  <c r="O685" i="1"/>
  <c r="P685" i="1" s="1"/>
  <c r="N686" i="1"/>
  <c r="O686" i="1"/>
  <c r="P686" i="1" s="1"/>
  <c r="N687" i="1"/>
  <c r="O687" i="1"/>
  <c r="P687" i="1" s="1"/>
  <c r="N688" i="1"/>
  <c r="O688" i="1"/>
  <c r="P688" i="1" s="1"/>
  <c r="N689" i="1"/>
  <c r="P689" i="1" s="1"/>
  <c r="O689" i="1"/>
  <c r="N690" i="1"/>
  <c r="P690" i="1" s="1"/>
  <c r="O690" i="1"/>
  <c r="N691" i="1"/>
  <c r="O691" i="1"/>
  <c r="P691" i="1" s="1"/>
  <c r="N692" i="1"/>
  <c r="O692" i="1"/>
  <c r="P692" i="1" s="1"/>
  <c r="N693" i="1"/>
  <c r="O693" i="1"/>
  <c r="P693" i="1" s="1"/>
  <c r="N694" i="1"/>
  <c r="O694" i="1"/>
  <c r="P694" i="1"/>
  <c r="N695" i="1"/>
  <c r="P695" i="1" s="1"/>
  <c r="O695" i="1"/>
  <c r="N696" i="1"/>
  <c r="O696" i="1"/>
  <c r="P696" i="1" s="1"/>
  <c r="N697" i="1"/>
  <c r="O697" i="1"/>
  <c r="P697" i="1" s="1"/>
  <c r="N698" i="1"/>
  <c r="O698" i="1"/>
  <c r="P698" i="1" s="1"/>
  <c r="N699" i="1"/>
  <c r="O699" i="1"/>
  <c r="P699" i="1" s="1"/>
  <c r="N700" i="1"/>
  <c r="O700" i="1"/>
  <c r="P700" i="1" s="1"/>
  <c r="N701" i="1"/>
  <c r="O701" i="1"/>
  <c r="P701" i="1" s="1"/>
  <c r="N702" i="1"/>
  <c r="O702" i="1"/>
  <c r="P702" i="1" s="1"/>
  <c r="N703" i="1"/>
  <c r="O703" i="1"/>
  <c r="P703" i="1" s="1"/>
  <c r="N704" i="1"/>
  <c r="O704" i="1"/>
  <c r="P704" i="1" s="1"/>
  <c r="N705" i="1"/>
  <c r="O705" i="1"/>
  <c r="P705" i="1" s="1"/>
  <c r="N706" i="1"/>
  <c r="O706" i="1"/>
  <c r="P706" i="1" s="1"/>
  <c r="N707" i="1"/>
  <c r="O707" i="1"/>
  <c r="P707" i="1" s="1"/>
  <c r="N708" i="1"/>
  <c r="O708" i="1"/>
  <c r="P708" i="1" s="1"/>
  <c r="N709" i="1"/>
  <c r="O709" i="1"/>
  <c r="P709" i="1" s="1"/>
  <c r="N710" i="1"/>
  <c r="P710" i="1" s="1"/>
  <c r="O710" i="1"/>
  <c r="N711" i="1"/>
  <c r="O711" i="1"/>
  <c r="P711" i="1" s="1"/>
  <c r="N712" i="1"/>
  <c r="O712" i="1"/>
  <c r="P712" i="1" s="1"/>
  <c r="N713" i="1"/>
  <c r="O713" i="1"/>
  <c r="P713" i="1" s="1"/>
  <c r="N714" i="1"/>
  <c r="O714" i="1"/>
  <c r="P714" i="1" s="1"/>
  <c r="N715" i="1"/>
  <c r="P715" i="1" s="1"/>
  <c r="O715" i="1"/>
  <c r="N716" i="1"/>
  <c r="O716" i="1"/>
  <c r="P716" i="1" s="1"/>
  <c r="N717" i="1"/>
  <c r="P717" i="1" s="1"/>
  <c r="O717" i="1"/>
  <c r="N718" i="1"/>
  <c r="O718" i="1"/>
  <c r="P718" i="1" s="1"/>
  <c r="N719" i="1"/>
  <c r="O719" i="1"/>
  <c r="P719" i="1" s="1"/>
  <c r="N720" i="1"/>
  <c r="O720" i="1"/>
  <c r="P720" i="1" s="1"/>
  <c r="N721" i="1"/>
  <c r="O721" i="1"/>
  <c r="P721" i="1" s="1"/>
  <c r="N722" i="1"/>
  <c r="O722" i="1"/>
  <c r="P722" i="1" s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C722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A97" i="6"/>
  <c r="K686" i="1"/>
  <c r="K687" i="1"/>
  <c r="K688" i="1"/>
  <c r="I688" i="1"/>
  <c r="I686" i="1"/>
  <c r="I687" i="1"/>
  <c r="E686" i="1"/>
  <c r="E687" i="1"/>
  <c r="E688" i="1"/>
  <c r="H686" i="1"/>
  <c r="H687" i="1"/>
  <c r="H688" i="1"/>
  <c r="C686" i="1"/>
  <c r="C687" i="1"/>
  <c r="C688" i="1"/>
  <c r="U35" i="3" l="1"/>
  <c r="T8" i="3"/>
  <c r="U9" i="3"/>
  <c r="T13" i="3"/>
  <c r="T19" i="3"/>
  <c r="A96" i="6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P618" i="1" s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P635" i="1" s="1"/>
  <c r="N636" i="1"/>
  <c r="P636" i="1" s="1"/>
  <c r="N637" i="1"/>
  <c r="P637" i="1" s="1"/>
  <c r="N638" i="1"/>
  <c r="N639" i="1"/>
  <c r="N640" i="1"/>
  <c r="N641" i="1"/>
  <c r="N642" i="1"/>
  <c r="P642" i="1" s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O664" i="1"/>
  <c r="P664" i="1" s="1"/>
  <c r="O665" i="1"/>
  <c r="P665" i="1" s="1"/>
  <c r="O666" i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P597" i="1" s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O585" i="1"/>
  <c r="O586" i="1"/>
  <c r="O587" i="1"/>
  <c r="O588" i="1"/>
  <c r="P588" i="1" s="1"/>
  <c r="O589" i="1"/>
  <c r="P589" i="1" s="1"/>
  <c r="O590" i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O611" i="1"/>
  <c r="P611" i="1" s="1"/>
  <c r="O612" i="1"/>
  <c r="O613" i="1"/>
  <c r="P613" i="1" s="1"/>
  <c r="O614" i="1"/>
  <c r="P614" i="1" s="1"/>
  <c r="P583" i="1"/>
  <c r="P584" i="1"/>
  <c r="P585" i="1"/>
  <c r="P586" i="1"/>
  <c r="P587" i="1"/>
  <c r="P590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M515" i="1" s="1"/>
  <c r="C529" i="1"/>
  <c r="M529" i="1" s="1"/>
  <c r="I475" i="1"/>
  <c r="I514" i="1"/>
  <c r="I528" i="1"/>
  <c r="C475" i="1"/>
  <c r="C514" i="1"/>
  <c r="C528" i="1"/>
  <c r="M528" i="1" s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T27" i="3" s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M444" i="1" s="1"/>
  <c r="C472" i="1"/>
  <c r="C473" i="1"/>
  <c r="M473" i="1" s="1"/>
  <c r="C474" i="1"/>
  <c r="C478" i="1"/>
  <c r="C479" i="1"/>
  <c r="C480" i="1"/>
  <c r="C481" i="1"/>
  <c r="C482" i="1"/>
  <c r="C484" i="1"/>
  <c r="M481" i="1" l="1"/>
  <c r="M480" i="1"/>
  <c r="M514" i="1"/>
  <c r="M658" i="1"/>
  <c r="T29" i="3"/>
  <c r="M472" i="1"/>
  <c r="M475" i="1"/>
  <c r="O21" i="3"/>
  <c r="P21" i="3"/>
  <c r="U21" i="3"/>
  <c r="M478" i="1"/>
  <c r="M571" i="1"/>
  <c r="M640" i="1"/>
  <c r="M484" i="1"/>
  <c r="M479" i="1"/>
  <c r="M474" i="1"/>
  <c r="M639" i="1"/>
  <c r="U34" i="3"/>
  <c r="U24" i="3"/>
  <c r="U3" i="3"/>
  <c r="U20" i="3"/>
  <c r="U5" i="3"/>
  <c r="U33" i="3"/>
  <c r="U31" i="3"/>
  <c r="U8" i="3"/>
  <c r="M614" i="1"/>
  <c r="M582" i="1"/>
  <c r="U32" i="3"/>
  <c r="M482" i="1"/>
  <c r="M581" i="1"/>
  <c r="T31" i="3"/>
  <c r="M535" i="1"/>
  <c r="J27" i="3"/>
  <c r="M488" i="1"/>
  <c r="O24" i="3"/>
  <c r="M627" i="1"/>
  <c r="P657" i="1"/>
  <c r="P617" i="1"/>
  <c r="P654" i="1"/>
  <c r="P646" i="1"/>
  <c r="P638" i="1"/>
  <c r="P663" i="1"/>
  <c r="P631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534" i="1" s="1"/>
  <c r="C493" i="1"/>
  <c r="M493" i="1" s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551" i="1" l="1"/>
  <c r="M620" i="1"/>
  <c r="M647" i="1"/>
  <c r="M648" i="1"/>
  <c r="M549" i="1"/>
  <c r="M622" i="1"/>
  <c r="M625" i="1"/>
  <c r="M586" i="1"/>
  <c r="M618" i="1"/>
  <c r="M659" i="1"/>
  <c r="M552" i="1"/>
  <c r="M580" i="1"/>
  <c r="M531" i="1"/>
  <c r="M572" i="1"/>
  <c r="M626" i="1"/>
  <c r="M492" i="1"/>
  <c r="M615" i="1"/>
  <c r="M616" i="1"/>
  <c r="M649" i="1"/>
  <c r="M550" i="1"/>
  <c r="M533" i="1"/>
  <c r="O5" i="3"/>
  <c r="M519" i="1"/>
  <c r="M587" i="1"/>
  <c r="M660" i="1"/>
  <c r="M621" i="1"/>
  <c r="M623" i="1"/>
  <c r="M532" i="1"/>
  <c r="M624" i="1"/>
  <c r="M530" i="1"/>
  <c r="M657" i="1"/>
  <c r="P2" i="3"/>
  <c r="M619" i="1"/>
  <c r="M588" i="1"/>
  <c r="M613" i="1"/>
  <c r="M688" i="1"/>
  <c r="M650" i="1"/>
  <c r="M573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26" i="3" l="1"/>
  <c r="P32" i="3"/>
  <c r="O9" i="3"/>
  <c r="O8" i="3"/>
  <c r="P30" i="3"/>
  <c r="P19" i="3"/>
  <c r="P35" i="3"/>
  <c r="P23" i="3"/>
  <c r="P8" i="3"/>
  <c r="P22" i="3"/>
  <c r="O3" i="3"/>
  <c r="P29" i="3"/>
  <c r="P34" i="3"/>
  <c r="M462" i="1"/>
  <c r="O33" i="3"/>
  <c r="M715" i="1"/>
  <c r="M716" i="1"/>
  <c r="M629" i="1"/>
  <c r="M630" i="1"/>
  <c r="M510" i="1"/>
  <c r="M509" i="1"/>
  <c r="M441" i="1"/>
  <c r="O30" i="3"/>
  <c r="T30" i="3"/>
  <c r="M672" i="1"/>
  <c r="U30" i="3"/>
  <c r="O29" i="3"/>
  <c r="M439" i="1"/>
  <c r="T28" i="3"/>
  <c r="M670" i="1"/>
  <c r="M438" i="1"/>
  <c r="J23" i="3"/>
  <c r="T23" i="3"/>
  <c r="M669" i="1"/>
  <c r="P9" i="3"/>
  <c r="M437" i="1"/>
  <c r="K22" i="3"/>
  <c r="O22" i="3"/>
  <c r="J22" i="3"/>
  <c r="T22" i="3"/>
  <c r="U22" i="3"/>
  <c r="M668" i="1"/>
  <c r="O34" i="3"/>
  <c r="O4" i="3"/>
  <c r="O23" i="3"/>
  <c r="O19" i="3"/>
  <c r="O18" i="3"/>
  <c r="O35" i="3"/>
  <c r="O28" i="3"/>
  <c r="O2" i="3"/>
  <c r="O32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P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M388" i="1" s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9" i="1" l="1"/>
  <c r="M387" i="1"/>
  <c r="M422" i="1"/>
  <c r="M386" i="1"/>
  <c r="M709" i="1"/>
  <c r="M628" i="1"/>
  <c r="M503" i="1"/>
  <c r="M415" i="1"/>
  <c r="M459" i="1"/>
  <c r="M458" i="1"/>
  <c r="J18" i="3"/>
  <c r="M433" i="1"/>
  <c r="K18" i="3"/>
  <c r="T18" i="3"/>
  <c r="M687" i="1"/>
  <c r="U18" i="3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J8" i="3"/>
  <c r="M372" i="1"/>
  <c r="M646" i="1"/>
  <c r="M638" i="1"/>
  <c r="M637" i="1"/>
  <c r="M491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O25" i="3"/>
  <c r="K25" i="3"/>
  <c r="J25" i="3"/>
  <c r="U25" i="3"/>
  <c r="T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236" i="1" l="1"/>
  <c r="O16" i="3"/>
  <c r="J16" i="3"/>
  <c r="T16" i="3"/>
  <c r="U16" i="3"/>
  <c r="P16" i="3"/>
  <c r="M235" i="1"/>
  <c r="T15" i="3"/>
  <c r="J15" i="3"/>
  <c r="O15" i="3"/>
  <c r="U15" i="3"/>
  <c r="P15" i="3"/>
  <c r="M238" i="1"/>
  <c r="J7" i="3"/>
  <c r="T7" i="3"/>
  <c r="U7" i="3"/>
  <c r="P7" i="3"/>
  <c r="O7" i="3"/>
  <c r="T5" i="3"/>
  <c r="J35" i="3"/>
  <c r="T3" i="3"/>
  <c r="U12" i="3"/>
  <c r="T24" i="3"/>
  <c r="U19" i="3"/>
  <c r="P33" i="3"/>
  <c r="P3" i="3"/>
  <c r="O13" i="3"/>
  <c r="J28" i="3"/>
  <c r="J38" i="6"/>
  <c r="E38" i="6"/>
  <c r="D35" i="6"/>
  <c r="H35" i="6"/>
  <c r="D41" i="6"/>
  <c r="F40" i="6"/>
  <c r="E33" i="6"/>
  <c r="E39" i="6"/>
  <c r="C37" i="6"/>
  <c r="K26" i="3"/>
  <c r="P36" i="6"/>
  <c r="U39" i="6"/>
  <c r="J36" i="6"/>
  <c r="H34" i="6"/>
  <c r="K39" i="6"/>
  <c r="F35" i="6"/>
  <c r="K28" i="3"/>
  <c r="C42" i="6"/>
  <c r="O34" i="6"/>
  <c r="E36" i="6"/>
  <c r="D38" i="6"/>
  <c r="T39" i="6"/>
  <c r="C34" i="6"/>
  <c r="E41" i="6"/>
  <c r="O20" i="3"/>
  <c r="T20" i="3"/>
  <c r="U26" i="3"/>
  <c r="J39" i="6"/>
  <c r="J33" i="6"/>
  <c r="R39" i="6"/>
  <c r="L40" i="6"/>
  <c r="P35" i="6"/>
  <c r="R34" i="6"/>
  <c r="Q41" i="6"/>
  <c r="U33" i="6"/>
  <c r="H37" i="6"/>
  <c r="K4" i="3"/>
  <c r="L41" i="6"/>
  <c r="F37" i="6"/>
  <c r="I33" i="6"/>
  <c r="J34" i="6"/>
  <c r="K11" i="3"/>
  <c r="K19" i="3"/>
  <c r="C38" i="6"/>
  <c r="M41" i="6"/>
  <c r="F33" i="6"/>
  <c r="G34" i="6"/>
  <c r="I36" i="6"/>
  <c r="O33" i="6"/>
  <c r="G41" i="6"/>
  <c r="O39" i="6"/>
  <c r="K42" i="6"/>
  <c r="G40" i="6"/>
  <c r="K16" i="3"/>
  <c r="T11" i="3"/>
  <c r="T9" i="3"/>
  <c r="P27" i="3"/>
  <c r="J24" i="3"/>
  <c r="T21" i="3"/>
  <c r="U4" i="3"/>
  <c r="P24" i="3"/>
  <c r="P11" i="3"/>
  <c r="P31" i="3"/>
  <c r="U28" i="3"/>
  <c r="U23" i="3"/>
  <c r="J32" i="3"/>
  <c r="L37" i="6"/>
  <c r="F39" i="6"/>
  <c r="K24" i="3"/>
  <c r="K41" i="6"/>
  <c r="J35" i="6"/>
  <c r="R41" i="6"/>
  <c r="C41" i="6"/>
  <c r="S41" i="6"/>
  <c r="U35" i="6"/>
  <c r="D34" i="6"/>
  <c r="G37" i="6"/>
  <c r="D33" i="6"/>
  <c r="Q33" i="6"/>
  <c r="L36" i="6"/>
  <c r="P38" i="6"/>
  <c r="P37" i="6"/>
  <c r="P34" i="6"/>
  <c r="J40" i="6"/>
  <c r="K36" i="6"/>
  <c r="P42" i="6"/>
  <c r="D42" i="6"/>
  <c r="M34" i="6"/>
  <c r="E40" i="6"/>
  <c r="D39" i="6"/>
  <c r="U13" i="3"/>
  <c r="T12" i="3"/>
  <c r="O27" i="3"/>
  <c r="J21" i="3"/>
  <c r="U29" i="3"/>
  <c r="P28" i="3"/>
  <c r="P4" i="3"/>
  <c r="J30" i="3"/>
  <c r="O31" i="3"/>
  <c r="O12" i="3"/>
  <c r="J11" i="3"/>
  <c r="F38" i="6"/>
  <c r="L34" i="6"/>
  <c r="G39" i="6"/>
  <c r="K21" i="3"/>
  <c r="R42" i="6"/>
  <c r="G35" i="6"/>
  <c r="L35" i="6"/>
  <c r="U40" i="6"/>
  <c r="U42" i="6"/>
  <c r="U34" i="6"/>
  <c r="I34" i="6"/>
  <c r="N40" i="6"/>
  <c r="T38" i="6"/>
  <c r="J42" i="6"/>
  <c r="H33" i="6"/>
  <c r="N36" i="6"/>
  <c r="Q40" i="6"/>
  <c r="U41" i="6"/>
  <c r="C36" i="6"/>
  <c r="M36" i="6"/>
  <c r="O37" i="6"/>
  <c r="H36" i="6"/>
  <c r="N37" i="6"/>
  <c r="M42" i="6"/>
  <c r="Q34" i="6"/>
  <c r="K17" i="3"/>
  <c r="P13" i="3"/>
  <c r="K35" i="3"/>
  <c r="K30" i="3"/>
  <c r="K5" i="3"/>
  <c r="K33" i="3"/>
  <c r="K20" i="3"/>
  <c r="T42" i="6"/>
  <c r="F36" i="6"/>
  <c r="N39" i="6"/>
  <c r="P39" i="6"/>
  <c r="O41" i="6"/>
  <c r="O42" i="6"/>
  <c r="K27" i="3"/>
  <c r="S42" i="6"/>
  <c r="H40" i="6"/>
  <c r="M38" i="6"/>
  <c r="T40" i="6"/>
  <c r="K23" i="3"/>
  <c r="K7" i="3"/>
  <c r="Q39" i="6"/>
  <c r="H38" i="6"/>
  <c r="I38" i="6"/>
  <c r="K15" i="3"/>
  <c r="I37" i="6"/>
  <c r="S36" i="6"/>
  <c r="M39" i="6"/>
  <c r="I42" i="6"/>
  <c r="T34" i="6"/>
  <c r="K38" i="6"/>
  <c r="U38" i="6"/>
  <c r="N38" i="6"/>
  <c r="E35" i="6"/>
  <c r="J37" i="6"/>
  <c r="G38" i="6"/>
  <c r="J9" i="3"/>
  <c r="J26" i="3"/>
  <c r="T35" i="3"/>
  <c r="T32" i="3"/>
  <c r="T34" i="3"/>
  <c r="U27" i="3"/>
  <c r="P5" i="3"/>
  <c r="P12" i="3"/>
  <c r="T36" i="6"/>
  <c r="S33" i="6"/>
  <c r="E42" i="6"/>
  <c r="K33" i="6"/>
  <c r="P40" i="6"/>
  <c r="M40" i="6"/>
  <c r="I40" i="6"/>
  <c r="U37" i="6"/>
  <c r="K40" i="6"/>
  <c r="K34" i="6"/>
  <c r="Q35" i="6"/>
  <c r="R38" i="6"/>
  <c r="R40" i="6"/>
  <c r="R35" i="6"/>
  <c r="S37" i="6"/>
  <c r="H42" i="6"/>
  <c r="I39" i="6"/>
  <c r="D37" i="6"/>
  <c r="Q37" i="6"/>
  <c r="O38" i="6"/>
  <c r="H39" i="6"/>
  <c r="C40" i="6"/>
  <c r="G42" i="6"/>
  <c r="M37" i="6"/>
  <c r="N41" i="6"/>
  <c r="F41" i="6"/>
  <c r="M33" i="6"/>
  <c r="L33" i="6"/>
  <c r="D36" i="6"/>
  <c r="J41" i="6"/>
  <c r="K6" i="3"/>
  <c r="Q38" i="6"/>
  <c r="S34" i="6"/>
  <c r="T35" i="6"/>
  <c r="R33" i="6"/>
  <c r="N33" i="6"/>
  <c r="K35" i="6"/>
  <c r="M234" i="1"/>
  <c r="S40" i="6"/>
  <c r="Q36" i="6"/>
  <c r="N35" i="6"/>
  <c r="E34" i="6"/>
  <c r="N42" i="6"/>
  <c r="L39" i="6"/>
  <c r="O36" i="6"/>
  <c r="G33" i="6"/>
  <c r="R36" i="6"/>
  <c r="N34" i="6"/>
  <c r="M35" i="6"/>
  <c r="C35" i="6"/>
  <c r="O35" i="6"/>
  <c r="L42" i="6"/>
  <c r="L38" i="6"/>
  <c r="T41" i="6"/>
  <c r="C39" i="6"/>
  <c r="O6" i="3"/>
  <c r="F42" i="6"/>
  <c r="I35" i="6"/>
  <c r="P41" i="6"/>
  <c r="T37" i="6"/>
  <c r="C33" i="6"/>
  <c r="K37" i="6"/>
  <c r="G36" i="6"/>
  <c r="I41" i="6"/>
  <c r="H41" i="6"/>
  <c r="D40" i="6"/>
  <c r="T33" i="6"/>
  <c r="Q42" i="6"/>
  <c r="F34" i="6"/>
  <c r="J6" i="3"/>
  <c r="S35" i="6"/>
  <c r="O40" i="6"/>
  <c r="R37" i="6"/>
  <c r="E37" i="6"/>
  <c r="S39" i="6"/>
  <c r="S38" i="6"/>
  <c r="U36" i="6"/>
  <c r="P33" i="6"/>
  <c r="D43" i="6"/>
  <c r="U44" i="6"/>
  <c r="T46" i="6"/>
  <c r="E72" i="6"/>
  <c r="I44" i="6"/>
  <c r="L52" i="6"/>
  <c r="T6" i="3"/>
  <c r="U6" i="3"/>
  <c r="P6" i="3"/>
  <c r="M358" i="1"/>
  <c r="M237" i="1"/>
  <c r="J17" i="3"/>
  <c r="P17" i="3"/>
  <c r="T17" i="3"/>
  <c r="U17" i="3"/>
  <c r="O1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M339" i="1" s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M317" i="1" s="1"/>
  <c r="C318" i="1"/>
  <c r="C319" i="1"/>
  <c r="C320" i="1"/>
  <c r="C321" i="1"/>
  <c r="C322" i="1"/>
  <c r="C323" i="1"/>
  <c r="C324" i="1"/>
  <c r="C325" i="1"/>
  <c r="M325" i="1" s="1"/>
  <c r="C326" i="1"/>
  <c r="C327" i="1"/>
  <c r="M327" i="1" s="1"/>
  <c r="C328" i="1"/>
  <c r="M328" i="1" s="1"/>
  <c r="C329" i="1"/>
  <c r="C330" i="1"/>
  <c r="C331" i="1"/>
  <c r="C312" i="1"/>
  <c r="M312" i="1" s="1"/>
  <c r="C341" i="1"/>
  <c r="M341" i="1" s="1"/>
  <c r="C342" i="1"/>
  <c r="C332" i="1"/>
  <c r="C333" i="1"/>
  <c r="C334" i="1"/>
  <c r="C335" i="1"/>
  <c r="C336" i="1"/>
  <c r="C337" i="1"/>
  <c r="M337" i="1" s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M306" i="1" s="1"/>
  <c r="C283" i="1"/>
  <c r="O66" i="6" s="1"/>
  <c r="T78" i="6" l="1"/>
  <c r="I62" i="6"/>
  <c r="G68" i="6"/>
  <c r="R78" i="6"/>
  <c r="U69" i="6"/>
  <c r="C65" i="6"/>
  <c r="H61" i="6"/>
  <c r="L43" i="6"/>
  <c r="P44" i="6"/>
  <c r="P50" i="6"/>
  <c r="J81" i="6"/>
  <c r="T93" i="6"/>
  <c r="C80" i="6"/>
  <c r="L76" i="6"/>
  <c r="H87" i="6"/>
  <c r="D52" i="6"/>
  <c r="H63" i="6"/>
  <c r="M47" i="6"/>
  <c r="J77" i="6"/>
  <c r="S59" i="6"/>
  <c r="O82" i="6"/>
  <c r="F43" i="6"/>
  <c r="G52" i="6"/>
  <c r="H44" i="6"/>
  <c r="H49" i="6"/>
  <c r="S78" i="6"/>
  <c r="J74" i="6"/>
  <c r="J99" i="6"/>
  <c r="E81" i="6"/>
  <c r="H93" i="6"/>
  <c r="G74" i="6"/>
  <c r="C79" i="6"/>
  <c r="S72" i="6"/>
  <c r="M283" i="1"/>
  <c r="K34" i="3"/>
  <c r="M719" i="1"/>
  <c r="M718" i="1"/>
  <c r="M721" i="1"/>
  <c r="M717" i="1"/>
  <c r="M720" i="1"/>
  <c r="M722" i="1"/>
  <c r="M608" i="1"/>
  <c r="M632" i="1"/>
  <c r="M607" i="1"/>
  <c r="M631" i="1"/>
  <c r="M537" i="1"/>
  <c r="M661" i="1"/>
  <c r="M605" i="1"/>
  <c r="M570" i="1"/>
  <c r="M575" i="1"/>
  <c r="M685" i="1"/>
  <c r="M536" i="1"/>
  <c r="M609" i="1"/>
  <c r="M684" i="1"/>
  <c r="M606" i="1"/>
  <c r="M538" i="1"/>
  <c r="M545" i="1"/>
  <c r="M513" i="1"/>
  <c r="M483" i="1"/>
  <c r="M511" i="1"/>
  <c r="M527" i="1"/>
  <c r="M512" i="1"/>
  <c r="M466" i="1"/>
  <c r="M465" i="1"/>
  <c r="M477" i="1"/>
  <c r="M467" i="1"/>
  <c r="M434" i="1"/>
  <c r="M468" i="1"/>
  <c r="M471" i="1"/>
  <c r="M464" i="1"/>
  <c r="M470" i="1"/>
  <c r="M469" i="1"/>
  <c r="M406" i="1"/>
  <c r="M404" i="1"/>
  <c r="M407" i="1"/>
  <c r="M405" i="1"/>
  <c r="M403" i="1"/>
  <c r="M402" i="1"/>
  <c r="M425" i="1"/>
  <c r="M417" i="1"/>
  <c r="M409" i="1"/>
  <c r="M424" i="1"/>
  <c r="M408" i="1"/>
  <c r="M416" i="1"/>
  <c r="M418" i="1"/>
  <c r="M366" i="1"/>
  <c r="M367" i="1"/>
  <c r="M365" i="1"/>
  <c r="M364" i="1"/>
  <c r="M352" i="1"/>
  <c r="G69" i="6"/>
  <c r="L69" i="6"/>
  <c r="I53" i="6"/>
  <c r="M68" i="6"/>
  <c r="M81" i="6"/>
  <c r="N59" i="6"/>
  <c r="T55" i="6"/>
  <c r="T96" i="6"/>
  <c r="G78" i="6"/>
  <c r="F99" i="6"/>
  <c r="T76" i="6"/>
  <c r="J62" i="6"/>
  <c r="I78" i="6"/>
  <c r="N90" i="6"/>
  <c r="G70" i="6"/>
  <c r="Q97" i="6"/>
  <c r="C84" i="6"/>
  <c r="L72" i="6"/>
  <c r="I77" i="6"/>
  <c r="D74" i="6"/>
  <c r="T99" i="6"/>
  <c r="R79" i="6"/>
  <c r="E73" i="6"/>
  <c r="I59" i="6"/>
  <c r="H80" i="6"/>
  <c r="M89" i="6"/>
  <c r="U86" i="6"/>
  <c r="R53" i="6"/>
  <c r="G61" i="6"/>
  <c r="G90" i="6"/>
  <c r="K46" i="6"/>
  <c r="T77" i="6"/>
  <c r="O46" i="6"/>
  <c r="K76" i="6"/>
  <c r="Q52" i="6"/>
  <c r="R70" i="6"/>
  <c r="H98" i="6"/>
  <c r="N65" i="6"/>
  <c r="E78" i="6"/>
  <c r="T72" i="6"/>
  <c r="P75" i="6"/>
  <c r="H43" i="6"/>
  <c r="U54" i="6"/>
  <c r="D61" i="6"/>
  <c r="J43" i="6"/>
  <c r="U73" i="6"/>
  <c r="P60" i="6"/>
  <c r="L89" i="6"/>
  <c r="S98" i="6"/>
  <c r="I85" i="6"/>
  <c r="I66" i="6"/>
  <c r="C50" i="6"/>
  <c r="H54" i="6"/>
  <c r="F96" i="6"/>
  <c r="E63" i="6"/>
  <c r="Q94" i="6"/>
  <c r="M59" i="6"/>
  <c r="D99" i="6"/>
  <c r="I58" i="6"/>
  <c r="H79" i="6"/>
  <c r="G85" i="6"/>
  <c r="E83" i="6"/>
  <c r="N61" i="6"/>
  <c r="K73" i="6"/>
  <c r="J55" i="6"/>
  <c r="N91" i="6"/>
  <c r="M76" i="6"/>
  <c r="F98" i="6"/>
  <c r="C51" i="6"/>
  <c r="L99" i="6"/>
  <c r="N79" i="6"/>
  <c r="T80" i="6"/>
  <c r="U71" i="6"/>
  <c r="R44" i="6"/>
  <c r="F73" i="6"/>
  <c r="Q65" i="6"/>
  <c r="L59" i="6"/>
  <c r="P52" i="6"/>
  <c r="Q46" i="6"/>
  <c r="D48" i="6"/>
  <c r="F91" i="6"/>
  <c r="C76" i="6"/>
  <c r="D82" i="6"/>
  <c r="R97" i="6"/>
  <c r="E94" i="6"/>
  <c r="R67" i="6"/>
  <c r="Q75" i="6"/>
  <c r="L84" i="6"/>
  <c r="E91" i="6"/>
  <c r="R93" i="6"/>
  <c r="I68" i="6"/>
  <c r="S74" i="6"/>
  <c r="K50" i="6"/>
  <c r="D54" i="6"/>
  <c r="D71" i="6"/>
  <c r="R92" i="6"/>
  <c r="T65" i="6"/>
  <c r="M46" i="6"/>
  <c r="S53" i="6"/>
  <c r="U97" i="6"/>
  <c r="G97" i="6"/>
  <c r="E53" i="6"/>
  <c r="F55" i="6"/>
  <c r="L81" i="6"/>
  <c r="M92" i="6"/>
  <c r="S73" i="6"/>
  <c r="S82" i="6"/>
  <c r="L87" i="6"/>
  <c r="D58" i="6"/>
  <c r="P46" i="6"/>
  <c r="F88" i="6"/>
  <c r="Q80" i="6"/>
  <c r="P90" i="6"/>
  <c r="P71" i="6"/>
  <c r="F49" i="6"/>
  <c r="R91" i="6"/>
  <c r="U52" i="6"/>
  <c r="O84" i="6"/>
  <c r="P56" i="6"/>
  <c r="M69" i="6"/>
  <c r="S86" i="6"/>
  <c r="L97" i="6"/>
  <c r="M44" i="6"/>
  <c r="C44" i="6"/>
  <c r="N60" i="6"/>
  <c r="R98" i="6"/>
  <c r="H71" i="6"/>
  <c r="P80" i="6"/>
  <c r="K94" i="6"/>
  <c r="U47" i="6"/>
  <c r="Q55" i="6"/>
  <c r="J75" i="6"/>
  <c r="L75" i="6"/>
  <c r="O94" i="6"/>
  <c r="Q82" i="6"/>
  <c r="I76" i="6"/>
  <c r="M62" i="6"/>
  <c r="U91" i="6"/>
  <c r="S66" i="6"/>
  <c r="E60" i="6"/>
  <c r="Q72" i="6"/>
  <c r="L50" i="6"/>
  <c r="Q93" i="6"/>
  <c r="E89" i="6"/>
  <c r="J58" i="6"/>
  <c r="F54" i="6"/>
  <c r="D96" i="6"/>
  <c r="O61" i="6"/>
  <c r="J82" i="6"/>
  <c r="F61" i="6"/>
  <c r="R48" i="6"/>
  <c r="O62" i="6"/>
  <c r="T57" i="6"/>
  <c r="F90" i="6"/>
  <c r="G47" i="6"/>
  <c r="D98" i="6"/>
  <c r="N78" i="6"/>
  <c r="E49" i="6"/>
  <c r="D97" i="6"/>
  <c r="D57" i="6"/>
  <c r="L48" i="6"/>
  <c r="I73" i="6"/>
  <c r="M97" i="6"/>
  <c r="E79" i="6"/>
  <c r="N74" i="6"/>
  <c r="E44" i="6"/>
  <c r="F63" i="6"/>
  <c r="I74" i="6"/>
  <c r="C56" i="6"/>
  <c r="I46" i="6"/>
  <c r="U59" i="6"/>
  <c r="M65" i="6"/>
  <c r="S85" i="6"/>
  <c r="D47" i="6"/>
  <c r="R45" i="6"/>
  <c r="O70" i="6"/>
  <c r="K85" i="6"/>
  <c r="O63" i="6"/>
  <c r="S76" i="6"/>
  <c r="C63" i="6"/>
  <c r="L91" i="6"/>
  <c r="J64" i="6"/>
  <c r="C59" i="6"/>
  <c r="R64" i="6"/>
  <c r="R46" i="6"/>
  <c r="H66" i="6"/>
  <c r="P58" i="6"/>
  <c r="H51" i="6"/>
  <c r="P84" i="6"/>
  <c r="J46" i="6"/>
  <c r="E99" i="6"/>
  <c r="H47" i="6"/>
  <c r="T62" i="6"/>
  <c r="G79" i="6"/>
  <c r="P63" i="6"/>
  <c r="M55" i="6"/>
  <c r="M48" i="6"/>
  <c r="I63" i="6"/>
  <c r="T49" i="6"/>
  <c r="Q96" i="6"/>
  <c r="L70" i="6"/>
  <c r="C73" i="6"/>
  <c r="T69" i="6"/>
  <c r="J50" i="6"/>
  <c r="F82" i="6"/>
  <c r="T48" i="6"/>
  <c r="L95" i="6"/>
  <c r="S63" i="6"/>
  <c r="Q51" i="6"/>
  <c r="J76" i="6"/>
  <c r="S51" i="6"/>
  <c r="C77" i="6"/>
  <c r="K49" i="6"/>
  <c r="M58" i="6"/>
  <c r="Q61" i="6"/>
  <c r="N98" i="6"/>
  <c r="C61" i="6"/>
  <c r="S48" i="6"/>
  <c r="S81" i="6"/>
  <c r="S89" i="6"/>
  <c r="S54" i="6"/>
  <c r="S90" i="6"/>
  <c r="T75" i="6"/>
  <c r="J71" i="6"/>
  <c r="N93" i="6"/>
  <c r="E82" i="6"/>
  <c r="L60" i="6"/>
  <c r="P94" i="6"/>
  <c r="T51" i="6"/>
  <c r="N89" i="6"/>
  <c r="U80" i="6"/>
  <c r="M60" i="6"/>
  <c r="M87" i="6"/>
  <c r="T95" i="6"/>
  <c r="D53" i="6"/>
  <c r="I79" i="6"/>
  <c r="M53" i="6"/>
  <c r="C89" i="6"/>
  <c r="J96" i="6"/>
  <c r="S70" i="6"/>
  <c r="C48" i="6"/>
  <c r="U87" i="6"/>
  <c r="F67" i="6"/>
  <c r="D79" i="6"/>
  <c r="T43" i="6"/>
  <c r="G72" i="6"/>
  <c r="R56" i="6"/>
  <c r="P61" i="6"/>
  <c r="G82" i="6"/>
  <c r="P87" i="6"/>
  <c r="G93" i="6"/>
  <c r="P96" i="6"/>
  <c r="P72" i="6"/>
  <c r="S92" i="6"/>
  <c r="D83" i="6"/>
  <c r="L85" i="6"/>
  <c r="O90" i="6"/>
  <c r="G87" i="6"/>
  <c r="G57" i="6"/>
  <c r="P88" i="6"/>
  <c r="Q83" i="6"/>
  <c r="O80" i="6"/>
  <c r="D78" i="6"/>
  <c r="E62" i="6"/>
  <c r="M95" i="6"/>
  <c r="F69" i="6"/>
  <c r="C68" i="6"/>
  <c r="L73" i="6"/>
  <c r="D51" i="6"/>
  <c r="N99" i="6"/>
  <c r="D92" i="6"/>
  <c r="H46" i="6"/>
  <c r="C85" i="6"/>
  <c r="F48" i="6"/>
  <c r="S93" i="6"/>
  <c r="D59" i="6"/>
  <c r="M85" i="6"/>
  <c r="K56" i="6"/>
  <c r="H53" i="6"/>
  <c r="R47" i="6"/>
  <c r="C83" i="6"/>
  <c r="L82" i="6"/>
  <c r="P82" i="6"/>
  <c r="N48" i="6"/>
  <c r="I61" i="6"/>
  <c r="S58" i="6"/>
  <c r="K92" i="6"/>
  <c r="H88" i="6"/>
  <c r="Q64" i="6"/>
  <c r="L79" i="6"/>
  <c r="L78" i="6"/>
  <c r="H55" i="6"/>
  <c r="H89" i="6"/>
  <c r="P81" i="6"/>
  <c r="P97" i="6"/>
  <c r="U92" i="6"/>
  <c r="D81" i="6"/>
  <c r="K82" i="6"/>
  <c r="T90" i="6"/>
  <c r="G43" i="6"/>
  <c r="C82" i="6"/>
  <c r="C43" i="6"/>
  <c r="M63" i="6"/>
  <c r="M75" i="6"/>
  <c r="I91" i="6"/>
  <c r="U46" i="6"/>
  <c r="Q87" i="6"/>
  <c r="G73" i="6"/>
  <c r="E80" i="6"/>
  <c r="T58" i="6"/>
  <c r="O44" i="6"/>
  <c r="T81" i="6"/>
  <c r="L77" i="6"/>
  <c r="P70" i="6"/>
  <c r="H45" i="6"/>
  <c r="M72" i="6"/>
  <c r="R51" i="6"/>
  <c r="C67" i="6"/>
  <c r="C98" i="6"/>
  <c r="C53" i="6"/>
  <c r="M90" i="6"/>
  <c r="U68" i="6"/>
  <c r="J57" i="6"/>
  <c r="F57" i="6"/>
  <c r="U89" i="6"/>
  <c r="G63" i="6"/>
  <c r="M50" i="6"/>
  <c r="Q68" i="6"/>
  <c r="G66" i="6"/>
  <c r="O91" i="6"/>
  <c r="M66" i="6"/>
  <c r="Q73" i="6"/>
  <c r="U63" i="6"/>
  <c r="L61" i="6"/>
  <c r="F46" i="6"/>
  <c r="C74" i="6"/>
  <c r="I98" i="6"/>
  <c r="I69" i="6"/>
  <c r="T83" i="6"/>
  <c r="N95" i="6"/>
  <c r="C93" i="6"/>
  <c r="S44" i="6"/>
  <c r="U65" i="6"/>
  <c r="U95" i="6"/>
  <c r="C72" i="6"/>
  <c r="D72" i="6"/>
  <c r="R87" i="6"/>
  <c r="I50" i="6"/>
  <c r="H67" i="6"/>
  <c r="D63" i="6"/>
  <c r="K45" i="6"/>
  <c r="H56" i="6"/>
  <c r="S57" i="6"/>
  <c r="M80" i="6"/>
  <c r="O98" i="6"/>
  <c r="Q84" i="6"/>
  <c r="O57" i="6"/>
  <c r="T52" i="6"/>
  <c r="K91" i="6"/>
  <c r="U66" i="6"/>
  <c r="N62" i="6"/>
  <c r="E55" i="6"/>
  <c r="F81" i="6"/>
  <c r="H90" i="6"/>
  <c r="J69" i="6"/>
  <c r="L90" i="6"/>
  <c r="Q89" i="6"/>
  <c r="D68" i="6"/>
  <c r="O78" i="6"/>
  <c r="U79" i="6"/>
  <c r="T61" i="6"/>
  <c r="H92" i="6"/>
  <c r="R72" i="6"/>
  <c r="J84" i="6"/>
  <c r="F95" i="6"/>
  <c r="L74" i="6"/>
  <c r="N55" i="6"/>
  <c r="H50" i="6"/>
  <c r="F58" i="6"/>
  <c r="L63" i="6"/>
  <c r="L55" i="6"/>
  <c r="U96" i="6"/>
  <c r="M94" i="6"/>
  <c r="I67" i="6"/>
  <c r="R54" i="6"/>
  <c r="J80" i="6"/>
  <c r="F53" i="6"/>
  <c r="S75" i="6"/>
  <c r="O85" i="6"/>
  <c r="Q60" i="6"/>
  <c r="O49" i="6"/>
  <c r="I96" i="6"/>
  <c r="H65" i="6"/>
  <c r="S47" i="6"/>
  <c r="T74" i="6"/>
  <c r="D80" i="6"/>
  <c r="U56" i="6"/>
  <c r="S96" i="6"/>
  <c r="J70" i="6"/>
  <c r="S60" i="6"/>
  <c r="R88" i="6"/>
  <c r="C47" i="6"/>
  <c r="J52" i="6"/>
  <c r="E75" i="6"/>
  <c r="O87" i="6"/>
  <c r="Q86" i="6"/>
  <c r="H59" i="6"/>
  <c r="O68" i="6"/>
  <c r="E58" i="6"/>
  <c r="J94" i="6"/>
  <c r="K54" i="6"/>
  <c r="N77" i="6"/>
  <c r="T71" i="6"/>
  <c r="K66" i="6"/>
  <c r="J90" i="6"/>
  <c r="R71" i="6"/>
  <c r="Q43" i="6"/>
  <c r="R73" i="6"/>
  <c r="M98" i="6"/>
  <c r="I45" i="6"/>
  <c r="K48" i="6"/>
  <c r="S88" i="6"/>
  <c r="S45" i="6"/>
  <c r="C66" i="6"/>
  <c r="S83" i="6"/>
  <c r="R65" i="6"/>
  <c r="F44" i="6"/>
  <c r="S99" i="6"/>
  <c r="G92" i="6"/>
  <c r="O64" i="6"/>
  <c r="H76" i="6"/>
  <c r="N68" i="6"/>
  <c r="E59" i="6"/>
  <c r="Q81" i="6"/>
  <c r="C64" i="6"/>
  <c r="F89" i="6"/>
  <c r="O50" i="6"/>
  <c r="Q74" i="6"/>
  <c r="U53" i="6"/>
  <c r="E67" i="6"/>
  <c r="Q76" i="6"/>
  <c r="J48" i="6"/>
  <c r="P83" i="6"/>
  <c r="R90" i="6"/>
  <c r="K68" i="6"/>
  <c r="T53" i="6"/>
  <c r="R95" i="6"/>
  <c r="O72" i="6"/>
  <c r="D91" i="6"/>
  <c r="Q67" i="6"/>
  <c r="U76" i="6"/>
  <c r="H94" i="6"/>
  <c r="N83" i="6"/>
  <c r="G75" i="6"/>
  <c r="H86" i="6"/>
  <c r="I94" i="6"/>
  <c r="U85" i="6"/>
  <c r="P99" i="6"/>
  <c r="C81" i="6"/>
  <c r="S49" i="6"/>
  <c r="Q58" i="6"/>
  <c r="I99" i="6"/>
  <c r="D44" i="6"/>
  <c r="D46" i="6"/>
  <c r="G64" i="6"/>
  <c r="M91" i="6"/>
  <c r="K98" i="6"/>
  <c r="F60" i="6"/>
  <c r="U72" i="6"/>
  <c r="C52" i="6"/>
  <c r="F80" i="6"/>
  <c r="C57" i="6"/>
  <c r="F87" i="6"/>
  <c r="E54" i="6"/>
  <c r="T56" i="6"/>
  <c r="I47" i="6"/>
  <c r="L62" i="6"/>
  <c r="N50" i="6"/>
  <c r="D75" i="6"/>
  <c r="J53" i="6"/>
  <c r="R77" i="6"/>
  <c r="O95" i="6"/>
  <c r="Q88" i="6"/>
  <c r="C69" i="6"/>
  <c r="J44" i="6"/>
  <c r="G45" i="6"/>
  <c r="L67" i="6"/>
  <c r="F56" i="6"/>
  <c r="G60" i="6"/>
  <c r="R96" i="6"/>
  <c r="T66" i="6"/>
  <c r="U70" i="6"/>
  <c r="I70" i="6"/>
  <c r="Q71" i="6"/>
  <c r="F76" i="6"/>
  <c r="N44" i="6"/>
  <c r="T86" i="6"/>
  <c r="K52" i="6"/>
  <c r="E96" i="6"/>
  <c r="R52" i="6"/>
  <c r="D95" i="6"/>
  <c r="I49" i="6"/>
  <c r="M54" i="6"/>
  <c r="P91" i="6"/>
  <c r="O89" i="6"/>
  <c r="R89" i="6"/>
  <c r="I57" i="6"/>
  <c r="F77" i="6"/>
  <c r="N66" i="6"/>
  <c r="S43" i="6"/>
  <c r="R84" i="6"/>
  <c r="K95" i="6"/>
  <c r="K96" i="6"/>
  <c r="K84" i="6"/>
  <c r="S69" i="6"/>
  <c r="E45" i="6"/>
  <c r="E84" i="6"/>
  <c r="L86" i="6"/>
  <c r="S71" i="6"/>
  <c r="N97" i="6"/>
  <c r="M61" i="6"/>
  <c r="Q85" i="6"/>
  <c r="N54" i="6"/>
  <c r="N84" i="6"/>
  <c r="M86" i="6"/>
  <c r="P77" i="6"/>
  <c r="U55" i="6"/>
  <c r="S62" i="6"/>
  <c r="P74" i="6"/>
  <c r="I43" i="6"/>
  <c r="C62" i="6"/>
  <c r="T73" i="6"/>
  <c r="I81" i="6"/>
  <c r="N70" i="6"/>
  <c r="E66" i="6"/>
  <c r="H85" i="6"/>
  <c r="D77" i="6"/>
  <c r="P51" i="6"/>
  <c r="S64" i="6"/>
  <c r="G99" i="6"/>
  <c r="D67" i="6"/>
  <c r="Q62" i="6"/>
  <c r="M67" i="6"/>
  <c r="H62" i="6"/>
  <c r="D64" i="6"/>
  <c r="I51" i="6"/>
  <c r="J56" i="6"/>
  <c r="P86" i="6"/>
  <c r="K74" i="6"/>
  <c r="G76" i="6"/>
  <c r="I88" i="6"/>
  <c r="J67" i="6"/>
  <c r="O67" i="6"/>
  <c r="H48" i="6"/>
  <c r="N85" i="6"/>
  <c r="L56" i="6"/>
  <c r="L53" i="6"/>
  <c r="D76" i="6"/>
  <c r="R55" i="6"/>
  <c r="R80" i="6"/>
  <c r="U67" i="6"/>
  <c r="U81" i="6"/>
  <c r="Q95" i="6"/>
  <c r="G94" i="6"/>
  <c r="F62" i="6"/>
  <c r="I71" i="6"/>
  <c r="C46" i="6"/>
  <c r="D94" i="6"/>
  <c r="G80" i="6"/>
  <c r="J60" i="6"/>
  <c r="Q98" i="6"/>
  <c r="O81" i="6"/>
  <c r="Q57" i="6"/>
  <c r="E71" i="6"/>
  <c r="J88" i="6"/>
  <c r="H78" i="6"/>
  <c r="K57" i="6"/>
  <c r="I82" i="6"/>
  <c r="F50" i="6"/>
  <c r="M77" i="6"/>
  <c r="I95" i="6"/>
  <c r="Q66" i="6"/>
  <c r="C70" i="6"/>
  <c r="O83" i="6"/>
  <c r="J61" i="6"/>
  <c r="E65" i="6"/>
  <c r="H82" i="6"/>
  <c r="H57" i="6"/>
  <c r="O58" i="6"/>
  <c r="I56" i="6"/>
  <c r="K59" i="6"/>
  <c r="K99" i="6"/>
  <c r="O71" i="6"/>
  <c r="E85" i="6"/>
  <c r="S95" i="6"/>
  <c r="S94" i="6"/>
  <c r="K47" i="6"/>
  <c r="L54" i="6"/>
  <c r="U77" i="6"/>
  <c r="U51" i="6"/>
  <c r="C55" i="6"/>
  <c r="S55" i="6"/>
  <c r="C92" i="6"/>
  <c r="P95" i="6"/>
  <c r="K72" i="6"/>
  <c r="F64" i="6"/>
  <c r="E95" i="6"/>
  <c r="P98" i="6"/>
  <c r="G49" i="6"/>
  <c r="D73" i="6"/>
  <c r="H77" i="6"/>
  <c r="R50" i="6"/>
  <c r="T60" i="6"/>
  <c r="T97" i="6"/>
  <c r="C99" i="6"/>
  <c r="R58" i="6"/>
  <c r="C88" i="6"/>
  <c r="T82" i="6"/>
  <c r="J45" i="6"/>
  <c r="S56" i="6"/>
  <c r="G56" i="6"/>
  <c r="O69" i="6"/>
  <c r="F84" i="6"/>
  <c r="I97" i="6"/>
  <c r="J89" i="6"/>
  <c r="O43" i="6"/>
  <c r="M74" i="6"/>
  <c r="E93" i="6"/>
  <c r="Q99" i="6"/>
  <c r="N81" i="6"/>
  <c r="P68" i="6"/>
  <c r="Q56" i="6"/>
  <c r="P57" i="6"/>
  <c r="F51" i="6"/>
  <c r="R74" i="6"/>
  <c r="U75" i="6"/>
  <c r="I52" i="6"/>
  <c r="K79" i="6"/>
  <c r="T91" i="6"/>
  <c r="J59" i="6"/>
  <c r="K65" i="6"/>
  <c r="Q50" i="6"/>
  <c r="M316" i="1"/>
  <c r="K31" i="3"/>
  <c r="J31" i="3"/>
  <c r="M347" i="1"/>
  <c r="M673" i="1"/>
  <c r="M612" i="1"/>
  <c r="M548" i="1"/>
  <c r="M486" i="1"/>
  <c r="M442" i="1"/>
  <c r="F52" i="6"/>
  <c r="T94" i="6"/>
  <c r="P45" i="6"/>
  <c r="K60" i="6"/>
  <c r="I86" i="6"/>
  <c r="O79" i="6"/>
  <c r="C95" i="6"/>
  <c r="K77" i="6"/>
  <c r="O96" i="6"/>
  <c r="E50" i="6"/>
  <c r="G62" i="6"/>
  <c r="N47" i="6"/>
  <c r="R81" i="6"/>
  <c r="G46" i="6"/>
  <c r="N80" i="6"/>
  <c r="T68" i="6"/>
  <c r="L45" i="6"/>
  <c r="M45" i="6"/>
  <c r="U74" i="6"/>
  <c r="L68" i="6"/>
  <c r="M73" i="6"/>
  <c r="M99" i="6"/>
  <c r="T47" i="6"/>
  <c r="L92" i="6"/>
  <c r="N73" i="6"/>
  <c r="G88" i="6"/>
  <c r="U57" i="6"/>
  <c r="P49" i="6"/>
  <c r="L58" i="6"/>
  <c r="R82" i="6"/>
  <c r="Q47" i="6"/>
  <c r="J54" i="6"/>
  <c r="M79" i="6"/>
  <c r="Q78" i="6"/>
  <c r="C54" i="6"/>
  <c r="E68" i="6"/>
  <c r="N58" i="6"/>
  <c r="G77" i="6"/>
  <c r="T67" i="6"/>
  <c r="G54" i="6"/>
  <c r="Q53" i="6"/>
  <c r="J72" i="6"/>
  <c r="O56" i="6"/>
  <c r="M83" i="6"/>
  <c r="E69" i="6"/>
  <c r="D88" i="6"/>
  <c r="C60" i="6"/>
  <c r="L96" i="6"/>
  <c r="L94" i="6"/>
  <c r="K43" i="6"/>
  <c r="R68" i="6"/>
  <c r="D93" i="6"/>
  <c r="K93" i="6"/>
  <c r="P76" i="6"/>
  <c r="T54" i="6"/>
  <c r="N92" i="6"/>
  <c r="P92" i="6"/>
  <c r="M324" i="1"/>
  <c r="M331" i="1"/>
  <c r="M346" i="1"/>
  <c r="C87" i="6"/>
  <c r="F74" i="6"/>
  <c r="O45" i="6"/>
  <c r="G53" i="6"/>
  <c r="N45" i="6"/>
  <c r="K81" i="6"/>
  <c r="R49" i="6"/>
  <c r="C96" i="6"/>
  <c r="T70" i="6"/>
  <c r="I54" i="6"/>
  <c r="N51" i="6"/>
  <c r="C86" i="6"/>
  <c r="S87" i="6"/>
  <c r="F59" i="6"/>
  <c r="P62" i="6"/>
  <c r="R61" i="6"/>
  <c r="F72" i="6"/>
  <c r="T85" i="6"/>
  <c r="D90" i="6"/>
  <c r="M56" i="6"/>
  <c r="G50" i="6"/>
  <c r="K88" i="6"/>
  <c r="C90" i="6"/>
  <c r="R83" i="6"/>
  <c r="N94" i="6"/>
  <c r="Q92" i="6"/>
  <c r="R66" i="6"/>
  <c r="L47" i="6"/>
  <c r="K53" i="6"/>
  <c r="D49" i="6"/>
  <c r="F86" i="6"/>
  <c r="H96" i="6"/>
  <c r="L57" i="6"/>
  <c r="D55" i="6"/>
  <c r="C97" i="6"/>
  <c r="U61" i="6"/>
  <c r="O48" i="6"/>
  <c r="U83" i="6"/>
  <c r="M96" i="6"/>
  <c r="U88" i="6"/>
  <c r="Q77" i="6"/>
  <c r="U58" i="6"/>
  <c r="U48" i="6"/>
  <c r="E87" i="6"/>
  <c r="I72" i="6"/>
  <c r="H68" i="6"/>
  <c r="E98" i="6"/>
  <c r="K64" i="6"/>
  <c r="H74" i="6"/>
  <c r="N72" i="6"/>
  <c r="O99" i="6"/>
  <c r="Q59" i="6"/>
  <c r="E76" i="6"/>
  <c r="O93" i="6"/>
  <c r="K83" i="6"/>
  <c r="T87" i="6"/>
  <c r="K63" i="6"/>
  <c r="F78" i="6"/>
  <c r="M323" i="1"/>
  <c r="J5" i="3"/>
  <c r="J19" i="3"/>
  <c r="J29" i="3"/>
  <c r="J10" i="3"/>
  <c r="J13" i="3"/>
  <c r="J3" i="3"/>
  <c r="T33" i="3"/>
  <c r="M307" i="1"/>
  <c r="J34" i="3"/>
  <c r="K2" i="3"/>
  <c r="M335" i="1"/>
  <c r="M665" i="1"/>
  <c r="M654" i="1"/>
  <c r="M644" i="1"/>
  <c r="M664" i="1"/>
  <c r="M656" i="1"/>
  <c r="M655" i="1"/>
  <c r="M653" i="1"/>
  <c r="M645" i="1"/>
  <c r="M611" i="1"/>
  <c r="M585" i="1"/>
  <c r="M518" i="1"/>
  <c r="M431" i="1"/>
  <c r="M411" i="1"/>
  <c r="M376" i="1"/>
  <c r="M420" i="1"/>
  <c r="M432" i="1"/>
  <c r="M375" i="1"/>
  <c r="M412" i="1"/>
  <c r="M421" i="1"/>
  <c r="M371" i="1"/>
  <c r="M354" i="1"/>
  <c r="M322" i="1"/>
  <c r="K3" i="3"/>
  <c r="M314" i="1"/>
  <c r="M345" i="1"/>
  <c r="F75" i="6"/>
  <c r="I80" i="6"/>
  <c r="U43" i="6"/>
  <c r="P73" i="6"/>
  <c r="L44" i="6"/>
  <c r="S91" i="6"/>
  <c r="E52" i="6"/>
  <c r="G48" i="6"/>
  <c r="R86" i="6"/>
  <c r="T63" i="6"/>
  <c r="M84" i="6"/>
  <c r="F93" i="6"/>
  <c r="L98" i="6"/>
  <c r="Q69" i="6"/>
  <c r="H58" i="6"/>
  <c r="Q48" i="6"/>
  <c r="P54" i="6"/>
  <c r="R69" i="6"/>
  <c r="F94" i="6"/>
  <c r="K89" i="6"/>
  <c r="P43" i="6"/>
  <c r="U99" i="6"/>
  <c r="T79" i="6"/>
  <c r="H60" i="6"/>
  <c r="H72" i="6"/>
  <c r="L93" i="6"/>
  <c r="Q70" i="6"/>
  <c r="F92" i="6"/>
  <c r="U64" i="6"/>
  <c r="I84" i="6"/>
  <c r="M88" i="6"/>
  <c r="S80" i="6"/>
  <c r="E86" i="6"/>
  <c r="O97" i="6"/>
  <c r="S65" i="6"/>
  <c r="T44" i="6"/>
  <c r="G71" i="6"/>
  <c r="N67" i="6"/>
  <c r="E47" i="6"/>
  <c r="U98" i="6"/>
  <c r="E74" i="6"/>
  <c r="O51" i="6"/>
  <c r="K51" i="6"/>
  <c r="O47" i="6"/>
  <c r="K71" i="6"/>
  <c r="K97" i="6"/>
  <c r="L65" i="6"/>
  <c r="S61" i="6"/>
  <c r="I92" i="6"/>
  <c r="J78" i="6"/>
  <c r="K69" i="6"/>
  <c r="N43" i="6"/>
  <c r="J79" i="6"/>
  <c r="M57" i="6"/>
  <c r="M43" i="6"/>
  <c r="G67" i="6"/>
  <c r="M49" i="6"/>
  <c r="O75" i="6"/>
  <c r="M336" i="1"/>
  <c r="M315" i="1"/>
  <c r="M330" i="1"/>
  <c r="T14" i="3"/>
  <c r="P14" i="3"/>
  <c r="K14" i="3"/>
  <c r="J14" i="3"/>
  <c r="M340" i="1"/>
  <c r="U14" i="3"/>
  <c r="O14" i="3"/>
  <c r="M666" i="1"/>
  <c r="M427" i="1"/>
  <c r="M311" i="1"/>
  <c r="J12" i="3"/>
  <c r="M712" i="1"/>
  <c r="M714" i="1"/>
  <c r="M713" i="1"/>
  <c r="M711" i="1"/>
  <c r="M710" i="1"/>
  <c r="M574" i="1"/>
  <c r="M600" i="1"/>
  <c r="M599" i="1"/>
  <c r="M568" i="1"/>
  <c r="M597" i="1"/>
  <c r="M542" i="1"/>
  <c r="M667" i="1"/>
  <c r="M602" i="1"/>
  <c r="M641" i="1"/>
  <c r="M567" i="1"/>
  <c r="M601" i="1"/>
  <c r="M603" i="1"/>
  <c r="M598" i="1"/>
  <c r="M604" i="1"/>
  <c r="M569" i="1"/>
  <c r="M506" i="1"/>
  <c r="M508" i="1"/>
  <c r="M487" i="1"/>
  <c r="M525" i="1"/>
  <c r="M504" i="1"/>
  <c r="M526" i="1"/>
  <c r="M524" i="1"/>
  <c r="M507" i="1"/>
  <c r="M505" i="1"/>
  <c r="M461" i="1"/>
  <c r="M460" i="1"/>
  <c r="M423" i="1"/>
  <c r="M400" i="1"/>
  <c r="M396" i="1"/>
  <c r="M395" i="1"/>
  <c r="M392" i="1"/>
  <c r="M398" i="1"/>
  <c r="M399" i="1"/>
  <c r="M401" i="1"/>
  <c r="M397" i="1"/>
  <c r="M394" i="1"/>
  <c r="M428" i="1"/>
  <c r="M391" i="1"/>
  <c r="M393" i="1"/>
  <c r="M390" i="1"/>
  <c r="M334" i="1"/>
  <c r="M329" i="1"/>
  <c r="M321" i="1"/>
  <c r="M313" i="1"/>
  <c r="M707" i="1"/>
  <c r="M708" i="1"/>
  <c r="M702" i="1"/>
  <c r="M700" i="1"/>
  <c r="M703" i="1"/>
  <c r="M706" i="1"/>
  <c r="M705" i="1"/>
  <c r="M704" i="1"/>
  <c r="M701" i="1"/>
  <c r="M699" i="1"/>
  <c r="M563" i="1"/>
  <c r="M566" i="1"/>
  <c r="M561" i="1"/>
  <c r="M595" i="1"/>
  <c r="M558" i="1"/>
  <c r="M555" i="1"/>
  <c r="M541" i="1"/>
  <c r="M553" i="1"/>
  <c r="M554" i="1"/>
  <c r="M592" i="1"/>
  <c r="M591" i="1"/>
  <c r="M560" i="1"/>
  <c r="M562" i="1"/>
  <c r="M589" i="1"/>
  <c r="M594" i="1"/>
  <c r="M565" i="1"/>
  <c r="M557" i="1"/>
  <c r="M564" i="1"/>
  <c r="M596" i="1"/>
  <c r="M559" i="1"/>
  <c r="M593" i="1"/>
  <c r="M556" i="1"/>
  <c r="M590" i="1"/>
  <c r="M502" i="1"/>
  <c r="M523" i="1"/>
  <c r="M520" i="1"/>
  <c r="M499" i="1"/>
  <c r="M498" i="1"/>
  <c r="M501" i="1"/>
  <c r="M496" i="1"/>
  <c r="M521" i="1"/>
  <c r="M522" i="1"/>
  <c r="M368" i="1"/>
  <c r="M497" i="1"/>
  <c r="M495" i="1"/>
  <c r="M500" i="1"/>
  <c r="M494" i="1"/>
  <c r="M454" i="1"/>
  <c r="M453" i="1"/>
  <c r="M457" i="1"/>
  <c r="M450" i="1"/>
  <c r="M455" i="1"/>
  <c r="M451" i="1"/>
  <c r="M456" i="1"/>
  <c r="M452" i="1"/>
  <c r="M385" i="1"/>
  <c r="M384" i="1"/>
  <c r="M414" i="1"/>
  <c r="M379" i="1"/>
  <c r="M383" i="1"/>
  <c r="M381" i="1"/>
  <c r="M380" i="1"/>
  <c r="M382" i="1"/>
  <c r="M363" i="1"/>
  <c r="M362" i="1"/>
  <c r="M351" i="1"/>
  <c r="M344" i="1"/>
  <c r="J2" i="3"/>
  <c r="J86" i="6"/>
  <c r="O65" i="6"/>
  <c r="I64" i="6"/>
  <c r="H99" i="6"/>
  <c r="I75" i="6"/>
  <c r="K62" i="6"/>
  <c r="O55" i="6"/>
  <c r="G95" i="6"/>
  <c r="N96" i="6"/>
  <c r="G81" i="6"/>
  <c r="S50" i="6"/>
  <c r="F65" i="6"/>
  <c r="Q79" i="6"/>
  <c r="O53" i="6"/>
  <c r="P78" i="6"/>
  <c r="C49" i="6"/>
  <c r="G96" i="6"/>
  <c r="D65" i="6"/>
  <c r="C78" i="6"/>
  <c r="T64" i="6"/>
  <c r="I65" i="6"/>
  <c r="D85" i="6"/>
  <c r="K87" i="6"/>
  <c r="I55" i="6"/>
  <c r="N56" i="6"/>
  <c r="U50" i="6"/>
  <c r="S77" i="6"/>
  <c r="H95" i="6"/>
  <c r="U60" i="6"/>
  <c r="D86" i="6"/>
  <c r="G65" i="6"/>
  <c r="P69" i="6"/>
  <c r="J98" i="6"/>
  <c r="J65" i="6"/>
  <c r="H69" i="6"/>
  <c r="U90" i="6"/>
  <c r="N52" i="6"/>
  <c r="N69" i="6"/>
  <c r="N75" i="6"/>
  <c r="T98" i="6"/>
  <c r="M78" i="6"/>
  <c r="E61" i="6"/>
  <c r="P55" i="6"/>
  <c r="N46" i="6"/>
  <c r="J87" i="6"/>
  <c r="J85" i="6"/>
  <c r="D66" i="6"/>
  <c r="F83" i="6"/>
  <c r="P64" i="6"/>
  <c r="N49" i="6"/>
  <c r="U82" i="6"/>
  <c r="P89" i="6"/>
  <c r="P67" i="6"/>
  <c r="H84" i="6"/>
  <c r="R75" i="6"/>
  <c r="F71" i="6"/>
  <c r="R94" i="6"/>
  <c r="E51" i="6"/>
  <c r="M320" i="1"/>
  <c r="M350" i="1"/>
  <c r="M343" i="1"/>
  <c r="D84" i="6"/>
  <c r="G83" i="6"/>
  <c r="K55" i="6"/>
  <c r="F70" i="6"/>
  <c r="D69" i="6"/>
  <c r="D56" i="6"/>
  <c r="E64" i="6"/>
  <c r="G86" i="6"/>
  <c r="R59" i="6"/>
  <c r="O52" i="6"/>
  <c r="E97" i="6"/>
  <c r="T89" i="6"/>
  <c r="U45" i="6"/>
  <c r="S46" i="6"/>
  <c r="O76" i="6"/>
  <c r="E56" i="6"/>
  <c r="N76" i="6"/>
  <c r="Q54" i="6"/>
  <c r="F47" i="6"/>
  <c r="U49" i="6"/>
  <c r="R76" i="6"/>
  <c r="I83" i="6"/>
  <c r="K58" i="6"/>
  <c r="H81" i="6"/>
  <c r="K90" i="6"/>
  <c r="C75" i="6"/>
  <c r="O74" i="6"/>
  <c r="E88" i="6"/>
  <c r="J91" i="6"/>
  <c r="H52" i="6"/>
  <c r="L46" i="6"/>
  <c r="N86" i="6"/>
  <c r="N53" i="6"/>
  <c r="I48" i="6"/>
  <c r="J73" i="6"/>
  <c r="F68" i="6"/>
  <c r="H97" i="6"/>
  <c r="L64" i="6"/>
  <c r="P93" i="6"/>
  <c r="G98" i="6"/>
  <c r="K78" i="6"/>
  <c r="K44" i="6"/>
  <c r="I89" i="6"/>
  <c r="D87" i="6"/>
  <c r="O73" i="6"/>
  <c r="G59" i="6"/>
  <c r="E77" i="6"/>
  <c r="J93" i="6"/>
  <c r="G51" i="6"/>
  <c r="U84" i="6"/>
  <c r="R62" i="6"/>
  <c r="K80" i="6"/>
  <c r="T59" i="6"/>
  <c r="I87" i="6"/>
  <c r="O77" i="6"/>
  <c r="Q63" i="6"/>
  <c r="T50" i="6"/>
  <c r="J49" i="6"/>
  <c r="M309" i="1"/>
  <c r="M671" i="1"/>
  <c r="M540" i="1"/>
  <c r="M440" i="1"/>
  <c r="M361" i="1"/>
  <c r="K29" i="3"/>
  <c r="M332" i="1"/>
  <c r="K10" i="3"/>
  <c r="T10" i="3"/>
  <c r="U10" i="3"/>
  <c r="M543" i="1"/>
  <c r="M663" i="1"/>
  <c r="M579" i="1"/>
  <c r="O10" i="3"/>
  <c r="P10" i="3"/>
  <c r="M319" i="1"/>
  <c r="M349" i="1"/>
  <c r="P79" i="6"/>
  <c r="H64" i="6"/>
  <c r="G58" i="6"/>
  <c r="M64" i="6"/>
  <c r="N64" i="6"/>
  <c r="T92" i="6"/>
  <c r="K86" i="6"/>
  <c r="E57" i="6"/>
  <c r="S79" i="6"/>
  <c r="G91" i="6"/>
  <c r="S84" i="6"/>
  <c r="C58" i="6"/>
  <c r="L49" i="6"/>
  <c r="H70" i="6"/>
  <c r="D45" i="6"/>
  <c r="S67" i="6"/>
  <c r="F66" i="6"/>
  <c r="T45" i="6"/>
  <c r="R85" i="6"/>
  <c r="J68" i="6"/>
  <c r="R60" i="6"/>
  <c r="T88" i="6"/>
  <c r="I90" i="6"/>
  <c r="E43" i="6"/>
  <c r="C94" i="6"/>
  <c r="P85" i="6"/>
  <c r="P47" i="6"/>
  <c r="C45" i="6"/>
  <c r="K67" i="6"/>
  <c r="O60" i="6"/>
  <c r="F97" i="6"/>
  <c r="M52" i="6"/>
  <c r="O54" i="6"/>
  <c r="J83" i="6"/>
  <c r="K70" i="6"/>
  <c r="S97" i="6"/>
  <c r="R43" i="6"/>
  <c r="R57" i="6"/>
  <c r="H75" i="6"/>
  <c r="E92" i="6"/>
  <c r="H91" i="6"/>
  <c r="N87" i="6"/>
  <c r="R99" i="6"/>
  <c r="J97" i="6"/>
  <c r="F85" i="6"/>
  <c r="G55" i="6"/>
  <c r="D70" i="6"/>
  <c r="M93" i="6"/>
  <c r="P59" i="6"/>
  <c r="F79" i="6"/>
  <c r="O86" i="6"/>
  <c r="Q91" i="6"/>
  <c r="L88" i="6"/>
  <c r="D62" i="6"/>
  <c r="R63" i="6"/>
  <c r="D89" i="6"/>
  <c r="M82" i="6"/>
  <c r="M310" i="1"/>
  <c r="K32" i="3"/>
  <c r="M680" i="1"/>
  <c r="M682" i="1"/>
  <c r="M677" i="1"/>
  <c r="M674" i="1"/>
  <c r="M679" i="1"/>
  <c r="M676" i="1"/>
  <c r="M675" i="1"/>
  <c r="M683" i="1"/>
  <c r="M678" i="1"/>
  <c r="M681" i="1"/>
  <c r="M443" i="1"/>
  <c r="M449" i="1"/>
  <c r="M378" i="1"/>
  <c r="M377" i="1"/>
  <c r="M413" i="1"/>
  <c r="M357" i="1"/>
  <c r="M356" i="1"/>
  <c r="M355" i="1"/>
  <c r="M333" i="1"/>
  <c r="K8" i="3"/>
  <c r="M696" i="1"/>
  <c r="M693" i="1"/>
  <c r="M692" i="1"/>
  <c r="M698" i="1"/>
  <c r="M697" i="1"/>
  <c r="M539" i="1"/>
  <c r="M642" i="1"/>
  <c r="M610" i="1"/>
  <c r="M547" i="1"/>
  <c r="M652" i="1"/>
  <c r="M636" i="1"/>
  <c r="M544" i="1"/>
  <c r="M584" i="1"/>
  <c r="M583" i="1"/>
  <c r="M643" i="1"/>
  <c r="M617" i="1"/>
  <c r="M635" i="1"/>
  <c r="M490" i="1"/>
  <c r="M517" i="1"/>
  <c r="M446" i="1"/>
  <c r="M436" i="1"/>
  <c r="M435" i="1"/>
  <c r="M447" i="1"/>
  <c r="M448" i="1"/>
  <c r="M374" i="1"/>
  <c r="M419" i="1"/>
  <c r="M370" i="1"/>
  <c r="M369" i="1"/>
  <c r="M308" i="1"/>
  <c r="K9" i="3"/>
  <c r="M691" i="1"/>
  <c r="M689" i="1"/>
  <c r="M690" i="1"/>
  <c r="M694" i="1"/>
  <c r="M695" i="1"/>
  <c r="M686" i="1"/>
  <c r="M662" i="1"/>
  <c r="M576" i="1"/>
  <c r="M651" i="1"/>
  <c r="M634" i="1"/>
  <c r="M578" i="1"/>
  <c r="M633" i="1"/>
  <c r="M546" i="1"/>
  <c r="M577" i="1"/>
  <c r="M485" i="1"/>
  <c r="M489" i="1"/>
  <c r="M516" i="1"/>
  <c r="M476" i="1"/>
  <c r="M445" i="1"/>
  <c r="M410" i="1"/>
  <c r="M430" i="1"/>
  <c r="M429" i="1"/>
  <c r="M359" i="1"/>
  <c r="M360" i="1"/>
  <c r="M353" i="1"/>
  <c r="M342" i="1"/>
  <c r="K12" i="3"/>
  <c r="M326" i="1"/>
  <c r="M318" i="1"/>
  <c r="M348" i="1"/>
  <c r="Q90" i="6"/>
  <c r="O92" i="6"/>
  <c r="O88" i="6"/>
  <c r="O59" i="6"/>
  <c r="Q49" i="6"/>
  <c r="M51" i="6"/>
  <c r="S68" i="6"/>
  <c r="L80" i="6"/>
  <c r="P53" i="6"/>
  <c r="E48" i="6"/>
  <c r="J95" i="6"/>
  <c r="L51" i="6"/>
  <c r="C71" i="6"/>
  <c r="K61" i="6"/>
  <c r="H83" i="6"/>
  <c r="U62" i="6"/>
  <c r="P48" i="6"/>
  <c r="P65" i="6"/>
  <c r="J63" i="6"/>
  <c r="K75" i="6"/>
  <c r="G44" i="6"/>
  <c r="N88" i="6"/>
  <c r="Q45" i="6"/>
  <c r="G84" i="6"/>
  <c r="G89" i="6"/>
  <c r="P66" i="6"/>
  <c r="M70" i="6"/>
  <c r="D50" i="6"/>
  <c r="F45" i="6"/>
  <c r="N57" i="6"/>
  <c r="N82" i="6"/>
  <c r="N63" i="6"/>
  <c r="D60" i="6"/>
  <c r="I60" i="6"/>
  <c r="H73" i="6"/>
  <c r="M71" i="6"/>
  <c r="T84" i="6"/>
  <c r="S52" i="6"/>
  <c r="L83" i="6"/>
  <c r="J92" i="6"/>
  <c r="Q44" i="6"/>
  <c r="J51" i="6"/>
  <c r="J47" i="6"/>
  <c r="C91" i="6"/>
  <c r="E46" i="6"/>
  <c r="L71" i="6"/>
  <c r="E90" i="6"/>
  <c r="N71" i="6"/>
  <c r="I93" i="6"/>
  <c r="L66" i="6"/>
  <c r="U94" i="6"/>
  <c r="E70" i="6"/>
  <c r="U93" i="6"/>
  <c r="J66" i="6"/>
  <c r="U78" i="6"/>
  <c r="V16" i="3"/>
  <c r="V7" i="3"/>
  <c r="V4" i="3"/>
  <c r="V9" i="3"/>
  <c r="V2" i="3"/>
  <c r="V6" i="3"/>
  <c r="V19" i="3"/>
  <c r="V15" i="3"/>
  <c r="V23" i="3"/>
  <c r="V27" i="3"/>
  <c r="V24" i="3"/>
  <c r="V28" i="3"/>
  <c r="V21" i="3"/>
  <c r="V8" i="3"/>
  <c r="V20" i="3"/>
  <c r="V25" i="3"/>
  <c r="V32" i="3"/>
  <c r="V17" i="3"/>
  <c r="V29" i="3"/>
  <c r="V13" i="3"/>
  <c r="V5" i="3"/>
  <c r="V12" i="3"/>
  <c r="V33" i="3"/>
  <c r="V35" i="3"/>
  <c r="V34" i="3"/>
  <c r="V18" i="3"/>
  <c r="V26" i="3"/>
  <c r="V3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99" i="6" l="1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<sst xmlns="http://schemas.openxmlformats.org/spreadsheetml/2006/main" count="6047" uniqueCount="182">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</sst>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5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  <xf numFmtId="0" fontId="21" fillId="0" borderId="1" xfId="0" applyFont="1" applyBorder="1"/>
    <xf numFmtId="0" fontId="21" fillId="0" borderId="14" xfId="0" applyFont="1" applyBorder="1"/>
  </cellXfs>
  <cellStyles count="2">
    <cellStyle name="Millares" xfId="1" builtinId="3"/>
    <cellStyle name="Normal" xfId="0" builtinId="0"/>
  </cellStyles>
  <dxfs count="45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36" totalsRowShown="0" headerRowDxfId="39">
  <autoFilter ref="A1:P736" xr:uid="{00000000-0009-0000-0100-000001000000}"/>
  <tableColumns count="16">
    <tableColumn id="1" xr3:uid="{00000000-0010-0000-0000-000001000000}" name="ID"/>
    <tableColumn id="2" xr3:uid="{00000000-0010-0000-0000-000002000000}" name="Fecha" dataDxfId="38"/>
    <tableColumn id="3" xr3:uid="{00000000-0010-0000-0000-000003000000}" name="Empresa"/>
    <tableColumn id="4" xr3:uid="{00000000-0010-0000-0000-000004000000}" name="Cuenta Bancaria" dataDxfId="37"/>
    <tableColumn id="12" xr3:uid="{4E4C6484-6819-4411-A0F3-4017EFF8C28C}" name="Banco" dataDxfId="36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5"/>
    <tableColumn id="6" xr3:uid="{00000000-0010-0000-0000-000006000000}" name="Categoria / Concepto" dataDxfId="34"/>
    <tableColumn id="7" xr3:uid="{00000000-0010-0000-0000-000007000000}" name="Descripcion" dataDxfId="33">
      <calculatedColumnFormula>IFERROR(_xlfn.XLOOKUP(G2,Listas!E:E,Listas!F:F,""),"")</calculatedColumnFormula>
    </tableColumn>
    <tableColumn id="13" xr3:uid="{44ABE6CE-2513-45FC-BD14-32E930AFDBBD}" name="Ext/Int" dataDxfId="32"/>
    <tableColumn id="8" xr3:uid="{00000000-0010-0000-0000-000008000000}" name="Monto (S/)" dataDxfId="31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0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29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8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27" dataDxfId="25" headerRowBorderDxfId="26" tableBorderDxfId="24">
  <autoFilter ref="A1:V500" xr:uid="{F415436C-AC07-4BC7-AF63-CF4210A06BB4}"/>
  <tableColumns count="22">
    <tableColumn id="1" xr3:uid="{63FFD75C-E666-43DD-8029-F430E7835BEE}" name="Día" dataDxfId="23"/>
    <tableColumn id="2" xr3:uid="{3C0A637E-5BCF-4DAA-A47B-1062D26CE0FC}" name="Fecha" dataDxfId="22"/>
    <tableColumn id="3" xr3:uid="{AA52C2CE-0BC6-4D55-8E20-0938296D1C23}" name="CFT Group" dataDxfId="21"/>
    <tableColumn id="4" xr3:uid="{EE7D0652-E6C8-4122-A765-D1B09096A21E}" name="M1B" dataDxfId="20"/>
    <tableColumn id="5" xr3:uid="{B4646433-2F6C-4447-A177-6AD7A4B88B6F}" name="Durand" dataDxfId="19"/>
    <tableColumn id="6" xr3:uid="{DCA1C6D9-C3E1-43F4-A721-4008460687C7}" name="A&amp;M Imports" dataDxfId="18"/>
    <tableColumn id="7" xr3:uid="{D4A7DE77-6043-4E65-8D3F-445DF17D93F1}" name="SSP Capital" dataDxfId="17"/>
    <tableColumn id="8" xr3:uid="{64A897BF-46B4-411E-BA9D-FE799CF2FEFB}" name="Cross Family Trust" dataDxfId="16"/>
    <tableColumn id="9" xr3:uid="{22730D08-F998-46A3-A6B6-4BF23E38D8F9}" name="Cross Security Trust" dataDxfId="15"/>
    <tableColumn id="10" xr3:uid="{BB5B9930-003E-4DC5-8E5D-067C1CF1A456}" name="Electrama" dataDxfId="14"/>
    <tableColumn id="11" xr3:uid="{72B1FF5A-A2B1-4F18-A8C8-32EEB09E3A17}" name="Sacred Valley Capital" dataDxfId="13"/>
    <tableColumn id="12" xr3:uid="{8285724C-9042-463F-8339-13C60DCBF2F4}" name="YWC Capital" dataDxfId="12"/>
    <tableColumn id="13" xr3:uid="{A6BA6873-5C5A-44C1-A199-00F91718164E}" name="Soweto" dataDxfId="11"/>
    <tableColumn id="14" xr3:uid="{50FB5920-A571-4DC5-9E26-0EF4F33A880F}" name="Green Stone Trust" dataDxfId="10"/>
    <tableColumn id="15" xr3:uid="{F3DE628D-3663-4B8C-88C3-8ED6C47CDAD0}" name="EC Auto" dataDxfId="9"/>
    <tableColumn id="16" xr3:uid="{63079263-2DC8-47D4-869E-EF7FF8CC83E2}" name="Arbor Capital Properties" dataDxfId="8"/>
    <tableColumn id="17" xr3:uid="{F0CCDB07-528A-4A91-A40E-B313EA61AC5A}" name="2515 Overbrook" dataDxfId="7"/>
    <tableColumn id="18" xr3:uid="{A92B8B5E-42D0-409B-819B-93575E6B5338}" name="112 Florida Ave" dataDxfId="6"/>
    <tableColumn id="19" xr3:uid="{E8590E2C-955F-4887-9F19-BD4E50391F39}" name="3628 Thomas Ave" dataDxfId="5"/>
    <tableColumn id="20" xr3:uid="{C99311AE-E772-4C28-A5BF-F01473FDC99C}" name="Green Harbor Trust" dataDxfId="4"/>
    <tableColumn id="21" xr3:uid="{531291F0-F871-4ED7-85FB-D95349130FEE}" name="Go Blue" dataDxfId="3"/>
    <tableColumn id="22" xr3:uid="{9970DF30-CB1E-4EE7-A51A-8EEDF7EFDE4C}" name="TOTAL CONSOLIDADO" dataDxfId="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939" tableType="queryTable" totalsRowShown="0" headerRowDxfId="44" headerRowBorderDxfId="43">
  <autoFilter ref="A1:D1939" xr:uid="{2C5E576C-56D5-4661-AEE8-C56EAF46506C}"/>
  <tableColumns count="4">
    <tableColumn id="1" xr3:uid="{C5F72CE6-A217-4AAA-B890-634003E10415}" uniqueName="1" name="Empresa" queryTableFieldId="1" dataDxfId="42"/>
    <tableColumn id="4" xr3:uid="{1BFD00E9-36EE-42D9-A985-B1FC2CE4E317}" uniqueName="4" name="Saldo inicial" queryTableFieldId="4" dataDxfId="41"/>
    <tableColumn id="2" xr3:uid="{EA09EB92-4B2D-420E-B39F-7A131A47C123}" uniqueName="2" name="Atributo " queryTableFieldId="2" dataDxfId="4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36"/>
  <sheetViews>
    <sheetView topLeftCell="I1" zoomScale="70" zoomScaleNormal="70" workbookViewId="0">
      <pane ySplit="1" topLeftCell="A703" activePane="bottomLeft" state="frozen"/>
      <selection pane="bottomLeft" activeCell="O731" sqref="O731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Iniciales'!$B$2:$B$38,D234)+SUMIFS($K$1:$K$736,$C$1:$C$736,C234,$D$1:$D$736,D234,$B$1:$B$736,"&lt;="&amp;B234)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Iniciales'!$B$2:$B$38,D235)+SUMIFS($K$1:$K$736,$C$1:$C$736,C235,$D$1:$D$736,D235,$B$1:$B$736,"&lt;="&amp;B235)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Iniciales'!$B$2:$B$38,D236)+SUMIFS($K$1:$K$736,$C$1:$C$736,C236,$D$1:$D$736,D236,$B$1:$B$736,"&lt;="&amp;B236)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Iniciales'!$B$2:$B$38,D237)+SUMIFS($K$1:$K$736,$C$1:$C$736,C237,$D$1:$D$736,D237,$B$1:$B$736,"&lt;="&amp;B237)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Iniciales'!$B$2:$B$38,D238)+SUMIFS($K$1:$K$736,$C$1:$C$736,C238,$D$1:$D$736,D238,$B$1:$B$736,"&lt;="&amp;B238)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Iniciales'!$B$2:$B$38,D239)+SUMIFS($K$1:$K$736,$C$1:$C$736,C239,$D$1:$D$736,D239,$B$1:$B$736,"&lt;="&amp;B239)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Iniciales'!$B$2:$B$38,D283)+SUMIFS($K$1:$K$736,$C$1:$C$736,C283,$D$1:$D$736,D283,$B$1:$B$736,"&lt;="&amp;B283)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Iniciales'!$B$2:$B$38,D306)+SUMIFS($K$1:$K$736,$C$1:$C$736,C306,$D$1:$D$736,D306,$B$1:$B$736,"&lt;="&amp;B306)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Iniciales'!$B$2:$B$38,D307)+SUMIFS($K$1:$K$736,$C$1:$C$736,C307,$D$1:$D$736,D307,$B$1:$B$736,"&lt;="&amp;B307)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Iniciales'!$B$2:$B$38,D308)+SUMIFS($K$1:$K$736,$C$1:$C$736,C308,$D$1:$D$736,D308,$B$1:$B$736,"&lt;="&amp;B308)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Iniciales'!$B$2:$B$38,D309)+SUMIFS($K$1:$K$736,$C$1:$C$736,C309,$D$1:$D$736,D309,$B$1:$B$736,"&lt;="&amp;B309)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Iniciales'!$B$2:$B$38,D310)+SUMIFS($K$1:$K$736,$C$1:$C$736,C310,$D$1:$D$736,D310,$B$1:$B$736,"&lt;="&amp;B310)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Iniciales'!$B$2:$B$38,D311)+SUMIFS($K$1:$K$736,$C$1:$C$736,C311,$D$1:$D$736,D311,$B$1:$B$736,"&lt;="&amp;B311)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Iniciales'!$B$2:$B$38,D312)+SUMIFS($K$1:$K$736,$C$1:$C$736,C312,$D$1:$D$736,D312,$B$1:$B$736,"&lt;="&amp;B312)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Iniciales'!$B$2:$B$38,D313)+SUMIFS($K$1:$K$736,$C$1:$C$736,C313,$D$1:$D$736,D313,$B$1:$B$736,"&lt;="&amp;B313)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Iniciales'!$B$2:$B$38,D314)+SUMIFS($K$1:$K$736,$C$1:$C$736,C314,$D$1:$D$736,D314,$B$1:$B$736,"&lt;="&amp;B314)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Iniciales'!$B$2:$B$38,D315)+SUMIFS($K$1:$K$736,$C$1:$C$736,C315,$D$1:$D$736,D315,$B$1:$B$736,"&lt;="&amp;B315)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Iniciales'!$B$2:$B$38,D316)+SUMIFS($K$1:$K$736,$C$1:$C$736,C316,$D$1:$D$736,D316,$B$1:$B$736,"&lt;="&amp;B316)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Iniciales'!$B$2:$B$38,D317)+SUMIFS($K$1:$K$736,$C$1:$C$736,C317,$D$1:$D$736,D317,$B$1:$B$736,"&lt;="&amp;B317)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Iniciales'!$B$2:$B$38,D318)+SUMIFS($K$1:$K$736,$C$1:$C$736,C318,$D$1:$D$736,D318,$B$1:$B$736,"&lt;="&amp;B318)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Iniciales'!$B$2:$B$38,D319)+SUMIFS($K$1:$K$736,$C$1:$C$736,C319,$D$1:$D$736,D319,$B$1:$B$736,"&lt;="&amp;B319)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Iniciales'!$B$2:$B$38,D320)+SUMIFS($K$1:$K$736,$C$1:$C$736,C320,$D$1:$D$736,D320,$B$1:$B$736,"&lt;="&amp;B320)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Iniciales'!$B$2:$B$38,D321)+SUMIFS($K$1:$K$736,$C$1:$C$736,C321,$D$1:$D$736,D321,$B$1:$B$736,"&lt;="&amp;B321)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Iniciales'!$B$2:$B$38,D322)+SUMIFS($K$1:$K$736,$C$1:$C$736,C322,$D$1:$D$736,D322,$B$1:$B$736,"&lt;="&amp;B322)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Iniciales'!$B$2:$B$38,D323)+SUMIFS($K$1:$K$736,$C$1:$C$736,C323,$D$1:$D$736,D323,$B$1:$B$736,"&lt;="&amp;B323)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Iniciales'!$B$2:$B$38,D324)+SUMIFS($K$1:$K$736,$C$1:$C$736,C324,$D$1:$D$736,D324,$B$1:$B$736,"&lt;="&amp;B324)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Iniciales'!$B$2:$B$38,D325)+SUMIFS($K$1:$K$736,$C$1:$C$736,C325,$D$1:$D$736,D325,$B$1:$B$736,"&lt;="&amp;B325)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Iniciales'!$B$2:$B$38,D326)+SUMIFS($K$1:$K$736,$C$1:$C$736,C326,$D$1:$D$736,D326,$B$1:$B$736,"&lt;="&amp;B326)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Iniciales'!$B$2:$B$38,D327)+SUMIFS($K$1:$K$736,$C$1:$C$736,C327,$D$1:$D$736,D327,$B$1:$B$736,"&lt;="&amp;B327)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Iniciales'!$B$2:$B$38,D328)+SUMIFS($K$1:$K$736,$C$1:$C$736,C328,$D$1:$D$736,D328,$B$1:$B$736,"&lt;="&amp;B328)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Iniciales'!$B$2:$B$38,D329)+SUMIFS($K$1:$K$736,$C$1:$C$736,C329,$D$1:$D$736,D329,$B$1:$B$736,"&lt;="&amp;B329)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Iniciales'!$B$2:$B$38,D330)+SUMIFS($K$1:$K$736,$C$1:$C$736,C330,$D$1:$D$736,D330,$B$1:$B$736,"&lt;="&amp;B330)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Iniciales'!$B$2:$B$38,D331)+SUMIFS($K$1:$K$736,$C$1:$C$736,C331,$D$1:$D$736,D331,$B$1:$B$736,"&lt;="&amp;B331)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Iniciales'!$B$2:$B$38,D332)+SUMIFS($K$1:$K$736,$C$1:$C$736,C332,$D$1:$D$736,D332,$B$1:$B$736,"&lt;="&amp;B332)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Iniciales'!$B$2:$B$38,D333)+SUMIFS($K$1:$K$736,$C$1:$C$736,C333,$D$1:$D$736,D333,$B$1:$B$736,"&lt;="&amp;B333)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Iniciales'!$B$2:$B$38,D334)+SUMIFS($K$1:$K$736,$C$1:$C$736,C334,$D$1:$D$736,D334,$B$1:$B$736,"&lt;="&amp;B334)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Iniciales'!$B$2:$B$38,D335)+SUMIFS($K$1:$K$736,$C$1:$C$736,C335,$D$1:$D$736,D335,$B$1:$B$736,"&lt;="&amp;B335)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Iniciales'!$B$2:$B$38,D336)+SUMIFS($K$1:$K$736,$C$1:$C$736,C336,$D$1:$D$736,D336,$B$1:$B$736,"&lt;="&amp;B336)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Iniciales'!$B$2:$B$38,D337)+SUMIFS($K$1:$K$736,$C$1:$C$736,C337,$D$1:$D$736,D337,$B$1:$B$736,"&lt;="&amp;B337)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Iniciales'!$B$2:$B$38,D338)+SUMIFS($K$1:$K$736,$C$1:$C$736,C338,$D$1:$D$736,D338,$B$1:$B$736,"&lt;="&amp;B338)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Iniciales'!$B$2:$B$38,D339)+SUMIFS($K$1:$K$736,$C$1:$C$736,C339,$D$1:$D$736,D339,$B$1:$B$736,"&lt;="&amp;B339)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Iniciales'!$B$2:$B$38,D340)+SUMIFS($K$1:$K$736,$C$1:$C$736,C340,$D$1:$D$736,D340,$B$1:$B$736,"&lt;="&amp;B340)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Iniciales'!$B$2:$B$38,D341)+SUMIFS($K$1:$K$736,$C$1:$C$736,C341,$D$1:$D$736,D341,$B$1:$B$736,"&lt;="&amp;B341)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Iniciales'!$B$2:$B$38,D342)+SUMIFS($K$1:$K$736,$C$1:$C$736,C342,$D$1:$D$736,D342,$B$1:$B$736,"&lt;="&amp;B342)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Iniciales'!$B$2:$B$38,D343)+SUMIFS($K$1:$K$736,$C$1:$C$736,C343,$D$1:$D$736,D343,$B$1:$B$736,"&lt;="&amp;B343)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Iniciales'!$B$2:$B$38,D344)+SUMIFS($K$1:$K$736,$C$1:$C$736,C344,$D$1:$D$736,D344,$B$1:$B$736,"&lt;="&amp;B344)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Iniciales'!$B$2:$B$38,D345)+SUMIFS($K$1:$K$736,$C$1:$C$736,C345,$D$1:$D$736,D345,$B$1:$B$736,"&lt;="&amp;B345)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Iniciales'!$B$2:$B$38,D346)+SUMIFS($K$1:$K$736,$C$1:$C$736,C346,$D$1:$D$736,D346,$B$1:$B$736,"&lt;="&amp;B346)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Iniciales'!$B$2:$B$38,D347)+SUMIFS($K$1:$K$736,$C$1:$C$736,C347,$D$1:$D$736,D347,$B$1:$B$736,"&lt;="&amp;B347)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Iniciales'!$B$2:$B$38,D348)+SUMIFS($K$1:$K$736,$C$1:$C$736,C348,$D$1:$D$736,D348,$B$1:$B$736,"&lt;="&amp;B348)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Iniciales'!$B$2:$B$38,D349)+SUMIFS($K$1:$K$736,$C$1:$C$736,C349,$D$1:$D$736,D349,$B$1:$B$736,"&lt;="&amp;B349)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Iniciales'!$B$2:$B$38,D350)+SUMIFS($K$1:$K$736,$C$1:$C$736,C350,$D$1:$D$736,D350,$B$1:$B$736,"&lt;="&amp;B350)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Iniciales'!$B$2:$B$38,D351)+SUMIFS($K$1:$K$736,$C$1:$C$736,C351,$D$1:$D$736,D351,$B$1:$B$736,"&lt;="&amp;B351)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Iniciales'!$B$2:$B$38,D352)+SUMIFS($K$1:$K$736,$C$1:$C$736,C352,$D$1:$D$736,D352,$B$1:$B$736,"&lt;="&amp;B352)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Iniciales'!$B$2:$B$38,D353)+SUMIFS($K$1:$K$736,$C$1:$C$736,C353,$D$1:$D$736,D353,$B$1:$B$736,"&lt;="&amp;B353)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Iniciales'!$B$2:$B$38,D354)+SUMIFS($K$1:$K$736,$C$1:$C$736,C354,$D$1:$D$736,D354,$B$1:$B$736,"&lt;="&amp;B354)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Iniciales'!$B$2:$B$38,D355)+SUMIFS($K$1:$K$736,$C$1:$C$736,C355,$D$1:$D$736,D355,$B$1:$B$736,"&lt;="&amp;B355)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Iniciales'!$B$2:$B$38,D356)+SUMIFS($K$1:$K$736,$C$1:$C$736,C356,$D$1:$D$736,D356,$B$1:$B$736,"&lt;="&amp;B356)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Iniciales'!$B$2:$B$38,D357)+SUMIFS($K$1:$K$736,$C$1:$C$736,C357,$D$1:$D$736,D357,$B$1:$B$736,"&lt;="&amp;B357)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Iniciales'!$B$2:$B$38,D358)+SUMIFS($K$1:$K$736,$C$1:$C$736,C358,$D$1:$D$736,D358,$B$1:$B$736,"&lt;="&amp;B358)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Iniciales'!$B$2:$B$38,D359)+SUMIFS($K$1:$K$736,$C$1:$C$736,C359,$D$1:$D$736,D359,$B$1:$B$736,"&lt;="&amp;B359)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Iniciales'!$B$2:$B$38,D360)+SUMIFS($K$1:$K$736,$C$1:$C$736,C360,$D$1:$D$736,D360,$B$1:$B$736,"&lt;="&amp;B360)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Iniciales'!$B$2:$B$38,D361)+SUMIFS($K$1:$K$736,$C$1:$C$736,C361,$D$1:$D$736,D361,$B$1:$B$736,"&lt;="&amp;B361)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Iniciales'!$B$2:$B$38,D362)+SUMIFS($K$1:$K$736,$C$1:$C$736,C362,$D$1:$D$736,D362,$B$1:$B$736,"&lt;="&amp;B362)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Iniciales'!$B$2:$B$38,D363)+SUMIFS($K$1:$K$736,$C$1:$C$736,C363,$D$1:$D$736,D363,$B$1:$B$736,"&lt;="&amp;B363)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Iniciales'!$B$2:$B$38,D364)+SUMIFS($K$1:$K$736,$C$1:$C$736,C364,$D$1:$D$736,D364,$B$1:$B$736,"&lt;="&amp;B364)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Iniciales'!$B$2:$B$38,D365)+SUMIFS($K$1:$K$736,$C$1:$C$736,C365,$D$1:$D$736,D365,$B$1:$B$736,"&lt;="&amp;B365)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Iniciales'!$B$2:$B$38,D366)+SUMIFS($K$1:$K$736,$C$1:$C$736,C366,$D$1:$D$736,D366,$B$1:$B$736,"&lt;="&amp;B366)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Iniciales'!$B$2:$B$38,D367)+SUMIFS($K$1:$K$736,$C$1:$C$736,C367,$D$1:$D$736,D367,$B$1:$B$736,"&lt;="&amp;B367)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Iniciales'!$B$2:$B$38,D368)+SUMIFS($K$1:$K$736,$C$1:$C$736,C368,$D$1:$D$736,D368,$B$1:$B$736,"&lt;="&amp;B368)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Iniciales'!$B$2:$B$38,D369)+SUMIFS($K$1:$K$736,$C$1:$C$736,C369,$D$1:$D$736,D369,$B$1:$B$736,"&lt;="&amp;B369)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Iniciales'!$B$2:$B$38,D370)+SUMIFS($K$1:$K$736,$C$1:$C$736,C370,$D$1:$D$736,D370,$B$1:$B$736,"&lt;="&amp;B370)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Iniciales'!$B$2:$B$38,D371)+SUMIFS($K$1:$K$736,$C$1:$C$736,C371,$D$1:$D$736,D371,$B$1:$B$736,"&lt;="&amp;B371)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Iniciales'!$B$2:$B$38,D372)+SUMIFS($K$1:$K$736,$C$1:$C$736,C372,$D$1:$D$736,D372,$B$1:$B$736,"&lt;="&amp;B372)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Iniciales'!$B$2:$B$38,D373)+SUMIFS($K$1:$K$736,$C$1:$C$736,C373,$D$1:$D$736,D373,$B$1:$B$736,"&lt;="&amp;B373)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Iniciales'!$B$2:$B$38,D374)+SUMIFS($K$1:$K$736,$C$1:$C$736,C374,$D$1:$D$736,D374,$B$1:$B$736,"&lt;="&amp;B374)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Iniciales'!$B$2:$B$38,D375)+SUMIFS($K$1:$K$736,$C$1:$C$736,C375,$D$1:$D$736,D375,$B$1:$B$736,"&lt;="&amp;B375)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Iniciales'!$B$2:$B$38,D376)+SUMIFS($K$1:$K$736,$C$1:$C$736,C376,$D$1:$D$736,D376,$B$1:$B$736,"&lt;="&amp;B376)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Iniciales'!$B$2:$B$38,D377)+SUMIFS($K$1:$K$736,$C$1:$C$736,C377,$D$1:$D$736,D377,$B$1:$B$736,"&lt;="&amp;B377)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Iniciales'!$B$2:$B$38,D378)+SUMIFS($K$1:$K$736,$C$1:$C$736,C378,$D$1:$D$736,D378,$B$1:$B$736,"&lt;="&amp;B378)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Iniciales'!$B$2:$B$38,D379)+SUMIFS($K$1:$K$736,$C$1:$C$736,C379,$D$1:$D$736,D379,$B$1:$B$736,"&lt;="&amp;B379)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Iniciales'!$B$2:$B$38,D380)+SUMIFS($K$1:$K$736,$C$1:$C$736,C380,$D$1:$D$736,D380,$B$1:$B$736,"&lt;="&amp;B380)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Iniciales'!$B$2:$B$38,D381)+SUMIFS($K$1:$K$736,$C$1:$C$736,C381,$D$1:$D$736,D381,$B$1:$B$736,"&lt;="&amp;B381)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Iniciales'!$B$2:$B$38,D382)+SUMIFS($K$1:$K$736,$C$1:$C$736,C382,$D$1:$D$736,D382,$B$1:$B$736,"&lt;="&amp;B382)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Iniciales'!$B$2:$B$38,D383)+SUMIFS($K$1:$K$736,$C$1:$C$736,C383,$D$1:$D$736,D383,$B$1:$B$736,"&lt;="&amp;B383)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Iniciales'!$B$2:$B$38,D384)+SUMIFS($K$1:$K$736,$C$1:$C$736,C384,$D$1:$D$736,D384,$B$1:$B$736,"&lt;="&amp;B384)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Iniciales'!$B$2:$B$38,D385)+SUMIFS($K$1:$K$736,$C$1:$C$736,C385,$D$1:$D$736,D385,$B$1:$B$736,"&lt;="&amp;B385)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Iniciales'!$B$2:$B$38,D386)+SUMIFS($K$1:$K$736,$C$1:$C$736,C386,$D$1:$D$736,D386,$B$1:$B$736,"&lt;="&amp;B386)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Iniciales'!$B$2:$B$38,D387)+SUMIFS($K$1:$K$736,$C$1:$C$736,C387,$D$1:$D$736,D387,$B$1:$B$736,"&lt;="&amp;B387)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Iniciales'!$B$2:$B$38,D388)+SUMIFS($K$1:$K$736,$C$1:$C$736,C388,$D$1:$D$736,D388,$B$1:$B$736,"&lt;="&amp;B388)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Iniciales'!$B$2:$B$38,D389)+SUMIFS($K$1:$K$736,$C$1:$C$736,C389,$D$1:$D$736,D389,$B$1:$B$736,"&lt;="&amp;B389)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Iniciales'!$B$2:$B$38,D390)+SUMIFS($K$1:$K$736,$C$1:$C$736,C390,$D$1:$D$736,D390,$B$1:$B$736,"&lt;="&amp;B390)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Iniciales'!$B$2:$B$38,D391)+SUMIFS($K$1:$K$736,$C$1:$C$736,C391,$D$1:$D$736,D391,$B$1:$B$736,"&lt;="&amp;B391)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Iniciales'!$B$2:$B$38,D392)+SUMIFS($K$1:$K$736,$C$1:$C$736,C392,$D$1:$D$736,D392,$B$1:$B$736,"&lt;="&amp;B392)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Iniciales'!$B$2:$B$38,D393)+SUMIFS($K$1:$K$736,$C$1:$C$736,C393,$D$1:$D$736,D393,$B$1:$B$736,"&lt;="&amp;B393)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Iniciales'!$B$2:$B$38,D394)+SUMIFS($K$1:$K$736,$C$1:$C$736,C394,$D$1:$D$736,D394,$B$1:$B$736,"&lt;="&amp;B394)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Iniciales'!$B$2:$B$38,D395)+SUMIFS($K$1:$K$736,$C$1:$C$736,C395,$D$1:$D$736,D395,$B$1:$B$736,"&lt;="&amp;B395)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Iniciales'!$B$2:$B$38,D396)+SUMIFS($K$1:$K$736,$C$1:$C$736,C396,$D$1:$D$736,D396,$B$1:$B$736,"&lt;="&amp;B396)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Iniciales'!$B$2:$B$38,D397)+SUMIFS($K$1:$K$736,$C$1:$C$736,C397,$D$1:$D$736,D397,$B$1:$B$736,"&lt;="&amp;B397)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Iniciales'!$B$2:$B$38,D398)+SUMIFS($K$1:$K$736,$C$1:$C$736,C398,$D$1:$D$736,D398,$B$1:$B$736,"&lt;="&amp;B398)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Iniciales'!$B$2:$B$38,D399)+SUMIFS($K$1:$K$736,$C$1:$C$736,C399,$D$1:$D$736,D399,$B$1:$B$736,"&lt;="&amp;B399)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Iniciales'!$B$2:$B$38,D400)+SUMIFS($K$1:$K$736,$C$1:$C$736,C400,$D$1:$D$736,D400,$B$1:$B$736,"&lt;="&amp;B400)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Iniciales'!$B$2:$B$38,D401)+SUMIFS($K$1:$K$736,$C$1:$C$736,C401,$D$1:$D$736,D401,$B$1:$B$736,"&lt;="&amp;B401)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Iniciales'!$B$2:$B$38,D402)+SUMIFS($K$1:$K$736,$C$1:$C$736,C402,$D$1:$D$736,D402,$B$1:$B$736,"&lt;="&amp;B402)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Iniciales'!$B$2:$B$38,D403)+SUMIFS($K$1:$K$736,$C$1:$C$736,C403,$D$1:$D$736,D403,$B$1:$B$736,"&lt;="&amp;B403)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Iniciales'!$B$2:$B$38,D404)+SUMIFS($K$1:$K$736,$C$1:$C$736,C404,$D$1:$D$736,D404,$B$1:$B$736,"&lt;="&amp;B404)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Iniciales'!$B$2:$B$38,D405)+SUMIFS($K$1:$K$736,$C$1:$C$736,C405,$D$1:$D$736,D405,$B$1:$B$736,"&lt;="&amp;B405)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Iniciales'!$B$2:$B$38,D406)+SUMIFS($K$1:$K$736,$C$1:$C$736,C406,$D$1:$D$736,D406,$B$1:$B$736,"&lt;="&amp;B406)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Iniciales'!$B$2:$B$38,D407)+SUMIFS($K$1:$K$736,$C$1:$C$736,C407,$D$1:$D$736,D407,$B$1:$B$736,"&lt;="&amp;B407)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Iniciales'!$B$2:$B$38,D408)+SUMIFS($K$1:$K$736,$C$1:$C$736,C408,$D$1:$D$736,D408,$B$1:$B$736,"&lt;="&amp;B408)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Iniciales'!$B$2:$B$38,D409)+SUMIFS($K$1:$K$736,$C$1:$C$736,C409,$D$1:$D$736,D409,$B$1:$B$736,"&lt;="&amp;B409)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Iniciales'!$B$2:$B$38,D410)+SUMIFS($K$1:$K$736,$C$1:$C$736,C410,$D$1:$D$736,D410,$B$1:$B$736,"&lt;="&amp;B410)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Iniciales'!$B$2:$B$38,D411)+SUMIFS($K$1:$K$736,$C$1:$C$736,C411,$D$1:$D$736,D411,$B$1:$B$736,"&lt;="&amp;B411)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Iniciales'!$B$2:$B$38,D412)+SUMIFS($K$1:$K$736,$C$1:$C$736,C412,$D$1:$D$736,D412,$B$1:$B$736,"&lt;="&amp;B412)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Iniciales'!$B$2:$B$38,D413)+SUMIFS($K$1:$K$736,$C$1:$C$736,C413,$D$1:$D$736,D413,$B$1:$B$736,"&lt;="&amp;B413)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Iniciales'!$B$2:$B$38,D414)+SUMIFS($K$1:$K$736,$C$1:$C$736,C414,$D$1:$D$736,D414,$B$1:$B$736,"&lt;="&amp;B414)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Iniciales'!$B$2:$B$38,D415)+SUMIFS($K$1:$K$736,$C$1:$C$736,C415,$D$1:$D$736,D415,$B$1:$B$736,"&lt;="&amp;B415)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Iniciales'!$B$2:$B$38,D416)+SUMIFS($K$1:$K$736,$C$1:$C$736,C416,$D$1:$D$736,D416,$B$1:$B$736,"&lt;="&amp;B416)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Iniciales'!$B$2:$B$38,D417)+SUMIFS($K$1:$K$736,$C$1:$C$736,C417,$D$1:$D$736,D417,$B$1:$B$736,"&lt;="&amp;B417)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Iniciales'!$B$2:$B$38,D418)+SUMIFS($K$1:$K$736,$C$1:$C$736,C418,$D$1:$D$736,D418,$B$1:$B$736,"&lt;="&amp;B418)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Iniciales'!$B$2:$B$38,D419)+SUMIFS($K$1:$K$736,$C$1:$C$736,C419,$D$1:$D$736,D419,$B$1:$B$736,"&lt;="&amp;B419)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Iniciales'!$B$2:$B$38,D420)+SUMIFS($K$1:$K$736,$C$1:$C$736,C420,$D$1:$D$736,D420,$B$1:$B$736,"&lt;="&amp;B420)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Iniciales'!$B$2:$B$38,D421)+SUMIFS($K$1:$K$736,$C$1:$C$736,C421,$D$1:$D$736,D421,$B$1:$B$736,"&lt;="&amp;B421)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Iniciales'!$B$2:$B$38,D422)+SUMIFS($K$1:$K$736,$C$1:$C$736,C422,$D$1:$D$736,D422,$B$1:$B$736,"&lt;="&amp;B422)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Iniciales'!$B$2:$B$38,D423)+SUMIFS($K$1:$K$736,$C$1:$C$736,C423,$D$1:$D$736,D423,$B$1:$B$736,"&lt;="&amp;B423)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Iniciales'!$B$2:$B$38,D424)+SUMIFS($K$1:$K$736,$C$1:$C$736,C424,$D$1:$D$736,D424,$B$1:$B$736,"&lt;="&amp;B424)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Iniciales'!$B$2:$B$38,D425)+SUMIFS($K$1:$K$736,$C$1:$C$736,C425,$D$1:$D$736,D425,$B$1:$B$736,"&lt;="&amp;B425)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Iniciales'!$B$2:$B$38,D426)+SUMIFS($K$1:$K$736,$C$1:$C$736,C426,$D$1:$D$736,D426,$B$1:$B$736,"&lt;="&amp;B426)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Iniciales'!$B$2:$B$38,D427)+SUMIFS($K$1:$K$736,$C$1:$C$736,C427,$D$1:$D$736,D427,$B$1:$B$736,"&lt;="&amp;B427)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Iniciales'!$B$2:$B$38,D428)+SUMIFS($K$1:$K$736,$C$1:$C$736,C428,$D$1:$D$736,D428,$B$1:$B$736,"&lt;="&amp;B428)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Iniciales'!$B$2:$B$38,D429)+SUMIFS($K$1:$K$736,$C$1:$C$736,C429,$D$1:$D$736,D429,$B$1:$B$736,"&lt;="&amp;B429)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Iniciales'!$B$2:$B$38,D430)+SUMIFS($K$1:$K$736,$C$1:$C$736,C430,$D$1:$D$736,D430,$B$1:$B$736,"&lt;="&amp;B430)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Iniciales'!$B$2:$B$38,D431)+SUMIFS($K$1:$K$736,$C$1:$C$736,C431,$D$1:$D$736,D431,$B$1:$B$736,"&lt;="&amp;B431)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Iniciales'!$B$2:$B$38,D432)+SUMIFS($K$1:$K$736,$C$1:$C$736,C432,$D$1:$D$736,D432,$B$1:$B$736,"&lt;="&amp;B432)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Iniciales'!$B$2:$B$38,D433)+SUMIFS($K$1:$K$736,$C$1:$C$736,C433,$D$1:$D$736,D433,$B$1:$B$736,"&lt;="&amp;B433)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Iniciales'!$B$2:$B$38,D434)+SUMIFS($K$1:$K$736,$C$1:$C$736,C434,$D$1:$D$736,D434,$B$1:$B$736,"&lt;="&amp;B434)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Iniciales'!$B$2:$B$38,D435)+SUMIFS($K$1:$K$736,$C$1:$C$736,C435,$D$1:$D$736,D435,$B$1:$B$736,"&lt;="&amp;B435)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Iniciales'!$B$2:$B$38,D436)+SUMIFS($K$1:$K$736,$C$1:$C$736,C436,$D$1:$D$736,D436,$B$1:$B$736,"&lt;="&amp;B436)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Iniciales'!$B$2:$B$38,D437)+SUMIFS($K$1:$K$736,$C$1:$C$736,C437,$D$1:$D$736,D437,$B$1:$B$736,"&lt;="&amp;B437)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Iniciales'!$B$2:$B$38,D438)+SUMIFS($K$1:$K$736,$C$1:$C$736,C438,$D$1:$D$736,D438,$B$1:$B$736,"&lt;="&amp;B438)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Iniciales'!$B$2:$B$38,D439)+SUMIFS($K$1:$K$736,$C$1:$C$736,C439,$D$1:$D$736,D439,$B$1:$B$736,"&lt;="&amp;B439)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Iniciales'!$B$2:$B$38,D440)+SUMIFS($K$1:$K$736,$C$1:$C$736,C440,$D$1:$D$736,D440,$B$1:$B$736,"&lt;="&amp;B440)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Iniciales'!$B$2:$B$38,D441)+SUMIFS($K$1:$K$736,$C$1:$C$736,C441,$D$1:$D$736,D441,$B$1:$B$736,"&lt;="&amp;B441)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Iniciales'!$B$2:$B$38,D442)+SUMIFS($K$1:$K$736,$C$1:$C$736,C442,$D$1:$D$736,D442,$B$1:$B$736,"&lt;="&amp;B442)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Iniciales'!$B$2:$B$38,D443)+SUMIFS($K$1:$K$736,$C$1:$C$736,C443,$D$1:$D$736,D443,$B$1:$B$736,"&lt;="&amp;B443)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Iniciales'!$B$2:$B$38,D444)+SUMIFS($K$1:$K$736,$C$1:$C$736,C444,$D$1:$D$736,D444,$B$1:$B$736,"&lt;="&amp;B444)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Iniciales'!$B$2:$B$38,D445)+SUMIFS($K$1:$K$736,$C$1:$C$736,C445,$D$1:$D$736,D445,$B$1:$B$736,"&lt;="&amp;B445)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Iniciales'!$B$2:$B$38,D446)+SUMIFS($K$1:$K$736,$C$1:$C$736,C446,$D$1:$D$736,D446,$B$1:$B$736,"&lt;="&amp;B446)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Iniciales'!$B$2:$B$38,D447)+SUMIFS($K$1:$K$736,$C$1:$C$736,C447,$D$1:$D$736,D447,$B$1:$B$736,"&lt;="&amp;B447)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Iniciales'!$B$2:$B$38,D448)+SUMIFS($K$1:$K$736,$C$1:$C$736,C448,$D$1:$D$736,D448,$B$1:$B$736,"&lt;="&amp;B448)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Iniciales'!$B$2:$B$38,D449)+SUMIFS($K$1:$K$736,$C$1:$C$736,C449,$D$1:$D$736,D449,$B$1:$B$736,"&lt;="&amp;B449)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Iniciales'!$B$2:$B$38,D450)+SUMIFS($K$1:$K$736,$C$1:$C$736,C450,$D$1:$D$736,D450,$B$1:$B$736,"&lt;="&amp;B450)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Iniciales'!$B$2:$B$38,D451)+SUMIFS($K$1:$K$736,$C$1:$C$736,C451,$D$1:$D$736,D451,$B$1:$B$736,"&lt;="&amp;B451)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Iniciales'!$B$2:$B$38,D452)+SUMIFS($K$1:$K$736,$C$1:$C$736,C452,$D$1:$D$736,D452,$B$1:$B$736,"&lt;="&amp;B452)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Iniciales'!$B$2:$B$38,D453)+SUMIFS($K$1:$K$736,$C$1:$C$736,C453,$D$1:$D$736,D453,$B$1:$B$736,"&lt;="&amp;B453)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Iniciales'!$B$2:$B$38,D454)+SUMIFS($K$1:$K$736,$C$1:$C$736,C454,$D$1:$D$736,D454,$B$1:$B$736,"&lt;="&amp;B454)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Iniciales'!$B$2:$B$38,D455)+SUMIFS($K$1:$K$736,$C$1:$C$736,C455,$D$1:$D$736,D455,$B$1:$B$736,"&lt;="&amp;B455)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Iniciales'!$B$2:$B$38,D456)+SUMIFS($K$1:$K$736,$C$1:$C$736,C456,$D$1:$D$736,D456,$B$1:$B$736,"&lt;="&amp;B456)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Iniciales'!$B$2:$B$38,D457)+SUMIFS($K$1:$K$736,$C$1:$C$736,C457,$D$1:$D$736,D457,$B$1:$B$736,"&lt;="&amp;B457)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Iniciales'!$B$2:$B$38,D458)+SUMIFS($K$1:$K$736,$C$1:$C$736,C458,$D$1:$D$736,D458,$B$1:$B$736,"&lt;="&amp;B458)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Iniciales'!$B$2:$B$38,D459)+SUMIFS($K$1:$K$736,$C$1:$C$736,C459,$D$1:$D$736,D459,$B$1:$B$736,"&lt;="&amp;B459)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Iniciales'!$B$2:$B$38,D460)+SUMIFS($K$1:$K$736,$C$1:$C$736,C460,$D$1:$D$736,D460,$B$1:$B$736,"&lt;="&amp;B460)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Iniciales'!$B$2:$B$38,D461)+SUMIFS($K$1:$K$736,$C$1:$C$736,C461,$D$1:$D$736,D461,$B$1:$B$736,"&lt;="&amp;B461)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Iniciales'!$B$2:$B$38,D462)+SUMIFS($K$1:$K$736,$C$1:$C$736,C462,$D$1:$D$736,D462,$B$1:$B$736,"&lt;="&amp;B462)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Iniciales'!$B$2:$B$38,D463)+SUMIFS($K$1:$K$736,$C$1:$C$736,C463,$D$1:$D$736,D463,$B$1:$B$736,"&lt;="&amp;B463)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Iniciales'!$B$2:$B$38,D464)+SUMIFS($K$1:$K$736,$C$1:$C$736,C464,$D$1:$D$736,D464,$B$1:$B$736,"&lt;="&amp;B464)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Iniciales'!$B$2:$B$38,D465)+SUMIFS($K$1:$K$736,$C$1:$C$736,C465,$D$1:$D$736,D465,$B$1:$B$736,"&lt;="&amp;B465)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Iniciales'!$B$2:$B$38,D466)+SUMIFS($K$1:$K$736,$C$1:$C$736,C466,$D$1:$D$736,D466,$B$1:$B$736,"&lt;="&amp;B466)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Iniciales'!$B$2:$B$38,D467)+SUMIFS($K$1:$K$736,$C$1:$C$736,C467,$D$1:$D$736,D467,$B$1:$B$736,"&lt;="&amp;B467)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Iniciales'!$B$2:$B$38,D468)+SUMIFS($K$1:$K$736,$C$1:$C$736,C468,$D$1:$D$736,D468,$B$1:$B$736,"&lt;="&amp;B468)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Iniciales'!$B$2:$B$38,D469)+SUMIFS($K$1:$K$736,$C$1:$C$736,C469,$D$1:$D$736,D469,$B$1:$B$736,"&lt;="&amp;B469)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Iniciales'!$B$2:$B$38,D470)+SUMIFS($K$1:$K$736,$C$1:$C$736,C470,$D$1:$D$736,D470,$B$1:$B$736,"&lt;="&amp;B470)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Iniciales'!$B$2:$B$38,D471)+SUMIFS($K$1:$K$736,$C$1:$C$736,C471,$D$1:$D$736,D471,$B$1:$B$736,"&lt;="&amp;B471)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Iniciales'!$B$2:$B$38,D472)+SUMIFS($K$1:$K$736,$C$1:$C$736,C472,$D$1:$D$736,D472,$B$1:$B$736,"&lt;="&amp;B472)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Iniciales'!$B$2:$B$38,D473)+SUMIFS($K$1:$K$736,$C$1:$C$736,C473,$D$1:$D$736,D473,$B$1:$B$736,"&lt;="&amp;B473)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Iniciales'!$B$2:$B$38,D474)+SUMIFS($K$1:$K$736,$C$1:$C$736,C474,$D$1:$D$736,D474,$B$1:$B$736,"&lt;="&amp;B474)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Iniciales'!$B$2:$B$38,D475)+SUMIFS($K$1:$K$736,$C$1:$C$736,C475,$D$1:$D$736,D475,$B$1:$B$736,"&lt;="&amp;B475)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Iniciales'!$B$2:$B$38,D476)+SUMIFS($K$1:$K$736,$C$1:$C$736,C476,$D$1:$D$736,D476,$B$1:$B$736,"&lt;="&amp;B476)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Iniciales'!$B$2:$B$38,D477)+SUMIFS($K$1:$K$736,$C$1:$C$736,C477,$D$1:$D$736,D477,$B$1:$B$736,"&lt;="&amp;B477)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Iniciales'!$B$2:$B$38,D478)+SUMIFS($K$1:$K$736,$C$1:$C$736,C478,$D$1:$D$736,D478,$B$1:$B$736,"&lt;="&amp;B478)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Iniciales'!$B$2:$B$38,D479)+SUMIFS($K$1:$K$736,$C$1:$C$736,C479,$D$1:$D$736,D479,$B$1:$B$736,"&lt;="&amp;B479)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Iniciales'!$B$2:$B$38,D480)+SUMIFS($K$1:$K$736,$C$1:$C$736,C480,$D$1:$D$736,D480,$B$1:$B$736,"&lt;="&amp;B480)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Iniciales'!$B$2:$B$38,D481)+SUMIFS($K$1:$K$736,$C$1:$C$736,C481,$D$1:$D$736,D481,$B$1:$B$736,"&lt;="&amp;B481)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Iniciales'!$B$2:$B$38,D482)+SUMIFS($K$1:$K$736,$C$1:$C$736,C482,$D$1:$D$736,D482,$B$1:$B$736,"&lt;="&amp;B482)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Iniciales'!$B$2:$B$38,D483)+SUMIFS($K$1:$K$736,$C$1:$C$736,C483,$D$1:$D$736,D483,$B$1:$B$736,"&lt;="&amp;B483)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Iniciales'!$B$2:$B$38,D484)+SUMIFS($K$1:$K$736,$C$1:$C$736,C484,$D$1:$D$736,D484,$B$1:$B$736,"&lt;="&amp;B484)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Iniciales'!$B$2:$B$38,D485)+SUMIFS($K$1:$K$736,$C$1:$C$736,C485,$D$1:$D$736,D485,$B$1:$B$736,"&lt;="&amp;B485)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Iniciales'!$B$2:$B$38,D486)+SUMIFS($K$1:$K$736,$C$1:$C$736,C486,$D$1:$D$736,D486,$B$1:$B$736,"&lt;="&amp;B486)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Iniciales'!$B$2:$B$38,D487)+SUMIFS($K$1:$K$736,$C$1:$C$736,C487,$D$1:$D$736,D487,$B$1:$B$736,"&lt;="&amp;B487)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Iniciales'!$B$2:$B$38,D488)+SUMIFS($K$1:$K$736,$C$1:$C$736,C488,$D$1:$D$736,D488,$B$1:$B$736,"&lt;="&amp;B488)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Iniciales'!$B$2:$B$38,D489)+SUMIFS($K$1:$K$736,$C$1:$C$736,C489,$D$1:$D$736,D489,$B$1:$B$736,"&lt;="&amp;B489)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Iniciales'!$B$2:$B$38,D490)+SUMIFS($K$1:$K$736,$C$1:$C$736,C490,$D$1:$D$736,D490,$B$1:$B$736,"&lt;="&amp;B490)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Iniciales'!$B$2:$B$38,D491)+SUMIFS($K$1:$K$736,$C$1:$C$736,C491,$D$1:$D$736,D491,$B$1:$B$736,"&lt;="&amp;B491)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Iniciales'!$B$2:$B$38,D492)+SUMIFS($K$1:$K$736,$C$1:$C$736,C492,$D$1:$D$736,D492,$B$1:$B$736,"&lt;="&amp;B492)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Iniciales'!$B$2:$B$38,D493)+SUMIFS($K$1:$K$736,$C$1:$C$736,C493,$D$1:$D$736,D493,$B$1:$B$736,"&lt;="&amp;B493)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Iniciales'!$B$2:$B$38,D494)+SUMIFS($K$1:$K$736,$C$1:$C$736,C494,$D$1:$D$736,D494,$B$1:$B$736,"&lt;="&amp;B494)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Iniciales'!$B$2:$B$38,D495)+SUMIFS($K$1:$K$736,$C$1:$C$736,C495,$D$1:$D$736,D495,$B$1:$B$736,"&lt;="&amp;B495)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Iniciales'!$B$2:$B$38,D496)+SUMIFS($K$1:$K$736,$C$1:$C$736,C496,$D$1:$D$736,D496,$B$1:$B$736,"&lt;="&amp;B496)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Iniciales'!$B$2:$B$38,D497)+SUMIFS($K$1:$K$736,$C$1:$C$736,C497,$D$1:$D$736,D497,$B$1:$B$736,"&lt;="&amp;B497)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Iniciales'!$B$2:$B$38,D498)+SUMIFS($K$1:$K$736,$C$1:$C$736,C498,$D$1:$D$736,D498,$B$1:$B$736,"&lt;="&amp;B498)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Iniciales'!$B$2:$B$38,D499)+SUMIFS($K$1:$K$736,$C$1:$C$736,C499,$D$1:$D$736,D499,$B$1:$B$736,"&lt;="&amp;B499)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Iniciales'!$B$2:$B$38,D500)+SUMIFS($K$1:$K$736,$C$1:$C$736,C500,$D$1:$D$736,D500,$B$1:$B$736,"&lt;="&amp;B500)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Iniciales'!$B$2:$B$38,D501)+SUMIFS($K$1:$K$736,$C$1:$C$736,C501,$D$1:$D$736,D501,$B$1:$B$736,"&lt;="&amp;B501)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Iniciales'!$B$2:$B$38,D502)+SUMIFS($K$1:$K$736,$C$1:$C$736,C502,$D$1:$D$736,D502,$B$1:$B$736,"&lt;="&amp;B502)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Iniciales'!$B$2:$B$38,D503)+SUMIFS($K$1:$K$736,$C$1:$C$736,C503,$D$1:$D$736,D503,$B$1:$B$736,"&lt;="&amp;B503)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Iniciales'!$B$2:$B$38,D504)+SUMIFS($K$1:$K$736,$C$1:$C$736,C504,$D$1:$D$736,D504,$B$1:$B$736,"&lt;="&amp;B504)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Iniciales'!$B$2:$B$38,D505)+SUMIFS($K$1:$K$736,$C$1:$C$736,C505,$D$1:$D$736,D505,$B$1:$B$736,"&lt;="&amp;B505)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Iniciales'!$B$2:$B$38,D506)+SUMIFS($K$1:$K$736,$C$1:$C$736,C506,$D$1:$D$736,D506,$B$1:$B$736,"&lt;="&amp;B506)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Iniciales'!$B$2:$B$38,D507)+SUMIFS($K$1:$K$736,$C$1:$C$736,C507,$D$1:$D$736,D507,$B$1:$B$736,"&lt;="&amp;B507)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Iniciales'!$B$2:$B$38,D508)+SUMIFS($K$1:$K$736,$C$1:$C$736,C508,$D$1:$D$736,D508,$B$1:$B$736,"&lt;="&amp;B508)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Iniciales'!$B$2:$B$38,D509)+SUMIFS($K$1:$K$736,$C$1:$C$736,C509,$D$1:$D$736,D509,$B$1:$B$736,"&lt;="&amp;B509)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Iniciales'!$B$2:$B$38,D510)+SUMIFS($K$1:$K$736,$C$1:$C$736,C510,$D$1:$D$736,D510,$B$1:$B$736,"&lt;="&amp;B510)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Iniciales'!$B$2:$B$38,D511)+SUMIFS($K$1:$K$736,$C$1:$C$736,C511,$D$1:$D$736,D511,$B$1:$B$736,"&lt;="&amp;B511)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Iniciales'!$B$2:$B$38,D512)+SUMIFS($K$1:$K$736,$C$1:$C$736,C512,$D$1:$D$736,D512,$B$1:$B$736,"&lt;="&amp;B512)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Iniciales'!$B$2:$B$38,D513)+SUMIFS($K$1:$K$736,$C$1:$C$736,C513,$D$1:$D$736,D513,$B$1:$B$736,"&lt;="&amp;B513)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Iniciales'!$B$2:$B$38,D514)+SUMIFS($K$1:$K$736,$C$1:$C$736,C514,$D$1:$D$736,D514,$B$1:$B$736,"&lt;="&amp;B514)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Iniciales'!$B$2:$B$38,D515)+SUMIFS($K$1:$K$736,$C$1:$C$736,C515,$D$1:$D$736,D515,$B$1:$B$736,"&lt;="&amp;B515)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Iniciales'!$B$2:$B$38,D516)+SUMIFS($K$1:$K$736,$C$1:$C$736,C516,$D$1:$D$736,D516,$B$1:$B$736,"&lt;="&amp;B516)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Iniciales'!$B$2:$B$38,D517)+SUMIFS($K$1:$K$736,$C$1:$C$736,C517,$D$1:$D$736,D517,$B$1:$B$736,"&lt;="&amp;B517)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Iniciales'!$B$2:$B$38,D518)+SUMIFS($K$1:$K$736,$C$1:$C$736,C518,$D$1:$D$736,D518,$B$1:$B$736,"&lt;="&amp;B518)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Iniciales'!$B$2:$B$38,D519)+SUMIFS($K$1:$K$736,$C$1:$C$736,C519,$D$1:$D$736,D519,$B$1:$B$736,"&lt;="&amp;B519)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Iniciales'!$B$2:$B$38,D520)+SUMIFS($K$1:$K$736,$C$1:$C$736,C520,$D$1:$D$736,D520,$B$1:$B$736,"&lt;="&amp;B520)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Iniciales'!$B$2:$B$38,D521)+SUMIFS($K$1:$K$736,$C$1:$C$736,C521,$D$1:$D$736,D521,$B$1:$B$736,"&lt;="&amp;B521)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Iniciales'!$B$2:$B$38,D522)+SUMIFS($K$1:$K$736,$C$1:$C$736,C522,$D$1:$D$736,D522,$B$1:$B$736,"&lt;="&amp;B522)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Iniciales'!$B$2:$B$38,D523)+SUMIFS($K$1:$K$736,$C$1:$C$736,C523,$D$1:$D$736,D523,$B$1:$B$736,"&lt;="&amp;B523)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Iniciales'!$B$2:$B$38,D524)+SUMIFS($K$1:$K$736,$C$1:$C$736,C524,$D$1:$D$736,D524,$B$1:$B$736,"&lt;="&amp;B524)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Iniciales'!$B$2:$B$38,D525)+SUMIFS($K$1:$K$736,$C$1:$C$736,C525,$D$1:$D$736,D525,$B$1:$B$736,"&lt;="&amp;B525)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Iniciales'!$B$2:$B$38,D526)+SUMIFS($K$1:$K$736,$C$1:$C$736,C526,$D$1:$D$736,D526,$B$1:$B$736,"&lt;="&amp;B526)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Iniciales'!$B$2:$B$38,D527)+SUMIFS($K$1:$K$736,$C$1:$C$736,C527,$D$1:$D$736,D527,$B$1:$B$736,"&lt;="&amp;B527)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Iniciales'!$B$2:$B$38,D528)+SUMIFS($K$1:$K$736,$C$1:$C$736,C528,$D$1:$D$736,D528,$B$1:$B$736,"&lt;="&amp;B528)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Iniciales'!$B$2:$B$38,D529)+SUMIFS($K$1:$K$736,$C$1:$C$736,C529,$D$1:$D$736,D529,$B$1:$B$736,"&lt;="&amp;B529)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Iniciales'!$B$2:$B$38,D530)+SUMIFS($K$1:$K$736,$C$1:$C$736,C530,$D$1:$D$736,D530,$B$1:$B$736,"&lt;="&amp;B530)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Iniciales'!$B$2:$B$38,D531)+SUMIFS($K$1:$K$736,$C$1:$C$736,C531,$D$1:$D$736,D531,$B$1:$B$736,"&lt;="&amp;B531)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Iniciales'!$B$2:$B$38,D532)+SUMIFS($K$1:$K$736,$C$1:$C$736,C532,$D$1:$D$736,D532,$B$1:$B$736,"&lt;="&amp;B532)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Iniciales'!$B$2:$B$38,D533)+SUMIFS($K$1:$K$736,$C$1:$C$736,C533,$D$1:$D$736,D533,$B$1:$B$736,"&lt;="&amp;B533)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Iniciales'!$B$2:$B$38,D534)+SUMIFS($K$1:$K$736,$C$1:$C$736,C534,$D$1:$D$736,D534,$B$1:$B$736,"&lt;="&amp;B534)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Iniciales'!$B$2:$B$38,D535)+SUMIFS($K$1:$K$736,$C$1:$C$736,C535,$D$1:$D$736,D535,$B$1:$B$736,"&lt;="&amp;B535)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Iniciales'!$B$2:$B$38,D536)+SUMIFS($K$1:$K$736,$C$1:$C$736,C536,$D$1:$D$736,D536,$B$1:$B$736,"&lt;="&amp;B536)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Iniciales'!$B$2:$B$38,D537)+SUMIFS($K$1:$K$736,$C$1:$C$736,C537,$D$1:$D$736,D537,$B$1:$B$736,"&lt;="&amp;B537)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Iniciales'!$B$2:$B$38,D538)+SUMIFS($K$1:$K$736,$C$1:$C$736,C538,$D$1:$D$736,D538,$B$1:$B$736,"&lt;="&amp;B538)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Iniciales'!$B$2:$B$38,D539)+SUMIFS($K$1:$K$736,$C$1:$C$736,C539,$D$1:$D$736,D539,$B$1:$B$736,"&lt;="&amp;B539)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Iniciales'!$B$2:$B$38,D540)+SUMIFS($K$1:$K$736,$C$1:$C$736,C540,$D$1:$D$736,D540,$B$1:$B$736,"&lt;="&amp;B540)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Iniciales'!$B$2:$B$38,D541)+SUMIFS($K$1:$K$736,$C$1:$C$736,C541,$D$1:$D$736,D541,$B$1:$B$736,"&lt;="&amp;B541)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Iniciales'!$B$2:$B$38,D542)+SUMIFS($K$1:$K$736,$C$1:$C$736,C542,$D$1:$D$736,D542,$B$1:$B$736,"&lt;="&amp;B542)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Iniciales'!$B$2:$B$38,D543)+SUMIFS($K$1:$K$736,$C$1:$C$736,C543,$D$1:$D$736,D543,$B$1:$B$736,"&lt;="&amp;B543)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Iniciales'!$B$2:$B$38,D544)+SUMIFS($K$1:$K$736,$C$1:$C$736,C544,$D$1:$D$736,D544,$B$1:$B$736,"&lt;="&amp;B544)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Iniciales'!$B$2:$B$38,D545)+SUMIFS($K$1:$K$736,$C$1:$C$736,C545,$D$1:$D$736,D545,$B$1:$B$736,"&lt;="&amp;B545)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Iniciales'!$B$2:$B$38,D546)+SUMIFS($K$1:$K$736,$C$1:$C$736,C546,$D$1:$D$736,D546,$B$1:$B$736,"&lt;="&amp;B546)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Iniciales'!$B$2:$B$38,D547)+SUMIFS($K$1:$K$736,$C$1:$C$736,C547,$D$1:$D$736,D547,$B$1:$B$736,"&lt;="&amp;B547)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Iniciales'!$B$2:$B$38,D548)+SUMIFS($K$1:$K$736,$C$1:$C$736,C548,$D$1:$D$736,D548,$B$1:$B$736,"&lt;="&amp;B548)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Iniciales'!$B$2:$B$38,D549)+SUMIFS($K$1:$K$736,$C$1:$C$736,C549,$D$1:$D$736,D549,$B$1:$B$736,"&lt;="&amp;B549)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Iniciales'!$B$2:$B$38,D550)+SUMIFS($K$1:$K$736,$C$1:$C$736,C550,$D$1:$D$736,D550,$B$1:$B$736,"&lt;="&amp;B550)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Iniciales'!$B$2:$B$38,D551)+SUMIFS($K$1:$K$736,$C$1:$C$736,C551,$D$1:$D$736,D551,$B$1:$B$736,"&lt;="&amp;B551)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Iniciales'!$B$2:$B$38,D552)+SUMIFS($K$1:$K$736,$C$1:$C$736,C552,$D$1:$D$736,D552,$B$1:$B$736,"&lt;="&amp;B552)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Iniciales'!$B$2:$B$38,D553)+SUMIFS($K$1:$K$736,$C$1:$C$736,C553,$D$1:$D$736,D553,$B$1:$B$736,"&lt;="&amp;B553)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Iniciales'!$B$2:$B$38,D554)+SUMIFS($K$1:$K$736,$C$1:$C$736,C554,$D$1:$D$736,D554,$B$1:$B$736,"&lt;="&amp;B554)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Iniciales'!$B$2:$B$38,D555)+SUMIFS($K$1:$K$736,$C$1:$C$736,C555,$D$1:$D$736,D555,$B$1:$B$736,"&lt;="&amp;B555)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Iniciales'!$B$2:$B$38,D556)+SUMIFS($K$1:$K$736,$C$1:$C$736,C556,$D$1:$D$736,D556,$B$1:$B$736,"&lt;="&amp;B556)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Iniciales'!$B$2:$B$38,D557)+SUMIFS($K$1:$K$736,$C$1:$C$736,C557,$D$1:$D$736,D557,$B$1:$B$736,"&lt;="&amp;B557)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Iniciales'!$B$2:$B$38,D558)+SUMIFS($K$1:$K$736,$C$1:$C$736,C558,$D$1:$D$736,D558,$B$1:$B$736,"&lt;="&amp;B558)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Iniciales'!$B$2:$B$38,D559)+SUMIFS($K$1:$K$736,$C$1:$C$736,C559,$D$1:$D$736,D559,$B$1:$B$736,"&lt;="&amp;B559)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Iniciales'!$B$2:$B$38,D560)+SUMIFS($K$1:$K$736,$C$1:$C$736,C560,$D$1:$D$736,D560,$B$1:$B$736,"&lt;="&amp;B560)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Iniciales'!$B$2:$B$38,D561)+SUMIFS($K$1:$K$736,$C$1:$C$736,C561,$D$1:$D$736,D561,$B$1:$B$736,"&lt;="&amp;B561)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Iniciales'!$B$2:$B$38,D562)+SUMIFS($K$1:$K$736,$C$1:$C$736,C562,$D$1:$D$736,D562,$B$1:$B$736,"&lt;="&amp;B562)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Iniciales'!$B$2:$B$38,D563)+SUMIFS($K$1:$K$736,$C$1:$C$736,C563,$D$1:$D$736,D563,$B$1:$B$736,"&lt;="&amp;B563)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Iniciales'!$B$2:$B$38,D564)+SUMIFS($K$1:$K$736,$C$1:$C$736,C564,$D$1:$D$736,D564,$B$1:$B$736,"&lt;="&amp;B564)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Iniciales'!$B$2:$B$38,D565)+SUMIFS($K$1:$K$736,$C$1:$C$736,C565,$D$1:$D$736,D565,$B$1:$B$736,"&lt;="&amp;B565)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Iniciales'!$B$2:$B$38,D566)+SUMIFS($K$1:$K$736,$C$1:$C$736,C566,$D$1:$D$736,D566,$B$1:$B$736,"&lt;="&amp;B566)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Iniciales'!$B$2:$B$38,D567)+SUMIFS($K$1:$K$736,$C$1:$C$736,C567,$D$1:$D$736,D567,$B$1:$B$736,"&lt;="&amp;B567)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Iniciales'!$B$2:$B$38,D568)+SUMIFS($K$1:$K$736,$C$1:$C$736,C568,$D$1:$D$736,D568,$B$1:$B$736,"&lt;="&amp;B568)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Iniciales'!$B$2:$B$38,D569)+SUMIFS($K$1:$K$736,$C$1:$C$736,C569,$D$1:$D$736,D569,$B$1:$B$736,"&lt;="&amp;B569)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Iniciales'!$B$2:$B$38,D570)+SUMIFS($K$1:$K$736,$C$1:$C$736,C570,$D$1:$D$736,D570,$B$1:$B$736,"&lt;="&amp;B570)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Iniciales'!$B$2:$B$38,D571)+SUMIFS($K$1:$K$736,$C$1:$C$736,C571,$D$1:$D$736,D571,$B$1:$B$736,"&lt;="&amp;B571)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Iniciales'!$B$2:$B$38,D572)+SUMIFS($K$1:$K$736,$C$1:$C$736,C572,$D$1:$D$736,D572,$B$1:$B$736,"&lt;="&amp;B572)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Iniciales'!$B$2:$B$38,D573)+SUMIFS($K$1:$K$736,$C$1:$C$736,C573,$D$1:$D$736,D573,$B$1:$B$736,"&lt;="&amp;B573)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Iniciales'!$B$2:$B$38,D574)+SUMIFS($K$1:$K$736,$C$1:$C$736,C574,$D$1:$D$736,D574,$B$1:$B$736,"&lt;="&amp;B574)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Iniciales'!$B$2:$B$38,D575)+SUMIFS($K$1:$K$736,$C$1:$C$736,C575,$D$1:$D$736,D575,$B$1:$B$736,"&lt;="&amp;B575)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Iniciales'!$B$2:$B$38,D576)+SUMIFS($K$1:$K$736,$C$1:$C$736,C576,$D$1:$D$736,D576,$B$1:$B$736,"&lt;="&amp;B576)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Iniciales'!$B$2:$B$38,D577)+SUMIFS($K$1:$K$736,$C$1:$C$736,C577,$D$1:$D$736,D577,$B$1:$B$736,"&lt;="&amp;B577)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Iniciales'!$B$2:$B$38,D578)+SUMIFS($K$1:$K$736,$C$1:$C$736,C578,$D$1:$D$736,D578,$B$1:$B$736,"&lt;="&amp;B578)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Iniciales'!$B$2:$B$38,D579)+SUMIFS($K$1:$K$736,$C$1:$C$736,C579,$D$1:$D$736,D579,$B$1:$B$736,"&lt;="&amp;B579)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Iniciales'!$B$2:$B$38,D580)+SUMIFS($K$1:$K$736,$C$1:$C$736,C580,$D$1:$D$736,D580,$B$1:$B$736,"&lt;="&amp;B580)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3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Iniciales'!$B$2:$B$38,D581)+SUMIFS($K$1:$K$736,$C$1:$C$736,C581,$D$1:$D$736,D581,$B$1:$B$736,"&lt;="&amp;B581)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Iniciales'!$B$2:$B$38,D582)+SUMIFS($K$1:$K$736,$C$1:$C$736,C582,$D$1:$D$736,D582,$B$1:$B$736,"&lt;="&amp;B582)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12"/>
        <v>32950.239999999998</v>
      </c>
      <c r="L583" s="15" t="s">
        <v>129</v>
      </c>
      <c r="M583" s="44">
        <f>SUMIFS('Saldos Iniciales'!$D$2:$D$38,'Saldos Iniciales'!$A$2:$A$38,C583,'Saldos Iniciales'!$B$2:$B$38,D583)+SUMIFS($K$1:$K$736,$C$1:$C$736,C583,$D$1:$D$736,D583,$B$1:$B$736,"&lt;="&amp;B583)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ref="K584:K614" si="13"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Iniciales'!$B$2:$B$38,D584)+SUMIFS($K$1:$K$736,$C$1:$C$736,C584,$D$1:$D$736,D584,$B$1:$B$736,"&lt;="&amp;B584)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13"/>
        <v>-15000</v>
      </c>
      <c r="L585" s="15" t="s">
        <v>129</v>
      </c>
      <c r="M585" s="44">
        <f>SUMIFS('Saldos Iniciales'!$D$2:$D$38,'Saldos Iniciales'!$A$2:$A$38,C585,'Saldos Iniciales'!$B$2:$B$38,D585)+SUMIFS($K$1:$K$736,$C$1:$C$736,C585,$D$1:$D$736,D585,$B$1:$B$736,"&lt;="&amp;B585)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13"/>
        <v>5000</v>
      </c>
      <c r="L586" s="15" t="s">
        <v>129</v>
      </c>
      <c r="M586" s="44">
        <f>SUMIFS('Saldos Iniciales'!$D$2:$D$38,'Saldos Iniciales'!$A$2:$A$38,C586,'Saldos Iniciales'!$B$2:$B$38,D586)+SUMIFS($K$1:$K$736,$C$1:$C$736,C586,$D$1:$D$736,D586,$B$1:$B$736,"&lt;="&amp;B586)</f>
        <v>5293.5800000000008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13"/>
        <v>-205.5</v>
      </c>
      <c r="L587" s="15" t="s">
        <v>129</v>
      </c>
      <c r="M587" s="44">
        <f>SUMIFS('Saldos Iniciales'!$D$2:$D$38,'Saldos Iniciales'!$A$2:$A$38,C587,'Saldos Iniciales'!$B$2:$B$38,D587)+SUMIFS($K$1:$K$736,$C$1:$C$736,C587,$D$1:$D$736,D587,$B$1:$B$736,"&lt;="&amp;B587)</f>
        <v>5293.5800000000008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13"/>
        <v>-84</v>
      </c>
      <c r="L588" s="15" t="s">
        <v>129</v>
      </c>
      <c r="M588" s="44">
        <f>SUMIFS('Saldos Iniciales'!$D$2:$D$38,'Saldos Iniciales'!$A$2:$A$38,C588,'Saldos Iniciales'!$B$2:$B$38,D588)+SUMIFS($K$1:$K$736,$C$1:$C$736,C588,$D$1:$D$736,D588,$B$1:$B$736,"&lt;="&amp;B588)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13"/>
        <v>-10000</v>
      </c>
      <c r="L589" s="15" t="s">
        <v>129</v>
      </c>
      <c r="M589" s="44">
        <f>SUMIFS('Saldos Iniciales'!$D$2:$D$38,'Saldos Iniciales'!$A$2:$A$38,C589,'Saldos Iniciales'!$B$2:$B$38,D589)+SUMIFS($K$1:$K$736,$C$1:$C$736,C589,$D$1:$D$736,D589,$B$1:$B$736,"&lt;="&amp;B589)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13"/>
        <v>-10833.33</v>
      </c>
      <c r="L590" s="15" t="s">
        <v>129</v>
      </c>
      <c r="M590" s="44">
        <f>SUMIFS('Saldos Iniciales'!$D$2:$D$38,'Saldos Iniciales'!$A$2:$A$38,C590,'Saldos Iniciales'!$B$2:$B$38,D590)+SUMIFS($K$1:$K$736,$C$1:$C$736,C590,$D$1:$D$736,D590,$B$1:$B$736,"&lt;="&amp;B590)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13"/>
        <v>-40000</v>
      </c>
      <c r="L591" s="15" t="s">
        <v>129</v>
      </c>
      <c r="M591" s="44">
        <f>SUMIFS('Saldos Iniciales'!$D$2:$D$38,'Saldos Iniciales'!$A$2:$A$38,C591,'Saldos Iniciales'!$B$2:$B$38,D591)+SUMIFS($K$1:$K$736,$C$1:$C$736,C591,$D$1:$D$736,D591,$B$1:$B$736,"&lt;="&amp;B591)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13"/>
        <v>-50000</v>
      </c>
      <c r="L592" s="15" t="s">
        <v>129</v>
      </c>
      <c r="M592" s="44">
        <f>SUMIFS('Saldos Iniciales'!$D$2:$D$38,'Saldos Iniciales'!$A$2:$A$38,C592,'Saldos Iniciales'!$B$2:$B$38,D592)+SUMIFS($K$1:$K$736,$C$1:$C$736,C592,$D$1:$D$736,D592,$B$1:$B$736,"&lt;="&amp;B592)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13"/>
        <v>-60000</v>
      </c>
      <c r="L593" s="15" t="s">
        <v>129</v>
      </c>
      <c r="M593" s="44">
        <f>SUMIFS('Saldos Iniciales'!$D$2:$D$38,'Saldos Iniciales'!$A$2:$A$38,C593,'Saldos Iniciales'!$B$2:$B$38,D593)+SUMIFS($K$1:$K$736,$C$1:$C$736,C593,$D$1:$D$736,D593,$B$1:$B$736,"&lt;="&amp;B593)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13"/>
        <v>-68750</v>
      </c>
      <c r="L594" s="15" t="s">
        <v>129</v>
      </c>
      <c r="M594" s="44">
        <f>SUMIFS('Saldos Iniciales'!$D$2:$D$38,'Saldos Iniciales'!$A$2:$A$38,C594,'Saldos Iniciales'!$B$2:$B$38,D594)+SUMIFS($K$1:$K$736,$C$1:$C$736,C594,$D$1:$D$736,D594,$B$1:$B$736,"&lt;="&amp;B594)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13"/>
        <v>-100000</v>
      </c>
      <c r="L595" s="15" t="s">
        <v>129</v>
      </c>
      <c r="M595" s="44">
        <f>SUMIFS('Saldos Iniciales'!$D$2:$D$38,'Saldos Iniciales'!$A$2:$A$38,C595,'Saldos Iniciales'!$B$2:$B$38,D595)+SUMIFS($K$1:$K$736,$C$1:$C$736,C595,$D$1:$D$736,D595,$B$1:$B$736,"&lt;="&amp;B595)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13"/>
        <v>-500000</v>
      </c>
      <c r="L596" s="15" t="s">
        <v>129</v>
      </c>
      <c r="M596" s="44">
        <f>SUMIFS('Saldos Iniciales'!$D$2:$D$38,'Saldos Iniciales'!$A$2:$A$38,C596,'Saldos Iniciales'!$B$2:$B$38,D596)+SUMIFS($K$1:$K$736,$C$1:$C$736,C596,$D$1:$D$736,D596,$B$1:$B$736,"&lt;="&amp;B596)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13"/>
        <v>500000</v>
      </c>
      <c r="L597" s="15" t="s">
        <v>129</v>
      </c>
      <c r="M597" s="44">
        <f>SUMIFS('Saldos Iniciales'!$D$2:$D$38,'Saldos Iniciales'!$A$2:$A$38,C597,'Saldos Iniciales'!$B$2:$B$38,D597)+SUMIFS($K$1:$K$736,$C$1:$C$736,C597,$D$1:$D$736,D597,$B$1:$B$736,"&lt;="&amp;B597)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13"/>
        <v>-4939.9799999999996</v>
      </c>
      <c r="L598" s="15" t="s">
        <v>129</v>
      </c>
      <c r="M598" s="44">
        <f>SUMIFS('Saldos Iniciales'!$D$2:$D$38,'Saldos Iniciales'!$A$2:$A$38,C598,'Saldos Iniciales'!$B$2:$B$38,D598)+SUMIFS($K$1:$K$736,$C$1:$C$736,C598,$D$1:$D$736,D598,$B$1:$B$736,"&lt;="&amp;B598)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13"/>
        <v>-8666.67</v>
      </c>
      <c r="L599" s="15" t="s">
        <v>129</v>
      </c>
      <c r="M599" s="44">
        <f>SUMIFS('Saldos Iniciales'!$D$2:$D$38,'Saldos Iniciales'!$A$2:$A$38,C599,'Saldos Iniciales'!$B$2:$B$38,D599)+SUMIFS($K$1:$K$736,$C$1:$C$736,C599,$D$1:$D$736,D599,$B$1:$B$736,"&lt;="&amp;B599)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13"/>
        <v>-10753.2</v>
      </c>
      <c r="L600" s="15" t="s">
        <v>129</v>
      </c>
      <c r="M600" s="44">
        <f>SUMIFS('Saldos Iniciales'!$D$2:$D$38,'Saldos Iniciales'!$A$2:$A$38,C600,'Saldos Iniciales'!$B$2:$B$38,D600)+SUMIFS($K$1:$K$736,$C$1:$C$736,C600,$D$1:$D$736,D600,$B$1:$B$736,"&lt;="&amp;B600)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13"/>
        <v>-13300.05</v>
      </c>
      <c r="L601" s="15" t="s">
        <v>129</v>
      </c>
      <c r="M601" s="44">
        <f>SUMIFS('Saldos Iniciales'!$D$2:$D$38,'Saldos Iniciales'!$A$2:$A$38,C601,'Saldos Iniciales'!$B$2:$B$38,D601)+SUMIFS($K$1:$K$736,$C$1:$C$736,C601,$D$1:$D$736,D601,$B$1:$B$736,"&lt;="&amp;B601)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13"/>
        <v>-28686.82</v>
      </c>
      <c r="L602" s="15" t="s">
        <v>129</v>
      </c>
      <c r="M602" s="44">
        <f>SUMIFS('Saldos Iniciales'!$D$2:$D$38,'Saldos Iniciales'!$A$2:$A$38,C602,'Saldos Iniciales'!$B$2:$B$38,D602)+SUMIFS($K$1:$K$736,$C$1:$C$736,C602,$D$1:$D$736,D602,$B$1:$B$736,"&lt;="&amp;B602)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13"/>
        <v>-45833.33</v>
      </c>
      <c r="L603" s="15" t="s">
        <v>129</v>
      </c>
      <c r="M603" s="44">
        <f>SUMIFS('Saldos Iniciales'!$D$2:$D$38,'Saldos Iniciales'!$A$2:$A$38,C603,'Saldos Iniciales'!$B$2:$B$38,D603)+SUMIFS($K$1:$K$736,$C$1:$C$736,C603,$D$1:$D$736,D603,$B$1:$B$736,"&lt;="&amp;B603)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13"/>
        <v>-109199.95</v>
      </c>
      <c r="L604" s="15" t="s">
        <v>129</v>
      </c>
      <c r="M604" s="44">
        <f>SUMIFS('Saldos Iniciales'!$D$2:$D$38,'Saldos Iniciales'!$A$2:$A$38,C604,'Saldos Iniciales'!$B$2:$B$38,D604)+SUMIFS($K$1:$K$736,$C$1:$C$736,C604,$D$1:$D$736,D604,$B$1:$B$736,"&lt;="&amp;B604)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13"/>
        <v>-674.06</v>
      </c>
      <c r="L605" s="15" t="s">
        <v>129</v>
      </c>
      <c r="M605" s="44">
        <f>SUMIFS('Saldos Iniciales'!$D$2:$D$38,'Saldos Iniciales'!$A$2:$A$38,C605,'Saldos Iniciales'!$B$2:$B$38,D605)+SUMIFS($K$1:$K$736,$C$1:$C$736,C605,$D$1:$D$736,D605,$B$1:$B$736,"&lt;="&amp;B605)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13"/>
        <v>-15</v>
      </c>
      <c r="L606" s="15" t="s">
        <v>129</v>
      </c>
      <c r="M606" s="44">
        <f>SUMIFS('Saldos Iniciales'!$D$2:$D$38,'Saldos Iniciales'!$A$2:$A$38,C606,'Saldos Iniciales'!$B$2:$B$38,D606)+SUMIFS($K$1:$K$736,$C$1:$C$736,C606,$D$1:$D$736,D606,$B$1:$B$736,"&lt;="&amp;B606)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13"/>
        <v>-2500</v>
      </c>
      <c r="L607" s="15" t="s">
        <v>129</v>
      </c>
      <c r="M607" s="44">
        <f>SUMIFS('Saldos Iniciales'!$D$2:$D$38,'Saldos Iniciales'!$A$2:$A$38,C607,'Saldos Iniciales'!$B$2:$B$38,D607)+SUMIFS($K$1:$K$736,$C$1:$C$736,C607,$D$1:$D$736,D607,$B$1:$B$736,"&lt;="&amp;B607)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13"/>
        <v>-15</v>
      </c>
      <c r="L608" s="15" t="s">
        <v>129</v>
      </c>
      <c r="M608" s="44">
        <f>SUMIFS('Saldos Iniciales'!$D$2:$D$38,'Saldos Iniciales'!$A$2:$A$38,C608,'Saldos Iniciales'!$B$2:$B$38,D608)+SUMIFS($K$1:$K$736,$C$1:$C$736,C608,$D$1:$D$736,D608,$B$1:$B$736,"&lt;="&amp;B608)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13"/>
        <v>-5000</v>
      </c>
      <c r="L609" s="15" t="s">
        <v>129</v>
      </c>
      <c r="M609" s="44">
        <f>SUMIFS('Saldos Iniciales'!$D$2:$D$38,'Saldos Iniciales'!$A$2:$A$38,C609,'Saldos Iniciales'!$B$2:$B$38,D609)+SUMIFS($K$1:$K$736,$C$1:$C$736,C609,$D$1:$D$736,D609,$B$1:$B$736,"&lt;="&amp;B609)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13"/>
        <v>39989.699999999997</v>
      </c>
      <c r="L610" s="15" t="s">
        <v>129</v>
      </c>
      <c r="M610" s="44">
        <f>SUMIFS('Saldos Iniciales'!$D$2:$D$38,'Saldos Iniciales'!$A$2:$A$38,C610,'Saldos Iniciales'!$B$2:$B$38,D610)+SUMIFS($K$1:$K$736,$C$1:$C$736,C610,$D$1:$D$736,D610,$B$1:$B$736,"&lt;="&amp;B610)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13"/>
        <v>-5</v>
      </c>
      <c r="L611" s="15" t="s">
        <v>129</v>
      </c>
      <c r="M611" s="44">
        <f>SUMIFS('Saldos Iniciales'!$D$2:$D$38,'Saldos Iniciales'!$A$2:$A$38,C611,'Saldos Iniciales'!$B$2:$B$38,D611)+SUMIFS($K$1:$K$736,$C$1:$C$736,C611,$D$1:$D$736,D611,$B$1:$B$736,"&lt;="&amp;B611)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13"/>
        <v>15000</v>
      </c>
      <c r="L612" s="15" t="s">
        <v>129</v>
      </c>
      <c r="M612" s="44">
        <f>SUMIFS('Saldos Iniciales'!$D$2:$D$38,'Saldos Iniciales'!$A$2:$A$38,C612,'Saldos Iniciales'!$B$2:$B$38,D612)+SUMIFS($K$1:$K$736,$C$1:$C$736,C612,$D$1:$D$736,D612,$B$1:$B$736,"&lt;="&amp;B612)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13"/>
        <v>-185.5</v>
      </c>
      <c r="L613" s="15" t="s">
        <v>129</v>
      </c>
      <c r="M613" s="44">
        <f>SUMIFS('Saldos Iniciales'!$D$2:$D$38,'Saldos Iniciales'!$A$2:$A$38,C613,'Saldos Iniciales'!$B$2:$B$38,D613)+SUMIFS($K$1:$K$736,$C$1:$C$736,C613,$D$1:$D$736,D613,$B$1:$B$736,"&lt;="&amp;B613)</f>
        <v>5000.0000000000009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 t="shared" si="13"/>
        <v>-108.08</v>
      </c>
      <c r="L614" s="15" t="s">
        <v>129</v>
      </c>
      <c r="M614" s="44">
        <f>SUMIFS('Saldos Iniciales'!$D$2:$D$38,'Saldos Iniciales'!$A$2:$A$38,C614,'Saldos Iniciales'!$B$2:$B$38,D614)+SUMIFS($K$1:$K$736,$C$1:$C$736,C614,$D$1:$D$736,D614,$B$1:$B$736,"&lt;="&amp;B614)</f>
        <v>5000.0000000000009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 t="shared" ref="K615:K678" si="14">IF(F615="Ingreso",J615,-J615)</f>
        <v>-236.32</v>
      </c>
      <c r="L615" s="15" t="s">
        <v>129</v>
      </c>
      <c r="M615" s="44">
        <f>SUMIFS('Saldos Iniciales'!$D$2:$D$38,'Saldos Iniciales'!$A$2:$A$38,C615,'Saldos Iniciales'!$B$2:$B$38,D615)+SUMIFS($K$1:$K$736,$C$1:$C$736,C615,$D$1:$D$736,D615,$B$1:$B$736,"&lt;="&amp;B615)</f>
        <v>4598.920000000001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 t="shared" si="14"/>
        <v>-164.76</v>
      </c>
      <c r="L616" s="15" t="s">
        <v>129</v>
      </c>
      <c r="M616" s="44">
        <f>SUMIFS('Saldos Iniciales'!$D$2:$D$38,'Saldos Iniciales'!$A$2:$A$38,C616,'Saldos Iniciales'!$B$2:$B$38,D616)+SUMIFS($K$1:$K$736,$C$1:$C$736,C616,$D$1:$D$736,D616,$B$1:$B$736,"&lt;="&amp;B616)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 t="shared" si="14"/>
        <v>350000</v>
      </c>
      <c r="L617" s="15" t="s">
        <v>129</v>
      </c>
      <c r="M617" s="44">
        <f>SUMIFS('Saldos Iniciales'!$D$2:$D$38,'Saldos Iniciales'!$A$2:$A$38,C617,'Saldos Iniciales'!$B$2:$B$38,D617)+SUMIFS($K$1:$K$736,$C$1:$C$736,C617,$D$1:$D$736,D617,$B$1:$B$736,"&lt;="&amp;B617)</f>
        <v>1392744.6899999997</v>
      </c>
      <c r="N617" s="65">
        <f>IF(tblMovimientos[[#This Row],[Tipo de Movimiento]]="Ingreso",tblMovimientos[[#This Row],[Monto (S/)]],"0")</f>
        <v>350000</v>
      </c>
      <c r="O617" s="65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 t="shared" si="14"/>
        <v>4000</v>
      </c>
      <c r="L618" s="15" t="s">
        <v>129</v>
      </c>
      <c r="M618" s="44">
        <f>SUMIFS('Saldos Iniciales'!$D$2:$D$38,'Saldos Iniciales'!$A$2:$A$38,C618,'Saldos Iniciales'!$B$2:$B$38,D618)+SUMIFS($K$1:$K$736,$C$1:$C$736,C618,$D$1:$D$736,D618,$B$1:$B$736,"&lt;="&amp;B618)</f>
        <v>4459.4700000000012</v>
      </c>
      <c r="N618" s="65">
        <f>IF(tblMovimientos[[#This Row],[Tipo de Movimiento]]="Ingreso",tblMovimientos[[#This Row],[Monto (S/)]],"0")</f>
        <v>4000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 t="shared" si="14"/>
        <v>-1969.07</v>
      </c>
      <c r="L619" s="15" t="s">
        <v>129</v>
      </c>
      <c r="M619" s="44">
        <f>SUMIFS('Saldos Iniciales'!$D$2:$D$38,'Saldos Iniciales'!$A$2:$A$38,C619,'Saldos Iniciales'!$B$2:$B$38,D619)+SUMIFS($K$1:$K$736,$C$1:$C$736,C619,$D$1:$D$736,D619,$B$1:$B$736,"&lt;="&amp;B619)</f>
        <v>4459.4700000000012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 t="shared" si="14"/>
        <v>-145.56</v>
      </c>
      <c r="L620" s="15" t="s">
        <v>129</v>
      </c>
      <c r="M620" s="44">
        <f>SUMIFS('Saldos Iniciales'!$D$2:$D$38,'Saldos Iniciales'!$A$2:$A$38,C620,'Saldos Iniciales'!$B$2:$B$38,D620)+SUMIFS($K$1:$K$736,$C$1:$C$736,C620,$D$1:$D$736,D620,$B$1:$B$736,"&lt;="&amp;B620)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 t="shared" si="14"/>
        <v>-132.26</v>
      </c>
      <c r="L621" s="15" t="s">
        <v>129</v>
      </c>
      <c r="M621" s="44">
        <f>SUMIFS('Saldos Iniciales'!$D$2:$D$38,'Saldos Iniciales'!$A$2:$A$38,C621,'Saldos Iniciales'!$B$2:$B$38,D621)+SUMIFS($K$1:$K$736,$C$1:$C$736,C621,$D$1:$D$736,D621,$B$1:$B$736,"&lt;="&amp;B621)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 t="shared" si="14"/>
        <v>-1463.85</v>
      </c>
      <c r="L622" s="15" t="s">
        <v>129</v>
      </c>
      <c r="M622" s="44">
        <f>SUMIFS('Saldos Iniciales'!$D$2:$D$38,'Saldos Iniciales'!$A$2:$A$38,C622,'Saldos Iniciales'!$B$2:$B$38,D622)+SUMIFS($K$1:$K$736,$C$1:$C$736,C622,$D$1:$D$736,D622,$B$1:$B$736,"&lt;="&amp;B622)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 t="shared" si="14"/>
        <v>-74.7</v>
      </c>
      <c r="L623" s="15" t="s">
        <v>129</v>
      </c>
      <c r="M623" s="44">
        <f>SUMIFS('Saldos Iniciales'!$D$2:$D$38,'Saldos Iniciales'!$A$2:$A$38,C623,'Saldos Iniciales'!$B$2:$B$38,D623)+SUMIFS($K$1:$K$736,$C$1:$C$736,C623,$D$1:$D$736,D623,$B$1:$B$736,"&lt;="&amp;B623)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 t="shared" si="14"/>
        <v>-116.96</v>
      </c>
      <c r="L624" s="15" t="s">
        <v>129</v>
      </c>
      <c r="M624" s="44">
        <f>SUMIFS('Saldos Iniciales'!$D$2:$D$38,'Saldos Iniciales'!$A$2:$A$38,C624,'Saldos Iniciales'!$B$2:$B$38,D624)+SUMIFS($K$1:$K$736,$C$1:$C$736,C624,$D$1:$D$736,D624,$B$1:$B$736,"&lt;="&amp;B624)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 t="shared" si="14"/>
        <v>-79.430000000000007</v>
      </c>
      <c r="L625" s="15" t="s">
        <v>129</v>
      </c>
      <c r="M625" s="44">
        <f>SUMIFS('Saldos Iniciales'!$D$2:$D$38,'Saldos Iniciales'!$A$2:$A$38,C625,'Saldos Iniciales'!$B$2:$B$38,D625)+SUMIFS($K$1:$K$736,$C$1:$C$736,C625,$D$1:$D$736,D625,$B$1:$B$736,"&lt;="&amp;B625)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 t="shared" si="14"/>
        <v>-81.56</v>
      </c>
      <c r="L626" s="15" t="s">
        <v>129</v>
      </c>
      <c r="M626" s="44">
        <f>SUMIFS('Saldos Iniciales'!$D$2:$D$38,'Saldos Iniciales'!$A$2:$A$38,C626,'Saldos Iniciales'!$B$2:$B$38,D626)+SUMIFS($K$1:$K$736,$C$1:$C$736,C626,$D$1:$D$736,D626,$B$1:$B$736,"&lt;="&amp;B626)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 t="shared" si="14"/>
        <v>-76.06</v>
      </c>
      <c r="L627" s="15" t="s">
        <v>129</v>
      </c>
      <c r="M627" s="44">
        <f>SUMIFS('Saldos Iniciales'!$D$2:$D$38,'Saldos Iniciales'!$A$2:$A$38,C627,'Saldos Iniciales'!$B$2:$B$38,D627)+SUMIFS($K$1:$K$736,$C$1:$C$736,C627,$D$1:$D$736,D627,$B$1:$B$736,"&lt;="&amp;B627)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4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 t="shared" si="14"/>
        <v>-10000</v>
      </c>
      <c r="L628" s="15" t="s">
        <v>129</v>
      </c>
      <c r="M628" s="44">
        <f>SUMIFS('Saldos Iniciales'!$D$2:$D$38,'Saldos Iniciales'!$A$2:$A$38,C628,'Saldos Iniciales'!$B$2:$B$38,D628)+SUMIFS($K$1:$K$736,$C$1:$C$736,C628,$D$1:$D$736,D628,$B$1:$B$736,"&lt;="&amp;B628)</f>
        <v>81717.600000000006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14"/>
        <v>10000</v>
      </c>
      <c r="L629" s="15" t="s">
        <v>129</v>
      </c>
      <c r="M629" s="44">
        <f>SUMIFS('Saldos Iniciales'!$D$2:$D$38,'Saldos Iniciales'!$A$2:$A$38,C629,'Saldos Iniciales'!$B$2:$B$38,D629)+SUMIFS($K$1:$K$736,$C$1:$C$736,C629,$D$1:$D$736,D629,$B$1:$B$736,"&lt;="&amp;B629)</f>
        <v>345</v>
      </c>
      <c r="N629" s="65">
        <f>IF(tblMovimientos[[#This Row],[Tipo de Movimiento]]="Ingreso",tblMovimientos[[#This Row],[Monto (S/)]],"0")</f>
        <v>10000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14"/>
        <v>-10000</v>
      </c>
      <c r="L630" s="15" t="s">
        <v>129</v>
      </c>
      <c r="M630" s="44">
        <f>SUMIFS('Saldos Iniciales'!$D$2:$D$38,'Saldos Iniciales'!$A$2:$A$38,C630,'Saldos Iniciales'!$B$2:$B$38,D630)+SUMIFS($K$1:$K$736,$C$1:$C$736,C630,$D$1:$D$736,D630,$B$1:$B$736,"&lt;="&amp;B630)</f>
        <v>345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14"/>
        <v>10000</v>
      </c>
      <c r="L631" s="15" t="s">
        <v>129</v>
      </c>
      <c r="M631" s="44">
        <f>SUMIFS('Saldos Iniciales'!$D$2:$D$38,'Saldos Iniciales'!$A$2:$A$38,C631,'Saldos Iniciales'!$B$2:$B$38,D631)+SUMIFS($K$1:$K$736,$C$1:$C$736,C631,$D$1:$D$736,D631,$B$1:$B$736,"&lt;="&amp;B631)</f>
        <v>10958.709999999997</v>
      </c>
      <c r="N631" s="65">
        <f>IF(tblMovimientos[[#This Row],[Tipo de Movimiento]]="Ingreso",tblMovimientos[[#This Row],[Monto (S/)]],"0")</f>
        <v>10000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4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 t="shared" si="14"/>
        <v>-4000</v>
      </c>
      <c r="L632" s="15" t="s">
        <v>129</v>
      </c>
      <c r="M632" s="44">
        <f>SUMIFS('Saldos Iniciales'!$D$2:$D$38,'Saldos Iniciales'!$A$2:$A$38,C632,'Saldos Iniciales'!$B$2:$B$38,D632)+SUMIFS($K$1:$K$736,$C$1:$C$736,C632,$D$1:$D$736,D632,$B$1:$B$736,"&lt;="&amp;B632)</f>
        <v>10958.709999999997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 t="shared" si="14"/>
        <v>-526.75</v>
      </c>
      <c r="L633" s="15" t="s">
        <v>129</v>
      </c>
      <c r="M633" s="44">
        <f>SUMIFS('Saldos Iniciales'!$D$2:$D$38,'Saldos Iniciales'!$A$2:$A$38,C633,'Saldos Iniciales'!$B$2:$B$38,D633)+SUMIFS($K$1:$K$736,$C$1:$C$736,C633,$D$1:$D$736,D633,$B$1:$B$736,"&lt;="&amp;B633)</f>
        <v>6148.0199999999995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 t="shared" si="14"/>
        <v>-193.19</v>
      </c>
      <c r="L634" s="15" t="s">
        <v>129</v>
      </c>
      <c r="M634" s="44">
        <f>SUMIFS('Saldos Iniciales'!$D$2:$D$38,'Saldos Iniciales'!$A$2:$A$38,C634,'Saldos Iniciales'!$B$2:$B$38,D634)+SUMIFS($K$1:$K$736,$C$1:$C$736,C634,$D$1:$D$736,D634,$B$1:$B$736,"&lt;="&amp;B634)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 t="shared" si="14"/>
        <v>17345.61</v>
      </c>
      <c r="L635" s="15" t="s">
        <v>129</v>
      </c>
      <c r="M635" s="44">
        <f>SUMIFS('Saldos Iniciales'!$D$2:$D$38,'Saldos Iniciales'!$A$2:$A$38,C635,'Saldos Iniciales'!$B$2:$B$38,D635)+SUMIFS($K$1:$K$736,$C$1:$C$736,C635,$D$1:$D$736,D635,$B$1:$B$736,"&lt;="&amp;B635)</f>
        <v>1415636.7399999998</v>
      </c>
      <c r="N635" s="65">
        <f>IF(tblMovimientos[[#This Row],[Tipo de Movimiento]]="Ingreso",tblMovimientos[[#This Row],[Monto (S/)]],"0")</f>
        <v>17345.61</v>
      </c>
      <c r="O635" s="65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 t="shared" si="14"/>
        <v>5546.44</v>
      </c>
      <c r="L636" s="15" t="s">
        <v>129</v>
      </c>
      <c r="M636" s="44">
        <f>SUMIFS('Saldos Iniciales'!$D$2:$D$38,'Saldos Iniciales'!$A$2:$A$38,C636,'Saldos Iniciales'!$B$2:$B$38,D636)+SUMIFS($K$1:$K$736,$C$1:$C$736,C636,$D$1:$D$736,D636,$B$1:$B$736,"&lt;="&amp;B636)</f>
        <v>1415636.7399999998</v>
      </c>
      <c r="N636" s="65">
        <f>IF(tblMovimientos[[#This Row],[Tipo de Movimiento]]="Ingreso",tblMovimientos[[#This Row],[Monto (S/)]],"0")</f>
        <v>5546.44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 t="shared" si="14"/>
        <v>442.33</v>
      </c>
      <c r="L637" s="15" t="s">
        <v>129</v>
      </c>
      <c r="M637" s="44">
        <f>SUMIFS('Saldos Iniciales'!$D$2:$D$38,'Saldos Iniciales'!$A$2:$A$38,C637,'Saldos Iniciales'!$B$2:$B$38,D637)+SUMIFS($K$1:$K$736,$C$1:$C$736,C637,$D$1:$D$736,D637,$B$1:$B$736,"&lt;="&amp;B637)</f>
        <v>75574.12000000017</v>
      </c>
      <c r="N637" s="65">
        <f>IF(tblMovimientos[[#This Row],[Tipo de Movimiento]]="Ingreso",tblMovimientos[[#This Row],[Monto (S/)]],"0")</f>
        <v>442.33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 t="shared" si="14"/>
        <v>6974.11</v>
      </c>
      <c r="L638" s="15" t="s">
        <v>129</v>
      </c>
      <c r="M638" s="44">
        <f>SUMIFS('Saldos Iniciales'!$D$2:$D$38,'Saldos Iniciales'!$A$2:$A$38,C638,'Saldos Iniciales'!$B$2:$B$38,D638)+SUMIFS($K$1:$K$736,$C$1:$C$736,C638,$D$1:$D$736,D638,$B$1:$B$736,"&lt;="&amp;B638)</f>
        <v>75574.12000000017</v>
      </c>
      <c r="N638" s="65">
        <f>IF(tblMovimientos[[#This Row],[Tipo de Movimiento]]="Ingreso",tblMovimientos[[#This Row],[Monto (S/)]],"0")</f>
        <v>6974.11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 t="shared" si="14"/>
        <v>-237</v>
      </c>
      <c r="L639" s="15" t="s">
        <v>129</v>
      </c>
      <c r="M639" s="44">
        <f>SUMIFS('Saldos Iniciales'!$D$2:$D$38,'Saldos Iniciales'!$A$2:$A$38,C639,'Saldos Iniciales'!$B$2:$B$38,D639)+SUMIFS($K$1:$K$736,$C$1:$C$736,C639,$D$1:$D$736,D639,$B$1:$B$736,"&lt;="&amp;B639)</f>
        <v>4135.380000000001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 t="shared" si="14"/>
        <v>-87.09</v>
      </c>
      <c r="L640" s="15" t="s">
        <v>129</v>
      </c>
      <c r="M640" s="44">
        <f>SUMIFS('Saldos Iniciales'!$D$2:$D$38,'Saldos Iniciales'!$A$2:$A$38,C640,'Saldos Iniciales'!$B$2:$B$38,D640)+SUMIFS($K$1:$K$736,$C$1:$C$736,C640,$D$1:$D$736,D640,$B$1:$B$736,"&lt;="&amp;B640)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 t="shared" si="14"/>
        <v>-164160.82999999999</v>
      </c>
      <c r="L641" s="15" t="s">
        <v>129</v>
      </c>
      <c r="M641" s="44">
        <f>SUMIFS('Saldos Iniciales'!$D$2:$D$38,'Saldos Iniciales'!$A$2:$A$38,C641,'Saldos Iniciales'!$B$2:$B$38,D641)+SUMIFS($K$1:$K$736,$C$1:$C$736,C641,$D$1:$D$736,D641,$B$1:$B$736,"&lt;="&amp;B641)</f>
        <v>1035236.4499999994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 t="shared" si="14"/>
        <v>17545.53</v>
      </c>
      <c r="L642" s="15" t="s">
        <v>129</v>
      </c>
      <c r="M642" s="44">
        <f>SUMIFS('Saldos Iniciales'!$D$2:$D$38,'Saldos Iniciales'!$A$2:$A$38,C642,'Saldos Iniciales'!$B$2:$B$38,D642)+SUMIFS($K$1:$K$736,$C$1:$C$736,C642,$D$1:$D$736,D642,$B$1:$B$736,"&lt;="&amp;B642)</f>
        <v>1434634.5999999999</v>
      </c>
      <c r="N642" s="65">
        <f>IF(tblMovimientos[[#This Row],[Tipo de Movimiento]]="Ingreso",tblMovimientos[[#This Row],[Monto (S/)]],"0")</f>
        <v>17545.53</v>
      </c>
      <c r="O642" s="65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 t="shared" si="14"/>
        <v>1452.33</v>
      </c>
      <c r="L643" s="15" t="s">
        <v>129</v>
      </c>
      <c r="M643" s="44">
        <f>SUMIFS('Saldos Iniciales'!$D$2:$D$38,'Saldos Iniciales'!$A$2:$A$38,C643,'Saldos Iniciales'!$B$2:$B$38,D643)+SUMIFS($K$1:$K$736,$C$1:$C$736,C643,$D$1:$D$736,D643,$B$1:$B$736,"&lt;="&amp;B643)</f>
        <v>1434634.5999999999</v>
      </c>
      <c r="N643" s="65">
        <f>IF(tblMovimientos[[#This Row],[Tipo de Movimiento]]="Ingreso",tblMovimientos[[#This Row],[Monto (S/)]],"0")</f>
        <v>1452.33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 t="shared" si="14"/>
        <v>7471.23</v>
      </c>
      <c r="L644" s="15" t="s">
        <v>129</v>
      </c>
      <c r="M644" s="44">
        <f>SUMIFS('Saldos Iniciales'!$D$2:$D$38,'Saldos Iniciales'!$A$2:$A$38,C644,'Saldos Iniciales'!$B$2:$B$38,D644)+SUMIFS($K$1:$K$736,$C$1:$C$736,C644,$D$1:$D$736,D644,$B$1:$B$736,"&lt;="&amp;B644)</f>
        <v>35371.749999999985</v>
      </c>
      <c r="N644" s="65">
        <f>IF(tblMovimientos[[#This Row],[Tipo de Movimiento]]="Ingreso",tblMovimientos[[#This Row],[Monto (S/)]],"0")</f>
        <v>7471.23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 t="shared" si="14"/>
        <v>7317.16</v>
      </c>
      <c r="L645" s="15" t="s">
        <v>129</v>
      </c>
      <c r="M645" s="44">
        <f>SUMIFS('Saldos Iniciales'!$D$2:$D$38,'Saldos Iniciales'!$A$2:$A$38,C645,'Saldos Iniciales'!$B$2:$B$38,D645)+SUMIFS($K$1:$K$736,$C$1:$C$736,C645,$D$1:$D$736,D645,$B$1:$B$736,"&lt;="&amp;B645)</f>
        <v>35371.749999999985</v>
      </c>
      <c r="N645" s="65">
        <f>IF(tblMovimientos[[#This Row],[Tipo de Movimiento]]="Ingreso",tblMovimientos[[#This Row],[Monto (S/)]],"0")</f>
        <v>7317.16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 t="shared" si="14"/>
        <v>2637.13</v>
      </c>
      <c r="L646" s="15" t="s">
        <v>129</v>
      </c>
      <c r="M646" s="44">
        <f>SUMIFS('Saldos Iniciales'!$D$2:$D$38,'Saldos Iniciales'!$A$2:$A$38,C646,'Saldos Iniciales'!$B$2:$B$38,D646)+SUMIFS($K$1:$K$736,$C$1:$C$736,C646,$D$1:$D$736,D646,$B$1:$B$736,"&lt;="&amp;B646)</f>
        <v>78211.250000000175</v>
      </c>
      <c r="N646" s="65">
        <f>IF(tblMovimientos[[#This Row],[Tipo de Movimiento]]="Ingreso",tblMovimientos[[#This Row],[Monto (S/)]],"0")</f>
        <v>2637.13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 t="shared" si="14"/>
        <v>-168.79</v>
      </c>
      <c r="L647" s="15" t="s">
        <v>129</v>
      </c>
      <c r="M647" s="44">
        <f>SUMIFS('Saldos Iniciales'!$D$2:$D$38,'Saldos Iniciales'!$A$2:$A$38,C647,'Saldos Iniciales'!$B$2:$B$38,D647)+SUMIFS($K$1:$K$736,$C$1:$C$736,C647,$D$1:$D$736,D647,$B$1:$B$736,"&lt;="&amp;B647)</f>
        <v>2511.070000000002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 t="shared" si="14"/>
        <v>-1300.76</v>
      </c>
      <c r="L648" s="15" t="s">
        <v>129</v>
      </c>
      <c r="M648" s="44">
        <f>SUMIFS('Saldos Iniciales'!$D$2:$D$38,'Saldos Iniciales'!$A$2:$A$38,C648,'Saldos Iniciales'!$B$2:$B$38,D648)+SUMIFS($K$1:$K$736,$C$1:$C$736,C648,$D$1:$D$736,D648,$B$1:$B$736,"&lt;="&amp;B648)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 t="shared" si="14"/>
        <v>-132.08000000000001</v>
      </c>
      <c r="L649" s="15" t="s">
        <v>129</v>
      </c>
      <c r="M649" s="44">
        <f>SUMIFS('Saldos Iniciales'!$D$2:$D$38,'Saldos Iniciales'!$A$2:$A$38,C649,'Saldos Iniciales'!$B$2:$B$38,D649)+SUMIFS($K$1:$K$736,$C$1:$C$736,C649,$D$1:$D$736,D649,$B$1:$B$736,"&lt;="&amp;B649)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 t="shared" si="14"/>
        <v>-22.68</v>
      </c>
      <c r="L650" s="15" t="s">
        <v>129</v>
      </c>
      <c r="M650" s="44">
        <f>SUMIFS('Saldos Iniciales'!$D$2:$D$38,'Saldos Iniciales'!$A$2:$A$38,C650,'Saldos Iniciales'!$B$2:$B$38,D650)+SUMIFS($K$1:$K$736,$C$1:$C$736,C650,$D$1:$D$736,D650,$B$1:$B$736,"&lt;="&amp;B650)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 t="shared" si="14"/>
        <v>-3.25</v>
      </c>
      <c r="L651" s="15" t="s">
        <v>129</v>
      </c>
      <c r="M651" s="44">
        <f>SUMIFS('Saldos Iniciales'!$D$2:$D$38,'Saldos Iniciales'!$A$2:$A$38,C651,'Saldos Iniciales'!$B$2:$B$38,D651)+SUMIFS($K$1:$K$736,$C$1:$C$736,C651,$D$1:$D$736,D651,$B$1:$B$736,"&lt;="&amp;B651)</f>
        <v>6144.7699999999995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 t="shared" si="14"/>
        <v>23791.439999999999</v>
      </c>
      <c r="L652" s="15" t="s">
        <v>129</v>
      </c>
      <c r="M652" s="44">
        <f>SUMIFS('Saldos Iniciales'!$D$2:$D$38,'Saldos Iniciales'!$A$2:$A$38,C652,'Saldos Iniciales'!$B$2:$B$38,D652)+SUMIFS($K$1:$K$736,$C$1:$C$736,C652,$D$1:$D$736,D652,$B$1:$B$736,"&lt;="&amp;B652)</f>
        <v>1458426.0399999998</v>
      </c>
      <c r="N652" s="65">
        <f>IF(tblMovimientos[[#This Row],[Tipo de Movimiento]]="Ingreso",tblMovimientos[[#This Row],[Monto (S/)]],"0")</f>
        <v>23791.439999999999</v>
      </c>
      <c r="O652" s="65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 t="shared" si="14"/>
        <v>129678.6</v>
      </c>
      <c r="L653" s="15" t="s">
        <v>129</v>
      </c>
      <c r="M653" s="44">
        <f>SUMIFS('Saldos Iniciales'!$D$2:$D$38,'Saldos Iniciales'!$A$2:$A$38,C653,'Saldos Iniciales'!$B$2:$B$38,D653)+SUMIFS($K$1:$K$736,$C$1:$C$736,C653,$D$1:$D$736,D653,$B$1:$B$736,"&lt;="&amp;B653)</f>
        <v>235183.32</v>
      </c>
      <c r="N653" s="65">
        <f>IF(tblMovimientos[[#This Row],[Tipo de Movimiento]]="Ingreso",tblMovimientos[[#This Row],[Monto (S/)]],"0")</f>
        <v>129678.6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 t="shared" si="14"/>
        <v>71403.73</v>
      </c>
      <c r="L654" s="15" t="s">
        <v>129</v>
      </c>
      <c r="M654" s="44">
        <f>SUMIFS('Saldos Iniciales'!$D$2:$D$38,'Saldos Iniciales'!$A$2:$A$38,C654,'Saldos Iniciales'!$B$2:$B$38,D654)+SUMIFS($K$1:$K$736,$C$1:$C$736,C654,$D$1:$D$736,D654,$B$1:$B$736,"&lt;="&amp;B654)</f>
        <v>235183.32</v>
      </c>
      <c r="N654" s="65">
        <f>IF(tblMovimientos[[#This Row],[Tipo de Movimiento]]="Ingreso",tblMovimientos[[#This Row],[Monto (S/)]],"0")</f>
        <v>71403.73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 t="shared" si="14"/>
        <v>-1270.43</v>
      </c>
      <c r="L655" s="15" t="s">
        <v>129</v>
      </c>
      <c r="M655" s="44">
        <f>SUMIFS('Saldos Iniciales'!$D$2:$D$38,'Saldos Iniciales'!$A$2:$A$38,C655,'Saldos Iniciales'!$B$2:$B$38,D655)+SUMIFS($K$1:$K$736,$C$1:$C$736,C655,$D$1:$D$736,D655,$B$1:$B$736,"&lt;="&amp;B655)</f>
        <v>235183.32</v>
      </c>
      <c r="N655" s="65" t="str">
        <f>IF(tblMovimientos[[#This Row],[Tipo de Movimiento]]="Ingreso",tblMovimientos[[#This Row],[Monto (S/)]],"0")</f>
        <v>0</v>
      </c>
      <c r="O655" s="65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 t="shared" si="14"/>
        <v>-0.33</v>
      </c>
      <c r="L656" s="15" t="s">
        <v>129</v>
      </c>
      <c r="M656" s="44">
        <f>SUMIFS('Saldos Iniciales'!$D$2:$D$38,'Saldos Iniciales'!$A$2:$A$38,C656,'Saldos Iniciales'!$B$2:$B$38,D656)+SUMIFS($K$1:$K$736,$C$1:$C$736,C656,$D$1:$D$736,D656,$B$1:$B$736,"&lt;="&amp;B656)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4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 t="shared" si="14"/>
        <v>2000</v>
      </c>
      <c r="L657" s="15" t="s">
        <v>129</v>
      </c>
      <c r="M657" s="44">
        <f>SUMIFS('Saldos Iniciales'!$D$2:$D$38,'Saldos Iniciales'!$A$2:$A$38,C657,'Saldos Iniciales'!$B$2:$B$38,D657)+SUMIFS($K$1:$K$736,$C$1:$C$736,C657,$D$1:$D$736,D657,$B$1:$B$736,"&lt;="&amp;B657)</f>
        <v>2676.2200000000021</v>
      </c>
      <c r="N657" s="65">
        <f>IF(tblMovimientos[[#This Row],[Tipo de Movimiento]]="Ingreso",tblMovimientos[[#This Row],[Monto (S/)]],"0")</f>
        <v>2000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 t="shared" si="14"/>
        <v>-694</v>
      </c>
      <c r="L658" s="15" t="s">
        <v>129</v>
      </c>
      <c r="M658" s="44">
        <f>SUMIFS('Saldos Iniciales'!$D$2:$D$38,'Saldos Iniciales'!$A$2:$A$38,C658,'Saldos Iniciales'!$B$2:$B$38,D658)+SUMIFS($K$1:$K$736,$C$1:$C$736,C658,$D$1:$D$736,D658,$B$1:$B$736,"&lt;="&amp;B658)</f>
        <v>2676.2200000000021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 t="shared" si="14"/>
        <v>-1032.81</v>
      </c>
      <c r="L659" s="15" t="s">
        <v>129</v>
      </c>
      <c r="M659" s="44">
        <f>SUMIFS('Saldos Iniciales'!$D$2:$D$38,'Saldos Iniciales'!$A$2:$A$38,C659,'Saldos Iniciales'!$B$2:$B$38,D659)+SUMIFS($K$1:$K$736,$C$1:$C$736,C659,$D$1:$D$736,D659,$B$1:$B$736,"&lt;="&amp;B659)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 t="shared" si="14"/>
        <v>-108.04</v>
      </c>
      <c r="L660" s="15" t="s">
        <v>129</v>
      </c>
      <c r="M660" s="44">
        <f>SUMIFS('Saldos Iniciales'!$D$2:$D$38,'Saldos Iniciales'!$A$2:$A$38,C660,'Saldos Iniciales'!$B$2:$B$38,D660)+SUMIFS($K$1:$K$736,$C$1:$C$736,C660,$D$1:$D$736,D660,$B$1:$B$736,"&lt;="&amp;B660)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4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 t="shared" si="14"/>
        <v>-2000</v>
      </c>
      <c r="L661" s="15" t="s">
        <v>129</v>
      </c>
      <c r="M661" s="44">
        <f>SUMIFS('Saldos Iniciales'!$D$2:$D$38,'Saldos Iniciales'!$A$2:$A$38,C661,'Saldos Iniciales'!$B$2:$B$38,D661)+SUMIFS($K$1:$K$736,$C$1:$C$736,C661,$D$1:$D$736,D661,$B$1:$B$736,"&lt;="&amp;B661)</f>
        <v>8958.7099999999973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 t="shared" si="14"/>
        <v>-1000</v>
      </c>
      <c r="L662" s="15" t="s">
        <v>129</v>
      </c>
      <c r="M662" s="44">
        <f>SUMIFS('Saldos Iniciales'!$D$2:$D$38,'Saldos Iniciales'!$A$2:$A$38,C662,'Saldos Iniciales'!$B$2:$B$38,D662)+SUMIFS($K$1:$K$736,$C$1:$C$736,C662,$D$1:$D$736,D662,$B$1:$B$736,"&lt;="&amp;B662)</f>
        <v>5144.7699999999995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14"/>
        <v>1000</v>
      </c>
      <c r="L663" s="15" t="s">
        <v>129</v>
      </c>
      <c r="M663" s="44">
        <f>SUMIFS('Saldos Iniciales'!$D$2:$D$38,'Saldos Iniciales'!$A$2:$A$38,C663,'Saldos Iniciales'!$B$2:$B$38,D663)+SUMIFS($K$1:$K$736,$C$1:$C$736,C663,$D$1:$D$736,D663,$B$1:$B$736,"&lt;="&amp;B663)</f>
        <v>1170.8200000000002</v>
      </c>
      <c r="N663" s="65">
        <f>IF(tblMovimientos[[#This Row],[Tipo de Movimiento]]="Ingreso",tblMovimientos[[#This Row],[Monto (S/)]],"0")</f>
        <v>1000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 t="shared" si="14"/>
        <v>-1707.52</v>
      </c>
      <c r="L664" s="15" t="s">
        <v>129</v>
      </c>
      <c r="M664" s="44">
        <f>SUMIFS('Saldos Iniciales'!$D$2:$D$38,'Saldos Iniciales'!$A$2:$A$38,C664,'Saldos Iniciales'!$B$2:$B$38,D664)+SUMIFS($K$1:$K$736,$C$1:$C$736,C664,$D$1:$D$736,D664,$B$1:$B$736,"&lt;="&amp;B664)</f>
        <v>232864.69999999998</v>
      </c>
      <c r="N664" s="65" t="str">
        <f>IF(tblMovimientos[[#This Row],[Tipo de Movimiento]]="Ingreso",tblMovimientos[[#This Row],[Monto (S/)]],"0")</f>
        <v>0</v>
      </c>
      <c r="O664" s="65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 t="shared" si="14"/>
        <v>-611.1</v>
      </c>
      <c r="L665" s="15" t="s">
        <v>129</v>
      </c>
      <c r="M665" s="44">
        <f>SUMIFS('Saldos Iniciales'!$D$2:$D$38,'Saldos Iniciales'!$A$2:$A$38,C665,'Saldos Iniciales'!$B$2:$B$38,D665)+SUMIFS($K$1:$K$736,$C$1:$C$736,C665,$D$1:$D$736,D665,$B$1:$B$736,"&lt;="&amp;B665)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 t="shared" si="14"/>
        <v>2426.71</v>
      </c>
      <c r="L666" s="15" t="s">
        <v>129</v>
      </c>
      <c r="M666" s="44">
        <f>SUMIFS('Saldos Iniciales'!$D$2:$D$38,'Saldos Iniciales'!$A$2:$A$38,C666,'Saldos Iniciales'!$B$2:$B$38,D666)+SUMIFS($K$1:$K$736,$C$1:$C$736,C666,$D$1:$D$736,D666,$B$1:$B$736,"&lt;="&amp;B666)</f>
        <v>809107.32</v>
      </c>
      <c r="N666" s="65">
        <f>IF(tblMovimientos[[#This Row],[Tipo de Movimiento]]="Ingreso",tblMovimientos[[#This Row],[Monto (S/)]],"0")</f>
        <v>2426.71</v>
      </c>
      <c r="O666" s="65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104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45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345943.44</v>
      </c>
      <c r="K667" s="5">
        <f t="shared" si="14"/>
        <v>-345943.44</v>
      </c>
      <c r="L667" s="15" t="s">
        <v>129</v>
      </c>
      <c r="M667" s="44">
        <f>SUMIFS('Saldos Iniciales'!$D$2:$D$38,'Saldos Iniciales'!$A$2:$A$38,C667,'Saldos Iniciales'!$B$2:$B$38,D667)+SUMIFS($K$1:$K$736,$C$1:$C$736,C667,$D$1:$D$736,D667,$B$1:$B$736,"&lt;="&amp;B667)</f>
        <v>689293.00999999931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345943.44</v>
      </c>
      <c r="P667" s="28">
        <f>IF(tblMovimientos[[#This Row],[Tipo de Movimiento]]="Ingreso",tblMovimientos[[#This Row],[Ingreso]],-tblMovimientos[[#This Row],[Egreso]])</f>
        <v>-345943.44</v>
      </c>
    </row>
    <row r="668" spans="1:16" x14ac:dyDescent="0.3">
      <c r="B668" s="39">
        <v>46237</v>
      </c>
      <c r="C668" s="46" t="str">
        <f>_xlfn.XLOOKUP(tblMovimientos[[#This Row],[Cuenta Bancaria]],Listas!$B:$B,Listas!$A:$A,"")</f>
        <v>Sacred Valley Capital</v>
      </c>
      <c r="D668" s="41" t="s">
        <v>114</v>
      </c>
      <c r="E668" s="4" t="str">
        <f>_xlfn.XLOOKUP(tblMovimientos[[#This Row],[Cuenta Bancaria]],Listas!$B:$B,Listas!$C:$C,"")</f>
        <v>Bank of America</v>
      </c>
      <c r="F668" s="41" t="s">
        <v>10</v>
      </c>
      <c r="G668" s="41" t="s">
        <v>44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29.95</v>
      </c>
      <c r="K668" s="5">
        <f t="shared" si="14"/>
        <v>-29.95</v>
      </c>
      <c r="L668" s="15" t="s">
        <v>132</v>
      </c>
      <c r="M668" s="44">
        <f>SUMIFS('Saldos Iniciales'!$D$2:$D$38,'Saldos Iniciales'!$A$2:$A$38,C668,'Saldos Iniciales'!$B$2:$B$38,D668)+SUMIFS($K$1:$K$736,$C$1:$C$736,C668,$D$1:$D$736,D668,$B$1:$B$736,"&lt;="&amp;B668)</f>
        <v>24.450000000000003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29.95</v>
      </c>
      <c r="P668" s="28">
        <f>IF(tblMovimientos[[#This Row],[Tipo de Movimiento]]="Ingreso",tblMovimientos[[#This Row],[Ingreso]],-tblMovimientos[[#This Row],[Egreso]])</f>
        <v>-29.95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YWC Capital</v>
      </c>
      <c r="D669" s="41" t="s">
        <v>115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14"/>
        <v>-29.95</v>
      </c>
      <c r="L669" s="15" t="s">
        <v>132</v>
      </c>
      <c r="M669" s="44">
        <f>SUMIFS('Saldos Iniciales'!$D$2:$D$38,'Saldos Iniciales'!$A$2:$A$38,C669,'Saldos Iniciales'!$B$2:$B$38,D669)+SUMIFS($K$1:$K$736,$C$1:$C$736,C669,$D$1:$D$736,D669,$B$1:$B$736,"&lt;="&amp;B669)</f>
        <v>2177.87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Arbor Capital Properties</v>
      </c>
      <c r="D670" s="41" t="s">
        <v>120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16</v>
      </c>
      <c r="K670" s="5">
        <f t="shared" si="14"/>
        <v>-16</v>
      </c>
      <c r="L670" s="15" t="s">
        <v>132</v>
      </c>
      <c r="M670" s="44">
        <f>SUMIFS('Saldos Iniciales'!$D$2:$D$38,'Saldos Iniciales'!$A$2:$A$38,C670,'Saldos Iniciales'!$B$2:$B$38,D670)+SUMIFS($K$1:$K$736,$C$1:$C$736,C670,$D$1:$D$736,D670,$B$1:$B$736,"&lt;="&amp;B670)</f>
        <v>1396.08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16</v>
      </c>
      <c r="P670" s="28">
        <f>IF(tblMovimientos[[#This Row],[Tipo de Movimiento]]="Ingreso",tblMovimientos[[#This Row],[Ingreso]],-tblMovimientos[[#This Row],[Egreso]])</f>
        <v>-16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2515 Overbrook</v>
      </c>
      <c r="D671" s="41" t="s">
        <v>121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46</v>
      </c>
      <c r="H671" s="4" t="str">
        <f>IFERROR(_xlfn.XLOOKUP(G671,Listas!E:E,Listas!F:F,""),"")</f>
        <v>Financiamiento</v>
      </c>
      <c r="I671" s="46" t="str">
        <f>IFERROR(_xlfn.XLOOKUP(G671,Listas!E:E,Listas!G:G,""),"")</f>
        <v>Externo</v>
      </c>
      <c r="J671" s="43">
        <v>8533.33</v>
      </c>
      <c r="K671" s="5">
        <f t="shared" si="14"/>
        <v>-8533.33</v>
      </c>
      <c r="L671" s="15" t="s">
        <v>132</v>
      </c>
      <c r="M671" s="44">
        <f>SUMIFS('Saldos Iniciales'!$D$2:$D$38,'Saldos Iniciales'!$A$2:$A$38,C671,'Saldos Iniciales'!$B$2:$B$38,D671)+SUMIFS($K$1:$K$736,$C$1:$C$736,C671,$D$1:$D$736,D671,$B$1:$B$736,"&lt;="&amp;B671)</f>
        <v>13493.819999999963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8533.33</v>
      </c>
      <c r="P671" s="28">
        <f>IF(tblMovimientos[[#This Row],[Tipo de Movimiento]]="Ingreso",tblMovimientos[[#This Row],[Ingreso]],-tblMovimientos[[#This Row],[Egreso]])</f>
        <v>-8533.33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122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44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10</v>
      </c>
      <c r="K672" s="5">
        <f t="shared" si="14"/>
        <v>-10</v>
      </c>
      <c r="L672" s="15" t="s">
        <v>132</v>
      </c>
      <c r="M672" s="44">
        <f>SUMIFS('Saldos Iniciales'!$D$2:$D$38,'Saldos Iniciales'!$A$2:$A$38,C672,'Saldos Iniciales'!$B$2:$B$38,D672)+SUMIFS($K$1:$K$736,$C$1:$C$736,C672,$D$1:$D$736,D672,$B$1:$B$736,"&lt;="&amp;B672)</f>
        <v>310.42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10</v>
      </c>
      <c r="P672" s="28">
        <f>IF(tblMovimientos[[#This Row],[Tipo de Movimiento]]="Ingreso",tblMovimientos[[#This Row],[Ingreso]],-tblMovimientos[[#This Row],[Egreso]])</f>
        <v>-10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112 Florida Ave</v>
      </c>
      <c r="D673" s="41" t="s">
        <v>123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48</v>
      </c>
      <c r="H673" s="4" t="str">
        <f>IFERROR(_xlfn.XLOOKUP(G673,Listas!E:E,Listas!F:F,""),"")</f>
        <v>Financiamiento</v>
      </c>
      <c r="I673" s="46" t="str">
        <f>IFERROR(_xlfn.XLOOKUP(G673,Listas!E:E,Listas!G:G,""),"")</f>
        <v>Externo</v>
      </c>
      <c r="J673" s="43">
        <v>9798.6299999999992</v>
      </c>
      <c r="K673" s="5">
        <f t="shared" si="14"/>
        <v>-9798.6299999999992</v>
      </c>
      <c r="L673" s="15" t="s">
        <v>132</v>
      </c>
      <c r="M673" s="44">
        <f>SUMIFS('Saldos Iniciales'!$D$2:$D$38,'Saldos Iniciales'!$A$2:$A$38,C673,'Saldos Iniciales'!$B$2:$B$38,D673)+SUMIFS($K$1:$K$736,$C$1:$C$736,C673,$D$1:$D$736,D673,$B$1:$B$736,"&lt;="&amp;B673)</f>
        <v>8724.1700000000037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9798.6299999999992</v>
      </c>
      <c r="P673" s="28">
        <f>IF(tblMovimientos[[#This Row],[Tipo de Movimiento]]="Ingreso",tblMovimientos[[#This Row],[Ingreso]],-tblMovimientos[[#This Row],[Egreso]])</f>
        <v>-9798.6299999999992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3628 Thomas Ave</v>
      </c>
      <c r="D674" s="41" t="s">
        <v>124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38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1900</v>
      </c>
      <c r="K674" s="5">
        <f t="shared" si="14"/>
        <v>-1900</v>
      </c>
      <c r="L674" s="15" t="s">
        <v>132</v>
      </c>
      <c r="M674" s="44">
        <f>SUMIFS('Saldos Iniciales'!$D$2:$D$38,'Saldos Iniciales'!$A$2:$A$38,C674,'Saldos Iniciales'!$B$2:$B$38,D674)+SUMIFS($K$1:$K$736,$C$1:$C$736,C674,$D$1:$D$736,D674,$B$1:$B$736,"&lt;="&amp;B674)</f>
        <v>10706.099999999997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1900</v>
      </c>
      <c r="P674" s="28">
        <f>IF(tblMovimientos[[#This Row],[Tipo de Movimiento]]="Ingreso",tblMovimientos[[#This Row],[Ingreso]],-tblMovimientos[[#This Row],[Egreso]])</f>
        <v>-1900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240</v>
      </c>
      <c r="K675" s="5">
        <f t="shared" si="14"/>
        <v>-240</v>
      </c>
      <c r="L675" s="15" t="s">
        <v>132</v>
      </c>
      <c r="M675" s="44">
        <f>SUMIFS('Saldos Iniciales'!$D$2:$D$38,'Saldos Iniciales'!$A$2:$A$38,C675,'Saldos Iniciales'!$B$2:$B$38,D675)+SUMIFS($K$1:$K$736,$C$1:$C$736,C675,$D$1:$D$736,D675,$B$1:$B$736,"&lt;="&amp;B675)</f>
        <v>10706.099999999997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240</v>
      </c>
      <c r="P675" s="28">
        <f>IF(tblMovimientos[[#This Row],[Tipo de Movimiento]]="Ingreso",tblMovimientos[[#This Row],[Ingreso]],-tblMovimientos[[#This Row],[Egreso]])</f>
        <v>-240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100</v>
      </c>
      <c r="K676" s="5">
        <f t="shared" si="14"/>
        <v>-100</v>
      </c>
      <c r="L676" s="15" t="s">
        <v>132</v>
      </c>
      <c r="M676" s="44">
        <f>SUMIFS('Saldos Iniciales'!$D$2:$D$38,'Saldos Iniciales'!$A$2:$A$38,C676,'Saldos Iniciales'!$B$2:$B$38,D676)+SUMIFS($K$1:$K$736,$C$1:$C$736,C676,$D$1:$D$736,D676,$B$1:$B$736,"&lt;="&amp;B676)</f>
        <v>10706.099999999997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100</v>
      </c>
      <c r="P676" s="28">
        <f>IF(tblMovimientos[[#This Row],[Tipo de Movimiento]]="Ingreso",tblMovimientos[[#This Row],[Ingreso]],-tblMovimientos[[#This Row],[Egreso]])</f>
        <v>-100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220</v>
      </c>
      <c r="K677" s="5">
        <f t="shared" si="14"/>
        <v>-220</v>
      </c>
      <c r="L677" s="15" t="s">
        <v>132</v>
      </c>
      <c r="M677" s="44">
        <f>SUMIFS('Saldos Iniciales'!$D$2:$D$38,'Saldos Iniciales'!$A$2:$A$38,C677,'Saldos Iniciales'!$B$2:$B$38,D677)+SUMIFS($K$1:$K$736,$C$1:$C$736,C677,$D$1:$D$736,D677,$B$1:$B$736,"&lt;="&amp;B677)</f>
        <v>10706.099999999997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220</v>
      </c>
      <c r="P677" s="28">
        <f>IF(tblMovimientos[[#This Row],[Tipo de Movimiento]]="Ingreso",tblMovimientos[[#This Row],[Ingreso]],-tblMovimientos[[#This Row],[Egreso]])</f>
        <v>-220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4"/>
        <v>-220</v>
      </c>
      <c r="L678" s="15" t="s">
        <v>132</v>
      </c>
      <c r="M678" s="44">
        <f>SUMIFS('Saldos Iniciales'!$D$2:$D$38,'Saldos Iniciales'!$A$2:$A$38,C678,'Saldos Iniciales'!$B$2:$B$38,D678)+SUMIFS($K$1:$K$736,$C$1:$C$736,C678,$D$1:$D$736,D678,$B$1:$B$736,"&lt;="&amp;B678)</f>
        <v>10706.099999999997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150</v>
      </c>
      <c r="K679" s="5">
        <f t="shared" ref="K679:K685" si="15">IF(F679="Ingreso",J679,-J679)</f>
        <v>-150</v>
      </c>
      <c r="L679" s="15" t="s">
        <v>132</v>
      </c>
      <c r="M679" s="44">
        <f>SUMIFS('Saldos Iniciales'!$D$2:$D$38,'Saldos Iniciales'!$A$2:$A$38,C679,'Saldos Iniciales'!$B$2:$B$38,D679)+SUMIFS($K$1:$K$736,$C$1:$C$736,C679,$D$1:$D$736,D679,$B$1:$B$736,"&lt;="&amp;B679)</f>
        <v>10706.099999999997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150</v>
      </c>
      <c r="P679" s="28">
        <f>IF(tblMovimientos[[#This Row],[Tipo de Movimiento]]="Ingreso",tblMovimientos[[#This Row],[Ingreso]],-tblMovimientos[[#This Row],[Egreso]])</f>
        <v>-150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295</v>
      </c>
      <c r="K680" s="5">
        <f t="shared" si="15"/>
        <v>-295</v>
      </c>
      <c r="L680" s="15" t="s">
        <v>132</v>
      </c>
      <c r="M680" s="44">
        <f>SUMIFS('Saldos Iniciales'!$D$2:$D$38,'Saldos Iniciales'!$A$2:$A$38,C680,'Saldos Iniciales'!$B$2:$B$38,D680)+SUMIFS($K$1:$K$736,$C$1:$C$736,C680,$D$1:$D$736,D680,$B$1:$B$736,"&lt;="&amp;B680)</f>
        <v>10706.099999999997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295</v>
      </c>
      <c r="P680" s="28">
        <f>IF(tblMovimientos[[#This Row],[Tipo de Movimiento]]="Ingreso",tblMovimientos[[#This Row],[Ingreso]],-tblMovimientos[[#This Row],[Egreso]])</f>
        <v>-295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395</v>
      </c>
      <c r="K681" s="5">
        <f t="shared" si="15"/>
        <v>-395</v>
      </c>
      <c r="L681" s="15" t="s">
        <v>132</v>
      </c>
      <c r="M681" s="44">
        <f>SUMIFS('Saldos Iniciales'!$D$2:$D$38,'Saldos Iniciales'!$A$2:$A$38,C681,'Saldos Iniciales'!$B$2:$B$38,D681)+SUMIFS($K$1:$K$736,$C$1:$C$736,C681,$D$1:$D$736,D681,$B$1:$B$736,"&lt;="&amp;B681)</f>
        <v>10706.099999999997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395</v>
      </c>
      <c r="P681" s="28">
        <f>IF(tblMovimientos[[#This Row],[Tipo de Movimiento]]="Ingreso",tblMovimientos[[#This Row],[Ingreso]],-tblMovimientos[[#This Row],[Egreso]])</f>
        <v>-395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1086.42</v>
      </c>
      <c r="K682" s="5">
        <f t="shared" si="15"/>
        <v>-1086.42</v>
      </c>
      <c r="L682" s="15" t="s">
        <v>132</v>
      </c>
      <c r="M682" s="44">
        <f>SUMIFS('Saldos Iniciales'!$D$2:$D$38,'Saldos Iniciales'!$A$2:$A$38,C682,'Saldos Iniciales'!$B$2:$B$38,D682)+SUMIFS($K$1:$K$736,$C$1:$C$736,C682,$D$1:$D$736,D682,$B$1:$B$736,"&lt;="&amp;B682)</f>
        <v>10706.099999999997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1086.42</v>
      </c>
      <c r="P682" s="28">
        <f>IF(tblMovimientos[[#This Row],[Tipo de Movimiento]]="Ingreso",tblMovimientos[[#This Row],[Ingreso]],-tblMovimientos[[#This Row],[Egreso]])</f>
        <v>-1086.42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48</v>
      </c>
      <c r="H683" s="4" t="str">
        <f>IFERROR(_xlfn.XLOOKUP(G683,Listas!E:E,Listas!F:F,""),"")</f>
        <v>Financiamiento</v>
      </c>
      <c r="I683" s="46" t="str">
        <f>IFERROR(_xlfn.XLOOKUP(G683,Listas!E:E,Listas!G:G,""),"")</f>
        <v>Externo</v>
      </c>
      <c r="J683" s="43">
        <v>8773.0400000000009</v>
      </c>
      <c r="K683" s="5">
        <f t="shared" si="15"/>
        <v>-8773.0400000000009</v>
      </c>
      <c r="L683" s="15" t="s">
        <v>132</v>
      </c>
      <c r="M683" s="44">
        <f>SUMIFS('Saldos Iniciales'!$D$2:$D$38,'Saldos Iniciales'!$A$2:$A$38,C683,'Saldos Iniciales'!$B$2:$B$38,D683)+SUMIFS($K$1:$K$736,$C$1:$C$736,C683,$D$1:$D$736,D683,$B$1:$B$736,"&lt;="&amp;B683)</f>
        <v>10706.099999999997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8773.0400000000009</v>
      </c>
      <c r="P683" s="28">
        <f>IF(tblMovimientos[[#This Row],[Tipo de Movimiento]]="Ingreso",tblMovimientos[[#This Row],[Ingreso]],-tblMovimientos[[#This Row],[Egreso]])</f>
        <v>-8773.0400000000009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5"/>
        <v>-55</v>
      </c>
      <c r="L684" s="15" t="s">
        <v>132</v>
      </c>
      <c r="M684" s="44">
        <f>SUMIFS('Saldos Iniciales'!$D$2:$D$38,'Saldos Iniciales'!$A$2:$A$38,C684,'Saldos Iniciales'!$B$2:$B$38,D684)+SUMIFS($K$1:$K$736,$C$1:$C$736,C684,$D$1:$D$736,D684,$B$1:$B$736,"&lt;="&amp;B684)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5"/>
        <v>-3309.58</v>
      </c>
      <c r="L685" s="15" t="s">
        <v>132</v>
      </c>
      <c r="M685" s="44">
        <f>SUMIFS('Saldos Iniciales'!$D$2:$D$38,'Saldos Iniciales'!$A$2:$A$38,C685,'Saldos Iniciales'!$B$2:$B$38,D685)+SUMIFS($K$1:$K$736,$C$1:$C$736,C685,$D$1:$D$736,D685,$B$1:$B$736,"&lt;="&amp;B685)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46238</v>
      </c>
      <c r="C686" s="46" t="str">
        <f>_xlfn.XLOOKUP(tblMovimientos[[#This Row],[Cuenta Bancaria]],Listas!$B:$B,Listas!$A:$A,"")</f>
        <v>SSP Capital</v>
      </c>
      <c r="D686" s="41" t="s">
        <v>101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609.70000000000005</v>
      </c>
      <c r="K686" s="5">
        <f t="shared" ref="K686:K692" si="16">IF(F686="Ingreso",J686,-J686)</f>
        <v>-609.70000000000005</v>
      </c>
      <c r="L686" s="15" t="s">
        <v>132</v>
      </c>
      <c r="M686" s="44">
        <f>SUMIFS('Saldos Iniciales'!$D$2:$D$38,'Saldos Iniciales'!$A$2:$A$38,C686,'Saldos Iniciales'!$B$2:$B$38,D686)+SUMIFS($K$1:$K$736,$C$1:$C$736,C686,$D$1:$D$736,D686,$B$1:$B$736,"&lt;="&amp;B686)</f>
        <v>4535.07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609.70000000000005</v>
      </c>
      <c r="P686" s="28">
        <f>IF(tblMovimientos[[#This Row],[Tipo de Movimiento]]="Ingreso",tblMovimientos[[#This Row],[Ingreso]],-tblMovimientos[[#This Row],[Egreso]])</f>
        <v>-609.70000000000005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Cross Family Trust</v>
      </c>
      <c r="D687" s="41" t="s">
        <v>110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6000</v>
      </c>
      <c r="K687" s="5">
        <f t="shared" si="16"/>
        <v>-6000</v>
      </c>
      <c r="L687" s="15" t="s">
        <v>132</v>
      </c>
      <c r="M687" s="44">
        <f>SUMIFS('Saldos Iniciales'!$D$2:$D$38,'Saldos Iniciales'!$A$2:$A$38,C687,'Saldos Iniciales'!$B$2:$B$38,D687)+SUMIFS($K$1:$K$736,$C$1:$C$736,C687,$D$1:$D$736,D687,$B$1:$B$736,"&lt;="&amp;B687)</f>
        <v>39206.89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6000</v>
      </c>
      <c r="P687" s="28">
        <f>IF(tblMovimientos[[#This Row],[Tipo de Movimiento]]="Ingreso",tblMovimientos[[#This Row],[Ingreso]],-tblMovimientos[[#This Row],[Egreso]])</f>
        <v>-6000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Go Blue</v>
      </c>
      <c r="D688" s="41" t="s">
        <v>174</v>
      </c>
      <c r="E688" s="4" t="str">
        <f>_xlfn.XLOOKUP(tblMovimientos[[#This Row],[Cuenta Bancaria]],Listas!$B:$B,Listas!$C:$C,"")</f>
        <v xml:space="preserve">Amerant Bank 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390.93</v>
      </c>
      <c r="K688" s="5">
        <f t="shared" si="16"/>
        <v>-390.93</v>
      </c>
      <c r="L688" s="15" t="s">
        <v>132</v>
      </c>
      <c r="M688" s="44">
        <f>SUMIFS('Saldos Iniciales'!$D$2:$D$38,'Saldos Iniciales'!$A$2:$A$38,C688,'Saldos Iniciales'!$B$2:$B$38,D688)+SUMIFS($K$1:$K$736,$C$1:$C$736,C688,$D$1:$D$736,D688,$B$1:$B$736,"&lt;="&amp;B688)</f>
        <v>2285.2900000000022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390.93</v>
      </c>
      <c r="P688" s="28">
        <f>IF(tblMovimientos[[#This Row],[Tipo de Movimiento]]="Ingreso",tblMovimientos[[#This Row],[Ingreso]],-tblMovimientos[[#This Row],[Egreso]])</f>
        <v>-390.93</v>
      </c>
    </row>
    <row r="689" spans="2:16" x14ac:dyDescent="0.3">
      <c r="B689" s="39">
        <v>46239</v>
      </c>
      <c r="C689" s="46" t="str">
        <f>_xlfn.XLOOKUP(tblMovimientos[[#This Row],[Cuenta Bancaria]],Listas!$B:$B,Listas!$A:$A,"")</f>
        <v>SSP Capital</v>
      </c>
      <c r="D689" s="41" t="s">
        <v>101</v>
      </c>
      <c r="E689" s="4" t="str">
        <f>_xlfn.XLOOKUP(tblMovimientos[[#This Row],[Cuenta Bancaria]],Listas!$B:$B,Listas!$C:$C,"")</f>
        <v>Bank of America</v>
      </c>
      <c r="F689" s="41" t="s">
        <v>9</v>
      </c>
      <c r="G689" s="41" t="s">
        <v>69</v>
      </c>
      <c r="H689" s="4" t="str">
        <f>IFERROR(_xlfn.XLOOKUP(G689,Listas!E:E,Listas!F:F,""),"")</f>
        <v>Operativo</v>
      </c>
      <c r="I689" s="46" t="str">
        <f>IFERROR(_xlfn.XLOOKUP(G689,Listas!E:E,Listas!G:G,""),"")</f>
        <v>Interno</v>
      </c>
      <c r="J689" s="43">
        <v>4000</v>
      </c>
      <c r="K689" s="5">
        <f t="shared" si="16"/>
        <v>4000</v>
      </c>
      <c r="L689" s="15" t="s">
        <v>132</v>
      </c>
      <c r="M689" s="44">
        <f>SUMIFS('Saldos Iniciales'!$D$2:$D$38,'Saldos Iniciales'!$A$2:$A$38,C689,'Saldos Iniciales'!$B$2:$B$38,D689)+SUMIFS($K$1:$K$736,$C$1:$C$736,C689,$D$1:$D$736,D689,$B$1:$B$736,"&lt;="&amp;B689)</f>
        <v>2855.2900000000009</v>
      </c>
      <c r="N689" s="65">
        <f>IF(tblMovimientos[[#This Row],[Tipo de Movimiento]]="Ingreso",tblMovimientos[[#This Row],[Monto (S/)]],"0")</f>
        <v>4000</v>
      </c>
      <c r="O689" s="65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4000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2000</v>
      </c>
      <c r="K690" s="5">
        <f t="shared" si="16"/>
        <v>2000</v>
      </c>
      <c r="L690" s="15" t="s">
        <v>132</v>
      </c>
      <c r="M690" s="44">
        <f>SUMIFS('Saldos Iniciales'!$D$2:$D$38,'Saldos Iniciales'!$A$2:$A$38,C690,'Saldos Iniciales'!$B$2:$B$38,D690)+SUMIFS($K$1:$K$736,$C$1:$C$736,C690,$D$1:$D$736,D690,$B$1:$B$736,"&lt;="&amp;B690)</f>
        <v>2855.2900000000009</v>
      </c>
      <c r="N690" s="65">
        <f>IF(tblMovimientos[[#This Row],[Tipo de Movimiento]]="Ingreso",tblMovimientos[[#This Row],[Monto (S/)]],"0")</f>
        <v>2000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2000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41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7679.78</v>
      </c>
      <c r="K691" s="5">
        <f t="shared" si="16"/>
        <v>-7679.78</v>
      </c>
      <c r="L691" s="15" t="s">
        <v>132</v>
      </c>
      <c r="M691" s="44">
        <f>SUMIFS('Saldos Iniciales'!$D$2:$D$38,'Saldos Iniciales'!$A$2:$A$38,C691,'Saldos Iniciales'!$B$2:$B$38,D691)+SUMIFS($K$1:$K$736,$C$1:$C$736,C691,$D$1:$D$736,D691,$B$1:$B$736,"&lt;="&amp;B691)</f>
        <v>2855.2900000000009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7679.78</v>
      </c>
      <c r="P691" s="28">
        <f>IF(tblMovimientos[[#This Row],[Tipo de Movimiento]]="Ingreso",tblMovimientos[[#This Row],[Ingreso]],-tblMovimientos[[#This Row],[Egreso]])</f>
        <v>-7679.78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A&amp;M Imports</v>
      </c>
      <c r="D692" s="41" t="s">
        <v>100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4000</v>
      </c>
      <c r="K692" s="5">
        <f t="shared" si="16"/>
        <v>-4000</v>
      </c>
      <c r="L692" s="15" t="s">
        <v>132</v>
      </c>
      <c r="M692" s="44">
        <f>SUMIFS('Saldos Iniciales'!$D$2:$D$38,'Saldos Iniciales'!$A$2:$A$38,C692,'Saldos Iniciales'!$B$2:$B$38,D692)+SUMIFS($K$1:$K$736,$C$1:$C$736,C692,$D$1:$D$736,D692,$B$1:$B$736,"&lt;="&amp;B692)</f>
        <v>1452426.0399999998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4000</v>
      </c>
      <c r="P692" s="28">
        <f>IF(tblMovimientos[[#This Row],[Tipo de Movimiento]]="Ingreso",tblMovimientos[[#This Row],[Ingreso]],-tblMovimientos[[#This Row],[Egreso]])</f>
        <v>-4000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2000</v>
      </c>
      <c r="K693" s="5">
        <f t="shared" ref="K693:K722" si="17">IF(F693="Ingreso",J693,-J693)</f>
        <v>-2000</v>
      </c>
      <c r="L693" s="15" t="s">
        <v>132</v>
      </c>
      <c r="M693" s="44">
        <f>SUMIFS('Saldos Iniciales'!$D$2:$D$38,'Saldos Iniciales'!$A$2:$A$38,C693,'Saldos Iniciales'!$B$2:$B$38,D693)+SUMIFS($K$1:$K$736,$C$1:$C$736,C693,$D$1:$D$736,D693,$B$1:$B$736,"&lt;="&amp;B693)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2000</v>
      </c>
      <c r="P693" s="28">
        <f>IF(tblMovimientos[[#This Row],[Tipo de Movimiento]]="Ingreso",tblMovimientos[[#This Row],[Ingreso]],-tblMovimientos[[#This Row],[Egreso]])</f>
        <v>-2000</v>
      </c>
    </row>
    <row r="694" spans="2:16" x14ac:dyDescent="0.3">
      <c r="B694" s="39">
        <v>46240</v>
      </c>
      <c r="C694" s="46" t="str">
        <f>_xlfn.XLOOKUP(tblMovimientos[[#This Row],[Cuenta Bancaria]],Listas!$B:$B,Listas!$A:$A,"")</f>
        <v>SSP Capital</v>
      </c>
      <c r="D694" s="41" t="s">
        <v>101</v>
      </c>
      <c r="E694" s="4" t="str">
        <f>_xlfn.XLOOKUP(tblMovimientos[[#This Row],[Cuenta Bancaria]],Listas!$B:$B,Listas!$C:$C,"")</f>
        <v>Bank of America</v>
      </c>
      <c r="F694" s="41" t="s">
        <v>9</v>
      </c>
      <c r="G694" s="41" t="s">
        <v>85</v>
      </c>
      <c r="H694" s="4" t="str">
        <f>IFERROR(_xlfn.XLOOKUP(G694,Listas!E:E,Listas!F:F,""),"")</f>
        <v>Operativo</v>
      </c>
      <c r="I694" s="46" t="str">
        <f>IFERROR(_xlfn.XLOOKUP(G694,Listas!E:E,Listas!G:G,""),"")</f>
        <v>Interno</v>
      </c>
      <c r="J694" s="43">
        <v>20000</v>
      </c>
      <c r="K694" s="5">
        <f t="shared" si="17"/>
        <v>20000</v>
      </c>
      <c r="L694" s="15" t="s">
        <v>132</v>
      </c>
      <c r="M694" s="44">
        <f>SUMIFS('Saldos Iniciales'!$D$2:$D$38,'Saldos Iniciales'!$A$2:$A$38,C694,'Saldos Iniciales'!$B$2:$B$38,D694)+SUMIFS($K$1:$K$736,$C$1:$C$736,C694,$D$1:$D$736,D694,$B$1:$B$736,"&lt;="&amp;B694)</f>
        <v>32135.440000000002</v>
      </c>
      <c r="N694" s="65">
        <f>IF(tblMovimientos[[#This Row],[Tipo de Movimiento]]="Ingreso",tblMovimientos[[#This Row],[Monto (S/)]],"0")</f>
        <v>20000</v>
      </c>
      <c r="O694" s="65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20000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69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9280.15</v>
      </c>
      <c r="K695" s="5">
        <f t="shared" si="17"/>
        <v>9280.15</v>
      </c>
      <c r="L695" s="15" t="s">
        <v>132</v>
      </c>
      <c r="M695" s="44">
        <f>SUMIFS('Saldos Iniciales'!$D$2:$D$38,'Saldos Iniciales'!$A$2:$A$38,C695,'Saldos Iniciales'!$B$2:$B$38,D695)+SUMIFS($K$1:$K$736,$C$1:$C$736,C695,$D$1:$D$736,D695,$B$1:$B$736,"&lt;="&amp;B695)</f>
        <v>32135.440000000002</v>
      </c>
      <c r="N695" s="65">
        <f>IF(tblMovimientos[[#This Row],[Tipo de Movimiento]]="Ingreso",tblMovimientos[[#This Row],[Monto (S/)]],"0")</f>
        <v>9280.15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9280.15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A&amp;M Imports</v>
      </c>
      <c r="D696" s="41" t="s">
        <v>100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61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60000</v>
      </c>
      <c r="K696" s="5">
        <f t="shared" si="17"/>
        <v>-60000</v>
      </c>
      <c r="L696" s="15" t="s">
        <v>132</v>
      </c>
      <c r="M696" s="44">
        <f>SUMIFS('Saldos Iniciales'!$D$2:$D$38,'Saldos Iniciales'!$A$2:$A$38,C696,'Saldos Iniciales'!$B$2:$B$38,D696)+SUMIFS($K$1:$K$736,$C$1:$C$736,C696,$D$1:$D$736,D696,$B$1:$B$736,"&lt;="&amp;B696)</f>
        <v>1349451.94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60000</v>
      </c>
      <c r="P696" s="28">
        <f>IF(tblMovimientos[[#This Row],[Tipo de Movimiento]]="Ingreso",tblMovimientos[[#This Row],[Ingreso]],-tblMovimientos[[#This Row],[Egreso]])</f>
        <v>-60000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48</v>
      </c>
      <c r="H697" s="4" t="str">
        <f>IFERROR(_xlfn.XLOOKUP(G697,Listas!E:E,Listas!F:F,""),"")</f>
        <v>Financiamiento</v>
      </c>
      <c r="I697" s="46" t="str">
        <f>IFERROR(_xlfn.XLOOKUP(G697,Listas!E:E,Listas!G:G,""),"")</f>
        <v>Externo</v>
      </c>
      <c r="J697" s="43">
        <v>9280.15</v>
      </c>
      <c r="K697" s="5">
        <f t="shared" si="17"/>
        <v>-9280.15</v>
      </c>
      <c r="L697" s="15" t="s">
        <v>132</v>
      </c>
      <c r="M697" s="44">
        <f>SUMIFS('Saldos Iniciales'!$D$2:$D$38,'Saldos Iniciales'!$A$2:$A$38,C697,'Saldos Iniciales'!$B$2:$B$38,D697)+SUMIFS($K$1:$K$736,$C$1:$C$736,C697,$D$1:$D$736,D697,$B$1:$B$736,"&lt;="&amp;B697)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9280.15</v>
      </c>
      <c r="P697" s="28">
        <f>IF(tblMovimientos[[#This Row],[Tipo de Movimiento]]="Ingreso",tblMovimientos[[#This Row],[Ingreso]],-tblMovimientos[[#This Row],[Egreso]])</f>
        <v>-9280.15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33693.949999999997</v>
      </c>
      <c r="K698" s="5">
        <f t="shared" si="17"/>
        <v>-33693.949999999997</v>
      </c>
      <c r="L698" s="15" t="s">
        <v>132</v>
      </c>
      <c r="M698" s="44">
        <f>SUMIFS('Saldos Iniciales'!$D$2:$D$38,'Saldos Iniciales'!$A$2:$A$38,C698,'Saldos Iniciales'!$B$2:$B$38,D698)+SUMIFS($K$1:$K$736,$C$1:$C$736,C698,$D$1:$D$736,D698,$B$1:$B$736,"&lt;="&amp;B698)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33693.949999999997</v>
      </c>
      <c r="P698" s="28">
        <f>IF(tblMovimientos[[#This Row],[Tipo de Movimiento]]="Ingreso",tblMovimientos[[#This Row],[Ingreso]],-tblMovimientos[[#This Row],[Egreso]])</f>
        <v>-33693.949999999997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CFT Group</v>
      </c>
      <c r="D699" s="41" t="s">
        <v>95</v>
      </c>
      <c r="E699" s="4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46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2975</v>
      </c>
      <c r="K699" s="5">
        <f t="shared" si="17"/>
        <v>-2975</v>
      </c>
      <c r="L699" s="15" t="s">
        <v>132</v>
      </c>
      <c r="M699" s="44">
        <f>SUMIFS('Saldos Iniciales'!$D$2:$D$38,'Saldos Iniciales'!$A$2:$A$38,C699,'Saldos Iniciales'!$B$2:$B$38,D699)+SUMIFS($K$1:$K$736,$C$1:$C$736,C699,$D$1:$D$736,D699,$B$1:$B$736,"&lt;="&amp;B699)</f>
        <v>915269.68000000063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2975</v>
      </c>
      <c r="P699" s="28">
        <f>IF(tblMovimientos[[#This Row],[Tipo de Movimiento]]="Ingreso",tblMovimientos[[#This Row],[Ingreso]],-tblMovimientos[[#This Row],[Egreso]])</f>
        <v>-2975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11666.67</v>
      </c>
      <c r="K700" s="5">
        <f t="shared" si="17"/>
        <v>-11666.67</v>
      </c>
      <c r="L700" s="15" t="s">
        <v>132</v>
      </c>
      <c r="M700" s="44">
        <f>SUMIFS('Saldos Iniciales'!$D$2:$D$38,'Saldos Iniciales'!$A$2:$A$38,C700,'Saldos Iniciales'!$B$2:$B$38,D700)+SUMIFS($K$1:$K$736,$C$1:$C$736,C700,$D$1:$D$736,D700,$B$1:$B$736,"&lt;="&amp;B700)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11666.67</v>
      </c>
      <c r="P700" s="28">
        <f>IF(tblMovimientos[[#This Row],[Tipo de Movimiento]]="Ingreso",tblMovimientos[[#This Row],[Ingreso]],-tblMovimientos[[#This Row],[Egreso]])</f>
        <v>-11666.67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61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45000</v>
      </c>
      <c r="K701" s="5">
        <f t="shared" si="17"/>
        <v>-45000</v>
      </c>
      <c r="L701" s="15" t="s">
        <v>132</v>
      </c>
      <c r="M701" s="44">
        <f>SUMIFS('Saldos Iniciales'!$D$2:$D$38,'Saldos Iniciales'!$A$2:$A$38,C701,'Saldos Iniciales'!$B$2:$B$38,D701)+SUMIFS($K$1:$K$736,$C$1:$C$736,C701,$D$1:$D$736,D701,$B$1:$B$736,"&lt;="&amp;B701)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45000</v>
      </c>
      <c r="P701" s="28">
        <f>IF(tblMovimientos[[#This Row],[Tipo de Movimiento]]="Ingreso",tblMovimientos[[#This Row],[Ingreso]],-tblMovimientos[[#This Row],[Egreso]])</f>
        <v>-45000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75000</v>
      </c>
      <c r="K702" s="5">
        <f t="shared" si="17"/>
        <v>-75000</v>
      </c>
      <c r="L702" s="15" t="s">
        <v>132</v>
      </c>
      <c r="M702" s="44">
        <f>SUMIFS('Saldos Iniciales'!$D$2:$D$38,'Saldos Iniciales'!$A$2:$A$38,C702,'Saldos Iniciales'!$B$2:$B$38,D702)+SUMIFS($K$1:$K$736,$C$1:$C$736,C702,$D$1:$D$736,D702,$B$1:$B$736,"&lt;="&amp;B702)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75000</v>
      </c>
      <c r="P702" s="28">
        <f>IF(tblMovimientos[[#This Row],[Tipo de Movimiento]]="Ingreso",tblMovimientos[[#This Row],[Ingreso]],-tblMovimientos[[#This Row],[Egreso]])</f>
        <v>-75000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80000</v>
      </c>
      <c r="K703" s="5">
        <f t="shared" si="17"/>
        <v>-80000</v>
      </c>
      <c r="L703" s="15" t="s">
        <v>132</v>
      </c>
      <c r="M703" s="44">
        <f>SUMIFS('Saldos Iniciales'!$D$2:$D$38,'Saldos Iniciales'!$A$2:$A$38,C703,'Saldos Iniciales'!$B$2:$B$38,D703)+SUMIFS($K$1:$K$736,$C$1:$C$736,C703,$D$1:$D$736,D703,$B$1:$B$736,"&lt;="&amp;B703)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80000</v>
      </c>
      <c r="P703" s="28">
        <f>IF(tblMovimientos[[#This Row],[Tipo de Movimiento]]="Ingreso",tblMovimientos[[#This Row],[Ingreso]],-tblMovimientos[[#This Row],[Egreso]])</f>
        <v>-80000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100000</v>
      </c>
      <c r="K704" s="5">
        <f t="shared" si="17"/>
        <v>-100000</v>
      </c>
      <c r="L704" s="15" t="s">
        <v>132</v>
      </c>
      <c r="M704" s="44">
        <f>SUMIFS('Saldos Iniciales'!$D$2:$D$38,'Saldos Iniciales'!$A$2:$A$38,C704,'Saldos Iniciales'!$B$2:$B$38,D704)+SUMIFS($K$1:$K$736,$C$1:$C$736,C704,$D$1:$D$736,D704,$B$1:$B$736,"&lt;="&amp;B704)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100000</v>
      </c>
      <c r="P704" s="28">
        <f>IF(tblMovimientos[[#This Row],[Tipo de Movimiento]]="Ingreso",tblMovimientos[[#This Row],[Ingreso]],-tblMovimientos[[#This Row],[Egreso]])</f>
        <v>-100000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7"/>
        <v>-100000</v>
      </c>
      <c r="L705" s="15" t="s">
        <v>132</v>
      </c>
      <c r="M705" s="44">
        <f>SUMIFS('Saldos Iniciales'!$D$2:$D$38,'Saldos Iniciales'!$A$2:$A$38,C705,'Saldos Iniciales'!$B$2:$B$38,D705)+SUMIFS($K$1:$K$736,$C$1:$C$736,C705,$D$1:$D$736,D705,$B$1:$B$736,"&lt;="&amp;B705)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7"/>
        <v>-100000</v>
      </c>
      <c r="L706" s="15" t="s">
        <v>132</v>
      </c>
      <c r="M706" s="44">
        <f>SUMIFS('Saldos Iniciales'!$D$2:$D$38,'Saldos Iniciales'!$A$2:$A$38,C706,'Saldos Iniciales'!$B$2:$B$38,D706)+SUMIFS($K$1:$K$736,$C$1:$C$736,C706,$D$1:$D$736,D706,$B$1:$B$736,"&lt;="&amp;B706)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200000</v>
      </c>
      <c r="K707" s="5">
        <f t="shared" si="17"/>
        <v>-200000</v>
      </c>
      <c r="L707" s="15" t="s">
        <v>132</v>
      </c>
      <c r="M707" s="44">
        <f>SUMIFS('Saldos Iniciales'!$D$2:$D$38,'Saldos Iniciales'!$A$2:$A$38,C707,'Saldos Iniciales'!$B$2:$B$38,D707)+SUMIFS($K$1:$K$736,$C$1:$C$736,C707,$D$1:$D$736,D707,$B$1:$B$736,"&lt;="&amp;B707)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200000</v>
      </c>
      <c r="P707" s="28">
        <f>IF(tblMovimientos[[#This Row],[Tipo de Movimiento]]="Ingreso",tblMovimientos[[#This Row],[Ingreso]],-tblMovimientos[[#This Row],[Egreso]])</f>
        <v>-200000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50</v>
      </c>
      <c r="H708" s="4" t="str">
        <f>IFERROR(_xlfn.XLOOKUP(G708,Listas!E:E,Listas!F:F,""),"")</f>
        <v>Financiamiento</v>
      </c>
      <c r="I708" s="46" t="str">
        <f>IFERROR(_xlfn.XLOOKUP(G708,Listas!E:E,Listas!G:G,""),"")</f>
        <v>Externo</v>
      </c>
      <c r="J708" s="43">
        <v>600000</v>
      </c>
      <c r="K708" s="5">
        <f t="shared" si="17"/>
        <v>-600000</v>
      </c>
      <c r="L708" s="15" t="s">
        <v>132</v>
      </c>
      <c r="M708" s="44">
        <f>SUMIFS('Saldos Iniciales'!$D$2:$D$38,'Saldos Iniciales'!$A$2:$A$38,C708,'Saldos Iniciales'!$B$2:$B$38,D708)+SUMIFS($K$1:$K$736,$C$1:$C$736,C708,$D$1:$D$736,D708,$B$1:$B$736,"&lt;="&amp;B708)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600000</v>
      </c>
      <c r="P708" s="28">
        <f>IF(tblMovimientos[[#This Row],[Tipo de Movimiento]]="Ingreso",tblMovimientos[[#This Row],[Ingreso]],-tblMovimientos[[#This Row],[Egreso]])</f>
        <v>-600000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Cross Family Trust</v>
      </c>
      <c r="D709" s="41" t="s">
        <v>111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53</v>
      </c>
      <c r="H709" s="4" t="str">
        <f>IFERROR(_xlfn.XLOOKUP(G709,Listas!E:E,Listas!F:F,""),"")</f>
        <v>Inversion</v>
      </c>
      <c r="I709" s="46" t="str">
        <f>IFERROR(_xlfn.XLOOKUP(G709,Listas!E:E,Listas!G:G,""),"")</f>
        <v>Interno</v>
      </c>
      <c r="J709" s="43">
        <v>13000</v>
      </c>
      <c r="K709" s="5">
        <f t="shared" si="17"/>
        <v>-13000</v>
      </c>
      <c r="L709" s="15" t="s">
        <v>132</v>
      </c>
      <c r="M709" s="44">
        <f>SUMIFS('Saldos Iniciales'!$D$2:$D$38,'Saldos Iniciales'!$A$2:$A$38,C709,'Saldos Iniciales'!$B$2:$B$38,D709)+SUMIFS($K$1:$K$736,$C$1:$C$736,C709,$D$1:$D$736,D709,$B$1:$B$736,"&lt;="&amp;B709)</f>
        <v>68717.600000000006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13000</v>
      </c>
      <c r="P709" s="28">
        <f>IF(tblMovimientos[[#This Row],[Tipo de Movimiento]]="Ingreso",tblMovimientos[[#This Row],[Ingreso]],-tblMovimientos[[#This Row],[Egreso]])</f>
        <v>-13000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SSP Capital</v>
      </c>
      <c r="D710" s="41" t="s">
        <v>104</v>
      </c>
      <c r="E710" s="4" t="str">
        <f>_xlfn.XLOOKUP(tblMovimientos[[#This Row],[Cuenta Bancaria]],Listas!$B:$B,Listas!$C:$C,"")</f>
        <v xml:space="preserve">Amerant Bank </v>
      </c>
      <c r="F710" s="41" t="s">
        <v>9</v>
      </c>
      <c r="G710" s="41" t="s">
        <v>71</v>
      </c>
      <c r="H710" s="4" t="str">
        <f>IFERROR(_xlfn.XLOOKUP(G710,Listas!E:E,Listas!F:F,""),"")</f>
        <v>Operativo</v>
      </c>
      <c r="I710" s="46" t="str">
        <f>IFERROR(_xlfn.XLOOKUP(G710,Listas!E:E,Listas!G:G,""),"")</f>
        <v>Interno</v>
      </c>
      <c r="J710" s="43">
        <v>600000</v>
      </c>
      <c r="K710" s="5">
        <f t="shared" si="17"/>
        <v>600000</v>
      </c>
      <c r="L710" s="15" t="s">
        <v>132</v>
      </c>
      <c r="M710" s="44">
        <f>SUMIFS('Saldos Iniciales'!$D$2:$D$38,'Saldos Iniciales'!$A$2:$A$38,C710,'Saldos Iniciales'!$B$2:$B$38,D710)+SUMIFS($K$1:$K$736,$C$1:$C$736,C710,$D$1:$D$736,D710,$B$1:$B$736,"&lt;="&amp;B710)</f>
        <v>1249899.0099999993</v>
      </c>
      <c r="N710" s="65">
        <f>IF(tblMovimientos[[#This Row],[Tipo de Movimiento]]="Ingreso",tblMovimientos[[#This Row],[Monto (S/)]],"0")</f>
        <v>600000</v>
      </c>
      <c r="O710" s="65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38</v>
      </c>
      <c r="H711" s="4" t="str">
        <f>IFERROR(_xlfn.XLOOKUP(G711,Listas!E:E,Listas!F:F,""),"")</f>
        <v>Operativo</v>
      </c>
      <c r="I711" s="46" t="str">
        <f>IFERROR(_xlfn.XLOOKUP(G711,Listas!E:E,Listas!G:G,""),"")</f>
        <v>Externo</v>
      </c>
      <c r="J711" s="43">
        <v>385</v>
      </c>
      <c r="K711" s="5">
        <f t="shared" si="17"/>
        <v>-385</v>
      </c>
      <c r="L711" s="15" t="s">
        <v>132</v>
      </c>
      <c r="M711" s="44">
        <f>SUMIFS('Saldos Iniciales'!$D$2:$D$38,'Saldos Iniciales'!$A$2:$A$38,C711,'Saldos Iniciales'!$B$2:$B$38,D711)+SUMIFS($K$1:$K$736,$C$1:$C$736,C711,$D$1:$D$736,D711,$B$1:$B$736,"&lt;="&amp;B711)</f>
        <v>1249899.0099999993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385</v>
      </c>
      <c r="P711" s="28">
        <f>IF(tblMovimientos[[#This Row],[Tipo de Movimiento]]="Ingreso",tblMovimientos[[#This Row],[Ingreso]],-tblMovimientos[[#This Row],[Egreso]])</f>
        <v>-385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56</v>
      </c>
      <c r="H712" s="4" t="str">
        <f>IFERROR(_xlfn.XLOOKUP(G712,Listas!E:E,Listas!F:F,""),"")</f>
        <v>Inversion</v>
      </c>
      <c r="I712" s="46" t="str">
        <f>IFERROR(_xlfn.XLOOKUP(G712,Listas!E:E,Listas!G:G,""),"")</f>
        <v>Externo</v>
      </c>
      <c r="J712" s="43">
        <v>4375</v>
      </c>
      <c r="K712" s="5">
        <f t="shared" si="17"/>
        <v>-4375</v>
      </c>
      <c r="L712" s="15" t="s">
        <v>132</v>
      </c>
      <c r="M712" s="44">
        <f>SUMIFS('Saldos Iniciales'!$D$2:$D$38,'Saldos Iniciales'!$A$2:$A$38,C712,'Saldos Iniciales'!$B$2:$B$38,D712)+SUMIFS($K$1:$K$736,$C$1:$C$736,C712,$D$1:$D$736,D712,$B$1:$B$736,"&lt;="&amp;B712)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4375</v>
      </c>
      <c r="P712" s="28">
        <f>IF(tblMovimientos[[#This Row],[Tipo de Movimiento]]="Ingreso",tblMovimientos[[#This Row],[Ingreso]],-tblMovimientos[[#This Row],[Egreso]])</f>
        <v>-4375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14634</v>
      </c>
      <c r="K713" s="5">
        <f t="shared" si="17"/>
        <v>-14634</v>
      </c>
      <c r="L713" s="15" t="s">
        <v>132</v>
      </c>
      <c r="M713" s="44">
        <f>SUMIFS('Saldos Iniciales'!$D$2:$D$38,'Saldos Iniciales'!$A$2:$A$38,C713,'Saldos Iniciales'!$B$2:$B$38,D713)+SUMIFS($K$1:$K$736,$C$1:$C$736,C713,$D$1:$D$736,D713,$B$1:$B$736,"&lt;="&amp;B713)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14634</v>
      </c>
      <c r="P713" s="28">
        <f>IF(tblMovimientos[[#This Row],[Tipo de Movimiento]]="Ingreso",tblMovimientos[[#This Row],[Ingreso]],-tblMovimientos[[#This Row],[Egreso]])</f>
        <v>-14634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64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 t="shared" si="17"/>
        <v>-20000</v>
      </c>
      <c r="L714" s="15" t="s">
        <v>132</v>
      </c>
      <c r="M714" s="44">
        <f>SUMIFS('Saldos Iniciales'!$D$2:$D$38,'Saldos Iniciales'!$A$2:$A$38,C714,'Saldos Iniciales'!$B$2:$B$38,D714)+SUMIFS($K$1:$K$736,$C$1:$C$736,C714,$D$1:$D$736,D714,$B$1:$B$736,"&lt;="&amp;B714)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20000</v>
      </c>
      <c r="P714" s="28">
        <f>IF(tblMovimientos[[#This Row],[Tipo de Movimiento]]="Ingreso",tblMovimientos[[#This Row],[Ingreso]],-tblMovimientos[[#This Row],[Egreso]])</f>
        <v>-20000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Green Harbor Trust</v>
      </c>
      <c r="D715" s="41" t="s">
        <v>125</v>
      </c>
      <c r="E715" s="4" t="str">
        <f>_xlfn.XLOOKUP(tblMovimientos[[#This Row],[Cuenta Bancaria]],Listas!$B:$B,Listas!$C:$C,"")</f>
        <v xml:space="preserve">Amerant Bank </v>
      </c>
      <c r="F715" s="41" t="s">
        <v>9</v>
      </c>
      <c r="G715" s="41" t="s">
        <v>77</v>
      </c>
      <c r="H715" s="4" t="str">
        <f>IFERROR(_xlfn.XLOOKUP(G715,Listas!E:E,Listas!F:F,""),"")</f>
        <v>Inversion</v>
      </c>
      <c r="I715" s="46" t="str">
        <f>IFERROR(_xlfn.XLOOKUP(G715,Listas!E:E,Listas!G:G,""),"")</f>
        <v>Interno</v>
      </c>
      <c r="J715" s="43">
        <v>13000</v>
      </c>
      <c r="K715" s="5">
        <f t="shared" si="17"/>
        <v>13000</v>
      </c>
      <c r="L715" s="15" t="s">
        <v>132</v>
      </c>
      <c r="M715" s="44">
        <f>SUMIFS('Saldos Iniciales'!$D$2:$D$38,'Saldos Iniciales'!$A$2:$A$38,C715,'Saldos Iniciales'!$B$2:$B$38,D715)+SUMIFS($K$1:$K$736,$C$1:$C$736,C715,$D$1:$D$736,D715,$B$1:$B$736,"&lt;="&amp;B715)</f>
        <v>345</v>
      </c>
      <c r="N715" s="65">
        <f>IF(tblMovimientos[[#This Row],[Tipo de Movimiento]]="Ingreso",tblMovimientos[[#This Row],[Monto (S/)]],"0")</f>
        <v>13000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13000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52</v>
      </c>
      <c r="H716" s="4" t="str">
        <f>IFERROR(_xlfn.XLOOKUP(G716,Listas!E:E,Listas!F:F,""),"")</f>
        <v>Inversion</v>
      </c>
      <c r="I716" s="46" t="str">
        <f>IFERROR(_xlfn.XLOOKUP(G716,Listas!E:E,Listas!G:G,""),"")</f>
        <v>Externo</v>
      </c>
      <c r="J716" s="43">
        <v>13000</v>
      </c>
      <c r="K716" s="5">
        <f t="shared" si="17"/>
        <v>-13000</v>
      </c>
      <c r="L716" s="15" t="s">
        <v>132</v>
      </c>
      <c r="M716" s="44">
        <f>SUMIFS('Saldos Iniciales'!$D$2:$D$38,'Saldos Iniciales'!$A$2:$A$38,C716,'Saldos Iniciales'!$B$2:$B$38,D716)+SUMIFS($K$1:$K$736,$C$1:$C$736,C716,$D$1:$D$736,D716,$B$1:$B$736,"&lt;="&amp;B716)</f>
        <v>345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13000</v>
      </c>
      <c r="P716" s="28">
        <f>IF(tblMovimientos[[#This Row],[Tipo de Movimiento]]="Ingreso",tblMovimientos[[#This Row],[Ingreso]],-tblMovimientos[[#This Row],[Egreso]])</f>
        <v>-13000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Go Blue</v>
      </c>
      <c r="D717" s="41" t="s">
        <v>126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17"/>
        <v>13000</v>
      </c>
      <c r="L717" s="15" t="s">
        <v>132</v>
      </c>
      <c r="M717" s="44">
        <f>SUMIFS('Saldos Iniciales'!$D$2:$D$38,'Saldos Iniciales'!$A$2:$A$38,C717,'Saldos Iniciales'!$B$2:$B$38,D717)+SUMIFS($K$1:$K$736,$C$1:$C$736,C717,$D$1:$D$736,D717,$B$1:$B$736,"&lt;="&amp;B717)</f>
        <v>10184.749999999998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38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15</v>
      </c>
      <c r="K718" s="5">
        <f t="shared" si="17"/>
        <v>-15</v>
      </c>
      <c r="L718" s="15" t="s">
        <v>132</v>
      </c>
      <c r="M718" s="44">
        <f>SUMIFS('Saldos Iniciales'!$D$2:$D$38,'Saldos Iniciales'!$A$2:$A$38,C718,'Saldos Iniciales'!$B$2:$B$38,D718)+SUMIFS($K$1:$K$736,$C$1:$C$736,C718,$D$1:$D$736,D718,$B$1:$B$736,"&lt;="&amp;B718)</f>
        <v>10184.749999999998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15</v>
      </c>
      <c r="P718" s="28">
        <f>IF(tblMovimientos[[#This Row],[Tipo de Movimiento]]="Ingreso",tblMovimientos[[#This Row],[Ingreso]],-tblMovimientos[[#This Row],[Egreso]])</f>
        <v>-15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2413.56</v>
      </c>
      <c r="K719" s="5">
        <f t="shared" si="17"/>
        <v>-2413.56</v>
      </c>
      <c r="L719" s="15" t="s">
        <v>132</v>
      </c>
      <c r="M719" s="44">
        <f>SUMIFS('Saldos Iniciales'!$D$2:$D$38,'Saldos Iniciales'!$A$2:$A$38,C719,'Saldos Iniciales'!$B$2:$B$38,D719)+SUMIFS($K$1:$K$736,$C$1:$C$736,C719,$D$1:$D$736,D719,$B$1:$B$736,"&lt;="&amp;B719)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2413.56</v>
      </c>
      <c r="P719" s="28">
        <f>IF(tblMovimientos[[#This Row],[Tipo de Movimiento]]="Ingreso",tblMovimientos[[#This Row],[Ingreso]],-tblMovimientos[[#This Row],[Egreso]])</f>
        <v>-2413.56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44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17"/>
        <v>-15</v>
      </c>
      <c r="L720" s="15" t="s">
        <v>132</v>
      </c>
      <c r="M720" s="44">
        <f>SUMIFS('Saldos Iniciales'!$D$2:$D$38,'Saldos Iniciales'!$A$2:$A$38,C720,'Saldos Iniciales'!$B$2:$B$38,D720)+SUMIFS($K$1:$K$736,$C$1:$C$736,C720,$D$1:$D$736,D720,$B$1:$B$736,"&lt;="&amp;B720)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5950.82</v>
      </c>
      <c r="K721" s="5">
        <f t="shared" si="17"/>
        <v>-5950.82</v>
      </c>
      <c r="L721" s="15" t="s">
        <v>132</v>
      </c>
      <c r="M721" s="44">
        <f>SUMIFS('Saldos Iniciales'!$D$2:$D$38,'Saldos Iniciales'!$A$2:$A$38,C721,'Saldos Iniciales'!$B$2:$B$38,D721)+SUMIFS($K$1:$K$736,$C$1:$C$736,C721,$D$1:$D$736,D721,$B$1:$B$736,"&lt;="&amp;B721)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5950.82</v>
      </c>
      <c r="P721" s="28">
        <f>IF(tblMovimientos[[#This Row],[Tipo de Movimiento]]="Ingreso",tblMovimientos[[#This Row],[Ingreso]],-tblMovimientos[[#This Row],[Egreso]])</f>
        <v>-5950.82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17"/>
        <v>-15</v>
      </c>
      <c r="L722" s="15" t="s">
        <v>132</v>
      </c>
      <c r="M722" s="44">
        <f>SUMIFS('Saldos Iniciales'!$D$2:$D$38,'Saldos Iniciales'!$A$2:$A$38,C722,'Saldos Iniciales'!$B$2:$B$38,D722)+SUMIFS($K$1:$K$736,$C$1:$C$736,C722,$D$1:$D$736,D722,$B$1:$B$736,"&lt;="&amp;B722)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46241</v>
      </c>
      <c r="C723" s="46" t="str">
        <f>_xlfn.XLOOKUP(tblMovimientos[[#This Row],[Cuenta Bancaria]],Listas!$B:$B,Listas!$A:$A,"")</f>
        <v>2515 Overbrook</v>
      </c>
      <c r="D723" s="41" t="s">
        <v>121</v>
      </c>
      <c r="E723" s="73" t="str">
        <f>_xlfn.XLOOKUP(tblMovimientos[[#This Row],[Cuenta Bancaria]],Listas!$B:$B,Listas!$C:$C,"")</f>
        <v>Bank of America</v>
      </c>
      <c r="F723" s="41" t="s">
        <v>9</v>
      </c>
      <c r="G723" s="41" t="s">
        <v>87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62.9</v>
      </c>
      <c r="K723" s="5">
        <f t="shared" ref="K723:K735" si="18">IF(F723="Ingreso",J723,-J723)</f>
        <v>62.9</v>
      </c>
      <c r="L723" s="15" t="s">
        <v>132</v>
      </c>
      <c r="M723" s="44">
        <f>SUMIFS('Saldos Iniciales'!$D$2:$D$38,'Saldos Iniciales'!$A$2:$A$38,C723,'Saldos Iniciales'!$B$2:$B$38,D723)+SUMIFS($K$1:$K$736,$C$1:$C$736,C723,$D$1:$D$736,D723,$B$1:$B$736,"&lt;="&amp;B723)</f>
        <v>10949.219999999963</v>
      </c>
      <c r="N723" s="65">
        <f>IF(tblMovimientos[[#This Row],[Tipo de Movimiento]]="Ingreso",tblMovimientos[[#This Row],[Monto (S/)]],"0")</f>
        <v>62.9</v>
      </c>
      <c r="O723" s="65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62.9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3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42.5</v>
      </c>
      <c r="K724" s="5">
        <f t="shared" si="18"/>
        <v>42.5</v>
      </c>
      <c r="L724" s="15" t="s">
        <v>132</v>
      </c>
      <c r="M724" s="44">
        <f>SUMIFS('Saldos Iniciales'!$D$2:$D$38,'Saldos Iniciales'!$A$2:$A$38,C724,'Saldos Iniciales'!$B$2:$B$38,D724)+SUMIFS($K$1:$K$736,$C$1:$C$736,C724,$D$1:$D$736,D724,$B$1:$B$736,"&lt;="&amp;B724)</f>
        <v>10949.219999999963</v>
      </c>
      <c r="N724" s="65">
        <f>IF(tblMovimientos[[#This Row],[Tipo de Movimiento]]="Ingreso",tblMovimientos[[#This Row],[Monto (S/)]],"0")</f>
        <v>42.5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42.5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3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205</v>
      </c>
      <c r="K725" s="5">
        <f t="shared" si="18"/>
        <v>-205</v>
      </c>
      <c r="L725" s="15" t="s">
        <v>132</v>
      </c>
      <c r="M725" s="44">
        <f>SUMIFS('Saldos Iniciales'!$D$2:$D$38,'Saldos Iniciales'!$A$2:$A$38,C725,'Saldos Iniciales'!$B$2:$B$38,D725)+SUMIFS($K$1:$K$736,$C$1:$C$736,C725,$D$1:$D$736,D725,$B$1:$B$736,"&lt;="&amp;B725)</f>
        <v>10949.219999999963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205</v>
      </c>
      <c r="P725" s="28">
        <f>IF(tblMovimientos[[#This Row],[Tipo de Movimiento]]="Ingreso",tblMovimientos[[#This Row],[Ingreso]],-tblMovimientos[[#This Row],[Egreso]])</f>
        <v>-205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3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2445</v>
      </c>
      <c r="K726" s="5">
        <f t="shared" si="18"/>
        <v>-2445</v>
      </c>
      <c r="L726" s="15" t="s">
        <v>132</v>
      </c>
      <c r="M726" s="44">
        <f>SUMIFS('Saldos Iniciales'!$D$2:$D$38,'Saldos Iniciales'!$A$2:$A$38,C726,'Saldos Iniciales'!$B$2:$B$38,D726)+SUMIFS($K$1:$K$736,$C$1:$C$736,C726,$D$1:$D$736,D726,$B$1:$B$736,"&lt;="&amp;B726)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2445</v>
      </c>
      <c r="P726" s="28">
        <f>IF(tblMovimientos[[#This Row],[Tipo de Movimiento]]="Ingreso",tblMovimientos[[#This Row],[Ingreso]],-tblMovimientos[[#This Row],[Egreso]])</f>
        <v>-2445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3628 Thomas Ave</v>
      </c>
      <c r="D727" s="41" t="s">
        <v>124</v>
      </c>
      <c r="E727" s="73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5000</v>
      </c>
      <c r="K727" s="5">
        <f t="shared" si="18"/>
        <v>5000</v>
      </c>
      <c r="L727" s="15" t="s">
        <v>132</v>
      </c>
      <c r="M727" s="44">
        <f>SUMIFS('Saldos Iniciales'!$D$2:$D$38,'Saldos Iniciales'!$A$2:$A$38,C727,'Saldos Iniciales'!$B$2:$B$38,D727)+SUMIFS($K$1:$K$736,$C$1:$C$736,C727,$D$1:$D$736,D727,$B$1:$B$736,"&lt;="&amp;B727)</f>
        <v>15706.099999999997</v>
      </c>
      <c r="N727" s="65">
        <f>IF(tblMovimientos[[#This Row],[Tipo de Movimiento]]="Ingreso",tblMovimientos[[#This Row],[Monto (S/)]],"0")</f>
        <v>5000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5000</v>
      </c>
    </row>
    <row r="728" spans="1:16" x14ac:dyDescent="0.3">
      <c r="B728" s="39">
        <v>46244</v>
      </c>
      <c r="C728" s="46" t="str">
        <f>_xlfn.XLOOKUP(tblMovimientos[[#This Row],[Cuenta Bancaria]],Listas!$B:$B,Listas!$A:$A,"")</f>
        <v>SSP Capital</v>
      </c>
      <c r="D728" s="41" t="s">
        <v>101</v>
      </c>
      <c r="E728" s="73" t="str">
        <f>_xlfn.XLOOKUP(tblMovimientos[[#This Row],[Cuenta Bancaria]],Listas!$B:$B,Listas!$C:$C,"")</f>
        <v>Bank of America</v>
      </c>
      <c r="F728" s="41" t="s">
        <v>10</v>
      </c>
      <c r="G728" s="41" t="s">
        <v>38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1291.6500000000001</v>
      </c>
      <c r="K728" s="5">
        <f t="shared" si="18"/>
        <v>-1291.6500000000001</v>
      </c>
      <c r="L728" s="15" t="s">
        <v>132</v>
      </c>
      <c r="M728" s="44">
        <f>SUMIFS('Saldos Iniciales'!$D$2:$D$38,'Saldos Iniciales'!$A$2:$A$38,C728,'Saldos Iniciales'!$B$2:$B$38,D728)+SUMIFS($K$1:$K$736,$C$1:$C$736,C728,$D$1:$D$736,D728,$B$1:$B$736,"&lt;="&amp;B728)</f>
        <v>30843.79</v>
      </c>
      <c r="N728" s="65" t="str">
        <f>IF(tblMovimientos[[#This Row],[Tipo de Movimiento]]="Ingreso",tblMovimientos[[#This Row],[Monto (S/)]],"0")</f>
        <v>0</v>
      </c>
      <c r="O728" s="65">
        <f>IF(tblMovimientos[[#This Row],[Tipo de Movimiento]]="Egreso",tblMovimientos[[#This Row],[Monto (S/)]],"0")</f>
        <v>1291.6500000000001</v>
      </c>
      <c r="P728" s="28">
        <f>IF(tblMovimientos[[#This Row],[Tipo de Movimiento]]="Ingreso",tblMovimientos[[#This Row],[Ingreso]],-tblMovimientos[[#This Row],[Egreso]])</f>
        <v>-1291.6500000000001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CFT Group</v>
      </c>
      <c r="D729" s="41" t="s">
        <v>94</v>
      </c>
      <c r="E729" s="73" t="str">
        <f>_xlfn.XLOOKUP(tblMovimientos[[#This Row],[Cuenta Bancaria]],Listas!$B:$B,Listas!$C:$C,"")</f>
        <v>Bank of America</v>
      </c>
      <c r="F729" s="41" t="s">
        <v>9</v>
      </c>
      <c r="G729" s="41" t="s">
        <v>69</v>
      </c>
      <c r="H729" s="4" t="str">
        <f>IFERROR(_xlfn.XLOOKUP(G729,Listas!E:E,Listas!F:F,""),"")</f>
        <v>Operativo</v>
      </c>
      <c r="I729" s="46" t="str">
        <f>IFERROR(_xlfn.XLOOKUP(G729,Listas!E:E,Listas!G:G,""),"")</f>
        <v>Interno</v>
      </c>
      <c r="J729" s="43">
        <v>106686.57</v>
      </c>
      <c r="K729" s="5">
        <f t="shared" si="18"/>
        <v>106686.57</v>
      </c>
      <c r="L729" s="15" t="s">
        <v>132</v>
      </c>
      <c r="M729" s="44">
        <f>SUMIFS('Saldos Iniciales'!$D$2:$D$38,'Saldos Iniciales'!$A$2:$A$38,C729,'Saldos Iniciales'!$B$2:$B$38,D729)+SUMIFS($K$1:$K$736,$C$1:$C$736,C729,$D$1:$D$736,D729,$B$1:$B$736,"&lt;="&amp;B729)</f>
        <v>339551.27</v>
      </c>
      <c r="N729" s="65">
        <f>IF(tblMovimientos[[#This Row],[Tipo de Movimiento]]="Ingreso",tblMovimientos[[#This Row],[Monto (S/)]],"0")</f>
        <v>106686.57</v>
      </c>
      <c r="O729" s="65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106686.57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3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1050</v>
      </c>
      <c r="K730" s="5">
        <f t="shared" si="18"/>
        <v>-1050</v>
      </c>
      <c r="L730" s="15" t="s">
        <v>132</v>
      </c>
      <c r="M730" s="44">
        <f>SUMIFS('Saldos Iniciales'!$D$2:$D$38,'Saldos Iniciales'!$A$2:$A$38,C730,'Saldos Iniciales'!$B$2:$B$38,D730)+SUMIFS($K$1:$K$736,$C$1:$C$736,C730,$D$1:$D$736,D730,$B$1:$B$736,"&lt;="&amp;B730)</f>
        <v>3390.2899999999645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1050</v>
      </c>
      <c r="P730" s="28">
        <f>IF(tblMovimientos[[#This Row],[Tipo de Movimiento]]="Ingreso",tblMovimientos[[#This Row],[Ingreso]],-tblMovimientos[[#This Row],[Egreso]])</f>
        <v>-1050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3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1971.27</v>
      </c>
      <c r="K731" s="5">
        <f t="shared" si="18"/>
        <v>-1971.27</v>
      </c>
      <c r="L731" s="15" t="s">
        <v>132</v>
      </c>
      <c r="M731" s="44">
        <f>SUMIFS('Saldos Iniciales'!$D$2:$D$38,'Saldos Iniciales'!$A$2:$A$38,C731,'Saldos Iniciales'!$B$2:$B$38,D731)+SUMIFS($K$1:$K$736,$C$1:$C$736,C731,$D$1:$D$736,D731,$B$1:$B$736,"&lt;="&amp;B731)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1971.27</v>
      </c>
      <c r="P731" s="28">
        <f>IF(tblMovimientos[[#This Row],[Tipo de Movimiento]]="Ingreso",tblMovimientos[[#This Row],[Ingreso]],-tblMovimientos[[#This Row],[Egreso]])</f>
        <v>-1971.27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3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500</v>
      </c>
      <c r="K732" s="5">
        <f t="shared" si="18"/>
        <v>-500</v>
      </c>
      <c r="L732" s="15" t="s">
        <v>132</v>
      </c>
      <c r="M732" s="44">
        <f>SUMIFS('Saldos Iniciales'!$D$2:$D$38,'Saldos Iniciales'!$A$2:$A$38,C732,'Saldos Iniciales'!$B$2:$B$38,D732)+SUMIFS($K$1:$K$736,$C$1:$C$736,C732,$D$1:$D$736,D732,$B$1:$B$736,"&lt;="&amp;B732)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500</v>
      </c>
      <c r="P732" s="28">
        <f>IF(tblMovimientos[[#This Row],[Tipo de Movimiento]]="Ingreso",tblMovimientos[[#This Row],[Ingreso]],-tblMovimientos[[#This Row],[Egreso]])</f>
        <v>-500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3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2625</v>
      </c>
      <c r="K733" s="5">
        <f t="shared" si="18"/>
        <v>-2625</v>
      </c>
      <c r="L733" s="15" t="s">
        <v>132</v>
      </c>
      <c r="M733" s="44">
        <f>SUMIFS('Saldos Iniciales'!$D$2:$D$38,'Saldos Iniciales'!$A$2:$A$38,C733,'Saldos Iniciales'!$B$2:$B$38,D733)+SUMIFS($K$1:$K$736,$C$1:$C$736,C733,$D$1:$D$736,D733,$B$1:$B$736,"&lt;="&amp;B733)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2625</v>
      </c>
      <c r="P733" s="28">
        <f>IF(tblMovimientos[[#This Row],[Tipo de Movimiento]]="Ingreso",tblMovimientos[[#This Row],[Ingreso]],-tblMovimientos[[#This Row],[Egreso]])</f>
        <v>-2625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3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1412.66</v>
      </c>
      <c r="K734" s="5">
        <f t="shared" si="18"/>
        <v>-1412.66</v>
      </c>
      <c r="L734" s="15" t="s">
        <v>132</v>
      </c>
      <c r="M734" s="44">
        <f>SUMIFS('Saldos Iniciales'!$D$2:$D$38,'Saldos Iniciales'!$A$2:$A$38,C734,'Saldos Iniciales'!$B$2:$B$38,D734)+SUMIFS($K$1:$K$736,$C$1:$C$736,C734,$D$1:$D$736,D734,$B$1:$B$736,"&lt;="&amp;B734)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1412.66</v>
      </c>
      <c r="P734" s="28">
        <f>IF(tblMovimientos[[#This Row],[Tipo de Movimiento]]="Ingreso",tblMovimientos[[#This Row],[Ingreso]],-tblMovimientos[[#This Row],[Egreso]])</f>
        <v>-1412.66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SSP Capital</v>
      </c>
      <c r="D735" s="41" t="s">
        <v>104</v>
      </c>
      <c r="E735" s="74" t="str">
        <f>_xlfn.XLOOKUP(tblMovimientos[[#This Row],[Cuenta Bancaria]],Listas!$B:$B,Listas!$C:$C,"")</f>
        <v xml:space="preserve">Amerant Bank </v>
      </c>
      <c r="F735" s="41" t="s">
        <v>10</v>
      </c>
      <c r="G735" s="41" t="s">
        <v>44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1980.24</v>
      </c>
      <c r="K735" s="5">
        <f t="shared" si="18"/>
        <v>-1980.24</v>
      </c>
      <c r="L735" s="15" t="s">
        <v>132</v>
      </c>
      <c r="M735" s="44">
        <f>SUMIFS('Saldos Iniciales'!$D$2:$D$38,'Saldos Iniciales'!$A$2:$A$38,C735,'Saldos Iniciales'!$B$2:$B$38,D735)+SUMIFS($K$1:$K$736,$C$1:$C$736,C735,$D$1:$D$736,D735,$B$1:$B$736,"&lt;="&amp;B735)</f>
        <v>1247918.7699999993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1980.24</v>
      </c>
      <c r="P735" s="28">
        <f>IF(tblMovimientos[[#This Row],[Tipo de Movimiento]]="Ingreso",tblMovimientos[[#This Row],[Ingreso]],-tblMovimientos[[#This Row],[Egreso]])</f>
        <v>-1980.24</v>
      </c>
    </row>
    <row r="736" spans="1:16" x14ac:dyDescent="0.3">
      <c r="E736" s="73">
        <f>_xlfn.XLOOKUP(tblMovimientos[[#This Row],[Cuenta Bancaria]],Listas!$B:$B,Listas!$C:$C,"")</f>
        <v>0</v>
      </c>
      <c r="I736" s="46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C2:C736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G2:G736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F2:F736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1465335.1900000006</v>
      </c>
      <c r="E2" s="37">
        <f>C2+D2</f>
        <v>1882013.4500000007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1977309.3600000073</v>
      </c>
      <c r="E3" s="37">
        <f t="shared" ref="E3:E9" si="0">C3+D3</f>
        <v>3144610.8900000071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N8" activePane="bottomRight" state="frozen"/>
      <selection pane="topRight" activeCell="C1" sqref="C1"/>
      <selection pane="bottomLeft" activeCell="A5" sqref="A5"/>
      <selection pane="bottomRight" activeCell="X35" sqref="X2:X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SUMIFS(Movimientos!$J$1:$J$736,Movimientos!$C$1:$C$736,$B2,Movimientos!$D$1:$D$736,$C2,Movimientos!$L$1:$L$736,A$3,Movimientos!$F$1:$F$736,"Ingreso")</f>
        <v>490932.83999999997</v>
      </c>
      <c r="K2" s="44">
        <f>SUMIFS(Movimientos!$J$1:$J$736,Movimientos!$C$1:$C$736,$B2,Movimientos!$D$1:$D$736,$C2,Movimientos!$L$1:$L$736,A$3,Movimientos!$F$1:$F$736,"Egreso")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SUMIFS(Movimientos!$J$1:$J$736,Movimientos!$C$1:$C$736,$B2,Movimientos!$D$1:$D$736,$C2,Movimientos!$L$1:$L$736,A$4,Movimientos!$F$1:$F$736,"Ingreso")</f>
        <v>215870.71999999997</v>
      </c>
      <c r="P2" s="44">
        <f>SUMIFS(Movimientos!$J$1:$J$736,Movimientos!$C$1:$C$736,$B2,Movimientos!$D$1:$D$736,$C2,Movimientos!$L$1:$L$736,A$4,Movimientos!$F$1:$F$736,"Egreso")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SUMIFS(Movimientos!$J$1:$J$736,Movimientos!$C$1:$C$736,$B2,Movimientos!$D$1:$D$736,$C2,Movimientos!$L$1:$L$736,A$5,Movimientos!$F$1:$F$736,"Ingreso")</f>
        <v>106686.57</v>
      </c>
      <c r="U2" s="44">
        <f>SUMIFS(Movimientos!$J$1:$J$736,Movimientos!$C$1:$C$736,$B2,Movimientos!$D$1:$D$736,$C2,Movimientos!$L$1:$L$736,A$5,Movimientos!$F$1:$F$736,"Egreso")</f>
        <v>0</v>
      </c>
      <c r="V2" s="7">
        <f>+T2-U2</f>
        <v>106686.57</v>
      </c>
      <c r="W2" s="12">
        <f>S2+T2-U2</f>
        <v>339551.27000000019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SUMIFS(Movimientos!$J$1:$J$736,Movimientos!$C$1:$C$736,$B3,Movimientos!$D$1:$D$736,$C3,Movimientos!$L$1:$L$736,A$3,Movimientos!$F$1:$F$736,"Ingreso")</f>
        <v>8947382.8399999999</v>
      </c>
      <c r="K3" s="44">
        <f>SUMIFS(Movimientos!$J$1:$J$736,Movimientos!$C$1:$C$736,$B3,Movimientos!$D$1:$D$736,$C3,Movimientos!$L$1:$L$736,A$3,Movimientos!$F$1:$F$736,"Egreso")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SUMIFS(Movimientos!$J$1:$J$736,Movimientos!$C$1:$C$736,$B3,Movimientos!$D$1:$D$736,$C3,Movimientos!$L$1:$L$736,A$4,Movimientos!$F$1:$F$736,"Ingreso")</f>
        <v>250000</v>
      </c>
      <c r="P3" s="44">
        <f>SUMIFS(Movimientos!$J$1:$J$736,Movimientos!$C$1:$C$736,$B3,Movimientos!$D$1:$D$736,$C3,Movimientos!$L$1:$L$736,A$4,Movimientos!$F$1:$F$736,"Egreso")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SUMIFS(Movimientos!$J$1:$J$736,Movimientos!$C$1:$C$736,$B3,Movimientos!$D$1:$D$736,$C3,Movimientos!$L$1:$L$736,A$5,Movimientos!$F$1:$F$736,"Ingreso")</f>
        <v>0</v>
      </c>
      <c r="U3" s="44">
        <f>SUMIFS(Movimientos!$J$1:$J$736,Movimientos!$C$1:$C$736,$B3,Movimientos!$D$1:$D$736,$C3,Movimientos!$L$1:$L$736,A$5,Movimientos!$F$1:$F$736,"Egreso")</f>
        <v>1314641.67</v>
      </c>
      <c r="V3" s="7">
        <f t="shared" ref="V3:V35" si="2">+T3-U3</f>
        <v>-1314641.67</v>
      </c>
      <c r="W3" s="12">
        <f>S3+T3-U3</f>
        <v>915269.6799999997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SUMIFS(Movimientos!$J$1:$J$736,Movimientos!$C$1:$C$736,$B4,Movimientos!$D$1:$D$736,$C4,Movimientos!$L$1:$L$736,A$3,Movimientos!$F$1:$F$736,"Ingreso")</f>
        <v>0</v>
      </c>
      <c r="K4" s="44">
        <f>SUMIFS(Movimientos!$J$1:$J$736,Movimientos!$C$1:$C$736,$B4,Movimientos!$D$1:$D$736,$C4,Movimientos!$L$1:$L$736,A$3,Movimientos!$F$1:$F$736,"Egreso")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SUMIFS(Movimientos!$J$1:$J$736,Movimientos!$C$1:$C$736,$B4,Movimientos!$D$1:$D$736,$C4,Movimientos!$L$1:$L$736,A$4,Movimientos!$F$1:$F$736,"Ingreso")</f>
        <v>0</v>
      </c>
      <c r="P4" s="44">
        <f>SUMIFS(Movimientos!$J$1:$J$736,Movimientos!$C$1:$C$736,$B4,Movimientos!$D$1:$D$736,$C4,Movimientos!$L$1:$L$736,A$4,Movimientos!$F$1:$F$736,"Egreso")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SUMIFS(Movimientos!$J$1:$J$736,Movimientos!$C$1:$C$736,$B4,Movimientos!$D$1:$D$736,$C4,Movimientos!$L$1:$L$736,A$5,Movimientos!$F$1:$F$736,"Ingreso")</f>
        <v>0</v>
      </c>
      <c r="U4" s="44">
        <f>SUMIFS(Movimientos!$J$1:$J$736,Movimientos!$C$1:$C$736,$B4,Movimientos!$D$1:$D$736,$C4,Movimientos!$L$1:$L$736,A$5,Movimientos!$F$1:$F$736,"Egreso")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SUMIFS(Movimientos!$J$1:$J$736,Movimientos!$C$1:$C$736,$B5,Movimientos!$D$1:$D$736,$C5,Movimientos!$L$1:$L$736,A$3,Movimientos!$F$1:$F$736,"Ingreso")</f>
        <v>16742.400000000001</v>
      </c>
      <c r="K5" s="44">
        <f>SUMIFS(Movimientos!$J$1:$J$736,Movimientos!$C$1:$C$736,$B5,Movimientos!$D$1:$D$736,$C5,Movimientos!$L$1:$L$736,A$3,Movimientos!$F$1:$F$736,"Egreso")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SUMIFS(Movimientos!$J$1:$J$736,Movimientos!$C$1:$C$736,$B5,Movimientos!$D$1:$D$736,$C5,Movimientos!$L$1:$L$736,A$4,Movimientos!$F$1:$F$736,"Ingreso")</f>
        <v>10053.57</v>
      </c>
      <c r="P5" s="44">
        <f>SUMIFS(Movimientos!$J$1:$J$736,Movimientos!$C$1:$C$736,$B5,Movimientos!$D$1:$D$736,$C5,Movimientos!$L$1:$L$736,A$4,Movimientos!$F$1:$F$736,"Egreso")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SUMIFS(Movimientos!$J$1:$J$736,Movimientos!$C$1:$C$736,$B5,Movimientos!$D$1:$D$736,$C5,Movimientos!$L$1:$L$736,A$5,Movimientos!$F$1:$F$736,"Ingreso")</f>
        <v>0</v>
      </c>
      <c r="U5" s="44">
        <f>SUMIFS(Movimientos!$J$1:$J$736,Movimientos!$C$1:$C$736,$B5,Movimientos!$D$1:$D$736,$C5,Movimientos!$L$1:$L$736,A$5,Movimientos!$F$1:$F$736,"Egreso")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SUMIFS(Movimientos!$J$1:$J$736,Movimientos!$C$1:$C$736,$B6,Movimientos!$D$1:$D$736,$C6,Movimientos!$L$1:$L$736,A$3,Movimientos!$F$1:$F$736,"Ingreso")</f>
        <v>0</v>
      </c>
      <c r="K6" s="44">
        <f>SUMIFS(Movimientos!$J$1:$J$736,Movimientos!$C$1:$C$736,$B6,Movimientos!$D$1:$D$736,$C6,Movimientos!$L$1:$L$736,A$3,Movimientos!$F$1:$F$736,"Egreso")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SUMIFS(Movimientos!$J$1:$J$736,Movimientos!$C$1:$C$736,$B6,Movimientos!$D$1:$D$736,$C6,Movimientos!$L$1:$L$736,A$4,Movimientos!$F$1:$F$736,"Ingreso")</f>
        <v>0</v>
      </c>
      <c r="P6" s="44">
        <f>SUMIFS(Movimientos!$J$1:$J$736,Movimientos!$C$1:$C$736,$B6,Movimientos!$D$1:$D$736,$C6,Movimientos!$L$1:$L$736,A$4,Movimientos!$F$1:$F$736,"Egreso")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SUMIFS(Movimientos!$J$1:$J$736,Movimientos!$C$1:$C$736,$B6,Movimientos!$D$1:$D$736,$C6,Movimientos!$L$1:$L$736,A$5,Movimientos!$F$1:$F$736,"Ingreso")</f>
        <v>0</v>
      </c>
      <c r="U6" s="44">
        <f>SUMIFS(Movimientos!$J$1:$J$736,Movimientos!$C$1:$C$736,$B6,Movimientos!$D$1:$D$736,$C6,Movimientos!$L$1:$L$736,A$5,Movimientos!$F$1:$F$736,"Egreso")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SUMIFS(Movimientos!$J$1:$J$736,Movimientos!$C$1:$C$736,$B7,Movimientos!$D$1:$D$736,$C7,Movimientos!$L$1:$L$736,A$3,Movimientos!$F$1:$F$736,"Ingreso")</f>
        <v>0</v>
      </c>
      <c r="K7" s="44">
        <f>SUMIFS(Movimientos!$J$1:$J$736,Movimientos!$C$1:$C$736,$B7,Movimientos!$D$1:$D$736,$C7,Movimientos!$L$1:$L$736,A$3,Movimientos!$F$1:$F$736,"Egreso")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SUMIFS(Movimientos!$J$1:$J$736,Movimientos!$C$1:$C$736,$B7,Movimientos!$D$1:$D$736,$C7,Movimientos!$L$1:$L$736,A$4,Movimientos!$F$1:$F$736,"Ingreso")</f>
        <v>0</v>
      </c>
      <c r="P7" s="44">
        <f>SUMIFS(Movimientos!$J$1:$J$736,Movimientos!$C$1:$C$736,$B7,Movimientos!$D$1:$D$736,$C7,Movimientos!$L$1:$L$736,A$4,Movimientos!$F$1:$F$736,"Egreso")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SUMIFS(Movimientos!$J$1:$J$736,Movimientos!$C$1:$C$736,$B7,Movimientos!$D$1:$D$736,$C7,Movimientos!$L$1:$L$736,A$5,Movimientos!$F$1:$F$736,"Ingreso")</f>
        <v>0</v>
      </c>
      <c r="U7" s="44">
        <f>SUMIFS(Movimientos!$J$1:$J$736,Movimientos!$C$1:$C$736,$B7,Movimientos!$D$1:$D$736,$C7,Movimientos!$L$1:$L$736,A$5,Movimientos!$F$1:$F$736,"Egreso")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SUMIFS(Movimientos!$J$1:$J$736,Movimientos!$C$1:$C$736,$B8,Movimientos!$D$1:$D$736,$C8,Movimientos!$L$1:$L$736,A$3,Movimientos!$F$1:$F$736,"Ingreso")</f>
        <v>440602.39</v>
      </c>
      <c r="K8" s="44">
        <f>SUMIFS(Movimientos!$J$1:$J$736,Movimientos!$C$1:$C$736,$B8,Movimientos!$D$1:$D$736,$C8,Movimientos!$L$1:$L$736,A$3,Movimientos!$F$1:$F$736,"Egreso")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SUMIFS(Movimientos!$J$1:$J$736,Movimientos!$C$1:$C$736,$B8,Movimientos!$D$1:$D$736,$C8,Movimientos!$L$1:$L$736,A$4,Movimientos!$F$1:$F$736,"Ingreso")</f>
        <v>1306812.04</v>
      </c>
      <c r="P8" s="44">
        <f>SUMIFS(Movimientos!$J$1:$J$736,Movimientos!$C$1:$C$736,$B8,Movimientos!$D$1:$D$736,$C8,Movimientos!$L$1:$L$736,A$4,Movimientos!$F$1:$F$736,"Egreso")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SUMIFS(Movimientos!$J$1:$J$736,Movimientos!$C$1:$C$736,$B8,Movimientos!$D$1:$D$736,$C8,Movimientos!$L$1:$L$736,A$5,Movimientos!$F$1:$F$736,"Ingreso")</f>
        <v>0</v>
      </c>
      <c r="U8" s="44">
        <f>SUMIFS(Movimientos!$J$1:$J$736,Movimientos!$C$1:$C$736,$B8,Movimientos!$D$1:$D$736,$C8,Movimientos!$L$1:$L$736,A$5,Movimientos!$F$1:$F$736,"Egreso")</f>
        <v>108974.09999999999</v>
      </c>
      <c r="V8" s="7">
        <f t="shared" si="2"/>
        <v>-108974.09999999999</v>
      </c>
      <c r="W8" s="12">
        <f t="shared" si="9"/>
        <v>1349451.9399999995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SUMIFS(Movimientos!$J$1:$J$736,Movimientos!$C$1:$C$736,$B9,Movimientos!$D$1:$D$736,$C9,Movimientos!$L$1:$L$736,A$3,Movimientos!$F$1:$F$736,"Ingreso")</f>
        <v>15307.88</v>
      </c>
      <c r="K9" s="44">
        <f>SUMIFS(Movimientos!$J$1:$J$736,Movimientos!$C$1:$C$736,$B9,Movimientos!$D$1:$D$736,$C9,Movimientos!$L$1:$L$736,A$3,Movimientos!$F$1:$F$736,"Egreso")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SUMIFS(Movimientos!$J$1:$J$736,Movimientos!$C$1:$C$736,$B9,Movimientos!$D$1:$D$736,$C9,Movimientos!$L$1:$L$736,A$4,Movimientos!$F$1:$F$736,"Ingreso")</f>
        <v>15280.15</v>
      </c>
      <c r="P9" s="44">
        <f>SUMIFS(Movimientos!$J$1:$J$736,Movimientos!$C$1:$C$736,$B9,Movimientos!$D$1:$D$736,$C9,Movimientos!$L$1:$L$736,A$4,Movimientos!$F$1:$F$736,"Egreso")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SUMIFS(Movimientos!$J$1:$J$736,Movimientos!$C$1:$C$736,$B9,Movimientos!$D$1:$D$736,$C9,Movimientos!$L$1:$L$736,A$5,Movimientos!$F$1:$F$736,"Ingreso")</f>
        <v>35280.15</v>
      </c>
      <c r="U9" s="44">
        <f>SUMIFS(Movimientos!$J$1:$J$736,Movimientos!$C$1:$C$736,$B9,Movimientos!$D$1:$D$736,$C9,Movimientos!$L$1:$L$736,A$5,Movimientos!$F$1:$F$736,"Egreso")</f>
        <v>9581.1299999999992</v>
      </c>
      <c r="V9" s="7">
        <f t="shared" si="2"/>
        <v>25699.020000000004</v>
      </c>
      <c r="W9" s="12">
        <f t="shared" si="9"/>
        <v>30843.79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SUMIFS(Movimientos!$J$1:$J$736,Movimientos!$C$1:$C$736,$B10,Movimientos!$D$1:$D$736,$C10,Movimientos!$L$1:$L$736,A$3,Movimientos!$F$1:$F$736,"Ingreso")</f>
        <v>0</v>
      </c>
      <c r="K10" s="44">
        <f>SUMIFS(Movimientos!$J$1:$J$736,Movimientos!$C$1:$C$736,$B10,Movimientos!$D$1:$D$736,$C10,Movimientos!$L$1:$L$736,A$3,Movimientos!$F$1:$F$736,"Egreso")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SUMIFS(Movimientos!$J$1:$J$736,Movimientos!$C$1:$C$736,$B10,Movimientos!$D$1:$D$736,$C10,Movimientos!$L$1:$L$736,A$4,Movimientos!$F$1:$F$736,"Ingreso")</f>
        <v>1000</v>
      </c>
      <c r="P10" s="44">
        <f>SUMIFS(Movimientos!$J$1:$J$736,Movimientos!$C$1:$C$736,$B10,Movimientos!$D$1:$D$736,$C10,Movimientos!$L$1:$L$736,A$4,Movimientos!$F$1:$F$736,"Egreso")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SUMIFS(Movimientos!$J$1:$J$736,Movimientos!$C$1:$C$736,$B10,Movimientos!$D$1:$D$736,$C10,Movimientos!$L$1:$L$736,A$5,Movimientos!$F$1:$F$736,"Ingreso")</f>
        <v>0</v>
      </c>
      <c r="U10" s="44">
        <f>SUMIFS(Movimientos!$J$1:$J$736,Movimientos!$C$1:$C$736,$B10,Movimientos!$D$1:$D$736,$C10,Movimientos!$L$1:$L$736,A$5,Movimientos!$F$1:$F$736,"Egreso")</f>
        <v>0</v>
      </c>
      <c r="V10" s="7">
        <f t="shared" si="2"/>
        <v>0</v>
      </c>
      <c r="W10" s="12">
        <f t="shared" si="9"/>
        <v>1170.8200000000002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SUMIFS(Movimientos!$J$1:$J$736,Movimientos!$C$1:$C$736,$B11,Movimientos!$D$1:$D$736,$C11,Movimientos!$L$1:$L$736,A$3,Movimientos!$F$1:$F$736,"Ingreso")</f>
        <v>0</v>
      </c>
      <c r="K11" s="44">
        <f>SUMIFS(Movimientos!$J$1:$J$736,Movimientos!$C$1:$C$736,$B11,Movimientos!$D$1:$D$736,$C11,Movimientos!$L$1:$L$736,A$3,Movimientos!$F$1:$F$736,"Egreso")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SUMIFS(Movimientos!$J$1:$J$736,Movimientos!$C$1:$C$736,$B11,Movimientos!$D$1:$D$736,$C11,Movimientos!$L$1:$L$736,A$4,Movimientos!$F$1:$F$736,"Ingreso")</f>
        <v>0</v>
      </c>
      <c r="P11" s="44">
        <f>SUMIFS(Movimientos!$J$1:$J$736,Movimientos!$C$1:$C$736,$B11,Movimientos!$D$1:$D$736,$C11,Movimientos!$L$1:$L$736,A$4,Movimientos!$F$1:$F$736,"Egreso")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SUMIFS(Movimientos!$J$1:$J$736,Movimientos!$C$1:$C$736,$B11,Movimientos!$D$1:$D$736,$C11,Movimientos!$L$1:$L$736,A$5,Movimientos!$F$1:$F$736,"Ingreso")</f>
        <v>0</v>
      </c>
      <c r="U11" s="44">
        <f>SUMIFS(Movimientos!$J$1:$J$736,Movimientos!$C$1:$C$736,$B11,Movimientos!$D$1:$D$736,$C11,Movimientos!$L$1:$L$736,A$5,Movimientos!$F$1:$F$736,"Egreso")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SUMIFS(Movimientos!$J$1:$J$736,Movimientos!$C$1:$C$736,$B12,Movimientos!$D$1:$D$736,$C12,Movimientos!$L$1:$L$736,A$3,Movimientos!$F$1:$F$736,"Ingreso")</f>
        <v>4970000</v>
      </c>
      <c r="K12" s="44">
        <f>SUMIFS(Movimientos!$J$1:$J$736,Movimientos!$C$1:$C$736,$B12,Movimientos!$D$1:$D$736,$C12,Movimientos!$L$1:$L$736,A$3,Movimientos!$F$1:$F$736,"Egreso")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SUMIFS(Movimientos!$J$1:$J$736,Movimientos!$C$1:$C$736,$B12,Movimientos!$D$1:$D$736,$C12,Movimientos!$L$1:$L$736,A$4,Movimientos!$F$1:$F$736,"Ingreso")</f>
        <v>1320000</v>
      </c>
      <c r="P12" s="44">
        <f>SUMIFS(Movimientos!$J$1:$J$736,Movimientos!$C$1:$C$736,$B12,Movimientos!$D$1:$D$736,$C12,Movimientos!$L$1:$L$736,A$4,Movimientos!$F$1:$F$736,"Egreso")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SUMIFS(Movimientos!$J$1:$J$736,Movimientos!$C$1:$C$736,$B12,Movimientos!$D$1:$D$736,$C12,Movimientos!$L$1:$L$736,A$5,Movimientos!$F$1:$F$736,"Ingreso")</f>
        <v>600000</v>
      </c>
      <c r="U12" s="44">
        <f>SUMIFS(Movimientos!$J$1:$J$736,Movimientos!$C$1:$C$736,$B12,Movimientos!$D$1:$D$736,$C12,Movimientos!$L$1:$L$736,A$5,Movimientos!$F$1:$F$736,"Egreso")</f>
        <v>41374.239999999998</v>
      </c>
      <c r="V12" s="7">
        <f t="shared" si="2"/>
        <v>558625.76</v>
      </c>
      <c r="W12" s="12">
        <f t="shared" si="9"/>
        <v>1247918.7699999991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SUMIFS(Movimientos!$J$1:$J$736,Movimientos!$C$1:$C$736,$B13,Movimientos!$D$1:$D$736,$C13,Movimientos!$L$1:$L$736,A$3,Movimientos!$F$1:$F$736,"Ingreso")</f>
        <v>0</v>
      </c>
      <c r="K13" s="44">
        <f>SUMIFS(Movimientos!$J$1:$J$736,Movimientos!$C$1:$C$736,$B13,Movimientos!$D$1:$D$736,$C13,Movimientos!$L$1:$L$736,A$3,Movimientos!$F$1:$F$736,"Egreso")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SUMIFS(Movimientos!$J$1:$J$736,Movimientos!$C$1:$C$736,$B13,Movimientos!$D$1:$D$736,$C13,Movimientos!$L$1:$L$736,A$4,Movimientos!$F$1:$F$736,"Ingreso")</f>
        <v>0</v>
      </c>
      <c r="P13" s="44">
        <f>SUMIFS(Movimientos!$J$1:$J$736,Movimientos!$C$1:$C$736,$B13,Movimientos!$D$1:$D$736,$C13,Movimientos!$L$1:$L$736,A$4,Movimientos!$F$1:$F$736,"Egreso")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SUMIFS(Movimientos!$J$1:$J$736,Movimientos!$C$1:$C$736,$B13,Movimientos!$D$1:$D$736,$C13,Movimientos!$L$1:$L$736,A$5,Movimientos!$F$1:$F$736,"Ingreso")</f>
        <v>0</v>
      </c>
      <c r="U13" s="44">
        <f>SUMIFS(Movimientos!$J$1:$J$736,Movimientos!$C$1:$C$736,$B13,Movimientos!$D$1:$D$736,$C13,Movimientos!$L$1:$L$736,A$5,Movimientos!$F$1:$F$736,"Egreso")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SUMIFS(Movimientos!$J$1:$J$736,Movimientos!$C$1:$C$736,$B14,Movimientos!$D$1:$D$736,$C14,Movimientos!$L$1:$L$736,A$3,Movimientos!$F$1:$F$736,"Ingreso")</f>
        <v>56867.66</v>
      </c>
      <c r="K14" s="44">
        <f>SUMIFS(Movimientos!$J$1:$J$736,Movimientos!$C$1:$C$736,$B14,Movimientos!$D$1:$D$736,$C14,Movimientos!$L$1:$L$736,A$3,Movimientos!$F$1:$F$736,"Egreso")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SUMIFS(Movimientos!$J$1:$J$736,Movimientos!$C$1:$C$736,$B14,Movimientos!$D$1:$D$736,$C14,Movimientos!$L$1:$L$736,A$4,Movimientos!$F$1:$F$736,"Ingreso")</f>
        <v>2426.71</v>
      </c>
      <c r="P14" s="44">
        <f>SUMIFS(Movimientos!$J$1:$J$736,Movimientos!$C$1:$C$736,$B14,Movimientos!$D$1:$D$736,$C14,Movimientos!$L$1:$L$736,A$4,Movimientos!$F$1:$F$736,"Egreso")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SUMIFS(Movimientos!$J$1:$J$736,Movimientos!$C$1:$C$736,$B14,Movimientos!$D$1:$D$736,$C14,Movimientos!$L$1:$L$736,A$5,Movimientos!$F$1:$F$736,"Ingreso")</f>
        <v>0</v>
      </c>
      <c r="U14" s="44">
        <f>SUMIFS(Movimientos!$J$1:$J$736,Movimientos!$C$1:$C$736,$B14,Movimientos!$D$1:$D$736,$C14,Movimientos!$L$1:$L$736,A$5,Movimientos!$F$1:$F$736,"Egreso")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SUMIFS(Movimientos!$J$1:$J$736,Movimientos!$C$1:$C$736,$B15,Movimientos!$D$1:$D$736,$C15,Movimientos!$L$1:$L$736,A$3,Movimientos!$F$1:$F$736,"Ingreso")</f>
        <v>0</v>
      </c>
      <c r="K15" s="44">
        <f>SUMIFS(Movimientos!$J$1:$J$736,Movimientos!$C$1:$C$736,$B15,Movimientos!$D$1:$D$736,$C15,Movimientos!$L$1:$L$736,A$3,Movimientos!$F$1:$F$736,"Egreso")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SUMIFS(Movimientos!$J$1:$J$736,Movimientos!$C$1:$C$736,$B15,Movimientos!$D$1:$D$736,$C15,Movimientos!$L$1:$L$736,A$4,Movimientos!$F$1:$F$736,"Ingreso")</f>
        <v>0</v>
      </c>
      <c r="P15" s="44">
        <f>SUMIFS(Movimientos!$J$1:$J$736,Movimientos!$C$1:$C$736,$B15,Movimientos!$D$1:$D$736,$C15,Movimientos!$L$1:$L$736,A$4,Movimientos!$F$1:$F$736,"Egreso")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SUMIFS(Movimientos!$J$1:$J$736,Movimientos!$C$1:$C$736,$B15,Movimientos!$D$1:$D$736,$C15,Movimientos!$L$1:$L$736,A$5,Movimientos!$F$1:$F$736,"Ingreso")</f>
        <v>0</v>
      </c>
      <c r="U15" s="44">
        <f>SUMIFS(Movimientos!$J$1:$J$736,Movimientos!$C$1:$C$736,$B15,Movimientos!$D$1:$D$736,$C15,Movimientos!$L$1:$L$736,A$5,Movimientos!$F$1:$F$736,"Egreso")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SUMIFS(Movimientos!$J$1:$J$736,Movimientos!$C$1:$C$736,$B16,Movimientos!$D$1:$D$736,$C16,Movimientos!$L$1:$L$736,A$3,Movimientos!$F$1:$F$736,"Ingreso")</f>
        <v>0</v>
      </c>
      <c r="K16" s="44">
        <f>SUMIFS(Movimientos!$J$1:$J$736,Movimientos!$C$1:$C$736,$B16,Movimientos!$D$1:$D$736,$C16,Movimientos!$L$1:$L$736,A$3,Movimientos!$F$1:$F$736,"Egreso")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SUMIFS(Movimientos!$J$1:$J$736,Movimientos!$C$1:$C$736,$B16,Movimientos!$D$1:$D$736,$C16,Movimientos!$L$1:$L$736,A$4,Movimientos!$F$1:$F$736,"Ingreso")</f>
        <v>0</v>
      </c>
      <c r="P16" s="44">
        <f>SUMIFS(Movimientos!$J$1:$J$736,Movimientos!$C$1:$C$736,$B16,Movimientos!$D$1:$D$736,$C16,Movimientos!$L$1:$L$736,A$4,Movimientos!$F$1:$F$736,"Egreso")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SUMIFS(Movimientos!$J$1:$J$736,Movimientos!$C$1:$C$736,$B16,Movimientos!$D$1:$D$736,$C16,Movimientos!$L$1:$L$736,A$5,Movimientos!$F$1:$F$736,"Ingreso")</f>
        <v>0</v>
      </c>
      <c r="U16" s="44">
        <f>SUMIFS(Movimientos!$J$1:$J$736,Movimientos!$C$1:$C$736,$B16,Movimientos!$D$1:$D$736,$C16,Movimientos!$L$1:$L$736,A$5,Movimientos!$F$1:$F$736,"Egreso")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SUMIFS(Movimientos!$J$1:$J$736,Movimientos!$C$1:$C$736,$B17,Movimientos!$D$1:$D$736,$C17,Movimientos!$L$1:$L$736,A$3,Movimientos!$F$1:$F$736,"Ingreso")</f>
        <v>0</v>
      </c>
      <c r="K17" s="44">
        <f>SUMIFS(Movimientos!$J$1:$J$736,Movimientos!$C$1:$C$736,$B17,Movimientos!$D$1:$D$736,$C17,Movimientos!$L$1:$L$736,A$3,Movimientos!$F$1:$F$736,"Egreso")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SUMIFS(Movimientos!$J$1:$J$736,Movimientos!$C$1:$C$736,$B17,Movimientos!$D$1:$D$736,$C17,Movimientos!$L$1:$L$736,A$4,Movimientos!$F$1:$F$736,"Ingreso")</f>
        <v>0</v>
      </c>
      <c r="P17" s="44">
        <f>SUMIFS(Movimientos!$J$1:$J$736,Movimientos!$C$1:$C$736,$B17,Movimientos!$D$1:$D$736,$C17,Movimientos!$L$1:$L$736,A$4,Movimientos!$F$1:$F$736,"Egreso")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SUMIFS(Movimientos!$J$1:$J$736,Movimientos!$C$1:$C$736,$B17,Movimientos!$D$1:$D$736,$C17,Movimientos!$L$1:$L$736,A$5,Movimientos!$F$1:$F$736,"Ingreso")</f>
        <v>0</v>
      </c>
      <c r="U17" s="44">
        <f>SUMIFS(Movimientos!$J$1:$J$736,Movimientos!$C$1:$C$736,$B17,Movimientos!$D$1:$D$736,$C17,Movimientos!$L$1:$L$736,A$5,Movimientos!$F$1:$F$736,"Egreso")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SUMIFS(Movimientos!$J$1:$J$736,Movimientos!$C$1:$C$736,$B18,Movimientos!$D$1:$D$736,$C18,Movimientos!$L$1:$L$736,A$3,Movimientos!$F$1:$F$736,"Ingreso")</f>
        <v>0</v>
      </c>
      <c r="K18" s="44">
        <f>SUMIFS(Movimientos!$J$1:$J$736,Movimientos!$C$1:$C$736,$B18,Movimientos!$D$1:$D$736,$C18,Movimientos!$L$1:$L$736,A$3,Movimientos!$F$1:$F$736,"Egreso")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SUMIFS(Movimientos!$J$1:$J$736,Movimientos!$C$1:$C$736,$B18,Movimientos!$D$1:$D$736,$C18,Movimientos!$L$1:$L$736,A$4,Movimientos!$F$1:$F$736,"Ingreso")</f>
        <v>0</v>
      </c>
      <c r="P18" s="44">
        <f>SUMIFS(Movimientos!$J$1:$J$736,Movimientos!$C$1:$C$736,$B18,Movimientos!$D$1:$D$736,$C18,Movimientos!$L$1:$L$736,A$4,Movimientos!$F$1:$F$736,"Egreso")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SUMIFS(Movimientos!$J$1:$J$736,Movimientos!$C$1:$C$736,$B18,Movimientos!$D$1:$D$736,$C18,Movimientos!$L$1:$L$736,A$5,Movimientos!$F$1:$F$736,"Ingreso")</f>
        <v>0</v>
      </c>
      <c r="U18" s="44">
        <f>SUMIFS(Movimientos!$J$1:$J$736,Movimientos!$C$1:$C$736,$B18,Movimientos!$D$1:$D$736,$C18,Movimientos!$L$1:$L$736,A$5,Movimientos!$F$1:$F$736,"Egreso")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SUMIFS(Movimientos!$J$1:$J$736,Movimientos!$C$1:$C$736,$B19,Movimientos!$D$1:$D$736,$C19,Movimientos!$L$1:$L$736,A$3,Movimientos!$F$1:$F$736,"Ingreso")</f>
        <v>2580000</v>
      </c>
      <c r="K19" s="44">
        <f>SUMIFS(Movimientos!$J$1:$J$736,Movimientos!$C$1:$C$736,$B19,Movimientos!$D$1:$D$736,$C19,Movimientos!$L$1:$L$736,A$3,Movimientos!$F$1:$F$736,"Egreso")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SUMIFS(Movimientos!$J$1:$J$736,Movimientos!$C$1:$C$736,$B19,Movimientos!$D$1:$D$736,$C19,Movimientos!$L$1:$L$736,A$4,Movimientos!$F$1:$F$736,"Ingreso")</f>
        <v>0</v>
      </c>
      <c r="P19" s="44">
        <f>SUMIFS(Movimientos!$J$1:$J$736,Movimientos!$C$1:$C$736,$B19,Movimientos!$D$1:$D$736,$C19,Movimientos!$L$1:$L$736,A$4,Movimientos!$F$1:$F$736,"Egreso")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SUMIFS(Movimientos!$J$1:$J$736,Movimientos!$C$1:$C$736,$B19,Movimientos!$D$1:$D$736,$C19,Movimientos!$L$1:$L$736,A$5,Movimientos!$F$1:$F$736,"Ingreso")</f>
        <v>0</v>
      </c>
      <c r="U19" s="44">
        <f>SUMIFS(Movimientos!$J$1:$J$736,Movimientos!$C$1:$C$736,$B19,Movimientos!$D$1:$D$736,$C19,Movimientos!$L$1:$L$736,A$5,Movimientos!$F$1:$F$736,"Egreso")</f>
        <v>13000</v>
      </c>
      <c r="V19" s="7">
        <f t="shared" si="2"/>
        <v>-13000</v>
      </c>
      <c r="W19" s="12">
        <f t="shared" si="9"/>
        <v>68717.600000000093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SUMIFS(Movimientos!$J$1:$J$736,Movimientos!$C$1:$C$736,$B20,Movimientos!$D$1:$D$736,$C20,Movimientos!$L$1:$L$736,A$3,Movimientos!$F$1:$F$736,"Ingreso")</f>
        <v>0</v>
      </c>
      <c r="K20" s="44">
        <f>SUMIFS(Movimientos!$J$1:$J$736,Movimientos!$C$1:$C$736,$B20,Movimientos!$D$1:$D$736,$C20,Movimientos!$L$1:$L$736,A$3,Movimientos!$F$1:$F$736,"Egreso")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SUMIFS(Movimientos!$J$1:$J$736,Movimientos!$C$1:$C$736,$B20,Movimientos!$D$1:$D$736,$C20,Movimientos!$L$1:$L$736,A$4,Movimientos!$F$1:$F$736,"Ingreso")</f>
        <v>0</v>
      </c>
      <c r="P20" s="44">
        <f>SUMIFS(Movimientos!$J$1:$J$736,Movimientos!$C$1:$C$736,$B20,Movimientos!$D$1:$D$736,$C20,Movimientos!$L$1:$L$736,A$4,Movimientos!$F$1:$F$736,"Egreso")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SUMIFS(Movimientos!$J$1:$J$736,Movimientos!$C$1:$C$736,$B20,Movimientos!$D$1:$D$736,$C20,Movimientos!$L$1:$L$736,A$5,Movimientos!$F$1:$F$736,"Ingreso")</f>
        <v>0</v>
      </c>
      <c r="U20" s="44">
        <f>SUMIFS(Movimientos!$J$1:$J$736,Movimientos!$C$1:$C$736,$B20,Movimientos!$D$1:$D$736,$C20,Movimientos!$L$1:$L$736,A$5,Movimientos!$F$1:$F$736,"Egreso")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SUMIFS(Movimientos!$J$1:$J$736,Movimientos!$C$1:$C$736,$B21,Movimientos!$D$1:$D$736,$C21,Movimientos!$L$1:$L$736,A$3,Movimientos!$F$1:$F$736,"Ingreso")</f>
        <v>0</v>
      </c>
      <c r="K21" s="44">
        <f>SUMIFS(Movimientos!$J$1:$J$736,Movimientos!$C$1:$C$736,$B21,Movimientos!$D$1:$D$736,$C21,Movimientos!$L$1:$L$736,A$3,Movimientos!$F$1:$F$736,"Egreso")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SUMIFS(Movimientos!$J$1:$J$736,Movimientos!$C$1:$C$736,$B21,Movimientos!$D$1:$D$736,$C21,Movimientos!$L$1:$L$736,A$4,Movimientos!$F$1:$F$736,"Ingreso")</f>
        <v>14659.29</v>
      </c>
      <c r="P21" s="44">
        <f>SUMIFS(Movimientos!$J$1:$J$736,Movimientos!$C$1:$C$736,$B21,Movimientos!$D$1:$D$736,$C21,Movimientos!$L$1:$L$736,A$4,Movimientos!$F$1:$F$736,"Egreso")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SUMIFS(Movimientos!$J$1:$J$736,Movimientos!$C$1:$C$736,$B21,Movimientos!$D$1:$D$736,$C21,Movimientos!$L$1:$L$736,A$5,Movimientos!$F$1:$F$736,"Ingreso")</f>
        <v>0</v>
      </c>
      <c r="U21" s="44">
        <f>SUMIFS(Movimientos!$J$1:$J$736,Movimientos!$C$1:$C$736,$B21,Movimientos!$D$1:$D$736,$C21,Movimientos!$L$1:$L$736,A$5,Movimientos!$F$1:$F$736,"Egreso")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SUMIFS(Movimientos!$J$1:$J$736,Movimientos!$C$1:$C$736,$B22,Movimientos!$D$1:$D$736,$C22,Movimientos!$L$1:$L$736,A$3,Movimientos!$F$1:$F$736,"Ingreso")</f>
        <v>0</v>
      </c>
      <c r="K22" s="44">
        <f>SUMIFS(Movimientos!$J$1:$J$736,Movimientos!$C$1:$C$736,$B22,Movimientos!$D$1:$D$736,$C22,Movimientos!$L$1:$L$736,A$3,Movimientos!$F$1:$F$736,"Egreso")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SUMIFS(Movimientos!$J$1:$J$736,Movimientos!$C$1:$C$736,$B22,Movimientos!$D$1:$D$736,$C22,Movimientos!$L$1:$L$736,A$4,Movimientos!$F$1:$F$736,"Ingreso")</f>
        <v>0</v>
      </c>
      <c r="P22" s="44">
        <f>SUMIFS(Movimientos!$J$1:$J$736,Movimientos!$C$1:$C$736,$B22,Movimientos!$D$1:$D$736,$C22,Movimientos!$L$1:$L$736,A$4,Movimientos!$F$1:$F$736,"Egreso")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SUMIFS(Movimientos!$J$1:$J$736,Movimientos!$C$1:$C$736,$B22,Movimientos!$D$1:$D$736,$C22,Movimientos!$L$1:$L$736,A$5,Movimientos!$F$1:$F$736,"Ingreso")</f>
        <v>0</v>
      </c>
      <c r="U22" s="44">
        <f>SUMIFS(Movimientos!$J$1:$J$736,Movimientos!$C$1:$C$736,$B22,Movimientos!$D$1:$D$736,$C22,Movimientos!$L$1:$L$736,A$5,Movimientos!$F$1:$F$736,"Egreso")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SUMIFS(Movimientos!$J$1:$J$736,Movimientos!$C$1:$C$736,$B23,Movimientos!$D$1:$D$736,$C23,Movimientos!$L$1:$L$736,A$3,Movimientos!$F$1:$F$736,"Ingreso")</f>
        <v>0</v>
      </c>
      <c r="K23" s="44">
        <f>SUMIFS(Movimientos!$J$1:$J$736,Movimientos!$C$1:$C$736,$B23,Movimientos!$D$1:$D$736,$C23,Movimientos!$L$1:$L$736,A$3,Movimientos!$F$1:$F$736,"Egreso")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SUMIFS(Movimientos!$J$1:$J$736,Movimientos!$C$1:$C$736,$B23,Movimientos!$D$1:$D$736,$C23,Movimientos!$L$1:$L$736,A$4,Movimientos!$F$1:$F$736,"Ingreso")</f>
        <v>0</v>
      </c>
      <c r="P23" s="44">
        <f>SUMIFS(Movimientos!$J$1:$J$736,Movimientos!$C$1:$C$736,$B23,Movimientos!$D$1:$D$736,$C23,Movimientos!$L$1:$L$736,A$4,Movimientos!$F$1:$F$736,"Egreso")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SUMIFS(Movimientos!$J$1:$J$736,Movimientos!$C$1:$C$736,$B23,Movimientos!$D$1:$D$736,$C23,Movimientos!$L$1:$L$736,A$5,Movimientos!$F$1:$F$736,"Ingreso")</f>
        <v>0</v>
      </c>
      <c r="U23" s="44">
        <f>SUMIFS(Movimientos!$J$1:$J$736,Movimientos!$C$1:$C$736,$B23,Movimientos!$D$1:$D$736,$C23,Movimientos!$L$1:$L$736,A$5,Movimientos!$F$1:$F$736,"Egreso")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SUMIFS(Movimientos!$J$1:$J$736,Movimientos!$C$1:$C$736,$B24,Movimientos!$D$1:$D$736,$C24,Movimientos!$L$1:$L$736,A$3,Movimientos!$F$1:$F$736,"Ingreso")</f>
        <v>0</v>
      </c>
      <c r="K24" s="44">
        <f>SUMIFS(Movimientos!$J$1:$J$736,Movimientos!$C$1:$C$736,$B24,Movimientos!$D$1:$D$736,$C24,Movimientos!$L$1:$L$736,A$3,Movimientos!$F$1:$F$736,"Egreso")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SUMIFS(Movimientos!$J$1:$J$736,Movimientos!$C$1:$C$736,$B24,Movimientos!$D$1:$D$736,$C24,Movimientos!$L$1:$L$736,A$4,Movimientos!$F$1:$F$736,"Ingreso")</f>
        <v>1451269.78</v>
      </c>
      <c r="P24" s="44">
        <f>SUMIFS(Movimientos!$J$1:$J$736,Movimientos!$C$1:$C$736,$B24,Movimientos!$D$1:$D$736,$C24,Movimientos!$L$1:$L$736,A$4,Movimientos!$F$1:$F$736,"Egreso")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SUMIFS(Movimientos!$J$1:$J$736,Movimientos!$C$1:$C$736,$B24,Movimientos!$D$1:$D$736,$C24,Movimientos!$L$1:$L$736,A$5,Movimientos!$F$1:$F$736,"Ingreso")</f>
        <v>0</v>
      </c>
      <c r="U24" s="44">
        <f>SUMIFS(Movimientos!$J$1:$J$736,Movimientos!$C$1:$C$736,$B24,Movimientos!$D$1:$D$736,$C24,Movimientos!$L$1:$L$736,A$5,Movimientos!$F$1:$F$736,"Egreso")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SUMIFS(Movimientos!$J$1:$J$736,Movimientos!$C$1:$C$736,$B25,Movimientos!$D$1:$D$736,$C25,Movimientos!$L$1:$L$736,A$3,Movimientos!$F$1:$F$736,"Ingreso")</f>
        <v>0</v>
      </c>
      <c r="K25" s="44">
        <f>SUMIFS(Movimientos!$J$1:$J$736,Movimientos!$C$1:$C$736,$B25,Movimientos!$D$1:$D$736,$C25,Movimientos!$L$1:$L$736,A$3,Movimientos!$F$1:$F$736,"Egreso")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SUMIFS(Movimientos!$J$1:$J$736,Movimientos!$C$1:$C$736,$B25,Movimientos!$D$1:$D$736,$C25,Movimientos!$L$1:$L$736,A$4,Movimientos!$F$1:$F$736,"Ingreso")</f>
        <v>0</v>
      </c>
      <c r="P25" s="44">
        <f>SUMIFS(Movimientos!$J$1:$J$736,Movimientos!$C$1:$C$736,$B25,Movimientos!$D$1:$D$736,$C25,Movimientos!$L$1:$L$736,A$4,Movimientos!$F$1:$F$736,"Egreso")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SUMIFS(Movimientos!$J$1:$J$736,Movimientos!$C$1:$C$736,$B25,Movimientos!$D$1:$D$736,$C25,Movimientos!$L$1:$L$736,A$5,Movimientos!$F$1:$F$736,"Ingreso")</f>
        <v>0</v>
      </c>
      <c r="U25" s="44">
        <f>SUMIFS(Movimientos!$J$1:$J$736,Movimientos!$C$1:$C$736,$B25,Movimientos!$D$1:$D$736,$C25,Movimientos!$L$1:$L$736,A$5,Movimientos!$F$1:$F$736,"Egreso")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SUMIFS(Movimientos!$J$1:$J$736,Movimientos!$C$1:$C$736,$B26,Movimientos!$D$1:$D$736,$C26,Movimientos!$L$1:$L$736,A$3,Movimientos!$F$1:$F$736,"Ingreso")</f>
        <v>0</v>
      </c>
      <c r="K26" s="44">
        <f>SUMIFS(Movimientos!$J$1:$J$736,Movimientos!$C$1:$C$736,$B26,Movimientos!$D$1:$D$736,$C26,Movimientos!$L$1:$L$736,A$3,Movimientos!$F$1:$F$736,"Egreso")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SUMIFS(Movimientos!$J$1:$J$736,Movimientos!$C$1:$C$736,$B26,Movimientos!$D$1:$D$736,$C26,Movimientos!$L$1:$L$736,A$4,Movimientos!$F$1:$F$736,"Ingreso")</f>
        <v>0</v>
      </c>
      <c r="P26" s="44">
        <f>SUMIFS(Movimientos!$J$1:$J$736,Movimientos!$C$1:$C$736,$B26,Movimientos!$D$1:$D$736,$C26,Movimientos!$L$1:$L$736,A$4,Movimientos!$F$1:$F$736,"Egreso")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SUMIFS(Movimientos!$J$1:$J$736,Movimientos!$C$1:$C$736,$B26,Movimientos!$D$1:$D$736,$C26,Movimientos!$L$1:$L$736,A$5,Movimientos!$F$1:$F$736,"Ingreso")</f>
        <v>0</v>
      </c>
      <c r="U26" s="44">
        <f>SUMIFS(Movimientos!$J$1:$J$736,Movimientos!$C$1:$C$736,$B26,Movimientos!$D$1:$D$736,$C26,Movimientos!$L$1:$L$736,A$5,Movimientos!$F$1:$F$736,"Egreso")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SUMIFS(Movimientos!$J$1:$J$736,Movimientos!$C$1:$C$736,$B27,Movimientos!$D$1:$D$736,$C27,Movimientos!$L$1:$L$736,A$3,Movimientos!$F$1:$F$736,"Ingreso")</f>
        <v>0</v>
      </c>
      <c r="K27" s="44">
        <f>SUMIFS(Movimientos!$J$1:$J$736,Movimientos!$C$1:$C$736,$B27,Movimientos!$D$1:$D$736,$C27,Movimientos!$L$1:$L$736,A$3,Movimientos!$F$1:$F$736,"Egreso")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SUMIFS(Movimientos!$J$1:$J$736,Movimientos!$C$1:$C$736,$B27,Movimientos!$D$1:$D$736,$C27,Movimientos!$L$1:$L$736,A$4,Movimientos!$F$1:$F$736,"Ingreso")</f>
        <v>518.65</v>
      </c>
      <c r="P27" s="44">
        <f>SUMIFS(Movimientos!$J$1:$J$736,Movimientos!$C$1:$C$736,$B27,Movimientos!$D$1:$D$736,$C27,Movimientos!$L$1:$L$736,A$4,Movimientos!$F$1:$F$736,"Egreso")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SUMIFS(Movimientos!$J$1:$J$736,Movimientos!$C$1:$C$736,$B27,Movimientos!$D$1:$D$736,$C27,Movimientos!$L$1:$L$736,A$5,Movimientos!$F$1:$F$736,"Ingreso")</f>
        <v>0</v>
      </c>
      <c r="U27" s="44">
        <f>SUMIFS(Movimientos!$J$1:$J$736,Movimientos!$C$1:$C$736,$B27,Movimientos!$D$1:$D$736,$C27,Movimientos!$L$1:$L$736,A$5,Movimientos!$F$1:$F$736,"Egreso")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SUMIFS(Movimientos!$J$1:$J$736,Movimientos!$C$1:$C$736,$B28,Movimientos!$D$1:$D$736,$C28,Movimientos!$L$1:$L$736,A$3,Movimientos!$F$1:$F$736,"Ingreso")</f>
        <v>0</v>
      </c>
      <c r="K28" s="44">
        <f>SUMIFS(Movimientos!$J$1:$J$736,Movimientos!$C$1:$C$736,$B28,Movimientos!$D$1:$D$736,$C28,Movimientos!$L$1:$L$736,A$3,Movimientos!$F$1:$F$736,"Egreso")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SUMIFS(Movimientos!$J$1:$J$736,Movimientos!$C$1:$C$736,$B28,Movimientos!$D$1:$D$736,$C28,Movimientos!$L$1:$L$736,A$4,Movimientos!$F$1:$F$736,"Ingreso")</f>
        <v>0</v>
      </c>
      <c r="P28" s="44">
        <f>SUMIFS(Movimientos!$J$1:$J$736,Movimientos!$C$1:$C$736,$B28,Movimientos!$D$1:$D$736,$C28,Movimientos!$L$1:$L$736,A$4,Movimientos!$F$1:$F$736,"Egreso")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SUMIFS(Movimientos!$J$1:$J$736,Movimientos!$C$1:$C$736,$B28,Movimientos!$D$1:$D$736,$C28,Movimientos!$L$1:$L$736,A$5,Movimientos!$F$1:$F$736,"Ingreso")</f>
        <v>0</v>
      </c>
      <c r="U28" s="44">
        <f>SUMIFS(Movimientos!$J$1:$J$736,Movimientos!$C$1:$C$736,$B28,Movimientos!$D$1:$D$736,$C28,Movimientos!$L$1:$L$736,A$5,Movimientos!$F$1:$F$736,"Egreso")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SUMIFS(Movimientos!$J$1:$J$736,Movimientos!$C$1:$C$736,$B29,Movimientos!$D$1:$D$736,$C29,Movimientos!$L$1:$L$736,A$3,Movimientos!$F$1:$F$736,"Ingreso")</f>
        <v>5250</v>
      </c>
      <c r="K29" s="44">
        <f>SUMIFS(Movimientos!$J$1:$J$736,Movimientos!$C$1:$C$736,$B29,Movimientos!$D$1:$D$736,$C29,Movimientos!$L$1:$L$736,A$3,Movimientos!$F$1:$F$736,"Egreso")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SUMIFS(Movimientos!$J$1:$J$736,Movimientos!$C$1:$C$736,$B29,Movimientos!$D$1:$D$736,$C29,Movimientos!$L$1:$L$736,A$4,Movimientos!$F$1:$F$736,"Ingreso")</f>
        <v>0</v>
      </c>
      <c r="P29" s="44">
        <f>SUMIFS(Movimientos!$J$1:$J$736,Movimientos!$C$1:$C$736,$B29,Movimientos!$D$1:$D$736,$C29,Movimientos!$L$1:$L$736,A$4,Movimientos!$F$1:$F$736,"Egreso")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SUMIFS(Movimientos!$J$1:$J$736,Movimientos!$C$1:$C$736,$B29,Movimientos!$D$1:$D$736,$C29,Movimientos!$L$1:$L$736,A$5,Movimientos!$F$1:$F$736,"Ingreso")</f>
        <v>105.4</v>
      </c>
      <c r="U29" s="44">
        <f>SUMIFS(Movimientos!$J$1:$J$736,Movimientos!$C$1:$C$736,$B29,Movimientos!$D$1:$D$736,$C29,Movimientos!$L$1:$L$736,A$5,Movimientos!$F$1:$F$736,"Egreso")</f>
        <v>18742.259999999998</v>
      </c>
      <c r="V29" s="7">
        <f t="shared" si="2"/>
        <v>-18636.859999999997</v>
      </c>
      <c r="W29" s="12">
        <f t="shared" si="9"/>
        <v>3390.2899999999681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SUMIFS(Movimientos!$J$1:$J$736,Movimientos!$C$1:$C$736,$B30,Movimientos!$D$1:$D$736,$C30,Movimientos!$L$1:$L$736,A$3,Movimientos!$F$1:$F$736,"Ingreso")</f>
        <v>0</v>
      </c>
      <c r="K30" s="44">
        <f>SUMIFS(Movimientos!$J$1:$J$736,Movimientos!$C$1:$C$736,$B30,Movimientos!$D$1:$D$736,$C30,Movimientos!$L$1:$L$736,A$3,Movimientos!$F$1:$F$736,"Egreso")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SUMIFS(Movimientos!$J$1:$J$736,Movimientos!$C$1:$C$736,$B30,Movimientos!$D$1:$D$736,$C30,Movimientos!$L$1:$L$736,A$4,Movimientos!$F$1:$F$736,"Ingreso")</f>
        <v>0</v>
      </c>
      <c r="P30" s="44">
        <f>SUMIFS(Movimientos!$J$1:$J$736,Movimientos!$C$1:$C$736,$B30,Movimientos!$D$1:$D$736,$C30,Movimientos!$L$1:$L$736,A$4,Movimientos!$F$1:$F$736,"Egreso")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SUMIFS(Movimientos!$J$1:$J$736,Movimientos!$C$1:$C$736,$B30,Movimientos!$D$1:$D$736,$C30,Movimientos!$L$1:$L$736,A$5,Movimientos!$F$1:$F$736,"Ingreso")</f>
        <v>0</v>
      </c>
      <c r="U30" s="44">
        <f>SUMIFS(Movimientos!$J$1:$J$736,Movimientos!$C$1:$C$736,$B30,Movimientos!$D$1:$D$736,$C30,Movimientos!$L$1:$L$736,A$5,Movimientos!$F$1:$F$736,"Egreso")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SUMIFS(Movimientos!$J$1:$J$736,Movimientos!$C$1:$C$736,$B31,Movimientos!$D$1:$D$736,$C31,Movimientos!$L$1:$L$736,A$3,Movimientos!$F$1:$F$736,"Ingreso")</f>
        <v>15000</v>
      </c>
      <c r="K31" s="44">
        <f>SUMIFS(Movimientos!$J$1:$J$736,Movimientos!$C$1:$C$736,$B31,Movimientos!$D$1:$D$736,$C31,Movimientos!$L$1:$L$736,A$3,Movimientos!$F$1:$F$736,"Egreso")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SUMIFS(Movimientos!$J$1:$J$736,Movimientos!$C$1:$C$736,$B31,Movimientos!$D$1:$D$736,$C31,Movimientos!$L$1:$L$736,A$4,Movimientos!$F$1:$F$736,"Ingreso")</f>
        <v>15000</v>
      </c>
      <c r="P31" s="44">
        <f>SUMIFS(Movimientos!$J$1:$J$736,Movimientos!$C$1:$C$736,$B31,Movimientos!$D$1:$D$736,$C31,Movimientos!$L$1:$L$736,A$4,Movimientos!$F$1:$F$736,"Egreso")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SUMIFS(Movimientos!$J$1:$J$736,Movimientos!$C$1:$C$736,$B31,Movimientos!$D$1:$D$736,$C31,Movimientos!$L$1:$L$736,A$5,Movimientos!$F$1:$F$736,"Ingreso")</f>
        <v>0</v>
      </c>
      <c r="U31" s="44">
        <f>SUMIFS(Movimientos!$J$1:$J$736,Movimientos!$C$1:$C$736,$B31,Movimientos!$D$1:$D$736,$C31,Movimientos!$L$1:$L$736,A$5,Movimientos!$F$1:$F$736,"Egreso")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SUMIFS(Movimientos!$J$1:$J$736,Movimientos!$C$1:$C$736,$B32,Movimientos!$D$1:$D$736,$C32,Movimientos!$L$1:$L$736,A$3,Movimientos!$F$1:$F$736,"Ingreso")</f>
        <v>12000</v>
      </c>
      <c r="K32" s="44">
        <f>SUMIFS(Movimientos!$J$1:$J$736,Movimientos!$C$1:$C$736,$B32,Movimientos!$D$1:$D$736,$C32,Movimientos!$L$1:$L$736,A$3,Movimientos!$F$1:$F$736,"Egreso")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SUMIFS(Movimientos!$J$1:$J$736,Movimientos!$C$1:$C$736,$B32,Movimientos!$D$1:$D$736,$C32,Movimientos!$L$1:$L$736,A$4,Movimientos!$F$1:$F$736,"Ingreso")</f>
        <v>4400</v>
      </c>
      <c r="P32" s="44">
        <f>SUMIFS(Movimientos!$J$1:$J$736,Movimientos!$C$1:$C$736,$B32,Movimientos!$D$1:$D$736,$C32,Movimientos!$L$1:$L$736,A$4,Movimientos!$F$1:$F$736,"Egreso")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SUMIFS(Movimientos!$J$1:$J$736,Movimientos!$C$1:$C$736,$B32,Movimientos!$D$1:$D$736,$C32,Movimientos!$L$1:$L$736,A$5,Movimientos!$F$1:$F$736,"Ingreso")</f>
        <v>5000</v>
      </c>
      <c r="U32" s="44">
        <f>SUMIFS(Movimientos!$J$1:$J$736,Movimientos!$C$1:$C$736,$B32,Movimientos!$D$1:$D$736,$C32,Movimientos!$L$1:$L$736,A$5,Movimientos!$F$1:$F$736,"Egreso")</f>
        <v>13379.460000000001</v>
      </c>
      <c r="V32" s="7">
        <f t="shared" si="2"/>
        <v>-8379.4600000000009</v>
      </c>
      <c r="W32" s="12">
        <f t="shared" si="9"/>
        <v>15706.099999999997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SUMIFS(Movimientos!$J$1:$J$736,Movimientos!$C$1:$C$736,$B33,Movimientos!$D$1:$D$736,$C33,Movimientos!$L$1:$L$736,A$3,Movimientos!$F$1:$F$736,"Ingreso")</f>
        <v>59000</v>
      </c>
      <c r="K33" s="44">
        <f>SUMIFS(Movimientos!$J$1:$J$736,Movimientos!$C$1:$C$736,$B33,Movimientos!$D$1:$D$736,$C33,Movimientos!$L$1:$L$736,A$3,Movimientos!$F$1:$F$736,"Egreso")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SUMIFS(Movimientos!$J$1:$J$736,Movimientos!$C$1:$C$736,$B33,Movimientos!$D$1:$D$736,$C33,Movimientos!$L$1:$L$736,A$4,Movimientos!$F$1:$F$736,"Ingreso")</f>
        <v>50000</v>
      </c>
      <c r="P33" s="44">
        <f>SUMIFS(Movimientos!$J$1:$J$736,Movimientos!$C$1:$C$736,$B33,Movimientos!$D$1:$D$736,$C33,Movimientos!$L$1:$L$736,A$4,Movimientos!$F$1:$F$736,"Egreso")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SUMIFS(Movimientos!$J$1:$J$736,Movimientos!$C$1:$C$736,$B33,Movimientos!$D$1:$D$736,$C33,Movimientos!$L$1:$L$736,A$5,Movimientos!$F$1:$F$736,"Ingreso")</f>
        <v>13000</v>
      </c>
      <c r="U33" s="44">
        <f>SUMIFS(Movimientos!$J$1:$J$736,Movimientos!$C$1:$C$736,$B33,Movimientos!$D$1:$D$736,$C33,Movimientos!$L$1:$L$736,A$5,Movimientos!$F$1:$F$736,"Egreso")</f>
        <v>13000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SUMIFS(Movimientos!$J$1:$J$736,Movimientos!$C$1:$C$736,$B34,Movimientos!$D$1:$D$736,$C34,Movimientos!$L$1:$L$736,A$3,Movimientos!$F$1:$F$736,"Ingreso")</f>
        <v>59000</v>
      </c>
      <c r="K34" s="44">
        <f>SUMIFS(Movimientos!$J$1:$J$736,Movimientos!$C$1:$C$736,$B34,Movimientos!$D$1:$D$736,$C34,Movimientos!$L$1:$L$736,A$3,Movimientos!$F$1:$F$736,"Egreso")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SUMIFS(Movimientos!$J$1:$J$736,Movimientos!$C$1:$C$736,$B34,Movimientos!$D$1:$D$736,$C34,Movimientos!$L$1:$L$736,A$4,Movimientos!$F$1:$F$736,"Ingreso")</f>
        <v>50000</v>
      </c>
      <c r="P34" s="44">
        <f>SUMIFS(Movimientos!$J$1:$J$736,Movimientos!$C$1:$C$736,$B34,Movimientos!$D$1:$D$736,$C34,Movimientos!$L$1:$L$736,A$4,Movimientos!$F$1:$F$736,"Egreso")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SUMIFS(Movimientos!$J$1:$J$736,Movimientos!$C$1:$C$736,$B34,Movimientos!$D$1:$D$736,$C34,Movimientos!$L$1:$L$736,A$5,Movimientos!$F$1:$F$736,"Ingreso")</f>
        <v>13000</v>
      </c>
      <c r="U34" s="44">
        <f>SUMIFS(Movimientos!$J$1:$J$736,Movimientos!$C$1:$C$736,$B34,Movimientos!$D$1:$D$736,$C34,Movimientos!$L$1:$L$736,A$5,Movimientos!$F$1:$F$736,"Egreso")</f>
        <v>11773.96</v>
      </c>
      <c r="V34" s="7">
        <f t="shared" si="2"/>
        <v>1226.0400000000009</v>
      </c>
      <c r="W34" s="12">
        <f t="shared" si="9"/>
        <v>10184.75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SUMIFS(Movimientos!$J$1:$J$736,Movimientos!$C$1:$C$736,$B35,Movimientos!$D$1:$D$736,$C35,Movimientos!$L$1:$L$736,A$3,Movimientos!$F$1:$F$736,"Ingreso")</f>
        <v>0</v>
      </c>
      <c r="K35" s="44">
        <f>SUMIFS(Movimientos!$J$1:$J$736,Movimientos!$C$1:$C$736,$B35,Movimientos!$D$1:$D$736,$C35,Movimientos!$L$1:$L$736,A$3,Movimientos!$F$1:$F$736,"Egreso")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SUMIFS(Movimientos!$J$1:$J$736,Movimientos!$C$1:$C$736,$B35,Movimientos!$D$1:$D$736,$C35,Movimientos!$L$1:$L$736,A$4,Movimientos!$F$1:$F$736,"Ingreso")</f>
        <v>15000</v>
      </c>
      <c r="P35" s="44">
        <f>SUMIFS(Movimientos!$J$1:$J$736,Movimientos!$C$1:$C$736,$B35,Movimientos!$D$1:$D$736,$C35,Movimientos!$L$1:$L$736,A$4,Movimientos!$F$1:$F$736,"Egreso")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SUMIFS(Movimientos!$J$1:$J$736,Movimientos!$C$1:$C$736,$B35,Movimientos!$D$1:$D$736,$C35,Movimientos!$L$1:$L$736,A$5,Movimientos!$F$1:$F$736,"Ingreso")</f>
        <v>0</v>
      </c>
      <c r="U35" s="44">
        <f>SUMIFS(Movimientos!$J$1:$J$736,Movimientos!$C$1:$C$736,$B35,Movimientos!$D$1:$D$736,$C35,Movimientos!$L$1:$L$736,A$5,Movimientos!$F$1:$F$736,"Egreso")</f>
        <v>390.93</v>
      </c>
      <c r="V35" s="7">
        <f t="shared" si="2"/>
        <v>-390.93</v>
      </c>
      <c r="W35" s="12">
        <f t="shared" si="9"/>
        <v>2285.2899999999977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03"/>
  <sheetViews>
    <sheetView showGridLines="0" zoomScale="80" zoomScaleNormal="80" workbookViewId="0">
      <pane xSplit="2" ySplit="1" topLeftCell="G75" activePane="bottomRight" state="frozen"/>
      <selection pane="topRight" activeCell="C1" sqref="C1"/>
      <selection pane="bottomLeft" activeCell="A2" sqref="A2"/>
      <selection pane="bottomRight" activeCell="G103" sqref="G103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Group")+SUMIFS(Movimientos!$K$1:$K$736,Movimientos!$C$1:$C$736,"CFT Group",Movimientos!$B$1:$B$736,"&lt;="&amp;$B33)</f>
        <v>983394.14000000013</v>
      </c>
      <c r="D33" s="24">
        <f>SUMIFS('Saldos Iniciales'!$D:$D,'Saldos Iniciales'!$A:$A,"M1B")+SUMIFS(Movimientos!$K$1:$K$736,Movimientos!$C$1:$C$736,"M1B",Movimientos!$B$1:$B$736,"&lt;="&amp;$B33)</f>
        <v>69376.390000000174</v>
      </c>
      <c r="E33" s="24">
        <f>SUMIFS('Saldos Iniciales'!$D:$D,'Saldos Iniciales'!$A:$A,"Durand")+SUMIFS(Movimientos!$K$1:$K$736,Movimientos!$C$1:$C$736,"Durand",Movimientos!$B$1:$B$736,"&lt;="&amp;$B33)</f>
        <v>1669.89</v>
      </c>
      <c r="F33" s="24">
        <f>SUMIFS('Saldos Iniciales'!$D:$D,'Saldos Iniciales'!$A:$A,"A&amp;M Imports")+SUMIFS(Movimientos!$K$1:$K$736,Movimientos!$C$1:$C$736,"A&amp;M Imports",Movimientos!$B$1:$B$736,"&lt;="&amp;$B33)</f>
        <v>804853.11999999988</v>
      </c>
      <c r="G33" s="24">
        <f>SUMIFS('Saldos Iniciales'!$D:$D,'Saldos Iniciales'!$A:$A,"SSP Capital")+SUMIFS(Movimientos!$K$1:$K$736,Movimientos!$C$1:$C$736,"SSP Capital",Movimientos!$B$1:$B$736,"&lt;="&amp;$B33)</f>
        <v>1015901.6699999992</v>
      </c>
      <c r="H33" s="24">
        <f>SUMIFS('Saldos Iniciales'!$D:$D,'Saldos Iniciales'!$A:$A,"Cross Family Trust")+SUMIFS(Movimientos!$K$1:$K$736,Movimientos!$C$1:$C$736,"Cross Family Trust",Movimientos!$B$1:$B$736,"&lt;="&amp;$B33)</f>
        <v>131496.38</v>
      </c>
      <c r="I33" s="24">
        <f>SUMIFS('Saldos Iniciales'!$D:$D,'Saldos Iniciales'!$A:$A,"Cross Security Trust")+SUMIFS(Movimientos!$K$1:$K$736,Movimientos!$C$1:$C$736,"Cross Security Trust",Movimientos!$B$1:$B$736,"&lt;="&amp;$B33)</f>
        <v>88090.37</v>
      </c>
      <c r="J33" s="24">
        <f>SUMIFS('Saldos Iniciales'!$D:$D,'Saldos Iniciales'!$A:$A,"Electrama")+SUMIFS(Movimientos!$K$1:$K$736,Movimientos!$C$1:$C$736,"Electrama",Movimientos!$B$1:$B$736,"&lt;="&amp;$B33)</f>
        <v>511.15999999999985</v>
      </c>
      <c r="K33" s="24">
        <f>SUMIFS('Saldos Iniciales'!$D:$D,'Saldos Iniciales'!$A:$A,"Sacred Valley Capital")+SUMIFS(Movimientos!$K$1:$K$736,Movimientos!$C$1:$C$736,"Sacred Valley Capital",Movimientos!$B$1:$B$736,"&lt;="&amp;$B33)</f>
        <v>84.35</v>
      </c>
      <c r="L33" s="24">
        <f>SUMIFS('Saldos Iniciales'!$D:$D,'Saldos Iniciales'!$A:$A,"YWC Capital")+SUMIFS(Movimientos!$K$1:$K$736,Movimientos!$C$1:$C$736,"YWC Capital",Movimientos!$B$1:$B$736,"&lt;="&amp;$B33)</f>
        <v>2237.77</v>
      </c>
      <c r="M33" s="24">
        <f>SUMIFS('Saldos Iniciales'!$D:$D,'Saldos Iniciales'!$A:$A,"Soweto")+SUMIFS(Movimientos!$K$1:$K$736,Movimientos!$C$1:$C$736,"Soweto",Movimientos!$B$1:$B$736,"&lt;="&amp;$B33)</f>
        <v>3349.94</v>
      </c>
      <c r="N33" s="24">
        <f>SUMIFS('Saldos Iniciales'!$D:$D,'Saldos Iniciales'!$A:$A,"Green Stone Trust")+SUMIFS(Movimientos!$K$1:$K$736,Movimientos!$C$1:$C$736,"Green Stone Trust",Movimientos!$B$1:$B$736,"&lt;="&amp;$B33)</f>
        <v>1968.99</v>
      </c>
      <c r="O33" s="24">
        <f>SUMIFS('Saldos Iniciales'!$D:$D,'Saldos Iniciales'!$A:$A,"EC Auto")+SUMIFS(Movimientos!$K$1:$K$736,Movimientos!$C$1:$C$736,"EC Auto",Movimientos!$B$1:$B$736,"&lt;="&amp;$B33)</f>
        <v>901.34</v>
      </c>
      <c r="P33" s="24">
        <f>SUMIFS('Saldos Iniciales'!$D:$D,'Saldos Iniciales'!$A:$A,"Arbor Capital Properties")+SUMIFS(Movimientos!$K$1:$K$736,Movimientos!$C$1:$C$736,"Arbor Capital Properties",Movimientos!$B$1:$B$736,"&lt;="&amp;$B33)</f>
        <v>1428.08</v>
      </c>
      <c r="Q33" s="24">
        <f>SUMIFS('Saldos Iniciales'!$D:$D,'Saldos Iniciales'!$A:$A,"2515 Overbrook")+SUMIFS(Movimientos!$K$1:$K$736,Movimientos!$C$1:$C$736,"2515 Overbrook",Movimientos!$B$1:$B$736,"&lt;="&amp;$B33)</f>
        <v>26416.26999999996</v>
      </c>
      <c r="R33" s="24">
        <f>SUMIFS('Saldos Iniciales'!$D:$D,'Saldos Iniciales'!$A:$A,"112 Florida Ave")+SUMIFS(Movimientos!$K$1:$K$736,Movimientos!$C$1:$C$736,"112 Florida Ave",Movimientos!$B$1:$B$736,"&lt;="&amp;$B33)</f>
        <v>5321.4300000000021</v>
      </c>
      <c r="S33" s="24">
        <f>SUMIFS('Saldos Iniciales'!$D:$D,'Saldos Iniciales'!$A:$A,"3628 Thomas Ave")+SUMIFS(Movimientos!$K$1:$K$736,Movimientos!$C$1:$C$736,"3628 Thomas Ave",Movimientos!$B$1:$B$736,"&lt;="&amp;$B33)</f>
        <v>24833.23</v>
      </c>
      <c r="T33" s="24">
        <f>SUMIFS('Saldos Iniciales'!$D:$D,'Saldos Iniciales'!$A:$A,"Green Harbor Trust")+SUMIFS(Movimientos!$K$1:$K$736,Movimientos!$C$1:$C$736,"Green Harbor Trust",Movimientos!$B$1:$B$736,"&lt;="&amp;$B33)</f>
        <v>345</v>
      </c>
      <c r="U33" s="24">
        <f>SUMIFS('Saldos Iniciales'!$D:$D,'Saldos Iniciales'!$A:$A,"Go Blue")+SUMIFS(Movimientos!$K$1:$K$736,Movimientos!$C$1:$C$736,"Go Blue",Movimientos!$B$1:$B$736,"&lt;="&amp;$B33)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Group")+SUMIFS(Movimientos!$K$1:$K$736,Movimientos!$C$1:$C$736,"CFT Group",Movimientos!$B$1:$B$736,"&lt;="&amp;$B34)</f>
        <v>983394.14000000013</v>
      </c>
      <c r="D34" s="24">
        <f>SUMIFS('Saldos Iniciales'!$D:$D,'Saldos Iniciales'!$A:$A,"M1B")+SUMIFS(Movimientos!$K$1:$K$736,Movimientos!$C$1:$C$736,"M1B",Movimientos!$B$1:$B$736,"&lt;="&amp;$B34)</f>
        <v>69376.390000000174</v>
      </c>
      <c r="E34" s="24">
        <f>SUMIFS('Saldos Iniciales'!$D:$D,'Saldos Iniciales'!$A:$A,"Durand")+SUMIFS(Movimientos!$K$1:$K$736,Movimientos!$C$1:$C$736,"Durand",Movimientos!$B$1:$B$736,"&lt;="&amp;$B34)</f>
        <v>1669.89</v>
      </c>
      <c r="F34" s="24">
        <f>SUMIFS('Saldos Iniciales'!$D:$D,'Saldos Iniciales'!$A:$A,"A&amp;M Imports")+SUMIFS(Movimientos!$K$1:$K$736,Movimientos!$C$1:$C$736,"A&amp;M Imports",Movimientos!$B$1:$B$736,"&lt;="&amp;$B34)</f>
        <v>804853.11999999988</v>
      </c>
      <c r="G34" s="24">
        <f>SUMIFS('Saldos Iniciales'!$D:$D,'Saldos Iniciales'!$A:$A,"SSP Capital")+SUMIFS(Movimientos!$K$1:$K$736,Movimientos!$C$1:$C$736,"SSP Capital",Movimientos!$B$1:$B$736,"&lt;="&amp;$B34)</f>
        <v>1015901.6699999992</v>
      </c>
      <c r="H34" s="24">
        <f>SUMIFS('Saldos Iniciales'!$D:$D,'Saldos Iniciales'!$A:$A,"Cross Family Trust")+SUMIFS(Movimientos!$K$1:$K$736,Movimientos!$C$1:$C$736,"Cross Family Trust",Movimientos!$B$1:$B$736,"&lt;="&amp;$B34)</f>
        <v>131496.38</v>
      </c>
      <c r="I34" s="24">
        <f>SUMIFS('Saldos Iniciales'!$D:$D,'Saldos Iniciales'!$A:$A,"Cross Security Trust")+SUMIFS(Movimientos!$K$1:$K$736,Movimientos!$C$1:$C$736,"Cross Security Trust",Movimientos!$B$1:$B$736,"&lt;="&amp;$B34)</f>
        <v>88090.37</v>
      </c>
      <c r="J34" s="24">
        <f>SUMIFS('Saldos Iniciales'!$D:$D,'Saldos Iniciales'!$A:$A,"Electrama")+SUMIFS(Movimientos!$K$1:$K$736,Movimientos!$C$1:$C$736,"Electrama",Movimientos!$B$1:$B$736,"&lt;="&amp;$B34)</f>
        <v>511.15999999999985</v>
      </c>
      <c r="K34" s="24">
        <f>SUMIFS('Saldos Iniciales'!$D:$D,'Saldos Iniciales'!$A:$A,"Sacred Valley Capital")+SUMIFS(Movimientos!$K$1:$K$736,Movimientos!$C$1:$C$736,"Sacred Valley Capital",Movimientos!$B$1:$B$736,"&lt;="&amp;$B34)</f>
        <v>84.35</v>
      </c>
      <c r="L34" s="24">
        <f>SUMIFS('Saldos Iniciales'!$D:$D,'Saldos Iniciales'!$A:$A,"YWC Capital")+SUMIFS(Movimientos!$K$1:$K$736,Movimientos!$C$1:$C$736,"YWC Capital",Movimientos!$B$1:$B$736,"&lt;="&amp;$B34)</f>
        <v>2237.77</v>
      </c>
      <c r="M34" s="24">
        <f>SUMIFS('Saldos Iniciales'!$D:$D,'Saldos Iniciales'!$A:$A,"Soweto")+SUMIFS(Movimientos!$K$1:$K$736,Movimientos!$C$1:$C$736,"Soweto",Movimientos!$B$1:$B$736,"&lt;="&amp;$B34)</f>
        <v>3349.94</v>
      </c>
      <c r="N34" s="24">
        <f>SUMIFS('Saldos Iniciales'!$D:$D,'Saldos Iniciales'!$A:$A,"Green Stone Trust")+SUMIFS(Movimientos!$K$1:$K$736,Movimientos!$C$1:$C$736,"Green Stone Trust",Movimientos!$B$1:$B$736,"&lt;="&amp;$B34)</f>
        <v>1968.99</v>
      </c>
      <c r="O34" s="24">
        <f>SUMIFS('Saldos Iniciales'!$D:$D,'Saldos Iniciales'!$A:$A,"EC Auto")+SUMIFS(Movimientos!$K$1:$K$736,Movimientos!$C$1:$C$736,"EC Auto",Movimientos!$B$1:$B$736,"&lt;="&amp;$B34)</f>
        <v>901.34</v>
      </c>
      <c r="P34" s="24">
        <f>SUMIFS('Saldos Iniciales'!$D:$D,'Saldos Iniciales'!$A:$A,"Arbor Capital Properties")+SUMIFS(Movimientos!$K$1:$K$736,Movimientos!$C$1:$C$736,"Arbor Capital Properties",Movimientos!$B$1:$B$736,"&lt;="&amp;$B34)</f>
        <v>1428.08</v>
      </c>
      <c r="Q34" s="24">
        <f>SUMIFS('Saldos Iniciales'!$D:$D,'Saldos Iniciales'!$A:$A,"2515 Overbrook")+SUMIFS(Movimientos!$K$1:$K$736,Movimientos!$C$1:$C$736,"2515 Overbrook",Movimientos!$B$1:$B$736,"&lt;="&amp;$B34)</f>
        <v>25789.969999999961</v>
      </c>
      <c r="R34" s="24">
        <f>SUMIFS('Saldos Iniciales'!$D:$D,'Saldos Iniciales'!$A:$A,"112 Florida Ave")+SUMIFS(Movimientos!$K$1:$K$736,Movimientos!$C$1:$C$736,"112 Florida Ave",Movimientos!$B$1:$B$736,"&lt;="&amp;$B34)</f>
        <v>5321.4300000000021</v>
      </c>
      <c r="S34" s="24">
        <f>SUMIFS('Saldos Iniciales'!$D:$D,'Saldos Iniciales'!$A:$A,"3628 Thomas Ave")+SUMIFS(Movimientos!$K$1:$K$736,Movimientos!$C$1:$C$736,"3628 Thomas Ave",Movimientos!$B$1:$B$736,"&lt;="&amp;$B34)</f>
        <v>24833.23</v>
      </c>
      <c r="T34" s="24">
        <f>SUMIFS('Saldos Iniciales'!$D:$D,'Saldos Iniciales'!$A:$A,"Green Harbor Trust")+SUMIFS(Movimientos!$K$1:$K$736,Movimientos!$C$1:$C$736,"Green Harbor Trust",Movimientos!$B$1:$B$736,"&lt;="&amp;$B34)</f>
        <v>345</v>
      </c>
      <c r="U34" s="24">
        <f>SUMIFS('Saldos Iniciales'!$D:$D,'Saldos Iniciales'!$A:$A,"Go Blue")+SUMIFS(Movimientos!$K$1:$K$736,Movimientos!$C$1:$C$736,"Go Blue",Movimientos!$B$1:$B$736,"&lt;="&amp;$B34)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Group")+SUMIFS(Movimientos!$K$1:$K$736,Movimientos!$C$1:$C$736,"CFT Group",Movimientos!$B$1:$B$736,"&lt;="&amp;$B35)</f>
        <v>983394.14000000013</v>
      </c>
      <c r="D35" s="24">
        <f>SUMIFS('Saldos Iniciales'!$D:$D,'Saldos Iniciales'!$A:$A,"M1B")+SUMIFS(Movimientos!$K$1:$K$736,Movimientos!$C$1:$C$736,"M1B",Movimientos!$B$1:$B$736,"&lt;="&amp;$B35)</f>
        <v>69376.390000000174</v>
      </c>
      <c r="E35" s="24">
        <f>SUMIFS('Saldos Iniciales'!$D:$D,'Saldos Iniciales'!$A:$A,"Durand")+SUMIFS(Movimientos!$K$1:$K$736,Movimientos!$C$1:$C$736,"Durand",Movimientos!$B$1:$B$736,"&lt;="&amp;$B35)</f>
        <v>1669.89</v>
      </c>
      <c r="F35" s="24">
        <f>SUMIFS('Saldos Iniciales'!$D:$D,'Saldos Iniciales'!$A:$A,"A&amp;M Imports")+SUMIFS(Movimientos!$K$1:$K$736,Movimientos!$C$1:$C$736,"A&amp;M Imports",Movimientos!$B$1:$B$736,"&lt;="&amp;$B35)</f>
        <v>804853.11999999988</v>
      </c>
      <c r="G35" s="24">
        <f>SUMIFS('Saldos Iniciales'!$D:$D,'Saldos Iniciales'!$A:$A,"SSP Capital")+SUMIFS(Movimientos!$K$1:$K$736,Movimientos!$C$1:$C$736,"SSP Capital",Movimientos!$B$1:$B$736,"&lt;="&amp;$B35)</f>
        <v>1015611.6599999993</v>
      </c>
      <c r="H35" s="24">
        <f>SUMIFS('Saldos Iniciales'!$D:$D,'Saldos Iniciales'!$A:$A,"Cross Family Trust")+SUMIFS(Movimientos!$K$1:$K$736,Movimientos!$C$1:$C$736,"Cross Family Trust",Movimientos!$B$1:$B$736,"&lt;="&amp;$B35)</f>
        <v>125496.38</v>
      </c>
      <c r="I35" s="24">
        <f>SUMIFS('Saldos Iniciales'!$D:$D,'Saldos Iniciales'!$A:$A,"Cross Security Trust")+SUMIFS(Movimientos!$K$1:$K$736,Movimientos!$C$1:$C$736,"Cross Security Trust",Movimientos!$B$1:$B$736,"&lt;="&amp;$B35)</f>
        <v>88090.37</v>
      </c>
      <c r="J35" s="24">
        <f>SUMIFS('Saldos Iniciales'!$D:$D,'Saldos Iniciales'!$A:$A,"Electrama")+SUMIFS(Movimientos!$K$1:$K$736,Movimientos!$C$1:$C$736,"Electrama",Movimientos!$B$1:$B$736,"&lt;="&amp;$B35)</f>
        <v>511.15999999999985</v>
      </c>
      <c r="K35" s="24">
        <f>SUMIFS('Saldos Iniciales'!$D:$D,'Saldos Iniciales'!$A:$A,"Sacred Valley Capital")+SUMIFS(Movimientos!$K$1:$K$736,Movimientos!$C$1:$C$736,"Sacred Valley Capital",Movimientos!$B$1:$B$736,"&lt;="&amp;$B35)</f>
        <v>84.35</v>
      </c>
      <c r="L35" s="24">
        <f>SUMIFS('Saldos Iniciales'!$D:$D,'Saldos Iniciales'!$A:$A,"YWC Capital")+SUMIFS(Movimientos!$K$1:$K$736,Movimientos!$C$1:$C$736,"YWC Capital",Movimientos!$B$1:$B$736,"&lt;="&amp;$B35)</f>
        <v>2237.77</v>
      </c>
      <c r="M35" s="24">
        <f>SUMIFS('Saldos Iniciales'!$D:$D,'Saldos Iniciales'!$A:$A,"Soweto")+SUMIFS(Movimientos!$K$1:$K$736,Movimientos!$C$1:$C$736,"Soweto",Movimientos!$B$1:$B$736,"&lt;="&amp;$B35)</f>
        <v>3349.94</v>
      </c>
      <c r="N35" s="24">
        <f>SUMIFS('Saldos Iniciales'!$D:$D,'Saldos Iniciales'!$A:$A,"Green Stone Trust")+SUMIFS(Movimientos!$K$1:$K$736,Movimientos!$C$1:$C$736,"Green Stone Trust",Movimientos!$B$1:$B$736,"&lt;="&amp;$B35)</f>
        <v>1968.99</v>
      </c>
      <c r="O35" s="24">
        <f>SUMIFS('Saldos Iniciales'!$D:$D,'Saldos Iniciales'!$A:$A,"EC Auto")+SUMIFS(Movimientos!$K$1:$K$736,Movimientos!$C$1:$C$736,"EC Auto",Movimientos!$B$1:$B$736,"&lt;="&amp;$B35)</f>
        <v>901.34</v>
      </c>
      <c r="P35" s="24">
        <f>SUMIFS('Saldos Iniciales'!$D:$D,'Saldos Iniciales'!$A:$A,"Arbor Capital Properties")+SUMIFS(Movimientos!$K$1:$K$736,Movimientos!$C$1:$C$736,"Arbor Capital Properties",Movimientos!$B$1:$B$736,"&lt;="&amp;$B35)</f>
        <v>1428.08</v>
      </c>
      <c r="Q35" s="24">
        <f>SUMIFS('Saldos Iniciales'!$D:$D,'Saldos Iniciales'!$A:$A,"2515 Overbrook")+SUMIFS(Movimientos!$K$1:$K$736,Movimientos!$C$1:$C$736,"2515 Overbrook",Movimientos!$B$1:$B$736,"&lt;="&amp;$B35)</f>
        <v>25789.969999999961</v>
      </c>
      <c r="R35" s="24">
        <f>SUMIFS('Saldos Iniciales'!$D:$D,'Saldos Iniciales'!$A:$A,"112 Florida Ave")+SUMIFS(Movimientos!$K$1:$K$736,Movimientos!$C$1:$C$736,"112 Florida Ave",Movimientos!$B$1:$B$736,"&lt;="&amp;$B35)</f>
        <v>5321.4300000000021</v>
      </c>
      <c r="S35" s="24">
        <f>SUMIFS('Saldos Iniciales'!$D:$D,'Saldos Iniciales'!$A:$A,"3628 Thomas Ave")+SUMIFS(Movimientos!$K$1:$K$736,Movimientos!$C$1:$C$736,"3628 Thomas Ave",Movimientos!$B$1:$B$736,"&lt;="&amp;$B35)</f>
        <v>24833.23</v>
      </c>
      <c r="T35" s="24">
        <f>SUMIFS('Saldos Iniciales'!$D:$D,'Saldos Iniciales'!$A:$A,"Green Harbor Trust")+SUMIFS(Movimientos!$K$1:$K$736,Movimientos!$C$1:$C$736,"Green Harbor Trust",Movimientos!$B$1:$B$736,"&lt;="&amp;$B35)</f>
        <v>345</v>
      </c>
      <c r="U35" s="24">
        <f>SUMIFS('Saldos Iniciales'!$D:$D,'Saldos Iniciales'!$A:$A,"Go Blue")+SUMIFS(Movimientos!$K$1:$K$736,Movimientos!$C$1:$C$736,"Go Blue",Movimientos!$B$1:$B$736,"&lt;="&amp;$B35)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Group")+SUMIFS(Movimientos!$K$1:$K$736,Movimientos!$C$1:$C$736,"CFT Group",Movimientos!$B$1:$B$736,"&lt;="&amp;$B36)</f>
        <v>733394.14000000013</v>
      </c>
      <c r="D36" s="24">
        <f>SUMIFS('Saldos Iniciales'!$D:$D,'Saldos Iniciales'!$A:$A,"M1B")+SUMIFS(Movimientos!$K$1:$K$736,Movimientos!$C$1:$C$736,"M1B",Movimientos!$B$1:$B$736,"&lt;="&amp;$B36)</f>
        <v>69376.390000000174</v>
      </c>
      <c r="E36" s="24">
        <f>SUMIFS('Saldos Iniciales'!$D:$D,'Saldos Iniciales'!$A:$A,"Durand")+SUMIFS(Movimientos!$K$1:$K$736,Movimientos!$C$1:$C$736,"Durand",Movimientos!$B$1:$B$736,"&lt;="&amp;$B36)</f>
        <v>1669.89</v>
      </c>
      <c r="F36" s="24">
        <f>SUMIFS('Saldos Iniciales'!$D:$D,'Saldos Iniciales'!$A:$A,"A&amp;M Imports")+SUMIFS(Movimientos!$K$1:$K$736,Movimientos!$C$1:$C$736,"A&amp;M Imports",Movimientos!$B$1:$B$736,"&lt;="&amp;$B36)</f>
        <v>729545.23999999987</v>
      </c>
      <c r="G36" s="24">
        <f>SUMIFS('Saldos Iniciales'!$D:$D,'Saldos Iniciales'!$A:$A,"SSP Capital")+SUMIFS(Movimientos!$K$1:$K$736,Movimientos!$C$1:$C$736,"SSP Capital",Movimientos!$B$1:$B$736,"&lt;="&amp;$B36)</f>
        <v>1171714.4499999993</v>
      </c>
      <c r="H36" s="24">
        <f>SUMIFS('Saldos Iniciales'!$D:$D,'Saldos Iniciales'!$A:$A,"Cross Family Trust")+SUMIFS(Movimientos!$K$1:$K$736,Movimientos!$C$1:$C$736,"Cross Family Trust",Movimientos!$B$1:$B$736,"&lt;="&amp;$B36)</f>
        <v>116496.38</v>
      </c>
      <c r="I36" s="24">
        <f>SUMIFS('Saldos Iniciales'!$D:$D,'Saldos Iniciales'!$A:$A,"Cross Security Trust")+SUMIFS(Movimientos!$K$1:$K$736,Movimientos!$C$1:$C$736,"Cross Security Trust",Movimientos!$B$1:$B$736,"&lt;="&amp;$B36)</f>
        <v>88090.37</v>
      </c>
      <c r="J36" s="24">
        <f>SUMIFS('Saldos Iniciales'!$D:$D,'Saldos Iniciales'!$A:$A,"Electrama")+SUMIFS(Movimientos!$K$1:$K$736,Movimientos!$C$1:$C$736,"Electrama",Movimientos!$B$1:$B$736,"&lt;="&amp;$B36)</f>
        <v>511.15999999999985</v>
      </c>
      <c r="K36" s="24">
        <f>SUMIFS('Saldos Iniciales'!$D:$D,'Saldos Iniciales'!$A:$A,"Sacred Valley Capital")+SUMIFS(Movimientos!$K$1:$K$736,Movimientos!$C$1:$C$736,"Sacred Valley Capital",Movimientos!$B$1:$B$736,"&lt;="&amp;$B36)</f>
        <v>84.35</v>
      </c>
      <c r="L36" s="24">
        <f>SUMIFS('Saldos Iniciales'!$D:$D,'Saldos Iniciales'!$A:$A,"YWC Capital")+SUMIFS(Movimientos!$K$1:$K$736,Movimientos!$C$1:$C$736,"YWC Capital",Movimientos!$B$1:$B$736,"&lt;="&amp;$B36)</f>
        <v>2237.77</v>
      </c>
      <c r="M36" s="24">
        <f>SUMIFS('Saldos Iniciales'!$D:$D,'Saldos Iniciales'!$A:$A,"Soweto")+SUMIFS(Movimientos!$K$1:$K$736,Movimientos!$C$1:$C$736,"Soweto",Movimientos!$B$1:$B$736,"&lt;="&amp;$B36)</f>
        <v>3349.94</v>
      </c>
      <c r="N36" s="24">
        <f>SUMIFS('Saldos Iniciales'!$D:$D,'Saldos Iniciales'!$A:$A,"Green Stone Trust")+SUMIFS(Movimientos!$K$1:$K$736,Movimientos!$C$1:$C$736,"Green Stone Trust",Movimientos!$B$1:$B$736,"&lt;="&amp;$B36)</f>
        <v>1968.99</v>
      </c>
      <c r="O36" s="24">
        <f>SUMIFS('Saldos Iniciales'!$D:$D,'Saldos Iniciales'!$A:$A,"EC Auto")+SUMIFS(Movimientos!$K$1:$K$736,Movimientos!$C$1:$C$736,"EC Auto",Movimientos!$B$1:$B$736,"&lt;="&amp;$B36)</f>
        <v>382.69000000000005</v>
      </c>
      <c r="P36" s="24">
        <f>SUMIFS('Saldos Iniciales'!$D:$D,'Saldos Iniciales'!$A:$A,"Arbor Capital Properties")+SUMIFS(Movimientos!$K$1:$K$736,Movimientos!$C$1:$C$736,"Arbor Capital Properties",Movimientos!$B$1:$B$736,"&lt;="&amp;$B36)</f>
        <v>1428.08</v>
      </c>
      <c r="Q36" s="24">
        <f>SUMIFS('Saldos Iniciales'!$D:$D,'Saldos Iniciales'!$A:$A,"2515 Overbrook")+SUMIFS(Movimientos!$K$1:$K$736,Movimientos!$C$1:$C$736,"2515 Overbrook",Movimientos!$B$1:$B$736,"&lt;="&amp;$B36)</f>
        <v>25789.969999999961</v>
      </c>
      <c r="R36" s="24">
        <f>SUMIFS('Saldos Iniciales'!$D:$D,'Saldos Iniciales'!$A:$A,"112 Florida Ave")+SUMIFS(Movimientos!$K$1:$K$736,Movimientos!$C$1:$C$736,"112 Florida Ave",Movimientos!$B$1:$B$736,"&lt;="&amp;$B36)</f>
        <v>5321.4300000000021</v>
      </c>
      <c r="S36" s="24">
        <f>SUMIFS('Saldos Iniciales'!$D:$D,'Saldos Iniciales'!$A:$A,"3628 Thomas Ave")+SUMIFS(Movimientos!$K$1:$K$736,Movimientos!$C$1:$C$736,"3628 Thomas Ave",Movimientos!$B$1:$B$736,"&lt;="&amp;$B36)</f>
        <v>24833.23</v>
      </c>
      <c r="T36" s="24">
        <f>SUMIFS('Saldos Iniciales'!$D:$D,'Saldos Iniciales'!$A:$A,"Green Harbor Trust")+SUMIFS(Movimientos!$K$1:$K$736,Movimientos!$C$1:$C$736,"Green Harbor Trust",Movimientos!$B$1:$B$736,"&lt;="&amp;$B36)</f>
        <v>345</v>
      </c>
      <c r="U36" s="24">
        <f>SUMIFS('Saldos Iniciales'!$D:$D,'Saldos Iniciales'!$A:$A,"Go Blue")+SUMIFS(Movimientos!$K$1:$K$736,Movimientos!$C$1:$C$736,"Go Blue",Movimientos!$B$1:$B$736,"&lt;="&amp;$B36)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Group")+SUMIFS(Movimientos!$K$1:$K$736,Movimientos!$C$1:$C$736,"CFT Group",Movimientos!$B$1:$B$736,"&lt;="&amp;$B37)</f>
        <v>733394.14000000013</v>
      </c>
      <c r="D37" s="24">
        <f>SUMIFS('Saldos Iniciales'!$D:$D,'Saldos Iniciales'!$A:$A,"M1B")+SUMIFS(Movimientos!$K$1:$K$736,Movimientos!$C$1:$C$736,"M1B",Movimientos!$B$1:$B$736,"&lt;="&amp;$B37)</f>
        <v>69376.390000000174</v>
      </c>
      <c r="E37" s="24">
        <f>SUMIFS('Saldos Iniciales'!$D:$D,'Saldos Iniciales'!$A:$A,"Durand")+SUMIFS(Movimientos!$K$1:$K$736,Movimientos!$C$1:$C$736,"Durand",Movimientos!$B$1:$B$736,"&lt;="&amp;$B37)</f>
        <v>1669.89</v>
      </c>
      <c r="F37" s="24">
        <f>SUMIFS('Saldos Iniciales'!$D:$D,'Saldos Iniciales'!$A:$A,"A&amp;M Imports")+SUMIFS(Movimientos!$K$1:$K$736,Movimientos!$C$1:$C$736,"A&amp;M Imports",Movimientos!$B$1:$B$736,"&lt;="&amp;$B37)</f>
        <v>729545.23999999987</v>
      </c>
      <c r="G37" s="24">
        <f>SUMIFS('Saldos Iniciales'!$D:$D,'Saldos Iniciales'!$A:$A,"SSP Capital")+SUMIFS(Movimientos!$K$1:$K$736,Movimientos!$C$1:$C$736,"SSP Capital",Movimientos!$B$1:$B$736,"&lt;="&amp;$B37)</f>
        <v>1164028.3199999994</v>
      </c>
      <c r="H37" s="24">
        <f>SUMIFS('Saldos Iniciales'!$D:$D,'Saldos Iniciales'!$A:$A,"Cross Family Trust")+SUMIFS(Movimientos!$K$1:$K$736,Movimientos!$C$1:$C$736,"Cross Family Trust",Movimientos!$B$1:$B$736,"&lt;="&amp;$B37)</f>
        <v>116496.38</v>
      </c>
      <c r="I37" s="24">
        <f>SUMIFS('Saldos Iniciales'!$D:$D,'Saldos Iniciales'!$A:$A,"Cross Security Trust")+SUMIFS(Movimientos!$K$1:$K$736,Movimientos!$C$1:$C$736,"Cross Security Trust",Movimientos!$B$1:$B$736,"&lt;="&amp;$B37)</f>
        <v>88090.37</v>
      </c>
      <c r="J37" s="24">
        <f>SUMIFS('Saldos Iniciales'!$D:$D,'Saldos Iniciales'!$A:$A,"Electrama")+SUMIFS(Movimientos!$K$1:$K$736,Movimientos!$C$1:$C$736,"Electrama",Movimientos!$B$1:$B$736,"&lt;="&amp;$B37)</f>
        <v>511.15999999999985</v>
      </c>
      <c r="K37" s="24">
        <f>SUMIFS('Saldos Iniciales'!$D:$D,'Saldos Iniciales'!$A:$A,"Sacred Valley Capital")+SUMIFS(Movimientos!$K$1:$K$736,Movimientos!$C$1:$C$736,"Sacred Valley Capital",Movimientos!$B$1:$B$736,"&lt;="&amp;$B37)</f>
        <v>84.35</v>
      </c>
      <c r="L37" s="24">
        <f>SUMIFS('Saldos Iniciales'!$D:$D,'Saldos Iniciales'!$A:$A,"YWC Capital")+SUMIFS(Movimientos!$K$1:$K$736,Movimientos!$C$1:$C$736,"YWC Capital",Movimientos!$B$1:$B$736,"&lt;="&amp;$B37)</f>
        <v>2237.77</v>
      </c>
      <c r="M37" s="24">
        <f>SUMIFS('Saldos Iniciales'!$D:$D,'Saldos Iniciales'!$A:$A,"Soweto")+SUMIFS(Movimientos!$K$1:$K$736,Movimientos!$C$1:$C$736,"Soweto",Movimientos!$B$1:$B$736,"&lt;="&amp;$B37)</f>
        <v>3349.94</v>
      </c>
      <c r="N37" s="24">
        <f>SUMIFS('Saldos Iniciales'!$D:$D,'Saldos Iniciales'!$A:$A,"Green Stone Trust")+SUMIFS(Movimientos!$K$1:$K$736,Movimientos!$C$1:$C$736,"Green Stone Trust",Movimientos!$B$1:$B$736,"&lt;="&amp;$B37)</f>
        <v>1968.99</v>
      </c>
      <c r="O37" s="24">
        <f>SUMIFS('Saldos Iniciales'!$D:$D,'Saldos Iniciales'!$A:$A,"EC Auto")+SUMIFS(Movimientos!$K$1:$K$736,Movimientos!$C$1:$C$736,"EC Auto",Movimientos!$B$1:$B$736,"&lt;="&amp;$B37)</f>
        <v>382.69000000000005</v>
      </c>
      <c r="P37" s="24">
        <f>SUMIFS('Saldos Iniciales'!$D:$D,'Saldos Iniciales'!$A:$A,"Arbor Capital Properties")+SUMIFS(Movimientos!$K$1:$K$736,Movimientos!$C$1:$C$736,"Arbor Capital Properties",Movimientos!$B$1:$B$736,"&lt;="&amp;$B37)</f>
        <v>1428.08</v>
      </c>
      <c r="Q37" s="24">
        <f>SUMIFS('Saldos Iniciales'!$D:$D,'Saldos Iniciales'!$A:$A,"2515 Overbrook")+SUMIFS(Movimientos!$K$1:$K$736,Movimientos!$C$1:$C$736,"2515 Overbrook",Movimientos!$B$1:$B$736,"&lt;="&amp;$B37)</f>
        <v>25789.969999999961</v>
      </c>
      <c r="R37" s="24">
        <f>SUMIFS('Saldos Iniciales'!$D:$D,'Saldos Iniciales'!$A:$A,"112 Florida Ave")+SUMIFS(Movimientos!$K$1:$K$736,Movimientos!$C$1:$C$736,"112 Florida Ave",Movimientos!$B$1:$B$736,"&lt;="&amp;$B37)</f>
        <v>5321.4300000000021</v>
      </c>
      <c r="S37" s="24">
        <f>SUMIFS('Saldos Iniciales'!$D:$D,'Saldos Iniciales'!$A:$A,"3628 Thomas Ave")+SUMIFS(Movimientos!$K$1:$K$736,Movimientos!$C$1:$C$736,"3628 Thomas Ave",Movimientos!$B$1:$B$736,"&lt;="&amp;$B37)</f>
        <v>24833.23</v>
      </c>
      <c r="T37" s="24">
        <f>SUMIFS('Saldos Iniciales'!$D:$D,'Saldos Iniciales'!$A:$A,"Green Harbor Trust")+SUMIFS(Movimientos!$K$1:$K$736,Movimientos!$C$1:$C$736,"Green Harbor Trust",Movimientos!$B$1:$B$736,"&lt;="&amp;$B37)</f>
        <v>345</v>
      </c>
      <c r="U37" s="24">
        <f>SUMIFS('Saldos Iniciales'!$D:$D,'Saldos Iniciales'!$A:$A,"Go Blue")+SUMIFS(Movimientos!$K$1:$K$736,Movimientos!$C$1:$C$736,"Go Blue",Movimientos!$B$1:$B$736,"&lt;="&amp;$B37)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Group")+SUMIFS(Movimientos!$K$1:$K$736,Movimientos!$C$1:$C$736,"CFT Group",Movimientos!$B$1:$B$736,"&lt;="&amp;$B38)</f>
        <v>733394.14000000013</v>
      </c>
      <c r="D38" s="24">
        <f>SUMIFS('Saldos Iniciales'!$D:$D,'Saldos Iniciales'!$A:$A,"M1B")+SUMIFS(Movimientos!$K$1:$K$736,Movimientos!$C$1:$C$736,"M1B",Movimientos!$B$1:$B$736,"&lt;="&amp;$B38)</f>
        <v>69376.390000000174</v>
      </c>
      <c r="E38" s="24">
        <f>SUMIFS('Saldos Iniciales'!$D:$D,'Saldos Iniciales'!$A:$A,"Durand")+SUMIFS(Movimientos!$K$1:$K$736,Movimientos!$C$1:$C$736,"Durand",Movimientos!$B$1:$B$736,"&lt;="&amp;$B38)</f>
        <v>1669.89</v>
      </c>
      <c r="F38" s="24">
        <f>SUMIFS('Saldos Iniciales'!$D:$D,'Saldos Iniciales'!$A:$A,"A&amp;M Imports")+SUMIFS(Movimientos!$K$1:$K$736,Movimientos!$C$1:$C$736,"A&amp;M Imports",Movimientos!$B$1:$B$736,"&lt;="&amp;$B38)</f>
        <v>729545.23999999987</v>
      </c>
      <c r="G38" s="24">
        <f>SUMIFS('Saldos Iniciales'!$D:$D,'Saldos Iniciales'!$A:$A,"SSP Capital")+SUMIFS(Movimientos!$K$1:$K$736,Movimientos!$C$1:$C$736,"SSP Capital",Movimientos!$B$1:$B$736,"&lt;="&amp;$B38)</f>
        <v>1164028.3199999994</v>
      </c>
      <c r="H38" s="24">
        <f>SUMIFS('Saldos Iniciales'!$D:$D,'Saldos Iniciales'!$A:$A,"Cross Family Trust")+SUMIFS(Movimientos!$K$1:$K$736,Movimientos!$C$1:$C$736,"Cross Family Trust",Movimientos!$B$1:$B$736,"&lt;="&amp;$B38)</f>
        <v>116496.38</v>
      </c>
      <c r="I38" s="24">
        <f>SUMIFS('Saldos Iniciales'!$D:$D,'Saldos Iniciales'!$A:$A,"Cross Security Trust")+SUMIFS(Movimientos!$K$1:$K$736,Movimientos!$C$1:$C$736,"Cross Security Trust",Movimientos!$B$1:$B$736,"&lt;="&amp;$B38)</f>
        <v>88090.37</v>
      </c>
      <c r="J38" s="24">
        <f>SUMIFS('Saldos Iniciales'!$D:$D,'Saldos Iniciales'!$A:$A,"Electrama")+SUMIFS(Movimientos!$K$1:$K$736,Movimientos!$C$1:$C$736,"Electrama",Movimientos!$B$1:$B$736,"&lt;="&amp;$B38)</f>
        <v>511.15999999999985</v>
      </c>
      <c r="K38" s="24">
        <f>SUMIFS('Saldos Iniciales'!$D:$D,'Saldos Iniciales'!$A:$A,"Sacred Valley Capital")+SUMIFS(Movimientos!$K$1:$K$736,Movimientos!$C$1:$C$736,"Sacred Valley Capital",Movimientos!$B$1:$B$736,"&lt;="&amp;$B38)</f>
        <v>84.35</v>
      </c>
      <c r="L38" s="24">
        <f>SUMIFS('Saldos Iniciales'!$D:$D,'Saldos Iniciales'!$A:$A,"YWC Capital")+SUMIFS(Movimientos!$K$1:$K$736,Movimientos!$C$1:$C$736,"YWC Capital",Movimientos!$B$1:$B$736,"&lt;="&amp;$B38)</f>
        <v>2237.77</v>
      </c>
      <c r="M38" s="24">
        <f>SUMIFS('Saldos Iniciales'!$D:$D,'Saldos Iniciales'!$A:$A,"Soweto")+SUMIFS(Movimientos!$K$1:$K$736,Movimientos!$C$1:$C$736,"Soweto",Movimientos!$B$1:$B$736,"&lt;="&amp;$B38)</f>
        <v>3349.94</v>
      </c>
      <c r="N38" s="24">
        <f>SUMIFS('Saldos Iniciales'!$D:$D,'Saldos Iniciales'!$A:$A,"Green Stone Trust")+SUMIFS(Movimientos!$K$1:$K$736,Movimientos!$C$1:$C$736,"Green Stone Trust",Movimientos!$B$1:$B$736,"&lt;="&amp;$B38)</f>
        <v>1968.99</v>
      </c>
      <c r="O38" s="24">
        <f>SUMIFS('Saldos Iniciales'!$D:$D,'Saldos Iniciales'!$A:$A,"EC Auto")+SUMIFS(Movimientos!$K$1:$K$736,Movimientos!$C$1:$C$736,"EC Auto",Movimientos!$B$1:$B$736,"&lt;="&amp;$B38)</f>
        <v>382.69000000000005</v>
      </c>
      <c r="P38" s="24">
        <f>SUMIFS('Saldos Iniciales'!$D:$D,'Saldos Iniciales'!$A:$A,"Arbor Capital Properties")+SUMIFS(Movimientos!$K$1:$K$736,Movimientos!$C$1:$C$736,"Arbor Capital Properties",Movimientos!$B$1:$B$736,"&lt;="&amp;$B38)</f>
        <v>1428.08</v>
      </c>
      <c r="Q38" s="24">
        <f>SUMIFS('Saldos Iniciales'!$D:$D,'Saldos Iniciales'!$A:$A,"2515 Overbrook")+SUMIFS(Movimientos!$K$1:$K$736,Movimientos!$C$1:$C$736,"2515 Overbrook",Movimientos!$B$1:$B$736,"&lt;="&amp;$B38)</f>
        <v>25789.969999999961</v>
      </c>
      <c r="R38" s="24">
        <f>SUMIFS('Saldos Iniciales'!$D:$D,'Saldos Iniciales'!$A:$A,"112 Florida Ave")+SUMIFS(Movimientos!$K$1:$K$736,Movimientos!$C$1:$C$736,"112 Florida Ave",Movimientos!$B$1:$B$736,"&lt;="&amp;$B38)</f>
        <v>5321.4300000000021</v>
      </c>
      <c r="S38" s="24">
        <f>SUMIFS('Saldos Iniciales'!$D:$D,'Saldos Iniciales'!$A:$A,"3628 Thomas Ave")+SUMIFS(Movimientos!$K$1:$K$736,Movimientos!$C$1:$C$736,"3628 Thomas Ave",Movimientos!$B$1:$B$736,"&lt;="&amp;$B38)</f>
        <v>24833.23</v>
      </c>
      <c r="T38" s="24">
        <f>SUMIFS('Saldos Iniciales'!$D:$D,'Saldos Iniciales'!$A:$A,"Green Harbor Trust")+SUMIFS(Movimientos!$K$1:$K$736,Movimientos!$C$1:$C$736,"Green Harbor Trust",Movimientos!$B$1:$B$736,"&lt;="&amp;$B38)</f>
        <v>345</v>
      </c>
      <c r="U38" s="24">
        <f>SUMIFS('Saldos Iniciales'!$D:$D,'Saldos Iniciales'!$A:$A,"Go Blue")+SUMIFS(Movimientos!$K$1:$K$736,Movimientos!$C$1:$C$736,"Go Blue",Movimientos!$B$1:$B$736,"&lt;="&amp;$B38)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Group")+SUMIFS(Movimientos!$K$1:$K$736,Movimientos!$C$1:$C$736,"CFT Group",Movimientos!$B$1:$B$736,"&lt;="&amp;$B39)</f>
        <v>733394.14000000013</v>
      </c>
      <c r="D39" s="24">
        <f>SUMIFS('Saldos Iniciales'!$D:$D,'Saldos Iniciales'!$A:$A,"M1B")+SUMIFS(Movimientos!$K$1:$K$736,Movimientos!$C$1:$C$736,"M1B",Movimientos!$B$1:$B$736,"&lt;="&amp;$B39)</f>
        <v>69376.390000000174</v>
      </c>
      <c r="E39" s="24">
        <f>SUMIFS('Saldos Iniciales'!$D:$D,'Saldos Iniciales'!$A:$A,"Durand")+SUMIFS(Movimientos!$K$1:$K$736,Movimientos!$C$1:$C$736,"Durand",Movimientos!$B$1:$B$736,"&lt;="&amp;$B39)</f>
        <v>1669.89</v>
      </c>
      <c r="F39" s="24">
        <f>SUMIFS('Saldos Iniciales'!$D:$D,'Saldos Iniciales'!$A:$A,"A&amp;M Imports")+SUMIFS(Movimientos!$K$1:$K$736,Movimientos!$C$1:$C$736,"A&amp;M Imports",Movimientos!$B$1:$B$736,"&lt;="&amp;$B39)</f>
        <v>729545.23999999987</v>
      </c>
      <c r="G39" s="24">
        <f>SUMIFS('Saldos Iniciales'!$D:$D,'Saldos Iniciales'!$A:$A,"SSP Capital")+SUMIFS(Movimientos!$K$1:$K$736,Movimientos!$C$1:$C$736,"SSP Capital",Movimientos!$B$1:$B$736,"&lt;="&amp;$B39)</f>
        <v>1164028.3199999994</v>
      </c>
      <c r="H39" s="24">
        <f>SUMIFS('Saldos Iniciales'!$D:$D,'Saldos Iniciales'!$A:$A,"Cross Family Trust")+SUMIFS(Movimientos!$K$1:$K$736,Movimientos!$C$1:$C$736,"Cross Family Trust",Movimientos!$B$1:$B$736,"&lt;="&amp;$B39)</f>
        <v>116496.38</v>
      </c>
      <c r="I39" s="24">
        <f>SUMIFS('Saldos Iniciales'!$D:$D,'Saldos Iniciales'!$A:$A,"Cross Security Trust")+SUMIFS(Movimientos!$K$1:$K$736,Movimientos!$C$1:$C$736,"Cross Security Trust",Movimientos!$B$1:$B$736,"&lt;="&amp;$B39)</f>
        <v>88090.37</v>
      </c>
      <c r="J39" s="24">
        <f>SUMIFS('Saldos Iniciales'!$D:$D,'Saldos Iniciales'!$A:$A,"Electrama")+SUMIFS(Movimientos!$K$1:$K$736,Movimientos!$C$1:$C$736,"Electrama",Movimientos!$B$1:$B$736,"&lt;="&amp;$B39)</f>
        <v>511.15999999999985</v>
      </c>
      <c r="K39" s="24">
        <f>SUMIFS('Saldos Iniciales'!$D:$D,'Saldos Iniciales'!$A:$A,"Sacred Valley Capital")+SUMIFS(Movimientos!$K$1:$K$736,Movimientos!$C$1:$C$736,"Sacred Valley Capital",Movimientos!$B$1:$B$736,"&lt;="&amp;$B39)</f>
        <v>84.35</v>
      </c>
      <c r="L39" s="24">
        <f>SUMIFS('Saldos Iniciales'!$D:$D,'Saldos Iniciales'!$A:$A,"YWC Capital")+SUMIFS(Movimientos!$K$1:$K$736,Movimientos!$C$1:$C$736,"YWC Capital",Movimientos!$B$1:$B$736,"&lt;="&amp;$B39)</f>
        <v>2237.77</v>
      </c>
      <c r="M39" s="24">
        <f>SUMIFS('Saldos Iniciales'!$D:$D,'Saldos Iniciales'!$A:$A,"Soweto")+SUMIFS(Movimientos!$K$1:$K$736,Movimientos!$C$1:$C$736,"Soweto",Movimientos!$B$1:$B$736,"&lt;="&amp;$B39)</f>
        <v>3349.94</v>
      </c>
      <c r="N39" s="24">
        <f>SUMIFS('Saldos Iniciales'!$D:$D,'Saldos Iniciales'!$A:$A,"Green Stone Trust")+SUMIFS(Movimientos!$K$1:$K$736,Movimientos!$C$1:$C$736,"Green Stone Trust",Movimientos!$B$1:$B$736,"&lt;="&amp;$B39)</f>
        <v>1968.99</v>
      </c>
      <c r="O39" s="24">
        <f>SUMIFS('Saldos Iniciales'!$D:$D,'Saldos Iniciales'!$A:$A,"EC Auto")+SUMIFS(Movimientos!$K$1:$K$736,Movimientos!$C$1:$C$736,"EC Auto",Movimientos!$B$1:$B$736,"&lt;="&amp;$B39)</f>
        <v>382.69000000000005</v>
      </c>
      <c r="P39" s="24">
        <f>SUMIFS('Saldos Iniciales'!$D:$D,'Saldos Iniciales'!$A:$A,"Arbor Capital Properties")+SUMIFS(Movimientos!$K$1:$K$736,Movimientos!$C$1:$C$736,"Arbor Capital Properties",Movimientos!$B$1:$B$736,"&lt;="&amp;$B39)</f>
        <v>1428.08</v>
      </c>
      <c r="Q39" s="24">
        <f>SUMIFS('Saldos Iniciales'!$D:$D,'Saldos Iniciales'!$A:$A,"2515 Overbrook")+SUMIFS(Movimientos!$K$1:$K$736,Movimientos!$C$1:$C$736,"2515 Overbrook",Movimientos!$B$1:$B$736,"&lt;="&amp;$B39)</f>
        <v>25789.969999999961</v>
      </c>
      <c r="R39" s="24">
        <f>SUMIFS('Saldos Iniciales'!$D:$D,'Saldos Iniciales'!$A:$A,"112 Florida Ave")+SUMIFS(Movimientos!$K$1:$K$736,Movimientos!$C$1:$C$736,"112 Florida Ave",Movimientos!$B$1:$B$736,"&lt;="&amp;$B39)</f>
        <v>5321.4300000000021</v>
      </c>
      <c r="S39" s="24">
        <f>SUMIFS('Saldos Iniciales'!$D:$D,'Saldos Iniciales'!$A:$A,"3628 Thomas Ave")+SUMIFS(Movimientos!$K$1:$K$736,Movimientos!$C$1:$C$736,"3628 Thomas Ave",Movimientos!$B$1:$B$736,"&lt;="&amp;$B39)</f>
        <v>24833.23</v>
      </c>
      <c r="T39" s="24">
        <f>SUMIFS('Saldos Iniciales'!$D:$D,'Saldos Iniciales'!$A:$A,"Green Harbor Trust")+SUMIFS(Movimientos!$K$1:$K$736,Movimientos!$C$1:$C$736,"Green Harbor Trust",Movimientos!$B$1:$B$736,"&lt;="&amp;$B39)</f>
        <v>345</v>
      </c>
      <c r="U39" s="24">
        <f>SUMIFS('Saldos Iniciales'!$D:$D,'Saldos Iniciales'!$A:$A,"Go Blue")+SUMIFS(Movimientos!$K$1:$K$736,Movimientos!$C$1:$C$736,"Go Blue",Movimientos!$B$1:$B$736,"&lt;="&amp;$B39)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Group")+SUMIFS(Movimientos!$K$1:$K$736,Movimientos!$C$1:$C$736,"CFT Group",Movimientos!$B$1:$B$736,"&lt;="&amp;$B40)</f>
        <v>733394.14000000013</v>
      </c>
      <c r="D40" s="24">
        <f>SUMIFS('Saldos Iniciales'!$D:$D,'Saldos Iniciales'!$A:$A,"M1B")+SUMIFS(Movimientos!$K$1:$K$736,Movimientos!$C$1:$C$736,"M1B",Movimientos!$B$1:$B$736,"&lt;="&amp;$B40)</f>
        <v>69376.390000000174</v>
      </c>
      <c r="E40" s="24">
        <f>SUMIFS('Saldos Iniciales'!$D:$D,'Saldos Iniciales'!$A:$A,"Durand")+SUMIFS(Movimientos!$K$1:$K$736,Movimientos!$C$1:$C$736,"Durand",Movimientos!$B$1:$B$736,"&lt;="&amp;$B40)</f>
        <v>1669.89</v>
      </c>
      <c r="F40" s="24">
        <f>SUMIFS('Saldos Iniciales'!$D:$D,'Saldos Iniciales'!$A:$A,"A&amp;M Imports")+SUMIFS(Movimientos!$K$1:$K$736,Movimientos!$C$1:$C$736,"A&amp;M Imports",Movimientos!$B$1:$B$736,"&lt;="&amp;$B40)</f>
        <v>729545.23999999987</v>
      </c>
      <c r="G40" s="24">
        <f>SUMIFS('Saldos Iniciales'!$D:$D,'Saldos Iniciales'!$A:$A,"SSP Capital")+SUMIFS(Movimientos!$K$1:$K$736,Movimientos!$C$1:$C$736,"SSP Capital",Movimientos!$B$1:$B$736,"&lt;="&amp;$B40)</f>
        <v>1164028.3199999994</v>
      </c>
      <c r="H40" s="24">
        <f>SUMIFS('Saldos Iniciales'!$D:$D,'Saldos Iniciales'!$A:$A,"Cross Family Trust")+SUMIFS(Movimientos!$K$1:$K$736,Movimientos!$C$1:$C$736,"Cross Family Trust",Movimientos!$B$1:$B$736,"&lt;="&amp;$B40)</f>
        <v>116496.38</v>
      </c>
      <c r="I40" s="24">
        <f>SUMIFS('Saldos Iniciales'!$D:$D,'Saldos Iniciales'!$A:$A,"Cross Security Trust")+SUMIFS(Movimientos!$K$1:$K$736,Movimientos!$C$1:$C$736,"Cross Security Trust",Movimientos!$B$1:$B$736,"&lt;="&amp;$B40)</f>
        <v>88090.37</v>
      </c>
      <c r="J40" s="24">
        <f>SUMIFS('Saldos Iniciales'!$D:$D,'Saldos Iniciales'!$A:$A,"Electrama")+SUMIFS(Movimientos!$K$1:$K$736,Movimientos!$C$1:$C$736,"Electrama",Movimientos!$B$1:$B$736,"&lt;="&amp;$B40)</f>
        <v>511.15999999999985</v>
      </c>
      <c r="K40" s="24">
        <f>SUMIFS('Saldos Iniciales'!$D:$D,'Saldos Iniciales'!$A:$A,"Sacred Valley Capital")+SUMIFS(Movimientos!$K$1:$K$736,Movimientos!$C$1:$C$736,"Sacred Valley Capital",Movimientos!$B$1:$B$736,"&lt;="&amp;$B40)</f>
        <v>84.35</v>
      </c>
      <c r="L40" s="24">
        <f>SUMIFS('Saldos Iniciales'!$D:$D,'Saldos Iniciales'!$A:$A,"YWC Capital")+SUMIFS(Movimientos!$K$1:$K$736,Movimientos!$C$1:$C$736,"YWC Capital",Movimientos!$B$1:$B$736,"&lt;="&amp;$B40)</f>
        <v>2237.77</v>
      </c>
      <c r="M40" s="24">
        <f>SUMIFS('Saldos Iniciales'!$D:$D,'Saldos Iniciales'!$A:$A,"Soweto")+SUMIFS(Movimientos!$K$1:$K$736,Movimientos!$C$1:$C$736,"Soweto",Movimientos!$B$1:$B$736,"&lt;="&amp;$B40)</f>
        <v>3349.94</v>
      </c>
      <c r="N40" s="24">
        <f>SUMIFS('Saldos Iniciales'!$D:$D,'Saldos Iniciales'!$A:$A,"Green Stone Trust")+SUMIFS(Movimientos!$K$1:$K$736,Movimientos!$C$1:$C$736,"Green Stone Trust",Movimientos!$B$1:$B$736,"&lt;="&amp;$B40)</f>
        <v>1968.99</v>
      </c>
      <c r="O40" s="24">
        <f>SUMIFS('Saldos Iniciales'!$D:$D,'Saldos Iniciales'!$A:$A,"EC Auto")+SUMIFS(Movimientos!$K$1:$K$736,Movimientos!$C$1:$C$736,"EC Auto",Movimientos!$B$1:$B$736,"&lt;="&amp;$B40)</f>
        <v>382.69000000000005</v>
      </c>
      <c r="P40" s="24">
        <f>SUMIFS('Saldos Iniciales'!$D:$D,'Saldos Iniciales'!$A:$A,"Arbor Capital Properties")+SUMIFS(Movimientos!$K$1:$K$736,Movimientos!$C$1:$C$736,"Arbor Capital Properties",Movimientos!$B$1:$B$736,"&lt;="&amp;$B40)</f>
        <v>1428.08</v>
      </c>
      <c r="Q40" s="24">
        <f>SUMIFS('Saldos Iniciales'!$D:$D,'Saldos Iniciales'!$A:$A,"2515 Overbrook")+SUMIFS(Movimientos!$K$1:$K$736,Movimientos!$C$1:$C$736,"2515 Overbrook",Movimientos!$B$1:$B$736,"&lt;="&amp;$B40)</f>
        <v>25789.969999999961</v>
      </c>
      <c r="R40" s="24">
        <f>SUMIFS('Saldos Iniciales'!$D:$D,'Saldos Iniciales'!$A:$A,"112 Florida Ave")+SUMIFS(Movimientos!$K$1:$K$736,Movimientos!$C$1:$C$736,"112 Florida Ave",Movimientos!$B$1:$B$736,"&lt;="&amp;$B40)</f>
        <v>5321.4300000000021</v>
      </c>
      <c r="S40" s="24">
        <f>SUMIFS('Saldos Iniciales'!$D:$D,'Saldos Iniciales'!$A:$A,"3628 Thomas Ave")+SUMIFS(Movimientos!$K$1:$K$736,Movimientos!$C$1:$C$736,"3628 Thomas Ave",Movimientos!$B$1:$B$736,"&lt;="&amp;$B40)</f>
        <v>24833.23</v>
      </c>
      <c r="T40" s="24">
        <f>SUMIFS('Saldos Iniciales'!$D:$D,'Saldos Iniciales'!$A:$A,"Green Harbor Trust")+SUMIFS(Movimientos!$K$1:$K$736,Movimientos!$C$1:$C$736,"Green Harbor Trust",Movimientos!$B$1:$B$736,"&lt;="&amp;$B40)</f>
        <v>345</v>
      </c>
      <c r="U40" s="24">
        <f>SUMIFS('Saldos Iniciales'!$D:$D,'Saldos Iniciales'!$A:$A,"Go Blue")+SUMIFS(Movimientos!$K$1:$K$736,Movimientos!$C$1:$C$736,"Go Blue",Movimientos!$B$1:$B$736,"&lt;="&amp;$B40)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Group")+SUMIFS(Movimientos!$K$1:$K$736,Movimientos!$C$1:$C$736,"CFT Group",Movimientos!$B$1:$B$736,"&lt;="&amp;$B41)</f>
        <v>847381.29000000015</v>
      </c>
      <c r="D41" s="24">
        <f>SUMIFS('Saldos Iniciales'!$D:$D,'Saldos Iniciales'!$A:$A,"M1B")+SUMIFS(Movimientos!$K$1:$K$736,Movimientos!$C$1:$C$736,"M1B",Movimientos!$B$1:$B$736,"&lt;="&amp;$B41)</f>
        <v>69376.390000000174</v>
      </c>
      <c r="E41" s="24">
        <f>SUMIFS('Saldos Iniciales'!$D:$D,'Saldos Iniciales'!$A:$A,"Durand")+SUMIFS(Movimientos!$K$1:$K$736,Movimientos!$C$1:$C$736,"Durand",Movimientos!$B$1:$B$736,"&lt;="&amp;$B41)</f>
        <v>1669.89</v>
      </c>
      <c r="F41" s="24">
        <f>SUMIFS('Saldos Iniciales'!$D:$D,'Saldos Iniciales'!$A:$A,"A&amp;M Imports")+SUMIFS(Movimientos!$K$1:$K$736,Movimientos!$C$1:$C$736,"A&amp;M Imports",Movimientos!$B$1:$B$736,"&lt;="&amp;$B41)</f>
        <v>729545.23999999987</v>
      </c>
      <c r="G41" s="24">
        <f>SUMIFS('Saldos Iniciales'!$D:$D,'Saldos Iniciales'!$A:$A,"SSP Capital")+SUMIFS(Movimientos!$K$1:$K$736,Movimientos!$C$1:$C$736,"SSP Capital",Movimientos!$B$1:$B$736,"&lt;="&amp;$B41)</f>
        <v>1160274.0499999993</v>
      </c>
      <c r="H41" s="24">
        <f>SUMIFS('Saldos Iniciales'!$D:$D,'Saldos Iniciales'!$A:$A,"Cross Family Trust")+SUMIFS(Movimientos!$K$1:$K$736,Movimientos!$C$1:$C$736,"Cross Family Trust",Movimientos!$B$1:$B$736,"&lt;="&amp;$B41)</f>
        <v>116496.38</v>
      </c>
      <c r="I41" s="24">
        <f>SUMIFS('Saldos Iniciales'!$D:$D,'Saldos Iniciales'!$A:$A,"Cross Security Trust")+SUMIFS(Movimientos!$K$1:$K$736,Movimientos!$C$1:$C$736,"Cross Security Trust",Movimientos!$B$1:$B$736,"&lt;="&amp;$B41)</f>
        <v>88090.37</v>
      </c>
      <c r="J41" s="24">
        <f>SUMIFS('Saldos Iniciales'!$D:$D,'Saldos Iniciales'!$A:$A,"Electrama")+SUMIFS(Movimientos!$K$1:$K$736,Movimientos!$C$1:$C$736,"Electrama",Movimientos!$B$1:$B$736,"&lt;="&amp;$B41)</f>
        <v>511.15999999999985</v>
      </c>
      <c r="K41" s="24">
        <f>SUMIFS('Saldos Iniciales'!$D:$D,'Saldos Iniciales'!$A:$A,"Sacred Valley Capital")+SUMIFS(Movimientos!$K$1:$K$736,Movimientos!$C$1:$C$736,"Sacred Valley Capital",Movimientos!$B$1:$B$736,"&lt;="&amp;$B41)</f>
        <v>84.35</v>
      </c>
      <c r="L41" s="24">
        <f>SUMIFS('Saldos Iniciales'!$D:$D,'Saldos Iniciales'!$A:$A,"YWC Capital")+SUMIFS(Movimientos!$K$1:$K$736,Movimientos!$C$1:$C$736,"YWC Capital",Movimientos!$B$1:$B$736,"&lt;="&amp;$B41)</f>
        <v>2237.77</v>
      </c>
      <c r="M41" s="24">
        <f>SUMIFS('Saldos Iniciales'!$D:$D,'Saldos Iniciales'!$A:$A,"Soweto")+SUMIFS(Movimientos!$K$1:$K$736,Movimientos!$C$1:$C$736,"Soweto",Movimientos!$B$1:$B$736,"&lt;="&amp;$B41)</f>
        <v>3349.94</v>
      </c>
      <c r="N41" s="24">
        <f>SUMIFS('Saldos Iniciales'!$D:$D,'Saldos Iniciales'!$A:$A,"Green Stone Trust")+SUMIFS(Movimientos!$K$1:$K$736,Movimientos!$C$1:$C$736,"Green Stone Trust",Movimientos!$B$1:$B$736,"&lt;="&amp;$B41)</f>
        <v>1968.99</v>
      </c>
      <c r="O41" s="24">
        <f>SUMIFS('Saldos Iniciales'!$D:$D,'Saldos Iniciales'!$A:$A,"EC Auto")+SUMIFS(Movimientos!$K$1:$K$736,Movimientos!$C$1:$C$736,"EC Auto",Movimientos!$B$1:$B$736,"&lt;="&amp;$B41)</f>
        <v>382.69000000000005</v>
      </c>
      <c r="P41" s="24">
        <f>SUMIFS('Saldos Iniciales'!$D:$D,'Saldos Iniciales'!$A:$A,"Arbor Capital Properties")+SUMIFS(Movimientos!$K$1:$K$736,Movimientos!$C$1:$C$736,"Arbor Capital Properties",Movimientos!$B$1:$B$736,"&lt;="&amp;$B41)</f>
        <v>1428.08</v>
      </c>
      <c r="Q41" s="24">
        <f>SUMIFS('Saldos Iniciales'!$D:$D,'Saldos Iniciales'!$A:$A,"2515 Overbrook")+SUMIFS(Movimientos!$K$1:$K$736,Movimientos!$C$1:$C$736,"2515 Overbrook",Movimientos!$B$1:$B$736,"&lt;="&amp;$B41)</f>
        <v>25789.969999999961</v>
      </c>
      <c r="R41" s="24">
        <f>SUMIFS('Saldos Iniciales'!$D:$D,'Saldos Iniciales'!$A:$A,"112 Florida Ave")+SUMIFS(Movimientos!$K$1:$K$736,Movimientos!$C$1:$C$736,"112 Florida Ave",Movimientos!$B$1:$B$736,"&lt;="&amp;$B41)</f>
        <v>5321.4300000000021</v>
      </c>
      <c r="S41" s="24">
        <f>SUMIFS('Saldos Iniciales'!$D:$D,'Saldos Iniciales'!$A:$A,"3628 Thomas Ave")+SUMIFS(Movimientos!$K$1:$K$736,Movimientos!$C$1:$C$736,"3628 Thomas Ave",Movimientos!$B$1:$B$736,"&lt;="&amp;$B41)</f>
        <v>24833.23</v>
      </c>
      <c r="T41" s="24">
        <f>SUMIFS('Saldos Iniciales'!$D:$D,'Saldos Iniciales'!$A:$A,"Green Harbor Trust")+SUMIFS(Movimientos!$K$1:$K$736,Movimientos!$C$1:$C$736,"Green Harbor Trust",Movimientos!$B$1:$B$736,"&lt;="&amp;$B41)</f>
        <v>345</v>
      </c>
      <c r="U41" s="24">
        <f>SUMIFS('Saldos Iniciales'!$D:$D,'Saldos Iniciales'!$A:$A,"Go Blue")+SUMIFS(Movimientos!$K$1:$K$736,Movimientos!$C$1:$C$736,"Go Blue",Movimientos!$B$1:$B$736,"&lt;="&amp;$B41)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Group")+SUMIFS(Movimientos!$K$1:$K$736,Movimientos!$C$1:$C$736,"CFT Group",Movimientos!$B$1:$B$736,"&lt;="&amp;$B42)</f>
        <v>2288745.9500000002</v>
      </c>
      <c r="D42" s="24">
        <f>SUMIFS('Saldos Iniciales'!$D:$D,'Saldos Iniciales'!$A:$A,"M1B")+SUMIFS(Movimientos!$K$1:$K$736,Movimientos!$C$1:$C$736,"M1B",Movimientos!$B$1:$B$736,"&lt;="&amp;$B42)</f>
        <v>69376.390000000174</v>
      </c>
      <c r="E42" s="24">
        <f>SUMIFS('Saldos Iniciales'!$D:$D,'Saldos Iniciales'!$A:$A,"Durand")+SUMIFS(Movimientos!$K$1:$K$736,Movimientos!$C$1:$C$736,"Durand",Movimientos!$B$1:$B$736,"&lt;="&amp;$B42)</f>
        <v>1669.89</v>
      </c>
      <c r="F42" s="24">
        <f>SUMIFS('Saldos Iniciales'!$D:$D,'Saldos Iniciales'!$A:$A,"A&amp;M Imports")+SUMIFS(Movimientos!$K$1:$K$736,Movimientos!$C$1:$C$736,"A&amp;M Imports",Movimientos!$B$1:$B$736,"&lt;="&amp;$B42)</f>
        <v>744306.80999999982</v>
      </c>
      <c r="G42" s="24">
        <f>SUMIFS('Saldos Iniciales'!$D:$D,'Saldos Iniciales'!$A:$A,"SSP Capital")+SUMIFS(Movimientos!$K$1:$K$736,Movimientos!$C$1:$C$736,"SSP Capital",Movimientos!$B$1:$B$736,"&lt;="&amp;$B42)</f>
        <v>1160274.0499999993</v>
      </c>
      <c r="H42" s="24">
        <f>SUMIFS('Saldos Iniciales'!$D:$D,'Saldos Iniciales'!$A:$A,"Cross Family Trust")+SUMIFS(Movimientos!$K$1:$K$736,Movimientos!$C$1:$C$736,"Cross Family Trust",Movimientos!$B$1:$B$736,"&lt;="&amp;$B42)</f>
        <v>116496.38</v>
      </c>
      <c r="I42" s="24">
        <f>SUMIFS('Saldos Iniciales'!$D:$D,'Saldos Iniciales'!$A:$A,"Cross Security Trust")+SUMIFS(Movimientos!$K$1:$K$736,Movimientos!$C$1:$C$736,"Cross Security Trust",Movimientos!$B$1:$B$736,"&lt;="&amp;$B42)</f>
        <v>88090.37</v>
      </c>
      <c r="J42" s="24">
        <f>SUMIFS('Saldos Iniciales'!$D:$D,'Saldos Iniciales'!$A:$A,"Electrama")+SUMIFS(Movimientos!$K$1:$K$736,Movimientos!$C$1:$C$736,"Electrama",Movimientos!$B$1:$B$736,"&lt;="&amp;$B42)</f>
        <v>511.15999999999985</v>
      </c>
      <c r="K42" s="24">
        <f>SUMIFS('Saldos Iniciales'!$D:$D,'Saldos Iniciales'!$A:$A,"Sacred Valley Capital")+SUMIFS(Movimientos!$K$1:$K$736,Movimientos!$C$1:$C$736,"Sacred Valley Capital",Movimientos!$B$1:$B$736,"&lt;="&amp;$B42)</f>
        <v>84.35</v>
      </c>
      <c r="L42" s="24">
        <f>SUMIFS('Saldos Iniciales'!$D:$D,'Saldos Iniciales'!$A:$A,"YWC Capital")+SUMIFS(Movimientos!$K$1:$K$736,Movimientos!$C$1:$C$736,"YWC Capital",Movimientos!$B$1:$B$736,"&lt;="&amp;$B42)</f>
        <v>2237.77</v>
      </c>
      <c r="M42" s="24">
        <f>SUMIFS('Saldos Iniciales'!$D:$D,'Saldos Iniciales'!$A:$A,"Soweto")+SUMIFS(Movimientos!$K$1:$K$736,Movimientos!$C$1:$C$736,"Soweto",Movimientos!$B$1:$B$736,"&lt;="&amp;$B42)</f>
        <v>3349.94</v>
      </c>
      <c r="N42" s="24">
        <f>SUMIFS('Saldos Iniciales'!$D:$D,'Saldos Iniciales'!$A:$A,"Green Stone Trust")+SUMIFS(Movimientos!$K$1:$K$736,Movimientos!$C$1:$C$736,"Green Stone Trust",Movimientos!$B$1:$B$736,"&lt;="&amp;$B42)</f>
        <v>1968.99</v>
      </c>
      <c r="O42" s="24">
        <f>SUMIFS('Saldos Iniciales'!$D:$D,'Saldos Iniciales'!$A:$A,"EC Auto")+SUMIFS(Movimientos!$K$1:$K$736,Movimientos!$C$1:$C$736,"EC Auto",Movimientos!$B$1:$B$736,"&lt;="&amp;$B42)</f>
        <v>382.69000000000005</v>
      </c>
      <c r="P42" s="24">
        <f>SUMIFS('Saldos Iniciales'!$D:$D,'Saldos Iniciales'!$A:$A,"Arbor Capital Properties")+SUMIFS(Movimientos!$K$1:$K$736,Movimientos!$C$1:$C$736,"Arbor Capital Properties",Movimientos!$B$1:$B$736,"&lt;="&amp;$B42)</f>
        <v>1428.08</v>
      </c>
      <c r="Q42" s="24">
        <f>SUMIFS('Saldos Iniciales'!$D:$D,'Saldos Iniciales'!$A:$A,"2515 Overbrook")+SUMIFS(Movimientos!$K$1:$K$736,Movimientos!$C$1:$C$736,"2515 Overbrook",Movimientos!$B$1:$B$736,"&lt;="&amp;$B42)</f>
        <v>25789.969999999961</v>
      </c>
      <c r="R42" s="24">
        <f>SUMIFS('Saldos Iniciales'!$D:$D,'Saldos Iniciales'!$A:$A,"112 Florida Ave")+SUMIFS(Movimientos!$K$1:$K$736,Movimientos!$C$1:$C$736,"112 Florida Ave",Movimientos!$B$1:$B$736,"&lt;="&amp;$B42)</f>
        <v>5321.4300000000021</v>
      </c>
      <c r="S42" s="24">
        <f>SUMIFS('Saldos Iniciales'!$D:$D,'Saldos Iniciales'!$A:$A,"3628 Thomas Ave")+SUMIFS(Movimientos!$K$1:$K$736,Movimientos!$C$1:$C$736,"3628 Thomas Ave",Movimientos!$B$1:$B$736,"&lt;="&amp;$B42)</f>
        <v>24743.98</v>
      </c>
      <c r="T42" s="24">
        <f>SUMIFS('Saldos Iniciales'!$D:$D,'Saldos Iniciales'!$A:$A,"Green Harbor Trust")+SUMIFS(Movimientos!$K$1:$K$736,Movimientos!$C$1:$C$736,"Green Harbor Trust",Movimientos!$B$1:$B$736,"&lt;="&amp;$B42)</f>
        <v>345</v>
      </c>
      <c r="U42" s="24">
        <f>SUMIFS('Saldos Iniciales'!$D:$D,'Saldos Iniciales'!$A:$A,"Go Blue")+SUMIFS(Movimientos!$K$1:$K$736,Movimientos!$C$1:$C$736,"Go Blue",Movimientos!$B$1:$B$736,"&lt;="&amp;$B42)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Group")+SUMIFS(Movimientos!$K$1:$K$736,Movimientos!$C$1:$C$736,"CFT Group",Movimientos!$B$1:$B$736,"&lt;="&amp;$B43)</f>
        <v>1837784.84</v>
      </c>
      <c r="D43" s="24">
        <f>SUMIFS('Saldos Iniciales'!$D:$D,'Saldos Iniciales'!$A:$A,"M1B")+SUMIFS(Movimientos!$K$1:$K$736,Movimientos!$C$1:$C$736,"M1B",Movimientos!$B$1:$B$736,"&lt;="&amp;$B43)</f>
        <v>69376.390000000174</v>
      </c>
      <c r="E43" s="24">
        <f>SUMIFS('Saldos Iniciales'!$D:$D,'Saldos Iniciales'!$A:$A,"Durand")+SUMIFS(Movimientos!$K$1:$K$736,Movimientos!$C$1:$C$736,"Durand",Movimientos!$B$1:$B$736,"&lt;="&amp;$B43)</f>
        <v>1669.89</v>
      </c>
      <c r="F43" s="24">
        <f>SUMIFS('Saldos Iniciales'!$D:$D,'Saldos Iniciales'!$A:$A,"A&amp;M Imports")+SUMIFS(Movimientos!$K$1:$K$736,Movimientos!$C$1:$C$736,"A&amp;M Imports",Movimientos!$B$1:$B$736,"&lt;="&amp;$B43)</f>
        <v>564626.20999999985</v>
      </c>
      <c r="G43" s="24">
        <f>SUMIFS('Saldos Iniciales'!$D:$D,'Saldos Iniciales'!$A:$A,"SSP Capital")+SUMIFS(Movimientos!$K$1:$K$736,Movimientos!$C$1:$C$736,"SSP Capital",Movimientos!$B$1:$B$736,"&lt;="&amp;$B43)</f>
        <v>794731.82999999926</v>
      </c>
      <c r="H43" s="24">
        <f>SUMIFS('Saldos Iniciales'!$D:$D,'Saldos Iniciales'!$A:$A,"Cross Family Trust")+SUMIFS(Movimientos!$K$1:$K$736,Movimientos!$C$1:$C$736,"Cross Family Trust",Movimientos!$B$1:$B$736,"&lt;="&amp;$B43)</f>
        <v>116496.38</v>
      </c>
      <c r="I43" s="24">
        <f>SUMIFS('Saldos Iniciales'!$D:$D,'Saldos Iniciales'!$A:$A,"Cross Security Trust")+SUMIFS(Movimientos!$K$1:$K$736,Movimientos!$C$1:$C$736,"Cross Security Trust",Movimientos!$B$1:$B$736,"&lt;="&amp;$B43)</f>
        <v>88090.37</v>
      </c>
      <c r="J43" s="24">
        <f>SUMIFS('Saldos Iniciales'!$D:$D,'Saldos Iniciales'!$A:$A,"Electrama")+SUMIFS(Movimientos!$K$1:$K$736,Movimientos!$C$1:$C$736,"Electrama",Movimientos!$B$1:$B$736,"&lt;="&amp;$B43)</f>
        <v>511.15999999999985</v>
      </c>
      <c r="K43" s="24">
        <f>SUMIFS('Saldos Iniciales'!$D:$D,'Saldos Iniciales'!$A:$A,"Sacred Valley Capital")+SUMIFS(Movimientos!$K$1:$K$736,Movimientos!$C$1:$C$736,"Sacred Valley Capital",Movimientos!$B$1:$B$736,"&lt;="&amp;$B43)</f>
        <v>84.35</v>
      </c>
      <c r="L43" s="24">
        <f>SUMIFS('Saldos Iniciales'!$D:$D,'Saldos Iniciales'!$A:$A,"YWC Capital")+SUMIFS(Movimientos!$K$1:$K$736,Movimientos!$C$1:$C$736,"YWC Capital",Movimientos!$B$1:$B$736,"&lt;="&amp;$B43)</f>
        <v>2237.77</v>
      </c>
      <c r="M43" s="24">
        <f>SUMIFS('Saldos Iniciales'!$D:$D,'Saldos Iniciales'!$A:$A,"Soweto")+SUMIFS(Movimientos!$K$1:$K$736,Movimientos!$C$1:$C$736,"Soweto",Movimientos!$B$1:$B$736,"&lt;="&amp;$B43)</f>
        <v>3349.94</v>
      </c>
      <c r="N43" s="24">
        <f>SUMIFS('Saldos Iniciales'!$D:$D,'Saldos Iniciales'!$A:$A,"Green Stone Trust")+SUMIFS(Movimientos!$K$1:$K$736,Movimientos!$C$1:$C$736,"Green Stone Trust",Movimientos!$B$1:$B$736,"&lt;="&amp;$B43)</f>
        <v>1968.99</v>
      </c>
      <c r="O43" s="24">
        <f>SUMIFS('Saldos Iniciales'!$D:$D,'Saldos Iniciales'!$A:$A,"EC Auto")+SUMIFS(Movimientos!$K$1:$K$736,Movimientos!$C$1:$C$736,"EC Auto",Movimientos!$B$1:$B$736,"&lt;="&amp;$B43)</f>
        <v>382.69000000000005</v>
      </c>
      <c r="P43" s="24">
        <f>SUMIFS('Saldos Iniciales'!$D:$D,'Saldos Iniciales'!$A:$A,"Arbor Capital Properties")+SUMIFS(Movimientos!$K$1:$K$736,Movimientos!$C$1:$C$736,"Arbor Capital Properties",Movimientos!$B$1:$B$736,"&lt;="&amp;$B43)</f>
        <v>1428.08</v>
      </c>
      <c r="Q43" s="24">
        <f>SUMIFS('Saldos Iniciales'!$D:$D,'Saldos Iniciales'!$A:$A,"2515 Overbrook")+SUMIFS(Movimientos!$K$1:$K$736,Movimientos!$C$1:$C$736,"2515 Overbrook",Movimientos!$B$1:$B$736,"&lt;="&amp;$B43)</f>
        <v>25789.969999999961</v>
      </c>
      <c r="R43" s="24">
        <f>SUMIFS('Saldos Iniciales'!$D:$D,'Saldos Iniciales'!$A:$A,"112 Florida Ave")+SUMIFS(Movimientos!$K$1:$K$736,Movimientos!$C$1:$C$736,"112 Florida Ave",Movimientos!$B$1:$B$736,"&lt;="&amp;$B43)</f>
        <v>5321.4300000000021</v>
      </c>
      <c r="S43" s="24">
        <f>SUMIFS('Saldos Iniciales'!$D:$D,'Saldos Iniciales'!$A:$A,"3628 Thomas Ave")+SUMIFS(Movimientos!$K$1:$K$736,Movimientos!$C$1:$C$736,"3628 Thomas Ave",Movimientos!$B$1:$B$736,"&lt;="&amp;$B43)</f>
        <v>24743.98</v>
      </c>
      <c r="T43" s="24">
        <f>SUMIFS('Saldos Iniciales'!$D:$D,'Saldos Iniciales'!$A:$A,"Green Harbor Trust")+SUMIFS(Movimientos!$K$1:$K$736,Movimientos!$C$1:$C$736,"Green Harbor Trust",Movimientos!$B$1:$B$736,"&lt;="&amp;$B43)</f>
        <v>345</v>
      </c>
      <c r="U43" s="24">
        <f>SUMIFS('Saldos Iniciales'!$D:$D,'Saldos Iniciales'!$A:$A,"Go Blue")+SUMIFS(Movimientos!$K$1:$K$736,Movimientos!$C$1:$C$736,"Go Blue",Movimientos!$B$1:$B$736,"&lt;="&amp;$B43)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Group")+SUMIFS(Movimientos!$K$1:$K$736,Movimientos!$C$1:$C$736,"CFT Group",Movimientos!$B$1:$B$736,"&lt;="&amp;$B44)</f>
        <v>1837784.84</v>
      </c>
      <c r="D44" s="24">
        <f>SUMIFS('Saldos Iniciales'!$D:$D,'Saldos Iniciales'!$A:$A,"M1B")+SUMIFS(Movimientos!$K$1:$K$736,Movimientos!$C$1:$C$736,"M1B",Movimientos!$B$1:$B$736,"&lt;="&amp;$B44)</f>
        <v>69376.390000000174</v>
      </c>
      <c r="E44" s="24">
        <f>SUMIFS('Saldos Iniciales'!$D:$D,'Saldos Iniciales'!$A:$A,"Durand")+SUMIFS(Movimientos!$K$1:$K$736,Movimientos!$C$1:$C$736,"Durand",Movimientos!$B$1:$B$736,"&lt;="&amp;$B44)</f>
        <v>1669.89</v>
      </c>
      <c r="F44" s="24">
        <f>SUMIFS('Saldos Iniciales'!$D:$D,'Saldos Iniciales'!$A:$A,"A&amp;M Imports")+SUMIFS(Movimientos!$K$1:$K$736,Movimientos!$C$1:$C$736,"A&amp;M Imports",Movimientos!$B$1:$B$736,"&lt;="&amp;$B44)</f>
        <v>564626.20999999985</v>
      </c>
      <c r="G44" s="24">
        <f>SUMIFS('Saldos Iniciales'!$D:$D,'Saldos Iniciales'!$A:$A,"SSP Capital")+SUMIFS(Movimientos!$K$1:$K$736,Movimientos!$C$1:$C$736,"SSP Capital",Movimientos!$B$1:$B$736,"&lt;="&amp;$B44)</f>
        <v>3763348.8299999996</v>
      </c>
      <c r="H44" s="24">
        <f>SUMIFS('Saldos Iniciales'!$D:$D,'Saldos Iniciales'!$A:$A,"Cross Family Trust")+SUMIFS(Movimientos!$K$1:$K$736,Movimientos!$C$1:$C$736,"Cross Family Trust",Movimientos!$B$1:$B$736,"&lt;="&amp;$B44)</f>
        <v>116496.38</v>
      </c>
      <c r="I44" s="24">
        <f>SUMIFS('Saldos Iniciales'!$D:$D,'Saldos Iniciales'!$A:$A,"Cross Security Trust")+SUMIFS(Movimientos!$K$1:$K$736,Movimientos!$C$1:$C$736,"Cross Security Trust",Movimientos!$B$1:$B$736,"&lt;="&amp;$B44)</f>
        <v>88090.37</v>
      </c>
      <c r="J44" s="24">
        <f>SUMIFS('Saldos Iniciales'!$D:$D,'Saldos Iniciales'!$A:$A,"Electrama")+SUMIFS(Movimientos!$K$1:$K$736,Movimientos!$C$1:$C$736,"Electrama",Movimientos!$B$1:$B$736,"&lt;="&amp;$B44)</f>
        <v>511.15999999999985</v>
      </c>
      <c r="K44" s="24">
        <f>SUMIFS('Saldos Iniciales'!$D:$D,'Saldos Iniciales'!$A:$A,"Sacred Valley Capital")+SUMIFS(Movimientos!$K$1:$K$736,Movimientos!$C$1:$C$736,"Sacred Valley Capital",Movimientos!$B$1:$B$736,"&lt;="&amp;$B44)</f>
        <v>84.35</v>
      </c>
      <c r="L44" s="24">
        <f>SUMIFS('Saldos Iniciales'!$D:$D,'Saldos Iniciales'!$A:$A,"YWC Capital")+SUMIFS(Movimientos!$K$1:$K$736,Movimientos!$C$1:$C$736,"YWC Capital",Movimientos!$B$1:$B$736,"&lt;="&amp;$B44)</f>
        <v>2237.77</v>
      </c>
      <c r="M44" s="24">
        <f>SUMIFS('Saldos Iniciales'!$D:$D,'Saldos Iniciales'!$A:$A,"Soweto")+SUMIFS(Movimientos!$K$1:$K$736,Movimientos!$C$1:$C$736,"Soweto",Movimientos!$B$1:$B$736,"&lt;="&amp;$B44)</f>
        <v>3349.94</v>
      </c>
      <c r="N44" s="24">
        <f>SUMIFS('Saldos Iniciales'!$D:$D,'Saldos Iniciales'!$A:$A,"Green Stone Trust")+SUMIFS(Movimientos!$K$1:$K$736,Movimientos!$C$1:$C$736,"Green Stone Trust",Movimientos!$B$1:$B$736,"&lt;="&amp;$B44)</f>
        <v>1968.99</v>
      </c>
      <c r="O44" s="24">
        <f>SUMIFS('Saldos Iniciales'!$D:$D,'Saldos Iniciales'!$A:$A,"EC Auto")+SUMIFS(Movimientos!$K$1:$K$736,Movimientos!$C$1:$C$736,"EC Auto",Movimientos!$B$1:$B$736,"&lt;="&amp;$B44)</f>
        <v>382.69000000000005</v>
      </c>
      <c r="P44" s="24">
        <f>SUMIFS('Saldos Iniciales'!$D:$D,'Saldos Iniciales'!$A:$A,"Arbor Capital Properties")+SUMIFS(Movimientos!$K$1:$K$736,Movimientos!$C$1:$C$736,"Arbor Capital Properties",Movimientos!$B$1:$B$736,"&lt;="&amp;$B44)</f>
        <v>1428.08</v>
      </c>
      <c r="Q44" s="24">
        <f>SUMIFS('Saldos Iniciales'!$D:$D,'Saldos Iniciales'!$A:$A,"2515 Overbrook")+SUMIFS(Movimientos!$K$1:$K$736,Movimientos!$C$1:$C$736,"2515 Overbrook",Movimientos!$B$1:$B$736,"&lt;="&amp;$B44)</f>
        <v>27789.969999999961</v>
      </c>
      <c r="R44" s="24">
        <f>SUMIFS('Saldos Iniciales'!$D:$D,'Saldos Iniciales'!$A:$A,"112 Florida Ave")+SUMIFS(Movimientos!$K$1:$K$736,Movimientos!$C$1:$C$736,"112 Florida Ave",Movimientos!$B$1:$B$736,"&lt;="&amp;$B44)</f>
        <v>5321.4300000000021</v>
      </c>
      <c r="S44" s="24">
        <f>SUMIFS('Saldos Iniciales'!$D:$D,'Saldos Iniciales'!$A:$A,"3628 Thomas Ave")+SUMIFS(Movimientos!$K$1:$K$736,Movimientos!$C$1:$C$736,"3628 Thomas Ave",Movimientos!$B$1:$B$736,"&lt;="&amp;$B44)</f>
        <v>24484.85</v>
      </c>
      <c r="T44" s="24">
        <f>SUMIFS('Saldos Iniciales'!$D:$D,'Saldos Iniciales'!$A:$A,"Green Harbor Trust")+SUMIFS(Movimientos!$K$1:$K$736,Movimientos!$C$1:$C$736,"Green Harbor Trust",Movimientos!$B$1:$B$736,"&lt;="&amp;$B44)</f>
        <v>345</v>
      </c>
      <c r="U44" s="24">
        <f>SUMIFS('Saldos Iniciales'!$D:$D,'Saldos Iniciales'!$A:$A,"Go Blue")+SUMIFS(Movimientos!$K$1:$K$736,Movimientos!$C$1:$C$736,"Go Blue",Movimientos!$B$1:$B$736,"&lt;="&amp;$B44)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Group")+SUMIFS(Movimientos!$K$1:$K$736,Movimientos!$C$1:$C$736,"CFT Group",Movimientos!$B$1:$B$736,"&lt;="&amp;$B45)</f>
        <v>1837784.84</v>
      </c>
      <c r="D45" s="24">
        <f>SUMIFS('Saldos Iniciales'!$D:$D,'Saldos Iniciales'!$A:$A,"M1B")+SUMIFS(Movimientos!$K$1:$K$736,Movimientos!$C$1:$C$736,"M1B",Movimientos!$B$1:$B$736,"&lt;="&amp;$B45)</f>
        <v>69376.390000000174</v>
      </c>
      <c r="E45" s="24">
        <f>SUMIFS('Saldos Iniciales'!$D:$D,'Saldos Iniciales'!$A:$A,"Durand")+SUMIFS(Movimientos!$K$1:$K$736,Movimientos!$C$1:$C$736,"Durand",Movimientos!$B$1:$B$736,"&lt;="&amp;$B45)</f>
        <v>1669.89</v>
      </c>
      <c r="F45" s="24">
        <f>SUMIFS('Saldos Iniciales'!$D:$D,'Saldos Iniciales'!$A:$A,"A&amp;M Imports")+SUMIFS(Movimientos!$K$1:$K$736,Movimientos!$C$1:$C$736,"A&amp;M Imports",Movimientos!$B$1:$B$736,"&lt;="&amp;$B45)</f>
        <v>564626.20999999985</v>
      </c>
      <c r="G45" s="24">
        <f>SUMIFS('Saldos Iniciales'!$D:$D,'Saldos Iniciales'!$A:$A,"SSP Capital")+SUMIFS(Movimientos!$K$1:$K$736,Movimientos!$C$1:$C$736,"SSP Capital",Movimientos!$B$1:$B$736,"&lt;="&amp;$B45)</f>
        <v>3763348.8299999996</v>
      </c>
      <c r="H45" s="24">
        <f>SUMIFS('Saldos Iniciales'!$D:$D,'Saldos Iniciales'!$A:$A,"Cross Family Trust")+SUMIFS(Movimientos!$K$1:$K$736,Movimientos!$C$1:$C$736,"Cross Family Trust",Movimientos!$B$1:$B$736,"&lt;="&amp;$B45)</f>
        <v>116496.38</v>
      </c>
      <c r="I45" s="24">
        <f>SUMIFS('Saldos Iniciales'!$D:$D,'Saldos Iniciales'!$A:$A,"Cross Security Trust")+SUMIFS(Movimientos!$K$1:$K$736,Movimientos!$C$1:$C$736,"Cross Security Trust",Movimientos!$B$1:$B$736,"&lt;="&amp;$B45)</f>
        <v>88090.37</v>
      </c>
      <c r="J45" s="24">
        <f>SUMIFS('Saldos Iniciales'!$D:$D,'Saldos Iniciales'!$A:$A,"Electrama")+SUMIFS(Movimientos!$K$1:$K$736,Movimientos!$C$1:$C$736,"Electrama",Movimientos!$B$1:$B$736,"&lt;="&amp;$B45)</f>
        <v>511.15999999999985</v>
      </c>
      <c r="K45" s="24">
        <f>SUMIFS('Saldos Iniciales'!$D:$D,'Saldos Iniciales'!$A:$A,"Sacred Valley Capital")+SUMIFS(Movimientos!$K$1:$K$736,Movimientos!$C$1:$C$736,"Sacred Valley Capital",Movimientos!$B$1:$B$736,"&lt;="&amp;$B45)</f>
        <v>84.35</v>
      </c>
      <c r="L45" s="24">
        <f>SUMIFS('Saldos Iniciales'!$D:$D,'Saldos Iniciales'!$A:$A,"YWC Capital")+SUMIFS(Movimientos!$K$1:$K$736,Movimientos!$C$1:$C$736,"YWC Capital",Movimientos!$B$1:$B$736,"&lt;="&amp;$B45)</f>
        <v>2237.77</v>
      </c>
      <c r="M45" s="24">
        <f>SUMIFS('Saldos Iniciales'!$D:$D,'Saldos Iniciales'!$A:$A,"Soweto")+SUMIFS(Movimientos!$K$1:$K$736,Movimientos!$C$1:$C$736,"Soweto",Movimientos!$B$1:$B$736,"&lt;="&amp;$B45)</f>
        <v>3349.94</v>
      </c>
      <c r="N45" s="24">
        <f>SUMIFS('Saldos Iniciales'!$D:$D,'Saldos Iniciales'!$A:$A,"Green Stone Trust")+SUMIFS(Movimientos!$K$1:$K$736,Movimientos!$C$1:$C$736,"Green Stone Trust",Movimientos!$B$1:$B$736,"&lt;="&amp;$B45)</f>
        <v>1968.99</v>
      </c>
      <c r="O45" s="24">
        <f>SUMIFS('Saldos Iniciales'!$D:$D,'Saldos Iniciales'!$A:$A,"EC Auto")+SUMIFS(Movimientos!$K$1:$K$736,Movimientos!$C$1:$C$736,"EC Auto",Movimientos!$B$1:$B$736,"&lt;="&amp;$B45)</f>
        <v>382.69000000000005</v>
      </c>
      <c r="P45" s="24">
        <f>SUMIFS('Saldos Iniciales'!$D:$D,'Saldos Iniciales'!$A:$A,"Arbor Capital Properties")+SUMIFS(Movimientos!$K$1:$K$736,Movimientos!$C$1:$C$736,"Arbor Capital Properties",Movimientos!$B$1:$B$736,"&lt;="&amp;$B45)</f>
        <v>1428.08</v>
      </c>
      <c r="Q45" s="24">
        <f>SUMIFS('Saldos Iniciales'!$D:$D,'Saldos Iniciales'!$A:$A,"2515 Overbrook")+SUMIFS(Movimientos!$K$1:$K$736,Movimientos!$C$1:$C$736,"2515 Overbrook",Movimientos!$B$1:$B$736,"&lt;="&amp;$B45)</f>
        <v>27789.969999999961</v>
      </c>
      <c r="R45" s="24">
        <f>SUMIFS('Saldos Iniciales'!$D:$D,'Saldos Iniciales'!$A:$A,"112 Florida Ave")+SUMIFS(Movimientos!$K$1:$K$736,Movimientos!$C$1:$C$736,"112 Florida Ave",Movimientos!$B$1:$B$736,"&lt;="&amp;$B45)</f>
        <v>5321.4300000000021</v>
      </c>
      <c r="S45" s="24">
        <f>SUMIFS('Saldos Iniciales'!$D:$D,'Saldos Iniciales'!$A:$A,"3628 Thomas Ave")+SUMIFS(Movimientos!$K$1:$K$736,Movimientos!$C$1:$C$736,"3628 Thomas Ave",Movimientos!$B$1:$B$736,"&lt;="&amp;$B45)</f>
        <v>24484.85</v>
      </c>
      <c r="T45" s="24">
        <f>SUMIFS('Saldos Iniciales'!$D:$D,'Saldos Iniciales'!$A:$A,"Green Harbor Trust")+SUMIFS(Movimientos!$K$1:$K$736,Movimientos!$C$1:$C$736,"Green Harbor Trust",Movimientos!$B$1:$B$736,"&lt;="&amp;$B45)</f>
        <v>345</v>
      </c>
      <c r="U45" s="24">
        <f>SUMIFS('Saldos Iniciales'!$D:$D,'Saldos Iniciales'!$A:$A,"Go Blue")+SUMIFS(Movimientos!$K$1:$K$736,Movimientos!$C$1:$C$736,"Go Blue",Movimientos!$B$1:$B$736,"&lt;="&amp;$B45)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Group")+SUMIFS(Movimientos!$K$1:$K$736,Movimientos!$C$1:$C$736,"CFT Group",Movimientos!$B$1:$B$736,"&lt;="&amp;$B46)</f>
        <v>1837784.84</v>
      </c>
      <c r="D46" s="24">
        <f>SUMIFS('Saldos Iniciales'!$D:$D,'Saldos Iniciales'!$A:$A,"M1B")+SUMIFS(Movimientos!$K$1:$K$736,Movimientos!$C$1:$C$736,"M1B",Movimientos!$B$1:$B$736,"&lt;="&amp;$B46)</f>
        <v>69376.390000000174</v>
      </c>
      <c r="E46" s="24">
        <f>SUMIFS('Saldos Iniciales'!$D:$D,'Saldos Iniciales'!$A:$A,"Durand")+SUMIFS(Movimientos!$K$1:$K$736,Movimientos!$C$1:$C$736,"Durand",Movimientos!$B$1:$B$736,"&lt;="&amp;$B46)</f>
        <v>1669.89</v>
      </c>
      <c r="F46" s="24">
        <f>SUMIFS('Saldos Iniciales'!$D:$D,'Saldos Iniciales'!$A:$A,"A&amp;M Imports")+SUMIFS(Movimientos!$K$1:$K$736,Movimientos!$C$1:$C$736,"A&amp;M Imports",Movimientos!$B$1:$B$736,"&lt;="&amp;$B46)</f>
        <v>564626.20999999985</v>
      </c>
      <c r="G46" s="24">
        <f>SUMIFS('Saldos Iniciales'!$D:$D,'Saldos Iniciales'!$A:$A,"SSP Capital")+SUMIFS(Movimientos!$K$1:$K$736,Movimientos!$C$1:$C$736,"SSP Capital",Movimientos!$B$1:$B$736,"&lt;="&amp;$B46)</f>
        <v>3763348.8299999996</v>
      </c>
      <c r="H46" s="24">
        <f>SUMIFS('Saldos Iniciales'!$D:$D,'Saldos Iniciales'!$A:$A,"Cross Family Trust")+SUMIFS(Movimientos!$K$1:$K$736,Movimientos!$C$1:$C$736,"Cross Family Trust",Movimientos!$B$1:$B$736,"&lt;="&amp;$B46)</f>
        <v>116496.38</v>
      </c>
      <c r="I46" s="24">
        <f>SUMIFS('Saldos Iniciales'!$D:$D,'Saldos Iniciales'!$A:$A,"Cross Security Trust")+SUMIFS(Movimientos!$K$1:$K$736,Movimientos!$C$1:$C$736,"Cross Security Trust",Movimientos!$B$1:$B$736,"&lt;="&amp;$B46)</f>
        <v>88090.37</v>
      </c>
      <c r="J46" s="24">
        <f>SUMIFS('Saldos Iniciales'!$D:$D,'Saldos Iniciales'!$A:$A,"Electrama")+SUMIFS(Movimientos!$K$1:$K$736,Movimientos!$C$1:$C$736,"Electrama",Movimientos!$B$1:$B$736,"&lt;="&amp;$B46)</f>
        <v>511.15999999999985</v>
      </c>
      <c r="K46" s="24">
        <f>SUMIFS('Saldos Iniciales'!$D:$D,'Saldos Iniciales'!$A:$A,"Sacred Valley Capital")+SUMIFS(Movimientos!$K$1:$K$736,Movimientos!$C$1:$C$736,"Sacred Valley Capital",Movimientos!$B$1:$B$736,"&lt;="&amp;$B46)</f>
        <v>84.35</v>
      </c>
      <c r="L46" s="24">
        <f>SUMIFS('Saldos Iniciales'!$D:$D,'Saldos Iniciales'!$A:$A,"YWC Capital")+SUMIFS(Movimientos!$K$1:$K$736,Movimientos!$C$1:$C$736,"YWC Capital",Movimientos!$B$1:$B$736,"&lt;="&amp;$B46)</f>
        <v>2237.77</v>
      </c>
      <c r="M46" s="24">
        <f>SUMIFS('Saldos Iniciales'!$D:$D,'Saldos Iniciales'!$A:$A,"Soweto")+SUMIFS(Movimientos!$K$1:$K$736,Movimientos!$C$1:$C$736,"Soweto",Movimientos!$B$1:$B$736,"&lt;="&amp;$B46)</f>
        <v>3349.94</v>
      </c>
      <c r="N46" s="24">
        <f>SUMIFS('Saldos Iniciales'!$D:$D,'Saldos Iniciales'!$A:$A,"Green Stone Trust")+SUMIFS(Movimientos!$K$1:$K$736,Movimientos!$C$1:$C$736,"Green Stone Trust",Movimientos!$B$1:$B$736,"&lt;="&amp;$B46)</f>
        <v>1968.99</v>
      </c>
      <c r="O46" s="24">
        <f>SUMIFS('Saldos Iniciales'!$D:$D,'Saldos Iniciales'!$A:$A,"EC Auto")+SUMIFS(Movimientos!$K$1:$K$736,Movimientos!$C$1:$C$736,"EC Auto",Movimientos!$B$1:$B$736,"&lt;="&amp;$B46)</f>
        <v>382.69000000000005</v>
      </c>
      <c r="P46" s="24">
        <f>SUMIFS('Saldos Iniciales'!$D:$D,'Saldos Iniciales'!$A:$A,"Arbor Capital Properties")+SUMIFS(Movimientos!$K$1:$K$736,Movimientos!$C$1:$C$736,"Arbor Capital Properties",Movimientos!$B$1:$B$736,"&lt;="&amp;$B46)</f>
        <v>1428.08</v>
      </c>
      <c r="Q46" s="24">
        <f>SUMIFS('Saldos Iniciales'!$D:$D,'Saldos Iniciales'!$A:$A,"2515 Overbrook")+SUMIFS(Movimientos!$K$1:$K$736,Movimientos!$C$1:$C$736,"2515 Overbrook",Movimientos!$B$1:$B$736,"&lt;="&amp;$B46)</f>
        <v>27789.969999999961</v>
      </c>
      <c r="R46" s="24">
        <f>SUMIFS('Saldos Iniciales'!$D:$D,'Saldos Iniciales'!$A:$A,"112 Florida Ave")+SUMIFS(Movimientos!$K$1:$K$736,Movimientos!$C$1:$C$736,"112 Florida Ave",Movimientos!$B$1:$B$736,"&lt;="&amp;$B46)</f>
        <v>5321.4300000000021</v>
      </c>
      <c r="S46" s="24">
        <f>SUMIFS('Saldos Iniciales'!$D:$D,'Saldos Iniciales'!$A:$A,"3628 Thomas Ave")+SUMIFS(Movimientos!$K$1:$K$736,Movimientos!$C$1:$C$736,"3628 Thomas Ave",Movimientos!$B$1:$B$736,"&lt;="&amp;$B46)</f>
        <v>24484.85</v>
      </c>
      <c r="T46" s="24">
        <f>SUMIFS('Saldos Iniciales'!$D:$D,'Saldos Iniciales'!$A:$A,"Green Harbor Trust")+SUMIFS(Movimientos!$K$1:$K$736,Movimientos!$C$1:$C$736,"Green Harbor Trust",Movimientos!$B$1:$B$736,"&lt;="&amp;$B46)</f>
        <v>345</v>
      </c>
      <c r="U46" s="24">
        <f>SUMIFS('Saldos Iniciales'!$D:$D,'Saldos Iniciales'!$A:$A,"Go Blue")+SUMIFS(Movimientos!$K$1:$K$736,Movimientos!$C$1:$C$736,"Go Blue",Movimientos!$B$1:$B$736,"&lt;="&amp;$B46)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Group")+SUMIFS(Movimientos!$K$1:$K$736,Movimientos!$C$1:$C$736,"CFT Group",Movimientos!$B$1:$B$736,"&lt;="&amp;$B47)</f>
        <v>985975.94000000029</v>
      </c>
      <c r="D47" s="24">
        <f>SUMIFS('Saldos Iniciales'!$D:$D,'Saldos Iniciales'!$A:$A,"M1B")+SUMIFS(Movimientos!$K$1:$K$736,Movimientos!$C$1:$C$736,"M1B",Movimientos!$B$1:$B$736,"&lt;="&amp;$B47)</f>
        <v>69376.390000000174</v>
      </c>
      <c r="E47" s="24">
        <f>SUMIFS('Saldos Iniciales'!$D:$D,'Saldos Iniciales'!$A:$A,"Durand")+SUMIFS(Movimientos!$K$1:$K$736,Movimientos!$C$1:$C$736,"Durand",Movimientos!$B$1:$B$736,"&lt;="&amp;$B47)</f>
        <v>1669.89</v>
      </c>
      <c r="F47" s="24">
        <f>SUMIFS('Saldos Iniciales'!$D:$D,'Saldos Iniciales'!$A:$A,"A&amp;M Imports")+SUMIFS(Movimientos!$K$1:$K$736,Movimientos!$C$1:$C$736,"A&amp;M Imports",Movimientos!$B$1:$B$736,"&lt;="&amp;$B47)</f>
        <v>503904.80999999982</v>
      </c>
      <c r="G47" s="24">
        <f>SUMIFS('Saldos Iniciales'!$D:$D,'Saldos Iniciales'!$A:$A,"SSP Capital")+SUMIFS(Movimientos!$K$1:$K$736,Movimientos!$C$1:$C$736,"SSP Capital",Movimientos!$B$1:$B$736,"&lt;="&amp;$B47)</f>
        <v>3331737.2399999998</v>
      </c>
      <c r="H47" s="24">
        <f>SUMIFS('Saldos Iniciales'!$D:$D,'Saldos Iniciales'!$A:$A,"Cross Family Trust")+SUMIFS(Movimientos!$K$1:$K$736,Movimientos!$C$1:$C$736,"Cross Family Trust",Movimientos!$B$1:$B$736,"&lt;="&amp;$B47)</f>
        <v>116496.38</v>
      </c>
      <c r="I47" s="24">
        <f>SUMIFS('Saldos Iniciales'!$D:$D,'Saldos Iniciales'!$A:$A,"Cross Security Trust")+SUMIFS(Movimientos!$K$1:$K$736,Movimientos!$C$1:$C$736,"Cross Security Trust",Movimientos!$B$1:$B$736,"&lt;="&amp;$B47)</f>
        <v>88090.37</v>
      </c>
      <c r="J47" s="24">
        <f>SUMIFS('Saldos Iniciales'!$D:$D,'Saldos Iniciales'!$A:$A,"Electrama")+SUMIFS(Movimientos!$K$1:$K$736,Movimientos!$C$1:$C$736,"Electrama",Movimientos!$B$1:$B$736,"&lt;="&amp;$B47)</f>
        <v>511.15999999999985</v>
      </c>
      <c r="K47" s="24">
        <f>SUMIFS('Saldos Iniciales'!$D:$D,'Saldos Iniciales'!$A:$A,"Sacred Valley Capital")+SUMIFS(Movimientos!$K$1:$K$736,Movimientos!$C$1:$C$736,"Sacred Valley Capital",Movimientos!$B$1:$B$736,"&lt;="&amp;$B47)</f>
        <v>84.35</v>
      </c>
      <c r="L47" s="24">
        <f>SUMIFS('Saldos Iniciales'!$D:$D,'Saldos Iniciales'!$A:$A,"YWC Capital")+SUMIFS(Movimientos!$K$1:$K$736,Movimientos!$C$1:$C$736,"YWC Capital",Movimientos!$B$1:$B$736,"&lt;="&amp;$B47)</f>
        <v>2237.77</v>
      </c>
      <c r="M47" s="24">
        <f>SUMIFS('Saldos Iniciales'!$D:$D,'Saldos Iniciales'!$A:$A,"Soweto")+SUMIFS(Movimientos!$K$1:$K$736,Movimientos!$C$1:$C$736,"Soweto",Movimientos!$B$1:$B$736,"&lt;="&amp;$B47)</f>
        <v>3349.94</v>
      </c>
      <c r="N47" s="24">
        <f>SUMIFS('Saldos Iniciales'!$D:$D,'Saldos Iniciales'!$A:$A,"Green Stone Trust")+SUMIFS(Movimientos!$K$1:$K$736,Movimientos!$C$1:$C$736,"Green Stone Trust",Movimientos!$B$1:$B$736,"&lt;="&amp;$B47)</f>
        <v>1968.99</v>
      </c>
      <c r="O47" s="24">
        <f>SUMIFS('Saldos Iniciales'!$D:$D,'Saldos Iniciales'!$A:$A,"EC Auto")+SUMIFS(Movimientos!$K$1:$K$736,Movimientos!$C$1:$C$736,"EC Auto",Movimientos!$B$1:$B$736,"&lt;="&amp;$B47)</f>
        <v>382.69000000000005</v>
      </c>
      <c r="P47" s="24">
        <f>SUMIFS('Saldos Iniciales'!$D:$D,'Saldos Iniciales'!$A:$A,"Arbor Capital Properties")+SUMIFS(Movimientos!$K$1:$K$736,Movimientos!$C$1:$C$736,"Arbor Capital Properties",Movimientos!$B$1:$B$736,"&lt;="&amp;$B47)</f>
        <v>1428.08</v>
      </c>
      <c r="Q47" s="24">
        <f>SUMIFS('Saldos Iniciales'!$D:$D,'Saldos Iniciales'!$A:$A,"2515 Overbrook")+SUMIFS(Movimientos!$K$1:$K$736,Movimientos!$C$1:$C$736,"2515 Overbrook",Movimientos!$B$1:$B$736,"&lt;="&amp;$B47)</f>
        <v>29789.969999999961</v>
      </c>
      <c r="R47" s="24">
        <f>SUMIFS('Saldos Iniciales'!$D:$D,'Saldos Iniciales'!$A:$A,"112 Florida Ave")+SUMIFS(Movimientos!$K$1:$K$736,Movimientos!$C$1:$C$736,"112 Florida Ave",Movimientos!$B$1:$B$736,"&lt;="&amp;$B47)</f>
        <v>5321.4300000000021</v>
      </c>
      <c r="S47" s="24">
        <f>SUMIFS('Saldos Iniciales'!$D:$D,'Saldos Iniciales'!$A:$A,"3628 Thomas Ave")+SUMIFS(Movimientos!$K$1:$K$736,Movimientos!$C$1:$C$736,"3628 Thomas Ave",Movimientos!$B$1:$B$736,"&lt;="&amp;$B47)</f>
        <v>20484.849999999999</v>
      </c>
      <c r="T47" s="24">
        <f>SUMIFS('Saldos Iniciales'!$D:$D,'Saldos Iniciales'!$A:$A,"Green Harbor Trust")+SUMIFS(Movimientos!$K$1:$K$736,Movimientos!$C$1:$C$736,"Green Harbor Trust",Movimientos!$B$1:$B$736,"&lt;="&amp;$B47)</f>
        <v>345</v>
      </c>
      <c r="U47" s="24">
        <f>SUMIFS('Saldos Iniciales'!$D:$D,'Saldos Iniciales'!$A:$A,"Go Blue")+SUMIFS(Movimientos!$K$1:$K$736,Movimientos!$C$1:$C$736,"Go Blue",Movimientos!$B$1:$B$736,"&lt;="&amp;$B47)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Group")+SUMIFS(Movimientos!$K$1:$K$736,Movimientos!$C$1:$C$736,"CFT Group",Movimientos!$B$1:$B$736,"&lt;="&amp;$B48)</f>
        <v>1086358.7500000002</v>
      </c>
      <c r="D48" s="24">
        <f>SUMIFS('Saldos Iniciales'!$D:$D,'Saldos Iniciales'!$A:$A,"M1B")+SUMIFS(Movimientos!$K$1:$K$736,Movimientos!$C$1:$C$736,"M1B",Movimientos!$B$1:$B$736,"&lt;="&amp;$B48)</f>
        <v>69376.390000000174</v>
      </c>
      <c r="E48" s="24">
        <f>SUMIFS('Saldos Iniciales'!$D:$D,'Saldos Iniciales'!$A:$A,"Durand")+SUMIFS(Movimientos!$K$1:$K$736,Movimientos!$C$1:$C$736,"Durand",Movimientos!$B$1:$B$736,"&lt;="&amp;$B48)</f>
        <v>1669.89</v>
      </c>
      <c r="F48" s="24">
        <f>SUMIFS('Saldos Iniciales'!$D:$D,'Saldos Iniciales'!$A:$A,"A&amp;M Imports")+SUMIFS(Movimientos!$K$1:$K$736,Movimientos!$C$1:$C$736,"A&amp;M Imports",Movimientos!$B$1:$B$736,"&lt;="&amp;$B48)</f>
        <v>503904.80999999982</v>
      </c>
      <c r="G48" s="24">
        <f>SUMIFS('Saldos Iniciales'!$D:$D,'Saldos Iniciales'!$A:$A,"SSP Capital")+SUMIFS(Movimientos!$K$1:$K$736,Movimientos!$C$1:$C$736,"SSP Capital",Movimientos!$B$1:$B$736,"&lt;="&amp;$B48)</f>
        <v>3329246.88</v>
      </c>
      <c r="H48" s="24">
        <f>SUMIFS('Saldos Iniciales'!$D:$D,'Saldos Iniciales'!$A:$A,"Cross Family Trust")+SUMIFS(Movimientos!$K$1:$K$736,Movimientos!$C$1:$C$736,"Cross Family Trust",Movimientos!$B$1:$B$736,"&lt;="&amp;$B48)</f>
        <v>116496.38</v>
      </c>
      <c r="I48" s="24">
        <f>SUMIFS('Saldos Iniciales'!$D:$D,'Saldos Iniciales'!$A:$A,"Cross Security Trust")+SUMIFS(Movimientos!$K$1:$K$736,Movimientos!$C$1:$C$736,"Cross Security Trust",Movimientos!$B$1:$B$736,"&lt;="&amp;$B48)</f>
        <v>88090.37</v>
      </c>
      <c r="J48" s="24">
        <f>SUMIFS('Saldos Iniciales'!$D:$D,'Saldos Iniciales'!$A:$A,"Electrama")+SUMIFS(Movimientos!$K$1:$K$736,Movimientos!$C$1:$C$736,"Electrama",Movimientos!$B$1:$B$736,"&lt;="&amp;$B48)</f>
        <v>511.15999999999985</v>
      </c>
      <c r="K48" s="24">
        <f>SUMIFS('Saldos Iniciales'!$D:$D,'Saldos Iniciales'!$A:$A,"Sacred Valley Capital")+SUMIFS(Movimientos!$K$1:$K$736,Movimientos!$C$1:$C$736,"Sacred Valley Capital",Movimientos!$B$1:$B$736,"&lt;="&amp;$B48)</f>
        <v>84.35</v>
      </c>
      <c r="L48" s="24">
        <f>SUMIFS('Saldos Iniciales'!$D:$D,'Saldos Iniciales'!$A:$A,"YWC Capital")+SUMIFS(Movimientos!$K$1:$K$736,Movimientos!$C$1:$C$736,"YWC Capital",Movimientos!$B$1:$B$736,"&lt;="&amp;$B48)</f>
        <v>2237.77</v>
      </c>
      <c r="M48" s="24">
        <f>SUMIFS('Saldos Iniciales'!$D:$D,'Saldos Iniciales'!$A:$A,"Soweto")+SUMIFS(Movimientos!$K$1:$K$736,Movimientos!$C$1:$C$736,"Soweto",Movimientos!$B$1:$B$736,"&lt;="&amp;$B48)</f>
        <v>3349.94</v>
      </c>
      <c r="N48" s="24">
        <f>SUMIFS('Saldos Iniciales'!$D:$D,'Saldos Iniciales'!$A:$A,"Green Stone Trust")+SUMIFS(Movimientos!$K$1:$K$736,Movimientos!$C$1:$C$736,"Green Stone Trust",Movimientos!$B$1:$B$736,"&lt;="&amp;$B48)</f>
        <v>1968.99</v>
      </c>
      <c r="O48" s="24">
        <f>SUMIFS('Saldos Iniciales'!$D:$D,'Saldos Iniciales'!$A:$A,"EC Auto")+SUMIFS(Movimientos!$K$1:$K$736,Movimientos!$C$1:$C$736,"EC Auto",Movimientos!$B$1:$B$736,"&lt;="&amp;$B48)</f>
        <v>382.69000000000005</v>
      </c>
      <c r="P48" s="24">
        <f>SUMIFS('Saldos Iniciales'!$D:$D,'Saldos Iniciales'!$A:$A,"Arbor Capital Properties")+SUMIFS(Movimientos!$K$1:$K$736,Movimientos!$C$1:$C$736,"Arbor Capital Properties",Movimientos!$B$1:$B$736,"&lt;="&amp;$B48)</f>
        <v>1428.08</v>
      </c>
      <c r="Q48" s="24">
        <f>SUMIFS('Saldos Iniciales'!$D:$D,'Saldos Iniciales'!$A:$A,"2515 Overbrook")+SUMIFS(Movimientos!$K$1:$K$736,Movimientos!$C$1:$C$736,"2515 Overbrook",Movimientos!$B$1:$B$736,"&lt;="&amp;$B48)</f>
        <v>29789.969999999961</v>
      </c>
      <c r="R48" s="24">
        <f>SUMIFS('Saldos Iniciales'!$D:$D,'Saldos Iniciales'!$A:$A,"112 Florida Ave")+SUMIFS(Movimientos!$K$1:$K$736,Movimientos!$C$1:$C$736,"112 Florida Ave",Movimientos!$B$1:$B$736,"&lt;="&amp;$B48)</f>
        <v>20321.43</v>
      </c>
      <c r="S48" s="24">
        <f>SUMIFS('Saldos Iniciales'!$D:$D,'Saldos Iniciales'!$A:$A,"3628 Thomas Ave")+SUMIFS(Movimientos!$K$1:$K$736,Movimientos!$C$1:$C$736,"3628 Thomas Ave",Movimientos!$B$1:$B$736,"&lt;="&amp;$B48)</f>
        <v>19811.349999999999</v>
      </c>
      <c r="T48" s="24">
        <f>SUMIFS('Saldos Iniciales'!$D:$D,'Saldos Iniciales'!$A:$A,"Green Harbor Trust")+SUMIFS(Movimientos!$K$1:$K$736,Movimientos!$C$1:$C$736,"Green Harbor Trust",Movimientos!$B$1:$B$736,"&lt;="&amp;$B48)</f>
        <v>345</v>
      </c>
      <c r="U48" s="24">
        <f>SUMIFS('Saldos Iniciales'!$D:$D,'Saldos Iniciales'!$A:$A,"Go Blue")+SUMIFS(Movimientos!$K$1:$K$736,Movimientos!$C$1:$C$736,"Go Blue",Movimientos!$B$1:$B$736,"&lt;="&amp;$B48)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Group")+SUMIFS(Movimientos!$K$1:$K$736,Movimientos!$C$1:$C$736,"CFT Group",Movimientos!$B$1:$B$736,"&lt;="&amp;$B49)</f>
        <v>1098358.7500000002</v>
      </c>
      <c r="D49" s="24">
        <f>SUMIFS('Saldos Iniciales'!$D:$D,'Saldos Iniciales'!$A:$A,"M1B")+SUMIFS(Movimientos!$K$1:$K$736,Movimientos!$C$1:$C$736,"M1B",Movimientos!$B$1:$B$736,"&lt;="&amp;$B49)</f>
        <v>69376.390000000174</v>
      </c>
      <c r="E49" s="24">
        <f>SUMIFS('Saldos Iniciales'!$D:$D,'Saldos Iniciales'!$A:$A,"Durand")+SUMIFS(Movimientos!$K$1:$K$736,Movimientos!$C$1:$C$736,"Durand",Movimientos!$B$1:$B$736,"&lt;="&amp;$B49)</f>
        <v>1669.89</v>
      </c>
      <c r="F49" s="24">
        <f>SUMIFS('Saldos Iniciales'!$D:$D,'Saldos Iniciales'!$A:$A,"A&amp;M Imports")+SUMIFS(Movimientos!$K$1:$K$736,Movimientos!$C$1:$C$736,"A&amp;M Imports",Movimientos!$B$1:$B$736,"&lt;="&amp;$B49)</f>
        <v>503904.80999999982</v>
      </c>
      <c r="G49" s="24">
        <f>SUMIFS('Saldos Iniciales'!$D:$D,'Saldos Iniciales'!$A:$A,"SSP Capital")+SUMIFS(Movimientos!$K$1:$K$736,Movimientos!$C$1:$C$736,"SSP Capital",Movimientos!$B$1:$B$736,"&lt;="&amp;$B49)</f>
        <v>3326863.3899999997</v>
      </c>
      <c r="H49" s="24">
        <f>SUMIFS('Saldos Iniciales'!$D:$D,'Saldos Iniciales'!$A:$A,"Cross Family Trust")+SUMIFS(Movimientos!$K$1:$K$736,Movimientos!$C$1:$C$736,"Cross Family Trust",Movimientos!$B$1:$B$736,"&lt;="&amp;$B49)</f>
        <v>116496.38</v>
      </c>
      <c r="I49" s="24">
        <f>SUMIFS('Saldos Iniciales'!$D:$D,'Saldos Iniciales'!$A:$A,"Cross Security Trust")+SUMIFS(Movimientos!$K$1:$K$736,Movimientos!$C$1:$C$736,"Cross Security Trust",Movimientos!$B$1:$B$736,"&lt;="&amp;$B49)</f>
        <v>88090.37</v>
      </c>
      <c r="J49" s="24">
        <f>SUMIFS('Saldos Iniciales'!$D:$D,'Saldos Iniciales'!$A:$A,"Electrama")+SUMIFS(Movimientos!$K$1:$K$736,Movimientos!$C$1:$C$736,"Electrama",Movimientos!$B$1:$B$736,"&lt;="&amp;$B49)</f>
        <v>511.15999999999985</v>
      </c>
      <c r="K49" s="24">
        <f>SUMIFS('Saldos Iniciales'!$D:$D,'Saldos Iniciales'!$A:$A,"Sacred Valley Capital")+SUMIFS(Movimientos!$K$1:$K$736,Movimientos!$C$1:$C$736,"Sacred Valley Capital",Movimientos!$B$1:$B$736,"&lt;="&amp;$B49)</f>
        <v>84.35</v>
      </c>
      <c r="L49" s="24">
        <f>SUMIFS('Saldos Iniciales'!$D:$D,'Saldos Iniciales'!$A:$A,"YWC Capital")+SUMIFS(Movimientos!$K$1:$K$736,Movimientos!$C$1:$C$736,"YWC Capital",Movimientos!$B$1:$B$736,"&lt;="&amp;$B49)</f>
        <v>2237.77</v>
      </c>
      <c r="M49" s="24">
        <f>SUMIFS('Saldos Iniciales'!$D:$D,'Saldos Iniciales'!$A:$A,"Soweto")+SUMIFS(Movimientos!$K$1:$K$736,Movimientos!$C$1:$C$736,"Soweto",Movimientos!$B$1:$B$736,"&lt;="&amp;$B49)</f>
        <v>3349.94</v>
      </c>
      <c r="N49" s="24">
        <f>SUMIFS('Saldos Iniciales'!$D:$D,'Saldos Iniciales'!$A:$A,"Green Stone Trust")+SUMIFS(Movimientos!$K$1:$K$736,Movimientos!$C$1:$C$736,"Green Stone Trust",Movimientos!$B$1:$B$736,"&lt;="&amp;$B49)</f>
        <v>1968.99</v>
      </c>
      <c r="O49" s="24">
        <f>SUMIFS('Saldos Iniciales'!$D:$D,'Saldos Iniciales'!$A:$A,"EC Auto")+SUMIFS(Movimientos!$K$1:$K$736,Movimientos!$C$1:$C$736,"EC Auto",Movimientos!$B$1:$B$736,"&lt;="&amp;$B49)</f>
        <v>382.69000000000005</v>
      </c>
      <c r="P49" s="24">
        <f>SUMIFS('Saldos Iniciales'!$D:$D,'Saldos Iniciales'!$A:$A,"Arbor Capital Properties")+SUMIFS(Movimientos!$K$1:$K$736,Movimientos!$C$1:$C$736,"Arbor Capital Properties",Movimientos!$B$1:$B$736,"&lt;="&amp;$B49)</f>
        <v>1428.08</v>
      </c>
      <c r="Q49" s="24">
        <f>SUMIFS('Saldos Iniciales'!$D:$D,'Saldos Iniciales'!$A:$A,"2515 Overbrook")+SUMIFS(Movimientos!$K$1:$K$736,Movimientos!$C$1:$C$736,"2515 Overbrook",Movimientos!$B$1:$B$736,"&lt;="&amp;$B49)</f>
        <v>29789.969999999961</v>
      </c>
      <c r="R49" s="24">
        <f>SUMIFS('Saldos Iniciales'!$D:$D,'Saldos Iniciales'!$A:$A,"112 Florida Ave")+SUMIFS(Movimientos!$K$1:$K$736,Movimientos!$C$1:$C$736,"112 Florida Ave",Movimientos!$B$1:$B$736,"&lt;="&amp;$B49)</f>
        <v>20321.43</v>
      </c>
      <c r="S49" s="24">
        <f>SUMIFS('Saldos Iniciales'!$D:$D,'Saldos Iniciales'!$A:$A,"3628 Thomas Ave")+SUMIFS(Movimientos!$K$1:$K$736,Movimientos!$C$1:$C$736,"3628 Thomas Ave",Movimientos!$B$1:$B$736,"&lt;="&amp;$B49)</f>
        <v>16681.349999999999</v>
      </c>
      <c r="T49" s="24">
        <f>SUMIFS('Saldos Iniciales'!$D:$D,'Saldos Iniciales'!$A:$A,"Green Harbor Trust")+SUMIFS(Movimientos!$K$1:$K$736,Movimientos!$C$1:$C$736,"Green Harbor Trust",Movimientos!$B$1:$B$736,"&lt;="&amp;$B49)</f>
        <v>345</v>
      </c>
      <c r="U49" s="24">
        <f>SUMIFS('Saldos Iniciales'!$D:$D,'Saldos Iniciales'!$A:$A,"Go Blue")+SUMIFS(Movimientos!$K$1:$K$736,Movimientos!$C$1:$C$736,"Go Blue",Movimientos!$B$1:$B$736,"&lt;="&amp;$B49)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Group")+SUMIFS(Movimientos!$K$1:$K$736,Movimientos!$C$1:$C$736,"CFT Group",Movimientos!$B$1:$B$736,"&lt;="&amp;$B50)</f>
        <v>1098358.7500000002</v>
      </c>
      <c r="D50" s="24">
        <f>SUMIFS('Saldos Iniciales'!$D:$D,'Saldos Iniciales'!$A:$A,"M1B")+SUMIFS(Movimientos!$K$1:$K$736,Movimientos!$C$1:$C$736,"M1B",Movimientos!$B$1:$B$736,"&lt;="&amp;$B50)</f>
        <v>69376.390000000174</v>
      </c>
      <c r="E50" s="24">
        <f>SUMIFS('Saldos Iniciales'!$D:$D,'Saldos Iniciales'!$A:$A,"Durand")+SUMIFS(Movimientos!$K$1:$K$736,Movimientos!$C$1:$C$736,"Durand",Movimientos!$B$1:$B$736,"&lt;="&amp;$B50)</f>
        <v>1669.89</v>
      </c>
      <c r="F50" s="24">
        <f>SUMIFS('Saldos Iniciales'!$D:$D,'Saldos Iniciales'!$A:$A,"A&amp;M Imports")+SUMIFS(Movimientos!$K$1:$K$736,Movimientos!$C$1:$C$736,"A&amp;M Imports",Movimientos!$B$1:$B$736,"&lt;="&amp;$B50)</f>
        <v>503904.80999999982</v>
      </c>
      <c r="G50" s="24">
        <f>SUMIFS('Saldos Iniciales'!$D:$D,'Saldos Iniciales'!$A:$A,"SSP Capital")+SUMIFS(Movimientos!$K$1:$K$736,Movimientos!$C$1:$C$736,"SSP Capital",Movimientos!$B$1:$B$736,"&lt;="&amp;$B50)</f>
        <v>3326696.7299999995</v>
      </c>
      <c r="H50" s="24">
        <f>SUMIFS('Saldos Iniciales'!$D:$D,'Saldos Iniciales'!$A:$A,"Cross Family Trust")+SUMIFS(Movimientos!$K$1:$K$736,Movimientos!$C$1:$C$736,"Cross Family Trust",Movimientos!$B$1:$B$736,"&lt;="&amp;$B50)</f>
        <v>116496.38</v>
      </c>
      <c r="I50" s="24">
        <f>SUMIFS('Saldos Iniciales'!$D:$D,'Saldos Iniciales'!$A:$A,"Cross Security Trust")+SUMIFS(Movimientos!$K$1:$K$736,Movimientos!$C$1:$C$736,"Cross Security Trust",Movimientos!$B$1:$B$736,"&lt;="&amp;$B50)</f>
        <v>88090.37</v>
      </c>
      <c r="J50" s="24">
        <f>SUMIFS('Saldos Iniciales'!$D:$D,'Saldos Iniciales'!$A:$A,"Electrama")+SUMIFS(Movimientos!$K$1:$K$736,Movimientos!$C$1:$C$736,"Electrama",Movimientos!$B$1:$B$736,"&lt;="&amp;$B50)</f>
        <v>511.15999999999985</v>
      </c>
      <c r="K50" s="24">
        <f>SUMIFS('Saldos Iniciales'!$D:$D,'Saldos Iniciales'!$A:$A,"Sacred Valley Capital")+SUMIFS(Movimientos!$K$1:$K$736,Movimientos!$C$1:$C$736,"Sacred Valley Capital",Movimientos!$B$1:$B$736,"&lt;="&amp;$B50)</f>
        <v>84.35</v>
      </c>
      <c r="L50" s="24">
        <f>SUMIFS('Saldos Iniciales'!$D:$D,'Saldos Iniciales'!$A:$A,"YWC Capital")+SUMIFS(Movimientos!$K$1:$K$736,Movimientos!$C$1:$C$736,"YWC Capital",Movimientos!$B$1:$B$736,"&lt;="&amp;$B50)</f>
        <v>2237.77</v>
      </c>
      <c r="M50" s="24">
        <f>SUMIFS('Saldos Iniciales'!$D:$D,'Saldos Iniciales'!$A:$A,"Soweto")+SUMIFS(Movimientos!$K$1:$K$736,Movimientos!$C$1:$C$736,"Soweto",Movimientos!$B$1:$B$736,"&lt;="&amp;$B50)</f>
        <v>3349.94</v>
      </c>
      <c r="N50" s="24">
        <f>SUMIFS('Saldos Iniciales'!$D:$D,'Saldos Iniciales'!$A:$A,"Green Stone Trust")+SUMIFS(Movimientos!$K$1:$K$736,Movimientos!$C$1:$C$736,"Green Stone Trust",Movimientos!$B$1:$B$736,"&lt;="&amp;$B50)</f>
        <v>1968.99</v>
      </c>
      <c r="O50" s="24">
        <f>SUMIFS('Saldos Iniciales'!$D:$D,'Saldos Iniciales'!$A:$A,"EC Auto")+SUMIFS(Movimientos!$K$1:$K$736,Movimientos!$C$1:$C$736,"EC Auto",Movimientos!$B$1:$B$736,"&lt;="&amp;$B50)</f>
        <v>382.69000000000005</v>
      </c>
      <c r="P50" s="24">
        <f>SUMIFS('Saldos Iniciales'!$D:$D,'Saldos Iniciales'!$A:$A,"Arbor Capital Properties")+SUMIFS(Movimientos!$K$1:$K$736,Movimientos!$C$1:$C$736,"Arbor Capital Properties",Movimientos!$B$1:$B$736,"&lt;="&amp;$B50)</f>
        <v>1428.08</v>
      </c>
      <c r="Q50" s="24">
        <f>SUMIFS('Saldos Iniciales'!$D:$D,'Saldos Iniciales'!$A:$A,"2515 Overbrook")+SUMIFS(Movimientos!$K$1:$K$736,Movimientos!$C$1:$C$736,"2515 Overbrook",Movimientos!$B$1:$B$736,"&lt;="&amp;$B50)</f>
        <v>29789.969999999961</v>
      </c>
      <c r="R50" s="24">
        <f>SUMIFS('Saldos Iniciales'!$D:$D,'Saldos Iniciales'!$A:$A,"112 Florida Ave")+SUMIFS(Movimientos!$K$1:$K$736,Movimientos!$C$1:$C$736,"112 Florida Ave",Movimientos!$B$1:$B$736,"&lt;="&amp;$B50)</f>
        <v>20321.43</v>
      </c>
      <c r="S50" s="24">
        <f>SUMIFS('Saldos Iniciales'!$D:$D,'Saldos Iniciales'!$A:$A,"3628 Thomas Ave")+SUMIFS(Movimientos!$K$1:$K$736,Movimientos!$C$1:$C$736,"3628 Thomas Ave",Movimientos!$B$1:$B$736,"&lt;="&amp;$B50)</f>
        <v>16681.349999999999</v>
      </c>
      <c r="T50" s="24">
        <f>SUMIFS('Saldos Iniciales'!$D:$D,'Saldos Iniciales'!$A:$A,"Green Harbor Trust")+SUMIFS(Movimientos!$K$1:$K$736,Movimientos!$C$1:$C$736,"Green Harbor Trust",Movimientos!$B$1:$B$736,"&lt;="&amp;$B50)</f>
        <v>345</v>
      </c>
      <c r="U50" s="24">
        <f>SUMIFS('Saldos Iniciales'!$D:$D,'Saldos Iniciales'!$A:$A,"Go Blue")+SUMIFS(Movimientos!$K$1:$K$736,Movimientos!$C$1:$C$736,"Go Blue",Movimientos!$B$1:$B$736,"&lt;="&amp;$B50)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Group")+SUMIFS(Movimientos!$K$1:$K$736,Movimientos!$C$1:$C$736,"CFT Group",Movimientos!$B$1:$B$736,"&lt;="&amp;$B51)</f>
        <v>1098358.7500000002</v>
      </c>
      <c r="D51" s="24">
        <f>SUMIFS('Saldos Iniciales'!$D:$D,'Saldos Iniciales'!$A:$A,"M1B")+SUMIFS(Movimientos!$K$1:$K$736,Movimientos!$C$1:$C$736,"M1B",Movimientos!$B$1:$B$736,"&lt;="&amp;$B51)</f>
        <v>69376.390000000174</v>
      </c>
      <c r="E51" s="24">
        <f>SUMIFS('Saldos Iniciales'!$D:$D,'Saldos Iniciales'!$A:$A,"Durand")+SUMIFS(Movimientos!$K$1:$K$736,Movimientos!$C$1:$C$736,"Durand",Movimientos!$B$1:$B$736,"&lt;="&amp;$B51)</f>
        <v>1669.89</v>
      </c>
      <c r="F51" s="24">
        <f>SUMIFS('Saldos Iniciales'!$D:$D,'Saldos Iniciales'!$A:$A,"A&amp;M Imports")+SUMIFS(Movimientos!$K$1:$K$736,Movimientos!$C$1:$C$736,"A&amp;M Imports",Movimientos!$B$1:$B$736,"&lt;="&amp;$B51)</f>
        <v>503904.80999999982</v>
      </c>
      <c r="G51" s="24">
        <f>SUMIFS('Saldos Iniciales'!$D:$D,'Saldos Iniciales'!$A:$A,"SSP Capital")+SUMIFS(Movimientos!$K$1:$K$736,Movimientos!$C$1:$C$736,"SSP Capital",Movimientos!$B$1:$B$736,"&lt;="&amp;$B51)</f>
        <v>3326696.7299999995</v>
      </c>
      <c r="H51" s="24">
        <f>SUMIFS('Saldos Iniciales'!$D:$D,'Saldos Iniciales'!$A:$A,"Cross Family Trust")+SUMIFS(Movimientos!$K$1:$K$736,Movimientos!$C$1:$C$736,"Cross Family Trust",Movimientos!$B$1:$B$736,"&lt;="&amp;$B51)</f>
        <v>116496.38</v>
      </c>
      <c r="I51" s="24">
        <f>SUMIFS('Saldos Iniciales'!$D:$D,'Saldos Iniciales'!$A:$A,"Cross Security Trust")+SUMIFS(Movimientos!$K$1:$K$736,Movimientos!$C$1:$C$736,"Cross Security Trust",Movimientos!$B$1:$B$736,"&lt;="&amp;$B51)</f>
        <v>88090.37</v>
      </c>
      <c r="J51" s="24">
        <f>SUMIFS('Saldos Iniciales'!$D:$D,'Saldos Iniciales'!$A:$A,"Electrama")+SUMIFS(Movimientos!$K$1:$K$736,Movimientos!$C$1:$C$736,"Electrama",Movimientos!$B$1:$B$736,"&lt;="&amp;$B51)</f>
        <v>511.15999999999985</v>
      </c>
      <c r="K51" s="24">
        <f>SUMIFS('Saldos Iniciales'!$D:$D,'Saldos Iniciales'!$A:$A,"Sacred Valley Capital")+SUMIFS(Movimientos!$K$1:$K$736,Movimientos!$C$1:$C$736,"Sacred Valley Capital",Movimientos!$B$1:$B$736,"&lt;="&amp;$B51)</f>
        <v>84.35</v>
      </c>
      <c r="L51" s="24">
        <f>SUMIFS('Saldos Iniciales'!$D:$D,'Saldos Iniciales'!$A:$A,"YWC Capital")+SUMIFS(Movimientos!$K$1:$K$736,Movimientos!$C$1:$C$736,"YWC Capital",Movimientos!$B$1:$B$736,"&lt;="&amp;$B51)</f>
        <v>2237.77</v>
      </c>
      <c r="M51" s="24">
        <f>SUMIFS('Saldos Iniciales'!$D:$D,'Saldos Iniciales'!$A:$A,"Soweto")+SUMIFS(Movimientos!$K$1:$K$736,Movimientos!$C$1:$C$736,"Soweto",Movimientos!$B$1:$B$736,"&lt;="&amp;$B51)</f>
        <v>3349.94</v>
      </c>
      <c r="N51" s="24">
        <f>SUMIFS('Saldos Iniciales'!$D:$D,'Saldos Iniciales'!$A:$A,"Green Stone Trust")+SUMIFS(Movimientos!$K$1:$K$736,Movimientos!$C$1:$C$736,"Green Stone Trust",Movimientos!$B$1:$B$736,"&lt;="&amp;$B51)</f>
        <v>1968.99</v>
      </c>
      <c r="O51" s="24">
        <f>SUMIFS('Saldos Iniciales'!$D:$D,'Saldos Iniciales'!$A:$A,"EC Auto")+SUMIFS(Movimientos!$K$1:$K$736,Movimientos!$C$1:$C$736,"EC Auto",Movimientos!$B$1:$B$736,"&lt;="&amp;$B51)</f>
        <v>382.69000000000005</v>
      </c>
      <c r="P51" s="24">
        <f>SUMIFS('Saldos Iniciales'!$D:$D,'Saldos Iniciales'!$A:$A,"Arbor Capital Properties")+SUMIFS(Movimientos!$K$1:$K$736,Movimientos!$C$1:$C$736,"Arbor Capital Properties",Movimientos!$B$1:$B$736,"&lt;="&amp;$B51)</f>
        <v>1428.08</v>
      </c>
      <c r="Q51" s="24">
        <f>SUMIFS('Saldos Iniciales'!$D:$D,'Saldos Iniciales'!$A:$A,"2515 Overbrook")+SUMIFS(Movimientos!$K$1:$K$736,Movimientos!$C$1:$C$736,"2515 Overbrook",Movimientos!$B$1:$B$736,"&lt;="&amp;$B51)</f>
        <v>29789.969999999961</v>
      </c>
      <c r="R51" s="24">
        <f>SUMIFS('Saldos Iniciales'!$D:$D,'Saldos Iniciales'!$A:$A,"112 Florida Ave")+SUMIFS(Movimientos!$K$1:$K$736,Movimientos!$C$1:$C$736,"112 Florida Ave",Movimientos!$B$1:$B$736,"&lt;="&amp;$B51)</f>
        <v>20321.43</v>
      </c>
      <c r="S51" s="24">
        <f>SUMIFS('Saldos Iniciales'!$D:$D,'Saldos Iniciales'!$A:$A,"3628 Thomas Ave")+SUMIFS(Movimientos!$K$1:$K$736,Movimientos!$C$1:$C$736,"3628 Thomas Ave",Movimientos!$B$1:$B$736,"&lt;="&amp;$B51)</f>
        <v>16681.349999999999</v>
      </c>
      <c r="T51" s="24">
        <f>SUMIFS('Saldos Iniciales'!$D:$D,'Saldos Iniciales'!$A:$A,"Green Harbor Trust")+SUMIFS(Movimientos!$K$1:$K$736,Movimientos!$C$1:$C$736,"Green Harbor Trust",Movimientos!$B$1:$B$736,"&lt;="&amp;$B51)</f>
        <v>345</v>
      </c>
      <c r="U51" s="24">
        <f>SUMIFS('Saldos Iniciales'!$D:$D,'Saldos Iniciales'!$A:$A,"Go Blue")+SUMIFS(Movimientos!$K$1:$K$736,Movimientos!$C$1:$C$736,"Go Blue",Movimientos!$B$1:$B$736,"&lt;="&amp;$B51)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Group")+SUMIFS(Movimientos!$K$1:$K$736,Movimientos!$C$1:$C$736,"CFT Group",Movimientos!$B$1:$B$736,"&lt;="&amp;$B52)</f>
        <v>1098358.7500000002</v>
      </c>
      <c r="D52" s="24">
        <f>SUMIFS('Saldos Iniciales'!$D:$D,'Saldos Iniciales'!$A:$A,"M1B")+SUMIFS(Movimientos!$K$1:$K$736,Movimientos!$C$1:$C$736,"M1B",Movimientos!$B$1:$B$736,"&lt;="&amp;$B52)</f>
        <v>69376.390000000174</v>
      </c>
      <c r="E52" s="24">
        <f>SUMIFS('Saldos Iniciales'!$D:$D,'Saldos Iniciales'!$A:$A,"Durand")+SUMIFS(Movimientos!$K$1:$K$736,Movimientos!$C$1:$C$736,"Durand",Movimientos!$B$1:$B$736,"&lt;="&amp;$B52)</f>
        <v>1669.89</v>
      </c>
      <c r="F52" s="24">
        <f>SUMIFS('Saldos Iniciales'!$D:$D,'Saldos Iniciales'!$A:$A,"A&amp;M Imports")+SUMIFS(Movimientos!$K$1:$K$736,Movimientos!$C$1:$C$736,"A&amp;M Imports",Movimientos!$B$1:$B$736,"&lt;="&amp;$B52)</f>
        <v>503904.80999999982</v>
      </c>
      <c r="G52" s="24">
        <f>SUMIFS('Saldos Iniciales'!$D:$D,'Saldos Iniciales'!$A:$A,"SSP Capital")+SUMIFS(Movimientos!$K$1:$K$736,Movimientos!$C$1:$C$736,"SSP Capital",Movimientos!$B$1:$B$736,"&lt;="&amp;$B52)</f>
        <v>3326696.7299999995</v>
      </c>
      <c r="H52" s="24">
        <f>SUMIFS('Saldos Iniciales'!$D:$D,'Saldos Iniciales'!$A:$A,"Cross Family Trust")+SUMIFS(Movimientos!$K$1:$K$736,Movimientos!$C$1:$C$736,"Cross Family Trust",Movimientos!$B$1:$B$736,"&lt;="&amp;$B52)</f>
        <v>116496.38</v>
      </c>
      <c r="I52" s="24">
        <f>SUMIFS('Saldos Iniciales'!$D:$D,'Saldos Iniciales'!$A:$A,"Cross Security Trust")+SUMIFS(Movimientos!$K$1:$K$736,Movimientos!$C$1:$C$736,"Cross Security Trust",Movimientos!$B$1:$B$736,"&lt;="&amp;$B52)</f>
        <v>88090.37</v>
      </c>
      <c r="J52" s="24">
        <f>SUMIFS('Saldos Iniciales'!$D:$D,'Saldos Iniciales'!$A:$A,"Electrama")+SUMIFS(Movimientos!$K$1:$K$736,Movimientos!$C$1:$C$736,"Electrama",Movimientos!$B$1:$B$736,"&lt;="&amp;$B52)</f>
        <v>511.15999999999985</v>
      </c>
      <c r="K52" s="24">
        <f>SUMIFS('Saldos Iniciales'!$D:$D,'Saldos Iniciales'!$A:$A,"Sacred Valley Capital")+SUMIFS(Movimientos!$K$1:$K$736,Movimientos!$C$1:$C$736,"Sacred Valley Capital",Movimientos!$B$1:$B$736,"&lt;="&amp;$B52)</f>
        <v>84.35</v>
      </c>
      <c r="L52" s="24">
        <f>SUMIFS('Saldos Iniciales'!$D:$D,'Saldos Iniciales'!$A:$A,"YWC Capital")+SUMIFS(Movimientos!$K$1:$K$736,Movimientos!$C$1:$C$736,"YWC Capital",Movimientos!$B$1:$B$736,"&lt;="&amp;$B52)</f>
        <v>2237.77</v>
      </c>
      <c r="M52" s="24">
        <f>SUMIFS('Saldos Iniciales'!$D:$D,'Saldos Iniciales'!$A:$A,"Soweto")+SUMIFS(Movimientos!$K$1:$K$736,Movimientos!$C$1:$C$736,"Soweto",Movimientos!$B$1:$B$736,"&lt;="&amp;$B52)</f>
        <v>3349.94</v>
      </c>
      <c r="N52" s="24">
        <f>SUMIFS('Saldos Iniciales'!$D:$D,'Saldos Iniciales'!$A:$A,"Green Stone Trust")+SUMIFS(Movimientos!$K$1:$K$736,Movimientos!$C$1:$C$736,"Green Stone Trust",Movimientos!$B$1:$B$736,"&lt;="&amp;$B52)</f>
        <v>1968.99</v>
      </c>
      <c r="O52" s="24">
        <f>SUMIFS('Saldos Iniciales'!$D:$D,'Saldos Iniciales'!$A:$A,"EC Auto")+SUMIFS(Movimientos!$K$1:$K$736,Movimientos!$C$1:$C$736,"EC Auto",Movimientos!$B$1:$B$736,"&lt;="&amp;$B52)</f>
        <v>382.69000000000005</v>
      </c>
      <c r="P52" s="24">
        <f>SUMIFS('Saldos Iniciales'!$D:$D,'Saldos Iniciales'!$A:$A,"Arbor Capital Properties")+SUMIFS(Movimientos!$K$1:$K$736,Movimientos!$C$1:$C$736,"Arbor Capital Properties",Movimientos!$B$1:$B$736,"&lt;="&amp;$B52)</f>
        <v>1428.08</v>
      </c>
      <c r="Q52" s="24">
        <f>SUMIFS('Saldos Iniciales'!$D:$D,'Saldos Iniciales'!$A:$A,"2515 Overbrook")+SUMIFS(Movimientos!$K$1:$K$736,Movimientos!$C$1:$C$736,"2515 Overbrook",Movimientos!$B$1:$B$736,"&lt;="&amp;$B52)</f>
        <v>29789.969999999961</v>
      </c>
      <c r="R52" s="24">
        <f>SUMIFS('Saldos Iniciales'!$D:$D,'Saldos Iniciales'!$A:$A,"112 Florida Ave")+SUMIFS(Movimientos!$K$1:$K$736,Movimientos!$C$1:$C$736,"112 Florida Ave",Movimientos!$B$1:$B$736,"&lt;="&amp;$B52)</f>
        <v>20321.43</v>
      </c>
      <c r="S52" s="24">
        <f>SUMIFS('Saldos Iniciales'!$D:$D,'Saldos Iniciales'!$A:$A,"3628 Thomas Ave")+SUMIFS(Movimientos!$K$1:$K$736,Movimientos!$C$1:$C$736,"3628 Thomas Ave",Movimientos!$B$1:$B$736,"&lt;="&amp;$B52)</f>
        <v>16681.349999999999</v>
      </c>
      <c r="T52" s="24">
        <f>SUMIFS('Saldos Iniciales'!$D:$D,'Saldos Iniciales'!$A:$A,"Green Harbor Trust")+SUMIFS(Movimientos!$K$1:$K$736,Movimientos!$C$1:$C$736,"Green Harbor Trust",Movimientos!$B$1:$B$736,"&lt;="&amp;$B52)</f>
        <v>345</v>
      </c>
      <c r="U52" s="24">
        <f>SUMIFS('Saldos Iniciales'!$D:$D,'Saldos Iniciales'!$A:$A,"Go Blue")+SUMIFS(Movimientos!$K$1:$K$736,Movimientos!$C$1:$C$736,"Go Blue",Movimientos!$B$1:$B$736,"&lt;="&amp;$B52)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Group")+SUMIFS(Movimientos!$K$1:$K$736,Movimientos!$C$1:$C$736,"CFT Group",Movimientos!$B$1:$B$736,"&lt;="&amp;$B53)</f>
        <v>1098358.7500000002</v>
      </c>
      <c r="D53" s="24">
        <f>SUMIFS('Saldos Iniciales'!$D:$D,'Saldos Iniciales'!$A:$A,"M1B")+SUMIFS(Movimientos!$K$1:$K$736,Movimientos!$C$1:$C$736,"M1B",Movimientos!$B$1:$B$736,"&lt;="&amp;$B53)</f>
        <v>69376.390000000174</v>
      </c>
      <c r="E53" s="24">
        <f>SUMIFS('Saldos Iniciales'!$D:$D,'Saldos Iniciales'!$A:$A,"Durand")+SUMIFS(Movimientos!$K$1:$K$736,Movimientos!$C$1:$C$736,"Durand",Movimientos!$B$1:$B$736,"&lt;="&amp;$B53)</f>
        <v>1669.89</v>
      </c>
      <c r="F53" s="24">
        <f>SUMIFS('Saldos Iniciales'!$D:$D,'Saldos Iniciales'!$A:$A,"A&amp;M Imports")+SUMIFS(Movimientos!$K$1:$K$736,Movimientos!$C$1:$C$736,"A&amp;M Imports",Movimientos!$B$1:$B$736,"&lt;="&amp;$B53)</f>
        <v>503904.80999999982</v>
      </c>
      <c r="G53" s="24">
        <f>SUMIFS('Saldos Iniciales'!$D:$D,'Saldos Iniciales'!$A:$A,"SSP Capital")+SUMIFS(Movimientos!$K$1:$K$736,Movimientos!$C$1:$C$736,"SSP Capital",Movimientos!$B$1:$B$736,"&lt;="&amp;$B53)</f>
        <v>3326696.7299999995</v>
      </c>
      <c r="H53" s="24">
        <f>SUMIFS('Saldos Iniciales'!$D:$D,'Saldos Iniciales'!$A:$A,"Cross Family Trust")+SUMIFS(Movimientos!$K$1:$K$736,Movimientos!$C$1:$C$736,"Cross Family Trust",Movimientos!$B$1:$B$736,"&lt;="&amp;$B53)</f>
        <v>116496.38</v>
      </c>
      <c r="I53" s="24">
        <f>SUMIFS('Saldos Iniciales'!$D:$D,'Saldos Iniciales'!$A:$A,"Cross Security Trust")+SUMIFS(Movimientos!$K$1:$K$736,Movimientos!$C$1:$C$736,"Cross Security Trust",Movimientos!$B$1:$B$736,"&lt;="&amp;$B53)</f>
        <v>88090.37</v>
      </c>
      <c r="J53" s="24">
        <f>SUMIFS('Saldos Iniciales'!$D:$D,'Saldos Iniciales'!$A:$A,"Electrama")+SUMIFS(Movimientos!$K$1:$K$736,Movimientos!$C$1:$C$736,"Electrama",Movimientos!$B$1:$B$736,"&lt;="&amp;$B53)</f>
        <v>511.15999999999985</v>
      </c>
      <c r="K53" s="24">
        <f>SUMIFS('Saldos Iniciales'!$D:$D,'Saldos Iniciales'!$A:$A,"Sacred Valley Capital")+SUMIFS(Movimientos!$K$1:$K$736,Movimientos!$C$1:$C$736,"Sacred Valley Capital",Movimientos!$B$1:$B$736,"&lt;="&amp;$B53)</f>
        <v>84.35</v>
      </c>
      <c r="L53" s="24">
        <f>SUMIFS('Saldos Iniciales'!$D:$D,'Saldos Iniciales'!$A:$A,"YWC Capital")+SUMIFS(Movimientos!$K$1:$K$736,Movimientos!$C$1:$C$736,"YWC Capital",Movimientos!$B$1:$B$736,"&lt;="&amp;$B53)</f>
        <v>2237.77</v>
      </c>
      <c r="M53" s="24">
        <f>SUMIFS('Saldos Iniciales'!$D:$D,'Saldos Iniciales'!$A:$A,"Soweto")+SUMIFS(Movimientos!$K$1:$K$736,Movimientos!$C$1:$C$736,"Soweto",Movimientos!$B$1:$B$736,"&lt;="&amp;$B53)</f>
        <v>3349.94</v>
      </c>
      <c r="N53" s="24">
        <f>SUMIFS('Saldos Iniciales'!$D:$D,'Saldos Iniciales'!$A:$A,"Green Stone Trust")+SUMIFS(Movimientos!$K$1:$K$736,Movimientos!$C$1:$C$736,"Green Stone Trust",Movimientos!$B$1:$B$736,"&lt;="&amp;$B53)</f>
        <v>1968.99</v>
      </c>
      <c r="O53" s="24">
        <f>SUMIFS('Saldos Iniciales'!$D:$D,'Saldos Iniciales'!$A:$A,"EC Auto")+SUMIFS(Movimientos!$K$1:$K$736,Movimientos!$C$1:$C$736,"EC Auto",Movimientos!$B$1:$B$736,"&lt;="&amp;$B53)</f>
        <v>382.69000000000005</v>
      </c>
      <c r="P53" s="24">
        <f>SUMIFS('Saldos Iniciales'!$D:$D,'Saldos Iniciales'!$A:$A,"Arbor Capital Properties")+SUMIFS(Movimientos!$K$1:$K$736,Movimientos!$C$1:$C$736,"Arbor Capital Properties",Movimientos!$B$1:$B$736,"&lt;="&amp;$B53)</f>
        <v>1428.08</v>
      </c>
      <c r="Q53" s="24">
        <f>SUMIFS('Saldos Iniciales'!$D:$D,'Saldos Iniciales'!$A:$A,"2515 Overbrook")+SUMIFS(Movimientos!$K$1:$K$736,Movimientos!$C$1:$C$736,"2515 Overbrook",Movimientos!$B$1:$B$736,"&lt;="&amp;$B53)</f>
        <v>29789.969999999961</v>
      </c>
      <c r="R53" s="24">
        <f>SUMIFS('Saldos Iniciales'!$D:$D,'Saldos Iniciales'!$A:$A,"112 Florida Ave")+SUMIFS(Movimientos!$K$1:$K$736,Movimientos!$C$1:$C$736,"112 Florida Ave",Movimientos!$B$1:$B$736,"&lt;="&amp;$B53)</f>
        <v>20321.43</v>
      </c>
      <c r="S53" s="24">
        <f>SUMIFS('Saldos Iniciales'!$D:$D,'Saldos Iniciales'!$A:$A,"3628 Thomas Ave")+SUMIFS(Movimientos!$K$1:$K$736,Movimientos!$C$1:$C$736,"3628 Thomas Ave",Movimientos!$B$1:$B$736,"&lt;="&amp;$B53)</f>
        <v>16681.349999999999</v>
      </c>
      <c r="T53" s="24">
        <f>SUMIFS('Saldos Iniciales'!$D:$D,'Saldos Iniciales'!$A:$A,"Green Harbor Trust")+SUMIFS(Movimientos!$K$1:$K$736,Movimientos!$C$1:$C$736,"Green Harbor Trust",Movimientos!$B$1:$B$736,"&lt;="&amp;$B53)</f>
        <v>345</v>
      </c>
      <c r="U53" s="24">
        <f>SUMIFS('Saldos Iniciales'!$D:$D,'Saldos Iniciales'!$A:$A,"Go Blue")+SUMIFS(Movimientos!$K$1:$K$736,Movimientos!$C$1:$C$736,"Go Blue",Movimientos!$B$1:$B$736,"&lt;="&amp;$B53)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Group")+SUMIFS(Movimientos!$K$1:$K$736,Movimientos!$C$1:$C$736,"CFT Group",Movimientos!$B$1:$B$736,"&lt;="&amp;$B54)</f>
        <v>7613332.1400000006</v>
      </c>
      <c r="D54" s="24">
        <f>SUMIFS('Saldos Iniciales'!$D:$D,'Saldos Iniciales'!$A:$A,"M1B")+SUMIFS(Movimientos!$K$1:$K$736,Movimientos!$C$1:$C$736,"M1B",Movimientos!$B$1:$B$736,"&lt;="&amp;$B54)</f>
        <v>69376.390000000174</v>
      </c>
      <c r="E54" s="24">
        <f>SUMIFS('Saldos Iniciales'!$D:$D,'Saldos Iniciales'!$A:$A,"Durand")+SUMIFS(Movimientos!$K$1:$K$736,Movimientos!$C$1:$C$736,"Durand",Movimientos!$B$1:$B$736,"&lt;="&amp;$B54)</f>
        <v>1669.89</v>
      </c>
      <c r="F54" s="24">
        <f>SUMIFS('Saldos Iniciales'!$D:$D,'Saldos Iniciales'!$A:$A,"A&amp;M Imports")+SUMIFS(Movimientos!$K$1:$K$736,Movimientos!$C$1:$C$736,"A&amp;M Imports",Movimientos!$B$1:$B$736,"&lt;="&amp;$B54)</f>
        <v>503904.80999999982</v>
      </c>
      <c r="G54" s="24">
        <f>SUMIFS('Saldos Iniciales'!$D:$D,'Saldos Iniciales'!$A:$A,"SSP Capital")+SUMIFS(Movimientos!$K$1:$K$736,Movimientos!$C$1:$C$736,"SSP Capital",Movimientos!$B$1:$B$736,"&lt;="&amp;$B54)</f>
        <v>3325868.6899999995</v>
      </c>
      <c r="H54" s="24">
        <f>SUMIFS('Saldos Iniciales'!$D:$D,'Saldos Iniciales'!$A:$A,"Cross Family Trust")+SUMIFS(Movimientos!$K$1:$K$736,Movimientos!$C$1:$C$736,"Cross Family Trust",Movimientos!$B$1:$B$736,"&lt;="&amp;$B54)</f>
        <v>116496.38</v>
      </c>
      <c r="I54" s="24">
        <f>SUMIFS('Saldos Iniciales'!$D:$D,'Saldos Iniciales'!$A:$A,"Cross Security Trust")+SUMIFS(Movimientos!$K$1:$K$736,Movimientos!$C$1:$C$736,"Cross Security Trust",Movimientos!$B$1:$B$736,"&lt;="&amp;$B54)</f>
        <v>88090.37</v>
      </c>
      <c r="J54" s="24">
        <f>SUMIFS('Saldos Iniciales'!$D:$D,'Saldos Iniciales'!$A:$A,"Electrama")+SUMIFS(Movimientos!$K$1:$K$736,Movimientos!$C$1:$C$736,"Electrama",Movimientos!$B$1:$B$736,"&lt;="&amp;$B54)</f>
        <v>511.15999999999985</v>
      </c>
      <c r="K54" s="24">
        <f>SUMIFS('Saldos Iniciales'!$D:$D,'Saldos Iniciales'!$A:$A,"Sacred Valley Capital")+SUMIFS(Movimientos!$K$1:$K$736,Movimientos!$C$1:$C$736,"Sacred Valley Capital",Movimientos!$B$1:$B$736,"&lt;="&amp;$B54)</f>
        <v>84.35</v>
      </c>
      <c r="L54" s="24">
        <f>SUMIFS('Saldos Iniciales'!$D:$D,'Saldos Iniciales'!$A:$A,"YWC Capital")+SUMIFS(Movimientos!$K$1:$K$736,Movimientos!$C$1:$C$736,"YWC Capital",Movimientos!$B$1:$B$736,"&lt;="&amp;$B54)</f>
        <v>2237.77</v>
      </c>
      <c r="M54" s="24">
        <f>SUMIFS('Saldos Iniciales'!$D:$D,'Saldos Iniciales'!$A:$A,"Soweto")+SUMIFS(Movimientos!$K$1:$K$736,Movimientos!$C$1:$C$736,"Soweto",Movimientos!$B$1:$B$736,"&lt;="&amp;$B54)</f>
        <v>3349.94</v>
      </c>
      <c r="N54" s="24">
        <f>SUMIFS('Saldos Iniciales'!$D:$D,'Saldos Iniciales'!$A:$A,"Green Stone Trust")+SUMIFS(Movimientos!$K$1:$K$736,Movimientos!$C$1:$C$736,"Green Stone Trust",Movimientos!$B$1:$B$736,"&lt;="&amp;$B54)</f>
        <v>1968.99</v>
      </c>
      <c r="O54" s="24">
        <f>SUMIFS('Saldos Iniciales'!$D:$D,'Saldos Iniciales'!$A:$A,"EC Auto")+SUMIFS(Movimientos!$K$1:$K$736,Movimientos!$C$1:$C$736,"EC Auto",Movimientos!$B$1:$B$736,"&lt;="&amp;$B54)</f>
        <v>382.69000000000005</v>
      </c>
      <c r="P54" s="24">
        <f>SUMIFS('Saldos Iniciales'!$D:$D,'Saldos Iniciales'!$A:$A,"Arbor Capital Properties")+SUMIFS(Movimientos!$K$1:$K$736,Movimientos!$C$1:$C$736,"Arbor Capital Properties",Movimientos!$B$1:$B$736,"&lt;="&amp;$B54)</f>
        <v>1428.08</v>
      </c>
      <c r="Q54" s="24">
        <f>SUMIFS('Saldos Iniciales'!$D:$D,'Saldos Iniciales'!$A:$A,"2515 Overbrook")+SUMIFS(Movimientos!$K$1:$K$736,Movimientos!$C$1:$C$736,"2515 Overbrook",Movimientos!$B$1:$B$736,"&lt;="&amp;$B54)</f>
        <v>31039.969999999961</v>
      </c>
      <c r="R54" s="24">
        <f>SUMIFS('Saldos Iniciales'!$D:$D,'Saldos Iniciales'!$A:$A,"112 Florida Ave")+SUMIFS(Movimientos!$K$1:$K$736,Movimientos!$C$1:$C$736,"112 Florida Ave",Movimientos!$B$1:$B$736,"&lt;="&amp;$B54)</f>
        <v>20321.43</v>
      </c>
      <c r="S54" s="24">
        <f>SUMIFS('Saldos Iniciales'!$D:$D,'Saldos Iniciales'!$A:$A,"3628 Thomas Ave")+SUMIFS(Movimientos!$K$1:$K$736,Movimientos!$C$1:$C$736,"3628 Thomas Ave",Movimientos!$B$1:$B$736,"&lt;="&amp;$B54)</f>
        <v>16681.349999999999</v>
      </c>
      <c r="T54" s="24">
        <f>SUMIFS('Saldos Iniciales'!$D:$D,'Saldos Iniciales'!$A:$A,"Green Harbor Trust")+SUMIFS(Movimientos!$K$1:$K$736,Movimientos!$C$1:$C$736,"Green Harbor Trust",Movimientos!$B$1:$B$736,"&lt;="&amp;$B54)</f>
        <v>345</v>
      </c>
      <c r="U54" s="24">
        <f>SUMIFS('Saldos Iniciales'!$D:$D,'Saldos Iniciales'!$A:$A,"Go Blue")+SUMIFS(Movimientos!$K$1:$K$736,Movimientos!$C$1:$C$736,"Go Blue",Movimientos!$B$1:$B$736,"&lt;="&amp;$B54)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Group")+SUMIFS(Movimientos!$K$1:$K$736,Movimientos!$C$1:$C$736,"CFT Group",Movimientos!$B$1:$B$736,"&lt;="&amp;$B55)</f>
        <v>7675741.5900000008</v>
      </c>
      <c r="D55" s="24">
        <f>SUMIFS('Saldos Iniciales'!$D:$D,'Saldos Iniciales'!$A:$A,"M1B")+SUMIFS(Movimientos!$K$1:$K$736,Movimientos!$C$1:$C$736,"M1B",Movimientos!$B$1:$B$736,"&lt;="&amp;$B55)</f>
        <v>69376.390000000174</v>
      </c>
      <c r="E55" s="24">
        <f>SUMIFS('Saldos Iniciales'!$D:$D,'Saldos Iniciales'!$A:$A,"Durand")+SUMIFS(Movimientos!$K$1:$K$736,Movimientos!$C$1:$C$736,"Durand",Movimientos!$B$1:$B$736,"&lt;="&amp;$B55)</f>
        <v>1669.89</v>
      </c>
      <c r="F55" s="24">
        <f>SUMIFS('Saldos Iniciales'!$D:$D,'Saldos Iniciales'!$A:$A,"A&amp;M Imports")+SUMIFS(Movimientos!$K$1:$K$736,Movimientos!$C$1:$C$736,"A&amp;M Imports",Movimientos!$B$1:$B$736,"&lt;="&amp;$B55)</f>
        <v>503904.80999999982</v>
      </c>
      <c r="G55" s="24">
        <f>SUMIFS('Saldos Iniciales'!$D:$D,'Saldos Iniciales'!$A:$A,"SSP Capital")+SUMIFS(Movimientos!$K$1:$K$736,Movimientos!$C$1:$C$736,"SSP Capital",Movimientos!$B$1:$B$736,"&lt;="&amp;$B55)</f>
        <v>3325868.6899999995</v>
      </c>
      <c r="H55" s="24">
        <f>SUMIFS('Saldos Iniciales'!$D:$D,'Saldos Iniciales'!$A:$A,"Cross Family Trust")+SUMIFS(Movimientos!$K$1:$K$736,Movimientos!$C$1:$C$736,"Cross Family Trust",Movimientos!$B$1:$B$736,"&lt;="&amp;$B55)</f>
        <v>116496.38</v>
      </c>
      <c r="I55" s="24">
        <f>SUMIFS('Saldos Iniciales'!$D:$D,'Saldos Iniciales'!$A:$A,"Cross Security Trust")+SUMIFS(Movimientos!$K$1:$K$736,Movimientos!$C$1:$C$736,"Cross Security Trust",Movimientos!$B$1:$B$736,"&lt;="&amp;$B55)</f>
        <v>88090.37</v>
      </c>
      <c r="J55" s="24">
        <f>SUMIFS('Saldos Iniciales'!$D:$D,'Saldos Iniciales'!$A:$A,"Electrama")+SUMIFS(Movimientos!$K$1:$K$736,Movimientos!$C$1:$C$736,"Electrama",Movimientos!$B$1:$B$736,"&lt;="&amp;$B55)</f>
        <v>511.15999999999985</v>
      </c>
      <c r="K55" s="24">
        <f>SUMIFS('Saldos Iniciales'!$D:$D,'Saldos Iniciales'!$A:$A,"Sacred Valley Capital")+SUMIFS(Movimientos!$K$1:$K$736,Movimientos!$C$1:$C$736,"Sacred Valley Capital",Movimientos!$B$1:$B$736,"&lt;="&amp;$B55)</f>
        <v>84.35</v>
      </c>
      <c r="L55" s="24">
        <f>SUMIFS('Saldos Iniciales'!$D:$D,'Saldos Iniciales'!$A:$A,"YWC Capital")+SUMIFS(Movimientos!$K$1:$K$736,Movimientos!$C$1:$C$736,"YWC Capital",Movimientos!$B$1:$B$736,"&lt;="&amp;$B55)</f>
        <v>2237.77</v>
      </c>
      <c r="M55" s="24">
        <f>SUMIFS('Saldos Iniciales'!$D:$D,'Saldos Iniciales'!$A:$A,"Soweto")+SUMIFS(Movimientos!$K$1:$K$736,Movimientos!$C$1:$C$736,"Soweto",Movimientos!$B$1:$B$736,"&lt;="&amp;$B55)</f>
        <v>3349.94</v>
      </c>
      <c r="N55" s="24">
        <f>SUMIFS('Saldos Iniciales'!$D:$D,'Saldos Iniciales'!$A:$A,"Green Stone Trust")+SUMIFS(Movimientos!$K$1:$K$736,Movimientos!$C$1:$C$736,"Green Stone Trust",Movimientos!$B$1:$B$736,"&lt;="&amp;$B55)</f>
        <v>1968.99</v>
      </c>
      <c r="O55" s="24">
        <f>SUMIFS('Saldos Iniciales'!$D:$D,'Saldos Iniciales'!$A:$A,"EC Auto")+SUMIFS(Movimientos!$K$1:$K$736,Movimientos!$C$1:$C$736,"EC Auto",Movimientos!$B$1:$B$736,"&lt;="&amp;$B55)</f>
        <v>382.69000000000005</v>
      </c>
      <c r="P55" s="24">
        <f>SUMIFS('Saldos Iniciales'!$D:$D,'Saldos Iniciales'!$A:$A,"Arbor Capital Properties")+SUMIFS(Movimientos!$K$1:$K$736,Movimientos!$C$1:$C$736,"Arbor Capital Properties",Movimientos!$B$1:$B$736,"&lt;="&amp;$B55)</f>
        <v>1428.08</v>
      </c>
      <c r="Q55" s="24">
        <f>SUMIFS('Saldos Iniciales'!$D:$D,'Saldos Iniciales'!$A:$A,"2515 Overbrook")+SUMIFS(Movimientos!$K$1:$K$736,Movimientos!$C$1:$C$736,"2515 Overbrook",Movimientos!$B$1:$B$736,"&lt;="&amp;$B55)</f>
        <v>31039.969999999961</v>
      </c>
      <c r="R55" s="24">
        <f>SUMIFS('Saldos Iniciales'!$D:$D,'Saldos Iniciales'!$A:$A,"112 Florida Ave")+SUMIFS(Movimientos!$K$1:$K$736,Movimientos!$C$1:$C$736,"112 Florida Ave",Movimientos!$B$1:$B$736,"&lt;="&amp;$B55)</f>
        <v>20321.43</v>
      </c>
      <c r="S55" s="24">
        <f>SUMIFS('Saldos Iniciales'!$D:$D,'Saldos Iniciales'!$A:$A,"3628 Thomas Ave")+SUMIFS(Movimientos!$K$1:$K$736,Movimientos!$C$1:$C$736,"3628 Thomas Ave",Movimientos!$B$1:$B$736,"&lt;="&amp;$B55)</f>
        <v>16681.349999999999</v>
      </c>
      <c r="T55" s="24">
        <f>SUMIFS('Saldos Iniciales'!$D:$D,'Saldos Iniciales'!$A:$A,"Green Harbor Trust")+SUMIFS(Movimientos!$K$1:$K$736,Movimientos!$C$1:$C$736,"Green Harbor Trust",Movimientos!$B$1:$B$736,"&lt;="&amp;$B55)</f>
        <v>345</v>
      </c>
      <c r="U55" s="24">
        <f>SUMIFS('Saldos Iniciales'!$D:$D,'Saldos Iniciales'!$A:$A,"Go Blue")+SUMIFS(Movimientos!$K$1:$K$736,Movimientos!$C$1:$C$736,"Go Blue",Movimientos!$B$1:$B$736,"&lt;="&amp;$B55)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Group")+SUMIFS(Movimientos!$K$1:$K$736,Movimientos!$C$1:$C$736,"CFT Group",Movimientos!$B$1:$B$736,"&lt;="&amp;$B56)</f>
        <v>7742810.7100000009</v>
      </c>
      <c r="D56" s="24">
        <f>SUMIFS('Saldos Iniciales'!$D:$D,'Saldos Iniciales'!$A:$A,"M1B")+SUMIFS(Movimientos!$K$1:$K$736,Movimientos!$C$1:$C$736,"M1B",Movimientos!$B$1:$B$736,"&lt;="&amp;$B56)</f>
        <v>72386.190000000177</v>
      </c>
      <c r="E56" s="24">
        <f>SUMIFS('Saldos Iniciales'!$D:$D,'Saldos Iniciales'!$A:$A,"Durand")+SUMIFS(Movimientos!$K$1:$K$736,Movimientos!$C$1:$C$736,"Durand",Movimientos!$B$1:$B$736,"&lt;="&amp;$B56)</f>
        <v>1669.89</v>
      </c>
      <c r="F56" s="24">
        <f>SUMIFS('Saldos Iniciales'!$D:$D,'Saldos Iniciales'!$A:$A,"A&amp;M Imports")+SUMIFS(Movimientos!$K$1:$K$736,Movimientos!$C$1:$C$736,"A&amp;M Imports",Movimientos!$B$1:$B$736,"&lt;="&amp;$B56)</f>
        <v>532766.72999999986</v>
      </c>
      <c r="G56" s="24">
        <f>SUMIFS('Saldos Iniciales'!$D:$D,'Saldos Iniciales'!$A:$A,"SSP Capital")+SUMIFS(Movimientos!$K$1:$K$736,Movimientos!$C$1:$C$736,"SSP Capital",Movimientos!$B$1:$B$736,"&lt;="&amp;$B56)</f>
        <v>3325868.6899999995</v>
      </c>
      <c r="H56" s="24">
        <f>SUMIFS('Saldos Iniciales'!$D:$D,'Saldos Iniciales'!$A:$A,"Cross Family Trust")+SUMIFS(Movimientos!$K$1:$K$736,Movimientos!$C$1:$C$736,"Cross Family Trust",Movimientos!$B$1:$B$736,"&lt;="&amp;$B56)</f>
        <v>116496.38</v>
      </c>
      <c r="I56" s="24">
        <f>SUMIFS('Saldos Iniciales'!$D:$D,'Saldos Iniciales'!$A:$A,"Cross Security Trust")+SUMIFS(Movimientos!$K$1:$K$736,Movimientos!$C$1:$C$736,"Cross Security Trust",Movimientos!$B$1:$B$736,"&lt;="&amp;$B56)</f>
        <v>88090.37</v>
      </c>
      <c r="J56" s="24">
        <f>SUMIFS('Saldos Iniciales'!$D:$D,'Saldos Iniciales'!$A:$A,"Electrama")+SUMIFS(Movimientos!$K$1:$K$736,Movimientos!$C$1:$C$736,"Electrama",Movimientos!$B$1:$B$736,"&lt;="&amp;$B56)</f>
        <v>511.15999999999985</v>
      </c>
      <c r="K56" s="24">
        <f>SUMIFS('Saldos Iniciales'!$D:$D,'Saldos Iniciales'!$A:$A,"Sacred Valley Capital")+SUMIFS(Movimientos!$K$1:$K$736,Movimientos!$C$1:$C$736,"Sacred Valley Capital",Movimientos!$B$1:$B$736,"&lt;="&amp;$B56)</f>
        <v>84.35</v>
      </c>
      <c r="L56" s="24">
        <f>SUMIFS('Saldos Iniciales'!$D:$D,'Saldos Iniciales'!$A:$A,"YWC Capital")+SUMIFS(Movimientos!$K$1:$K$736,Movimientos!$C$1:$C$736,"YWC Capital",Movimientos!$B$1:$B$736,"&lt;="&amp;$B56)</f>
        <v>2237.77</v>
      </c>
      <c r="M56" s="24">
        <f>SUMIFS('Saldos Iniciales'!$D:$D,'Saldos Iniciales'!$A:$A,"Soweto")+SUMIFS(Movimientos!$K$1:$K$736,Movimientos!$C$1:$C$736,"Soweto",Movimientos!$B$1:$B$736,"&lt;="&amp;$B56)</f>
        <v>3349.94</v>
      </c>
      <c r="N56" s="24">
        <f>SUMIFS('Saldos Iniciales'!$D:$D,'Saldos Iniciales'!$A:$A,"Green Stone Trust")+SUMIFS(Movimientos!$K$1:$K$736,Movimientos!$C$1:$C$736,"Green Stone Trust",Movimientos!$B$1:$B$736,"&lt;="&amp;$B56)</f>
        <v>1968.99</v>
      </c>
      <c r="O56" s="24">
        <f>SUMIFS('Saldos Iniciales'!$D:$D,'Saldos Iniciales'!$A:$A,"EC Auto")+SUMIFS(Movimientos!$K$1:$K$736,Movimientos!$C$1:$C$736,"EC Auto",Movimientos!$B$1:$B$736,"&lt;="&amp;$B56)</f>
        <v>382.69000000000005</v>
      </c>
      <c r="P56" s="24">
        <f>SUMIFS('Saldos Iniciales'!$D:$D,'Saldos Iniciales'!$A:$A,"Arbor Capital Properties")+SUMIFS(Movimientos!$K$1:$K$736,Movimientos!$C$1:$C$736,"Arbor Capital Properties",Movimientos!$B$1:$B$736,"&lt;="&amp;$B56)</f>
        <v>1428.08</v>
      </c>
      <c r="Q56" s="24">
        <f>SUMIFS('Saldos Iniciales'!$D:$D,'Saldos Iniciales'!$A:$A,"2515 Overbrook")+SUMIFS(Movimientos!$K$1:$K$736,Movimientos!$C$1:$C$736,"2515 Overbrook",Movimientos!$B$1:$B$736,"&lt;="&amp;$B56)</f>
        <v>31039.969999999961</v>
      </c>
      <c r="R56" s="24">
        <f>SUMIFS('Saldos Iniciales'!$D:$D,'Saldos Iniciales'!$A:$A,"112 Florida Ave")+SUMIFS(Movimientos!$K$1:$K$736,Movimientos!$C$1:$C$736,"112 Florida Ave",Movimientos!$B$1:$B$736,"&lt;="&amp;$B56)</f>
        <v>20321.43</v>
      </c>
      <c r="S56" s="24">
        <f>SUMIFS('Saldos Iniciales'!$D:$D,'Saldos Iniciales'!$A:$A,"3628 Thomas Ave")+SUMIFS(Movimientos!$K$1:$K$736,Movimientos!$C$1:$C$736,"3628 Thomas Ave",Movimientos!$B$1:$B$736,"&lt;="&amp;$B56)</f>
        <v>16681.349999999999</v>
      </c>
      <c r="T56" s="24">
        <f>SUMIFS('Saldos Iniciales'!$D:$D,'Saldos Iniciales'!$A:$A,"Green Harbor Trust")+SUMIFS(Movimientos!$K$1:$K$736,Movimientos!$C$1:$C$736,"Green Harbor Trust",Movimientos!$B$1:$B$736,"&lt;="&amp;$B56)</f>
        <v>345</v>
      </c>
      <c r="U56" s="24">
        <f>SUMIFS('Saldos Iniciales'!$D:$D,'Saldos Iniciales'!$A:$A,"Go Blue")+SUMIFS(Movimientos!$K$1:$K$736,Movimientos!$C$1:$C$736,"Go Blue",Movimientos!$B$1:$B$736,"&lt;="&amp;$B56)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Group")+SUMIFS(Movimientos!$K$1:$K$736,Movimientos!$C$1:$C$736,"CFT Group",Movimientos!$B$1:$B$736,"&lt;="&amp;$B57)</f>
        <v>6298935.7100000009</v>
      </c>
      <c r="D57" s="24">
        <f>SUMIFS('Saldos Iniciales'!$D:$D,'Saldos Iniciales'!$A:$A,"M1B")+SUMIFS(Movimientos!$K$1:$K$736,Movimientos!$C$1:$C$736,"M1B",Movimientos!$B$1:$B$736,"&lt;="&amp;$B57)</f>
        <v>72386.190000000177</v>
      </c>
      <c r="E57" s="24">
        <f>SUMIFS('Saldos Iniciales'!$D:$D,'Saldos Iniciales'!$A:$A,"Durand")+SUMIFS(Movimientos!$K$1:$K$736,Movimientos!$C$1:$C$736,"Durand",Movimientos!$B$1:$B$736,"&lt;="&amp;$B57)</f>
        <v>1669.89</v>
      </c>
      <c r="F57" s="24">
        <f>SUMIFS('Saldos Iniciales'!$D:$D,'Saldos Iniciales'!$A:$A,"A&amp;M Imports")+SUMIFS(Movimientos!$K$1:$K$736,Movimientos!$C$1:$C$736,"A&amp;M Imports",Movimientos!$B$1:$B$736,"&lt;="&amp;$B57)</f>
        <v>472766.72999999986</v>
      </c>
      <c r="G57" s="24">
        <f>SUMIFS('Saldos Iniciales'!$D:$D,'Saldos Iniciales'!$A:$A,"SSP Capital")+SUMIFS(Movimientos!$K$1:$K$736,Movimientos!$C$1:$C$736,"SSP Capital",Movimientos!$B$1:$B$736,"&lt;="&amp;$B57)</f>
        <v>1933152.7099999995</v>
      </c>
      <c r="H57" s="24">
        <f>SUMIFS('Saldos Iniciales'!$D:$D,'Saldos Iniciales'!$A:$A,"Cross Family Trust")+SUMIFS(Movimientos!$K$1:$K$736,Movimientos!$C$1:$C$736,"Cross Family Trust",Movimientos!$B$1:$B$736,"&lt;="&amp;$B57)</f>
        <v>1996496.38</v>
      </c>
      <c r="I57" s="24">
        <f>SUMIFS('Saldos Iniciales'!$D:$D,'Saldos Iniciales'!$A:$A,"Cross Security Trust")+SUMIFS(Movimientos!$K$1:$K$736,Movimientos!$C$1:$C$736,"Cross Security Trust",Movimientos!$B$1:$B$736,"&lt;="&amp;$B57)</f>
        <v>88090.37</v>
      </c>
      <c r="J57" s="24">
        <f>SUMIFS('Saldos Iniciales'!$D:$D,'Saldos Iniciales'!$A:$A,"Electrama")+SUMIFS(Movimientos!$K$1:$K$736,Movimientos!$C$1:$C$736,"Electrama",Movimientos!$B$1:$B$736,"&lt;="&amp;$B57)</f>
        <v>511.15999999999985</v>
      </c>
      <c r="K57" s="24">
        <f>SUMIFS('Saldos Iniciales'!$D:$D,'Saldos Iniciales'!$A:$A,"Sacred Valley Capital")+SUMIFS(Movimientos!$K$1:$K$736,Movimientos!$C$1:$C$736,"Sacred Valley Capital",Movimientos!$B$1:$B$736,"&lt;="&amp;$B57)</f>
        <v>84.35</v>
      </c>
      <c r="L57" s="24">
        <f>SUMIFS('Saldos Iniciales'!$D:$D,'Saldos Iniciales'!$A:$A,"YWC Capital")+SUMIFS(Movimientos!$K$1:$K$736,Movimientos!$C$1:$C$736,"YWC Capital",Movimientos!$B$1:$B$736,"&lt;="&amp;$B57)</f>
        <v>2237.77</v>
      </c>
      <c r="M57" s="24">
        <f>SUMIFS('Saldos Iniciales'!$D:$D,'Saldos Iniciales'!$A:$A,"Soweto")+SUMIFS(Movimientos!$K$1:$K$736,Movimientos!$C$1:$C$736,"Soweto",Movimientos!$B$1:$B$736,"&lt;="&amp;$B57)</f>
        <v>3349.94</v>
      </c>
      <c r="N57" s="24">
        <f>SUMIFS('Saldos Iniciales'!$D:$D,'Saldos Iniciales'!$A:$A,"Green Stone Trust")+SUMIFS(Movimientos!$K$1:$K$736,Movimientos!$C$1:$C$736,"Green Stone Trust",Movimientos!$B$1:$B$736,"&lt;="&amp;$B57)</f>
        <v>1968.99</v>
      </c>
      <c r="O57" s="24">
        <f>SUMIFS('Saldos Iniciales'!$D:$D,'Saldos Iniciales'!$A:$A,"EC Auto")+SUMIFS(Movimientos!$K$1:$K$736,Movimientos!$C$1:$C$736,"EC Auto",Movimientos!$B$1:$B$736,"&lt;="&amp;$B57)</f>
        <v>382.69000000000005</v>
      </c>
      <c r="P57" s="24">
        <f>SUMIFS('Saldos Iniciales'!$D:$D,'Saldos Iniciales'!$A:$A,"Arbor Capital Properties")+SUMIFS(Movimientos!$K$1:$K$736,Movimientos!$C$1:$C$736,"Arbor Capital Properties",Movimientos!$B$1:$B$736,"&lt;="&amp;$B57)</f>
        <v>1428.08</v>
      </c>
      <c r="Q57" s="24">
        <f>SUMIFS('Saldos Iniciales'!$D:$D,'Saldos Iniciales'!$A:$A,"2515 Overbrook")+SUMIFS(Movimientos!$K$1:$K$736,Movimientos!$C$1:$C$736,"2515 Overbrook",Movimientos!$B$1:$B$736,"&lt;="&amp;$B57)</f>
        <v>31039.969999999961</v>
      </c>
      <c r="R57" s="24">
        <f>SUMIFS('Saldos Iniciales'!$D:$D,'Saldos Iniciales'!$A:$A,"112 Florida Ave")+SUMIFS(Movimientos!$K$1:$K$736,Movimientos!$C$1:$C$736,"112 Florida Ave",Movimientos!$B$1:$B$736,"&lt;="&amp;$B57)</f>
        <v>20321.43</v>
      </c>
      <c r="S57" s="24">
        <f>SUMIFS('Saldos Iniciales'!$D:$D,'Saldos Iniciales'!$A:$A,"3628 Thomas Ave")+SUMIFS(Movimientos!$K$1:$K$736,Movimientos!$C$1:$C$736,"3628 Thomas Ave",Movimientos!$B$1:$B$736,"&lt;="&amp;$B57)</f>
        <v>28473.599999999999</v>
      </c>
      <c r="T57" s="24">
        <f>SUMIFS('Saldos Iniciales'!$D:$D,'Saldos Iniciales'!$A:$A,"Green Harbor Trust")+SUMIFS(Movimientos!$K$1:$K$736,Movimientos!$C$1:$C$736,"Green Harbor Trust",Movimientos!$B$1:$B$736,"&lt;="&amp;$B57)</f>
        <v>345</v>
      </c>
      <c r="U57" s="24">
        <f>SUMIFS('Saldos Iniciales'!$D:$D,'Saldos Iniciales'!$A:$A,"Go Blue")+SUMIFS(Movimientos!$K$1:$K$736,Movimientos!$C$1:$C$736,"Go Blue",Movimientos!$B$1:$B$736,"&lt;="&amp;$B57)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Group")+SUMIFS(Movimientos!$K$1:$K$736,Movimientos!$C$1:$C$736,"CFT Group",Movimientos!$B$1:$B$736,"&lt;="&amp;$B58)</f>
        <v>6288055.7100000009</v>
      </c>
      <c r="D58" s="24">
        <f>SUMIFS('Saldos Iniciales'!$D:$D,'Saldos Iniciales'!$A:$A,"M1B")+SUMIFS(Movimientos!$K$1:$K$736,Movimientos!$C$1:$C$736,"M1B",Movimientos!$B$1:$B$736,"&lt;="&amp;$B58)</f>
        <v>72386.190000000177</v>
      </c>
      <c r="E58" s="24">
        <f>SUMIFS('Saldos Iniciales'!$D:$D,'Saldos Iniciales'!$A:$A,"Durand")+SUMIFS(Movimientos!$K$1:$K$736,Movimientos!$C$1:$C$736,"Durand",Movimientos!$B$1:$B$736,"&lt;="&amp;$B58)</f>
        <v>1669.89</v>
      </c>
      <c r="F58" s="24">
        <f>SUMIFS('Saldos Iniciales'!$D:$D,'Saldos Iniciales'!$A:$A,"A&amp;M Imports")+SUMIFS(Movimientos!$K$1:$K$736,Movimientos!$C$1:$C$736,"A&amp;M Imports",Movimientos!$B$1:$B$736,"&lt;="&amp;$B58)</f>
        <v>472766.72999999986</v>
      </c>
      <c r="G58" s="24">
        <f>SUMIFS('Saldos Iniciales'!$D:$D,'Saldos Iniciales'!$A:$A,"SSP Capital")+SUMIFS(Movimientos!$K$1:$K$736,Movimientos!$C$1:$C$736,"SSP Capital",Movimientos!$B$1:$B$736,"&lt;="&amp;$B58)</f>
        <v>1932389.7199999993</v>
      </c>
      <c r="H58" s="24">
        <f>SUMIFS('Saldos Iniciales'!$D:$D,'Saldos Iniciales'!$A:$A,"Cross Family Trust")+SUMIFS(Movimientos!$K$1:$K$736,Movimientos!$C$1:$C$736,"Cross Family Trust",Movimientos!$B$1:$B$736,"&lt;="&amp;$B58)</f>
        <v>1396496.38</v>
      </c>
      <c r="I58" s="24">
        <f>SUMIFS('Saldos Iniciales'!$D:$D,'Saldos Iniciales'!$A:$A,"Cross Security Trust")+SUMIFS(Movimientos!$K$1:$K$736,Movimientos!$C$1:$C$736,"Cross Security Trust",Movimientos!$B$1:$B$736,"&lt;="&amp;$B58)</f>
        <v>88090.37</v>
      </c>
      <c r="J58" s="24">
        <f>SUMIFS('Saldos Iniciales'!$D:$D,'Saldos Iniciales'!$A:$A,"Electrama")+SUMIFS(Movimientos!$K$1:$K$736,Movimientos!$C$1:$C$736,"Electrama",Movimientos!$B$1:$B$736,"&lt;="&amp;$B58)</f>
        <v>511.15999999999985</v>
      </c>
      <c r="K58" s="24">
        <f>SUMIFS('Saldos Iniciales'!$D:$D,'Saldos Iniciales'!$A:$A,"Sacred Valley Capital")+SUMIFS(Movimientos!$K$1:$K$736,Movimientos!$C$1:$C$736,"Sacred Valley Capital",Movimientos!$B$1:$B$736,"&lt;="&amp;$B58)</f>
        <v>84.35</v>
      </c>
      <c r="L58" s="24">
        <f>SUMIFS('Saldos Iniciales'!$D:$D,'Saldos Iniciales'!$A:$A,"YWC Capital")+SUMIFS(Movimientos!$K$1:$K$736,Movimientos!$C$1:$C$736,"YWC Capital",Movimientos!$B$1:$B$736,"&lt;="&amp;$B58)</f>
        <v>2237.77</v>
      </c>
      <c r="M58" s="24">
        <f>SUMIFS('Saldos Iniciales'!$D:$D,'Saldos Iniciales'!$A:$A,"Soweto")+SUMIFS(Movimientos!$K$1:$K$736,Movimientos!$C$1:$C$736,"Soweto",Movimientos!$B$1:$B$736,"&lt;="&amp;$B58)</f>
        <v>3349.94</v>
      </c>
      <c r="N58" s="24">
        <f>SUMIFS('Saldos Iniciales'!$D:$D,'Saldos Iniciales'!$A:$A,"Green Stone Trust")+SUMIFS(Movimientos!$K$1:$K$736,Movimientos!$C$1:$C$736,"Green Stone Trust",Movimientos!$B$1:$B$736,"&lt;="&amp;$B58)</f>
        <v>1968.99</v>
      </c>
      <c r="O58" s="24">
        <f>SUMIFS('Saldos Iniciales'!$D:$D,'Saldos Iniciales'!$A:$A,"EC Auto")+SUMIFS(Movimientos!$K$1:$K$736,Movimientos!$C$1:$C$736,"EC Auto",Movimientos!$B$1:$B$736,"&lt;="&amp;$B58)</f>
        <v>382.69000000000005</v>
      </c>
      <c r="P58" s="24">
        <f>SUMIFS('Saldos Iniciales'!$D:$D,'Saldos Iniciales'!$A:$A,"Arbor Capital Properties")+SUMIFS(Movimientos!$K$1:$K$736,Movimientos!$C$1:$C$736,"Arbor Capital Properties",Movimientos!$B$1:$B$736,"&lt;="&amp;$B58)</f>
        <v>1428.08</v>
      </c>
      <c r="Q58" s="24">
        <f>SUMIFS('Saldos Iniciales'!$D:$D,'Saldos Iniciales'!$A:$A,"2515 Overbrook")+SUMIFS(Movimientos!$K$1:$K$736,Movimientos!$C$1:$C$736,"2515 Overbrook",Movimientos!$B$1:$B$736,"&lt;="&amp;$B58)</f>
        <v>31039.969999999961</v>
      </c>
      <c r="R58" s="24">
        <f>SUMIFS('Saldos Iniciales'!$D:$D,'Saldos Iniciales'!$A:$A,"112 Florida Ave")+SUMIFS(Movimientos!$K$1:$K$736,Movimientos!$C$1:$C$736,"112 Florida Ave",Movimientos!$B$1:$B$736,"&lt;="&amp;$B58)</f>
        <v>20321.43</v>
      </c>
      <c r="S58" s="24">
        <f>SUMIFS('Saldos Iniciales'!$D:$D,'Saldos Iniciales'!$A:$A,"3628 Thomas Ave")+SUMIFS(Movimientos!$K$1:$K$736,Movimientos!$C$1:$C$736,"3628 Thomas Ave",Movimientos!$B$1:$B$736,"&lt;="&amp;$B58)</f>
        <v>28458.6</v>
      </c>
      <c r="T58" s="24">
        <f>SUMIFS('Saldos Iniciales'!$D:$D,'Saldos Iniciales'!$A:$A,"Green Harbor Trust")+SUMIFS(Movimientos!$K$1:$K$736,Movimientos!$C$1:$C$736,"Green Harbor Trust",Movimientos!$B$1:$B$736,"&lt;="&amp;$B58)</f>
        <v>345</v>
      </c>
      <c r="U58" s="24">
        <f>SUMIFS('Saldos Iniciales'!$D:$D,'Saldos Iniciales'!$A:$A,"Go Blue")+SUMIFS(Movimientos!$K$1:$K$736,Movimientos!$C$1:$C$736,"Go Blue",Movimientos!$B$1:$B$736,"&lt;="&amp;$B58)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Group")+SUMIFS(Movimientos!$K$1:$K$736,Movimientos!$C$1:$C$736,"CFT Group",Movimientos!$B$1:$B$736,"&lt;="&amp;$B59)</f>
        <v>6288055.7100000009</v>
      </c>
      <c r="D59" s="24">
        <f>SUMIFS('Saldos Iniciales'!$D:$D,'Saldos Iniciales'!$A:$A,"M1B")+SUMIFS(Movimientos!$K$1:$K$736,Movimientos!$C$1:$C$736,"M1B",Movimientos!$B$1:$B$736,"&lt;="&amp;$B59)</f>
        <v>72386.190000000177</v>
      </c>
      <c r="E59" s="24">
        <f>SUMIFS('Saldos Iniciales'!$D:$D,'Saldos Iniciales'!$A:$A,"Durand")+SUMIFS(Movimientos!$K$1:$K$736,Movimientos!$C$1:$C$736,"Durand",Movimientos!$B$1:$B$736,"&lt;="&amp;$B59)</f>
        <v>1669.89</v>
      </c>
      <c r="F59" s="24">
        <f>SUMIFS('Saldos Iniciales'!$D:$D,'Saldos Iniciales'!$A:$A,"A&amp;M Imports")+SUMIFS(Movimientos!$K$1:$K$736,Movimientos!$C$1:$C$736,"A&amp;M Imports",Movimientos!$B$1:$B$736,"&lt;="&amp;$B59)</f>
        <v>472766.72999999986</v>
      </c>
      <c r="G59" s="24">
        <f>SUMIFS('Saldos Iniciales'!$D:$D,'Saldos Iniciales'!$A:$A,"SSP Capital")+SUMIFS(Movimientos!$K$1:$K$736,Movimientos!$C$1:$C$736,"SSP Capital",Movimientos!$B$1:$B$736,"&lt;="&amp;$B59)</f>
        <v>1932389.7199999993</v>
      </c>
      <c r="H59" s="24">
        <f>SUMIFS('Saldos Iniciales'!$D:$D,'Saldos Iniciales'!$A:$A,"Cross Family Trust")+SUMIFS(Movimientos!$K$1:$K$736,Movimientos!$C$1:$C$736,"Cross Family Trust",Movimientos!$B$1:$B$736,"&lt;="&amp;$B59)</f>
        <v>1396496.38</v>
      </c>
      <c r="I59" s="24">
        <f>SUMIFS('Saldos Iniciales'!$D:$D,'Saldos Iniciales'!$A:$A,"Cross Security Trust")+SUMIFS(Movimientos!$K$1:$K$736,Movimientos!$C$1:$C$736,"Cross Security Trust",Movimientos!$B$1:$B$736,"&lt;="&amp;$B59)</f>
        <v>88090.37</v>
      </c>
      <c r="J59" s="24">
        <f>SUMIFS('Saldos Iniciales'!$D:$D,'Saldos Iniciales'!$A:$A,"Electrama")+SUMIFS(Movimientos!$K$1:$K$736,Movimientos!$C$1:$C$736,"Electrama",Movimientos!$B$1:$B$736,"&lt;="&amp;$B59)</f>
        <v>511.15999999999985</v>
      </c>
      <c r="K59" s="24">
        <f>SUMIFS('Saldos Iniciales'!$D:$D,'Saldos Iniciales'!$A:$A,"Sacred Valley Capital")+SUMIFS(Movimientos!$K$1:$K$736,Movimientos!$C$1:$C$736,"Sacred Valley Capital",Movimientos!$B$1:$B$736,"&lt;="&amp;$B59)</f>
        <v>84.35</v>
      </c>
      <c r="L59" s="24">
        <f>SUMIFS('Saldos Iniciales'!$D:$D,'Saldos Iniciales'!$A:$A,"YWC Capital")+SUMIFS(Movimientos!$K$1:$K$736,Movimientos!$C$1:$C$736,"YWC Capital",Movimientos!$B$1:$B$736,"&lt;="&amp;$B59)</f>
        <v>2237.77</v>
      </c>
      <c r="M59" s="24">
        <f>SUMIFS('Saldos Iniciales'!$D:$D,'Saldos Iniciales'!$A:$A,"Soweto")+SUMIFS(Movimientos!$K$1:$K$736,Movimientos!$C$1:$C$736,"Soweto",Movimientos!$B$1:$B$736,"&lt;="&amp;$B59)</f>
        <v>3349.94</v>
      </c>
      <c r="N59" s="24">
        <f>SUMIFS('Saldos Iniciales'!$D:$D,'Saldos Iniciales'!$A:$A,"Green Stone Trust")+SUMIFS(Movimientos!$K$1:$K$736,Movimientos!$C$1:$C$736,"Green Stone Trust",Movimientos!$B$1:$B$736,"&lt;="&amp;$B59)</f>
        <v>1968.99</v>
      </c>
      <c r="O59" s="24">
        <f>SUMIFS('Saldos Iniciales'!$D:$D,'Saldos Iniciales'!$A:$A,"EC Auto")+SUMIFS(Movimientos!$K$1:$K$736,Movimientos!$C$1:$C$736,"EC Auto",Movimientos!$B$1:$B$736,"&lt;="&amp;$B59)</f>
        <v>382.69000000000005</v>
      </c>
      <c r="P59" s="24">
        <f>SUMIFS('Saldos Iniciales'!$D:$D,'Saldos Iniciales'!$A:$A,"Arbor Capital Properties")+SUMIFS(Movimientos!$K$1:$K$736,Movimientos!$C$1:$C$736,"Arbor Capital Properties",Movimientos!$B$1:$B$736,"&lt;="&amp;$B59)</f>
        <v>1428.08</v>
      </c>
      <c r="Q59" s="24">
        <f>SUMIFS('Saldos Iniciales'!$D:$D,'Saldos Iniciales'!$A:$A,"2515 Overbrook")+SUMIFS(Movimientos!$K$1:$K$736,Movimientos!$C$1:$C$736,"2515 Overbrook",Movimientos!$B$1:$B$736,"&lt;="&amp;$B59)</f>
        <v>31039.969999999961</v>
      </c>
      <c r="R59" s="24">
        <f>SUMIFS('Saldos Iniciales'!$D:$D,'Saldos Iniciales'!$A:$A,"112 Florida Ave")+SUMIFS(Movimientos!$K$1:$K$736,Movimientos!$C$1:$C$736,"112 Florida Ave",Movimientos!$B$1:$B$736,"&lt;="&amp;$B59)</f>
        <v>20321.43</v>
      </c>
      <c r="S59" s="24">
        <f>SUMIFS('Saldos Iniciales'!$D:$D,'Saldos Iniciales'!$A:$A,"3628 Thomas Ave")+SUMIFS(Movimientos!$K$1:$K$736,Movimientos!$C$1:$C$736,"3628 Thomas Ave",Movimientos!$B$1:$B$736,"&lt;="&amp;$B59)</f>
        <v>28458.6</v>
      </c>
      <c r="T59" s="24">
        <f>SUMIFS('Saldos Iniciales'!$D:$D,'Saldos Iniciales'!$A:$A,"Green Harbor Trust")+SUMIFS(Movimientos!$K$1:$K$736,Movimientos!$C$1:$C$736,"Green Harbor Trust",Movimientos!$B$1:$B$736,"&lt;="&amp;$B59)</f>
        <v>345</v>
      </c>
      <c r="U59" s="24">
        <f>SUMIFS('Saldos Iniciales'!$D:$D,'Saldos Iniciales'!$A:$A,"Go Blue")+SUMIFS(Movimientos!$K$1:$K$736,Movimientos!$C$1:$C$736,"Go Blue",Movimientos!$B$1:$B$736,"&lt;="&amp;$B59)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03" si="12">+A59+1</f>
        <v>59</v>
      </c>
      <c r="B60" s="23">
        <v>46201</v>
      </c>
      <c r="C60" s="24">
        <f>SUMIFS('Saldos Iniciales'!$D:$D,'Saldos Iniciales'!$A:$A,"CFT Group")+SUMIFS(Movimientos!$K$1:$K$736,Movimientos!$C$1:$C$736,"CFT Group",Movimientos!$B$1:$B$736,"&lt;="&amp;$B60)</f>
        <v>6288055.7100000009</v>
      </c>
      <c r="D60" s="24">
        <f>SUMIFS('Saldos Iniciales'!$D:$D,'Saldos Iniciales'!$A:$A,"M1B")+SUMIFS(Movimientos!$K$1:$K$736,Movimientos!$C$1:$C$736,"M1B",Movimientos!$B$1:$B$736,"&lt;="&amp;$B60)</f>
        <v>72386.190000000177</v>
      </c>
      <c r="E60" s="24">
        <f>SUMIFS('Saldos Iniciales'!$D:$D,'Saldos Iniciales'!$A:$A,"Durand")+SUMIFS(Movimientos!$K$1:$K$736,Movimientos!$C$1:$C$736,"Durand",Movimientos!$B$1:$B$736,"&lt;="&amp;$B60)</f>
        <v>1669.89</v>
      </c>
      <c r="F60" s="24">
        <f>SUMIFS('Saldos Iniciales'!$D:$D,'Saldos Iniciales'!$A:$A,"A&amp;M Imports")+SUMIFS(Movimientos!$K$1:$K$736,Movimientos!$C$1:$C$736,"A&amp;M Imports",Movimientos!$B$1:$B$736,"&lt;="&amp;$B60)</f>
        <v>472766.72999999986</v>
      </c>
      <c r="G60" s="24">
        <f>SUMIFS('Saldos Iniciales'!$D:$D,'Saldos Iniciales'!$A:$A,"SSP Capital")+SUMIFS(Movimientos!$K$1:$K$736,Movimientos!$C$1:$C$736,"SSP Capital",Movimientos!$B$1:$B$736,"&lt;="&amp;$B60)</f>
        <v>1932389.7199999993</v>
      </c>
      <c r="H60" s="24">
        <f>SUMIFS('Saldos Iniciales'!$D:$D,'Saldos Iniciales'!$A:$A,"Cross Family Trust")+SUMIFS(Movimientos!$K$1:$K$736,Movimientos!$C$1:$C$736,"Cross Family Trust",Movimientos!$B$1:$B$736,"&lt;="&amp;$B60)</f>
        <v>1396496.38</v>
      </c>
      <c r="I60" s="24">
        <f>SUMIFS('Saldos Iniciales'!$D:$D,'Saldos Iniciales'!$A:$A,"Cross Security Trust")+SUMIFS(Movimientos!$K$1:$K$736,Movimientos!$C$1:$C$736,"Cross Security Trust",Movimientos!$B$1:$B$736,"&lt;="&amp;$B60)</f>
        <v>88090.37</v>
      </c>
      <c r="J60" s="24">
        <f>SUMIFS('Saldos Iniciales'!$D:$D,'Saldos Iniciales'!$A:$A,"Electrama")+SUMIFS(Movimientos!$K$1:$K$736,Movimientos!$C$1:$C$736,"Electrama",Movimientos!$B$1:$B$736,"&lt;="&amp;$B60)</f>
        <v>511.15999999999985</v>
      </c>
      <c r="K60" s="24">
        <f>SUMIFS('Saldos Iniciales'!$D:$D,'Saldos Iniciales'!$A:$A,"Sacred Valley Capital")+SUMIFS(Movimientos!$K$1:$K$736,Movimientos!$C$1:$C$736,"Sacred Valley Capital",Movimientos!$B$1:$B$736,"&lt;="&amp;$B60)</f>
        <v>84.35</v>
      </c>
      <c r="L60" s="24">
        <f>SUMIFS('Saldos Iniciales'!$D:$D,'Saldos Iniciales'!$A:$A,"YWC Capital")+SUMIFS(Movimientos!$K$1:$K$736,Movimientos!$C$1:$C$736,"YWC Capital",Movimientos!$B$1:$B$736,"&lt;="&amp;$B60)</f>
        <v>2237.77</v>
      </c>
      <c r="M60" s="24">
        <f>SUMIFS('Saldos Iniciales'!$D:$D,'Saldos Iniciales'!$A:$A,"Soweto")+SUMIFS(Movimientos!$K$1:$K$736,Movimientos!$C$1:$C$736,"Soweto",Movimientos!$B$1:$B$736,"&lt;="&amp;$B60)</f>
        <v>3349.94</v>
      </c>
      <c r="N60" s="24">
        <f>SUMIFS('Saldos Iniciales'!$D:$D,'Saldos Iniciales'!$A:$A,"Green Stone Trust")+SUMIFS(Movimientos!$K$1:$K$736,Movimientos!$C$1:$C$736,"Green Stone Trust",Movimientos!$B$1:$B$736,"&lt;="&amp;$B60)</f>
        <v>1968.99</v>
      </c>
      <c r="O60" s="24">
        <f>SUMIFS('Saldos Iniciales'!$D:$D,'Saldos Iniciales'!$A:$A,"EC Auto")+SUMIFS(Movimientos!$K$1:$K$736,Movimientos!$C$1:$C$736,"EC Auto",Movimientos!$B$1:$B$736,"&lt;="&amp;$B60)</f>
        <v>382.69000000000005</v>
      </c>
      <c r="P60" s="24">
        <f>SUMIFS('Saldos Iniciales'!$D:$D,'Saldos Iniciales'!$A:$A,"Arbor Capital Properties")+SUMIFS(Movimientos!$K$1:$K$736,Movimientos!$C$1:$C$736,"Arbor Capital Properties",Movimientos!$B$1:$B$736,"&lt;="&amp;$B60)</f>
        <v>1428.08</v>
      </c>
      <c r="Q60" s="24">
        <f>SUMIFS('Saldos Iniciales'!$D:$D,'Saldos Iniciales'!$A:$A,"2515 Overbrook")+SUMIFS(Movimientos!$K$1:$K$736,Movimientos!$C$1:$C$736,"2515 Overbrook",Movimientos!$B$1:$B$736,"&lt;="&amp;$B60)</f>
        <v>31039.969999999961</v>
      </c>
      <c r="R60" s="24">
        <f>SUMIFS('Saldos Iniciales'!$D:$D,'Saldos Iniciales'!$A:$A,"112 Florida Ave")+SUMIFS(Movimientos!$K$1:$K$736,Movimientos!$C$1:$C$736,"112 Florida Ave",Movimientos!$B$1:$B$736,"&lt;="&amp;$B60)</f>
        <v>20321.43</v>
      </c>
      <c r="S60" s="24">
        <f>SUMIFS('Saldos Iniciales'!$D:$D,'Saldos Iniciales'!$A:$A,"3628 Thomas Ave")+SUMIFS(Movimientos!$K$1:$K$736,Movimientos!$C$1:$C$736,"3628 Thomas Ave",Movimientos!$B$1:$B$736,"&lt;="&amp;$B60)</f>
        <v>28458.6</v>
      </c>
      <c r="T60" s="24">
        <f>SUMIFS('Saldos Iniciales'!$D:$D,'Saldos Iniciales'!$A:$A,"Green Harbor Trust")+SUMIFS(Movimientos!$K$1:$K$736,Movimientos!$C$1:$C$736,"Green Harbor Trust",Movimientos!$B$1:$B$736,"&lt;="&amp;$B60)</f>
        <v>345</v>
      </c>
      <c r="U60" s="24">
        <f>SUMIFS('Saldos Iniciales'!$D:$D,'Saldos Iniciales'!$A:$A,"Go Blue")+SUMIFS(Movimientos!$K$1:$K$736,Movimientos!$C$1:$C$736,"Go Blue",Movimientos!$B$1:$B$736,"&lt;="&amp;$B60)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Group")+SUMIFS(Movimientos!$K$1:$K$736,Movimientos!$C$1:$C$736,"CFT Group",Movimientos!$B$1:$B$736,"&lt;="&amp;$B61)</f>
        <v>6299174.8100000015</v>
      </c>
      <c r="D61" s="24">
        <f>SUMIFS('Saldos Iniciales'!$D:$D,'Saldos Iniciales'!$A:$A,"M1B")+SUMIFS(Movimientos!$K$1:$K$736,Movimientos!$C$1:$C$736,"M1B",Movimientos!$B$1:$B$736,"&lt;="&amp;$B61)</f>
        <v>72386.190000000177</v>
      </c>
      <c r="E61" s="24">
        <f>SUMIFS('Saldos Iniciales'!$D:$D,'Saldos Iniciales'!$A:$A,"Durand")+SUMIFS(Movimientos!$K$1:$K$736,Movimientos!$C$1:$C$736,"Durand",Movimientos!$B$1:$B$736,"&lt;="&amp;$B61)</f>
        <v>1669.89</v>
      </c>
      <c r="F61" s="24">
        <f>SUMIFS('Saldos Iniciales'!$D:$D,'Saldos Iniciales'!$A:$A,"A&amp;M Imports")+SUMIFS(Movimientos!$K$1:$K$736,Movimientos!$C$1:$C$736,"A&amp;M Imports",Movimientos!$B$1:$B$736,"&lt;="&amp;$B61)</f>
        <v>489745.62999999989</v>
      </c>
      <c r="G61" s="24">
        <f>SUMIFS('Saldos Iniciales'!$D:$D,'Saldos Iniciales'!$A:$A,"SSP Capital")+SUMIFS(Movimientos!$K$1:$K$736,Movimientos!$C$1:$C$736,"SSP Capital",Movimientos!$B$1:$B$736,"&lt;="&amp;$B61)</f>
        <v>1768167.9199999995</v>
      </c>
      <c r="H61" s="24">
        <f>SUMIFS('Saldos Iniciales'!$D:$D,'Saldos Iniciales'!$A:$A,"Cross Family Trust")+SUMIFS(Movimientos!$K$1:$K$736,Movimientos!$C$1:$C$736,"Cross Family Trust",Movimientos!$B$1:$B$736,"&lt;="&amp;$B61)</f>
        <v>396496.38</v>
      </c>
      <c r="I61" s="24">
        <f>SUMIFS('Saldos Iniciales'!$D:$D,'Saldos Iniciales'!$A:$A,"Cross Security Trust")+SUMIFS(Movimientos!$K$1:$K$736,Movimientos!$C$1:$C$736,"Cross Security Trust",Movimientos!$B$1:$B$736,"&lt;="&amp;$B61)</f>
        <v>88090.37</v>
      </c>
      <c r="J61" s="24">
        <f>SUMIFS('Saldos Iniciales'!$D:$D,'Saldos Iniciales'!$A:$A,"Electrama")+SUMIFS(Movimientos!$K$1:$K$736,Movimientos!$C$1:$C$736,"Electrama",Movimientos!$B$1:$B$736,"&lt;="&amp;$B61)</f>
        <v>511.15999999999985</v>
      </c>
      <c r="K61" s="24">
        <f>SUMIFS('Saldos Iniciales'!$D:$D,'Saldos Iniciales'!$A:$A,"Sacred Valley Capital")+SUMIFS(Movimientos!$K$1:$K$736,Movimientos!$C$1:$C$736,"Sacred Valley Capital",Movimientos!$B$1:$B$736,"&lt;="&amp;$B61)</f>
        <v>84.35</v>
      </c>
      <c r="L61" s="24">
        <f>SUMIFS('Saldos Iniciales'!$D:$D,'Saldos Iniciales'!$A:$A,"YWC Capital")+SUMIFS(Movimientos!$K$1:$K$736,Movimientos!$C$1:$C$736,"YWC Capital",Movimientos!$B$1:$B$736,"&lt;="&amp;$B61)</f>
        <v>2237.77</v>
      </c>
      <c r="M61" s="24">
        <f>SUMIFS('Saldos Iniciales'!$D:$D,'Saldos Iniciales'!$A:$A,"Soweto")+SUMIFS(Movimientos!$K$1:$K$736,Movimientos!$C$1:$C$736,"Soweto",Movimientos!$B$1:$B$736,"&lt;="&amp;$B61)</f>
        <v>3349.94</v>
      </c>
      <c r="N61" s="24">
        <f>SUMIFS('Saldos Iniciales'!$D:$D,'Saldos Iniciales'!$A:$A,"Green Stone Trust")+SUMIFS(Movimientos!$K$1:$K$736,Movimientos!$C$1:$C$736,"Green Stone Trust",Movimientos!$B$1:$B$736,"&lt;="&amp;$B61)</f>
        <v>1968.99</v>
      </c>
      <c r="O61" s="24">
        <f>SUMIFS('Saldos Iniciales'!$D:$D,'Saldos Iniciales'!$A:$A,"EC Auto")+SUMIFS(Movimientos!$K$1:$K$736,Movimientos!$C$1:$C$736,"EC Auto",Movimientos!$B$1:$B$736,"&lt;="&amp;$B61)</f>
        <v>382.69000000000005</v>
      </c>
      <c r="P61" s="24">
        <f>SUMIFS('Saldos Iniciales'!$D:$D,'Saldos Iniciales'!$A:$A,"Arbor Capital Properties")+SUMIFS(Movimientos!$K$1:$K$736,Movimientos!$C$1:$C$736,"Arbor Capital Properties",Movimientos!$B$1:$B$736,"&lt;="&amp;$B61)</f>
        <v>1428.08</v>
      </c>
      <c r="Q61" s="24">
        <f>SUMIFS('Saldos Iniciales'!$D:$D,'Saldos Iniciales'!$A:$A,"2515 Overbrook")+SUMIFS(Movimientos!$K$1:$K$736,Movimientos!$C$1:$C$736,"2515 Overbrook",Movimientos!$B$1:$B$736,"&lt;="&amp;$B61)</f>
        <v>31039.969999999961</v>
      </c>
      <c r="R61" s="24">
        <f>SUMIFS('Saldos Iniciales'!$D:$D,'Saldos Iniciales'!$A:$A,"112 Florida Ave")+SUMIFS(Movimientos!$K$1:$K$736,Movimientos!$C$1:$C$736,"112 Florida Ave",Movimientos!$B$1:$B$736,"&lt;="&amp;$B61)</f>
        <v>20321.43</v>
      </c>
      <c r="S61" s="24">
        <f>SUMIFS('Saldos Iniciales'!$D:$D,'Saldos Iniciales'!$A:$A,"3628 Thomas Ave")+SUMIFS(Movimientos!$K$1:$K$736,Movimientos!$C$1:$C$736,"3628 Thomas Ave",Movimientos!$B$1:$B$736,"&lt;="&amp;$B61)</f>
        <v>28458.6</v>
      </c>
      <c r="T61" s="24">
        <f>SUMIFS('Saldos Iniciales'!$D:$D,'Saldos Iniciales'!$A:$A,"Green Harbor Trust")+SUMIFS(Movimientos!$K$1:$K$736,Movimientos!$C$1:$C$736,"Green Harbor Trust",Movimientos!$B$1:$B$736,"&lt;="&amp;$B61)</f>
        <v>345</v>
      </c>
      <c r="U61" s="24">
        <f>SUMIFS('Saldos Iniciales'!$D:$D,'Saldos Iniciales'!$A:$A,"Go Blue")+SUMIFS(Movimientos!$K$1:$K$736,Movimientos!$C$1:$C$736,"Go Blue",Movimientos!$B$1:$B$736,"&lt;="&amp;$B61)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Group")+SUMIFS(Movimientos!$K$1:$K$736,Movimientos!$C$1:$C$736,"CFT Group",Movimientos!$B$1:$B$736,"&lt;="&amp;$B62)</f>
        <v>6295585.7500000009</v>
      </c>
      <c r="D62" s="24">
        <f>SUMIFS('Saldos Iniciales'!$D:$D,'Saldos Iniciales'!$A:$A,"M1B")+SUMIFS(Movimientos!$K$1:$K$736,Movimientos!$C$1:$C$736,"M1B",Movimientos!$B$1:$B$736,"&lt;="&amp;$B62)</f>
        <v>79139.680000000168</v>
      </c>
      <c r="E62" s="24">
        <f>SUMIFS('Saldos Iniciales'!$D:$D,'Saldos Iniciales'!$A:$A,"Durand")+SUMIFS(Movimientos!$K$1:$K$736,Movimientos!$C$1:$C$736,"Durand",Movimientos!$B$1:$B$736,"&lt;="&amp;$B62)</f>
        <v>1669.89</v>
      </c>
      <c r="F62" s="24">
        <f>SUMIFS('Saldos Iniciales'!$D:$D,'Saldos Iniciales'!$A:$A,"A&amp;M Imports")+SUMIFS(Movimientos!$K$1:$K$736,Movimientos!$C$1:$C$736,"A&amp;M Imports",Movimientos!$B$1:$B$736,"&lt;="&amp;$B62)</f>
        <v>489745.62999999989</v>
      </c>
      <c r="G62" s="24">
        <f>SUMIFS('Saldos Iniciales'!$D:$D,'Saldos Iniciales'!$A:$A,"SSP Capital")+SUMIFS(Movimientos!$K$1:$K$736,Movimientos!$C$1:$C$736,"SSP Capital",Movimientos!$B$1:$B$736,"&lt;="&amp;$B62)</f>
        <v>1696284.7299999995</v>
      </c>
      <c r="H62" s="24">
        <f>SUMIFS('Saldos Iniciales'!$D:$D,'Saldos Iniciales'!$A:$A,"Cross Family Trust")+SUMIFS(Movimientos!$K$1:$K$736,Movimientos!$C$1:$C$736,"Cross Family Trust",Movimientos!$B$1:$B$736,"&lt;="&amp;$B62)</f>
        <v>390496.38</v>
      </c>
      <c r="I62" s="24">
        <f>SUMIFS('Saldos Iniciales'!$D:$D,'Saldos Iniciales'!$A:$A,"Cross Security Trust")+SUMIFS(Movimientos!$K$1:$K$736,Movimientos!$C$1:$C$736,"Cross Security Trust",Movimientos!$B$1:$B$736,"&lt;="&amp;$B62)</f>
        <v>88090.37</v>
      </c>
      <c r="J62" s="24">
        <f>SUMIFS('Saldos Iniciales'!$D:$D,'Saldos Iniciales'!$A:$A,"Electrama")+SUMIFS(Movimientos!$K$1:$K$736,Movimientos!$C$1:$C$736,"Electrama",Movimientos!$B$1:$B$736,"&lt;="&amp;$B62)</f>
        <v>511.15999999999985</v>
      </c>
      <c r="K62" s="24">
        <f>SUMIFS('Saldos Iniciales'!$D:$D,'Saldos Iniciales'!$A:$A,"Sacred Valley Capital")+SUMIFS(Movimientos!$K$1:$K$736,Movimientos!$C$1:$C$736,"Sacred Valley Capital",Movimientos!$B$1:$B$736,"&lt;="&amp;$B62)</f>
        <v>84.35</v>
      </c>
      <c r="L62" s="24">
        <f>SUMIFS('Saldos Iniciales'!$D:$D,'Saldos Iniciales'!$A:$A,"YWC Capital")+SUMIFS(Movimientos!$K$1:$K$736,Movimientos!$C$1:$C$736,"YWC Capital",Movimientos!$B$1:$B$736,"&lt;="&amp;$B62)</f>
        <v>2237.77</v>
      </c>
      <c r="M62" s="24">
        <f>SUMIFS('Saldos Iniciales'!$D:$D,'Saldos Iniciales'!$A:$A,"Soweto")+SUMIFS(Movimientos!$K$1:$K$736,Movimientos!$C$1:$C$736,"Soweto",Movimientos!$B$1:$B$736,"&lt;="&amp;$B62)</f>
        <v>3349.94</v>
      </c>
      <c r="N62" s="24">
        <f>SUMIFS('Saldos Iniciales'!$D:$D,'Saldos Iniciales'!$A:$A,"Green Stone Trust")+SUMIFS(Movimientos!$K$1:$K$736,Movimientos!$C$1:$C$736,"Green Stone Trust",Movimientos!$B$1:$B$736,"&lt;="&amp;$B62)</f>
        <v>1968.99</v>
      </c>
      <c r="O62" s="24">
        <f>SUMIFS('Saldos Iniciales'!$D:$D,'Saldos Iniciales'!$A:$A,"EC Auto")+SUMIFS(Movimientos!$K$1:$K$736,Movimientos!$C$1:$C$736,"EC Auto",Movimientos!$B$1:$B$736,"&lt;="&amp;$B62)</f>
        <v>382.69000000000005</v>
      </c>
      <c r="P62" s="24">
        <f>SUMIFS('Saldos Iniciales'!$D:$D,'Saldos Iniciales'!$A:$A,"Arbor Capital Properties")+SUMIFS(Movimientos!$K$1:$K$736,Movimientos!$C$1:$C$736,"Arbor Capital Properties",Movimientos!$B$1:$B$736,"&lt;="&amp;$B62)</f>
        <v>1428.08</v>
      </c>
      <c r="Q62" s="24">
        <f>SUMIFS('Saldos Iniciales'!$D:$D,'Saldos Iniciales'!$A:$A,"2515 Overbrook")+SUMIFS(Movimientos!$K$1:$K$736,Movimientos!$C$1:$C$736,"2515 Overbrook",Movimientos!$B$1:$B$736,"&lt;="&amp;$B62)</f>
        <v>31039.969999999961</v>
      </c>
      <c r="R62" s="24">
        <f>SUMIFS('Saldos Iniciales'!$D:$D,'Saldos Iniciales'!$A:$A,"112 Florida Ave")+SUMIFS(Movimientos!$K$1:$K$736,Movimientos!$C$1:$C$736,"112 Florida Ave",Movimientos!$B$1:$B$736,"&lt;="&amp;$B62)</f>
        <v>20321.43</v>
      </c>
      <c r="S62" s="24">
        <f>SUMIFS('Saldos Iniciales'!$D:$D,'Saldos Iniciales'!$A:$A,"3628 Thomas Ave")+SUMIFS(Movimientos!$K$1:$K$736,Movimientos!$C$1:$C$736,"3628 Thomas Ave",Movimientos!$B$1:$B$736,"&lt;="&amp;$B62)</f>
        <v>28458.6</v>
      </c>
      <c r="T62" s="24">
        <f>SUMIFS('Saldos Iniciales'!$D:$D,'Saldos Iniciales'!$A:$A,"Green Harbor Trust")+SUMIFS(Movimientos!$K$1:$K$736,Movimientos!$C$1:$C$736,"Green Harbor Trust",Movimientos!$B$1:$B$736,"&lt;="&amp;$B62)</f>
        <v>345</v>
      </c>
      <c r="U62" s="24">
        <f>SUMIFS('Saldos Iniciales'!$D:$D,'Saldos Iniciales'!$A:$A,"Go Blue")+SUMIFS(Movimientos!$K$1:$K$736,Movimientos!$C$1:$C$736,"Go Blue",Movimientos!$B$1:$B$736,"&lt;="&amp;$B62)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Group")+SUMIFS(Movimientos!$K$1:$K$736,Movimientos!$C$1:$C$736,"CFT Group",Movimientos!$B$1:$B$736,"&lt;="&amp;$B63)</f>
        <v>6295585.7500000009</v>
      </c>
      <c r="D63" s="24">
        <f>SUMIFS('Saldos Iniciales'!$D:$D,'Saldos Iniciales'!$A:$A,"M1B")+SUMIFS(Movimientos!$K$1:$K$736,Movimientos!$C$1:$C$736,"M1B",Movimientos!$B$1:$B$736,"&lt;="&amp;$B63)</f>
        <v>79139.680000000168</v>
      </c>
      <c r="E63" s="24">
        <f>SUMIFS('Saldos Iniciales'!$D:$D,'Saldos Iniciales'!$A:$A,"Durand")+SUMIFS(Movimientos!$K$1:$K$736,Movimientos!$C$1:$C$736,"Durand",Movimientos!$B$1:$B$736,"&lt;="&amp;$B63)</f>
        <v>1669.89</v>
      </c>
      <c r="F63" s="24">
        <f>SUMIFS('Saldos Iniciales'!$D:$D,'Saldos Iniciales'!$A:$A,"A&amp;M Imports")+SUMIFS(Movimientos!$K$1:$K$736,Movimientos!$C$1:$C$736,"A&amp;M Imports",Movimientos!$B$1:$B$736,"&lt;="&amp;$B63)</f>
        <v>507936.37999999989</v>
      </c>
      <c r="G63" s="24">
        <f>SUMIFS('Saldos Iniciales'!$D:$D,'Saldos Iniciales'!$A:$A,"SSP Capital")+SUMIFS(Movimientos!$K$1:$K$736,Movimientos!$C$1:$C$736,"SSP Capital",Movimientos!$B$1:$B$736,"&lt;="&amp;$B63)</f>
        <v>1696284.7299999995</v>
      </c>
      <c r="H63" s="24">
        <f>SUMIFS('Saldos Iniciales'!$D:$D,'Saldos Iniciales'!$A:$A,"Cross Family Trust")+SUMIFS(Movimientos!$K$1:$K$736,Movimientos!$C$1:$C$736,"Cross Family Trust",Movimientos!$B$1:$B$736,"&lt;="&amp;$B63)</f>
        <v>390496.38</v>
      </c>
      <c r="I63" s="24">
        <f>SUMIFS('Saldos Iniciales'!$D:$D,'Saldos Iniciales'!$A:$A,"Cross Security Trust")+SUMIFS(Movimientos!$K$1:$K$736,Movimientos!$C$1:$C$736,"Cross Security Trust",Movimientos!$B$1:$B$736,"&lt;="&amp;$B63)</f>
        <v>88090.37</v>
      </c>
      <c r="J63" s="24">
        <f>SUMIFS('Saldos Iniciales'!$D:$D,'Saldos Iniciales'!$A:$A,"Electrama")+SUMIFS(Movimientos!$K$1:$K$736,Movimientos!$C$1:$C$736,"Electrama",Movimientos!$B$1:$B$736,"&lt;="&amp;$B63)</f>
        <v>511.15999999999985</v>
      </c>
      <c r="K63" s="24">
        <f>SUMIFS('Saldos Iniciales'!$D:$D,'Saldos Iniciales'!$A:$A,"Sacred Valley Capital")+SUMIFS(Movimientos!$K$1:$K$736,Movimientos!$C$1:$C$736,"Sacred Valley Capital",Movimientos!$B$1:$B$736,"&lt;="&amp;$B63)</f>
        <v>54.400000000000006</v>
      </c>
      <c r="L63" s="24">
        <f>SUMIFS('Saldos Iniciales'!$D:$D,'Saldos Iniciales'!$A:$A,"YWC Capital")+SUMIFS(Movimientos!$K$1:$K$736,Movimientos!$C$1:$C$736,"YWC Capital",Movimientos!$B$1:$B$736,"&lt;="&amp;$B63)</f>
        <v>2207.8200000000002</v>
      </c>
      <c r="M63" s="24">
        <f>SUMIFS('Saldos Iniciales'!$D:$D,'Saldos Iniciales'!$A:$A,"Soweto")+SUMIFS(Movimientos!$K$1:$K$736,Movimientos!$C$1:$C$736,"Soweto",Movimientos!$B$1:$B$736,"&lt;="&amp;$B63)</f>
        <v>3349.94</v>
      </c>
      <c r="N63" s="24">
        <f>SUMIFS('Saldos Iniciales'!$D:$D,'Saldos Iniciales'!$A:$A,"Green Stone Trust")+SUMIFS(Movimientos!$K$1:$K$736,Movimientos!$C$1:$C$736,"Green Stone Trust",Movimientos!$B$1:$B$736,"&lt;="&amp;$B63)</f>
        <v>1968.99</v>
      </c>
      <c r="O63" s="24">
        <f>SUMIFS('Saldos Iniciales'!$D:$D,'Saldos Iniciales'!$A:$A,"EC Auto")+SUMIFS(Movimientos!$K$1:$K$736,Movimientos!$C$1:$C$736,"EC Auto",Movimientos!$B$1:$B$736,"&lt;="&amp;$B63)</f>
        <v>382.69000000000005</v>
      </c>
      <c r="P63" s="24">
        <f>SUMIFS('Saldos Iniciales'!$D:$D,'Saldos Iniciales'!$A:$A,"Arbor Capital Properties")+SUMIFS(Movimientos!$K$1:$K$736,Movimientos!$C$1:$C$736,"Arbor Capital Properties",Movimientos!$B$1:$B$736,"&lt;="&amp;$B63)</f>
        <v>1412.08</v>
      </c>
      <c r="Q63" s="24">
        <f>SUMIFS('Saldos Iniciales'!$D:$D,'Saldos Iniciales'!$A:$A,"2515 Overbrook")+SUMIFS(Movimientos!$K$1:$K$736,Movimientos!$C$1:$C$736,"2515 Overbrook",Movimientos!$B$1:$B$736,"&lt;="&amp;$B63)</f>
        <v>22496.639999999959</v>
      </c>
      <c r="R63" s="24">
        <f>SUMIFS('Saldos Iniciales'!$D:$D,'Saldos Iniciales'!$A:$A,"112 Florida Ave")+SUMIFS(Movimientos!$K$1:$K$736,Movimientos!$C$1:$C$736,"112 Florida Ave",Movimientos!$B$1:$B$736,"&lt;="&amp;$B63)</f>
        <v>10522.800000000003</v>
      </c>
      <c r="S63" s="24">
        <f>SUMIFS('Saldos Iniciales'!$D:$D,'Saldos Iniciales'!$A:$A,"3628 Thomas Ave")+SUMIFS(Movimientos!$K$1:$K$736,Movimientos!$C$1:$C$736,"3628 Thomas Ave",Movimientos!$B$1:$B$736,"&lt;="&amp;$B63)</f>
        <v>19685.559999999998</v>
      </c>
      <c r="T63" s="24">
        <f>SUMIFS('Saldos Iniciales'!$D:$D,'Saldos Iniciales'!$A:$A,"Green Harbor Trust")+SUMIFS(Movimientos!$K$1:$K$736,Movimientos!$C$1:$C$736,"Green Harbor Trust",Movimientos!$B$1:$B$736,"&lt;="&amp;$B63)</f>
        <v>345</v>
      </c>
      <c r="U63" s="24">
        <f>SUMIFS('Saldos Iniciales'!$D:$D,'Saldos Iniciales'!$A:$A,"Go Blue")+SUMIFS(Movimientos!$K$1:$K$736,Movimientos!$C$1:$C$736,"Go Blue",Movimientos!$B$1:$B$736,"&lt;="&amp;$B63)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Group")+SUMIFS(Movimientos!$K$1:$K$736,Movimientos!$C$1:$C$736,"CFT Group",Movimientos!$B$1:$B$736,"&lt;="&amp;$B64)</f>
        <v>5592585.7500000009</v>
      </c>
      <c r="D64" s="24">
        <f>SUMIFS('Saldos Iniciales'!$D:$D,'Saldos Iniciales'!$A:$A,"M1B")+SUMIFS(Movimientos!$K$1:$K$736,Movimientos!$C$1:$C$736,"M1B",Movimientos!$B$1:$B$736,"&lt;="&amp;$B64)</f>
        <v>79139.680000000168</v>
      </c>
      <c r="E64" s="24">
        <f>SUMIFS('Saldos Iniciales'!$D:$D,'Saldos Iniciales'!$A:$A,"Durand")+SUMIFS(Movimientos!$K$1:$K$736,Movimientos!$C$1:$C$736,"Durand",Movimientos!$B$1:$B$736,"&lt;="&amp;$B64)</f>
        <v>1669.89</v>
      </c>
      <c r="F64" s="24">
        <f>SUMIFS('Saldos Iniciales'!$D:$D,'Saldos Iniciales'!$A:$A,"A&amp;M Imports")+SUMIFS(Movimientos!$K$1:$K$736,Movimientos!$C$1:$C$736,"A&amp;M Imports",Movimientos!$B$1:$B$736,"&lt;="&amp;$B64)</f>
        <v>350475.62999999989</v>
      </c>
      <c r="G64" s="24">
        <f>SUMIFS('Saldos Iniciales'!$D:$D,'Saldos Iniciales'!$A:$A,"SSP Capital")+SUMIFS(Movimientos!$K$1:$K$736,Movimientos!$C$1:$C$736,"SSP Capital",Movimientos!$B$1:$B$736,"&lt;="&amp;$B64)</f>
        <v>1761564.8799999994</v>
      </c>
      <c r="H64" s="24">
        <f>SUMIFS('Saldos Iniciales'!$D:$D,'Saldos Iniciales'!$A:$A,"Cross Family Trust")+SUMIFS(Movimientos!$K$1:$K$736,Movimientos!$C$1:$C$736,"Cross Family Trust",Movimientos!$B$1:$B$736,"&lt;="&amp;$B64)</f>
        <v>220496.38</v>
      </c>
      <c r="I64" s="24">
        <f>SUMIFS('Saldos Iniciales'!$D:$D,'Saldos Iniciales'!$A:$A,"Cross Security Trust")+SUMIFS(Movimientos!$K$1:$K$736,Movimientos!$C$1:$C$736,"Cross Security Trust",Movimientos!$B$1:$B$736,"&lt;="&amp;$B64)</f>
        <v>88090.37</v>
      </c>
      <c r="J64" s="24">
        <f>SUMIFS('Saldos Iniciales'!$D:$D,'Saldos Iniciales'!$A:$A,"Electrama")+SUMIFS(Movimientos!$K$1:$K$736,Movimientos!$C$1:$C$736,"Electrama",Movimientos!$B$1:$B$736,"&lt;="&amp;$B64)</f>
        <v>511.15999999999985</v>
      </c>
      <c r="K64" s="24">
        <f>SUMIFS('Saldos Iniciales'!$D:$D,'Saldos Iniciales'!$A:$A,"Sacred Valley Capital")+SUMIFS(Movimientos!$K$1:$K$736,Movimientos!$C$1:$C$736,"Sacred Valley Capital",Movimientos!$B$1:$B$736,"&lt;="&amp;$B64)</f>
        <v>54.400000000000006</v>
      </c>
      <c r="L64" s="24">
        <f>SUMIFS('Saldos Iniciales'!$D:$D,'Saldos Iniciales'!$A:$A,"YWC Capital")+SUMIFS(Movimientos!$K$1:$K$736,Movimientos!$C$1:$C$736,"YWC Capital",Movimientos!$B$1:$B$736,"&lt;="&amp;$B64)</f>
        <v>2207.8200000000002</v>
      </c>
      <c r="M64" s="24">
        <f>SUMIFS('Saldos Iniciales'!$D:$D,'Saldos Iniciales'!$A:$A,"Soweto")+SUMIFS(Movimientos!$K$1:$K$736,Movimientos!$C$1:$C$736,"Soweto",Movimientos!$B$1:$B$736,"&lt;="&amp;$B64)</f>
        <v>3349.94</v>
      </c>
      <c r="N64" s="24">
        <f>SUMIFS('Saldos Iniciales'!$D:$D,'Saldos Iniciales'!$A:$A,"Green Stone Trust")+SUMIFS(Movimientos!$K$1:$K$736,Movimientos!$C$1:$C$736,"Green Stone Trust",Movimientos!$B$1:$B$736,"&lt;="&amp;$B64)</f>
        <v>1968.99</v>
      </c>
      <c r="O64" s="24">
        <f>SUMIFS('Saldos Iniciales'!$D:$D,'Saldos Iniciales'!$A:$A,"EC Auto")+SUMIFS(Movimientos!$K$1:$K$736,Movimientos!$C$1:$C$736,"EC Auto",Movimientos!$B$1:$B$736,"&lt;="&amp;$B64)</f>
        <v>382.69000000000005</v>
      </c>
      <c r="P64" s="24">
        <f>SUMIFS('Saldos Iniciales'!$D:$D,'Saldos Iniciales'!$A:$A,"Arbor Capital Properties")+SUMIFS(Movimientos!$K$1:$K$736,Movimientos!$C$1:$C$736,"Arbor Capital Properties",Movimientos!$B$1:$B$736,"&lt;="&amp;$B64)</f>
        <v>1412.08</v>
      </c>
      <c r="Q64" s="24">
        <f>SUMIFS('Saldos Iniciales'!$D:$D,'Saldos Iniciales'!$A:$A,"2515 Overbrook")+SUMIFS(Movimientos!$K$1:$K$736,Movimientos!$C$1:$C$736,"2515 Overbrook",Movimientos!$B$1:$B$736,"&lt;="&amp;$B64)</f>
        <v>22496.639999999959</v>
      </c>
      <c r="R64" s="24">
        <f>SUMIFS('Saldos Iniciales'!$D:$D,'Saldos Iniciales'!$A:$A,"112 Florida Ave")+SUMIFS(Movimientos!$K$1:$K$736,Movimientos!$C$1:$C$736,"112 Florida Ave",Movimientos!$B$1:$B$736,"&lt;="&amp;$B64)</f>
        <v>10522.800000000003</v>
      </c>
      <c r="S64" s="24">
        <f>SUMIFS('Saldos Iniciales'!$D:$D,'Saldos Iniciales'!$A:$A,"3628 Thomas Ave")+SUMIFS(Movimientos!$K$1:$K$736,Movimientos!$C$1:$C$736,"3628 Thomas Ave",Movimientos!$B$1:$B$736,"&lt;="&amp;$B64)</f>
        <v>24085.559999999998</v>
      </c>
      <c r="T64" s="24">
        <f>SUMIFS('Saldos Iniciales'!$D:$D,'Saldos Iniciales'!$A:$A,"Green Harbor Trust")+SUMIFS(Movimientos!$K$1:$K$736,Movimientos!$C$1:$C$736,"Green Harbor Trust",Movimientos!$B$1:$B$736,"&lt;="&amp;$B64)</f>
        <v>345</v>
      </c>
      <c r="U64" s="24">
        <f>SUMIFS('Saldos Iniciales'!$D:$D,'Saldos Iniciales'!$A:$A,"Go Blue")+SUMIFS(Movimientos!$K$1:$K$736,Movimientos!$C$1:$C$736,"Go Blue",Movimientos!$B$1:$B$736,"&lt;="&amp;$B64)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Group")+SUMIFS(Movimientos!$K$1:$K$736,Movimientos!$C$1:$C$736,"CFT Group",Movimientos!$B$1:$B$736,"&lt;="&amp;$B65)</f>
        <v>5592585.7500000009</v>
      </c>
      <c r="D65" s="24">
        <f>SUMIFS('Saldos Iniciales'!$D:$D,'Saldos Iniciales'!$A:$A,"M1B")+SUMIFS(Movimientos!$K$1:$K$736,Movimientos!$C$1:$C$736,"M1B",Movimientos!$B$1:$B$736,"&lt;="&amp;$B65)</f>
        <v>79139.680000000168</v>
      </c>
      <c r="E65" s="24">
        <f>SUMIFS('Saldos Iniciales'!$D:$D,'Saldos Iniciales'!$A:$A,"Durand")+SUMIFS(Movimientos!$K$1:$K$736,Movimientos!$C$1:$C$736,"Durand",Movimientos!$B$1:$B$736,"&lt;="&amp;$B65)</f>
        <v>1669.89</v>
      </c>
      <c r="F65" s="24">
        <f>SUMIFS('Saldos Iniciales'!$D:$D,'Saldos Iniciales'!$A:$A,"A&amp;M Imports")+SUMIFS(Movimientos!$K$1:$K$736,Movimientos!$C$1:$C$736,"A&amp;M Imports",Movimientos!$B$1:$B$736,"&lt;="&amp;$B65)</f>
        <v>350475.62999999989</v>
      </c>
      <c r="G65" s="24">
        <f>SUMIFS('Saldos Iniciales'!$D:$D,'Saldos Iniciales'!$A:$A,"SSP Capital")+SUMIFS(Movimientos!$K$1:$K$736,Movimientos!$C$1:$C$736,"SSP Capital",Movimientos!$B$1:$B$736,"&lt;="&amp;$B65)</f>
        <v>1761564.8799999994</v>
      </c>
      <c r="H65" s="24">
        <f>SUMIFS('Saldos Iniciales'!$D:$D,'Saldos Iniciales'!$A:$A,"Cross Family Trust")+SUMIFS(Movimientos!$K$1:$K$736,Movimientos!$C$1:$C$736,"Cross Family Trust",Movimientos!$B$1:$B$736,"&lt;="&amp;$B65)</f>
        <v>220496.38</v>
      </c>
      <c r="I65" s="24">
        <f>SUMIFS('Saldos Iniciales'!$D:$D,'Saldos Iniciales'!$A:$A,"Cross Security Trust")+SUMIFS(Movimientos!$K$1:$K$736,Movimientos!$C$1:$C$736,"Cross Security Trust",Movimientos!$B$1:$B$736,"&lt;="&amp;$B65)</f>
        <v>88090.37</v>
      </c>
      <c r="J65" s="24">
        <f>SUMIFS('Saldos Iniciales'!$D:$D,'Saldos Iniciales'!$A:$A,"Electrama")+SUMIFS(Movimientos!$K$1:$K$736,Movimientos!$C$1:$C$736,"Electrama",Movimientos!$B$1:$B$736,"&lt;="&amp;$B65)</f>
        <v>471.15999999999985</v>
      </c>
      <c r="K65" s="24">
        <f>SUMIFS('Saldos Iniciales'!$D:$D,'Saldos Iniciales'!$A:$A,"Sacred Valley Capital")+SUMIFS(Movimientos!$K$1:$K$736,Movimientos!$C$1:$C$736,"Sacred Valley Capital",Movimientos!$B$1:$B$736,"&lt;="&amp;$B65)</f>
        <v>54.400000000000006</v>
      </c>
      <c r="L65" s="24">
        <f>SUMIFS('Saldos Iniciales'!$D:$D,'Saldos Iniciales'!$A:$A,"YWC Capital")+SUMIFS(Movimientos!$K$1:$K$736,Movimientos!$C$1:$C$736,"YWC Capital",Movimientos!$B$1:$B$736,"&lt;="&amp;$B65)</f>
        <v>2207.8200000000002</v>
      </c>
      <c r="M65" s="24">
        <f>SUMIFS('Saldos Iniciales'!$D:$D,'Saldos Iniciales'!$A:$A,"Soweto")+SUMIFS(Movimientos!$K$1:$K$736,Movimientos!$C$1:$C$736,"Soweto",Movimientos!$B$1:$B$736,"&lt;="&amp;$B65)</f>
        <v>3349.94</v>
      </c>
      <c r="N65" s="24">
        <f>SUMIFS('Saldos Iniciales'!$D:$D,'Saldos Iniciales'!$A:$A,"Green Stone Trust")+SUMIFS(Movimientos!$K$1:$K$736,Movimientos!$C$1:$C$736,"Green Stone Trust",Movimientos!$B$1:$B$736,"&lt;="&amp;$B65)</f>
        <v>1968.99</v>
      </c>
      <c r="O65" s="24">
        <f>SUMIFS('Saldos Iniciales'!$D:$D,'Saldos Iniciales'!$A:$A,"EC Auto")+SUMIFS(Movimientos!$K$1:$K$736,Movimientos!$C$1:$C$736,"EC Auto",Movimientos!$B$1:$B$736,"&lt;="&amp;$B65)</f>
        <v>382.69000000000005</v>
      </c>
      <c r="P65" s="24">
        <f>SUMIFS('Saldos Iniciales'!$D:$D,'Saldos Iniciales'!$A:$A,"Arbor Capital Properties")+SUMIFS(Movimientos!$K$1:$K$736,Movimientos!$C$1:$C$736,"Arbor Capital Properties",Movimientos!$B$1:$B$736,"&lt;="&amp;$B65)</f>
        <v>1412.08</v>
      </c>
      <c r="Q65" s="24">
        <f>SUMIFS('Saldos Iniciales'!$D:$D,'Saldos Iniciales'!$A:$A,"2515 Overbrook")+SUMIFS(Movimientos!$K$1:$K$736,Movimientos!$C$1:$C$736,"2515 Overbrook",Movimientos!$B$1:$B$736,"&lt;="&amp;$B65)</f>
        <v>22496.639999999959</v>
      </c>
      <c r="R65" s="24">
        <f>SUMIFS('Saldos Iniciales'!$D:$D,'Saldos Iniciales'!$A:$A,"112 Florida Ave")+SUMIFS(Movimientos!$K$1:$K$736,Movimientos!$C$1:$C$736,"112 Florida Ave",Movimientos!$B$1:$B$736,"&lt;="&amp;$B65)</f>
        <v>10522.800000000003</v>
      </c>
      <c r="S65" s="24">
        <f>SUMIFS('Saldos Iniciales'!$D:$D,'Saldos Iniciales'!$A:$A,"3628 Thomas Ave")+SUMIFS(Movimientos!$K$1:$K$736,Movimientos!$C$1:$C$736,"3628 Thomas Ave",Movimientos!$B$1:$B$736,"&lt;="&amp;$B65)</f>
        <v>24085.559999999998</v>
      </c>
      <c r="T65" s="24">
        <f>SUMIFS('Saldos Iniciales'!$D:$D,'Saldos Iniciales'!$A:$A,"Green Harbor Trust")+SUMIFS(Movimientos!$K$1:$K$736,Movimientos!$C$1:$C$736,"Green Harbor Trust",Movimientos!$B$1:$B$736,"&lt;="&amp;$B65)</f>
        <v>345</v>
      </c>
      <c r="U65" s="24">
        <f>SUMIFS('Saldos Iniciales'!$D:$D,'Saldos Iniciales'!$A:$A,"Go Blue")+SUMIFS(Movimientos!$K$1:$K$736,Movimientos!$C$1:$C$736,"Go Blue",Movimientos!$B$1:$B$736,"&lt;="&amp;$B65)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Group")+SUMIFS(Movimientos!$K$1:$K$736,Movimientos!$C$1:$C$736,"CFT Group",Movimientos!$B$1:$B$736,"&lt;="&amp;$B66)</f>
        <v>5592585.7500000009</v>
      </c>
      <c r="D66" s="24">
        <f>SUMIFS('Saldos Iniciales'!$D:$D,'Saldos Iniciales'!$A:$A,"M1B")+SUMIFS(Movimientos!$K$1:$K$736,Movimientos!$C$1:$C$736,"M1B",Movimientos!$B$1:$B$736,"&lt;="&amp;$B66)</f>
        <v>79139.680000000168</v>
      </c>
      <c r="E66" s="24">
        <f>SUMIFS('Saldos Iniciales'!$D:$D,'Saldos Iniciales'!$A:$A,"Durand")+SUMIFS(Movimientos!$K$1:$K$736,Movimientos!$C$1:$C$736,"Durand",Movimientos!$B$1:$B$736,"&lt;="&amp;$B66)</f>
        <v>1669.89</v>
      </c>
      <c r="F66" s="24">
        <f>SUMIFS('Saldos Iniciales'!$D:$D,'Saldos Iniciales'!$A:$A,"A&amp;M Imports")+SUMIFS(Movimientos!$K$1:$K$736,Movimientos!$C$1:$C$736,"A&amp;M Imports",Movimientos!$B$1:$B$736,"&lt;="&amp;$B66)</f>
        <v>350475.62999999989</v>
      </c>
      <c r="G66" s="24">
        <f>SUMIFS('Saldos Iniciales'!$D:$D,'Saldos Iniciales'!$A:$A,"SSP Capital")+SUMIFS(Movimientos!$K$1:$K$736,Movimientos!$C$1:$C$736,"SSP Capital",Movimientos!$B$1:$B$736,"&lt;="&amp;$B66)</f>
        <v>1761564.8799999994</v>
      </c>
      <c r="H66" s="24">
        <f>SUMIFS('Saldos Iniciales'!$D:$D,'Saldos Iniciales'!$A:$A,"Cross Family Trust")+SUMIFS(Movimientos!$K$1:$K$736,Movimientos!$C$1:$C$736,"Cross Family Trust",Movimientos!$B$1:$B$736,"&lt;="&amp;$B66)</f>
        <v>220496.38</v>
      </c>
      <c r="I66" s="24">
        <f>SUMIFS('Saldos Iniciales'!$D:$D,'Saldos Iniciales'!$A:$A,"Cross Security Trust")+SUMIFS(Movimientos!$K$1:$K$736,Movimientos!$C$1:$C$736,"Cross Security Trust",Movimientos!$B$1:$B$736,"&lt;="&amp;$B66)</f>
        <v>88090.37</v>
      </c>
      <c r="J66" s="24">
        <f>SUMIFS('Saldos Iniciales'!$D:$D,'Saldos Iniciales'!$A:$A,"Electrama")+SUMIFS(Movimientos!$K$1:$K$736,Movimientos!$C$1:$C$736,"Electrama",Movimientos!$B$1:$B$736,"&lt;="&amp;$B66)</f>
        <v>471.15999999999985</v>
      </c>
      <c r="K66" s="24">
        <f>SUMIFS('Saldos Iniciales'!$D:$D,'Saldos Iniciales'!$A:$A,"Sacred Valley Capital")+SUMIFS(Movimientos!$K$1:$K$736,Movimientos!$C$1:$C$736,"Sacred Valley Capital",Movimientos!$B$1:$B$736,"&lt;="&amp;$B66)</f>
        <v>54.400000000000006</v>
      </c>
      <c r="L66" s="24">
        <f>SUMIFS('Saldos Iniciales'!$D:$D,'Saldos Iniciales'!$A:$A,"YWC Capital")+SUMIFS(Movimientos!$K$1:$K$736,Movimientos!$C$1:$C$736,"YWC Capital",Movimientos!$B$1:$B$736,"&lt;="&amp;$B66)</f>
        <v>2207.8200000000002</v>
      </c>
      <c r="M66" s="24">
        <f>SUMIFS('Saldos Iniciales'!$D:$D,'Saldos Iniciales'!$A:$A,"Soweto")+SUMIFS(Movimientos!$K$1:$K$736,Movimientos!$C$1:$C$736,"Soweto",Movimientos!$B$1:$B$736,"&lt;="&amp;$B66)</f>
        <v>3349.94</v>
      </c>
      <c r="N66" s="24">
        <f>SUMIFS('Saldos Iniciales'!$D:$D,'Saldos Iniciales'!$A:$A,"Green Stone Trust")+SUMIFS(Movimientos!$K$1:$K$736,Movimientos!$C$1:$C$736,"Green Stone Trust",Movimientos!$B$1:$B$736,"&lt;="&amp;$B66)</f>
        <v>1968.99</v>
      </c>
      <c r="O66" s="24">
        <f>SUMIFS('Saldos Iniciales'!$D:$D,'Saldos Iniciales'!$A:$A,"EC Auto")+SUMIFS(Movimientos!$K$1:$K$736,Movimientos!$C$1:$C$736,"EC Auto",Movimientos!$B$1:$B$736,"&lt;="&amp;$B66)</f>
        <v>382.69000000000005</v>
      </c>
      <c r="P66" s="24">
        <f>SUMIFS('Saldos Iniciales'!$D:$D,'Saldos Iniciales'!$A:$A,"Arbor Capital Properties")+SUMIFS(Movimientos!$K$1:$K$736,Movimientos!$C$1:$C$736,"Arbor Capital Properties",Movimientos!$B$1:$B$736,"&lt;="&amp;$B66)</f>
        <v>1412.08</v>
      </c>
      <c r="Q66" s="24">
        <f>SUMIFS('Saldos Iniciales'!$D:$D,'Saldos Iniciales'!$A:$A,"2515 Overbrook")+SUMIFS(Movimientos!$K$1:$K$736,Movimientos!$C$1:$C$736,"2515 Overbrook",Movimientos!$B$1:$B$736,"&lt;="&amp;$B66)</f>
        <v>22496.639999999959</v>
      </c>
      <c r="R66" s="24">
        <f>SUMIFS('Saldos Iniciales'!$D:$D,'Saldos Iniciales'!$A:$A,"112 Florida Ave")+SUMIFS(Movimientos!$K$1:$K$736,Movimientos!$C$1:$C$736,"112 Florida Ave",Movimientos!$B$1:$B$736,"&lt;="&amp;$B66)</f>
        <v>10522.800000000003</v>
      </c>
      <c r="S66" s="24">
        <f>SUMIFS('Saldos Iniciales'!$D:$D,'Saldos Iniciales'!$A:$A,"3628 Thomas Ave")+SUMIFS(Movimientos!$K$1:$K$736,Movimientos!$C$1:$C$736,"3628 Thomas Ave",Movimientos!$B$1:$B$736,"&lt;="&amp;$B66)</f>
        <v>24085.559999999998</v>
      </c>
      <c r="T66" s="24">
        <f>SUMIFS('Saldos Iniciales'!$D:$D,'Saldos Iniciales'!$A:$A,"Green Harbor Trust")+SUMIFS(Movimientos!$K$1:$K$736,Movimientos!$C$1:$C$736,"Green Harbor Trust",Movimientos!$B$1:$B$736,"&lt;="&amp;$B66)</f>
        <v>345</v>
      </c>
      <c r="U66" s="24">
        <f>SUMIFS('Saldos Iniciales'!$D:$D,'Saldos Iniciales'!$A:$A,"Go Blue")+SUMIFS(Movimientos!$K$1:$K$736,Movimientos!$C$1:$C$736,"Go Blue",Movimientos!$B$1:$B$736,"&lt;="&amp;$B66)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Group")+SUMIFS(Movimientos!$K$1:$K$736,Movimientos!$C$1:$C$736,"CFT Group",Movimientos!$B$1:$B$736,"&lt;="&amp;$B67)</f>
        <v>5592585.7500000009</v>
      </c>
      <c r="D67" s="24">
        <f>SUMIFS('Saldos Iniciales'!$D:$D,'Saldos Iniciales'!$A:$A,"M1B")+SUMIFS(Movimientos!$K$1:$K$736,Movimientos!$C$1:$C$736,"M1B",Movimientos!$B$1:$B$736,"&lt;="&amp;$B67)</f>
        <v>79139.680000000168</v>
      </c>
      <c r="E67" s="24">
        <f>SUMIFS('Saldos Iniciales'!$D:$D,'Saldos Iniciales'!$A:$A,"Durand")+SUMIFS(Movimientos!$K$1:$K$736,Movimientos!$C$1:$C$736,"Durand",Movimientos!$B$1:$B$736,"&lt;="&amp;$B67)</f>
        <v>1669.89</v>
      </c>
      <c r="F67" s="24">
        <f>SUMIFS('Saldos Iniciales'!$D:$D,'Saldos Iniciales'!$A:$A,"A&amp;M Imports")+SUMIFS(Movimientos!$K$1:$K$736,Movimientos!$C$1:$C$736,"A&amp;M Imports",Movimientos!$B$1:$B$736,"&lt;="&amp;$B67)</f>
        <v>350475.62999999989</v>
      </c>
      <c r="G67" s="24">
        <f>SUMIFS('Saldos Iniciales'!$D:$D,'Saldos Iniciales'!$A:$A,"SSP Capital")+SUMIFS(Movimientos!$K$1:$K$736,Movimientos!$C$1:$C$736,"SSP Capital",Movimientos!$B$1:$B$736,"&lt;="&amp;$B67)</f>
        <v>1761564.8799999994</v>
      </c>
      <c r="H67" s="24">
        <f>SUMIFS('Saldos Iniciales'!$D:$D,'Saldos Iniciales'!$A:$A,"Cross Family Trust")+SUMIFS(Movimientos!$K$1:$K$736,Movimientos!$C$1:$C$736,"Cross Family Trust",Movimientos!$B$1:$B$736,"&lt;="&amp;$B67)</f>
        <v>220496.38</v>
      </c>
      <c r="I67" s="24">
        <f>SUMIFS('Saldos Iniciales'!$D:$D,'Saldos Iniciales'!$A:$A,"Cross Security Trust")+SUMIFS(Movimientos!$K$1:$K$736,Movimientos!$C$1:$C$736,"Cross Security Trust",Movimientos!$B$1:$B$736,"&lt;="&amp;$B67)</f>
        <v>88090.37</v>
      </c>
      <c r="J67" s="24">
        <f>SUMIFS('Saldos Iniciales'!$D:$D,'Saldos Iniciales'!$A:$A,"Electrama")+SUMIFS(Movimientos!$K$1:$K$736,Movimientos!$C$1:$C$736,"Electrama",Movimientos!$B$1:$B$736,"&lt;="&amp;$B67)</f>
        <v>471.15999999999985</v>
      </c>
      <c r="K67" s="24">
        <f>SUMIFS('Saldos Iniciales'!$D:$D,'Saldos Iniciales'!$A:$A,"Sacred Valley Capital")+SUMIFS(Movimientos!$K$1:$K$736,Movimientos!$C$1:$C$736,"Sacred Valley Capital",Movimientos!$B$1:$B$736,"&lt;="&amp;$B67)</f>
        <v>54.400000000000006</v>
      </c>
      <c r="L67" s="24">
        <f>SUMIFS('Saldos Iniciales'!$D:$D,'Saldos Iniciales'!$A:$A,"YWC Capital")+SUMIFS(Movimientos!$K$1:$K$736,Movimientos!$C$1:$C$736,"YWC Capital",Movimientos!$B$1:$B$736,"&lt;="&amp;$B67)</f>
        <v>2207.8200000000002</v>
      </c>
      <c r="M67" s="24">
        <f>SUMIFS('Saldos Iniciales'!$D:$D,'Saldos Iniciales'!$A:$A,"Soweto")+SUMIFS(Movimientos!$K$1:$K$736,Movimientos!$C$1:$C$736,"Soweto",Movimientos!$B$1:$B$736,"&lt;="&amp;$B67)</f>
        <v>3349.94</v>
      </c>
      <c r="N67" s="24">
        <f>SUMIFS('Saldos Iniciales'!$D:$D,'Saldos Iniciales'!$A:$A,"Green Stone Trust")+SUMIFS(Movimientos!$K$1:$K$736,Movimientos!$C$1:$C$736,"Green Stone Trust",Movimientos!$B$1:$B$736,"&lt;="&amp;$B67)</f>
        <v>1968.99</v>
      </c>
      <c r="O67" s="24">
        <f>SUMIFS('Saldos Iniciales'!$D:$D,'Saldos Iniciales'!$A:$A,"EC Auto")+SUMIFS(Movimientos!$K$1:$K$736,Movimientos!$C$1:$C$736,"EC Auto",Movimientos!$B$1:$B$736,"&lt;="&amp;$B67)</f>
        <v>382.69000000000005</v>
      </c>
      <c r="P67" s="24">
        <f>SUMIFS('Saldos Iniciales'!$D:$D,'Saldos Iniciales'!$A:$A,"Arbor Capital Properties")+SUMIFS(Movimientos!$K$1:$K$736,Movimientos!$C$1:$C$736,"Arbor Capital Properties",Movimientos!$B$1:$B$736,"&lt;="&amp;$B67)</f>
        <v>1412.08</v>
      </c>
      <c r="Q67" s="24">
        <f>SUMIFS('Saldos Iniciales'!$D:$D,'Saldos Iniciales'!$A:$A,"2515 Overbrook")+SUMIFS(Movimientos!$K$1:$K$736,Movimientos!$C$1:$C$736,"2515 Overbrook",Movimientos!$B$1:$B$736,"&lt;="&amp;$B67)</f>
        <v>22496.639999999959</v>
      </c>
      <c r="R67" s="24">
        <f>SUMIFS('Saldos Iniciales'!$D:$D,'Saldos Iniciales'!$A:$A,"112 Florida Ave")+SUMIFS(Movimientos!$K$1:$K$736,Movimientos!$C$1:$C$736,"112 Florida Ave",Movimientos!$B$1:$B$736,"&lt;="&amp;$B67)</f>
        <v>10522.800000000003</v>
      </c>
      <c r="S67" s="24">
        <f>SUMIFS('Saldos Iniciales'!$D:$D,'Saldos Iniciales'!$A:$A,"3628 Thomas Ave")+SUMIFS(Movimientos!$K$1:$K$736,Movimientos!$C$1:$C$736,"3628 Thomas Ave",Movimientos!$B$1:$B$736,"&lt;="&amp;$B67)</f>
        <v>24085.559999999998</v>
      </c>
      <c r="T67" s="24">
        <f>SUMIFS('Saldos Iniciales'!$D:$D,'Saldos Iniciales'!$A:$A,"Green Harbor Trust")+SUMIFS(Movimientos!$K$1:$K$736,Movimientos!$C$1:$C$736,"Green Harbor Trust",Movimientos!$B$1:$B$736,"&lt;="&amp;$B67)</f>
        <v>345</v>
      </c>
      <c r="U67" s="24">
        <f>SUMIFS('Saldos Iniciales'!$D:$D,'Saldos Iniciales'!$A:$A,"Go Blue")+SUMIFS(Movimientos!$K$1:$K$736,Movimientos!$C$1:$C$736,"Go Blue",Movimientos!$B$1:$B$736,"&lt;="&amp;$B67)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Group")+SUMIFS(Movimientos!$K$1:$K$736,Movimientos!$C$1:$C$736,"CFT Group",Movimientos!$B$1:$B$736,"&lt;="&amp;$B68)</f>
        <v>5592585.7500000009</v>
      </c>
      <c r="D68" s="24">
        <f>SUMIFS('Saldos Iniciales'!$D:$D,'Saldos Iniciales'!$A:$A,"M1B")+SUMIFS(Movimientos!$K$1:$K$736,Movimientos!$C$1:$C$736,"M1B",Movimientos!$B$1:$B$736,"&lt;="&amp;$B68)</f>
        <v>79139.680000000168</v>
      </c>
      <c r="E68" s="24">
        <f>SUMIFS('Saldos Iniciales'!$D:$D,'Saldos Iniciales'!$A:$A,"Durand")+SUMIFS(Movimientos!$K$1:$K$736,Movimientos!$C$1:$C$736,"Durand",Movimientos!$B$1:$B$736,"&lt;="&amp;$B68)</f>
        <v>1669.89</v>
      </c>
      <c r="F68" s="24">
        <f>SUMIFS('Saldos Iniciales'!$D:$D,'Saldos Iniciales'!$A:$A,"A&amp;M Imports")+SUMIFS(Movimientos!$K$1:$K$736,Movimientos!$C$1:$C$736,"A&amp;M Imports",Movimientos!$B$1:$B$736,"&lt;="&amp;$B68)</f>
        <v>350475.62999999989</v>
      </c>
      <c r="G68" s="24">
        <f>SUMIFS('Saldos Iniciales'!$D:$D,'Saldos Iniciales'!$A:$A,"SSP Capital")+SUMIFS(Movimientos!$K$1:$K$736,Movimientos!$C$1:$C$736,"SSP Capital",Movimientos!$B$1:$B$736,"&lt;="&amp;$B68)</f>
        <v>1761026.4599999995</v>
      </c>
      <c r="H68" s="24">
        <f>SUMIFS('Saldos Iniciales'!$D:$D,'Saldos Iniciales'!$A:$A,"Cross Family Trust")+SUMIFS(Movimientos!$K$1:$K$736,Movimientos!$C$1:$C$736,"Cross Family Trust",Movimientos!$B$1:$B$736,"&lt;="&amp;$B68)</f>
        <v>220496.38</v>
      </c>
      <c r="I68" s="24">
        <f>SUMIFS('Saldos Iniciales'!$D:$D,'Saldos Iniciales'!$A:$A,"Cross Security Trust")+SUMIFS(Movimientos!$K$1:$K$736,Movimientos!$C$1:$C$736,"Cross Security Trust",Movimientos!$B$1:$B$736,"&lt;="&amp;$B68)</f>
        <v>88090.37</v>
      </c>
      <c r="J68" s="24">
        <f>SUMIFS('Saldos Iniciales'!$D:$D,'Saldos Iniciales'!$A:$A,"Electrama")+SUMIFS(Movimientos!$K$1:$K$736,Movimientos!$C$1:$C$736,"Electrama",Movimientos!$B$1:$B$736,"&lt;="&amp;$B68)</f>
        <v>471.15999999999985</v>
      </c>
      <c r="K68" s="24">
        <f>SUMIFS('Saldos Iniciales'!$D:$D,'Saldos Iniciales'!$A:$A,"Sacred Valley Capital")+SUMIFS(Movimientos!$K$1:$K$736,Movimientos!$C$1:$C$736,"Sacred Valley Capital",Movimientos!$B$1:$B$736,"&lt;="&amp;$B68)</f>
        <v>54.400000000000006</v>
      </c>
      <c r="L68" s="24">
        <f>SUMIFS('Saldos Iniciales'!$D:$D,'Saldos Iniciales'!$A:$A,"YWC Capital")+SUMIFS(Movimientos!$K$1:$K$736,Movimientos!$C$1:$C$736,"YWC Capital",Movimientos!$B$1:$B$736,"&lt;="&amp;$B68)</f>
        <v>2207.8200000000002</v>
      </c>
      <c r="M68" s="24">
        <f>SUMIFS('Saldos Iniciales'!$D:$D,'Saldos Iniciales'!$A:$A,"Soweto")+SUMIFS(Movimientos!$K$1:$K$736,Movimientos!$C$1:$C$736,"Soweto",Movimientos!$B$1:$B$736,"&lt;="&amp;$B68)</f>
        <v>3349.94</v>
      </c>
      <c r="N68" s="24">
        <f>SUMIFS('Saldos Iniciales'!$D:$D,'Saldos Iniciales'!$A:$A,"Green Stone Trust")+SUMIFS(Movimientos!$K$1:$K$736,Movimientos!$C$1:$C$736,"Green Stone Trust",Movimientos!$B$1:$B$736,"&lt;="&amp;$B68)</f>
        <v>1968.99</v>
      </c>
      <c r="O68" s="24">
        <f>SUMIFS('Saldos Iniciales'!$D:$D,'Saldos Iniciales'!$A:$A,"EC Auto")+SUMIFS(Movimientos!$K$1:$K$736,Movimientos!$C$1:$C$736,"EC Auto",Movimientos!$B$1:$B$736,"&lt;="&amp;$B68)</f>
        <v>382.69000000000005</v>
      </c>
      <c r="P68" s="24">
        <f>SUMIFS('Saldos Iniciales'!$D:$D,'Saldos Iniciales'!$A:$A,"Arbor Capital Properties")+SUMIFS(Movimientos!$K$1:$K$736,Movimientos!$C$1:$C$736,"Arbor Capital Properties",Movimientos!$B$1:$B$736,"&lt;="&amp;$B68)</f>
        <v>1412.08</v>
      </c>
      <c r="Q68" s="24">
        <f>SUMIFS('Saldos Iniciales'!$D:$D,'Saldos Iniciales'!$A:$A,"2515 Overbrook")+SUMIFS(Movimientos!$K$1:$K$736,Movimientos!$C$1:$C$736,"2515 Overbrook",Movimientos!$B$1:$B$736,"&lt;="&amp;$B68)</f>
        <v>22496.639999999959</v>
      </c>
      <c r="R68" s="24">
        <f>SUMIFS('Saldos Iniciales'!$D:$D,'Saldos Iniciales'!$A:$A,"112 Florida Ave")+SUMIFS(Movimientos!$K$1:$K$736,Movimientos!$C$1:$C$736,"112 Florida Ave",Movimientos!$B$1:$B$736,"&lt;="&amp;$B68)</f>
        <v>10522.800000000003</v>
      </c>
      <c r="S68" s="24">
        <f>SUMIFS('Saldos Iniciales'!$D:$D,'Saldos Iniciales'!$A:$A,"3628 Thomas Ave")+SUMIFS(Movimientos!$K$1:$K$736,Movimientos!$C$1:$C$736,"3628 Thomas Ave",Movimientos!$B$1:$B$736,"&lt;="&amp;$B68)</f>
        <v>24085.559999999998</v>
      </c>
      <c r="T68" s="24">
        <f>SUMIFS('Saldos Iniciales'!$D:$D,'Saldos Iniciales'!$A:$A,"Green Harbor Trust")+SUMIFS(Movimientos!$K$1:$K$736,Movimientos!$C$1:$C$736,"Green Harbor Trust",Movimientos!$B$1:$B$736,"&lt;="&amp;$B68)</f>
        <v>345</v>
      </c>
      <c r="U68" s="24">
        <f>SUMIFS('Saldos Iniciales'!$D:$D,'Saldos Iniciales'!$A:$A,"Go Blue")+SUMIFS(Movimientos!$K$1:$K$736,Movimientos!$C$1:$C$736,"Go Blue",Movimientos!$B$1:$B$736,"&lt;="&amp;$B68)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Group")+SUMIFS(Movimientos!$K$1:$K$736,Movimientos!$C$1:$C$736,"CFT Group",Movimientos!$B$1:$B$736,"&lt;="&amp;$B69)</f>
        <v>5592585.7500000009</v>
      </c>
      <c r="D69" s="24">
        <f>SUMIFS('Saldos Iniciales'!$D:$D,'Saldos Iniciales'!$A:$A,"M1B")+SUMIFS(Movimientos!$K$1:$K$736,Movimientos!$C$1:$C$736,"M1B",Movimientos!$B$1:$B$736,"&lt;="&amp;$B69)</f>
        <v>79139.680000000168</v>
      </c>
      <c r="E69" s="24">
        <f>SUMIFS('Saldos Iniciales'!$D:$D,'Saldos Iniciales'!$A:$A,"Durand")+SUMIFS(Movimientos!$K$1:$K$736,Movimientos!$C$1:$C$736,"Durand",Movimientos!$B$1:$B$736,"&lt;="&amp;$B69)</f>
        <v>1669.89</v>
      </c>
      <c r="F69" s="24">
        <f>SUMIFS('Saldos Iniciales'!$D:$D,'Saldos Iniciales'!$A:$A,"A&amp;M Imports")+SUMIFS(Movimientos!$K$1:$K$736,Movimientos!$C$1:$C$736,"A&amp;M Imports",Movimientos!$B$1:$B$736,"&lt;="&amp;$B69)</f>
        <v>350475.62999999989</v>
      </c>
      <c r="G69" s="24">
        <f>SUMIFS('Saldos Iniciales'!$D:$D,'Saldos Iniciales'!$A:$A,"SSP Capital")+SUMIFS(Movimientos!$K$1:$K$736,Movimientos!$C$1:$C$736,"SSP Capital",Movimientos!$B$1:$B$736,"&lt;="&amp;$B69)</f>
        <v>1761026.4599999995</v>
      </c>
      <c r="H69" s="24">
        <f>SUMIFS('Saldos Iniciales'!$D:$D,'Saldos Iniciales'!$A:$A,"Cross Family Trust")+SUMIFS(Movimientos!$K$1:$K$736,Movimientos!$C$1:$C$736,"Cross Family Trust",Movimientos!$B$1:$B$736,"&lt;="&amp;$B69)</f>
        <v>220496.38</v>
      </c>
      <c r="I69" s="24">
        <f>SUMIFS('Saldos Iniciales'!$D:$D,'Saldos Iniciales'!$A:$A,"Cross Security Trust")+SUMIFS(Movimientos!$K$1:$K$736,Movimientos!$C$1:$C$736,"Cross Security Trust",Movimientos!$B$1:$B$736,"&lt;="&amp;$B69)</f>
        <v>88090.37</v>
      </c>
      <c r="J69" s="24">
        <f>SUMIFS('Saldos Iniciales'!$D:$D,'Saldos Iniciales'!$A:$A,"Electrama")+SUMIFS(Movimientos!$K$1:$K$736,Movimientos!$C$1:$C$736,"Electrama",Movimientos!$B$1:$B$736,"&lt;="&amp;$B69)</f>
        <v>471.15999999999985</v>
      </c>
      <c r="K69" s="24">
        <f>SUMIFS('Saldos Iniciales'!$D:$D,'Saldos Iniciales'!$A:$A,"Sacred Valley Capital")+SUMIFS(Movimientos!$K$1:$K$736,Movimientos!$C$1:$C$736,"Sacred Valley Capital",Movimientos!$B$1:$B$736,"&lt;="&amp;$B69)</f>
        <v>54.400000000000006</v>
      </c>
      <c r="L69" s="24">
        <f>SUMIFS('Saldos Iniciales'!$D:$D,'Saldos Iniciales'!$A:$A,"YWC Capital")+SUMIFS(Movimientos!$K$1:$K$736,Movimientos!$C$1:$C$736,"YWC Capital",Movimientos!$B$1:$B$736,"&lt;="&amp;$B69)</f>
        <v>2207.8200000000002</v>
      </c>
      <c r="M69" s="24">
        <f>SUMIFS('Saldos Iniciales'!$D:$D,'Saldos Iniciales'!$A:$A,"Soweto")+SUMIFS(Movimientos!$K$1:$K$736,Movimientos!$C$1:$C$736,"Soweto",Movimientos!$B$1:$B$736,"&lt;="&amp;$B69)</f>
        <v>3349.94</v>
      </c>
      <c r="N69" s="24">
        <f>SUMIFS('Saldos Iniciales'!$D:$D,'Saldos Iniciales'!$A:$A,"Green Stone Trust")+SUMIFS(Movimientos!$K$1:$K$736,Movimientos!$C$1:$C$736,"Green Stone Trust",Movimientos!$B$1:$B$736,"&lt;="&amp;$B69)</f>
        <v>1968.99</v>
      </c>
      <c r="O69" s="24">
        <f>SUMIFS('Saldos Iniciales'!$D:$D,'Saldos Iniciales'!$A:$A,"EC Auto")+SUMIFS(Movimientos!$K$1:$K$736,Movimientos!$C$1:$C$736,"EC Auto",Movimientos!$B$1:$B$736,"&lt;="&amp;$B69)</f>
        <v>382.69000000000005</v>
      </c>
      <c r="P69" s="24">
        <f>SUMIFS('Saldos Iniciales'!$D:$D,'Saldos Iniciales'!$A:$A,"Arbor Capital Properties")+SUMIFS(Movimientos!$K$1:$K$736,Movimientos!$C$1:$C$736,"Arbor Capital Properties",Movimientos!$B$1:$B$736,"&lt;="&amp;$B69)</f>
        <v>1412.08</v>
      </c>
      <c r="Q69" s="24">
        <f>SUMIFS('Saldos Iniciales'!$D:$D,'Saldos Iniciales'!$A:$A,"2515 Overbrook")+SUMIFS(Movimientos!$K$1:$K$736,Movimientos!$C$1:$C$736,"2515 Overbrook",Movimientos!$B$1:$B$736,"&lt;="&amp;$B69)</f>
        <v>22496.639999999959</v>
      </c>
      <c r="R69" s="24">
        <f>SUMIFS('Saldos Iniciales'!$D:$D,'Saldos Iniciales'!$A:$A,"112 Florida Ave")+SUMIFS(Movimientos!$K$1:$K$736,Movimientos!$C$1:$C$736,"112 Florida Ave",Movimientos!$B$1:$B$736,"&lt;="&amp;$B69)</f>
        <v>10522.800000000003</v>
      </c>
      <c r="S69" s="24">
        <f>SUMIFS('Saldos Iniciales'!$D:$D,'Saldos Iniciales'!$A:$A,"3628 Thomas Ave")+SUMIFS(Movimientos!$K$1:$K$736,Movimientos!$C$1:$C$736,"3628 Thomas Ave",Movimientos!$B$1:$B$736,"&lt;="&amp;$B69)</f>
        <v>24085.559999999998</v>
      </c>
      <c r="T69" s="24">
        <f>SUMIFS('Saldos Iniciales'!$D:$D,'Saldos Iniciales'!$A:$A,"Green Harbor Trust")+SUMIFS(Movimientos!$K$1:$K$736,Movimientos!$C$1:$C$736,"Green Harbor Trust",Movimientos!$B$1:$B$736,"&lt;="&amp;$B69)</f>
        <v>345</v>
      </c>
      <c r="U69" s="24">
        <f>SUMIFS('Saldos Iniciales'!$D:$D,'Saldos Iniciales'!$A:$A,"Go Blue")+SUMIFS(Movimientos!$K$1:$K$736,Movimientos!$C$1:$C$736,"Go Blue",Movimientos!$B$1:$B$736,"&lt;="&amp;$B69)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Group")+SUMIFS(Movimientos!$K$1:$K$736,Movimientos!$C$1:$C$736,"CFT Group",Movimientos!$B$1:$B$736,"&lt;="&amp;$B70)</f>
        <v>5592585.7500000009</v>
      </c>
      <c r="D70" s="24">
        <f>SUMIFS('Saldos Iniciales'!$D:$D,'Saldos Iniciales'!$A:$A,"M1B")+SUMIFS(Movimientos!$K$1:$K$736,Movimientos!$C$1:$C$736,"M1B",Movimientos!$B$1:$B$736,"&lt;="&amp;$B70)</f>
        <v>79139.680000000168</v>
      </c>
      <c r="E70" s="24">
        <f>SUMIFS('Saldos Iniciales'!$D:$D,'Saldos Iniciales'!$A:$A,"Durand")+SUMIFS(Movimientos!$K$1:$K$736,Movimientos!$C$1:$C$736,"Durand",Movimientos!$B$1:$B$736,"&lt;="&amp;$B70)</f>
        <v>1669.89</v>
      </c>
      <c r="F70" s="24">
        <f>SUMIFS('Saldos Iniciales'!$D:$D,'Saldos Iniciales'!$A:$A,"A&amp;M Imports")+SUMIFS(Movimientos!$K$1:$K$736,Movimientos!$C$1:$C$736,"A&amp;M Imports",Movimientos!$B$1:$B$736,"&lt;="&amp;$B70)</f>
        <v>350475.62999999989</v>
      </c>
      <c r="G70" s="24">
        <f>SUMIFS('Saldos Iniciales'!$D:$D,'Saldos Iniciales'!$A:$A,"SSP Capital")+SUMIFS(Movimientos!$K$1:$K$736,Movimientos!$C$1:$C$736,"SSP Capital",Movimientos!$B$1:$B$736,"&lt;="&amp;$B70)</f>
        <v>1751695.8399999994</v>
      </c>
      <c r="H70" s="24">
        <f>SUMIFS('Saldos Iniciales'!$D:$D,'Saldos Iniciales'!$A:$A,"Cross Family Trust")+SUMIFS(Movimientos!$K$1:$K$736,Movimientos!$C$1:$C$736,"Cross Family Trust",Movimientos!$B$1:$B$736,"&lt;="&amp;$B70)</f>
        <v>220496.38</v>
      </c>
      <c r="I70" s="24">
        <f>SUMIFS('Saldos Iniciales'!$D:$D,'Saldos Iniciales'!$A:$A,"Cross Security Trust")+SUMIFS(Movimientos!$K$1:$K$736,Movimientos!$C$1:$C$736,"Cross Security Trust",Movimientos!$B$1:$B$736,"&lt;="&amp;$B70)</f>
        <v>88090.37</v>
      </c>
      <c r="J70" s="24">
        <f>SUMIFS('Saldos Iniciales'!$D:$D,'Saldos Iniciales'!$A:$A,"Electrama")+SUMIFS(Movimientos!$K$1:$K$736,Movimientos!$C$1:$C$736,"Electrama",Movimientos!$B$1:$B$736,"&lt;="&amp;$B70)</f>
        <v>471.15999999999985</v>
      </c>
      <c r="K70" s="24">
        <f>SUMIFS('Saldos Iniciales'!$D:$D,'Saldos Iniciales'!$A:$A,"Sacred Valley Capital")+SUMIFS(Movimientos!$K$1:$K$736,Movimientos!$C$1:$C$736,"Sacred Valley Capital",Movimientos!$B$1:$B$736,"&lt;="&amp;$B70)</f>
        <v>54.400000000000006</v>
      </c>
      <c r="L70" s="24">
        <f>SUMIFS('Saldos Iniciales'!$D:$D,'Saldos Iniciales'!$A:$A,"YWC Capital")+SUMIFS(Movimientos!$K$1:$K$736,Movimientos!$C$1:$C$736,"YWC Capital",Movimientos!$B$1:$B$736,"&lt;="&amp;$B70)</f>
        <v>2207.8200000000002</v>
      </c>
      <c r="M70" s="24">
        <f>SUMIFS('Saldos Iniciales'!$D:$D,'Saldos Iniciales'!$A:$A,"Soweto")+SUMIFS(Movimientos!$K$1:$K$736,Movimientos!$C$1:$C$736,"Soweto",Movimientos!$B$1:$B$736,"&lt;="&amp;$B70)</f>
        <v>3334.94</v>
      </c>
      <c r="N70" s="24">
        <f>SUMIFS('Saldos Iniciales'!$D:$D,'Saldos Iniciales'!$A:$A,"Green Stone Trust")+SUMIFS(Movimientos!$K$1:$K$736,Movimientos!$C$1:$C$736,"Green Stone Trust",Movimientos!$B$1:$B$736,"&lt;="&amp;$B70)</f>
        <v>1968.99</v>
      </c>
      <c r="O70" s="24">
        <f>SUMIFS('Saldos Iniciales'!$D:$D,'Saldos Iniciales'!$A:$A,"EC Auto")+SUMIFS(Movimientos!$K$1:$K$736,Movimientos!$C$1:$C$736,"EC Auto",Movimientos!$B$1:$B$736,"&lt;="&amp;$B70)</f>
        <v>382.69000000000005</v>
      </c>
      <c r="P70" s="24">
        <f>SUMIFS('Saldos Iniciales'!$D:$D,'Saldos Iniciales'!$A:$A,"Arbor Capital Properties")+SUMIFS(Movimientos!$K$1:$K$736,Movimientos!$C$1:$C$736,"Arbor Capital Properties",Movimientos!$B$1:$B$736,"&lt;="&amp;$B70)</f>
        <v>1412.08</v>
      </c>
      <c r="Q70" s="24">
        <f>SUMIFS('Saldos Iniciales'!$D:$D,'Saldos Iniciales'!$A:$A,"2515 Overbrook")+SUMIFS(Movimientos!$K$1:$K$736,Movimientos!$C$1:$C$736,"2515 Overbrook",Movimientos!$B$1:$B$736,"&lt;="&amp;$B70)</f>
        <v>22496.639999999959</v>
      </c>
      <c r="R70" s="24">
        <f>SUMIFS('Saldos Iniciales'!$D:$D,'Saldos Iniciales'!$A:$A,"112 Florida Ave")+SUMIFS(Movimientos!$K$1:$K$736,Movimientos!$C$1:$C$736,"112 Florida Ave",Movimientos!$B$1:$B$736,"&lt;="&amp;$B70)</f>
        <v>6522.8000000000029</v>
      </c>
      <c r="S70" s="24">
        <f>SUMIFS('Saldos Iniciales'!$D:$D,'Saldos Iniciales'!$A:$A,"3628 Thomas Ave")+SUMIFS(Movimientos!$K$1:$K$736,Movimientos!$C$1:$C$736,"3628 Thomas Ave",Movimientos!$B$1:$B$736,"&lt;="&amp;$B70)</f>
        <v>24085.559999999998</v>
      </c>
      <c r="T70" s="24">
        <f>SUMIFS('Saldos Iniciales'!$D:$D,'Saldos Iniciales'!$A:$A,"Green Harbor Trust")+SUMIFS(Movimientos!$K$1:$K$736,Movimientos!$C$1:$C$736,"Green Harbor Trust",Movimientos!$B$1:$B$736,"&lt;="&amp;$B70)</f>
        <v>345</v>
      </c>
      <c r="U70" s="24">
        <f>SUMIFS('Saldos Iniciales'!$D:$D,'Saldos Iniciales'!$A:$A,"Go Blue")+SUMIFS(Movimientos!$K$1:$K$736,Movimientos!$C$1:$C$736,"Go Blue",Movimientos!$B$1:$B$736,"&lt;="&amp;$B70)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Group")+SUMIFS(Movimientos!$K$1:$K$736,Movimientos!$C$1:$C$736,"CFT Group",Movimientos!$B$1:$B$736,"&lt;="&amp;$B71)</f>
        <v>4377944.080000001</v>
      </c>
      <c r="D71" s="24">
        <f>SUMIFS('Saldos Iniciales'!$D:$D,'Saldos Iniciales'!$A:$A,"M1B")+SUMIFS(Movimientos!$K$1:$K$736,Movimientos!$C$1:$C$736,"M1B",Movimientos!$B$1:$B$736,"&lt;="&amp;$B71)</f>
        <v>73157.680000000168</v>
      </c>
      <c r="E71" s="24">
        <f>SUMIFS('Saldos Iniciales'!$D:$D,'Saldos Iniciales'!$A:$A,"Durand")+SUMIFS(Movimientos!$K$1:$K$736,Movimientos!$C$1:$C$736,"Durand",Movimientos!$B$1:$B$736,"&lt;="&amp;$B71)</f>
        <v>1669.89</v>
      </c>
      <c r="F71" s="24">
        <f>SUMIFS('Saldos Iniciales'!$D:$D,'Saldos Iniciales'!$A:$A,"A&amp;M Imports")+SUMIFS(Movimientos!$K$1:$K$736,Movimientos!$C$1:$C$736,"A&amp;M Imports",Movimientos!$B$1:$B$736,"&lt;="&amp;$B71)</f>
        <v>290475.62999999989</v>
      </c>
      <c r="G71" s="24">
        <f>SUMIFS('Saldos Iniciales'!$D:$D,'Saldos Iniciales'!$A:$A,"SSP Capital")+SUMIFS(Movimientos!$K$1:$K$736,Movimientos!$C$1:$C$736,"SSP Capital",Movimientos!$B$1:$B$736,"&lt;="&amp;$B71)</f>
        <v>2119592.9399999995</v>
      </c>
      <c r="H71" s="24">
        <f>SUMIFS('Saldos Iniciales'!$D:$D,'Saldos Iniciales'!$A:$A,"Cross Family Trust")+SUMIFS(Movimientos!$K$1:$K$736,Movimientos!$C$1:$C$736,"Cross Family Trust",Movimientos!$B$1:$B$736,"&lt;="&amp;$B71)</f>
        <v>200496.38</v>
      </c>
      <c r="I71" s="24">
        <f>SUMIFS('Saldos Iniciales'!$D:$D,'Saldos Iniciales'!$A:$A,"Cross Security Trust")+SUMIFS(Movimientos!$K$1:$K$736,Movimientos!$C$1:$C$736,"Cross Security Trust",Movimientos!$B$1:$B$736,"&lt;="&amp;$B71)</f>
        <v>88090.37</v>
      </c>
      <c r="J71" s="24">
        <f>SUMIFS('Saldos Iniciales'!$D:$D,'Saldos Iniciales'!$A:$A,"Electrama")+SUMIFS(Movimientos!$K$1:$K$736,Movimientos!$C$1:$C$736,"Electrama",Movimientos!$B$1:$B$736,"&lt;="&amp;$B71)</f>
        <v>15130.45</v>
      </c>
      <c r="K71" s="24">
        <f>SUMIFS('Saldos Iniciales'!$D:$D,'Saldos Iniciales'!$A:$A,"Sacred Valley Capital")+SUMIFS(Movimientos!$K$1:$K$736,Movimientos!$C$1:$C$736,"Sacred Valley Capital",Movimientos!$B$1:$B$736,"&lt;="&amp;$B71)</f>
        <v>54.400000000000006</v>
      </c>
      <c r="L71" s="24">
        <f>SUMIFS('Saldos Iniciales'!$D:$D,'Saldos Iniciales'!$A:$A,"YWC Capital")+SUMIFS(Movimientos!$K$1:$K$736,Movimientos!$C$1:$C$736,"YWC Capital",Movimientos!$B$1:$B$736,"&lt;="&amp;$B71)</f>
        <v>2207.8200000000002</v>
      </c>
      <c r="M71" s="24">
        <f>SUMIFS('Saldos Iniciales'!$D:$D,'Saldos Iniciales'!$A:$A,"Soweto")+SUMIFS(Movimientos!$K$1:$K$736,Movimientos!$C$1:$C$736,"Soweto",Movimientos!$B$1:$B$736,"&lt;="&amp;$B71)</f>
        <v>1454604.72</v>
      </c>
      <c r="N71" s="24">
        <f>SUMIFS('Saldos Iniciales'!$D:$D,'Saldos Iniciales'!$A:$A,"Green Stone Trust")+SUMIFS(Movimientos!$K$1:$K$736,Movimientos!$C$1:$C$736,"Green Stone Trust",Movimientos!$B$1:$B$736,"&lt;="&amp;$B71)</f>
        <v>1968.99</v>
      </c>
      <c r="O71" s="24">
        <f>SUMIFS('Saldos Iniciales'!$D:$D,'Saldos Iniciales'!$A:$A,"EC Auto")+SUMIFS(Movimientos!$K$1:$K$736,Movimientos!$C$1:$C$736,"EC Auto",Movimientos!$B$1:$B$736,"&lt;="&amp;$B71)</f>
        <v>382.69000000000005</v>
      </c>
      <c r="P71" s="24">
        <f>SUMIFS('Saldos Iniciales'!$D:$D,'Saldos Iniciales'!$A:$A,"Arbor Capital Properties")+SUMIFS(Movimientos!$K$1:$K$736,Movimientos!$C$1:$C$736,"Arbor Capital Properties",Movimientos!$B$1:$B$736,"&lt;="&amp;$B71)</f>
        <v>1412.08</v>
      </c>
      <c r="Q71" s="24">
        <f>SUMIFS('Saldos Iniciales'!$D:$D,'Saldos Iniciales'!$A:$A,"2515 Overbrook")+SUMIFS(Movimientos!$K$1:$K$736,Movimientos!$C$1:$C$736,"2515 Overbrook",Movimientos!$B$1:$B$736,"&lt;="&amp;$B71)</f>
        <v>22496.639999999959</v>
      </c>
      <c r="R71" s="24">
        <f>SUMIFS('Saldos Iniciales'!$D:$D,'Saldos Iniciales'!$A:$A,"112 Florida Ave")+SUMIFS(Movimientos!$K$1:$K$736,Movimientos!$C$1:$C$736,"112 Florida Ave",Movimientos!$B$1:$B$736,"&lt;="&amp;$B71)</f>
        <v>6522.8000000000029</v>
      </c>
      <c r="S71" s="24">
        <f>SUMIFS('Saldos Iniciales'!$D:$D,'Saldos Iniciales'!$A:$A,"3628 Thomas Ave")+SUMIFS(Movimientos!$K$1:$K$736,Movimientos!$C$1:$C$736,"3628 Thomas Ave",Movimientos!$B$1:$B$736,"&lt;="&amp;$B71)</f>
        <v>24085.559999999998</v>
      </c>
      <c r="T71" s="24">
        <f>SUMIFS('Saldos Iniciales'!$D:$D,'Saldos Iniciales'!$A:$A,"Green Harbor Trust")+SUMIFS(Movimientos!$K$1:$K$736,Movimientos!$C$1:$C$736,"Green Harbor Trust",Movimientos!$B$1:$B$736,"&lt;="&amp;$B71)</f>
        <v>345</v>
      </c>
      <c r="U71" s="24">
        <f>SUMIFS('Saldos Iniciales'!$D:$D,'Saldos Iniciales'!$A:$A,"Go Blue")+SUMIFS(Movimientos!$K$1:$K$736,Movimientos!$C$1:$C$736,"Go Blue",Movimientos!$B$1:$B$736,"&lt;="&amp;$B71)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Group")+SUMIFS(Movimientos!$K$1:$K$736,Movimientos!$C$1:$C$736,"CFT Group",Movimientos!$B$1:$B$736,"&lt;="&amp;$B72)</f>
        <v>4163755.7500000005</v>
      </c>
      <c r="D72" s="24">
        <f>SUMIFS('Saldos Iniciales'!$D:$D,'Saldos Iniciales'!$A:$A,"M1B")+SUMIFS(Movimientos!$K$1:$K$736,Movimientos!$C$1:$C$736,"M1B",Movimientos!$B$1:$B$736,"&lt;="&amp;$B72)</f>
        <v>73157.680000000168</v>
      </c>
      <c r="E72" s="24">
        <f>SUMIFS('Saldos Iniciales'!$D:$D,'Saldos Iniciales'!$A:$A,"Durand")+SUMIFS(Movimientos!$K$1:$K$736,Movimientos!$C$1:$C$736,"Durand",Movimientos!$B$1:$B$736,"&lt;="&amp;$B72)</f>
        <v>1669.89</v>
      </c>
      <c r="F72" s="24">
        <f>SUMIFS('Saldos Iniciales'!$D:$D,'Saldos Iniciales'!$A:$A,"A&amp;M Imports")+SUMIFS(Movimientos!$K$1:$K$736,Movimientos!$C$1:$C$736,"A&amp;M Imports",Movimientos!$B$1:$B$736,"&lt;="&amp;$B72)</f>
        <v>290141.62999999989</v>
      </c>
      <c r="G72" s="24">
        <f>SUMIFS('Saldos Iniciales'!$D:$D,'Saldos Iniciales'!$A:$A,"SSP Capital")+SUMIFS(Movimientos!$K$1:$K$736,Movimientos!$C$1:$C$736,"SSP Capital",Movimientos!$B$1:$B$736,"&lt;="&amp;$B72)</f>
        <v>1921752.2699999993</v>
      </c>
      <c r="H72" s="24">
        <f>SUMIFS('Saldos Iniciales'!$D:$D,'Saldos Iniciales'!$A:$A,"Cross Family Trust")+SUMIFS(Movimientos!$K$1:$K$736,Movimientos!$C$1:$C$736,"Cross Family Trust",Movimientos!$B$1:$B$736,"&lt;="&amp;$B72)</f>
        <v>200496.38</v>
      </c>
      <c r="I72" s="24">
        <f>SUMIFS('Saldos Iniciales'!$D:$D,'Saldos Iniciales'!$A:$A,"Cross Security Trust")+SUMIFS(Movimientos!$K$1:$K$736,Movimientos!$C$1:$C$736,"Cross Security Trust",Movimientos!$B$1:$B$736,"&lt;="&amp;$B72)</f>
        <v>88090.37</v>
      </c>
      <c r="J72" s="24">
        <f>SUMIFS('Saldos Iniciales'!$D:$D,'Saldos Iniciales'!$A:$A,"Electrama")+SUMIFS(Movimientos!$K$1:$K$736,Movimientos!$C$1:$C$736,"Electrama",Movimientos!$B$1:$B$736,"&lt;="&amp;$B72)</f>
        <v>14580.45</v>
      </c>
      <c r="K72" s="24">
        <f>SUMIFS('Saldos Iniciales'!$D:$D,'Saldos Iniciales'!$A:$A,"Sacred Valley Capital")+SUMIFS(Movimientos!$K$1:$K$736,Movimientos!$C$1:$C$736,"Sacred Valley Capital",Movimientos!$B$1:$B$736,"&lt;="&amp;$B72)</f>
        <v>54.400000000000006</v>
      </c>
      <c r="L72" s="24">
        <f>SUMIFS('Saldos Iniciales'!$D:$D,'Saldos Iniciales'!$A:$A,"YWC Capital")+SUMIFS(Movimientos!$K$1:$K$736,Movimientos!$C$1:$C$736,"YWC Capital",Movimientos!$B$1:$B$736,"&lt;="&amp;$B72)</f>
        <v>2207.8200000000002</v>
      </c>
      <c r="M72" s="24">
        <f>SUMIFS('Saldos Iniciales'!$D:$D,'Saldos Iniciales'!$A:$A,"Soweto")+SUMIFS(Movimientos!$K$1:$K$736,Movimientos!$C$1:$C$736,"Soweto",Movimientos!$B$1:$B$736,"&lt;="&amp;$B72)</f>
        <v>1454589.72</v>
      </c>
      <c r="N72" s="24">
        <f>SUMIFS('Saldos Iniciales'!$D:$D,'Saldos Iniciales'!$A:$A,"Green Stone Trust")+SUMIFS(Movimientos!$K$1:$K$736,Movimientos!$C$1:$C$736,"Green Stone Trust",Movimientos!$B$1:$B$736,"&lt;="&amp;$B72)</f>
        <v>1968.99</v>
      </c>
      <c r="O72" s="24">
        <f>SUMIFS('Saldos Iniciales'!$D:$D,'Saldos Iniciales'!$A:$A,"EC Auto")+SUMIFS(Movimientos!$K$1:$K$736,Movimientos!$C$1:$C$736,"EC Auto",Movimientos!$B$1:$B$736,"&lt;="&amp;$B72)</f>
        <v>382.69000000000005</v>
      </c>
      <c r="P72" s="24">
        <f>SUMIFS('Saldos Iniciales'!$D:$D,'Saldos Iniciales'!$A:$A,"Arbor Capital Properties")+SUMIFS(Movimientos!$K$1:$K$736,Movimientos!$C$1:$C$736,"Arbor Capital Properties",Movimientos!$B$1:$B$736,"&lt;="&amp;$B72)</f>
        <v>1412.08</v>
      </c>
      <c r="Q72" s="24">
        <f>SUMIFS('Saldos Iniciales'!$D:$D,'Saldos Iniciales'!$A:$A,"2515 Overbrook")+SUMIFS(Movimientos!$K$1:$K$736,Movimientos!$C$1:$C$736,"2515 Overbrook",Movimientos!$B$1:$B$736,"&lt;="&amp;$B72)</f>
        <v>22496.639999999959</v>
      </c>
      <c r="R72" s="24">
        <f>SUMIFS('Saldos Iniciales'!$D:$D,'Saldos Iniciales'!$A:$A,"112 Florida Ave")+SUMIFS(Movimientos!$K$1:$K$736,Movimientos!$C$1:$C$736,"112 Florida Ave",Movimientos!$B$1:$B$736,"&lt;="&amp;$B72)</f>
        <v>6522.8000000000029</v>
      </c>
      <c r="S72" s="24">
        <f>SUMIFS('Saldos Iniciales'!$D:$D,'Saldos Iniciales'!$A:$A,"3628 Thomas Ave")+SUMIFS(Movimientos!$K$1:$K$736,Movimientos!$C$1:$C$736,"3628 Thomas Ave",Movimientos!$B$1:$B$736,"&lt;="&amp;$B72)</f>
        <v>24085.559999999998</v>
      </c>
      <c r="T72" s="24">
        <f>SUMIFS('Saldos Iniciales'!$D:$D,'Saldos Iniciales'!$A:$A,"Green Harbor Trust")+SUMIFS(Movimientos!$K$1:$K$736,Movimientos!$C$1:$C$736,"Green Harbor Trust",Movimientos!$B$1:$B$736,"&lt;="&amp;$B72)</f>
        <v>345</v>
      </c>
      <c r="U72" s="24">
        <f>SUMIFS('Saldos Iniciales'!$D:$D,'Saldos Iniciales'!$A:$A,"Go Blue")+SUMIFS(Movimientos!$K$1:$K$736,Movimientos!$C$1:$C$736,"Go Blue",Movimientos!$B$1:$B$736,"&lt;="&amp;$B72)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Group")+SUMIFS(Movimientos!$K$1:$K$736,Movimientos!$C$1:$C$736,"CFT Group",Movimientos!$B$1:$B$736,"&lt;="&amp;$B73)</f>
        <v>4163755.7500000005</v>
      </c>
      <c r="D73" s="24">
        <f>SUMIFS('Saldos Iniciales'!$D:$D,'Saldos Iniciales'!$A:$A,"M1B")+SUMIFS(Movimientos!$K$1:$K$736,Movimientos!$C$1:$C$736,"M1B",Movimientos!$B$1:$B$736,"&lt;="&amp;$B73)</f>
        <v>73157.680000000168</v>
      </c>
      <c r="E73" s="24">
        <f>SUMIFS('Saldos Iniciales'!$D:$D,'Saldos Iniciales'!$A:$A,"Durand")+SUMIFS(Movimientos!$K$1:$K$736,Movimientos!$C$1:$C$736,"Durand",Movimientos!$B$1:$B$736,"&lt;="&amp;$B73)</f>
        <v>1669.89</v>
      </c>
      <c r="F73" s="24">
        <f>SUMIFS('Saldos Iniciales'!$D:$D,'Saldos Iniciales'!$A:$A,"A&amp;M Imports")+SUMIFS(Movimientos!$K$1:$K$736,Movimientos!$C$1:$C$736,"A&amp;M Imports",Movimientos!$B$1:$B$736,"&lt;="&amp;$B73)</f>
        <v>290141.62999999989</v>
      </c>
      <c r="G73" s="24">
        <f>SUMIFS('Saldos Iniciales'!$D:$D,'Saldos Iniciales'!$A:$A,"SSP Capital")+SUMIFS(Movimientos!$K$1:$K$736,Movimientos!$C$1:$C$736,"SSP Capital",Movimientos!$B$1:$B$736,"&lt;="&amp;$B73)</f>
        <v>1921752.2699999993</v>
      </c>
      <c r="H73" s="24">
        <f>SUMIFS('Saldos Iniciales'!$D:$D,'Saldos Iniciales'!$A:$A,"Cross Family Trust")+SUMIFS(Movimientos!$K$1:$K$736,Movimientos!$C$1:$C$736,"Cross Family Trust",Movimientos!$B$1:$B$736,"&lt;="&amp;$B73)</f>
        <v>200496.38</v>
      </c>
      <c r="I73" s="24">
        <f>SUMIFS('Saldos Iniciales'!$D:$D,'Saldos Iniciales'!$A:$A,"Cross Security Trust")+SUMIFS(Movimientos!$K$1:$K$736,Movimientos!$C$1:$C$736,"Cross Security Trust",Movimientos!$B$1:$B$736,"&lt;="&amp;$B73)</f>
        <v>88090.37</v>
      </c>
      <c r="J73" s="24">
        <f>SUMIFS('Saldos Iniciales'!$D:$D,'Saldos Iniciales'!$A:$A,"Electrama")+SUMIFS(Movimientos!$K$1:$K$736,Movimientos!$C$1:$C$736,"Electrama",Movimientos!$B$1:$B$736,"&lt;="&amp;$B73)</f>
        <v>14580.45</v>
      </c>
      <c r="K73" s="24">
        <f>SUMIFS('Saldos Iniciales'!$D:$D,'Saldos Iniciales'!$A:$A,"Sacred Valley Capital")+SUMIFS(Movimientos!$K$1:$K$736,Movimientos!$C$1:$C$736,"Sacred Valley Capital",Movimientos!$B$1:$B$736,"&lt;="&amp;$B73)</f>
        <v>54.400000000000006</v>
      </c>
      <c r="L73" s="24">
        <f>SUMIFS('Saldos Iniciales'!$D:$D,'Saldos Iniciales'!$A:$A,"YWC Capital")+SUMIFS(Movimientos!$K$1:$K$736,Movimientos!$C$1:$C$736,"YWC Capital",Movimientos!$B$1:$B$736,"&lt;="&amp;$B73)</f>
        <v>2207.8200000000002</v>
      </c>
      <c r="M73" s="24">
        <f>SUMIFS('Saldos Iniciales'!$D:$D,'Saldos Iniciales'!$A:$A,"Soweto")+SUMIFS(Movimientos!$K$1:$K$736,Movimientos!$C$1:$C$736,"Soweto",Movimientos!$B$1:$B$736,"&lt;="&amp;$B73)</f>
        <v>1454589.72</v>
      </c>
      <c r="N73" s="24">
        <f>SUMIFS('Saldos Iniciales'!$D:$D,'Saldos Iniciales'!$A:$A,"Green Stone Trust")+SUMIFS(Movimientos!$K$1:$K$736,Movimientos!$C$1:$C$736,"Green Stone Trust",Movimientos!$B$1:$B$736,"&lt;="&amp;$B73)</f>
        <v>1968.99</v>
      </c>
      <c r="O73" s="24">
        <f>SUMIFS('Saldos Iniciales'!$D:$D,'Saldos Iniciales'!$A:$A,"EC Auto")+SUMIFS(Movimientos!$K$1:$K$736,Movimientos!$C$1:$C$736,"EC Auto",Movimientos!$B$1:$B$736,"&lt;="&amp;$B73)</f>
        <v>382.69000000000005</v>
      </c>
      <c r="P73" s="24">
        <f>SUMIFS('Saldos Iniciales'!$D:$D,'Saldos Iniciales'!$A:$A,"Arbor Capital Properties")+SUMIFS(Movimientos!$K$1:$K$736,Movimientos!$C$1:$C$736,"Arbor Capital Properties",Movimientos!$B$1:$B$736,"&lt;="&amp;$B73)</f>
        <v>1412.08</v>
      </c>
      <c r="Q73" s="24">
        <f>SUMIFS('Saldos Iniciales'!$D:$D,'Saldos Iniciales'!$A:$A,"2515 Overbrook")+SUMIFS(Movimientos!$K$1:$K$736,Movimientos!$C$1:$C$736,"2515 Overbrook",Movimientos!$B$1:$B$736,"&lt;="&amp;$B73)</f>
        <v>22496.639999999959</v>
      </c>
      <c r="R73" s="24">
        <f>SUMIFS('Saldos Iniciales'!$D:$D,'Saldos Iniciales'!$A:$A,"112 Florida Ave")+SUMIFS(Movimientos!$K$1:$K$736,Movimientos!$C$1:$C$736,"112 Florida Ave",Movimientos!$B$1:$B$736,"&lt;="&amp;$B73)</f>
        <v>6522.8000000000029</v>
      </c>
      <c r="S73" s="24">
        <f>SUMIFS('Saldos Iniciales'!$D:$D,'Saldos Iniciales'!$A:$A,"3628 Thomas Ave")+SUMIFS(Movimientos!$K$1:$K$736,Movimientos!$C$1:$C$736,"3628 Thomas Ave",Movimientos!$B$1:$B$736,"&lt;="&amp;$B73)</f>
        <v>24085.559999999998</v>
      </c>
      <c r="T73" s="24">
        <f>SUMIFS('Saldos Iniciales'!$D:$D,'Saldos Iniciales'!$A:$A,"Green Harbor Trust")+SUMIFS(Movimientos!$K$1:$K$736,Movimientos!$C$1:$C$736,"Green Harbor Trust",Movimientos!$B$1:$B$736,"&lt;="&amp;$B73)</f>
        <v>345</v>
      </c>
      <c r="U73" s="24">
        <f>SUMIFS('Saldos Iniciales'!$D:$D,'Saldos Iniciales'!$A:$A,"Go Blue")+SUMIFS(Movimientos!$K$1:$K$736,Movimientos!$C$1:$C$736,"Go Blue",Movimientos!$B$1:$B$736,"&lt;="&amp;$B73)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Group")+SUMIFS(Movimientos!$K$1:$K$736,Movimientos!$C$1:$C$736,"CFT Group",Movimientos!$B$1:$B$736,"&lt;="&amp;$B74)</f>
        <v>4163755.7500000005</v>
      </c>
      <c r="D74" s="24">
        <f>SUMIFS('Saldos Iniciales'!$D:$D,'Saldos Iniciales'!$A:$A,"M1B")+SUMIFS(Movimientos!$K$1:$K$736,Movimientos!$C$1:$C$736,"M1B",Movimientos!$B$1:$B$736,"&lt;="&amp;$B74)</f>
        <v>73157.680000000168</v>
      </c>
      <c r="E74" s="24">
        <f>SUMIFS('Saldos Iniciales'!$D:$D,'Saldos Iniciales'!$A:$A,"Durand")+SUMIFS(Movimientos!$K$1:$K$736,Movimientos!$C$1:$C$736,"Durand",Movimientos!$B$1:$B$736,"&lt;="&amp;$B74)</f>
        <v>1669.89</v>
      </c>
      <c r="F74" s="24">
        <f>SUMIFS('Saldos Iniciales'!$D:$D,'Saldos Iniciales'!$A:$A,"A&amp;M Imports")+SUMIFS(Movimientos!$K$1:$K$736,Movimientos!$C$1:$C$736,"A&amp;M Imports",Movimientos!$B$1:$B$736,"&lt;="&amp;$B74)</f>
        <v>290141.62999999989</v>
      </c>
      <c r="G74" s="24">
        <f>SUMIFS('Saldos Iniciales'!$D:$D,'Saldos Iniciales'!$A:$A,"SSP Capital")+SUMIFS(Movimientos!$K$1:$K$736,Movimientos!$C$1:$C$736,"SSP Capital",Movimientos!$B$1:$B$736,"&lt;="&amp;$B74)</f>
        <v>1921752.2699999993</v>
      </c>
      <c r="H74" s="24">
        <f>SUMIFS('Saldos Iniciales'!$D:$D,'Saldos Iniciales'!$A:$A,"Cross Family Trust")+SUMIFS(Movimientos!$K$1:$K$736,Movimientos!$C$1:$C$736,"Cross Family Trust",Movimientos!$B$1:$B$736,"&lt;="&amp;$B74)</f>
        <v>200496.38</v>
      </c>
      <c r="I74" s="24">
        <f>SUMIFS('Saldos Iniciales'!$D:$D,'Saldos Iniciales'!$A:$A,"Cross Security Trust")+SUMIFS(Movimientos!$K$1:$K$736,Movimientos!$C$1:$C$736,"Cross Security Trust",Movimientos!$B$1:$B$736,"&lt;="&amp;$B74)</f>
        <v>88090.37</v>
      </c>
      <c r="J74" s="24">
        <f>SUMIFS('Saldos Iniciales'!$D:$D,'Saldos Iniciales'!$A:$A,"Electrama")+SUMIFS(Movimientos!$K$1:$K$736,Movimientos!$C$1:$C$736,"Electrama",Movimientos!$B$1:$B$736,"&lt;="&amp;$B74)</f>
        <v>14580.45</v>
      </c>
      <c r="K74" s="24">
        <f>SUMIFS('Saldos Iniciales'!$D:$D,'Saldos Iniciales'!$A:$A,"Sacred Valley Capital")+SUMIFS(Movimientos!$K$1:$K$736,Movimientos!$C$1:$C$736,"Sacred Valley Capital",Movimientos!$B$1:$B$736,"&lt;="&amp;$B74)</f>
        <v>54.400000000000006</v>
      </c>
      <c r="L74" s="24">
        <f>SUMIFS('Saldos Iniciales'!$D:$D,'Saldos Iniciales'!$A:$A,"YWC Capital")+SUMIFS(Movimientos!$K$1:$K$736,Movimientos!$C$1:$C$736,"YWC Capital",Movimientos!$B$1:$B$736,"&lt;="&amp;$B74)</f>
        <v>2207.8200000000002</v>
      </c>
      <c r="M74" s="24">
        <f>SUMIFS('Saldos Iniciales'!$D:$D,'Saldos Iniciales'!$A:$A,"Soweto")+SUMIFS(Movimientos!$K$1:$K$736,Movimientos!$C$1:$C$736,"Soweto",Movimientos!$B$1:$B$736,"&lt;="&amp;$B74)</f>
        <v>1454589.72</v>
      </c>
      <c r="N74" s="24">
        <f>SUMIFS('Saldos Iniciales'!$D:$D,'Saldos Iniciales'!$A:$A,"Green Stone Trust")+SUMIFS(Movimientos!$K$1:$K$736,Movimientos!$C$1:$C$736,"Green Stone Trust",Movimientos!$B$1:$B$736,"&lt;="&amp;$B74)</f>
        <v>1968.99</v>
      </c>
      <c r="O74" s="24">
        <f>SUMIFS('Saldos Iniciales'!$D:$D,'Saldos Iniciales'!$A:$A,"EC Auto")+SUMIFS(Movimientos!$K$1:$K$736,Movimientos!$C$1:$C$736,"EC Auto",Movimientos!$B$1:$B$736,"&lt;="&amp;$B74)</f>
        <v>382.69000000000005</v>
      </c>
      <c r="P74" s="24">
        <f>SUMIFS('Saldos Iniciales'!$D:$D,'Saldos Iniciales'!$A:$A,"Arbor Capital Properties")+SUMIFS(Movimientos!$K$1:$K$736,Movimientos!$C$1:$C$736,"Arbor Capital Properties",Movimientos!$B$1:$B$736,"&lt;="&amp;$B74)</f>
        <v>1412.08</v>
      </c>
      <c r="Q74" s="24">
        <f>SUMIFS('Saldos Iniciales'!$D:$D,'Saldos Iniciales'!$A:$A,"2515 Overbrook")+SUMIFS(Movimientos!$K$1:$K$736,Movimientos!$C$1:$C$736,"2515 Overbrook",Movimientos!$B$1:$B$736,"&lt;="&amp;$B74)</f>
        <v>22496.639999999959</v>
      </c>
      <c r="R74" s="24">
        <f>SUMIFS('Saldos Iniciales'!$D:$D,'Saldos Iniciales'!$A:$A,"112 Florida Ave")+SUMIFS(Movimientos!$K$1:$K$736,Movimientos!$C$1:$C$736,"112 Florida Ave",Movimientos!$B$1:$B$736,"&lt;="&amp;$B74)</f>
        <v>6522.8000000000029</v>
      </c>
      <c r="S74" s="24">
        <f>SUMIFS('Saldos Iniciales'!$D:$D,'Saldos Iniciales'!$A:$A,"3628 Thomas Ave")+SUMIFS(Movimientos!$K$1:$K$736,Movimientos!$C$1:$C$736,"3628 Thomas Ave",Movimientos!$B$1:$B$736,"&lt;="&amp;$B74)</f>
        <v>24085.559999999998</v>
      </c>
      <c r="T74" s="24">
        <f>SUMIFS('Saldos Iniciales'!$D:$D,'Saldos Iniciales'!$A:$A,"Green Harbor Trust")+SUMIFS(Movimientos!$K$1:$K$736,Movimientos!$C$1:$C$736,"Green Harbor Trust",Movimientos!$B$1:$B$736,"&lt;="&amp;$B74)</f>
        <v>345</v>
      </c>
      <c r="U74" s="24">
        <f>SUMIFS('Saldos Iniciales'!$D:$D,'Saldos Iniciales'!$A:$A,"Go Blue")+SUMIFS(Movimientos!$K$1:$K$736,Movimientos!$C$1:$C$736,"Go Blue",Movimientos!$B$1:$B$736,"&lt;="&amp;$B74)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Group")+SUMIFS(Movimientos!$K$1:$K$736,Movimientos!$C$1:$C$736,"CFT Group",Movimientos!$B$1:$B$736,"&lt;="&amp;$B75)</f>
        <v>4163755.7500000005</v>
      </c>
      <c r="D75" s="24">
        <f>SUMIFS('Saldos Iniciales'!$D:$D,'Saldos Iniciales'!$A:$A,"M1B")+SUMIFS(Movimientos!$K$1:$K$736,Movimientos!$C$1:$C$736,"M1B",Movimientos!$B$1:$B$736,"&lt;="&amp;$B75)</f>
        <v>73157.680000000168</v>
      </c>
      <c r="E75" s="24">
        <f>SUMIFS('Saldos Iniciales'!$D:$D,'Saldos Iniciales'!$A:$A,"Durand")+SUMIFS(Movimientos!$K$1:$K$736,Movimientos!$C$1:$C$736,"Durand",Movimientos!$B$1:$B$736,"&lt;="&amp;$B75)</f>
        <v>1669.89</v>
      </c>
      <c r="F75" s="24">
        <f>SUMIFS('Saldos Iniciales'!$D:$D,'Saldos Iniciales'!$A:$A,"A&amp;M Imports")+SUMIFS(Movimientos!$K$1:$K$736,Movimientos!$C$1:$C$736,"A&amp;M Imports",Movimientos!$B$1:$B$736,"&lt;="&amp;$B75)</f>
        <v>290141.62999999989</v>
      </c>
      <c r="G75" s="24">
        <f>SUMIFS('Saldos Iniciales'!$D:$D,'Saldos Iniciales'!$A:$A,"SSP Capital")+SUMIFS(Movimientos!$K$1:$K$736,Movimientos!$C$1:$C$736,"SSP Capital",Movimientos!$B$1:$B$736,"&lt;="&amp;$B75)</f>
        <v>1921752.2699999993</v>
      </c>
      <c r="H75" s="24">
        <f>SUMIFS('Saldos Iniciales'!$D:$D,'Saldos Iniciales'!$A:$A,"Cross Family Trust")+SUMIFS(Movimientos!$K$1:$K$736,Movimientos!$C$1:$C$736,"Cross Family Trust",Movimientos!$B$1:$B$736,"&lt;="&amp;$B75)</f>
        <v>200496.38</v>
      </c>
      <c r="I75" s="24">
        <f>SUMIFS('Saldos Iniciales'!$D:$D,'Saldos Iniciales'!$A:$A,"Cross Security Trust")+SUMIFS(Movimientos!$K$1:$K$736,Movimientos!$C$1:$C$736,"Cross Security Trust",Movimientos!$B$1:$B$736,"&lt;="&amp;$B75)</f>
        <v>88090.37</v>
      </c>
      <c r="J75" s="24">
        <f>SUMIFS('Saldos Iniciales'!$D:$D,'Saldos Iniciales'!$A:$A,"Electrama")+SUMIFS(Movimientos!$K$1:$K$736,Movimientos!$C$1:$C$736,"Electrama",Movimientos!$B$1:$B$736,"&lt;="&amp;$B75)</f>
        <v>14580.45</v>
      </c>
      <c r="K75" s="24">
        <f>SUMIFS('Saldos Iniciales'!$D:$D,'Saldos Iniciales'!$A:$A,"Sacred Valley Capital")+SUMIFS(Movimientos!$K$1:$K$736,Movimientos!$C$1:$C$736,"Sacred Valley Capital",Movimientos!$B$1:$B$736,"&lt;="&amp;$B75)</f>
        <v>54.400000000000006</v>
      </c>
      <c r="L75" s="24">
        <f>SUMIFS('Saldos Iniciales'!$D:$D,'Saldos Iniciales'!$A:$A,"YWC Capital")+SUMIFS(Movimientos!$K$1:$K$736,Movimientos!$C$1:$C$736,"YWC Capital",Movimientos!$B$1:$B$736,"&lt;="&amp;$B75)</f>
        <v>2207.8200000000002</v>
      </c>
      <c r="M75" s="24">
        <f>SUMIFS('Saldos Iniciales'!$D:$D,'Saldos Iniciales'!$A:$A,"Soweto")+SUMIFS(Movimientos!$K$1:$K$736,Movimientos!$C$1:$C$736,"Soweto",Movimientos!$B$1:$B$736,"&lt;="&amp;$B75)</f>
        <v>1454589.72</v>
      </c>
      <c r="N75" s="24">
        <f>SUMIFS('Saldos Iniciales'!$D:$D,'Saldos Iniciales'!$A:$A,"Green Stone Trust")+SUMIFS(Movimientos!$K$1:$K$736,Movimientos!$C$1:$C$736,"Green Stone Trust",Movimientos!$B$1:$B$736,"&lt;="&amp;$B75)</f>
        <v>1968.99</v>
      </c>
      <c r="O75" s="24">
        <f>SUMIFS('Saldos Iniciales'!$D:$D,'Saldos Iniciales'!$A:$A,"EC Auto")+SUMIFS(Movimientos!$K$1:$K$736,Movimientos!$C$1:$C$736,"EC Auto",Movimientos!$B$1:$B$736,"&lt;="&amp;$B75)</f>
        <v>901.34</v>
      </c>
      <c r="P75" s="24">
        <f>SUMIFS('Saldos Iniciales'!$D:$D,'Saldos Iniciales'!$A:$A,"Arbor Capital Properties")+SUMIFS(Movimientos!$K$1:$K$736,Movimientos!$C$1:$C$736,"Arbor Capital Properties",Movimientos!$B$1:$B$736,"&lt;="&amp;$B75)</f>
        <v>1412.08</v>
      </c>
      <c r="Q75" s="24">
        <f>SUMIFS('Saldos Iniciales'!$D:$D,'Saldos Iniciales'!$A:$A,"2515 Overbrook")+SUMIFS(Movimientos!$K$1:$K$736,Movimientos!$C$1:$C$736,"2515 Overbrook",Movimientos!$B$1:$B$736,"&lt;="&amp;$B75)</f>
        <v>22496.639999999959</v>
      </c>
      <c r="R75" s="24">
        <f>SUMIFS('Saldos Iniciales'!$D:$D,'Saldos Iniciales'!$A:$A,"112 Florida Ave")+SUMIFS(Movimientos!$K$1:$K$736,Movimientos!$C$1:$C$736,"112 Florida Ave",Movimientos!$B$1:$B$736,"&lt;="&amp;$B75)</f>
        <v>6522.8000000000029</v>
      </c>
      <c r="S75" s="24">
        <f>SUMIFS('Saldos Iniciales'!$D:$D,'Saldos Iniciales'!$A:$A,"3628 Thomas Ave")+SUMIFS(Movimientos!$K$1:$K$736,Movimientos!$C$1:$C$736,"3628 Thomas Ave",Movimientos!$B$1:$B$736,"&lt;="&amp;$B75)</f>
        <v>24085.559999999998</v>
      </c>
      <c r="T75" s="24">
        <f>SUMIFS('Saldos Iniciales'!$D:$D,'Saldos Iniciales'!$A:$A,"Green Harbor Trust")+SUMIFS(Movimientos!$K$1:$K$736,Movimientos!$C$1:$C$736,"Green Harbor Trust",Movimientos!$B$1:$B$736,"&lt;="&amp;$B75)</f>
        <v>345</v>
      </c>
      <c r="U75" s="24">
        <f>SUMIFS('Saldos Iniciales'!$D:$D,'Saldos Iniciales'!$A:$A,"Go Blue")+SUMIFS(Movimientos!$K$1:$K$736,Movimientos!$C$1:$C$736,"Go Blue",Movimientos!$B$1:$B$736,"&lt;="&amp;$B75)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Group")+SUMIFS(Movimientos!$K$1:$K$736,Movimientos!$C$1:$C$736,"CFT Group",Movimientos!$B$1:$B$736,"&lt;="&amp;$B76)</f>
        <v>3363755.7500000005</v>
      </c>
      <c r="D76" s="24">
        <f>SUMIFS('Saldos Iniciales'!$D:$D,'Saldos Iniciales'!$A:$A,"M1B")+SUMIFS(Movimientos!$K$1:$K$736,Movimientos!$C$1:$C$736,"M1B",Movimientos!$B$1:$B$736,"&lt;="&amp;$B76)</f>
        <v>73157.680000000168</v>
      </c>
      <c r="E76" s="24">
        <f>SUMIFS('Saldos Iniciales'!$D:$D,'Saldos Iniciales'!$A:$A,"Durand")+SUMIFS(Movimientos!$K$1:$K$736,Movimientos!$C$1:$C$736,"Durand",Movimientos!$B$1:$B$736,"&lt;="&amp;$B76)</f>
        <v>1669.89</v>
      </c>
      <c r="F76" s="24">
        <f>SUMIFS('Saldos Iniciales'!$D:$D,'Saldos Iniciales'!$A:$A,"A&amp;M Imports")+SUMIFS(Movimientos!$K$1:$K$736,Movimientos!$C$1:$C$736,"A&amp;M Imports",Movimientos!$B$1:$B$736,"&lt;="&amp;$B76)</f>
        <v>1090141.6299999999</v>
      </c>
      <c r="G76" s="24">
        <f>SUMIFS('Saldos Iniciales'!$D:$D,'Saldos Iniciales'!$A:$A,"SSP Capital")+SUMIFS(Movimientos!$K$1:$K$736,Movimientos!$C$1:$C$736,"SSP Capital",Movimientos!$B$1:$B$736,"&lt;="&amp;$B76)</f>
        <v>1856542.8899999992</v>
      </c>
      <c r="H76" s="24">
        <f>SUMIFS('Saldos Iniciales'!$D:$D,'Saldos Iniciales'!$A:$A,"Cross Family Trust")+SUMIFS(Movimientos!$K$1:$K$736,Movimientos!$C$1:$C$736,"Cross Family Trust",Movimientos!$B$1:$B$736,"&lt;="&amp;$B76)</f>
        <v>200496.38</v>
      </c>
      <c r="I76" s="24">
        <f>SUMIFS('Saldos Iniciales'!$D:$D,'Saldos Iniciales'!$A:$A,"Cross Security Trust")+SUMIFS(Movimientos!$K$1:$K$736,Movimientos!$C$1:$C$736,"Cross Security Trust",Movimientos!$B$1:$B$736,"&lt;="&amp;$B76)</f>
        <v>88090.37</v>
      </c>
      <c r="J76" s="24">
        <f>SUMIFS('Saldos Iniciales'!$D:$D,'Saldos Iniciales'!$A:$A,"Electrama")+SUMIFS(Movimientos!$K$1:$K$736,Movimientos!$C$1:$C$736,"Electrama",Movimientos!$B$1:$B$736,"&lt;="&amp;$B76)</f>
        <v>14580.45</v>
      </c>
      <c r="K76" s="24">
        <f>SUMIFS('Saldos Iniciales'!$D:$D,'Saldos Iniciales'!$A:$A,"Sacred Valley Capital")+SUMIFS(Movimientos!$K$1:$K$736,Movimientos!$C$1:$C$736,"Sacred Valley Capital",Movimientos!$B$1:$B$736,"&lt;="&amp;$B76)</f>
        <v>54.400000000000006</v>
      </c>
      <c r="L76" s="24">
        <f>SUMIFS('Saldos Iniciales'!$D:$D,'Saldos Iniciales'!$A:$A,"YWC Capital")+SUMIFS(Movimientos!$K$1:$K$736,Movimientos!$C$1:$C$736,"YWC Capital",Movimientos!$B$1:$B$736,"&lt;="&amp;$B76)</f>
        <v>2207.8200000000002</v>
      </c>
      <c r="M76" s="24">
        <f>SUMIFS('Saldos Iniciales'!$D:$D,'Saldos Iniciales'!$A:$A,"Soweto")+SUMIFS(Movimientos!$K$1:$K$736,Movimientos!$C$1:$C$736,"Soweto",Movimientos!$B$1:$B$736,"&lt;="&amp;$B76)</f>
        <v>1454589.72</v>
      </c>
      <c r="N76" s="24">
        <f>SUMIFS('Saldos Iniciales'!$D:$D,'Saldos Iniciales'!$A:$A,"Green Stone Trust")+SUMIFS(Movimientos!$K$1:$K$736,Movimientos!$C$1:$C$736,"Green Stone Trust",Movimientos!$B$1:$B$736,"&lt;="&amp;$B76)</f>
        <v>1968.99</v>
      </c>
      <c r="O76" s="24">
        <f>SUMIFS('Saldos Iniciales'!$D:$D,'Saldos Iniciales'!$A:$A,"EC Auto")+SUMIFS(Movimientos!$K$1:$K$736,Movimientos!$C$1:$C$736,"EC Auto",Movimientos!$B$1:$B$736,"&lt;="&amp;$B76)</f>
        <v>901.34</v>
      </c>
      <c r="P76" s="24">
        <f>SUMIFS('Saldos Iniciales'!$D:$D,'Saldos Iniciales'!$A:$A,"Arbor Capital Properties")+SUMIFS(Movimientos!$K$1:$K$736,Movimientos!$C$1:$C$736,"Arbor Capital Properties",Movimientos!$B$1:$B$736,"&lt;="&amp;$B76)</f>
        <v>1412.08</v>
      </c>
      <c r="Q76" s="24">
        <f>SUMIFS('Saldos Iniciales'!$D:$D,'Saldos Iniciales'!$A:$A,"2515 Overbrook")+SUMIFS(Movimientos!$K$1:$K$736,Movimientos!$C$1:$C$736,"2515 Overbrook",Movimientos!$B$1:$B$736,"&lt;="&amp;$B76)</f>
        <v>22347.56999999996</v>
      </c>
      <c r="R76" s="24">
        <f>SUMIFS('Saldos Iniciales'!$D:$D,'Saldos Iniciales'!$A:$A,"112 Florida Ave")+SUMIFS(Movimientos!$K$1:$K$736,Movimientos!$C$1:$C$736,"112 Florida Ave",Movimientos!$B$1:$B$736,"&lt;="&amp;$B76)</f>
        <v>6522.8000000000029</v>
      </c>
      <c r="S76" s="24">
        <f>SUMIFS('Saldos Iniciales'!$D:$D,'Saldos Iniciales'!$A:$A,"3628 Thomas Ave")+SUMIFS(Movimientos!$K$1:$K$736,Movimientos!$C$1:$C$736,"3628 Thomas Ave",Movimientos!$B$1:$B$736,"&lt;="&amp;$B76)</f>
        <v>24085.559999999998</v>
      </c>
      <c r="T76" s="24">
        <f>SUMIFS('Saldos Iniciales'!$D:$D,'Saldos Iniciales'!$A:$A,"Green Harbor Trust")+SUMIFS(Movimientos!$K$1:$K$736,Movimientos!$C$1:$C$736,"Green Harbor Trust",Movimientos!$B$1:$B$736,"&lt;="&amp;$B76)</f>
        <v>345</v>
      </c>
      <c r="U76" s="24">
        <f>SUMIFS('Saldos Iniciales'!$D:$D,'Saldos Iniciales'!$A:$A,"Go Blue")+SUMIFS(Movimientos!$K$1:$K$736,Movimientos!$C$1:$C$736,"Go Blue",Movimientos!$B$1:$B$736,"&lt;="&amp;$B76)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Group")+SUMIFS(Movimientos!$K$1:$K$736,Movimientos!$C$1:$C$736,"CFT Group",Movimientos!$B$1:$B$736,"&lt;="&amp;$B77)</f>
        <v>3363755.7500000005</v>
      </c>
      <c r="D77" s="24">
        <f>SUMIFS('Saldos Iniciales'!$D:$D,'Saldos Iniciales'!$A:$A,"M1B")+SUMIFS(Movimientos!$K$1:$K$736,Movimientos!$C$1:$C$736,"M1B",Movimientos!$B$1:$B$736,"&lt;="&amp;$B77)</f>
        <v>73157.680000000168</v>
      </c>
      <c r="E77" s="24">
        <f>SUMIFS('Saldos Iniciales'!$D:$D,'Saldos Iniciales'!$A:$A,"Durand")+SUMIFS(Movimientos!$K$1:$K$736,Movimientos!$C$1:$C$736,"Durand",Movimientos!$B$1:$B$736,"&lt;="&amp;$B77)</f>
        <v>1669.89</v>
      </c>
      <c r="F77" s="24">
        <f>SUMIFS('Saldos Iniciales'!$D:$D,'Saldos Iniciales'!$A:$A,"A&amp;M Imports")+SUMIFS(Movimientos!$K$1:$K$736,Movimientos!$C$1:$C$736,"A&amp;M Imports",Movimientos!$B$1:$B$736,"&lt;="&amp;$B77)</f>
        <v>1089804.7499999998</v>
      </c>
      <c r="G77" s="24">
        <f>SUMIFS('Saldos Iniciales'!$D:$D,'Saldos Iniciales'!$A:$A,"SSP Capital")+SUMIFS(Movimientos!$K$1:$K$736,Movimientos!$C$1:$C$736,"SSP Capital",Movimientos!$B$1:$B$736,"&lt;="&amp;$B77)</f>
        <v>1856513.4499999993</v>
      </c>
      <c r="H77" s="24">
        <f>SUMIFS('Saldos Iniciales'!$D:$D,'Saldos Iniciales'!$A:$A,"Cross Family Trust")+SUMIFS(Movimientos!$K$1:$K$736,Movimientos!$C$1:$C$736,"Cross Family Trust",Movimientos!$B$1:$B$736,"&lt;="&amp;$B77)</f>
        <v>200496.38</v>
      </c>
      <c r="I77" s="24">
        <f>SUMIFS('Saldos Iniciales'!$D:$D,'Saldos Iniciales'!$A:$A,"Cross Security Trust")+SUMIFS(Movimientos!$K$1:$K$736,Movimientos!$C$1:$C$736,"Cross Security Trust",Movimientos!$B$1:$B$736,"&lt;="&amp;$B77)</f>
        <v>88090.37</v>
      </c>
      <c r="J77" s="24">
        <f>SUMIFS('Saldos Iniciales'!$D:$D,'Saldos Iniciales'!$A:$A,"Electrama")+SUMIFS(Movimientos!$K$1:$K$736,Movimientos!$C$1:$C$736,"Electrama",Movimientos!$B$1:$B$736,"&lt;="&amp;$B77)</f>
        <v>14580.45</v>
      </c>
      <c r="K77" s="24">
        <f>SUMIFS('Saldos Iniciales'!$D:$D,'Saldos Iniciales'!$A:$A,"Sacred Valley Capital")+SUMIFS(Movimientos!$K$1:$K$736,Movimientos!$C$1:$C$736,"Sacred Valley Capital",Movimientos!$B$1:$B$736,"&lt;="&amp;$B77)</f>
        <v>54.400000000000006</v>
      </c>
      <c r="L77" s="24">
        <f>SUMIFS('Saldos Iniciales'!$D:$D,'Saldos Iniciales'!$A:$A,"YWC Capital")+SUMIFS(Movimientos!$K$1:$K$736,Movimientos!$C$1:$C$736,"YWC Capital",Movimientos!$B$1:$B$736,"&lt;="&amp;$B77)</f>
        <v>2207.8200000000002</v>
      </c>
      <c r="M77" s="24">
        <f>SUMIFS('Saldos Iniciales'!$D:$D,'Saldos Iniciales'!$A:$A,"Soweto")+SUMIFS(Movimientos!$K$1:$K$736,Movimientos!$C$1:$C$736,"Soweto",Movimientos!$B$1:$B$736,"&lt;="&amp;$B77)</f>
        <v>1454589.72</v>
      </c>
      <c r="N77" s="24">
        <f>SUMIFS('Saldos Iniciales'!$D:$D,'Saldos Iniciales'!$A:$A,"Green Stone Trust")+SUMIFS(Movimientos!$K$1:$K$736,Movimientos!$C$1:$C$736,"Green Stone Trust",Movimientos!$B$1:$B$736,"&lt;="&amp;$B77)</f>
        <v>1968.99</v>
      </c>
      <c r="O77" s="24">
        <f>SUMIFS('Saldos Iniciales'!$D:$D,'Saldos Iniciales'!$A:$A,"EC Auto")+SUMIFS(Movimientos!$K$1:$K$736,Movimientos!$C$1:$C$736,"EC Auto",Movimientos!$B$1:$B$736,"&lt;="&amp;$B77)</f>
        <v>901.34</v>
      </c>
      <c r="P77" s="24">
        <f>SUMIFS('Saldos Iniciales'!$D:$D,'Saldos Iniciales'!$A:$A,"Arbor Capital Properties")+SUMIFS(Movimientos!$K$1:$K$736,Movimientos!$C$1:$C$736,"Arbor Capital Properties",Movimientos!$B$1:$B$736,"&lt;="&amp;$B77)</f>
        <v>1412.08</v>
      </c>
      <c r="Q77" s="24">
        <f>SUMIFS('Saldos Iniciales'!$D:$D,'Saldos Iniciales'!$A:$A,"2515 Overbrook")+SUMIFS(Movimientos!$K$1:$K$736,Movimientos!$C$1:$C$736,"2515 Overbrook",Movimientos!$B$1:$B$736,"&lt;="&amp;$B77)</f>
        <v>22347.56999999996</v>
      </c>
      <c r="R77" s="24">
        <f>SUMIFS('Saldos Iniciales'!$D:$D,'Saldos Iniciales'!$A:$A,"112 Florida Ave")+SUMIFS(Movimientos!$K$1:$K$736,Movimientos!$C$1:$C$736,"112 Florida Ave",Movimientos!$B$1:$B$736,"&lt;="&amp;$B77)</f>
        <v>6522.8000000000029</v>
      </c>
      <c r="S77" s="24">
        <f>SUMIFS('Saldos Iniciales'!$D:$D,'Saldos Iniciales'!$A:$A,"3628 Thomas Ave")+SUMIFS(Movimientos!$K$1:$K$736,Movimientos!$C$1:$C$736,"3628 Thomas Ave",Movimientos!$B$1:$B$736,"&lt;="&amp;$B77)</f>
        <v>24085.559999999998</v>
      </c>
      <c r="T77" s="24">
        <f>SUMIFS('Saldos Iniciales'!$D:$D,'Saldos Iniciales'!$A:$A,"Green Harbor Trust")+SUMIFS(Movimientos!$K$1:$K$736,Movimientos!$C$1:$C$736,"Green Harbor Trust",Movimientos!$B$1:$B$736,"&lt;="&amp;$B77)</f>
        <v>345</v>
      </c>
      <c r="U77" s="24">
        <f>SUMIFS('Saldos Iniciales'!$D:$D,'Saldos Iniciales'!$A:$A,"Go Blue")+SUMIFS(Movimientos!$K$1:$K$736,Movimientos!$C$1:$C$736,"Go Blue",Movimientos!$B$1:$B$736,"&lt;="&amp;$B77)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Group")+SUMIFS(Movimientos!$K$1:$K$736,Movimientos!$C$1:$C$736,"CFT Group",Movimientos!$B$1:$B$736,"&lt;="&amp;$B78)</f>
        <v>3110339.0700000008</v>
      </c>
      <c r="D78" s="24">
        <f>SUMIFS('Saldos Iniciales'!$D:$D,'Saldos Iniciales'!$A:$A,"M1B")+SUMIFS(Movimientos!$K$1:$K$736,Movimientos!$C$1:$C$736,"M1B",Movimientos!$B$1:$B$736,"&lt;="&amp;$B78)</f>
        <v>73157.680000000168</v>
      </c>
      <c r="E78" s="24">
        <f>SUMIFS('Saldos Iniciales'!$D:$D,'Saldos Iniciales'!$A:$A,"Durand")+SUMIFS(Movimientos!$K$1:$K$736,Movimientos!$C$1:$C$736,"Durand",Movimientos!$B$1:$B$736,"&lt;="&amp;$B78)</f>
        <v>1669.89</v>
      </c>
      <c r="F78" s="24">
        <f>SUMIFS('Saldos Iniciales'!$D:$D,'Saldos Iniciales'!$A:$A,"A&amp;M Imports")+SUMIFS(Movimientos!$K$1:$K$736,Movimientos!$C$1:$C$736,"A&amp;M Imports",Movimientos!$B$1:$B$736,"&lt;="&amp;$B78)</f>
        <v>1029804.7499999998</v>
      </c>
      <c r="G78" s="24">
        <f>SUMIFS('Saldos Iniciales'!$D:$D,'Saldos Iniciales'!$A:$A,"SSP Capital")+SUMIFS(Movimientos!$K$1:$K$736,Movimientos!$C$1:$C$736,"SSP Capital",Movimientos!$B$1:$B$736,"&lt;="&amp;$B78)</f>
        <v>1678189.7499999995</v>
      </c>
      <c r="H78" s="24">
        <f>SUMIFS('Saldos Iniciales'!$D:$D,'Saldos Iniciales'!$A:$A,"Cross Family Trust")+SUMIFS(Movimientos!$K$1:$K$736,Movimientos!$C$1:$C$736,"Cross Family Trust",Movimientos!$B$1:$B$736,"&lt;="&amp;$B78)</f>
        <v>200496.38</v>
      </c>
      <c r="I78" s="24">
        <f>SUMIFS('Saldos Iniciales'!$D:$D,'Saldos Iniciales'!$A:$A,"Cross Security Trust")+SUMIFS(Movimientos!$K$1:$K$736,Movimientos!$C$1:$C$736,"Cross Security Trust",Movimientos!$B$1:$B$736,"&lt;="&amp;$B78)</f>
        <v>88090.37</v>
      </c>
      <c r="J78" s="24">
        <f>SUMIFS('Saldos Iniciales'!$D:$D,'Saldos Iniciales'!$A:$A,"Electrama")+SUMIFS(Movimientos!$K$1:$K$736,Movimientos!$C$1:$C$736,"Electrama",Movimientos!$B$1:$B$736,"&lt;="&amp;$B78)</f>
        <v>14580.45</v>
      </c>
      <c r="K78" s="24">
        <f>SUMIFS('Saldos Iniciales'!$D:$D,'Saldos Iniciales'!$A:$A,"Sacred Valley Capital")+SUMIFS(Movimientos!$K$1:$K$736,Movimientos!$C$1:$C$736,"Sacred Valley Capital",Movimientos!$B$1:$B$736,"&lt;="&amp;$B78)</f>
        <v>54.400000000000006</v>
      </c>
      <c r="L78" s="24">
        <f>SUMIFS('Saldos Iniciales'!$D:$D,'Saldos Iniciales'!$A:$A,"YWC Capital")+SUMIFS(Movimientos!$K$1:$K$736,Movimientos!$C$1:$C$736,"YWC Capital",Movimientos!$B$1:$B$736,"&lt;="&amp;$B78)</f>
        <v>2207.8200000000002</v>
      </c>
      <c r="M78" s="24">
        <f>SUMIFS('Saldos Iniciales'!$D:$D,'Saldos Iniciales'!$A:$A,"Soweto")+SUMIFS(Movimientos!$K$1:$K$736,Movimientos!$C$1:$C$736,"Soweto",Movimientos!$B$1:$B$736,"&lt;="&amp;$B78)</f>
        <v>1454589.72</v>
      </c>
      <c r="N78" s="24">
        <f>SUMIFS('Saldos Iniciales'!$D:$D,'Saldos Iniciales'!$A:$A,"Green Stone Trust")+SUMIFS(Movimientos!$K$1:$K$736,Movimientos!$C$1:$C$736,"Green Stone Trust",Movimientos!$B$1:$B$736,"&lt;="&amp;$B78)</f>
        <v>1968.99</v>
      </c>
      <c r="O78" s="24">
        <f>SUMIFS('Saldos Iniciales'!$D:$D,'Saldos Iniciales'!$A:$A,"EC Auto")+SUMIFS(Movimientos!$K$1:$K$736,Movimientos!$C$1:$C$736,"EC Auto",Movimientos!$B$1:$B$736,"&lt;="&amp;$B78)</f>
        <v>901.34</v>
      </c>
      <c r="P78" s="24">
        <f>SUMIFS('Saldos Iniciales'!$D:$D,'Saldos Iniciales'!$A:$A,"Arbor Capital Properties")+SUMIFS(Movimientos!$K$1:$K$736,Movimientos!$C$1:$C$736,"Arbor Capital Properties",Movimientos!$B$1:$B$736,"&lt;="&amp;$B78)</f>
        <v>1412.08</v>
      </c>
      <c r="Q78" s="24">
        <f>SUMIFS('Saldos Iniciales'!$D:$D,'Saldos Iniciales'!$A:$A,"2515 Overbrook")+SUMIFS(Movimientos!$K$1:$K$736,Movimientos!$C$1:$C$736,"2515 Overbrook",Movimientos!$B$1:$B$736,"&lt;="&amp;$B78)</f>
        <v>22347.56999999996</v>
      </c>
      <c r="R78" s="24">
        <f>SUMIFS('Saldos Iniciales'!$D:$D,'Saldos Iniciales'!$A:$A,"112 Florida Ave")+SUMIFS(Movimientos!$K$1:$K$736,Movimientos!$C$1:$C$736,"112 Florida Ave",Movimientos!$B$1:$B$736,"&lt;="&amp;$B78)</f>
        <v>3522.8000000000029</v>
      </c>
      <c r="S78" s="24">
        <f>SUMIFS('Saldos Iniciales'!$D:$D,'Saldos Iniciales'!$A:$A,"3628 Thomas Ave")+SUMIFS(Movimientos!$K$1:$K$736,Movimientos!$C$1:$C$736,"3628 Thomas Ave",Movimientos!$B$1:$B$736,"&lt;="&amp;$B78)</f>
        <v>24085.559999999998</v>
      </c>
      <c r="T78" s="24">
        <f>SUMIFS('Saldos Iniciales'!$D:$D,'Saldos Iniciales'!$A:$A,"Green Harbor Trust")+SUMIFS(Movimientos!$K$1:$K$736,Movimientos!$C$1:$C$736,"Green Harbor Trust",Movimientos!$B$1:$B$736,"&lt;="&amp;$B78)</f>
        <v>345</v>
      </c>
      <c r="U78" s="24">
        <f>SUMIFS('Saldos Iniciales'!$D:$D,'Saldos Iniciales'!$A:$A,"Go Blue")+SUMIFS(Movimientos!$K$1:$K$736,Movimientos!$C$1:$C$736,"Go Blue",Movimientos!$B$1:$B$736,"&lt;="&amp;$B78)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Group")+SUMIFS(Movimientos!$K$1:$K$736,Movimientos!$C$1:$C$736,"CFT Group",Movimientos!$B$1:$B$736,"&lt;="&amp;$B79)</f>
        <v>3110339.0700000008</v>
      </c>
      <c r="D79" s="24">
        <f>SUMIFS('Saldos Iniciales'!$D:$D,'Saldos Iniciales'!$A:$A,"M1B")+SUMIFS(Movimientos!$K$1:$K$736,Movimientos!$C$1:$C$736,"M1B",Movimientos!$B$1:$B$736,"&lt;="&amp;$B79)</f>
        <v>73157.680000000168</v>
      </c>
      <c r="E79" s="24">
        <f>SUMIFS('Saldos Iniciales'!$D:$D,'Saldos Iniciales'!$A:$A,"Durand")+SUMIFS(Movimientos!$K$1:$K$736,Movimientos!$C$1:$C$736,"Durand",Movimientos!$B$1:$B$736,"&lt;="&amp;$B79)</f>
        <v>1669.89</v>
      </c>
      <c r="F79" s="24">
        <f>SUMIFS('Saldos Iniciales'!$D:$D,'Saldos Iniciales'!$A:$A,"A&amp;M Imports")+SUMIFS(Movimientos!$K$1:$K$736,Movimientos!$C$1:$C$736,"A&amp;M Imports",Movimientos!$B$1:$B$736,"&lt;="&amp;$B79)</f>
        <v>1029804.7499999998</v>
      </c>
      <c r="G79" s="24">
        <f>SUMIFS('Saldos Iniciales'!$D:$D,'Saldos Iniciales'!$A:$A,"SSP Capital")+SUMIFS(Movimientos!$K$1:$K$736,Movimientos!$C$1:$C$736,"SSP Capital",Movimientos!$B$1:$B$736,"&lt;="&amp;$B79)</f>
        <v>1748189.7499999995</v>
      </c>
      <c r="H79" s="24">
        <f>SUMIFS('Saldos Iniciales'!$D:$D,'Saldos Iniciales'!$A:$A,"Cross Family Trust")+SUMIFS(Movimientos!$K$1:$K$736,Movimientos!$C$1:$C$736,"Cross Family Trust",Movimientos!$B$1:$B$736,"&lt;="&amp;$B79)</f>
        <v>200496.38</v>
      </c>
      <c r="I79" s="24">
        <f>SUMIFS('Saldos Iniciales'!$D:$D,'Saldos Iniciales'!$A:$A,"Cross Security Trust")+SUMIFS(Movimientos!$K$1:$K$736,Movimientos!$C$1:$C$736,"Cross Security Trust",Movimientos!$B$1:$B$736,"&lt;="&amp;$B79)</f>
        <v>88090.37</v>
      </c>
      <c r="J79" s="24">
        <f>SUMIFS('Saldos Iniciales'!$D:$D,'Saldos Iniciales'!$A:$A,"Electrama")+SUMIFS(Movimientos!$K$1:$K$736,Movimientos!$C$1:$C$736,"Electrama",Movimientos!$B$1:$B$736,"&lt;="&amp;$B79)</f>
        <v>14580.45</v>
      </c>
      <c r="K79" s="24">
        <f>SUMIFS('Saldos Iniciales'!$D:$D,'Saldos Iniciales'!$A:$A,"Sacred Valley Capital")+SUMIFS(Movimientos!$K$1:$K$736,Movimientos!$C$1:$C$736,"Sacred Valley Capital",Movimientos!$B$1:$B$736,"&lt;="&amp;$B79)</f>
        <v>54.400000000000006</v>
      </c>
      <c r="L79" s="24">
        <f>SUMIFS('Saldos Iniciales'!$D:$D,'Saldos Iniciales'!$A:$A,"YWC Capital")+SUMIFS(Movimientos!$K$1:$K$736,Movimientos!$C$1:$C$736,"YWC Capital",Movimientos!$B$1:$B$736,"&lt;="&amp;$B79)</f>
        <v>2207.8200000000002</v>
      </c>
      <c r="M79" s="24">
        <f>SUMIFS('Saldos Iniciales'!$D:$D,'Saldos Iniciales'!$A:$A,"Soweto")+SUMIFS(Movimientos!$K$1:$K$736,Movimientos!$C$1:$C$736,"Soweto",Movimientos!$B$1:$B$736,"&lt;="&amp;$B79)</f>
        <v>1454589.72</v>
      </c>
      <c r="N79" s="24">
        <f>SUMIFS('Saldos Iniciales'!$D:$D,'Saldos Iniciales'!$A:$A,"Green Stone Trust")+SUMIFS(Movimientos!$K$1:$K$736,Movimientos!$C$1:$C$736,"Green Stone Trust",Movimientos!$B$1:$B$736,"&lt;="&amp;$B79)</f>
        <v>1968.99</v>
      </c>
      <c r="O79" s="24">
        <f>SUMIFS('Saldos Iniciales'!$D:$D,'Saldos Iniciales'!$A:$A,"EC Auto")+SUMIFS(Movimientos!$K$1:$K$736,Movimientos!$C$1:$C$736,"EC Auto",Movimientos!$B$1:$B$736,"&lt;="&amp;$B79)</f>
        <v>901.34</v>
      </c>
      <c r="P79" s="24">
        <f>SUMIFS('Saldos Iniciales'!$D:$D,'Saldos Iniciales'!$A:$A,"Arbor Capital Properties")+SUMIFS(Movimientos!$K$1:$K$736,Movimientos!$C$1:$C$736,"Arbor Capital Properties",Movimientos!$B$1:$B$736,"&lt;="&amp;$B79)</f>
        <v>1412.08</v>
      </c>
      <c r="Q79" s="24">
        <f>SUMIFS('Saldos Iniciales'!$D:$D,'Saldos Iniciales'!$A:$A,"2515 Overbrook")+SUMIFS(Movimientos!$K$1:$K$736,Movimientos!$C$1:$C$736,"2515 Overbrook",Movimientos!$B$1:$B$736,"&lt;="&amp;$B79)</f>
        <v>22347.56999999996</v>
      </c>
      <c r="R79" s="24">
        <f>SUMIFS('Saldos Iniciales'!$D:$D,'Saldos Iniciales'!$A:$A,"112 Florida Ave")+SUMIFS(Movimientos!$K$1:$K$736,Movimientos!$C$1:$C$736,"112 Florida Ave",Movimientos!$B$1:$B$736,"&lt;="&amp;$B79)</f>
        <v>3522.8000000000029</v>
      </c>
      <c r="S79" s="24">
        <f>SUMIFS('Saldos Iniciales'!$D:$D,'Saldos Iniciales'!$A:$A,"3628 Thomas Ave")+SUMIFS(Movimientos!$K$1:$K$736,Movimientos!$C$1:$C$736,"3628 Thomas Ave",Movimientos!$B$1:$B$736,"&lt;="&amp;$B79)</f>
        <v>24085.559999999998</v>
      </c>
      <c r="T79" s="24">
        <f>SUMIFS('Saldos Iniciales'!$D:$D,'Saldos Iniciales'!$A:$A,"Green Harbor Trust")+SUMIFS(Movimientos!$K$1:$K$736,Movimientos!$C$1:$C$736,"Green Harbor Trust",Movimientos!$B$1:$B$736,"&lt;="&amp;$B79)</f>
        <v>345</v>
      </c>
      <c r="U79" s="24">
        <f>SUMIFS('Saldos Iniciales'!$D:$D,'Saldos Iniciales'!$A:$A,"Go Blue")+SUMIFS(Movimientos!$K$1:$K$736,Movimientos!$C$1:$C$736,"Go Blue",Movimientos!$B$1:$B$736,"&lt;="&amp;$B79)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Group")+SUMIFS(Movimientos!$K$1:$K$736,Movimientos!$C$1:$C$736,"CFT Group",Movimientos!$B$1:$B$736,"&lt;="&amp;$B80)</f>
        <v>3110339.0700000008</v>
      </c>
      <c r="D80" s="24">
        <f>SUMIFS('Saldos Iniciales'!$D:$D,'Saldos Iniciales'!$A:$A,"M1B")+SUMIFS(Movimientos!$K$1:$K$736,Movimientos!$C$1:$C$736,"M1B",Movimientos!$B$1:$B$736,"&lt;="&amp;$B80)</f>
        <v>73157.680000000168</v>
      </c>
      <c r="E80" s="24">
        <f>SUMIFS('Saldos Iniciales'!$D:$D,'Saldos Iniciales'!$A:$A,"Durand")+SUMIFS(Movimientos!$K$1:$K$736,Movimientos!$C$1:$C$736,"Durand",Movimientos!$B$1:$B$736,"&lt;="&amp;$B80)</f>
        <v>1669.89</v>
      </c>
      <c r="F80" s="24">
        <f>SUMIFS('Saldos Iniciales'!$D:$D,'Saldos Iniciales'!$A:$A,"A&amp;M Imports")+SUMIFS(Movimientos!$K$1:$K$736,Movimientos!$C$1:$C$736,"A&amp;M Imports",Movimientos!$B$1:$B$736,"&lt;="&amp;$B80)</f>
        <v>1029804.7499999998</v>
      </c>
      <c r="G80" s="24">
        <f>SUMIFS('Saldos Iniciales'!$D:$D,'Saldos Iniciales'!$A:$A,"SSP Capital")+SUMIFS(Movimientos!$K$1:$K$736,Movimientos!$C$1:$C$736,"SSP Capital",Movimientos!$B$1:$B$736,"&lt;="&amp;$B80)</f>
        <v>1748189.7499999995</v>
      </c>
      <c r="H80" s="24">
        <f>SUMIFS('Saldos Iniciales'!$D:$D,'Saldos Iniciales'!$A:$A,"Cross Family Trust")+SUMIFS(Movimientos!$K$1:$K$736,Movimientos!$C$1:$C$736,"Cross Family Trust",Movimientos!$B$1:$B$736,"&lt;="&amp;$B80)</f>
        <v>200496.38</v>
      </c>
      <c r="I80" s="24">
        <f>SUMIFS('Saldos Iniciales'!$D:$D,'Saldos Iniciales'!$A:$A,"Cross Security Trust")+SUMIFS(Movimientos!$K$1:$K$736,Movimientos!$C$1:$C$736,"Cross Security Trust",Movimientos!$B$1:$B$736,"&lt;="&amp;$B80)</f>
        <v>88090.37</v>
      </c>
      <c r="J80" s="24">
        <f>SUMIFS('Saldos Iniciales'!$D:$D,'Saldos Iniciales'!$A:$A,"Electrama")+SUMIFS(Movimientos!$K$1:$K$736,Movimientos!$C$1:$C$736,"Electrama",Movimientos!$B$1:$B$736,"&lt;="&amp;$B80)</f>
        <v>14580.45</v>
      </c>
      <c r="K80" s="24">
        <f>SUMIFS('Saldos Iniciales'!$D:$D,'Saldos Iniciales'!$A:$A,"Sacred Valley Capital")+SUMIFS(Movimientos!$K$1:$K$736,Movimientos!$C$1:$C$736,"Sacred Valley Capital",Movimientos!$B$1:$B$736,"&lt;="&amp;$B80)</f>
        <v>54.400000000000006</v>
      </c>
      <c r="L80" s="24">
        <f>SUMIFS('Saldos Iniciales'!$D:$D,'Saldos Iniciales'!$A:$A,"YWC Capital")+SUMIFS(Movimientos!$K$1:$K$736,Movimientos!$C$1:$C$736,"YWC Capital",Movimientos!$B$1:$B$736,"&lt;="&amp;$B80)</f>
        <v>2207.8200000000002</v>
      </c>
      <c r="M80" s="24">
        <f>SUMIFS('Saldos Iniciales'!$D:$D,'Saldos Iniciales'!$A:$A,"Soweto")+SUMIFS(Movimientos!$K$1:$K$736,Movimientos!$C$1:$C$736,"Soweto",Movimientos!$B$1:$B$736,"&lt;="&amp;$B80)</f>
        <v>1454589.72</v>
      </c>
      <c r="N80" s="24">
        <f>SUMIFS('Saldos Iniciales'!$D:$D,'Saldos Iniciales'!$A:$A,"Green Stone Trust")+SUMIFS(Movimientos!$K$1:$K$736,Movimientos!$C$1:$C$736,"Green Stone Trust",Movimientos!$B$1:$B$736,"&lt;="&amp;$B80)</f>
        <v>1968.99</v>
      </c>
      <c r="O80" s="24">
        <f>SUMIFS('Saldos Iniciales'!$D:$D,'Saldos Iniciales'!$A:$A,"EC Auto")+SUMIFS(Movimientos!$K$1:$K$736,Movimientos!$C$1:$C$736,"EC Auto",Movimientos!$B$1:$B$736,"&lt;="&amp;$B80)</f>
        <v>901.34</v>
      </c>
      <c r="P80" s="24">
        <f>SUMIFS('Saldos Iniciales'!$D:$D,'Saldos Iniciales'!$A:$A,"Arbor Capital Properties")+SUMIFS(Movimientos!$K$1:$K$736,Movimientos!$C$1:$C$736,"Arbor Capital Properties",Movimientos!$B$1:$B$736,"&lt;="&amp;$B80)</f>
        <v>1412.08</v>
      </c>
      <c r="Q80" s="24">
        <f>SUMIFS('Saldos Iniciales'!$D:$D,'Saldos Iniciales'!$A:$A,"2515 Overbrook")+SUMIFS(Movimientos!$K$1:$K$736,Movimientos!$C$1:$C$736,"2515 Overbrook",Movimientos!$B$1:$B$736,"&lt;="&amp;$B80)</f>
        <v>22347.56999999996</v>
      </c>
      <c r="R80" s="24">
        <f>SUMIFS('Saldos Iniciales'!$D:$D,'Saldos Iniciales'!$A:$A,"112 Florida Ave")+SUMIFS(Movimientos!$K$1:$K$736,Movimientos!$C$1:$C$736,"112 Florida Ave",Movimientos!$B$1:$B$736,"&lt;="&amp;$B80)</f>
        <v>3522.8000000000029</v>
      </c>
      <c r="S80" s="24">
        <f>SUMIFS('Saldos Iniciales'!$D:$D,'Saldos Iniciales'!$A:$A,"3628 Thomas Ave")+SUMIFS(Movimientos!$K$1:$K$736,Movimientos!$C$1:$C$736,"3628 Thomas Ave",Movimientos!$B$1:$B$736,"&lt;="&amp;$B80)</f>
        <v>24085.559999999998</v>
      </c>
      <c r="T80" s="24">
        <f>SUMIFS('Saldos Iniciales'!$D:$D,'Saldos Iniciales'!$A:$A,"Green Harbor Trust")+SUMIFS(Movimientos!$K$1:$K$736,Movimientos!$C$1:$C$736,"Green Harbor Trust",Movimientos!$B$1:$B$736,"&lt;="&amp;$B80)</f>
        <v>345</v>
      </c>
      <c r="U80" s="24">
        <f>SUMIFS('Saldos Iniciales'!$D:$D,'Saldos Iniciales'!$A:$A,"Go Blue")+SUMIFS(Movimientos!$K$1:$K$736,Movimientos!$C$1:$C$736,"Go Blue",Movimientos!$B$1:$B$736,"&lt;="&amp;$B80)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Group")+SUMIFS(Movimientos!$K$1:$K$736,Movimientos!$C$1:$C$736,"CFT Group",Movimientos!$B$1:$B$736,"&lt;="&amp;$B81)</f>
        <v>3110339.0700000008</v>
      </c>
      <c r="D81" s="24">
        <f>SUMIFS('Saldos Iniciales'!$D:$D,'Saldos Iniciales'!$A:$A,"M1B")+SUMIFS(Movimientos!$K$1:$K$736,Movimientos!$C$1:$C$736,"M1B",Movimientos!$B$1:$B$736,"&lt;="&amp;$B81)</f>
        <v>73157.680000000168</v>
      </c>
      <c r="E81" s="24">
        <f>SUMIFS('Saldos Iniciales'!$D:$D,'Saldos Iniciales'!$A:$A,"Durand")+SUMIFS(Movimientos!$K$1:$K$736,Movimientos!$C$1:$C$736,"Durand",Movimientos!$B$1:$B$736,"&lt;="&amp;$B81)</f>
        <v>1669.89</v>
      </c>
      <c r="F81" s="24">
        <f>SUMIFS('Saldos Iniciales'!$D:$D,'Saldos Iniciales'!$A:$A,"A&amp;M Imports")+SUMIFS(Movimientos!$K$1:$K$736,Movimientos!$C$1:$C$736,"A&amp;M Imports",Movimientos!$B$1:$B$736,"&lt;="&amp;$B81)</f>
        <v>1029804.7499999998</v>
      </c>
      <c r="G81" s="24">
        <f>SUMIFS('Saldos Iniciales'!$D:$D,'Saldos Iniciales'!$A:$A,"SSP Capital")+SUMIFS(Movimientos!$K$1:$K$736,Movimientos!$C$1:$C$736,"SSP Capital",Movimientos!$B$1:$B$736,"&lt;="&amp;$B81)</f>
        <v>1748189.7499999995</v>
      </c>
      <c r="H81" s="24">
        <f>SUMIFS('Saldos Iniciales'!$D:$D,'Saldos Iniciales'!$A:$A,"Cross Family Trust")+SUMIFS(Movimientos!$K$1:$K$736,Movimientos!$C$1:$C$736,"Cross Family Trust",Movimientos!$B$1:$B$736,"&lt;="&amp;$B81)</f>
        <v>200496.38</v>
      </c>
      <c r="I81" s="24">
        <f>SUMIFS('Saldos Iniciales'!$D:$D,'Saldos Iniciales'!$A:$A,"Cross Security Trust")+SUMIFS(Movimientos!$K$1:$K$736,Movimientos!$C$1:$C$736,"Cross Security Trust",Movimientos!$B$1:$B$736,"&lt;="&amp;$B81)</f>
        <v>88090.37</v>
      </c>
      <c r="J81" s="24">
        <f>SUMIFS('Saldos Iniciales'!$D:$D,'Saldos Iniciales'!$A:$A,"Electrama")+SUMIFS(Movimientos!$K$1:$K$736,Movimientos!$C$1:$C$736,"Electrama",Movimientos!$B$1:$B$736,"&lt;="&amp;$B81)</f>
        <v>14580.45</v>
      </c>
      <c r="K81" s="24">
        <f>SUMIFS('Saldos Iniciales'!$D:$D,'Saldos Iniciales'!$A:$A,"Sacred Valley Capital")+SUMIFS(Movimientos!$K$1:$K$736,Movimientos!$C$1:$C$736,"Sacred Valley Capital",Movimientos!$B$1:$B$736,"&lt;="&amp;$B81)</f>
        <v>54.400000000000006</v>
      </c>
      <c r="L81" s="24">
        <f>SUMIFS('Saldos Iniciales'!$D:$D,'Saldos Iniciales'!$A:$A,"YWC Capital")+SUMIFS(Movimientos!$K$1:$K$736,Movimientos!$C$1:$C$736,"YWC Capital",Movimientos!$B$1:$B$736,"&lt;="&amp;$B81)</f>
        <v>2207.8200000000002</v>
      </c>
      <c r="M81" s="24">
        <f>SUMIFS('Saldos Iniciales'!$D:$D,'Saldos Iniciales'!$A:$A,"Soweto")+SUMIFS(Movimientos!$K$1:$K$736,Movimientos!$C$1:$C$736,"Soweto",Movimientos!$B$1:$B$736,"&lt;="&amp;$B81)</f>
        <v>1454589.72</v>
      </c>
      <c r="N81" s="24">
        <f>SUMIFS('Saldos Iniciales'!$D:$D,'Saldos Iniciales'!$A:$A,"Green Stone Trust")+SUMIFS(Movimientos!$K$1:$K$736,Movimientos!$C$1:$C$736,"Green Stone Trust",Movimientos!$B$1:$B$736,"&lt;="&amp;$B81)</f>
        <v>1968.99</v>
      </c>
      <c r="O81" s="24">
        <f>SUMIFS('Saldos Iniciales'!$D:$D,'Saldos Iniciales'!$A:$A,"EC Auto")+SUMIFS(Movimientos!$K$1:$K$736,Movimientos!$C$1:$C$736,"EC Auto",Movimientos!$B$1:$B$736,"&lt;="&amp;$B81)</f>
        <v>901.34</v>
      </c>
      <c r="P81" s="24">
        <f>SUMIFS('Saldos Iniciales'!$D:$D,'Saldos Iniciales'!$A:$A,"Arbor Capital Properties")+SUMIFS(Movimientos!$K$1:$K$736,Movimientos!$C$1:$C$736,"Arbor Capital Properties",Movimientos!$B$1:$B$736,"&lt;="&amp;$B81)</f>
        <v>1412.08</v>
      </c>
      <c r="Q81" s="24">
        <f>SUMIFS('Saldos Iniciales'!$D:$D,'Saldos Iniciales'!$A:$A,"2515 Overbrook")+SUMIFS(Movimientos!$K$1:$K$736,Movimientos!$C$1:$C$736,"2515 Overbrook",Movimientos!$B$1:$B$736,"&lt;="&amp;$B81)</f>
        <v>22347.56999999996</v>
      </c>
      <c r="R81" s="24">
        <f>SUMIFS('Saldos Iniciales'!$D:$D,'Saldos Iniciales'!$A:$A,"112 Florida Ave")+SUMIFS(Movimientos!$K$1:$K$736,Movimientos!$C$1:$C$736,"112 Florida Ave",Movimientos!$B$1:$B$736,"&lt;="&amp;$B81)</f>
        <v>3522.8000000000029</v>
      </c>
      <c r="S81" s="24">
        <f>SUMIFS('Saldos Iniciales'!$D:$D,'Saldos Iniciales'!$A:$A,"3628 Thomas Ave")+SUMIFS(Movimientos!$K$1:$K$736,Movimientos!$C$1:$C$736,"3628 Thomas Ave",Movimientos!$B$1:$B$736,"&lt;="&amp;$B81)</f>
        <v>24085.559999999998</v>
      </c>
      <c r="T81" s="24">
        <f>SUMIFS('Saldos Iniciales'!$D:$D,'Saldos Iniciales'!$A:$A,"Green Harbor Trust")+SUMIFS(Movimientos!$K$1:$K$736,Movimientos!$C$1:$C$736,"Green Harbor Trust",Movimientos!$B$1:$B$736,"&lt;="&amp;$B81)</f>
        <v>345</v>
      </c>
      <c r="U81" s="24">
        <f>SUMIFS('Saldos Iniciales'!$D:$D,'Saldos Iniciales'!$A:$A,"Go Blue")+SUMIFS(Movimientos!$K$1:$K$736,Movimientos!$C$1:$C$736,"Go Blue",Movimientos!$B$1:$B$736,"&lt;="&amp;$B81)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Group")+SUMIFS(Movimientos!$K$1:$K$736,Movimientos!$C$1:$C$736,"CFT Group",Movimientos!$B$1:$B$736,"&lt;="&amp;$B82)</f>
        <v>3110339.0700000008</v>
      </c>
      <c r="D82" s="24">
        <f>SUMIFS('Saldos Iniciales'!$D:$D,'Saldos Iniciales'!$A:$A,"M1B")+SUMIFS(Movimientos!$K$1:$K$736,Movimientos!$C$1:$C$736,"M1B",Movimientos!$B$1:$B$736,"&lt;="&amp;$B82)</f>
        <v>73157.680000000168</v>
      </c>
      <c r="E82" s="24">
        <f>SUMIFS('Saldos Iniciales'!$D:$D,'Saldos Iniciales'!$A:$A,"Durand")+SUMIFS(Movimientos!$K$1:$K$736,Movimientos!$C$1:$C$736,"Durand",Movimientos!$B$1:$B$736,"&lt;="&amp;$B82)</f>
        <v>1669.89</v>
      </c>
      <c r="F82" s="24">
        <f>SUMIFS('Saldos Iniciales'!$D:$D,'Saldos Iniciales'!$A:$A,"A&amp;M Imports")+SUMIFS(Movimientos!$K$1:$K$736,Movimientos!$C$1:$C$736,"A&amp;M Imports",Movimientos!$B$1:$B$736,"&lt;="&amp;$B82)</f>
        <v>1029804.7499999998</v>
      </c>
      <c r="G82" s="24">
        <f>SUMIFS('Saldos Iniciales'!$D:$D,'Saldos Iniciales'!$A:$A,"SSP Capital")+SUMIFS(Movimientos!$K$1:$K$736,Movimientos!$C$1:$C$736,"SSP Capital",Movimientos!$B$1:$B$736,"&lt;="&amp;$B82)</f>
        <v>1744257.8699999994</v>
      </c>
      <c r="H82" s="24">
        <f>SUMIFS('Saldos Iniciales'!$D:$D,'Saldos Iniciales'!$A:$A,"Cross Family Trust")+SUMIFS(Movimientos!$K$1:$K$736,Movimientos!$C$1:$C$736,"Cross Family Trust",Movimientos!$B$1:$B$736,"&lt;="&amp;$B82)</f>
        <v>200496.38</v>
      </c>
      <c r="I82" s="24">
        <f>SUMIFS('Saldos Iniciales'!$D:$D,'Saldos Iniciales'!$A:$A,"Cross Security Trust")+SUMIFS(Movimientos!$K$1:$K$736,Movimientos!$C$1:$C$736,"Cross Security Trust",Movimientos!$B$1:$B$736,"&lt;="&amp;$B82)</f>
        <v>88090.37</v>
      </c>
      <c r="J82" s="24">
        <f>SUMIFS('Saldos Iniciales'!$D:$D,'Saldos Iniciales'!$A:$A,"Electrama")+SUMIFS(Movimientos!$K$1:$K$736,Movimientos!$C$1:$C$736,"Electrama",Movimientos!$B$1:$B$736,"&lt;="&amp;$B82)</f>
        <v>14580.45</v>
      </c>
      <c r="K82" s="24">
        <f>SUMIFS('Saldos Iniciales'!$D:$D,'Saldos Iniciales'!$A:$A,"Sacred Valley Capital")+SUMIFS(Movimientos!$K$1:$K$736,Movimientos!$C$1:$C$736,"Sacred Valley Capital",Movimientos!$B$1:$B$736,"&lt;="&amp;$B82)</f>
        <v>54.400000000000006</v>
      </c>
      <c r="L82" s="24">
        <f>SUMIFS('Saldos Iniciales'!$D:$D,'Saldos Iniciales'!$A:$A,"YWC Capital")+SUMIFS(Movimientos!$K$1:$K$736,Movimientos!$C$1:$C$736,"YWC Capital",Movimientos!$B$1:$B$736,"&lt;="&amp;$B82)</f>
        <v>2207.8200000000002</v>
      </c>
      <c r="M82" s="24">
        <f>SUMIFS('Saldos Iniciales'!$D:$D,'Saldos Iniciales'!$A:$A,"Soweto")+SUMIFS(Movimientos!$K$1:$K$736,Movimientos!$C$1:$C$736,"Soweto",Movimientos!$B$1:$B$736,"&lt;="&amp;$B82)</f>
        <v>1454589.72</v>
      </c>
      <c r="N82" s="24">
        <f>SUMIFS('Saldos Iniciales'!$D:$D,'Saldos Iniciales'!$A:$A,"Green Stone Trust")+SUMIFS(Movimientos!$K$1:$K$736,Movimientos!$C$1:$C$736,"Green Stone Trust",Movimientos!$B$1:$B$736,"&lt;="&amp;$B82)</f>
        <v>1968.99</v>
      </c>
      <c r="O82" s="24">
        <f>SUMIFS('Saldos Iniciales'!$D:$D,'Saldos Iniciales'!$A:$A,"EC Auto")+SUMIFS(Movimientos!$K$1:$K$736,Movimientos!$C$1:$C$736,"EC Auto",Movimientos!$B$1:$B$736,"&lt;="&amp;$B82)</f>
        <v>901.34</v>
      </c>
      <c r="P82" s="24">
        <f>SUMIFS('Saldos Iniciales'!$D:$D,'Saldos Iniciales'!$A:$A,"Arbor Capital Properties")+SUMIFS(Movimientos!$K$1:$K$736,Movimientos!$C$1:$C$736,"Arbor Capital Properties",Movimientos!$B$1:$B$736,"&lt;="&amp;$B82)</f>
        <v>1412.08</v>
      </c>
      <c r="Q82" s="24">
        <f>SUMIFS('Saldos Iniciales'!$D:$D,'Saldos Iniciales'!$A:$A,"2515 Overbrook")+SUMIFS(Movimientos!$K$1:$K$736,Movimientos!$C$1:$C$736,"2515 Overbrook",Movimientos!$B$1:$B$736,"&lt;="&amp;$B82)</f>
        <v>22347.56999999996</v>
      </c>
      <c r="R82" s="24">
        <f>SUMIFS('Saldos Iniciales'!$D:$D,'Saldos Iniciales'!$A:$A,"112 Florida Ave")+SUMIFS(Movimientos!$K$1:$K$736,Movimientos!$C$1:$C$736,"112 Florida Ave",Movimientos!$B$1:$B$736,"&lt;="&amp;$B82)</f>
        <v>3522.8000000000029</v>
      </c>
      <c r="S82" s="24">
        <f>SUMIFS('Saldos Iniciales'!$D:$D,'Saldos Iniciales'!$A:$A,"3628 Thomas Ave")+SUMIFS(Movimientos!$K$1:$K$736,Movimientos!$C$1:$C$736,"3628 Thomas Ave",Movimientos!$B$1:$B$736,"&lt;="&amp;$B82)</f>
        <v>24085.559999999998</v>
      </c>
      <c r="T82" s="24">
        <f>SUMIFS('Saldos Iniciales'!$D:$D,'Saldos Iniciales'!$A:$A,"Green Harbor Trust")+SUMIFS(Movimientos!$K$1:$K$736,Movimientos!$C$1:$C$736,"Green Harbor Trust",Movimientos!$B$1:$B$736,"&lt;="&amp;$B82)</f>
        <v>345</v>
      </c>
      <c r="U82" s="24">
        <f>SUMIFS('Saldos Iniciales'!$D:$D,'Saldos Iniciales'!$A:$A,"Go Blue")+SUMIFS(Movimientos!$K$1:$K$736,Movimientos!$C$1:$C$736,"Go Blue",Movimientos!$B$1:$B$736,"&lt;="&amp;$B82)</f>
        <v>14097.480000000003</v>
      </c>
      <c r="V82" s="25">
        <f t="shared" ref="V82:V87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Group")+SUMIFS(Movimientos!$K$1:$K$736,Movimientos!$C$1:$C$736,"CFT Group",Movimientos!$B$1:$B$736,"&lt;="&amp;$B83)</f>
        <v>3110339.0700000008</v>
      </c>
      <c r="D83" s="24">
        <f>SUMIFS('Saldos Iniciales'!$D:$D,'Saldos Iniciales'!$A:$A,"M1B")+SUMIFS(Movimientos!$K$1:$K$736,Movimientos!$C$1:$C$736,"M1B",Movimientos!$B$1:$B$736,"&lt;="&amp;$B83)</f>
        <v>73157.680000000168</v>
      </c>
      <c r="E83" s="24">
        <f>SUMIFS('Saldos Iniciales'!$D:$D,'Saldos Iniciales'!$A:$A,"Durand")+SUMIFS(Movimientos!$K$1:$K$736,Movimientos!$C$1:$C$736,"Durand",Movimientos!$B$1:$B$736,"&lt;="&amp;$B83)</f>
        <v>1669.89</v>
      </c>
      <c r="F83" s="24">
        <f>SUMIFS('Saldos Iniciales'!$D:$D,'Saldos Iniciales'!$A:$A,"A&amp;M Imports")+SUMIFS(Movimientos!$K$1:$K$736,Movimientos!$C$1:$C$736,"A&amp;M Imports",Movimientos!$B$1:$B$736,"&lt;="&amp;$B83)</f>
        <v>1029804.7499999998</v>
      </c>
      <c r="G83" s="24">
        <f>SUMIFS('Saldos Iniciales'!$D:$D,'Saldos Iniciales'!$A:$A,"SSP Capital")+SUMIFS(Movimientos!$K$1:$K$736,Movimientos!$C$1:$C$736,"SSP Capital",Movimientos!$B$1:$B$736,"&lt;="&amp;$B83)</f>
        <v>1744257.8699999994</v>
      </c>
      <c r="H83" s="24">
        <f>SUMIFS('Saldos Iniciales'!$D:$D,'Saldos Iniciales'!$A:$A,"Cross Family Trust")+SUMIFS(Movimientos!$K$1:$K$736,Movimientos!$C$1:$C$736,"Cross Family Trust",Movimientos!$B$1:$B$736,"&lt;="&amp;$B83)</f>
        <v>200496.38</v>
      </c>
      <c r="I83" s="24">
        <f>SUMIFS('Saldos Iniciales'!$D:$D,'Saldos Iniciales'!$A:$A,"Cross Security Trust")+SUMIFS(Movimientos!$K$1:$K$736,Movimientos!$C$1:$C$736,"Cross Security Trust",Movimientos!$B$1:$B$736,"&lt;="&amp;$B83)</f>
        <v>88090.37</v>
      </c>
      <c r="J83" s="24">
        <f>SUMIFS('Saldos Iniciales'!$D:$D,'Saldos Iniciales'!$A:$A,"Electrama")+SUMIFS(Movimientos!$K$1:$K$736,Movimientos!$C$1:$C$736,"Electrama",Movimientos!$B$1:$B$736,"&lt;="&amp;$B83)</f>
        <v>14580.45</v>
      </c>
      <c r="K83" s="24">
        <f>SUMIFS('Saldos Iniciales'!$D:$D,'Saldos Iniciales'!$A:$A,"Sacred Valley Capital")+SUMIFS(Movimientos!$K$1:$K$736,Movimientos!$C$1:$C$736,"Sacred Valley Capital",Movimientos!$B$1:$B$736,"&lt;="&amp;$B83)</f>
        <v>54.400000000000006</v>
      </c>
      <c r="L83" s="24">
        <f>SUMIFS('Saldos Iniciales'!$D:$D,'Saldos Iniciales'!$A:$A,"YWC Capital")+SUMIFS(Movimientos!$K$1:$K$736,Movimientos!$C$1:$C$736,"YWC Capital",Movimientos!$B$1:$B$736,"&lt;="&amp;$B83)</f>
        <v>2207.8200000000002</v>
      </c>
      <c r="M83" s="24">
        <f>SUMIFS('Saldos Iniciales'!$D:$D,'Saldos Iniciales'!$A:$A,"Soweto")+SUMIFS(Movimientos!$K$1:$K$736,Movimientos!$C$1:$C$736,"Soweto",Movimientos!$B$1:$B$736,"&lt;="&amp;$B83)</f>
        <v>1454589.72</v>
      </c>
      <c r="N83" s="24">
        <f>SUMIFS('Saldos Iniciales'!$D:$D,'Saldos Iniciales'!$A:$A,"Green Stone Trust")+SUMIFS(Movimientos!$K$1:$K$736,Movimientos!$C$1:$C$736,"Green Stone Trust",Movimientos!$B$1:$B$736,"&lt;="&amp;$B83)</f>
        <v>1968.99</v>
      </c>
      <c r="O83" s="24">
        <f>SUMIFS('Saldos Iniciales'!$D:$D,'Saldos Iniciales'!$A:$A,"EC Auto")+SUMIFS(Movimientos!$K$1:$K$736,Movimientos!$C$1:$C$736,"EC Auto",Movimientos!$B$1:$B$736,"&lt;="&amp;$B83)</f>
        <v>901.34</v>
      </c>
      <c r="P83" s="24">
        <f>SUMIFS('Saldos Iniciales'!$D:$D,'Saldos Iniciales'!$A:$A,"Arbor Capital Properties")+SUMIFS(Movimientos!$K$1:$K$736,Movimientos!$C$1:$C$736,"Arbor Capital Properties",Movimientos!$B$1:$B$736,"&lt;="&amp;$B83)</f>
        <v>1412.08</v>
      </c>
      <c r="Q83" s="24">
        <f>SUMIFS('Saldos Iniciales'!$D:$D,'Saldos Iniciales'!$A:$A,"2515 Overbrook")+SUMIFS(Movimientos!$K$1:$K$736,Movimientos!$C$1:$C$736,"2515 Overbrook",Movimientos!$B$1:$B$736,"&lt;="&amp;$B83)</f>
        <v>22347.56999999996</v>
      </c>
      <c r="R83" s="24">
        <f>SUMIFS('Saldos Iniciales'!$D:$D,'Saldos Iniciales'!$A:$A,"112 Florida Ave")+SUMIFS(Movimientos!$K$1:$K$736,Movimientos!$C$1:$C$736,"112 Florida Ave",Movimientos!$B$1:$B$736,"&lt;="&amp;$B83)</f>
        <v>3522.8000000000029</v>
      </c>
      <c r="S83" s="24">
        <f>SUMIFS('Saldos Iniciales'!$D:$D,'Saldos Iniciales'!$A:$A,"3628 Thomas Ave")+SUMIFS(Movimientos!$K$1:$K$736,Movimientos!$C$1:$C$736,"3628 Thomas Ave",Movimientos!$B$1:$B$736,"&lt;="&amp;$B83)</f>
        <v>24085.559999999998</v>
      </c>
      <c r="T83" s="24">
        <f>SUMIFS('Saldos Iniciales'!$D:$D,'Saldos Iniciales'!$A:$A,"Green Harbor Trust")+SUMIFS(Movimientos!$K$1:$K$736,Movimientos!$C$1:$C$736,"Green Harbor Trust",Movimientos!$B$1:$B$736,"&lt;="&amp;$B83)</f>
        <v>345</v>
      </c>
      <c r="U83" s="24">
        <f>SUMIFS('Saldos Iniciales'!$D:$D,'Saldos Iniciales'!$A:$A,"Go Blue")+SUMIFS(Movimientos!$K$1:$K$736,Movimientos!$C$1:$C$736,"Go Blue",Movimientos!$B$1:$B$736,"&lt;="&amp;$B83)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Group")+SUMIFS(Movimientos!$K$1:$K$736,Movimientos!$C$1:$C$736,"CFT Group",Movimientos!$B$1:$B$736,"&lt;="&amp;$B84)</f>
        <v>2255755.7400000007</v>
      </c>
      <c r="D84" s="24">
        <f>SUMIFS('Saldos Iniciales'!$D:$D,'Saldos Iniciales'!$A:$A,"M1B")+SUMIFS(Movimientos!$K$1:$K$736,Movimientos!$C$1:$C$736,"M1B",Movimientos!$B$1:$B$736,"&lt;="&amp;$B84)</f>
        <v>73157.680000000168</v>
      </c>
      <c r="E84" s="24">
        <f>SUMIFS('Saldos Iniciales'!$D:$D,'Saldos Iniciales'!$A:$A,"Durand")+SUMIFS(Movimientos!$K$1:$K$736,Movimientos!$C$1:$C$736,"Durand",Movimientos!$B$1:$B$736,"&lt;="&amp;$B84)</f>
        <v>1669.89</v>
      </c>
      <c r="F84" s="24">
        <f>SUMIFS('Saldos Iniciales'!$D:$D,'Saldos Iniciales'!$A:$A,"A&amp;M Imports")+SUMIFS(Movimientos!$K$1:$K$736,Movimientos!$C$1:$C$736,"A&amp;M Imports",Movimientos!$B$1:$B$736,"&lt;="&amp;$B84)</f>
        <v>1002754.9899999998</v>
      </c>
      <c r="G84" s="24">
        <f>SUMIFS('Saldos Iniciales'!$D:$D,'Saldos Iniciales'!$A:$A,"SSP Capital")+SUMIFS(Movimientos!$K$1:$K$736,Movimientos!$C$1:$C$736,"SSP Capital",Movimientos!$B$1:$B$736,"&lt;="&amp;$B84)</f>
        <v>2022877.8699999996</v>
      </c>
      <c r="H84" s="24">
        <f>SUMIFS('Saldos Iniciales'!$D:$D,'Saldos Iniciales'!$A:$A,"Cross Family Trust")+SUMIFS(Movimientos!$K$1:$K$736,Movimientos!$C$1:$C$736,"Cross Family Trust",Movimientos!$B$1:$B$736,"&lt;="&amp;$B84)</f>
        <v>200496.38</v>
      </c>
      <c r="I84" s="24">
        <f>SUMIFS('Saldos Iniciales'!$D:$D,'Saldos Iniciales'!$A:$A,"Cross Security Trust")+SUMIFS(Movimientos!$K$1:$K$736,Movimientos!$C$1:$C$736,"Cross Security Trust",Movimientos!$B$1:$B$736,"&lt;="&amp;$B84)</f>
        <v>88090.37</v>
      </c>
      <c r="J84" s="24">
        <f>SUMIFS('Saldos Iniciales'!$D:$D,'Saldos Iniciales'!$A:$A,"Electrama")+SUMIFS(Movimientos!$K$1:$K$736,Movimientos!$C$1:$C$736,"Electrama",Movimientos!$B$1:$B$736,"&lt;="&amp;$B84)</f>
        <v>14580.45</v>
      </c>
      <c r="K84" s="24">
        <f>SUMIFS('Saldos Iniciales'!$D:$D,'Saldos Iniciales'!$A:$A,"Sacred Valley Capital")+SUMIFS(Movimientos!$K$1:$K$736,Movimientos!$C$1:$C$736,"Sacred Valley Capital",Movimientos!$B$1:$B$736,"&lt;="&amp;$B84)</f>
        <v>54.400000000000006</v>
      </c>
      <c r="L84" s="24">
        <f>SUMIFS('Saldos Iniciales'!$D:$D,'Saldos Iniciales'!$A:$A,"YWC Capital")+SUMIFS(Movimientos!$K$1:$K$736,Movimientos!$C$1:$C$736,"YWC Capital",Movimientos!$B$1:$B$736,"&lt;="&amp;$B84)</f>
        <v>2207.8200000000002</v>
      </c>
      <c r="M84" s="24">
        <f>SUMIFS('Saldos Iniciales'!$D:$D,'Saldos Iniciales'!$A:$A,"Soweto")+SUMIFS(Movimientos!$K$1:$K$736,Movimientos!$C$1:$C$736,"Soweto",Movimientos!$B$1:$B$736,"&lt;="&amp;$B84)</f>
        <v>1454589.72</v>
      </c>
      <c r="N84" s="24">
        <f>SUMIFS('Saldos Iniciales'!$D:$D,'Saldos Iniciales'!$A:$A,"Green Stone Trust")+SUMIFS(Movimientos!$K$1:$K$736,Movimientos!$C$1:$C$736,"Green Stone Trust",Movimientos!$B$1:$B$736,"&lt;="&amp;$B84)</f>
        <v>1968.99</v>
      </c>
      <c r="O84" s="24">
        <f>SUMIFS('Saldos Iniciales'!$D:$D,'Saldos Iniciales'!$A:$A,"EC Auto")+SUMIFS(Movimientos!$K$1:$K$736,Movimientos!$C$1:$C$736,"EC Auto",Movimientos!$B$1:$B$736,"&lt;="&amp;$B84)</f>
        <v>901.34</v>
      </c>
      <c r="P84" s="24">
        <f>SUMIFS('Saldos Iniciales'!$D:$D,'Saldos Iniciales'!$A:$A,"Arbor Capital Properties")+SUMIFS(Movimientos!$K$1:$K$736,Movimientos!$C$1:$C$736,"Arbor Capital Properties",Movimientos!$B$1:$B$736,"&lt;="&amp;$B84)</f>
        <v>1412.08</v>
      </c>
      <c r="Q84" s="24">
        <f>SUMIFS('Saldos Iniciales'!$D:$D,'Saldos Iniciales'!$A:$A,"2515 Overbrook")+SUMIFS(Movimientos!$K$1:$K$736,Movimientos!$C$1:$C$736,"2515 Overbrook",Movimientos!$B$1:$B$736,"&lt;="&amp;$B84)</f>
        <v>22347.56999999996</v>
      </c>
      <c r="R84" s="24">
        <f>SUMIFS('Saldos Iniciales'!$D:$D,'Saldos Iniciales'!$A:$A,"112 Florida Ave")+SUMIFS(Movimientos!$K$1:$K$736,Movimientos!$C$1:$C$736,"112 Florida Ave",Movimientos!$B$1:$B$736,"&lt;="&amp;$B84)</f>
        <v>3522.8000000000029</v>
      </c>
      <c r="S84" s="24">
        <f>SUMIFS('Saldos Iniciales'!$D:$D,'Saldos Iniciales'!$A:$A,"3628 Thomas Ave")+SUMIFS(Movimientos!$K$1:$K$736,Movimientos!$C$1:$C$736,"3628 Thomas Ave",Movimientos!$B$1:$B$736,"&lt;="&amp;$B84)</f>
        <v>24085.559999999998</v>
      </c>
      <c r="T84" s="24">
        <f>SUMIFS('Saldos Iniciales'!$D:$D,'Saldos Iniciales'!$A:$A,"Green Harbor Trust")+SUMIFS(Movimientos!$K$1:$K$736,Movimientos!$C$1:$C$736,"Green Harbor Trust",Movimientos!$B$1:$B$736,"&lt;="&amp;$B84)</f>
        <v>345</v>
      </c>
      <c r="U84" s="24">
        <f>SUMIFS('Saldos Iniciales'!$D:$D,'Saldos Iniciales'!$A:$A,"Go Blue")+SUMIFS(Movimientos!$K$1:$K$736,Movimientos!$C$1:$C$736,"Go Blue",Movimientos!$B$1:$B$736,"&lt;="&amp;$B84)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Group")+SUMIFS(Movimientos!$K$1:$K$736,Movimientos!$C$1:$C$736,"CFT Group",Movimientos!$B$1:$B$736,"&lt;="&amp;$B85)</f>
        <v>2255750.7400000007</v>
      </c>
      <c r="D85" s="24">
        <f>SUMIFS('Saldos Iniciales'!$D:$D,'Saldos Iniciales'!$A:$A,"M1B")+SUMIFS(Movimientos!$K$1:$K$736,Movimientos!$C$1:$C$736,"M1B",Movimientos!$B$1:$B$736,"&lt;="&amp;$B85)</f>
        <v>73157.680000000168</v>
      </c>
      <c r="E85" s="24">
        <f>SUMIFS('Saldos Iniciales'!$D:$D,'Saldos Iniciales'!$A:$A,"Durand")+SUMIFS(Movimientos!$K$1:$K$736,Movimientos!$C$1:$C$736,"Durand",Movimientos!$B$1:$B$736,"&lt;="&amp;$B85)</f>
        <v>1669.89</v>
      </c>
      <c r="F85" s="24">
        <f>SUMIFS('Saldos Iniciales'!$D:$D,'Saldos Iniciales'!$A:$A,"A&amp;M Imports")+SUMIFS(Movimientos!$K$1:$K$736,Movimientos!$C$1:$C$736,"A&amp;M Imports",Movimientos!$B$1:$B$736,"&lt;="&amp;$B85)</f>
        <v>1042744.6899999997</v>
      </c>
      <c r="G85" s="24">
        <f>SUMIFS('Saldos Iniciales'!$D:$D,'Saldos Iniciales'!$A:$A,"SSP Capital")+SUMIFS(Movimientos!$K$1:$K$736,Movimientos!$C$1:$C$736,"SSP Capital",Movimientos!$B$1:$B$736,"&lt;="&amp;$B85)</f>
        <v>2022877.8699999996</v>
      </c>
      <c r="H85" s="24">
        <f>SUMIFS('Saldos Iniciales'!$D:$D,'Saldos Iniciales'!$A:$A,"Cross Family Trust")+SUMIFS(Movimientos!$K$1:$K$736,Movimientos!$C$1:$C$736,"Cross Family Trust",Movimientos!$B$1:$B$736,"&lt;="&amp;$B85)</f>
        <v>200496.38</v>
      </c>
      <c r="I85" s="24">
        <f>SUMIFS('Saldos Iniciales'!$D:$D,'Saldos Iniciales'!$A:$A,"Cross Security Trust")+SUMIFS(Movimientos!$K$1:$K$736,Movimientos!$C$1:$C$736,"Cross Security Trust",Movimientos!$B$1:$B$736,"&lt;="&amp;$B85)</f>
        <v>88090.37</v>
      </c>
      <c r="J85" s="24">
        <f>SUMIFS('Saldos Iniciales'!$D:$D,'Saldos Iniciales'!$A:$A,"Electrama")+SUMIFS(Movimientos!$K$1:$K$736,Movimientos!$C$1:$C$736,"Electrama",Movimientos!$B$1:$B$736,"&lt;="&amp;$B85)</f>
        <v>14580.45</v>
      </c>
      <c r="K85" s="24">
        <f>SUMIFS('Saldos Iniciales'!$D:$D,'Saldos Iniciales'!$A:$A,"Sacred Valley Capital")+SUMIFS(Movimientos!$K$1:$K$736,Movimientos!$C$1:$C$736,"Sacred Valley Capital",Movimientos!$B$1:$B$736,"&lt;="&amp;$B85)</f>
        <v>54.400000000000006</v>
      </c>
      <c r="L85" s="24">
        <f>SUMIFS('Saldos Iniciales'!$D:$D,'Saldos Iniciales'!$A:$A,"YWC Capital")+SUMIFS(Movimientos!$K$1:$K$736,Movimientos!$C$1:$C$736,"YWC Capital",Movimientos!$B$1:$B$736,"&lt;="&amp;$B85)</f>
        <v>2207.8200000000002</v>
      </c>
      <c r="M85" s="24">
        <f>SUMIFS('Saldos Iniciales'!$D:$D,'Saldos Iniciales'!$A:$A,"Soweto")+SUMIFS(Movimientos!$K$1:$K$736,Movimientos!$C$1:$C$736,"Soweto",Movimientos!$B$1:$B$736,"&lt;="&amp;$B85)</f>
        <v>1454589.72</v>
      </c>
      <c r="N85" s="24">
        <f>SUMIFS('Saldos Iniciales'!$D:$D,'Saldos Iniciales'!$A:$A,"Green Stone Trust")+SUMIFS(Movimientos!$K$1:$K$736,Movimientos!$C$1:$C$736,"Green Stone Trust",Movimientos!$B$1:$B$736,"&lt;="&amp;$B85)</f>
        <v>1968.99</v>
      </c>
      <c r="O85" s="24">
        <f>SUMIFS('Saldos Iniciales'!$D:$D,'Saldos Iniciales'!$A:$A,"EC Auto")+SUMIFS(Movimientos!$K$1:$K$736,Movimientos!$C$1:$C$736,"EC Auto",Movimientos!$B$1:$B$736,"&lt;="&amp;$B85)</f>
        <v>901.34</v>
      </c>
      <c r="P85" s="24">
        <f>SUMIFS('Saldos Iniciales'!$D:$D,'Saldos Iniciales'!$A:$A,"Arbor Capital Properties")+SUMIFS(Movimientos!$K$1:$K$736,Movimientos!$C$1:$C$736,"Arbor Capital Properties",Movimientos!$B$1:$B$736,"&lt;="&amp;$B85)</f>
        <v>1412.08</v>
      </c>
      <c r="Q85" s="24">
        <f>SUMIFS('Saldos Iniciales'!$D:$D,'Saldos Iniciales'!$A:$A,"2515 Overbrook")+SUMIFS(Movimientos!$K$1:$K$736,Movimientos!$C$1:$C$736,"2515 Overbrook",Movimientos!$B$1:$B$736,"&lt;="&amp;$B85)</f>
        <v>22347.56999999996</v>
      </c>
      <c r="R85" s="24">
        <f>SUMIFS('Saldos Iniciales'!$D:$D,'Saldos Iniciales'!$A:$A,"112 Florida Ave")+SUMIFS(Movimientos!$K$1:$K$736,Movimientos!$C$1:$C$736,"112 Florida Ave",Movimientos!$B$1:$B$736,"&lt;="&amp;$B85)</f>
        <v>18522.800000000003</v>
      </c>
      <c r="S85" s="24">
        <f>SUMIFS('Saldos Iniciales'!$D:$D,'Saldos Iniciales'!$A:$A,"3628 Thomas Ave")+SUMIFS(Movimientos!$K$1:$K$736,Movimientos!$C$1:$C$736,"3628 Thomas Ave",Movimientos!$B$1:$B$736,"&lt;="&amp;$B85)</f>
        <v>24085.559999999998</v>
      </c>
      <c r="T85" s="24">
        <f>SUMIFS('Saldos Iniciales'!$D:$D,'Saldos Iniciales'!$A:$A,"Green Harbor Trust")+SUMIFS(Movimientos!$K$1:$K$736,Movimientos!$C$1:$C$736,"Green Harbor Trust",Movimientos!$B$1:$B$736,"&lt;="&amp;$B85)</f>
        <v>345</v>
      </c>
      <c r="U85" s="24">
        <f>SUMIFS('Saldos Iniciales'!$D:$D,'Saldos Iniciales'!$A:$A,"Go Blue")+SUMIFS(Movimientos!$K$1:$K$736,Movimientos!$C$1:$C$736,"Go Blue",Movimientos!$B$1:$B$736,"&lt;="&amp;$B85)</f>
        <v>9958.7100000000028</v>
      </c>
      <c r="V85" s="25">
        <f t="shared" si="20"/>
        <v>7235762.0600000015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Group")+SUMIFS(Movimientos!$K$1:$K$736,Movimientos!$C$1:$C$736,"CFT Group",Movimientos!$B$1:$B$736,"&lt;="&amp;$B86)</f>
        <v>2255750.7400000007</v>
      </c>
      <c r="D86" s="24">
        <f>SUMIFS('Saldos Iniciales'!$D:$D,'Saldos Iniciales'!$A:$A,"M1B")+SUMIFS(Movimientos!$K$1:$K$736,Movimientos!$C$1:$C$736,"M1B",Movimientos!$B$1:$B$736,"&lt;="&amp;$B86)</f>
        <v>73157.680000000168</v>
      </c>
      <c r="E86" s="24">
        <f>SUMIFS('Saldos Iniciales'!$D:$D,'Saldos Iniciales'!$A:$A,"Durand")+SUMIFS(Movimientos!$K$1:$K$736,Movimientos!$C$1:$C$736,"Durand",Movimientos!$B$1:$B$736,"&lt;="&amp;$B86)</f>
        <v>1669.89</v>
      </c>
      <c r="F86" s="24">
        <f>SUMIFS('Saldos Iniciales'!$D:$D,'Saldos Iniciales'!$A:$A,"A&amp;M Imports")+SUMIFS(Movimientos!$K$1:$K$736,Movimientos!$C$1:$C$736,"A&amp;M Imports",Movimientos!$B$1:$B$736,"&lt;="&amp;$B86)</f>
        <v>1042744.6899999997</v>
      </c>
      <c r="G86" s="24">
        <f>SUMIFS('Saldos Iniciales'!$D:$D,'Saldos Iniciales'!$A:$A,"SSP Capital")+SUMIFS(Movimientos!$K$1:$K$736,Movimientos!$C$1:$C$736,"SSP Capital",Movimientos!$B$1:$B$736,"&lt;="&amp;$B86)</f>
        <v>2022877.8699999996</v>
      </c>
      <c r="H86" s="24">
        <f>SUMIFS('Saldos Iniciales'!$D:$D,'Saldos Iniciales'!$A:$A,"Cross Family Trust")+SUMIFS(Movimientos!$K$1:$K$736,Movimientos!$C$1:$C$736,"Cross Family Trust",Movimientos!$B$1:$B$736,"&lt;="&amp;$B86)</f>
        <v>200496.38</v>
      </c>
      <c r="I86" s="24">
        <f>SUMIFS('Saldos Iniciales'!$D:$D,'Saldos Iniciales'!$A:$A,"Cross Security Trust")+SUMIFS(Movimientos!$K$1:$K$736,Movimientos!$C$1:$C$736,"Cross Security Trust",Movimientos!$B$1:$B$736,"&lt;="&amp;$B86)</f>
        <v>88090.37</v>
      </c>
      <c r="J86" s="24">
        <f>SUMIFS('Saldos Iniciales'!$D:$D,'Saldos Iniciales'!$A:$A,"Electrama")+SUMIFS(Movimientos!$K$1:$K$736,Movimientos!$C$1:$C$736,"Electrama",Movimientos!$B$1:$B$736,"&lt;="&amp;$B86)</f>
        <v>14580.45</v>
      </c>
      <c r="K86" s="24">
        <f>SUMIFS('Saldos Iniciales'!$D:$D,'Saldos Iniciales'!$A:$A,"Sacred Valley Capital")+SUMIFS(Movimientos!$K$1:$K$736,Movimientos!$C$1:$C$736,"Sacred Valley Capital",Movimientos!$B$1:$B$736,"&lt;="&amp;$B86)</f>
        <v>54.400000000000006</v>
      </c>
      <c r="L86" s="24">
        <f>SUMIFS('Saldos Iniciales'!$D:$D,'Saldos Iniciales'!$A:$A,"YWC Capital")+SUMIFS(Movimientos!$K$1:$K$736,Movimientos!$C$1:$C$736,"YWC Capital",Movimientos!$B$1:$B$736,"&lt;="&amp;$B86)</f>
        <v>2207.8200000000002</v>
      </c>
      <c r="M86" s="24">
        <f>SUMIFS('Saldos Iniciales'!$D:$D,'Saldos Iniciales'!$A:$A,"Soweto")+SUMIFS(Movimientos!$K$1:$K$736,Movimientos!$C$1:$C$736,"Soweto",Movimientos!$B$1:$B$736,"&lt;="&amp;$B86)</f>
        <v>1454589.72</v>
      </c>
      <c r="N86" s="24">
        <f>SUMIFS('Saldos Iniciales'!$D:$D,'Saldos Iniciales'!$A:$A,"Green Stone Trust")+SUMIFS(Movimientos!$K$1:$K$736,Movimientos!$C$1:$C$736,"Green Stone Trust",Movimientos!$B$1:$B$736,"&lt;="&amp;$B86)</f>
        <v>1968.99</v>
      </c>
      <c r="O86" s="24">
        <f>SUMIFS('Saldos Iniciales'!$D:$D,'Saldos Iniciales'!$A:$A,"EC Auto")+SUMIFS(Movimientos!$K$1:$K$736,Movimientos!$C$1:$C$736,"EC Auto",Movimientos!$B$1:$B$736,"&lt;="&amp;$B86)</f>
        <v>901.34</v>
      </c>
      <c r="P86" s="24">
        <f>SUMIFS('Saldos Iniciales'!$D:$D,'Saldos Iniciales'!$A:$A,"Arbor Capital Properties")+SUMIFS(Movimientos!$K$1:$K$736,Movimientos!$C$1:$C$736,"Arbor Capital Properties",Movimientos!$B$1:$B$736,"&lt;="&amp;$B86)</f>
        <v>1412.08</v>
      </c>
      <c r="Q86" s="24">
        <f>SUMIFS('Saldos Iniciales'!$D:$D,'Saldos Iniciales'!$A:$A,"2515 Overbrook")+SUMIFS(Movimientos!$K$1:$K$736,Movimientos!$C$1:$C$736,"2515 Overbrook",Movimientos!$B$1:$B$736,"&lt;="&amp;$B86)</f>
        <v>22347.56999999996</v>
      </c>
      <c r="R86" s="24">
        <f>SUMIFS('Saldos Iniciales'!$D:$D,'Saldos Iniciales'!$A:$A,"112 Florida Ave")+SUMIFS(Movimientos!$K$1:$K$736,Movimientos!$C$1:$C$736,"112 Florida Ave",Movimientos!$B$1:$B$736,"&lt;="&amp;$B86)</f>
        <v>18522.800000000003</v>
      </c>
      <c r="S86" s="24">
        <f>SUMIFS('Saldos Iniciales'!$D:$D,'Saldos Iniciales'!$A:$A,"3628 Thomas Ave")+SUMIFS(Movimientos!$K$1:$K$736,Movimientos!$C$1:$C$736,"3628 Thomas Ave",Movimientos!$B$1:$B$736,"&lt;="&amp;$B86)</f>
        <v>24085.559999999998</v>
      </c>
      <c r="T86" s="24">
        <f>SUMIFS('Saldos Iniciales'!$D:$D,'Saldos Iniciales'!$A:$A,"Green Harbor Trust")+SUMIFS(Movimientos!$K$1:$K$736,Movimientos!$C$1:$C$736,"Green Harbor Trust",Movimientos!$B$1:$B$736,"&lt;="&amp;$B86)</f>
        <v>345</v>
      </c>
      <c r="U86" s="24">
        <f>SUMIFS('Saldos Iniciales'!$D:$D,'Saldos Iniciales'!$A:$A,"Go Blue")+SUMIFS(Movimientos!$K$1:$K$736,Movimientos!$C$1:$C$736,"Go Blue",Movimientos!$B$1:$B$736,"&lt;="&amp;$B86)</f>
        <v>9557.6300000000028</v>
      </c>
      <c r="V86" s="25">
        <f t="shared" si="20"/>
        <v>7235360.9800000014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Group")+SUMIFS(Movimientos!$K$1:$K$736,Movimientos!$C$1:$C$736,"CFT Group",Movimientos!$B$1:$B$736,"&lt;="&amp;$B87)</f>
        <v>2255750.7400000007</v>
      </c>
      <c r="D87" s="24">
        <f>SUMIFS('Saldos Iniciales'!$D:$D,'Saldos Iniciales'!$A:$A,"M1B")+SUMIFS(Movimientos!$K$1:$K$736,Movimientos!$C$1:$C$736,"M1B",Movimientos!$B$1:$B$736,"&lt;="&amp;$B87)</f>
        <v>73157.680000000168</v>
      </c>
      <c r="E87" s="24">
        <f>SUMIFS('Saldos Iniciales'!$D:$D,'Saldos Iniciales'!$A:$A,"Durand")+SUMIFS(Movimientos!$K$1:$K$736,Movimientos!$C$1:$C$736,"Durand",Movimientos!$B$1:$B$736,"&lt;="&amp;$B87)</f>
        <v>1669.89</v>
      </c>
      <c r="F87" s="24">
        <f>SUMIFS('Saldos Iniciales'!$D:$D,'Saldos Iniciales'!$A:$A,"A&amp;M Imports")+SUMIFS(Movimientos!$K$1:$K$736,Movimientos!$C$1:$C$736,"A&amp;M Imports",Movimientos!$B$1:$B$736,"&lt;="&amp;$B87)</f>
        <v>1042744.6899999997</v>
      </c>
      <c r="G87" s="24">
        <f>SUMIFS('Saldos Iniciales'!$D:$D,'Saldos Iniciales'!$A:$A,"SSP Capital")+SUMIFS(Movimientos!$K$1:$K$736,Movimientos!$C$1:$C$736,"SSP Capital",Movimientos!$B$1:$B$736,"&lt;="&amp;$B87)</f>
        <v>2022877.8699999996</v>
      </c>
      <c r="H87" s="24">
        <f>SUMIFS('Saldos Iniciales'!$D:$D,'Saldos Iniciales'!$A:$A,"Cross Family Trust")+SUMIFS(Movimientos!$K$1:$K$736,Movimientos!$C$1:$C$736,"Cross Family Trust",Movimientos!$B$1:$B$736,"&lt;="&amp;$B87)</f>
        <v>200496.38</v>
      </c>
      <c r="I87" s="24">
        <f>SUMIFS('Saldos Iniciales'!$D:$D,'Saldos Iniciales'!$A:$A,"Cross Security Trust")+SUMIFS(Movimientos!$K$1:$K$736,Movimientos!$C$1:$C$736,"Cross Security Trust",Movimientos!$B$1:$B$736,"&lt;="&amp;$B87)</f>
        <v>88090.37</v>
      </c>
      <c r="J87" s="24">
        <f>SUMIFS('Saldos Iniciales'!$D:$D,'Saldos Iniciales'!$A:$A,"Electrama")+SUMIFS(Movimientos!$K$1:$K$736,Movimientos!$C$1:$C$736,"Electrama",Movimientos!$B$1:$B$736,"&lt;="&amp;$B87)</f>
        <v>14580.45</v>
      </c>
      <c r="K87" s="24">
        <f>SUMIFS('Saldos Iniciales'!$D:$D,'Saldos Iniciales'!$A:$A,"Sacred Valley Capital")+SUMIFS(Movimientos!$K$1:$K$736,Movimientos!$C$1:$C$736,"Sacred Valley Capital",Movimientos!$B$1:$B$736,"&lt;="&amp;$B87)</f>
        <v>54.400000000000006</v>
      </c>
      <c r="L87" s="24">
        <f>SUMIFS('Saldos Iniciales'!$D:$D,'Saldos Iniciales'!$A:$A,"YWC Capital")+SUMIFS(Movimientos!$K$1:$K$736,Movimientos!$C$1:$C$736,"YWC Capital",Movimientos!$B$1:$B$736,"&lt;="&amp;$B87)</f>
        <v>2207.8200000000002</v>
      </c>
      <c r="M87" s="24">
        <f>SUMIFS('Saldos Iniciales'!$D:$D,'Saldos Iniciales'!$A:$A,"Soweto")+SUMIFS(Movimientos!$K$1:$K$736,Movimientos!$C$1:$C$736,"Soweto",Movimientos!$B$1:$B$736,"&lt;="&amp;$B87)</f>
        <v>1454589.72</v>
      </c>
      <c r="N87" s="24">
        <f>SUMIFS('Saldos Iniciales'!$D:$D,'Saldos Iniciales'!$A:$A,"Green Stone Trust")+SUMIFS(Movimientos!$K$1:$K$736,Movimientos!$C$1:$C$736,"Green Stone Trust",Movimientos!$B$1:$B$736,"&lt;="&amp;$B87)</f>
        <v>1968.99</v>
      </c>
      <c r="O87" s="24">
        <f>SUMIFS('Saldos Iniciales'!$D:$D,'Saldos Iniciales'!$A:$A,"EC Auto")+SUMIFS(Movimientos!$K$1:$K$736,Movimientos!$C$1:$C$736,"EC Auto",Movimientos!$B$1:$B$736,"&lt;="&amp;$B87)</f>
        <v>901.34</v>
      </c>
      <c r="P87" s="24">
        <f>SUMIFS('Saldos Iniciales'!$D:$D,'Saldos Iniciales'!$A:$A,"Arbor Capital Properties")+SUMIFS(Movimientos!$K$1:$K$736,Movimientos!$C$1:$C$736,"Arbor Capital Properties",Movimientos!$B$1:$B$736,"&lt;="&amp;$B87)</f>
        <v>1412.08</v>
      </c>
      <c r="Q87" s="24">
        <f>SUMIFS('Saldos Iniciales'!$D:$D,'Saldos Iniciales'!$A:$A,"2515 Overbrook")+SUMIFS(Movimientos!$K$1:$K$736,Movimientos!$C$1:$C$736,"2515 Overbrook",Movimientos!$B$1:$B$736,"&lt;="&amp;$B87)</f>
        <v>22347.56999999996</v>
      </c>
      <c r="R87" s="24">
        <f>SUMIFS('Saldos Iniciales'!$D:$D,'Saldos Iniciales'!$A:$A,"112 Florida Ave")+SUMIFS(Movimientos!$K$1:$K$736,Movimientos!$C$1:$C$736,"112 Florida Ave",Movimientos!$B$1:$B$736,"&lt;="&amp;$B87)</f>
        <v>18522.800000000003</v>
      </c>
      <c r="S87" s="24">
        <f>SUMIFS('Saldos Iniciales'!$D:$D,'Saldos Iniciales'!$A:$A,"3628 Thomas Ave")+SUMIFS(Movimientos!$K$1:$K$736,Movimientos!$C$1:$C$736,"3628 Thomas Ave",Movimientos!$B$1:$B$736,"&lt;="&amp;$B87)</f>
        <v>24085.559999999998</v>
      </c>
      <c r="T87" s="24">
        <f>SUMIFS('Saldos Iniciales'!$D:$D,'Saldos Iniciales'!$A:$A,"Green Harbor Trust")+SUMIFS(Movimientos!$K$1:$K$736,Movimientos!$C$1:$C$736,"Green Harbor Trust",Movimientos!$B$1:$B$736,"&lt;="&amp;$B87)</f>
        <v>345</v>
      </c>
      <c r="U87" s="24">
        <f>SUMIFS('Saldos Iniciales'!$D:$D,'Saldos Iniciales'!$A:$A,"Go Blue")+SUMIFS(Movimientos!$K$1:$K$736,Movimientos!$C$1:$C$736,"Go Blue",Movimientos!$B$1:$B$736,"&lt;="&amp;$B87)</f>
        <v>9557.6300000000028</v>
      </c>
      <c r="V87" s="25">
        <f t="shared" si="20"/>
        <v>7235360.9800000014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Group")+SUMIFS(Movimientos!$K$1:$K$736,Movimientos!$C$1:$C$736,"CFT Group",Movimientos!$B$1:$B$736,"&lt;="&amp;$B88)</f>
        <v>2255750.7400000007</v>
      </c>
      <c r="D88" s="24">
        <f>SUMIFS('Saldos Iniciales'!$D:$D,'Saldos Iniciales'!$A:$A,"M1B")+SUMIFS(Movimientos!$K$1:$K$736,Movimientos!$C$1:$C$736,"M1B",Movimientos!$B$1:$B$736,"&lt;="&amp;$B88)</f>
        <v>73157.680000000168</v>
      </c>
      <c r="E88" s="24">
        <f>SUMIFS('Saldos Iniciales'!$D:$D,'Saldos Iniciales'!$A:$A,"Durand")+SUMIFS(Movimientos!$K$1:$K$736,Movimientos!$C$1:$C$736,"Durand",Movimientos!$B$1:$B$736,"&lt;="&amp;$B88)</f>
        <v>1669.89</v>
      </c>
      <c r="F88" s="24">
        <f>SUMIFS('Saldos Iniciales'!$D:$D,'Saldos Iniciales'!$A:$A,"A&amp;M Imports")+SUMIFS(Movimientos!$K$1:$K$736,Movimientos!$C$1:$C$736,"A&amp;M Imports",Movimientos!$B$1:$B$736,"&lt;="&amp;$B88)</f>
        <v>1042744.6899999997</v>
      </c>
      <c r="G88" s="24">
        <f>SUMIFS('Saldos Iniciales'!$D:$D,'Saldos Iniciales'!$A:$A,"SSP Capital")+SUMIFS(Movimientos!$K$1:$K$736,Movimientos!$C$1:$C$736,"SSP Capital",Movimientos!$B$1:$B$736,"&lt;="&amp;$B88)</f>
        <v>2022877.8699999996</v>
      </c>
      <c r="H88" s="24">
        <f>SUMIFS('Saldos Iniciales'!$D:$D,'Saldos Iniciales'!$A:$A,"Cross Family Trust")+SUMIFS(Movimientos!$K$1:$K$736,Movimientos!$C$1:$C$736,"Cross Family Trust",Movimientos!$B$1:$B$736,"&lt;="&amp;$B88)</f>
        <v>200496.38</v>
      </c>
      <c r="I88" s="24">
        <f>SUMIFS('Saldos Iniciales'!$D:$D,'Saldos Iniciales'!$A:$A,"Cross Security Trust")+SUMIFS(Movimientos!$K$1:$K$736,Movimientos!$C$1:$C$736,"Cross Security Trust",Movimientos!$B$1:$B$736,"&lt;="&amp;$B88)</f>
        <v>88090.37</v>
      </c>
      <c r="J88" s="24">
        <f>SUMIFS('Saldos Iniciales'!$D:$D,'Saldos Iniciales'!$A:$A,"Electrama")+SUMIFS(Movimientos!$K$1:$K$736,Movimientos!$C$1:$C$736,"Electrama",Movimientos!$B$1:$B$736,"&lt;="&amp;$B88)</f>
        <v>14580.45</v>
      </c>
      <c r="K88" s="24">
        <f>SUMIFS('Saldos Iniciales'!$D:$D,'Saldos Iniciales'!$A:$A,"Sacred Valley Capital")+SUMIFS(Movimientos!$K$1:$K$736,Movimientos!$C$1:$C$736,"Sacred Valley Capital",Movimientos!$B$1:$B$736,"&lt;="&amp;$B88)</f>
        <v>54.400000000000006</v>
      </c>
      <c r="L88" s="24">
        <f>SUMIFS('Saldos Iniciales'!$D:$D,'Saldos Iniciales'!$A:$A,"YWC Capital")+SUMIFS(Movimientos!$K$1:$K$736,Movimientos!$C$1:$C$736,"YWC Capital",Movimientos!$B$1:$B$736,"&lt;="&amp;$B88)</f>
        <v>2207.8200000000002</v>
      </c>
      <c r="M88" s="24">
        <f>SUMIFS('Saldos Iniciales'!$D:$D,'Saldos Iniciales'!$A:$A,"Soweto")+SUMIFS(Movimientos!$K$1:$K$736,Movimientos!$C$1:$C$736,"Soweto",Movimientos!$B$1:$B$736,"&lt;="&amp;$B88)</f>
        <v>1454589.72</v>
      </c>
      <c r="N88" s="24">
        <f>SUMIFS('Saldos Iniciales'!$D:$D,'Saldos Iniciales'!$A:$A,"Green Stone Trust")+SUMIFS(Movimientos!$K$1:$K$736,Movimientos!$C$1:$C$736,"Green Stone Trust",Movimientos!$B$1:$B$736,"&lt;="&amp;$B88)</f>
        <v>1968.99</v>
      </c>
      <c r="O88" s="24">
        <f>SUMIFS('Saldos Iniciales'!$D:$D,'Saldos Iniciales'!$A:$A,"EC Auto")+SUMIFS(Movimientos!$K$1:$K$736,Movimientos!$C$1:$C$736,"EC Auto",Movimientos!$B$1:$B$736,"&lt;="&amp;$B88)</f>
        <v>901.34</v>
      </c>
      <c r="P88" s="24">
        <f>SUMIFS('Saldos Iniciales'!$D:$D,'Saldos Iniciales'!$A:$A,"Arbor Capital Properties")+SUMIFS(Movimientos!$K$1:$K$736,Movimientos!$C$1:$C$736,"Arbor Capital Properties",Movimientos!$B$1:$B$736,"&lt;="&amp;$B88)</f>
        <v>1412.08</v>
      </c>
      <c r="Q88" s="24">
        <f>SUMIFS('Saldos Iniciales'!$D:$D,'Saldos Iniciales'!$A:$A,"2515 Overbrook")+SUMIFS(Movimientos!$K$1:$K$736,Movimientos!$C$1:$C$736,"2515 Overbrook",Movimientos!$B$1:$B$736,"&lt;="&amp;$B88)</f>
        <v>22347.56999999996</v>
      </c>
      <c r="R88" s="24">
        <f>SUMIFS('Saldos Iniciales'!$D:$D,'Saldos Iniciales'!$A:$A,"112 Florida Ave")+SUMIFS(Movimientos!$K$1:$K$736,Movimientos!$C$1:$C$736,"112 Florida Ave",Movimientos!$B$1:$B$736,"&lt;="&amp;$B88)</f>
        <v>18522.800000000003</v>
      </c>
      <c r="S88" s="24">
        <f>SUMIFS('Saldos Iniciales'!$D:$D,'Saldos Iniciales'!$A:$A,"3628 Thomas Ave")+SUMIFS(Movimientos!$K$1:$K$736,Movimientos!$C$1:$C$736,"3628 Thomas Ave",Movimientos!$B$1:$B$736,"&lt;="&amp;$B88)</f>
        <v>24085.559999999998</v>
      </c>
      <c r="T88" s="24">
        <f>SUMIFS('Saldos Iniciales'!$D:$D,'Saldos Iniciales'!$A:$A,"Green Harbor Trust")+SUMIFS(Movimientos!$K$1:$K$736,Movimientos!$C$1:$C$736,"Green Harbor Trust",Movimientos!$B$1:$B$736,"&lt;="&amp;$B88)</f>
        <v>345</v>
      </c>
      <c r="U88" s="24">
        <f>SUMIFS('Saldos Iniciales'!$D:$D,'Saldos Iniciales'!$A:$A,"Go Blue")+SUMIFS(Movimientos!$K$1:$K$736,Movimientos!$C$1:$C$736,"Go Blue",Movimientos!$B$1:$B$736,"&lt;="&amp;$B88)</f>
        <v>9557.6300000000028</v>
      </c>
      <c r="V88" s="25">
        <f t="shared" ref="V88:V96" si="21">SUM(C88:U88)</f>
        <v>7235360.9800000014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Group")+SUMIFS(Movimientos!$K$1:$K$736,Movimientos!$C$1:$C$736,"CFT Group",Movimientos!$B$1:$B$736,"&lt;="&amp;$B89)</f>
        <v>2255750.7400000007</v>
      </c>
      <c r="D89" s="24">
        <f>SUMIFS('Saldos Iniciales'!$D:$D,'Saldos Iniciales'!$A:$A,"M1B")+SUMIFS(Movimientos!$K$1:$K$736,Movimientos!$C$1:$C$736,"M1B",Movimientos!$B$1:$B$736,"&lt;="&amp;$B89)</f>
        <v>73157.680000000168</v>
      </c>
      <c r="E89" s="24">
        <f>SUMIFS('Saldos Iniciales'!$D:$D,'Saldos Iniciales'!$A:$A,"Durand")+SUMIFS(Movimientos!$K$1:$K$736,Movimientos!$C$1:$C$736,"Durand",Movimientos!$B$1:$B$736,"&lt;="&amp;$B89)</f>
        <v>1669.89</v>
      </c>
      <c r="F89" s="24">
        <f>SUMIFS('Saldos Iniciales'!$D:$D,'Saldos Iniciales'!$A:$A,"A&amp;M Imports")+SUMIFS(Movimientos!$K$1:$K$736,Movimientos!$C$1:$C$736,"A&amp;M Imports",Movimientos!$B$1:$B$736,"&lt;="&amp;$B89)</f>
        <v>1392744.6899999997</v>
      </c>
      <c r="G89" s="24">
        <f>SUMIFS('Saldos Iniciales'!$D:$D,'Saldos Iniciales'!$A:$A,"SSP Capital")+SUMIFS(Movimientos!$K$1:$K$736,Movimientos!$C$1:$C$736,"SSP Capital",Movimientos!$B$1:$B$736,"&lt;="&amp;$B89)</f>
        <v>2022877.8699999996</v>
      </c>
      <c r="H89" s="24">
        <f>SUMIFS('Saldos Iniciales'!$D:$D,'Saldos Iniciales'!$A:$A,"Cross Family Trust")+SUMIFS(Movimientos!$K$1:$K$736,Movimientos!$C$1:$C$736,"Cross Family Trust",Movimientos!$B$1:$B$736,"&lt;="&amp;$B89)</f>
        <v>190496.38</v>
      </c>
      <c r="I89" s="24">
        <f>SUMIFS('Saldos Iniciales'!$D:$D,'Saldos Iniciales'!$A:$A,"Cross Security Trust")+SUMIFS(Movimientos!$K$1:$K$736,Movimientos!$C$1:$C$736,"Cross Security Trust",Movimientos!$B$1:$B$736,"&lt;="&amp;$B89)</f>
        <v>88090.37</v>
      </c>
      <c r="J89" s="24">
        <f>SUMIFS('Saldos Iniciales'!$D:$D,'Saldos Iniciales'!$A:$A,"Electrama")+SUMIFS(Movimientos!$K$1:$K$736,Movimientos!$C$1:$C$736,"Electrama",Movimientos!$B$1:$B$736,"&lt;="&amp;$B89)</f>
        <v>14580.45</v>
      </c>
      <c r="K89" s="24">
        <f>SUMIFS('Saldos Iniciales'!$D:$D,'Saldos Iniciales'!$A:$A,"Sacred Valley Capital")+SUMIFS(Movimientos!$K$1:$K$736,Movimientos!$C$1:$C$736,"Sacred Valley Capital",Movimientos!$B$1:$B$736,"&lt;="&amp;$B89)</f>
        <v>54.400000000000006</v>
      </c>
      <c r="L89" s="24">
        <f>SUMIFS('Saldos Iniciales'!$D:$D,'Saldos Iniciales'!$A:$A,"YWC Capital")+SUMIFS(Movimientos!$K$1:$K$736,Movimientos!$C$1:$C$736,"YWC Capital",Movimientos!$B$1:$B$736,"&lt;="&amp;$B89)</f>
        <v>2207.8200000000002</v>
      </c>
      <c r="M89" s="24">
        <f>SUMIFS('Saldos Iniciales'!$D:$D,'Saldos Iniciales'!$A:$A,"Soweto")+SUMIFS(Movimientos!$K$1:$K$736,Movimientos!$C$1:$C$736,"Soweto",Movimientos!$B$1:$B$736,"&lt;="&amp;$B89)</f>
        <v>1454589.72</v>
      </c>
      <c r="N89" s="24">
        <f>SUMIFS('Saldos Iniciales'!$D:$D,'Saldos Iniciales'!$A:$A,"Green Stone Trust")+SUMIFS(Movimientos!$K$1:$K$736,Movimientos!$C$1:$C$736,"Green Stone Trust",Movimientos!$B$1:$B$736,"&lt;="&amp;$B89)</f>
        <v>1968.99</v>
      </c>
      <c r="O89" s="24">
        <f>SUMIFS('Saldos Iniciales'!$D:$D,'Saldos Iniciales'!$A:$A,"EC Auto")+SUMIFS(Movimientos!$K$1:$K$736,Movimientos!$C$1:$C$736,"EC Auto",Movimientos!$B$1:$B$736,"&lt;="&amp;$B89)</f>
        <v>901.34</v>
      </c>
      <c r="P89" s="24">
        <f>SUMIFS('Saldos Iniciales'!$D:$D,'Saldos Iniciales'!$A:$A,"Arbor Capital Properties")+SUMIFS(Movimientos!$K$1:$K$736,Movimientos!$C$1:$C$736,"Arbor Capital Properties",Movimientos!$B$1:$B$736,"&lt;="&amp;$B89)</f>
        <v>1412.08</v>
      </c>
      <c r="Q89" s="24">
        <f>SUMIFS('Saldos Iniciales'!$D:$D,'Saldos Iniciales'!$A:$A,"2515 Overbrook")+SUMIFS(Movimientos!$K$1:$K$736,Movimientos!$C$1:$C$736,"2515 Overbrook",Movimientos!$B$1:$B$736,"&lt;="&amp;$B89)</f>
        <v>22347.56999999996</v>
      </c>
      <c r="R89" s="24">
        <f>SUMIFS('Saldos Iniciales'!$D:$D,'Saldos Iniciales'!$A:$A,"112 Florida Ave")+SUMIFS(Movimientos!$K$1:$K$736,Movimientos!$C$1:$C$736,"112 Florida Ave",Movimientos!$B$1:$B$736,"&lt;="&amp;$B89)</f>
        <v>18522.800000000003</v>
      </c>
      <c r="S89" s="24">
        <f>SUMIFS('Saldos Iniciales'!$D:$D,'Saldos Iniciales'!$A:$A,"3628 Thomas Ave")+SUMIFS(Movimientos!$K$1:$K$736,Movimientos!$C$1:$C$736,"3628 Thomas Ave",Movimientos!$B$1:$B$736,"&lt;="&amp;$B89)</f>
        <v>24085.559999999998</v>
      </c>
      <c r="T89" s="24">
        <f>SUMIFS('Saldos Iniciales'!$D:$D,'Saldos Iniciales'!$A:$A,"Green Harbor Trust")+SUMIFS(Movimientos!$K$1:$K$736,Movimientos!$C$1:$C$736,"Green Harbor Trust",Movimientos!$B$1:$B$736,"&lt;="&amp;$B89)</f>
        <v>345</v>
      </c>
      <c r="U89" s="24">
        <f>SUMIFS('Saldos Iniciales'!$D:$D,'Saldos Iniciales'!$A:$A,"Go Blue")+SUMIFS(Movimientos!$K$1:$K$736,Movimientos!$C$1:$C$736,"Go Blue",Movimientos!$B$1:$B$736,"&lt;="&amp;$B89)</f>
        <v>15418.180000000004</v>
      </c>
      <c r="V89" s="25">
        <f t="shared" si="21"/>
        <v>7581221.5300000012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Group")+SUMIFS(Movimientos!$K$1:$K$736,Movimientos!$C$1:$C$736,"CFT Group",Movimientos!$B$1:$B$736,"&lt;="&amp;$B90)</f>
        <v>2255750.7400000007</v>
      </c>
      <c r="D90" s="24">
        <f>SUMIFS('Saldos Iniciales'!$D:$D,'Saldos Iniciales'!$A:$A,"M1B")+SUMIFS(Movimientos!$K$1:$K$736,Movimientos!$C$1:$C$736,"M1B",Movimientos!$B$1:$B$736,"&lt;="&amp;$B90)</f>
        <v>80574.12000000017</v>
      </c>
      <c r="E90" s="24">
        <f>SUMIFS('Saldos Iniciales'!$D:$D,'Saldos Iniciales'!$A:$A,"Durand")+SUMIFS(Movimientos!$K$1:$K$736,Movimientos!$C$1:$C$736,"Durand",Movimientos!$B$1:$B$736,"&lt;="&amp;$B90)</f>
        <v>1669.89</v>
      </c>
      <c r="F90" s="24">
        <f>SUMIFS('Saldos Iniciales'!$D:$D,'Saldos Iniciales'!$A:$A,"A&amp;M Imports")+SUMIFS(Movimientos!$K$1:$K$736,Movimientos!$C$1:$C$736,"A&amp;M Imports",Movimientos!$B$1:$B$736,"&lt;="&amp;$B90)</f>
        <v>1415636.7399999998</v>
      </c>
      <c r="G90" s="24">
        <f>SUMIFS('Saldos Iniciales'!$D:$D,'Saldos Iniciales'!$A:$A,"SSP Capital")+SUMIFS(Movimientos!$K$1:$K$736,Movimientos!$C$1:$C$736,"SSP Capital",Movimientos!$B$1:$B$736,"&lt;="&amp;$B90)</f>
        <v>1857997.0999999996</v>
      </c>
      <c r="H90" s="24">
        <f>SUMIFS('Saldos Iniciales'!$D:$D,'Saldos Iniciales'!$A:$A,"Cross Family Trust")+SUMIFS(Movimientos!$K$1:$K$736,Movimientos!$C$1:$C$736,"Cross Family Trust",Movimientos!$B$1:$B$736,"&lt;="&amp;$B90)</f>
        <v>190496.38</v>
      </c>
      <c r="I90" s="24">
        <f>SUMIFS('Saldos Iniciales'!$D:$D,'Saldos Iniciales'!$A:$A,"Cross Security Trust")+SUMIFS(Movimientos!$K$1:$K$736,Movimientos!$C$1:$C$736,"Cross Security Trust",Movimientos!$B$1:$B$736,"&lt;="&amp;$B90)</f>
        <v>88090.37</v>
      </c>
      <c r="J90" s="24">
        <f>SUMIFS('Saldos Iniciales'!$D:$D,'Saldos Iniciales'!$A:$A,"Electrama")+SUMIFS(Movimientos!$K$1:$K$736,Movimientos!$C$1:$C$736,"Electrama",Movimientos!$B$1:$B$736,"&lt;="&amp;$B90)</f>
        <v>14580.45</v>
      </c>
      <c r="K90" s="24">
        <f>SUMIFS('Saldos Iniciales'!$D:$D,'Saldos Iniciales'!$A:$A,"Sacred Valley Capital")+SUMIFS(Movimientos!$K$1:$K$736,Movimientos!$C$1:$C$736,"Sacred Valley Capital",Movimientos!$B$1:$B$736,"&lt;="&amp;$B90)</f>
        <v>54.400000000000006</v>
      </c>
      <c r="L90" s="24">
        <f>SUMIFS('Saldos Iniciales'!$D:$D,'Saldos Iniciales'!$A:$A,"YWC Capital")+SUMIFS(Movimientos!$K$1:$K$736,Movimientos!$C$1:$C$736,"YWC Capital",Movimientos!$B$1:$B$736,"&lt;="&amp;$B90)</f>
        <v>2207.8200000000002</v>
      </c>
      <c r="M90" s="24">
        <f>SUMIFS('Saldos Iniciales'!$D:$D,'Saldos Iniciales'!$A:$A,"Soweto")+SUMIFS(Movimientos!$K$1:$K$736,Movimientos!$C$1:$C$736,"Soweto",Movimientos!$B$1:$B$736,"&lt;="&amp;$B90)</f>
        <v>1454589.72</v>
      </c>
      <c r="N90" s="24">
        <f>SUMIFS('Saldos Iniciales'!$D:$D,'Saldos Iniciales'!$A:$A,"Green Stone Trust")+SUMIFS(Movimientos!$K$1:$K$736,Movimientos!$C$1:$C$736,"Green Stone Trust",Movimientos!$B$1:$B$736,"&lt;="&amp;$B90)</f>
        <v>1968.99</v>
      </c>
      <c r="O90" s="24">
        <f>SUMIFS('Saldos Iniciales'!$D:$D,'Saldos Iniciales'!$A:$A,"EC Auto")+SUMIFS(Movimientos!$K$1:$K$736,Movimientos!$C$1:$C$736,"EC Auto",Movimientos!$B$1:$B$736,"&lt;="&amp;$B90)</f>
        <v>901.34</v>
      </c>
      <c r="P90" s="24">
        <f>SUMIFS('Saldos Iniciales'!$D:$D,'Saldos Iniciales'!$A:$A,"Arbor Capital Properties")+SUMIFS(Movimientos!$K$1:$K$736,Movimientos!$C$1:$C$736,"Arbor Capital Properties",Movimientos!$B$1:$B$736,"&lt;="&amp;$B90)</f>
        <v>1412.08</v>
      </c>
      <c r="Q90" s="24">
        <f>SUMIFS('Saldos Iniciales'!$D:$D,'Saldos Iniciales'!$A:$A,"2515 Overbrook")+SUMIFS(Movimientos!$K$1:$K$736,Movimientos!$C$1:$C$736,"2515 Overbrook",Movimientos!$B$1:$B$736,"&lt;="&amp;$B90)</f>
        <v>22347.56999999996</v>
      </c>
      <c r="R90" s="24">
        <f>SUMIFS('Saldos Iniciales'!$D:$D,'Saldos Iniciales'!$A:$A,"112 Florida Ave")+SUMIFS(Movimientos!$K$1:$K$736,Movimientos!$C$1:$C$736,"112 Florida Ave",Movimientos!$B$1:$B$736,"&lt;="&amp;$B90)</f>
        <v>18522.800000000003</v>
      </c>
      <c r="S90" s="24">
        <f>SUMIFS('Saldos Iniciales'!$D:$D,'Saldos Iniciales'!$A:$A,"3628 Thomas Ave")+SUMIFS(Movimientos!$K$1:$K$736,Movimientos!$C$1:$C$736,"3628 Thomas Ave",Movimientos!$B$1:$B$736,"&lt;="&amp;$B90)</f>
        <v>24085.559999999998</v>
      </c>
      <c r="T90" s="24">
        <f>SUMIFS('Saldos Iniciales'!$D:$D,'Saldos Iniciales'!$A:$A,"Green Harbor Trust")+SUMIFS(Movimientos!$K$1:$K$736,Movimientos!$C$1:$C$736,"Green Harbor Trust",Movimientos!$B$1:$B$736,"&lt;="&amp;$B90)</f>
        <v>345</v>
      </c>
      <c r="U90" s="24">
        <f>SUMIFS('Saldos Iniciales'!$D:$D,'Saldos Iniciales'!$A:$A,"Go Blue")+SUMIFS(Movimientos!$K$1:$K$736,Movimientos!$C$1:$C$736,"Go Blue",Movimientos!$B$1:$B$736,"&lt;="&amp;$B90)</f>
        <v>15094.090000000004</v>
      </c>
      <c r="V90" s="25">
        <f t="shared" si="21"/>
        <v>7446325.1600000001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Group")+SUMIFS(Movimientos!$K$1:$K$736,Movimientos!$C$1:$C$736,"CFT Group",Movimientos!$B$1:$B$736,"&lt;="&amp;$B91)</f>
        <v>2270539.1300000008</v>
      </c>
      <c r="D91" s="24">
        <f>SUMIFS('Saldos Iniciales'!$D:$D,'Saldos Iniciales'!$A:$A,"M1B")+SUMIFS(Movimientos!$K$1:$K$736,Movimientos!$C$1:$C$736,"M1B",Movimientos!$B$1:$B$736,"&lt;="&amp;$B91)</f>
        <v>83211.250000000175</v>
      </c>
      <c r="E91" s="24">
        <f>SUMIFS('Saldos Iniciales'!$D:$D,'Saldos Iniciales'!$A:$A,"Durand")+SUMIFS(Movimientos!$K$1:$K$736,Movimientos!$C$1:$C$736,"Durand",Movimientos!$B$1:$B$736,"&lt;="&amp;$B91)</f>
        <v>1669.89</v>
      </c>
      <c r="F91" s="24">
        <f>SUMIFS('Saldos Iniciales'!$D:$D,'Saldos Iniciales'!$A:$A,"A&amp;M Imports")+SUMIFS(Movimientos!$K$1:$K$736,Movimientos!$C$1:$C$736,"A&amp;M Imports",Movimientos!$B$1:$B$736,"&lt;="&amp;$B91)</f>
        <v>1434634.5999999999</v>
      </c>
      <c r="G91" s="24">
        <f>SUMIFS('Saldos Iniciales'!$D:$D,'Saldos Iniciales'!$A:$A,"SSP Capital")+SUMIFS(Movimientos!$K$1:$K$736,Movimientos!$C$1:$C$736,"SSP Capital",Movimientos!$B$1:$B$736,"&lt;="&amp;$B91)</f>
        <v>1857997.0999999996</v>
      </c>
      <c r="H91" s="24">
        <f>SUMIFS('Saldos Iniciales'!$D:$D,'Saldos Iniciales'!$A:$A,"Cross Family Trust")+SUMIFS(Movimientos!$K$1:$K$736,Movimientos!$C$1:$C$736,"Cross Family Trust",Movimientos!$B$1:$B$736,"&lt;="&amp;$B91)</f>
        <v>190496.38</v>
      </c>
      <c r="I91" s="24">
        <f>SUMIFS('Saldos Iniciales'!$D:$D,'Saldos Iniciales'!$A:$A,"Cross Security Trust")+SUMIFS(Movimientos!$K$1:$K$736,Movimientos!$C$1:$C$736,"Cross Security Trust",Movimientos!$B$1:$B$736,"&lt;="&amp;$B91)</f>
        <v>88090.37</v>
      </c>
      <c r="J91" s="24">
        <f>SUMIFS('Saldos Iniciales'!$D:$D,'Saldos Iniciales'!$A:$A,"Electrama")+SUMIFS(Movimientos!$K$1:$K$736,Movimientos!$C$1:$C$736,"Electrama",Movimientos!$B$1:$B$736,"&lt;="&amp;$B91)</f>
        <v>14580.45</v>
      </c>
      <c r="K91" s="24">
        <f>SUMIFS('Saldos Iniciales'!$D:$D,'Saldos Iniciales'!$A:$A,"Sacred Valley Capital")+SUMIFS(Movimientos!$K$1:$K$736,Movimientos!$C$1:$C$736,"Sacred Valley Capital",Movimientos!$B$1:$B$736,"&lt;="&amp;$B91)</f>
        <v>54.400000000000006</v>
      </c>
      <c r="L91" s="24">
        <f>SUMIFS('Saldos Iniciales'!$D:$D,'Saldos Iniciales'!$A:$A,"YWC Capital")+SUMIFS(Movimientos!$K$1:$K$736,Movimientos!$C$1:$C$736,"YWC Capital",Movimientos!$B$1:$B$736,"&lt;="&amp;$B91)</f>
        <v>2207.8200000000002</v>
      </c>
      <c r="M91" s="24">
        <f>SUMIFS('Saldos Iniciales'!$D:$D,'Saldos Iniciales'!$A:$A,"Soweto")+SUMIFS(Movimientos!$K$1:$K$736,Movimientos!$C$1:$C$736,"Soweto",Movimientos!$B$1:$B$736,"&lt;="&amp;$B91)</f>
        <v>1454589.72</v>
      </c>
      <c r="N91" s="24">
        <f>SUMIFS('Saldos Iniciales'!$D:$D,'Saldos Iniciales'!$A:$A,"Green Stone Trust")+SUMIFS(Movimientos!$K$1:$K$736,Movimientos!$C$1:$C$736,"Green Stone Trust",Movimientos!$B$1:$B$736,"&lt;="&amp;$B91)</f>
        <v>1968.99</v>
      </c>
      <c r="O91" s="24">
        <f>SUMIFS('Saldos Iniciales'!$D:$D,'Saldos Iniciales'!$A:$A,"EC Auto")+SUMIFS(Movimientos!$K$1:$K$736,Movimientos!$C$1:$C$736,"EC Auto",Movimientos!$B$1:$B$736,"&lt;="&amp;$B91)</f>
        <v>901.34</v>
      </c>
      <c r="P91" s="24">
        <f>SUMIFS('Saldos Iniciales'!$D:$D,'Saldos Iniciales'!$A:$A,"Arbor Capital Properties")+SUMIFS(Movimientos!$K$1:$K$736,Movimientos!$C$1:$C$736,"Arbor Capital Properties",Movimientos!$B$1:$B$736,"&lt;="&amp;$B91)</f>
        <v>1412.08</v>
      </c>
      <c r="Q91" s="24">
        <f>SUMIFS('Saldos Iniciales'!$D:$D,'Saldos Iniciales'!$A:$A,"2515 Overbrook")+SUMIFS(Movimientos!$K$1:$K$736,Movimientos!$C$1:$C$736,"2515 Overbrook",Movimientos!$B$1:$B$736,"&lt;="&amp;$B91)</f>
        <v>22347.56999999996</v>
      </c>
      <c r="R91" s="24">
        <f>SUMIFS('Saldos Iniciales'!$D:$D,'Saldos Iniciales'!$A:$A,"112 Florida Ave")+SUMIFS(Movimientos!$K$1:$K$736,Movimientos!$C$1:$C$736,"112 Florida Ave",Movimientos!$B$1:$B$736,"&lt;="&amp;$B91)</f>
        <v>18522.800000000003</v>
      </c>
      <c r="S91" s="24">
        <f>SUMIFS('Saldos Iniciales'!$D:$D,'Saldos Iniciales'!$A:$A,"3628 Thomas Ave")+SUMIFS(Movimientos!$K$1:$K$736,Movimientos!$C$1:$C$736,"3628 Thomas Ave",Movimientos!$B$1:$B$736,"&lt;="&amp;$B91)</f>
        <v>24085.559999999998</v>
      </c>
      <c r="T91" s="24">
        <f>SUMIFS('Saldos Iniciales'!$D:$D,'Saldos Iniciales'!$A:$A,"Green Harbor Trust")+SUMIFS(Movimientos!$K$1:$K$736,Movimientos!$C$1:$C$736,"Green Harbor Trust",Movimientos!$B$1:$B$736,"&lt;="&amp;$B91)</f>
        <v>345</v>
      </c>
      <c r="U91" s="24">
        <f>SUMIFS('Saldos Iniciales'!$D:$D,'Saldos Iniciales'!$A:$A,"Go Blue")+SUMIFS(Movimientos!$K$1:$K$736,Movimientos!$C$1:$C$736,"Go Blue",Movimientos!$B$1:$B$736,"&lt;="&amp;$B91)</f>
        <v>13469.780000000002</v>
      </c>
      <c r="V91" s="25">
        <f t="shared" si="21"/>
        <v>7481124.2300000014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Group")+SUMIFS(Movimientos!$K$1:$K$736,Movimientos!$C$1:$C$736,"CFT Group",Movimientos!$B$1:$B$736,"&lt;="&amp;$B92)</f>
        <v>2470350.7000000002</v>
      </c>
      <c r="D92" s="24">
        <f>SUMIFS('Saldos Iniciales'!$D:$D,'Saldos Iniciales'!$A:$A,"M1B")+SUMIFS(Movimientos!$K$1:$K$736,Movimientos!$C$1:$C$736,"M1B",Movimientos!$B$1:$B$736,"&lt;="&amp;$B92)</f>
        <v>83211.250000000175</v>
      </c>
      <c r="E92" s="24">
        <f>SUMIFS('Saldos Iniciales'!$D:$D,'Saldos Iniciales'!$A:$A,"Durand")+SUMIFS(Movimientos!$K$1:$K$736,Movimientos!$C$1:$C$736,"Durand",Movimientos!$B$1:$B$736,"&lt;="&amp;$B92)</f>
        <v>1669.89</v>
      </c>
      <c r="F92" s="24">
        <f>SUMIFS('Saldos Iniciales'!$D:$D,'Saldos Iniciales'!$A:$A,"A&amp;M Imports")+SUMIFS(Movimientos!$K$1:$K$736,Movimientos!$C$1:$C$736,"A&amp;M Imports",Movimientos!$B$1:$B$736,"&lt;="&amp;$B92)</f>
        <v>1458426.0399999998</v>
      </c>
      <c r="G92" s="24">
        <f>SUMIFS('Saldos Iniciales'!$D:$D,'Saldos Iniciales'!$A:$A,"SSP Capital")+SUMIFS(Movimientos!$K$1:$K$736,Movimientos!$C$1:$C$736,"SSP Capital",Movimientos!$B$1:$B$736,"&lt;="&amp;$B92)</f>
        <v>1857993.8499999996</v>
      </c>
      <c r="H92" s="24">
        <f>SUMIFS('Saldos Iniciales'!$D:$D,'Saldos Iniciales'!$A:$A,"Cross Family Trust")+SUMIFS(Movimientos!$K$1:$K$736,Movimientos!$C$1:$C$736,"Cross Family Trust",Movimientos!$B$1:$B$736,"&lt;="&amp;$B92)</f>
        <v>190496.38</v>
      </c>
      <c r="I92" s="24">
        <f>SUMIFS('Saldos Iniciales'!$D:$D,'Saldos Iniciales'!$A:$A,"Cross Security Trust")+SUMIFS(Movimientos!$K$1:$K$736,Movimientos!$C$1:$C$736,"Cross Security Trust",Movimientos!$B$1:$B$736,"&lt;="&amp;$B92)</f>
        <v>88090.37</v>
      </c>
      <c r="J92" s="24">
        <f>SUMIFS('Saldos Iniciales'!$D:$D,'Saldos Iniciales'!$A:$A,"Electrama")+SUMIFS(Movimientos!$K$1:$K$736,Movimientos!$C$1:$C$736,"Electrama",Movimientos!$B$1:$B$736,"&lt;="&amp;$B92)</f>
        <v>14580.45</v>
      </c>
      <c r="K92" s="24">
        <f>SUMIFS('Saldos Iniciales'!$D:$D,'Saldos Iniciales'!$A:$A,"Sacred Valley Capital")+SUMIFS(Movimientos!$K$1:$K$736,Movimientos!$C$1:$C$736,"Sacred Valley Capital",Movimientos!$B$1:$B$736,"&lt;="&amp;$B92)</f>
        <v>54.400000000000006</v>
      </c>
      <c r="L92" s="24">
        <f>SUMIFS('Saldos Iniciales'!$D:$D,'Saldos Iniciales'!$A:$A,"YWC Capital")+SUMIFS(Movimientos!$K$1:$K$736,Movimientos!$C$1:$C$736,"YWC Capital",Movimientos!$B$1:$B$736,"&lt;="&amp;$B92)</f>
        <v>2207.8200000000002</v>
      </c>
      <c r="M92" s="24">
        <f>SUMIFS('Saldos Iniciales'!$D:$D,'Saldos Iniciales'!$A:$A,"Soweto")+SUMIFS(Movimientos!$K$1:$K$736,Movimientos!$C$1:$C$736,"Soweto",Movimientos!$B$1:$B$736,"&lt;="&amp;$B92)</f>
        <v>1454589.72</v>
      </c>
      <c r="N92" s="24">
        <f>SUMIFS('Saldos Iniciales'!$D:$D,'Saldos Iniciales'!$A:$A,"Green Stone Trust")+SUMIFS(Movimientos!$K$1:$K$736,Movimientos!$C$1:$C$736,"Green Stone Trust",Movimientos!$B$1:$B$736,"&lt;="&amp;$B92)</f>
        <v>1968.99</v>
      </c>
      <c r="O92" s="24">
        <f>SUMIFS('Saldos Iniciales'!$D:$D,'Saldos Iniciales'!$A:$A,"EC Auto")+SUMIFS(Movimientos!$K$1:$K$736,Movimientos!$C$1:$C$736,"EC Auto",Movimientos!$B$1:$B$736,"&lt;="&amp;$B92)</f>
        <v>901.34</v>
      </c>
      <c r="P92" s="24">
        <f>SUMIFS('Saldos Iniciales'!$D:$D,'Saldos Iniciales'!$A:$A,"Arbor Capital Properties")+SUMIFS(Movimientos!$K$1:$K$736,Movimientos!$C$1:$C$736,"Arbor Capital Properties",Movimientos!$B$1:$B$736,"&lt;="&amp;$B92)</f>
        <v>1412.08</v>
      </c>
      <c r="Q92" s="24">
        <f>SUMIFS('Saldos Iniciales'!$D:$D,'Saldos Iniciales'!$A:$A,"2515 Overbrook")+SUMIFS(Movimientos!$K$1:$K$736,Movimientos!$C$1:$C$736,"2515 Overbrook",Movimientos!$B$1:$B$736,"&lt;="&amp;$B92)</f>
        <v>22347.56999999996</v>
      </c>
      <c r="R92" s="24">
        <f>SUMIFS('Saldos Iniciales'!$D:$D,'Saldos Iniciales'!$A:$A,"112 Florida Ave")+SUMIFS(Movimientos!$K$1:$K$736,Movimientos!$C$1:$C$736,"112 Florida Ave",Movimientos!$B$1:$B$736,"&lt;="&amp;$B92)</f>
        <v>18522.800000000003</v>
      </c>
      <c r="S92" s="24">
        <f>SUMIFS('Saldos Iniciales'!$D:$D,'Saldos Iniciales'!$A:$A,"3628 Thomas Ave")+SUMIFS(Movimientos!$K$1:$K$736,Movimientos!$C$1:$C$736,"3628 Thomas Ave",Movimientos!$B$1:$B$736,"&lt;="&amp;$B92)</f>
        <v>24085.559999999998</v>
      </c>
      <c r="T92" s="24">
        <f>SUMIFS('Saldos Iniciales'!$D:$D,'Saldos Iniciales'!$A:$A,"Green Harbor Trust")+SUMIFS(Movimientos!$K$1:$K$736,Movimientos!$C$1:$C$736,"Green Harbor Trust",Movimientos!$B$1:$B$736,"&lt;="&amp;$B92)</f>
        <v>345</v>
      </c>
      <c r="U92" s="24">
        <f>SUMIFS('Saldos Iniciales'!$D:$D,'Saldos Iniciales'!$A:$A,"Go Blue")+SUMIFS(Movimientos!$K$1:$K$736,Movimientos!$C$1:$C$736,"Go Blue",Movimientos!$B$1:$B$736,"&lt;="&amp;$B92)</f>
        <v>11634.930000000004</v>
      </c>
      <c r="V92" s="25">
        <f t="shared" si="21"/>
        <v>7702889.1399999997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Group")+SUMIFS(Movimientos!$K$1:$K$736,Movimientos!$C$1:$C$736,"CFT Group",Movimientos!$B$1:$B$736,"&lt;="&amp;$B93)</f>
        <v>2468032.08</v>
      </c>
      <c r="D93" s="24">
        <f>SUMIFS('Saldos Iniciales'!$D:$D,'Saldos Iniciales'!$A:$A,"M1B")+SUMIFS(Movimientos!$K$1:$K$736,Movimientos!$C$1:$C$736,"M1B",Movimientos!$B$1:$B$736,"&lt;="&amp;$B93)</f>
        <v>83211.250000000175</v>
      </c>
      <c r="E93" s="24">
        <f>SUMIFS('Saldos Iniciales'!$D:$D,'Saldos Iniciales'!$A:$A,"Durand")+SUMIFS(Movimientos!$K$1:$K$736,Movimientos!$C$1:$C$736,"Durand",Movimientos!$B$1:$B$736,"&lt;="&amp;$B93)</f>
        <v>1669.89</v>
      </c>
      <c r="F93" s="24">
        <f>SUMIFS('Saldos Iniciales'!$D:$D,'Saldos Iniciales'!$A:$A,"A&amp;M Imports")+SUMIFS(Movimientos!$K$1:$K$736,Movimientos!$C$1:$C$736,"A&amp;M Imports",Movimientos!$B$1:$B$736,"&lt;="&amp;$B93)</f>
        <v>1458426.0399999998</v>
      </c>
      <c r="G93" s="24">
        <f>SUMIFS('Saldos Iniciales'!$D:$D,'Saldos Iniciales'!$A:$A,"SSP Capital")+SUMIFS(Movimientos!$K$1:$K$736,Movimientos!$C$1:$C$736,"SSP Capital",Movimientos!$B$1:$B$736,"&lt;="&amp;$B93)</f>
        <v>1514477.1199999996</v>
      </c>
      <c r="H93" s="24">
        <f>SUMIFS('Saldos Iniciales'!$D:$D,'Saldos Iniciales'!$A:$A,"Cross Family Trust")+SUMIFS(Movimientos!$K$1:$K$736,Movimientos!$C$1:$C$736,"Cross Family Trust",Movimientos!$B$1:$B$736,"&lt;="&amp;$B93)</f>
        <v>190496.38</v>
      </c>
      <c r="I93" s="24">
        <f>SUMIFS('Saldos Iniciales'!$D:$D,'Saldos Iniciales'!$A:$A,"Cross Security Trust")+SUMIFS(Movimientos!$K$1:$K$736,Movimientos!$C$1:$C$736,"Cross Security Trust",Movimientos!$B$1:$B$736,"&lt;="&amp;$B93)</f>
        <v>88090.37</v>
      </c>
      <c r="J93" s="24">
        <f>SUMIFS('Saldos Iniciales'!$D:$D,'Saldos Iniciales'!$A:$A,"Electrama")+SUMIFS(Movimientos!$K$1:$K$736,Movimientos!$C$1:$C$736,"Electrama",Movimientos!$B$1:$B$736,"&lt;="&amp;$B93)</f>
        <v>14580.45</v>
      </c>
      <c r="K93" s="24">
        <f>SUMIFS('Saldos Iniciales'!$D:$D,'Saldos Iniciales'!$A:$A,"Sacred Valley Capital")+SUMIFS(Movimientos!$K$1:$K$736,Movimientos!$C$1:$C$736,"Sacred Valley Capital",Movimientos!$B$1:$B$736,"&lt;="&amp;$B93)</f>
        <v>54.400000000000006</v>
      </c>
      <c r="L93" s="24">
        <f>SUMIFS('Saldos Iniciales'!$D:$D,'Saldos Iniciales'!$A:$A,"YWC Capital")+SUMIFS(Movimientos!$K$1:$K$736,Movimientos!$C$1:$C$736,"YWC Capital",Movimientos!$B$1:$B$736,"&lt;="&amp;$B93)</f>
        <v>2207.8200000000002</v>
      </c>
      <c r="M93" s="24">
        <f>SUMIFS('Saldos Iniciales'!$D:$D,'Saldos Iniciales'!$A:$A,"Soweto")+SUMIFS(Movimientos!$K$1:$K$736,Movimientos!$C$1:$C$736,"Soweto",Movimientos!$B$1:$B$736,"&lt;="&amp;$B93)</f>
        <v>1454589.72</v>
      </c>
      <c r="N93" s="24">
        <f>SUMIFS('Saldos Iniciales'!$D:$D,'Saldos Iniciales'!$A:$A,"Green Stone Trust")+SUMIFS(Movimientos!$K$1:$K$736,Movimientos!$C$1:$C$736,"Green Stone Trust",Movimientos!$B$1:$B$736,"&lt;="&amp;$B93)</f>
        <v>1968.99</v>
      </c>
      <c r="O93" s="24">
        <f>SUMIFS('Saldos Iniciales'!$D:$D,'Saldos Iniciales'!$A:$A,"EC Auto")+SUMIFS(Movimientos!$K$1:$K$736,Movimientos!$C$1:$C$736,"EC Auto",Movimientos!$B$1:$B$736,"&lt;="&amp;$B93)</f>
        <v>901.34</v>
      </c>
      <c r="P93" s="24">
        <f>SUMIFS('Saldos Iniciales'!$D:$D,'Saldos Iniciales'!$A:$A,"Arbor Capital Properties")+SUMIFS(Movimientos!$K$1:$K$736,Movimientos!$C$1:$C$736,"Arbor Capital Properties",Movimientos!$B$1:$B$736,"&lt;="&amp;$B93)</f>
        <v>1412.08</v>
      </c>
      <c r="Q93" s="24">
        <f>SUMIFS('Saldos Iniciales'!$D:$D,'Saldos Iniciales'!$A:$A,"2515 Overbrook")+SUMIFS(Movimientos!$K$1:$K$736,Movimientos!$C$1:$C$736,"2515 Overbrook",Movimientos!$B$1:$B$736,"&lt;="&amp;$B93)</f>
        <v>22347.56999999996</v>
      </c>
      <c r="R93" s="24">
        <f>SUMIFS('Saldos Iniciales'!$D:$D,'Saldos Iniciales'!$A:$A,"112 Florida Ave")+SUMIFS(Movimientos!$K$1:$K$736,Movimientos!$C$1:$C$736,"112 Florida Ave",Movimientos!$B$1:$B$736,"&lt;="&amp;$B93)</f>
        <v>18522.800000000003</v>
      </c>
      <c r="S93" s="24">
        <f>SUMIFS('Saldos Iniciales'!$D:$D,'Saldos Iniciales'!$A:$A,"3628 Thomas Ave")+SUMIFS(Movimientos!$K$1:$K$736,Movimientos!$C$1:$C$736,"3628 Thomas Ave",Movimientos!$B$1:$B$736,"&lt;="&amp;$B93)</f>
        <v>24085.559999999998</v>
      </c>
      <c r="T93" s="24">
        <f>SUMIFS('Saldos Iniciales'!$D:$D,'Saldos Iniciales'!$A:$A,"Green Harbor Trust")+SUMIFS(Movimientos!$K$1:$K$736,Movimientos!$C$1:$C$736,"Green Harbor Trust",Movimientos!$B$1:$B$736,"&lt;="&amp;$B93)</f>
        <v>345</v>
      </c>
      <c r="U93" s="24">
        <f>SUMIFS('Saldos Iniciales'!$D:$D,'Saldos Iniciales'!$A:$A,"Go Blue")+SUMIFS(Movimientos!$K$1:$K$736,Movimientos!$C$1:$C$736,"Go Blue",Movimientos!$B$1:$B$736,"&lt;="&amp;$B93)</f>
        <v>11634.930000000004</v>
      </c>
      <c r="V93" s="25">
        <f t="shared" si="21"/>
        <v>7357053.7899999991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Group")+SUMIFS(Movimientos!$K$1:$K$736,Movimientos!$C$1:$C$736,"CFT Group",Movimientos!$B$1:$B$736,"&lt;="&amp;$B94)</f>
        <v>2468032.08</v>
      </c>
      <c r="D94" s="24">
        <f>SUMIFS('Saldos Iniciales'!$D:$D,'Saldos Iniciales'!$A:$A,"M1B")+SUMIFS(Movimientos!$K$1:$K$736,Movimientos!$C$1:$C$736,"M1B",Movimientos!$B$1:$B$736,"&lt;="&amp;$B94)</f>
        <v>83211.250000000175</v>
      </c>
      <c r="E94" s="24">
        <f>SUMIFS('Saldos Iniciales'!$D:$D,'Saldos Iniciales'!$A:$A,"Durand")+SUMIFS(Movimientos!$K$1:$K$736,Movimientos!$C$1:$C$736,"Durand",Movimientos!$B$1:$B$736,"&lt;="&amp;$B94)</f>
        <v>1669.89</v>
      </c>
      <c r="F94" s="24">
        <f>SUMIFS('Saldos Iniciales'!$D:$D,'Saldos Iniciales'!$A:$A,"A&amp;M Imports")+SUMIFS(Movimientos!$K$1:$K$736,Movimientos!$C$1:$C$736,"A&amp;M Imports",Movimientos!$B$1:$B$736,"&lt;="&amp;$B94)</f>
        <v>1458426.0399999998</v>
      </c>
      <c r="G94" s="24">
        <f>SUMIFS('Saldos Iniciales'!$D:$D,'Saldos Iniciales'!$A:$A,"SSP Capital")+SUMIFS(Movimientos!$K$1:$K$736,Movimientos!$C$1:$C$736,"SSP Capital",Movimientos!$B$1:$B$736,"&lt;="&amp;$B94)</f>
        <v>1514477.1199999996</v>
      </c>
      <c r="H94" s="24">
        <f>SUMIFS('Saldos Iniciales'!$D:$D,'Saldos Iniciales'!$A:$A,"Cross Family Trust")+SUMIFS(Movimientos!$K$1:$K$736,Movimientos!$C$1:$C$736,"Cross Family Trust",Movimientos!$B$1:$B$736,"&lt;="&amp;$B94)</f>
        <v>190496.38</v>
      </c>
      <c r="I94" s="24">
        <f>SUMIFS('Saldos Iniciales'!$D:$D,'Saldos Iniciales'!$A:$A,"Cross Security Trust")+SUMIFS(Movimientos!$K$1:$K$736,Movimientos!$C$1:$C$736,"Cross Security Trust",Movimientos!$B$1:$B$736,"&lt;="&amp;$B94)</f>
        <v>88090.37</v>
      </c>
      <c r="J94" s="24">
        <f>SUMIFS('Saldos Iniciales'!$D:$D,'Saldos Iniciales'!$A:$A,"Electrama")+SUMIFS(Movimientos!$K$1:$K$736,Movimientos!$C$1:$C$736,"Electrama",Movimientos!$B$1:$B$736,"&lt;="&amp;$B94)</f>
        <v>14580.45</v>
      </c>
      <c r="K94" s="24">
        <f>SUMIFS('Saldos Iniciales'!$D:$D,'Saldos Iniciales'!$A:$A,"Sacred Valley Capital")+SUMIFS(Movimientos!$K$1:$K$736,Movimientos!$C$1:$C$736,"Sacred Valley Capital",Movimientos!$B$1:$B$736,"&lt;="&amp;$B94)</f>
        <v>54.400000000000006</v>
      </c>
      <c r="L94" s="24">
        <f>SUMIFS('Saldos Iniciales'!$D:$D,'Saldos Iniciales'!$A:$A,"YWC Capital")+SUMIFS(Movimientos!$K$1:$K$736,Movimientos!$C$1:$C$736,"YWC Capital",Movimientos!$B$1:$B$736,"&lt;="&amp;$B94)</f>
        <v>2207.8200000000002</v>
      </c>
      <c r="M94" s="24">
        <f>SUMIFS('Saldos Iniciales'!$D:$D,'Saldos Iniciales'!$A:$A,"Soweto")+SUMIFS(Movimientos!$K$1:$K$736,Movimientos!$C$1:$C$736,"Soweto",Movimientos!$B$1:$B$736,"&lt;="&amp;$B94)</f>
        <v>1454589.72</v>
      </c>
      <c r="N94" s="24">
        <f>SUMIFS('Saldos Iniciales'!$D:$D,'Saldos Iniciales'!$A:$A,"Green Stone Trust")+SUMIFS(Movimientos!$K$1:$K$736,Movimientos!$C$1:$C$736,"Green Stone Trust",Movimientos!$B$1:$B$736,"&lt;="&amp;$B94)</f>
        <v>1968.99</v>
      </c>
      <c r="O94" s="24">
        <f>SUMIFS('Saldos Iniciales'!$D:$D,'Saldos Iniciales'!$A:$A,"EC Auto")+SUMIFS(Movimientos!$K$1:$K$736,Movimientos!$C$1:$C$736,"EC Auto",Movimientos!$B$1:$B$736,"&lt;="&amp;$B94)</f>
        <v>901.34</v>
      </c>
      <c r="P94" s="24">
        <f>SUMIFS('Saldos Iniciales'!$D:$D,'Saldos Iniciales'!$A:$A,"Arbor Capital Properties")+SUMIFS(Movimientos!$K$1:$K$736,Movimientos!$C$1:$C$736,"Arbor Capital Properties",Movimientos!$B$1:$B$736,"&lt;="&amp;$B94)</f>
        <v>1412.08</v>
      </c>
      <c r="Q94" s="24">
        <f>SUMIFS('Saldos Iniciales'!$D:$D,'Saldos Iniciales'!$A:$A,"2515 Overbrook")+SUMIFS(Movimientos!$K$1:$K$736,Movimientos!$C$1:$C$736,"2515 Overbrook",Movimientos!$B$1:$B$736,"&lt;="&amp;$B94)</f>
        <v>22347.56999999996</v>
      </c>
      <c r="R94" s="24">
        <f>SUMIFS('Saldos Iniciales'!$D:$D,'Saldos Iniciales'!$A:$A,"112 Florida Ave")+SUMIFS(Movimientos!$K$1:$K$736,Movimientos!$C$1:$C$736,"112 Florida Ave",Movimientos!$B$1:$B$736,"&lt;="&amp;$B94)</f>
        <v>18522.800000000003</v>
      </c>
      <c r="S94" s="24">
        <f>SUMIFS('Saldos Iniciales'!$D:$D,'Saldos Iniciales'!$A:$A,"3628 Thomas Ave")+SUMIFS(Movimientos!$K$1:$K$736,Movimientos!$C$1:$C$736,"3628 Thomas Ave",Movimientos!$B$1:$B$736,"&lt;="&amp;$B94)</f>
        <v>24085.559999999998</v>
      </c>
      <c r="T94" s="24">
        <f>SUMIFS('Saldos Iniciales'!$D:$D,'Saldos Iniciales'!$A:$A,"Green Harbor Trust")+SUMIFS(Movimientos!$K$1:$K$736,Movimientos!$C$1:$C$736,"Green Harbor Trust",Movimientos!$B$1:$B$736,"&lt;="&amp;$B94)</f>
        <v>345</v>
      </c>
      <c r="U94" s="24">
        <f>SUMIFS('Saldos Iniciales'!$D:$D,'Saldos Iniciales'!$A:$A,"Go Blue")+SUMIFS(Movimientos!$K$1:$K$736,Movimientos!$C$1:$C$736,"Go Blue",Movimientos!$B$1:$B$736,"&lt;="&amp;$B94)</f>
        <v>11634.930000000004</v>
      </c>
      <c r="V94" s="25">
        <f t="shared" si="21"/>
        <v>7357053.7899999991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Group")+SUMIFS(Movimientos!$K$1:$K$736,Movimientos!$C$1:$C$736,"CFT Group",Movimientos!$B$1:$B$736,"&lt;="&amp;$B95)</f>
        <v>2468032.08</v>
      </c>
      <c r="D95" s="24">
        <f>SUMIFS('Saldos Iniciales'!$D:$D,'Saldos Iniciales'!$A:$A,"M1B")+SUMIFS(Movimientos!$K$1:$K$736,Movimientos!$C$1:$C$736,"M1B",Movimientos!$B$1:$B$736,"&lt;="&amp;$B95)</f>
        <v>83211.250000000175</v>
      </c>
      <c r="E95" s="24">
        <f>SUMIFS('Saldos Iniciales'!$D:$D,'Saldos Iniciales'!$A:$A,"Durand")+SUMIFS(Movimientos!$K$1:$K$736,Movimientos!$C$1:$C$736,"Durand",Movimientos!$B$1:$B$736,"&lt;="&amp;$B95)</f>
        <v>1669.89</v>
      </c>
      <c r="F95" s="24">
        <f>SUMIFS('Saldos Iniciales'!$D:$D,'Saldos Iniciales'!$A:$A,"A&amp;M Imports")+SUMIFS(Movimientos!$K$1:$K$736,Movimientos!$C$1:$C$736,"A&amp;M Imports",Movimientos!$B$1:$B$736,"&lt;="&amp;$B95)</f>
        <v>1458426.0399999998</v>
      </c>
      <c r="G95" s="24">
        <f>SUMIFS('Saldos Iniciales'!$D:$D,'Saldos Iniciales'!$A:$A,"SSP Capital")+SUMIFS(Movimientos!$K$1:$K$736,Movimientos!$C$1:$C$736,"SSP Capital",Movimientos!$B$1:$B$736,"&lt;="&amp;$B95)</f>
        <v>1514477.1199999996</v>
      </c>
      <c r="H95" s="24">
        <f>SUMIFS('Saldos Iniciales'!$D:$D,'Saldos Iniciales'!$A:$A,"Cross Family Trust")+SUMIFS(Movimientos!$K$1:$K$736,Movimientos!$C$1:$C$736,"Cross Family Trust",Movimientos!$B$1:$B$736,"&lt;="&amp;$B95)</f>
        <v>190496.38</v>
      </c>
      <c r="I95" s="24">
        <f>SUMIFS('Saldos Iniciales'!$D:$D,'Saldos Iniciales'!$A:$A,"Cross Security Trust")+SUMIFS(Movimientos!$K$1:$K$736,Movimientos!$C$1:$C$736,"Cross Security Trust",Movimientos!$B$1:$B$736,"&lt;="&amp;$B95)</f>
        <v>88090.37</v>
      </c>
      <c r="J95" s="24">
        <f>SUMIFS('Saldos Iniciales'!$D:$D,'Saldos Iniciales'!$A:$A,"Electrama")+SUMIFS(Movimientos!$K$1:$K$736,Movimientos!$C$1:$C$736,"Electrama",Movimientos!$B$1:$B$736,"&lt;="&amp;$B95)</f>
        <v>14580.45</v>
      </c>
      <c r="K95" s="24">
        <f>SUMIFS('Saldos Iniciales'!$D:$D,'Saldos Iniciales'!$A:$A,"Sacred Valley Capital")+SUMIFS(Movimientos!$K$1:$K$736,Movimientos!$C$1:$C$736,"Sacred Valley Capital",Movimientos!$B$1:$B$736,"&lt;="&amp;$B95)</f>
        <v>54.400000000000006</v>
      </c>
      <c r="L95" s="24">
        <f>SUMIFS('Saldos Iniciales'!$D:$D,'Saldos Iniciales'!$A:$A,"YWC Capital")+SUMIFS(Movimientos!$K$1:$K$736,Movimientos!$C$1:$C$736,"YWC Capital",Movimientos!$B$1:$B$736,"&lt;="&amp;$B95)</f>
        <v>2207.8200000000002</v>
      </c>
      <c r="M95" s="24">
        <f>SUMIFS('Saldos Iniciales'!$D:$D,'Saldos Iniciales'!$A:$A,"Soweto")+SUMIFS(Movimientos!$K$1:$K$736,Movimientos!$C$1:$C$736,"Soweto",Movimientos!$B$1:$B$736,"&lt;="&amp;$B95)</f>
        <v>1454589.72</v>
      </c>
      <c r="N95" s="24">
        <f>SUMIFS('Saldos Iniciales'!$D:$D,'Saldos Iniciales'!$A:$A,"Green Stone Trust")+SUMIFS(Movimientos!$K$1:$K$736,Movimientos!$C$1:$C$736,"Green Stone Trust",Movimientos!$B$1:$B$736,"&lt;="&amp;$B95)</f>
        <v>1968.99</v>
      </c>
      <c r="O95" s="24">
        <f>SUMIFS('Saldos Iniciales'!$D:$D,'Saldos Iniciales'!$A:$A,"EC Auto")+SUMIFS(Movimientos!$K$1:$K$736,Movimientos!$C$1:$C$736,"EC Auto",Movimientos!$B$1:$B$736,"&lt;="&amp;$B95)</f>
        <v>901.34</v>
      </c>
      <c r="P95" s="24">
        <f>SUMIFS('Saldos Iniciales'!$D:$D,'Saldos Iniciales'!$A:$A,"Arbor Capital Properties")+SUMIFS(Movimientos!$K$1:$K$736,Movimientos!$C$1:$C$736,"Arbor Capital Properties",Movimientos!$B$1:$B$736,"&lt;="&amp;$B95)</f>
        <v>1412.08</v>
      </c>
      <c r="Q95" s="24">
        <f>SUMIFS('Saldos Iniciales'!$D:$D,'Saldos Iniciales'!$A:$A,"2515 Overbrook")+SUMIFS(Movimientos!$K$1:$K$736,Movimientos!$C$1:$C$736,"2515 Overbrook",Movimientos!$B$1:$B$736,"&lt;="&amp;$B95)</f>
        <v>22347.56999999996</v>
      </c>
      <c r="R95" s="24">
        <f>SUMIFS('Saldos Iniciales'!$D:$D,'Saldos Iniciales'!$A:$A,"112 Florida Ave")+SUMIFS(Movimientos!$K$1:$K$736,Movimientos!$C$1:$C$736,"112 Florida Ave",Movimientos!$B$1:$B$736,"&lt;="&amp;$B95)</f>
        <v>18522.800000000003</v>
      </c>
      <c r="S95" s="24">
        <f>SUMIFS('Saldos Iniciales'!$D:$D,'Saldos Iniciales'!$A:$A,"3628 Thomas Ave")+SUMIFS(Movimientos!$K$1:$K$736,Movimientos!$C$1:$C$736,"3628 Thomas Ave",Movimientos!$B$1:$B$736,"&lt;="&amp;$B95)</f>
        <v>24085.559999999998</v>
      </c>
      <c r="T95" s="24">
        <f>SUMIFS('Saldos Iniciales'!$D:$D,'Saldos Iniciales'!$A:$A,"Green Harbor Trust")+SUMIFS(Movimientos!$K$1:$K$736,Movimientos!$C$1:$C$736,"Green Harbor Trust",Movimientos!$B$1:$B$736,"&lt;="&amp;$B95)</f>
        <v>345</v>
      </c>
      <c r="U95" s="24">
        <f>SUMIFS('Saldos Iniciales'!$D:$D,'Saldos Iniciales'!$A:$A,"Go Blue")+SUMIFS(Movimientos!$K$1:$K$736,Movimientos!$C$1:$C$736,"Go Blue",Movimientos!$B$1:$B$736,"&lt;="&amp;$B95)</f>
        <v>11634.930000000004</v>
      </c>
      <c r="V95" s="25">
        <f t="shared" si="21"/>
        <v>7357053.7899999991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Group")+SUMIFS(Movimientos!$K$1:$K$736,Movimientos!$C$1:$C$736,"CFT Group",Movimientos!$B$1:$B$736,"&lt;="&amp;$B96)</f>
        <v>2468032.08</v>
      </c>
      <c r="D96" s="24">
        <f>SUMIFS('Saldos Iniciales'!$D:$D,'Saldos Iniciales'!$A:$A,"M1B")+SUMIFS(Movimientos!$K$1:$K$736,Movimientos!$C$1:$C$736,"M1B",Movimientos!$B$1:$B$736,"&lt;="&amp;$B96)</f>
        <v>83211.250000000175</v>
      </c>
      <c r="E96" s="24">
        <f>SUMIFS('Saldos Iniciales'!$D:$D,'Saldos Iniciales'!$A:$A,"Durand")+SUMIFS(Movimientos!$K$1:$K$736,Movimientos!$C$1:$C$736,"Durand",Movimientos!$B$1:$B$736,"&lt;="&amp;$B96)</f>
        <v>1669.89</v>
      </c>
      <c r="F96" s="24">
        <f>SUMIFS('Saldos Iniciales'!$D:$D,'Saldos Iniciales'!$A:$A,"A&amp;M Imports")+SUMIFS(Movimientos!$K$1:$K$736,Movimientos!$C$1:$C$736,"A&amp;M Imports",Movimientos!$B$1:$B$736,"&lt;="&amp;$B96)</f>
        <v>1458426.0399999998</v>
      </c>
      <c r="G96" s="24">
        <f>SUMIFS('Saldos Iniciales'!$D:$D,'Saldos Iniciales'!$A:$A,"SSP Capital")+SUMIFS(Movimientos!$K$1:$K$736,Movimientos!$C$1:$C$736,"SSP Capital",Movimientos!$B$1:$B$736,"&lt;="&amp;$B96)</f>
        <v>1514477.1199999996</v>
      </c>
      <c r="H96" s="24">
        <f>SUMIFS('Saldos Iniciales'!$D:$D,'Saldos Iniciales'!$A:$A,"Cross Family Trust")+SUMIFS(Movimientos!$K$1:$K$736,Movimientos!$C$1:$C$736,"Cross Family Trust",Movimientos!$B$1:$B$736,"&lt;="&amp;$B96)</f>
        <v>190496.38</v>
      </c>
      <c r="I96" s="24">
        <f>SUMIFS('Saldos Iniciales'!$D:$D,'Saldos Iniciales'!$A:$A,"Cross Security Trust")+SUMIFS(Movimientos!$K$1:$K$736,Movimientos!$C$1:$C$736,"Cross Security Trust",Movimientos!$B$1:$B$736,"&lt;="&amp;$B96)</f>
        <v>88090.37</v>
      </c>
      <c r="J96" s="24">
        <f>SUMIFS('Saldos Iniciales'!$D:$D,'Saldos Iniciales'!$A:$A,"Electrama")+SUMIFS(Movimientos!$K$1:$K$736,Movimientos!$C$1:$C$736,"Electrama",Movimientos!$B$1:$B$736,"&lt;="&amp;$B96)</f>
        <v>14580.45</v>
      </c>
      <c r="K96" s="24">
        <f>SUMIFS('Saldos Iniciales'!$D:$D,'Saldos Iniciales'!$A:$A,"Sacred Valley Capital")+SUMIFS(Movimientos!$K$1:$K$736,Movimientos!$C$1:$C$736,"Sacred Valley Capital",Movimientos!$B$1:$B$736,"&lt;="&amp;$B96)</f>
        <v>24.450000000000003</v>
      </c>
      <c r="L96" s="24">
        <f>SUMIFS('Saldos Iniciales'!$D:$D,'Saldos Iniciales'!$A:$A,"YWC Capital")+SUMIFS(Movimientos!$K$1:$K$736,Movimientos!$C$1:$C$736,"YWC Capital",Movimientos!$B$1:$B$736,"&lt;="&amp;$B96)</f>
        <v>2177.87</v>
      </c>
      <c r="M96" s="24">
        <f>SUMIFS('Saldos Iniciales'!$D:$D,'Saldos Iniciales'!$A:$A,"Soweto")+SUMIFS(Movimientos!$K$1:$K$736,Movimientos!$C$1:$C$736,"Soweto",Movimientos!$B$1:$B$736,"&lt;="&amp;$B96)</f>
        <v>1454589.72</v>
      </c>
      <c r="N96" s="24">
        <f>SUMIFS('Saldos Iniciales'!$D:$D,'Saldos Iniciales'!$A:$A,"Green Stone Trust")+SUMIFS(Movimientos!$K$1:$K$736,Movimientos!$C$1:$C$736,"Green Stone Trust",Movimientos!$B$1:$B$736,"&lt;="&amp;$B96)</f>
        <v>1968.99</v>
      </c>
      <c r="O96" s="24">
        <f>SUMIFS('Saldos Iniciales'!$D:$D,'Saldos Iniciales'!$A:$A,"EC Auto")+SUMIFS(Movimientos!$K$1:$K$736,Movimientos!$C$1:$C$736,"EC Auto",Movimientos!$B$1:$B$736,"&lt;="&amp;$B96)</f>
        <v>901.34</v>
      </c>
      <c r="P96" s="24">
        <f>SUMIFS('Saldos Iniciales'!$D:$D,'Saldos Iniciales'!$A:$A,"Arbor Capital Properties")+SUMIFS(Movimientos!$K$1:$K$736,Movimientos!$C$1:$C$736,"Arbor Capital Properties",Movimientos!$B$1:$B$736,"&lt;="&amp;$B96)</f>
        <v>1396.08</v>
      </c>
      <c r="Q96" s="24">
        <f>SUMIFS('Saldos Iniciales'!$D:$D,'Saldos Iniciales'!$A:$A,"2515 Overbrook")+SUMIFS(Movimientos!$K$1:$K$736,Movimientos!$C$1:$C$736,"2515 Overbrook",Movimientos!$B$1:$B$736,"&lt;="&amp;$B96)</f>
        <v>13804.239999999962</v>
      </c>
      <c r="R96" s="24">
        <f>SUMIFS('Saldos Iniciales'!$D:$D,'Saldos Iniciales'!$A:$A,"112 Florida Ave")+SUMIFS(Movimientos!$K$1:$K$736,Movimientos!$C$1:$C$736,"112 Florida Ave",Movimientos!$B$1:$B$736,"&lt;="&amp;$B96)</f>
        <v>8724.1700000000037</v>
      </c>
      <c r="S96" s="24">
        <f>SUMIFS('Saldos Iniciales'!$D:$D,'Saldos Iniciales'!$A:$A,"3628 Thomas Ave")+SUMIFS(Movimientos!$K$1:$K$736,Movimientos!$C$1:$C$736,"3628 Thomas Ave",Movimientos!$B$1:$B$736,"&lt;="&amp;$B96)</f>
        <v>10706.099999999997</v>
      </c>
      <c r="T96" s="24">
        <f>SUMIFS('Saldos Iniciales'!$D:$D,'Saldos Iniciales'!$A:$A,"Green Harbor Trust")+SUMIFS(Movimientos!$K$1:$K$736,Movimientos!$C$1:$C$736,"Green Harbor Trust",Movimientos!$B$1:$B$736,"&lt;="&amp;$B96)</f>
        <v>345</v>
      </c>
      <c r="U96" s="24">
        <f>SUMIFS('Saldos Iniciales'!$D:$D,'Saldos Iniciales'!$A:$A,"Go Blue")+SUMIFS(Movimientos!$K$1:$K$736,Movimientos!$C$1:$C$736,"Go Blue",Movimientos!$B$1:$B$736,"&lt;="&amp;$B96)</f>
        <v>8270.3500000000022</v>
      </c>
      <c r="V96" s="25">
        <f t="shared" si="21"/>
        <v>7321891.8899999987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Group")+SUMIFS(Movimientos!$K$1:$K$736,Movimientos!$C$1:$C$736,"CFT Group",Movimientos!$B$1:$B$736,"&lt;="&amp;$B97)</f>
        <v>2468032.08</v>
      </c>
      <c r="D97" s="24">
        <f>SUMIFS('Saldos Iniciales'!$D:$D,'Saldos Iniciales'!$A:$A,"M1B")+SUMIFS(Movimientos!$K$1:$K$736,Movimientos!$C$1:$C$736,"M1B",Movimientos!$B$1:$B$736,"&lt;="&amp;$B97)</f>
        <v>83211.250000000175</v>
      </c>
      <c r="E97" s="24">
        <f>SUMIFS('Saldos Iniciales'!$D:$D,'Saldos Iniciales'!$A:$A,"Durand")+SUMIFS(Movimientos!$K$1:$K$736,Movimientos!$C$1:$C$736,"Durand",Movimientos!$B$1:$B$736,"&lt;="&amp;$B97)</f>
        <v>1669.89</v>
      </c>
      <c r="F97" s="24">
        <f>SUMIFS('Saldos Iniciales'!$D:$D,'Saldos Iniciales'!$A:$A,"A&amp;M Imports")+SUMIFS(Movimientos!$K$1:$K$736,Movimientos!$C$1:$C$736,"A&amp;M Imports",Movimientos!$B$1:$B$736,"&lt;="&amp;$B97)</f>
        <v>1458426.0399999998</v>
      </c>
      <c r="G97" s="24">
        <f>SUMIFS('Saldos Iniciales'!$D:$D,'Saldos Iniciales'!$A:$A,"SSP Capital")+SUMIFS(Movimientos!$K$1:$K$736,Movimientos!$C$1:$C$736,"SSP Capital",Movimientos!$B$1:$B$736,"&lt;="&amp;$B97)</f>
        <v>1513867.4199999995</v>
      </c>
      <c r="H97" s="24">
        <f>SUMIFS('Saldos Iniciales'!$D:$D,'Saldos Iniciales'!$A:$A,"Cross Family Trust")+SUMIFS(Movimientos!$K$1:$K$736,Movimientos!$C$1:$C$736,"Cross Family Trust",Movimientos!$B$1:$B$736,"&lt;="&amp;$B97)</f>
        <v>184496.38</v>
      </c>
      <c r="I97" s="24">
        <f>SUMIFS('Saldos Iniciales'!$D:$D,'Saldos Iniciales'!$A:$A,"Cross Security Trust")+SUMIFS(Movimientos!$K$1:$K$736,Movimientos!$C$1:$C$736,"Cross Security Trust",Movimientos!$B$1:$B$736,"&lt;="&amp;$B97)</f>
        <v>88090.37</v>
      </c>
      <c r="J97" s="24">
        <f>SUMIFS('Saldos Iniciales'!$D:$D,'Saldos Iniciales'!$A:$A,"Electrama")+SUMIFS(Movimientos!$K$1:$K$736,Movimientos!$C$1:$C$736,"Electrama",Movimientos!$B$1:$B$736,"&lt;="&amp;$B97)</f>
        <v>14580.45</v>
      </c>
      <c r="K97" s="24">
        <f>SUMIFS('Saldos Iniciales'!$D:$D,'Saldos Iniciales'!$A:$A,"Sacred Valley Capital")+SUMIFS(Movimientos!$K$1:$K$736,Movimientos!$C$1:$C$736,"Sacred Valley Capital",Movimientos!$B$1:$B$736,"&lt;="&amp;$B97)</f>
        <v>24.450000000000003</v>
      </c>
      <c r="L97" s="24">
        <f>SUMIFS('Saldos Iniciales'!$D:$D,'Saldos Iniciales'!$A:$A,"YWC Capital")+SUMIFS(Movimientos!$K$1:$K$736,Movimientos!$C$1:$C$736,"YWC Capital",Movimientos!$B$1:$B$736,"&lt;="&amp;$B97)</f>
        <v>2177.87</v>
      </c>
      <c r="M97" s="24">
        <f>SUMIFS('Saldos Iniciales'!$D:$D,'Saldos Iniciales'!$A:$A,"Soweto")+SUMIFS(Movimientos!$K$1:$K$736,Movimientos!$C$1:$C$736,"Soweto",Movimientos!$B$1:$B$736,"&lt;="&amp;$B97)</f>
        <v>1454589.72</v>
      </c>
      <c r="N97" s="24">
        <f>SUMIFS('Saldos Iniciales'!$D:$D,'Saldos Iniciales'!$A:$A,"Green Stone Trust")+SUMIFS(Movimientos!$K$1:$K$736,Movimientos!$C$1:$C$736,"Green Stone Trust",Movimientos!$B$1:$B$736,"&lt;="&amp;$B97)</f>
        <v>1968.99</v>
      </c>
      <c r="O97" s="24">
        <f>SUMIFS('Saldos Iniciales'!$D:$D,'Saldos Iniciales'!$A:$A,"EC Auto")+SUMIFS(Movimientos!$K$1:$K$736,Movimientos!$C$1:$C$736,"EC Auto",Movimientos!$B$1:$B$736,"&lt;="&amp;$B97)</f>
        <v>901.34</v>
      </c>
      <c r="P97" s="24">
        <f>SUMIFS('Saldos Iniciales'!$D:$D,'Saldos Iniciales'!$A:$A,"Arbor Capital Properties")+SUMIFS(Movimientos!$K$1:$K$736,Movimientos!$C$1:$C$736,"Arbor Capital Properties",Movimientos!$B$1:$B$736,"&lt;="&amp;$B97)</f>
        <v>1396.08</v>
      </c>
      <c r="Q97" s="24">
        <f>SUMIFS('Saldos Iniciales'!$D:$D,'Saldos Iniciales'!$A:$A,"2515 Overbrook")+SUMIFS(Movimientos!$K$1:$K$736,Movimientos!$C$1:$C$736,"2515 Overbrook",Movimientos!$B$1:$B$736,"&lt;="&amp;$B97)</f>
        <v>13804.239999999962</v>
      </c>
      <c r="R97" s="24">
        <f>SUMIFS('Saldos Iniciales'!$D:$D,'Saldos Iniciales'!$A:$A,"112 Florida Ave")+SUMIFS(Movimientos!$K$1:$K$736,Movimientos!$C$1:$C$736,"112 Florida Ave",Movimientos!$B$1:$B$736,"&lt;="&amp;$B97)</f>
        <v>8724.1700000000037</v>
      </c>
      <c r="S97" s="24">
        <f>SUMIFS('Saldos Iniciales'!$D:$D,'Saldos Iniciales'!$A:$A,"3628 Thomas Ave")+SUMIFS(Movimientos!$K$1:$K$736,Movimientos!$C$1:$C$736,"3628 Thomas Ave",Movimientos!$B$1:$B$736,"&lt;="&amp;$B97)</f>
        <v>10706.099999999997</v>
      </c>
      <c r="T97" s="24">
        <f>SUMIFS('Saldos Iniciales'!$D:$D,'Saldos Iniciales'!$A:$A,"Green Harbor Trust")+SUMIFS(Movimientos!$K$1:$K$736,Movimientos!$C$1:$C$736,"Green Harbor Trust",Movimientos!$B$1:$B$736,"&lt;="&amp;$B97)</f>
        <v>345</v>
      </c>
      <c r="U97" s="24">
        <f>SUMIFS('Saldos Iniciales'!$D:$D,'Saldos Iniciales'!$A:$A,"Go Blue")+SUMIFS(Movimientos!$K$1:$K$736,Movimientos!$C$1:$C$736,"Go Blue",Movimientos!$B$1:$B$736,"&lt;="&amp;$B97)</f>
        <v>7879.4200000000019</v>
      </c>
      <c r="V97" s="25">
        <f t="shared" ref="V97:V102" si="22">SUM(C97:U97)</f>
        <v>7314891.2599999998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Group")+SUMIFS(Movimientos!$K$1:$K$736,Movimientos!$C$1:$C$736,"CFT Group",Movimientos!$B$1:$B$736,"&lt;="&amp;$B98)</f>
        <v>2468032.08</v>
      </c>
      <c r="D98" s="24">
        <f>SUMIFS('Saldos Iniciales'!$D:$D,'Saldos Iniciales'!$A:$A,"M1B")+SUMIFS(Movimientos!$K$1:$K$736,Movimientos!$C$1:$C$736,"M1B",Movimientos!$B$1:$B$736,"&lt;="&amp;$B98)</f>
        <v>83211.250000000175</v>
      </c>
      <c r="E98" s="24">
        <f>SUMIFS('Saldos Iniciales'!$D:$D,'Saldos Iniciales'!$A:$A,"Durand")+SUMIFS(Movimientos!$K$1:$K$736,Movimientos!$C$1:$C$736,"Durand",Movimientos!$B$1:$B$736,"&lt;="&amp;$B98)</f>
        <v>1669.89</v>
      </c>
      <c r="F98" s="24">
        <f>SUMIFS('Saldos Iniciales'!$D:$D,'Saldos Iniciales'!$A:$A,"A&amp;M Imports")+SUMIFS(Movimientos!$K$1:$K$736,Movimientos!$C$1:$C$736,"A&amp;M Imports",Movimientos!$B$1:$B$736,"&lt;="&amp;$B98)</f>
        <v>1452426.0399999998</v>
      </c>
      <c r="G98" s="24">
        <f>SUMIFS('Saldos Iniciales'!$D:$D,'Saldos Iniciales'!$A:$A,"SSP Capital")+SUMIFS(Movimientos!$K$1:$K$736,Movimientos!$C$1:$C$736,"SSP Capital",Movimientos!$B$1:$B$736,"&lt;="&amp;$B98)</f>
        <v>1512187.6399999997</v>
      </c>
      <c r="H98" s="24">
        <f>SUMIFS('Saldos Iniciales'!$D:$D,'Saldos Iniciales'!$A:$A,"Cross Family Trust")+SUMIFS(Movimientos!$K$1:$K$736,Movimientos!$C$1:$C$736,"Cross Family Trust",Movimientos!$B$1:$B$736,"&lt;="&amp;$B98)</f>
        <v>184496.38</v>
      </c>
      <c r="I98" s="24">
        <f>SUMIFS('Saldos Iniciales'!$D:$D,'Saldos Iniciales'!$A:$A,"Cross Security Trust")+SUMIFS(Movimientos!$K$1:$K$736,Movimientos!$C$1:$C$736,"Cross Security Trust",Movimientos!$B$1:$B$736,"&lt;="&amp;$B98)</f>
        <v>88090.37</v>
      </c>
      <c r="J98" s="24">
        <f>SUMIFS('Saldos Iniciales'!$D:$D,'Saldos Iniciales'!$A:$A,"Electrama")+SUMIFS(Movimientos!$K$1:$K$736,Movimientos!$C$1:$C$736,"Electrama",Movimientos!$B$1:$B$736,"&lt;="&amp;$B98)</f>
        <v>14580.45</v>
      </c>
      <c r="K98" s="24">
        <f>SUMIFS('Saldos Iniciales'!$D:$D,'Saldos Iniciales'!$A:$A,"Sacred Valley Capital")+SUMIFS(Movimientos!$K$1:$K$736,Movimientos!$C$1:$C$736,"Sacred Valley Capital",Movimientos!$B$1:$B$736,"&lt;="&amp;$B98)</f>
        <v>24.450000000000003</v>
      </c>
      <c r="L98" s="24">
        <f>SUMIFS('Saldos Iniciales'!$D:$D,'Saldos Iniciales'!$A:$A,"YWC Capital")+SUMIFS(Movimientos!$K$1:$K$736,Movimientos!$C$1:$C$736,"YWC Capital",Movimientos!$B$1:$B$736,"&lt;="&amp;$B98)</f>
        <v>2177.87</v>
      </c>
      <c r="M98" s="24">
        <f>SUMIFS('Saldos Iniciales'!$D:$D,'Saldos Iniciales'!$A:$A,"Soweto")+SUMIFS(Movimientos!$K$1:$K$736,Movimientos!$C$1:$C$736,"Soweto",Movimientos!$B$1:$B$736,"&lt;="&amp;$B98)</f>
        <v>1454589.72</v>
      </c>
      <c r="N98" s="24">
        <f>SUMIFS('Saldos Iniciales'!$D:$D,'Saldos Iniciales'!$A:$A,"Green Stone Trust")+SUMIFS(Movimientos!$K$1:$K$736,Movimientos!$C$1:$C$736,"Green Stone Trust",Movimientos!$B$1:$B$736,"&lt;="&amp;$B98)</f>
        <v>1968.99</v>
      </c>
      <c r="O98" s="24">
        <f>SUMIFS('Saldos Iniciales'!$D:$D,'Saldos Iniciales'!$A:$A,"EC Auto")+SUMIFS(Movimientos!$K$1:$K$736,Movimientos!$C$1:$C$736,"EC Auto",Movimientos!$B$1:$B$736,"&lt;="&amp;$B98)</f>
        <v>901.34</v>
      </c>
      <c r="P98" s="24">
        <f>SUMIFS('Saldos Iniciales'!$D:$D,'Saldos Iniciales'!$A:$A,"Arbor Capital Properties")+SUMIFS(Movimientos!$K$1:$K$736,Movimientos!$C$1:$C$736,"Arbor Capital Properties",Movimientos!$B$1:$B$736,"&lt;="&amp;$B98)</f>
        <v>1396.08</v>
      </c>
      <c r="Q98" s="24">
        <f>SUMIFS('Saldos Iniciales'!$D:$D,'Saldos Iniciales'!$A:$A,"2515 Overbrook")+SUMIFS(Movimientos!$K$1:$K$736,Movimientos!$C$1:$C$736,"2515 Overbrook",Movimientos!$B$1:$B$736,"&lt;="&amp;$B98)</f>
        <v>13804.239999999962</v>
      </c>
      <c r="R98" s="24">
        <f>SUMIFS('Saldos Iniciales'!$D:$D,'Saldos Iniciales'!$A:$A,"112 Florida Ave")+SUMIFS(Movimientos!$K$1:$K$736,Movimientos!$C$1:$C$736,"112 Florida Ave",Movimientos!$B$1:$B$736,"&lt;="&amp;$B98)</f>
        <v>8724.1700000000037</v>
      </c>
      <c r="S98" s="24">
        <f>SUMIFS('Saldos Iniciales'!$D:$D,'Saldos Iniciales'!$A:$A,"3628 Thomas Ave")+SUMIFS(Movimientos!$K$1:$K$736,Movimientos!$C$1:$C$736,"3628 Thomas Ave",Movimientos!$B$1:$B$736,"&lt;="&amp;$B98)</f>
        <v>10706.099999999997</v>
      </c>
      <c r="T98" s="24">
        <f>SUMIFS('Saldos Iniciales'!$D:$D,'Saldos Iniciales'!$A:$A,"Green Harbor Trust")+SUMIFS(Movimientos!$K$1:$K$736,Movimientos!$C$1:$C$736,"Green Harbor Trust",Movimientos!$B$1:$B$736,"&lt;="&amp;$B98)</f>
        <v>345</v>
      </c>
      <c r="U98" s="24">
        <f>SUMIFS('Saldos Iniciales'!$D:$D,'Saldos Iniciales'!$A:$A,"Go Blue")+SUMIFS(Movimientos!$K$1:$K$736,Movimientos!$C$1:$C$736,"Go Blue",Movimientos!$B$1:$B$736,"&lt;="&amp;$B98)</f>
        <v>7879.4200000000019</v>
      </c>
      <c r="V98" s="25">
        <f t="shared" si="22"/>
        <v>7307211.4799999995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Group")+SUMIFS(Movimientos!$K$1:$K$736,Movimientos!$C$1:$C$736,"CFT Group",Movimientos!$B$1:$B$736,"&lt;="&amp;$B99)</f>
        <v>1153390.4100000001</v>
      </c>
      <c r="D99" s="24">
        <f>SUMIFS('Saldos Iniciales'!$D:$D,'Saldos Iniciales'!$A:$A,"M1B")+SUMIFS(Movimientos!$K$1:$K$736,Movimientos!$C$1:$C$736,"M1B",Movimientos!$B$1:$B$736,"&lt;="&amp;$B99)</f>
        <v>83211.250000000175</v>
      </c>
      <c r="E99" s="24">
        <f>SUMIFS('Saldos Iniciales'!$D:$D,'Saldos Iniciales'!$A:$A,"Durand")+SUMIFS(Movimientos!$K$1:$K$736,Movimientos!$C$1:$C$736,"Durand",Movimientos!$B$1:$B$736,"&lt;="&amp;$B99)</f>
        <v>1669.89</v>
      </c>
      <c r="F99" s="24">
        <f>SUMIFS('Saldos Iniciales'!$D:$D,'Saldos Iniciales'!$A:$A,"A&amp;M Imports")+SUMIFS(Movimientos!$K$1:$K$736,Movimientos!$C$1:$C$736,"A&amp;M Imports",Movimientos!$B$1:$B$736,"&lt;="&amp;$B99)</f>
        <v>1349451.94</v>
      </c>
      <c r="G99" s="24">
        <f>SUMIFS('Saldos Iniciales'!$D:$D,'Saldos Iniciales'!$A:$A,"SSP Capital")+SUMIFS(Movimientos!$K$1:$K$736,Movimientos!$C$1:$C$736,"SSP Capital",Movimientos!$B$1:$B$736,"&lt;="&amp;$B99)</f>
        <v>2102073.7899999996</v>
      </c>
      <c r="H99" s="24">
        <f>SUMIFS('Saldos Iniciales'!$D:$D,'Saldos Iniciales'!$A:$A,"Cross Family Trust")+SUMIFS(Movimientos!$K$1:$K$736,Movimientos!$C$1:$C$736,"Cross Family Trust",Movimientos!$B$1:$B$736,"&lt;="&amp;$B99)</f>
        <v>171496.38</v>
      </c>
      <c r="I99" s="24">
        <f>SUMIFS('Saldos Iniciales'!$D:$D,'Saldos Iniciales'!$A:$A,"Cross Security Trust")+SUMIFS(Movimientos!$K$1:$K$736,Movimientos!$C$1:$C$736,"Cross Security Trust",Movimientos!$B$1:$B$736,"&lt;="&amp;$B99)</f>
        <v>88090.37</v>
      </c>
      <c r="J99" s="24">
        <f>SUMIFS('Saldos Iniciales'!$D:$D,'Saldos Iniciales'!$A:$A,"Electrama")+SUMIFS(Movimientos!$K$1:$K$736,Movimientos!$C$1:$C$736,"Electrama",Movimientos!$B$1:$B$736,"&lt;="&amp;$B99)</f>
        <v>14580.45</v>
      </c>
      <c r="K99" s="24">
        <f>SUMIFS('Saldos Iniciales'!$D:$D,'Saldos Iniciales'!$A:$A,"Sacred Valley Capital")+SUMIFS(Movimientos!$K$1:$K$736,Movimientos!$C$1:$C$736,"Sacred Valley Capital",Movimientos!$B$1:$B$736,"&lt;="&amp;$B99)</f>
        <v>24.450000000000003</v>
      </c>
      <c r="L99" s="24">
        <f>SUMIFS('Saldos Iniciales'!$D:$D,'Saldos Iniciales'!$A:$A,"YWC Capital")+SUMIFS(Movimientos!$K$1:$K$736,Movimientos!$C$1:$C$736,"YWC Capital",Movimientos!$B$1:$B$736,"&lt;="&amp;$B99)</f>
        <v>2177.87</v>
      </c>
      <c r="M99" s="24">
        <f>SUMIFS('Saldos Iniciales'!$D:$D,'Saldos Iniciales'!$A:$A,"Soweto")+SUMIFS(Movimientos!$K$1:$K$736,Movimientos!$C$1:$C$736,"Soweto",Movimientos!$B$1:$B$736,"&lt;="&amp;$B99)</f>
        <v>1454589.72</v>
      </c>
      <c r="N99" s="24">
        <f>SUMIFS('Saldos Iniciales'!$D:$D,'Saldos Iniciales'!$A:$A,"Green Stone Trust")+SUMIFS(Movimientos!$K$1:$K$736,Movimientos!$C$1:$C$736,"Green Stone Trust",Movimientos!$B$1:$B$736,"&lt;="&amp;$B99)</f>
        <v>1968.99</v>
      </c>
      <c r="O99" s="24">
        <f>SUMIFS('Saldos Iniciales'!$D:$D,'Saldos Iniciales'!$A:$A,"EC Auto")+SUMIFS(Movimientos!$K$1:$K$736,Movimientos!$C$1:$C$736,"EC Auto",Movimientos!$B$1:$B$736,"&lt;="&amp;$B99)</f>
        <v>901.34</v>
      </c>
      <c r="P99" s="24">
        <f>SUMIFS('Saldos Iniciales'!$D:$D,'Saldos Iniciales'!$A:$A,"Arbor Capital Properties")+SUMIFS(Movimientos!$K$1:$K$736,Movimientos!$C$1:$C$736,"Arbor Capital Properties",Movimientos!$B$1:$B$736,"&lt;="&amp;$B99)</f>
        <v>1396.08</v>
      </c>
      <c r="Q99" s="24">
        <f>SUMIFS('Saldos Iniciales'!$D:$D,'Saldos Iniciales'!$A:$A,"2515 Overbrook")+SUMIFS(Movimientos!$K$1:$K$736,Movimientos!$C$1:$C$736,"2515 Overbrook",Movimientos!$B$1:$B$736,"&lt;="&amp;$B99)</f>
        <v>13804.239999999962</v>
      </c>
      <c r="R99" s="24">
        <f>SUMIFS('Saldos Iniciales'!$D:$D,'Saldos Iniciales'!$A:$A,"112 Florida Ave")+SUMIFS(Movimientos!$K$1:$K$736,Movimientos!$C$1:$C$736,"112 Florida Ave",Movimientos!$B$1:$B$736,"&lt;="&amp;$B99)</f>
        <v>8724.1700000000037</v>
      </c>
      <c r="S99" s="24">
        <f>SUMIFS('Saldos Iniciales'!$D:$D,'Saldos Iniciales'!$A:$A,"3628 Thomas Ave")+SUMIFS(Movimientos!$K$1:$K$736,Movimientos!$C$1:$C$736,"3628 Thomas Ave",Movimientos!$B$1:$B$736,"&lt;="&amp;$B99)</f>
        <v>10706.099999999997</v>
      </c>
      <c r="T99" s="24">
        <f>SUMIFS('Saldos Iniciales'!$D:$D,'Saldos Iniciales'!$A:$A,"Green Harbor Trust")+SUMIFS(Movimientos!$K$1:$K$736,Movimientos!$C$1:$C$736,"Green Harbor Trust",Movimientos!$B$1:$B$736,"&lt;="&amp;$B99)</f>
        <v>345</v>
      </c>
      <c r="U99" s="24">
        <f>SUMIFS('Saldos Iniciales'!$D:$D,'Saldos Iniciales'!$A:$A,"Go Blue")+SUMIFS(Movimientos!$K$1:$K$736,Movimientos!$C$1:$C$736,"Go Blue",Movimientos!$B$1:$B$736,"&lt;="&amp;$B99)</f>
        <v>12470.040000000003</v>
      </c>
      <c r="V99" s="25">
        <f t="shared" si="22"/>
        <v>6471072.4799999995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Group")+SUMIFS(Movimientos!$K$1:$K$736,Movimientos!$C$1:$C$736,"CFT Group",Movimientos!$B$1:$B$736,"&lt;="&amp;$B100)</f>
        <v>1153390.4100000001</v>
      </c>
      <c r="D100" s="24">
        <f>SUMIFS('Saldos Iniciales'!$D:$D,'Saldos Iniciales'!$A:$A,"M1B")+SUMIFS(Movimientos!$K$1:$K$736,Movimientos!$C$1:$C$736,"M1B",Movimientos!$B$1:$B$736,"&lt;="&amp;$B100)</f>
        <v>83211.250000000175</v>
      </c>
      <c r="E100" s="24">
        <f>SUMIFS('Saldos Iniciales'!$D:$D,'Saldos Iniciales'!$A:$A,"Durand")+SUMIFS(Movimientos!$K$1:$K$736,Movimientos!$C$1:$C$736,"Durand",Movimientos!$B$1:$B$736,"&lt;="&amp;$B100)</f>
        <v>1669.89</v>
      </c>
      <c r="F100" s="24">
        <f>SUMIFS('Saldos Iniciales'!$D:$D,'Saldos Iniciales'!$A:$A,"A&amp;M Imports")+SUMIFS(Movimientos!$K$1:$K$736,Movimientos!$C$1:$C$736,"A&amp;M Imports",Movimientos!$B$1:$B$736,"&lt;="&amp;$B100)</f>
        <v>1349451.94</v>
      </c>
      <c r="G100" s="24">
        <f>SUMIFS('Saldos Iniciales'!$D:$D,'Saldos Iniciales'!$A:$A,"SSP Capital")+SUMIFS(Movimientos!$K$1:$K$736,Movimientos!$C$1:$C$736,"SSP Capital",Movimientos!$B$1:$B$736,"&lt;="&amp;$B100)</f>
        <v>2102073.7899999996</v>
      </c>
      <c r="H100" s="24">
        <f>SUMIFS('Saldos Iniciales'!$D:$D,'Saldos Iniciales'!$A:$A,"Cross Family Trust")+SUMIFS(Movimientos!$K$1:$K$736,Movimientos!$C$1:$C$736,"Cross Family Trust",Movimientos!$B$1:$B$736,"&lt;="&amp;$B100)</f>
        <v>171496.38</v>
      </c>
      <c r="I100" s="24">
        <f>SUMIFS('Saldos Iniciales'!$D:$D,'Saldos Iniciales'!$A:$A,"Cross Security Trust")+SUMIFS(Movimientos!$K$1:$K$736,Movimientos!$C$1:$C$736,"Cross Security Trust",Movimientos!$B$1:$B$736,"&lt;="&amp;$B100)</f>
        <v>88090.37</v>
      </c>
      <c r="J100" s="24">
        <f>SUMIFS('Saldos Iniciales'!$D:$D,'Saldos Iniciales'!$A:$A,"Electrama")+SUMIFS(Movimientos!$K$1:$K$736,Movimientos!$C$1:$C$736,"Electrama",Movimientos!$B$1:$B$736,"&lt;="&amp;$B100)</f>
        <v>14580.45</v>
      </c>
      <c r="K100" s="24">
        <f>SUMIFS('Saldos Iniciales'!$D:$D,'Saldos Iniciales'!$A:$A,"Sacred Valley Capital")+SUMIFS(Movimientos!$K$1:$K$736,Movimientos!$C$1:$C$736,"Sacred Valley Capital",Movimientos!$B$1:$B$736,"&lt;="&amp;$B100)</f>
        <v>24.450000000000003</v>
      </c>
      <c r="L100" s="24">
        <f>SUMIFS('Saldos Iniciales'!$D:$D,'Saldos Iniciales'!$A:$A,"YWC Capital")+SUMIFS(Movimientos!$K$1:$K$736,Movimientos!$C$1:$C$736,"YWC Capital",Movimientos!$B$1:$B$736,"&lt;="&amp;$B100)</f>
        <v>2177.87</v>
      </c>
      <c r="M100" s="24">
        <f>SUMIFS('Saldos Iniciales'!$D:$D,'Saldos Iniciales'!$A:$A,"Soweto")+SUMIFS(Movimientos!$K$1:$K$736,Movimientos!$C$1:$C$736,"Soweto",Movimientos!$B$1:$B$736,"&lt;="&amp;$B100)</f>
        <v>1454589.72</v>
      </c>
      <c r="N100" s="24">
        <f>SUMIFS('Saldos Iniciales'!$D:$D,'Saldos Iniciales'!$A:$A,"Green Stone Trust")+SUMIFS(Movimientos!$K$1:$K$736,Movimientos!$C$1:$C$736,"Green Stone Trust",Movimientos!$B$1:$B$736,"&lt;="&amp;$B100)</f>
        <v>1968.99</v>
      </c>
      <c r="O100" s="24">
        <f>SUMIFS('Saldos Iniciales'!$D:$D,'Saldos Iniciales'!$A:$A,"EC Auto")+SUMIFS(Movimientos!$K$1:$K$736,Movimientos!$C$1:$C$736,"EC Auto",Movimientos!$B$1:$B$736,"&lt;="&amp;$B100)</f>
        <v>901.34</v>
      </c>
      <c r="P100" s="24">
        <f>SUMIFS('Saldos Iniciales'!$D:$D,'Saldos Iniciales'!$A:$A,"Arbor Capital Properties")+SUMIFS(Movimientos!$K$1:$K$736,Movimientos!$C$1:$C$736,"Arbor Capital Properties",Movimientos!$B$1:$B$736,"&lt;="&amp;$B100)</f>
        <v>1396.08</v>
      </c>
      <c r="Q100" s="24">
        <f>SUMIFS('Saldos Iniciales'!$D:$D,'Saldos Iniciales'!$A:$A,"2515 Overbrook")+SUMIFS(Movimientos!$K$1:$K$736,Movimientos!$C$1:$C$736,"2515 Overbrook",Movimientos!$B$1:$B$736,"&lt;="&amp;$B100)</f>
        <v>11259.639999999961</v>
      </c>
      <c r="R100" s="24">
        <f>SUMIFS('Saldos Iniciales'!$D:$D,'Saldos Iniciales'!$A:$A,"112 Florida Ave")+SUMIFS(Movimientos!$K$1:$K$736,Movimientos!$C$1:$C$736,"112 Florida Ave",Movimientos!$B$1:$B$736,"&lt;="&amp;$B100)</f>
        <v>8724.1700000000037</v>
      </c>
      <c r="S100" s="24">
        <f>SUMIFS('Saldos Iniciales'!$D:$D,'Saldos Iniciales'!$A:$A,"3628 Thomas Ave")+SUMIFS(Movimientos!$K$1:$K$736,Movimientos!$C$1:$C$736,"3628 Thomas Ave",Movimientos!$B$1:$B$736,"&lt;="&amp;$B100)</f>
        <v>15706.099999999997</v>
      </c>
      <c r="T100" s="24">
        <f>SUMIFS('Saldos Iniciales'!$D:$D,'Saldos Iniciales'!$A:$A,"Green Harbor Trust")+SUMIFS(Movimientos!$K$1:$K$736,Movimientos!$C$1:$C$736,"Green Harbor Trust",Movimientos!$B$1:$B$736,"&lt;="&amp;$B100)</f>
        <v>345</v>
      </c>
      <c r="U100" s="24">
        <f>SUMIFS('Saldos Iniciales'!$D:$D,'Saldos Iniciales'!$A:$A,"Go Blue")+SUMIFS(Movimientos!$K$1:$K$736,Movimientos!$C$1:$C$736,"Go Blue",Movimientos!$B$1:$B$736,"&lt;="&amp;$B100)</f>
        <v>12470.040000000003</v>
      </c>
      <c r="V100" s="25">
        <f t="shared" si="22"/>
        <v>6473527.879999999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Group")+SUMIFS(Movimientos!$K$1:$K$736,Movimientos!$C$1:$C$736,"CFT Group",Movimientos!$B$1:$B$736,"&lt;="&amp;$B101)</f>
        <v>1153390.4100000001</v>
      </c>
      <c r="D101" s="24">
        <f>SUMIFS('Saldos Iniciales'!$D:$D,'Saldos Iniciales'!$A:$A,"M1B")+SUMIFS(Movimientos!$K$1:$K$736,Movimientos!$C$1:$C$736,"M1B",Movimientos!$B$1:$B$736,"&lt;="&amp;$B101)</f>
        <v>83211.250000000175</v>
      </c>
      <c r="E101" s="24">
        <f>SUMIFS('Saldos Iniciales'!$D:$D,'Saldos Iniciales'!$A:$A,"Durand")+SUMIFS(Movimientos!$K$1:$K$736,Movimientos!$C$1:$C$736,"Durand",Movimientos!$B$1:$B$736,"&lt;="&amp;$B101)</f>
        <v>1669.89</v>
      </c>
      <c r="F101" s="24">
        <f>SUMIFS('Saldos Iniciales'!$D:$D,'Saldos Iniciales'!$A:$A,"A&amp;M Imports")+SUMIFS(Movimientos!$K$1:$K$736,Movimientos!$C$1:$C$736,"A&amp;M Imports",Movimientos!$B$1:$B$736,"&lt;="&amp;$B101)</f>
        <v>1349451.94</v>
      </c>
      <c r="G101" s="24">
        <f>SUMIFS('Saldos Iniciales'!$D:$D,'Saldos Iniciales'!$A:$A,"SSP Capital")+SUMIFS(Movimientos!$K$1:$K$736,Movimientos!$C$1:$C$736,"SSP Capital",Movimientos!$B$1:$B$736,"&lt;="&amp;$B101)</f>
        <v>2102073.7899999996</v>
      </c>
      <c r="H101" s="24">
        <f>SUMIFS('Saldos Iniciales'!$D:$D,'Saldos Iniciales'!$A:$A,"Cross Family Trust")+SUMIFS(Movimientos!$K$1:$K$736,Movimientos!$C$1:$C$736,"Cross Family Trust",Movimientos!$B$1:$B$736,"&lt;="&amp;$B101)</f>
        <v>171496.38</v>
      </c>
      <c r="I101" s="24">
        <f>SUMIFS('Saldos Iniciales'!$D:$D,'Saldos Iniciales'!$A:$A,"Cross Security Trust")+SUMIFS(Movimientos!$K$1:$K$736,Movimientos!$C$1:$C$736,"Cross Security Trust",Movimientos!$B$1:$B$736,"&lt;="&amp;$B101)</f>
        <v>88090.37</v>
      </c>
      <c r="J101" s="24">
        <f>SUMIFS('Saldos Iniciales'!$D:$D,'Saldos Iniciales'!$A:$A,"Electrama")+SUMIFS(Movimientos!$K$1:$K$736,Movimientos!$C$1:$C$736,"Electrama",Movimientos!$B$1:$B$736,"&lt;="&amp;$B101)</f>
        <v>14580.45</v>
      </c>
      <c r="K101" s="24">
        <f>SUMIFS('Saldos Iniciales'!$D:$D,'Saldos Iniciales'!$A:$A,"Sacred Valley Capital")+SUMIFS(Movimientos!$K$1:$K$736,Movimientos!$C$1:$C$736,"Sacred Valley Capital",Movimientos!$B$1:$B$736,"&lt;="&amp;$B101)</f>
        <v>24.450000000000003</v>
      </c>
      <c r="L101" s="24">
        <f>SUMIFS('Saldos Iniciales'!$D:$D,'Saldos Iniciales'!$A:$A,"YWC Capital")+SUMIFS(Movimientos!$K$1:$K$736,Movimientos!$C$1:$C$736,"YWC Capital",Movimientos!$B$1:$B$736,"&lt;="&amp;$B101)</f>
        <v>2177.87</v>
      </c>
      <c r="M101" s="24">
        <f>SUMIFS('Saldos Iniciales'!$D:$D,'Saldos Iniciales'!$A:$A,"Soweto")+SUMIFS(Movimientos!$K$1:$K$736,Movimientos!$C$1:$C$736,"Soweto",Movimientos!$B$1:$B$736,"&lt;="&amp;$B101)</f>
        <v>1454589.72</v>
      </c>
      <c r="N101" s="24">
        <f>SUMIFS('Saldos Iniciales'!$D:$D,'Saldos Iniciales'!$A:$A,"Green Stone Trust")+SUMIFS(Movimientos!$K$1:$K$736,Movimientos!$C$1:$C$736,"Green Stone Trust",Movimientos!$B$1:$B$736,"&lt;="&amp;$B101)</f>
        <v>1968.99</v>
      </c>
      <c r="O101" s="24">
        <f>SUMIFS('Saldos Iniciales'!$D:$D,'Saldos Iniciales'!$A:$A,"EC Auto")+SUMIFS(Movimientos!$K$1:$K$736,Movimientos!$C$1:$C$736,"EC Auto",Movimientos!$B$1:$B$736,"&lt;="&amp;$B101)</f>
        <v>901.34</v>
      </c>
      <c r="P101" s="24">
        <f>SUMIFS('Saldos Iniciales'!$D:$D,'Saldos Iniciales'!$A:$A,"Arbor Capital Properties")+SUMIFS(Movimientos!$K$1:$K$736,Movimientos!$C$1:$C$736,"Arbor Capital Properties",Movimientos!$B$1:$B$736,"&lt;="&amp;$B101)</f>
        <v>1396.08</v>
      </c>
      <c r="Q101" s="24">
        <f>SUMIFS('Saldos Iniciales'!$D:$D,'Saldos Iniciales'!$A:$A,"2515 Overbrook")+SUMIFS(Movimientos!$K$1:$K$736,Movimientos!$C$1:$C$736,"2515 Overbrook",Movimientos!$B$1:$B$736,"&lt;="&amp;$B101)</f>
        <v>11259.639999999961</v>
      </c>
      <c r="R101" s="24">
        <f>SUMIFS('Saldos Iniciales'!$D:$D,'Saldos Iniciales'!$A:$A,"112 Florida Ave")+SUMIFS(Movimientos!$K$1:$K$736,Movimientos!$C$1:$C$736,"112 Florida Ave",Movimientos!$B$1:$B$736,"&lt;="&amp;$B101)</f>
        <v>8724.1700000000037</v>
      </c>
      <c r="S101" s="24">
        <f>SUMIFS('Saldos Iniciales'!$D:$D,'Saldos Iniciales'!$A:$A,"3628 Thomas Ave")+SUMIFS(Movimientos!$K$1:$K$736,Movimientos!$C$1:$C$736,"3628 Thomas Ave",Movimientos!$B$1:$B$736,"&lt;="&amp;$B101)</f>
        <v>15706.099999999997</v>
      </c>
      <c r="T101" s="24">
        <f>SUMIFS('Saldos Iniciales'!$D:$D,'Saldos Iniciales'!$A:$A,"Green Harbor Trust")+SUMIFS(Movimientos!$K$1:$K$736,Movimientos!$C$1:$C$736,"Green Harbor Trust",Movimientos!$B$1:$B$736,"&lt;="&amp;$B101)</f>
        <v>345</v>
      </c>
      <c r="U101" s="24">
        <f>SUMIFS('Saldos Iniciales'!$D:$D,'Saldos Iniciales'!$A:$A,"Go Blue")+SUMIFS(Movimientos!$K$1:$K$736,Movimientos!$C$1:$C$736,"Go Blue",Movimientos!$B$1:$B$736,"&lt;="&amp;$B101)</f>
        <v>12470.040000000003</v>
      </c>
      <c r="V101" s="25">
        <f t="shared" si="22"/>
        <v>6473527.879999999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Group")+SUMIFS(Movimientos!$K$1:$K$736,Movimientos!$C$1:$C$736,"CFT Group",Movimientos!$B$1:$B$736,"&lt;="&amp;$B102)</f>
        <v>1153390.4100000001</v>
      </c>
      <c r="D102" s="24">
        <f>SUMIFS('Saldos Iniciales'!$D:$D,'Saldos Iniciales'!$A:$A,"M1B")+SUMIFS(Movimientos!$K$1:$K$736,Movimientos!$C$1:$C$736,"M1B",Movimientos!$B$1:$B$736,"&lt;="&amp;$B102)</f>
        <v>83211.250000000175</v>
      </c>
      <c r="E102" s="24">
        <f>SUMIFS('Saldos Iniciales'!$D:$D,'Saldos Iniciales'!$A:$A,"Durand")+SUMIFS(Movimientos!$K$1:$K$736,Movimientos!$C$1:$C$736,"Durand",Movimientos!$B$1:$B$736,"&lt;="&amp;$B102)</f>
        <v>1669.89</v>
      </c>
      <c r="F102" s="24">
        <f>SUMIFS('Saldos Iniciales'!$D:$D,'Saldos Iniciales'!$A:$A,"A&amp;M Imports")+SUMIFS(Movimientos!$K$1:$K$736,Movimientos!$C$1:$C$736,"A&amp;M Imports",Movimientos!$B$1:$B$736,"&lt;="&amp;$B102)</f>
        <v>1349451.94</v>
      </c>
      <c r="G102" s="24">
        <f>SUMIFS('Saldos Iniciales'!$D:$D,'Saldos Iniciales'!$A:$A,"SSP Capital")+SUMIFS(Movimientos!$K$1:$K$736,Movimientos!$C$1:$C$736,"SSP Capital",Movimientos!$B$1:$B$736,"&lt;="&amp;$B102)</f>
        <v>2102073.7899999996</v>
      </c>
      <c r="H102" s="24">
        <f>SUMIFS('Saldos Iniciales'!$D:$D,'Saldos Iniciales'!$A:$A,"Cross Family Trust")+SUMIFS(Movimientos!$K$1:$K$736,Movimientos!$C$1:$C$736,"Cross Family Trust",Movimientos!$B$1:$B$736,"&lt;="&amp;$B102)</f>
        <v>171496.38</v>
      </c>
      <c r="I102" s="24">
        <f>SUMIFS('Saldos Iniciales'!$D:$D,'Saldos Iniciales'!$A:$A,"Cross Security Trust")+SUMIFS(Movimientos!$K$1:$K$736,Movimientos!$C$1:$C$736,"Cross Security Trust",Movimientos!$B$1:$B$736,"&lt;="&amp;$B102)</f>
        <v>88090.37</v>
      </c>
      <c r="J102" s="24">
        <f>SUMIFS('Saldos Iniciales'!$D:$D,'Saldos Iniciales'!$A:$A,"Electrama")+SUMIFS(Movimientos!$K$1:$K$736,Movimientos!$C$1:$C$736,"Electrama",Movimientos!$B$1:$B$736,"&lt;="&amp;$B102)</f>
        <v>14580.45</v>
      </c>
      <c r="K102" s="24">
        <f>SUMIFS('Saldos Iniciales'!$D:$D,'Saldos Iniciales'!$A:$A,"Sacred Valley Capital")+SUMIFS(Movimientos!$K$1:$K$736,Movimientos!$C$1:$C$736,"Sacred Valley Capital",Movimientos!$B$1:$B$736,"&lt;="&amp;$B102)</f>
        <v>24.450000000000003</v>
      </c>
      <c r="L102" s="24">
        <f>SUMIFS('Saldos Iniciales'!$D:$D,'Saldos Iniciales'!$A:$A,"YWC Capital")+SUMIFS(Movimientos!$K$1:$K$736,Movimientos!$C$1:$C$736,"YWC Capital",Movimientos!$B$1:$B$736,"&lt;="&amp;$B102)</f>
        <v>2177.87</v>
      </c>
      <c r="M102" s="24">
        <f>SUMIFS('Saldos Iniciales'!$D:$D,'Saldos Iniciales'!$A:$A,"Soweto")+SUMIFS(Movimientos!$K$1:$K$736,Movimientos!$C$1:$C$736,"Soweto",Movimientos!$B$1:$B$736,"&lt;="&amp;$B102)</f>
        <v>1454589.72</v>
      </c>
      <c r="N102" s="24">
        <f>SUMIFS('Saldos Iniciales'!$D:$D,'Saldos Iniciales'!$A:$A,"Green Stone Trust")+SUMIFS(Movimientos!$K$1:$K$736,Movimientos!$C$1:$C$736,"Green Stone Trust",Movimientos!$B$1:$B$736,"&lt;="&amp;$B102)</f>
        <v>1968.99</v>
      </c>
      <c r="O102" s="24">
        <f>SUMIFS('Saldos Iniciales'!$D:$D,'Saldos Iniciales'!$A:$A,"EC Auto")+SUMIFS(Movimientos!$K$1:$K$736,Movimientos!$C$1:$C$736,"EC Auto",Movimientos!$B$1:$B$736,"&lt;="&amp;$B102)</f>
        <v>901.34</v>
      </c>
      <c r="P102" s="24">
        <f>SUMIFS('Saldos Iniciales'!$D:$D,'Saldos Iniciales'!$A:$A,"Arbor Capital Properties")+SUMIFS(Movimientos!$K$1:$K$736,Movimientos!$C$1:$C$736,"Arbor Capital Properties",Movimientos!$B$1:$B$736,"&lt;="&amp;$B102)</f>
        <v>1396.08</v>
      </c>
      <c r="Q102" s="24">
        <f>SUMIFS('Saldos Iniciales'!$D:$D,'Saldos Iniciales'!$A:$A,"2515 Overbrook")+SUMIFS(Movimientos!$K$1:$K$736,Movimientos!$C$1:$C$736,"2515 Overbrook",Movimientos!$B$1:$B$736,"&lt;="&amp;$B102)</f>
        <v>11259.639999999961</v>
      </c>
      <c r="R102" s="24">
        <f>SUMIFS('Saldos Iniciales'!$D:$D,'Saldos Iniciales'!$A:$A,"112 Florida Ave")+SUMIFS(Movimientos!$K$1:$K$736,Movimientos!$C$1:$C$736,"112 Florida Ave",Movimientos!$B$1:$B$736,"&lt;="&amp;$B102)</f>
        <v>8724.1700000000037</v>
      </c>
      <c r="S102" s="24">
        <f>SUMIFS('Saldos Iniciales'!$D:$D,'Saldos Iniciales'!$A:$A,"3628 Thomas Ave")+SUMIFS(Movimientos!$K$1:$K$736,Movimientos!$C$1:$C$736,"3628 Thomas Ave",Movimientos!$B$1:$B$736,"&lt;="&amp;$B102)</f>
        <v>15706.099999999997</v>
      </c>
      <c r="T102" s="24">
        <f>SUMIFS('Saldos Iniciales'!$D:$D,'Saldos Iniciales'!$A:$A,"Green Harbor Trust")+SUMIFS(Movimientos!$K$1:$K$736,Movimientos!$C$1:$C$736,"Green Harbor Trust",Movimientos!$B$1:$B$736,"&lt;="&amp;$B102)</f>
        <v>345</v>
      </c>
      <c r="U102" s="24">
        <f>SUMIFS('Saldos Iniciales'!$D:$D,'Saldos Iniciales'!$A:$A,"Go Blue")+SUMIFS(Movimientos!$K$1:$K$736,Movimientos!$C$1:$C$736,"Go Blue",Movimientos!$B$1:$B$736,"&lt;="&amp;$B102)</f>
        <v>12470.040000000003</v>
      </c>
      <c r="V102" s="25">
        <f t="shared" si="22"/>
        <v>6473527.879999999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Group")+SUMIFS(Movimientos!$K$1:$K$736,Movimientos!$C$1:$C$736,"CFT Group",Movimientos!$B$1:$B$736,"&lt;="&amp;$B103)</f>
        <v>1260076.9800000002</v>
      </c>
      <c r="D103" s="24">
        <f>SUMIFS('Saldos Iniciales'!$D:$D,'Saldos Iniciales'!$A:$A,"M1B")+SUMIFS(Movimientos!$K$1:$K$736,Movimientos!$C$1:$C$736,"M1B",Movimientos!$B$1:$B$736,"&lt;="&amp;$B103)</f>
        <v>83211.250000000175</v>
      </c>
      <c r="E103" s="24">
        <f>SUMIFS('Saldos Iniciales'!$D:$D,'Saldos Iniciales'!$A:$A,"Durand")+SUMIFS(Movimientos!$K$1:$K$736,Movimientos!$C$1:$C$736,"Durand",Movimientos!$B$1:$B$736,"&lt;="&amp;$B103)</f>
        <v>1669.89</v>
      </c>
      <c r="F103" s="24">
        <f>SUMIFS('Saldos Iniciales'!$D:$D,'Saldos Iniciales'!$A:$A,"A&amp;M Imports")+SUMIFS(Movimientos!$K$1:$K$736,Movimientos!$C$1:$C$736,"A&amp;M Imports",Movimientos!$B$1:$B$736,"&lt;="&amp;$B103)</f>
        <v>1349451.94</v>
      </c>
      <c r="G103" s="24">
        <f>SUMIFS('Saldos Iniciales'!$D:$D,'Saldos Iniciales'!$A:$A,"SSP Capital")+SUMIFS(Movimientos!$K$1:$K$736,Movimientos!$C$1:$C$736,"SSP Capital",Movimientos!$B$1:$B$736,"&lt;="&amp;$B103)</f>
        <v>2098801.8999999994</v>
      </c>
      <c r="H103" s="24">
        <f>SUMIFS('Saldos Iniciales'!$D:$D,'Saldos Iniciales'!$A:$A,"Cross Family Trust")+SUMIFS(Movimientos!$K$1:$K$736,Movimientos!$C$1:$C$736,"Cross Family Trust",Movimientos!$B$1:$B$736,"&lt;="&amp;$B103)</f>
        <v>171496.38</v>
      </c>
      <c r="I103" s="24">
        <f>SUMIFS('Saldos Iniciales'!$D:$D,'Saldos Iniciales'!$A:$A,"Cross Security Trust")+SUMIFS(Movimientos!$K$1:$K$736,Movimientos!$C$1:$C$736,"Cross Security Trust",Movimientos!$B$1:$B$736,"&lt;="&amp;$B103)</f>
        <v>88090.37</v>
      </c>
      <c r="J103" s="24">
        <f>SUMIFS('Saldos Iniciales'!$D:$D,'Saldos Iniciales'!$A:$A,"Electrama")+SUMIFS(Movimientos!$K$1:$K$736,Movimientos!$C$1:$C$736,"Electrama",Movimientos!$B$1:$B$736,"&lt;="&amp;$B103)</f>
        <v>14580.45</v>
      </c>
      <c r="K103" s="24">
        <f>SUMIFS('Saldos Iniciales'!$D:$D,'Saldos Iniciales'!$A:$A,"Sacred Valley Capital")+SUMIFS(Movimientos!$K$1:$K$736,Movimientos!$C$1:$C$736,"Sacred Valley Capital",Movimientos!$B$1:$B$736,"&lt;="&amp;$B103)</f>
        <v>24.450000000000003</v>
      </c>
      <c r="L103" s="24">
        <f>SUMIFS('Saldos Iniciales'!$D:$D,'Saldos Iniciales'!$A:$A,"YWC Capital")+SUMIFS(Movimientos!$K$1:$K$736,Movimientos!$C$1:$C$736,"YWC Capital",Movimientos!$B$1:$B$736,"&lt;="&amp;$B103)</f>
        <v>2177.87</v>
      </c>
      <c r="M103" s="24">
        <f>SUMIFS('Saldos Iniciales'!$D:$D,'Saldos Iniciales'!$A:$A,"Soweto")+SUMIFS(Movimientos!$K$1:$K$736,Movimientos!$C$1:$C$736,"Soweto",Movimientos!$B$1:$B$736,"&lt;="&amp;$B103)</f>
        <v>1454589.72</v>
      </c>
      <c r="N103" s="24">
        <f>SUMIFS('Saldos Iniciales'!$D:$D,'Saldos Iniciales'!$A:$A,"Green Stone Trust")+SUMIFS(Movimientos!$K$1:$K$736,Movimientos!$C$1:$C$736,"Green Stone Trust",Movimientos!$B$1:$B$736,"&lt;="&amp;$B103)</f>
        <v>1968.99</v>
      </c>
      <c r="O103" s="24">
        <f>SUMIFS('Saldos Iniciales'!$D:$D,'Saldos Iniciales'!$A:$A,"EC Auto")+SUMIFS(Movimientos!$K$1:$K$736,Movimientos!$C$1:$C$736,"EC Auto",Movimientos!$B$1:$B$736,"&lt;="&amp;$B103)</f>
        <v>901.34</v>
      </c>
      <c r="P103" s="24">
        <f>SUMIFS('Saldos Iniciales'!$D:$D,'Saldos Iniciales'!$A:$A,"Arbor Capital Properties")+SUMIFS(Movimientos!$K$1:$K$736,Movimientos!$C$1:$C$736,"Arbor Capital Properties",Movimientos!$B$1:$B$736,"&lt;="&amp;$B103)</f>
        <v>1396.08</v>
      </c>
      <c r="Q103" s="24">
        <f>SUMIFS('Saldos Iniciales'!$D:$D,'Saldos Iniciales'!$A:$A,"2515 Overbrook")+SUMIFS(Movimientos!$K$1:$K$736,Movimientos!$C$1:$C$736,"2515 Overbrook",Movimientos!$B$1:$B$736,"&lt;="&amp;$B103)</f>
        <v>3700.7099999999591</v>
      </c>
      <c r="R103" s="24">
        <f>SUMIFS('Saldos Iniciales'!$D:$D,'Saldos Iniciales'!$A:$A,"112 Florida Ave")+SUMIFS(Movimientos!$K$1:$K$736,Movimientos!$C$1:$C$736,"112 Florida Ave",Movimientos!$B$1:$B$736,"&lt;="&amp;$B103)</f>
        <v>8724.1700000000037</v>
      </c>
      <c r="S103" s="24">
        <f>SUMIFS('Saldos Iniciales'!$D:$D,'Saldos Iniciales'!$A:$A,"3628 Thomas Ave")+SUMIFS(Movimientos!$K$1:$K$736,Movimientos!$C$1:$C$736,"3628 Thomas Ave",Movimientos!$B$1:$B$736,"&lt;="&amp;$B103)</f>
        <v>15706.099999999997</v>
      </c>
      <c r="T103" s="24">
        <f>SUMIFS('Saldos Iniciales'!$D:$D,'Saldos Iniciales'!$A:$A,"Green Harbor Trust")+SUMIFS(Movimientos!$K$1:$K$736,Movimientos!$C$1:$C$736,"Green Harbor Trust",Movimientos!$B$1:$B$736,"&lt;="&amp;$B103)</f>
        <v>345</v>
      </c>
      <c r="U103" s="24">
        <f>SUMIFS('Saldos Iniciales'!$D:$D,'Saldos Iniciales'!$A:$A,"Go Blue")+SUMIFS(Movimientos!$K$1:$K$736,Movimientos!$C$1:$C$736,"Go Blue",Movimientos!$B$1:$B$736,"&lt;="&amp;$B103)</f>
        <v>12470.040000000003</v>
      </c>
      <c r="V103" s="25">
        <f t="shared" ref="V103" si="23">SUM(C103:U103)</f>
        <v>6569383.6299999999</v>
      </c>
    </row>
  </sheetData>
  <conditionalFormatting sqref="C2:V103">
    <cfRule type="cellIs" dxfId="1" priority="1" operator="lessThan">
      <formula>0</formula>
    </cfRule>
  </conditionalFormatting>
  <conditionalFormatting sqref="V2:V103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939"/>
  <sheetViews>
    <sheetView tabSelected="1" zoomScale="80" zoomScaleNormal="80" workbookViewId="0">
      <pane ySplit="1" topLeftCell="A1920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511.15999999999985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12117.82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511.15999999999985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8808.2400000000016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511.15999999999985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8808.2400000000016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511.15999999999985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7716.0900000000038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511.15999999999985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7716.0900000000038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511.15999999999985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7716.0900000000038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511.15999999999985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7716.0900000000038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511.15999999999985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6744.5000000000036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511.15999999999985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6583.0800000000036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511.15999999999985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6583.0800000000036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511.15999999999985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54068.08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511.15999999999985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54068.08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511.15999999999985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54068.08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511.15999999999985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54068.08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511.15999999999985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54018.080000000002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511.15999999999985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51334.36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511.15999999999985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50334.36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511.15999999999985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50334.36</v>
      </c>
    </row>
    <row r="933" spans="1:4" x14ac:dyDescent="0.3">
      <c r="A933" t="s">
        <v>17</v>
      </c>
      <c r="C933" s="16">
        <v>46192</v>
      </c>
      <c r="D933">
        <v>1098358.7500000002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503904.80999999982</v>
      </c>
    </row>
    <row r="937" spans="1:4" x14ac:dyDescent="0.3">
      <c r="A937" t="s">
        <v>21</v>
      </c>
      <c r="C937" s="16">
        <v>46192</v>
      </c>
      <c r="D937">
        <v>3326696.7299999995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511.15999999999985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50334.36</v>
      </c>
    </row>
    <row r="952" spans="1:4" x14ac:dyDescent="0.3">
      <c r="A952" t="s">
        <v>17</v>
      </c>
      <c r="C952" s="16">
        <v>46193</v>
      </c>
      <c r="D952">
        <v>1098358.7500000002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503904.80999999982</v>
      </c>
    </row>
    <row r="956" spans="1:4" x14ac:dyDescent="0.3">
      <c r="A956" t="s">
        <v>21</v>
      </c>
      <c r="C956" s="16">
        <v>46193</v>
      </c>
      <c r="D956">
        <v>3326696.7299999995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511.15999999999985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50334.36</v>
      </c>
    </row>
    <row r="971" spans="1:4" x14ac:dyDescent="0.3">
      <c r="A971" t="s">
        <v>17</v>
      </c>
      <c r="C971" s="16">
        <v>46194</v>
      </c>
      <c r="D971">
        <v>1098358.7500000002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503904.80999999982</v>
      </c>
    </row>
    <row r="975" spans="1:4" x14ac:dyDescent="0.3">
      <c r="A975" t="s">
        <v>21</v>
      </c>
      <c r="C975" s="16">
        <v>46194</v>
      </c>
      <c r="D975">
        <v>3326696.7299999995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511.15999999999985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50334.36</v>
      </c>
    </row>
    <row r="990" spans="1:4" x14ac:dyDescent="0.3">
      <c r="A990" t="s">
        <v>17</v>
      </c>
      <c r="C990" s="16">
        <v>46195</v>
      </c>
      <c r="D990">
        <v>7613332.1400000006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503904.80999999982</v>
      </c>
    </row>
    <row r="994" spans="1:4" x14ac:dyDescent="0.3">
      <c r="A994" t="s">
        <v>21</v>
      </c>
      <c r="C994" s="16">
        <v>46195</v>
      </c>
      <c r="D994">
        <v>3325868.6899999995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511.15999999999985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50109.68</v>
      </c>
    </row>
    <row r="1009" spans="1:4" x14ac:dyDescent="0.3">
      <c r="A1009" t="s">
        <v>17</v>
      </c>
      <c r="C1009" s="16">
        <v>46196</v>
      </c>
      <c r="D1009">
        <v>7675741.5900000008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503904.80999999982</v>
      </c>
    </row>
    <row r="1013" spans="1:4" x14ac:dyDescent="0.3">
      <c r="A1013" t="s">
        <v>21</v>
      </c>
      <c r="C1013" s="16">
        <v>46196</v>
      </c>
      <c r="D1013">
        <v>3325868.6899999995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511.15999999999985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49981.31</v>
      </c>
    </row>
    <row r="1028" spans="1:4" x14ac:dyDescent="0.3">
      <c r="A1028" t="s">
        <v>17</v>
      </c>
      <c r="C1028" s="16">
        <v>46197</v>
      </c>
      <c r="D1028">
        <v>7742810.7100000009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532766.72999999986</v>
      </c>
    </row>
    <row r="1032" spans="1:4" x14ac:dyDescent="0.3">
      <c r="A1032" t="s">
        <v>21</v>
      </c>
      <c r="C1032" s="16">
        <v>46197</v>
      </c>
      <c r="D1032">
        <v>3325868.6899999995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511.15999999999985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49981.31</v>
      </c>
    </row>
    <row r="1047" spans="1:4" x14ac:dyDescent="0.3">
      <c r="A1047" t="s">
        <v>17</v>
      </c>
      <c r="C1047" s="16">
        <v>46198</v>
      </c>
      <c r="D1047">
        <v>6298935.7100000009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472766.72999999986</v>
      </c>
    </row>
    <row r="1051" spans="1:4" x14ac:dyDescent="0.3">
      <c r="A1051" t="s">
        <v>21</v>
      </c>
      <c r="C1051" s="16">
        <v>46198</v>
      </c>
      <c r="D1051">
        <v>1933152.7099999995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511.15999999999985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38025.43</v>
      </c>
    </row>
    <row r="1066" spans="1:4" x14ac:dyDescent="0.3">
      <c r="A1066" t="s">
        <v>17</v>
      </c>
      <c r="C1066" s="16">
        <v>46199</v>
      </c>
      <c r="D1066">
        <v>6288055.7100000009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472766.72999999986</v>
      </c>
    </row>
    <row r="1070" spans="1:4" x14ac:dyDescent="0.3">
      <c r="A1070" t="s">
        <v>21</v>
      </c>
      <c r="C1070" s="16">
        <v>46199</v>
      </c>
      <c r="D1070">
        <v>1932389.7199999993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511.15999999999985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29918.639999999999</v>
      </c>
    </row>
    <row r="1085" spans="1:4" x14ac:dyDescent="0.3">
      <c r="A1085" t="s">
        <v>17</v>
      </c>
      <c r="C1085" s="16">
        <v>46200</v>
      </c>
      <c r="D1085">
        <v>6288055.7100000009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472766.72999999986</v>
      </c>
    </row>
    <row r="1089" spans="1:4" x14ac:dyDescent="0.3">
      <c r="A1089" t="s">
        <v>21</v>
      </c>
      <c r="C1089" s="16">
        <v>46200</v>
      </c>
      <c r="D1089">
        <v>1932389.7199999993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511.15999999999985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29918.639999999999</v>
      </c>
    </row>
    <row r="1104" spans="1:4" x14ac:dyDescent="0.3">
      <c r="A1104" t="s">
        <v>17</v>
      </c>
      <c r="C1104" s="16">
        <v>46201</v>
      </c>
      <c r="D1104">
        <v>6288055.7100000009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472766.72999999986</v>
      </c>
    </row>
    <row r="1108" spans="1:4" x14ac:dyDescent="0.3">
      <c r="A1108" t="s">
        <v>21</v>
      </c>
      <c r="C1108" s="16">
        <v>46201</v>
      </c>
      <c r="D1108">
        <v>1932389.7199999993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511.15999999999985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29918.639999999999</v>
      </c>
    </row>
    <row r="1123" spans="1:4" x14ac:dyDescent="0.3">
      <c r="A1123" t="s">
        <v>17</v>
      </c>
      <c r="C1123" s="16">
        <v>46202</v>
      </c>
      <c r="D1123">
        <v>6299174.8100000015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489745.62999999989</v>
      </c>
    </row>
    <row r="1127" spans="1:4" x14ac:dyDescent="0.3">
      <c r="A1127" t="s">
        <v>21</v>
      </c>
      <c r="C1127" s="16">
        <v>46202</v>
      </c>
      <c r="D1127">
        <v>1768167.9199999995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511.15999999999985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23872.78</v>
      </c>
    </row>
    <row r="1142" spans="1:4" x14ac:dyDescent="0.3">
      <c r="A1142" t="s">
        <v>17</v>
      </c>
      <c r="C1142" s="16">
        <v>46203</v>
      </c>
      <c r="D1142">
        <v>6295585.7500000009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489745.62999999989</v>
      </c>
    </row>
    <row r="1146" spans="1:4" x14ac:dyDescent="0.3">
      <c r="A1146" t="s">
        <v>21</v>
      </c>
      <c r="C1146" s="16">
        <v>46203</v>
      </c>
      <c r="D1146">
        <v>1696284.7299999995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511.15999999999985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23872.78</v>
      </c>
    </row>
    <row r="1161" spans="1:4" x14ac:dyDescent="0.3">
      <c r="A1161" t="s">
        <v>17</v>
      </c>
      <c r="C1161" s="16">
        <v>46204</v>
      </c>
      <c r="D1161">
        <v>6295585.7500000009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507936.37999999989</v>
      </c>
    </row>
    <row r="1165" spans="1:4" x14ac:dyDescent="0.3">
      <c r="A1165" t="s">
        <v>21</v>
      </c>
      <c r="C1165" s="16">
        <v>46204</v>
      </c>
      <c r="D1165">
        <v>1696284.7299999995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511.15999999999985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23439.279999999999</v>
      </c>
    </row>
    <row r="1180" spans="1:4" x14ac:dyDescent="0.3">
      <c r="A1180" t="s">
        <v>17</v>
      </c>
      <c r="C1180" s="16">
        <v>46205</v>
      </c>
      <c r="D1180">
        <v>5592585.7500000009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350475.62999999989</v>
      </c>
    </row>
    <row r="1184" spans="1:4" x14ac:dyDescent="0.3">
      <c r="A1184" t="s">
        <v>21</v>
      </c>
      <c r="C1184" s="16">
        <v>46205</v>
      </c>
      <c r="D1184">
        <v>1761564.8799999994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511.15999999999985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24085.559999999998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36241.22</v>
      </c>
    </row>
    <row r="1199" spans="1:4" x14ac:dyDescent="0.3">
      <c r="A1199" t="s">
        <v>17</v>
      </c>
      <c r="C1199" s="16">
        <v>46206</v>
      </c>
      <c r="D1199">
        <v>5592585.7500000009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350475.62999999989</v>
      </c>
    </row>
    <row r="1203" spans="1:4" x14ac:dyDescent="0.3">
      <c r="A1203" t="s">
        <v>21</v>
      </c>
      <c r="C1203" s="16">
        <v>46206</v>
      </c>
      <c r="D1203">
        <v>1761564.8799999994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471.15999999999985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24085.559999999998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33119.040000000001</v>
      </c>
    </row>
    <row r="1218" spans="1:4" x14ac:dyDescent="0.3">
      <c r="A1218" t="s">
        <v>17</v>
      </c>
      <c r="C1218" s="16">
        <v>46207</v>
      </c>
      <c r="D1218">
        <v>5592585.7500000009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350475.62999999989</v>
      </c>
    </row>
    <row r="1222" spans="1:4" x14ac:dyDescent="0.3">
      <c r="A1222" t="s">
        <v>21</v>
      </c>
      <c r="C1222" s="16">
        <v>46207</v>
      </c>
      <c r="D1222">
        <v>1761564.8799999994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471.15999999999985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24085.559999999998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33119.040000000001</v>
      </c>
    </row>
    <row r="1237" spans="1:4" x14ac:dyDescent="0.3">
      <c r="A1237" t="s">
        <v>17</v>
      </c>
      <c r="C1237" s="16">
        <v>46208</v>
      </c>
      <c r="D1237">
        <v>5592585.7500000009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350475.62999999989</v>
      </c>
    </row>
    <row r="1241" spans="1:4" x14ac:dyDescent="0.3">
      <c r="A1241" t="s">
        <v>21</v>
      </c>
      <c r="C1241" s="16">
        <v>46208</v>
      </c>
      <c r="D1241">
        <v>1761564.8799999994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471.15999999999985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24085.559999999998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33119.040000000001</v>
      </c>
    </row>
    <row r="1256" spans="1:4" x14ac:dyDescent="0.3">
      <c r="A1256" t="s">
        <v>17</v>
      </c>
      <c r="C1256" s="16">
        <v>46209</v>
      </c>
      <c r="D1256">
        <v>5592585.7500000009</v>
      </c>
    </row>
    <row r="1257" spans="1:4" x14ac:dyDescent="0.3">
      <c r="A1257" t="s">
        <v>18</v>
      </c>
      <c r="C1257" s="16">
        <v>46209</v>
      </c>
      <c r="D1257">
        <v>79139.680000000168</v>
      </c>
    </row>
    <row r="1258" spans="1:4" x14ac:dyDescent="0.3">
      <c r="A1258" t="s">
        <v>19</v>
      </c>
      <c r="C1258" s="16">
        <v>46209</v>
      </c>
      <c r="D1258">
        <v>1669.89</v>
      </c>
    </row>
    <row r="1259" spans="1:4" x14ac:dyDescent="0.3">
      <c r="A1259" t="s">
        <v>20</v>
      </c>
      <c r="C1259" s="16">
        <v>46209</v>
      </c>
      <c r="D1259">
        <v>350475.62999999989</v>
      </c>
    </row>
    <row r="1260" spans="1:4" x14ac:dyDescent="0.3">
      <c r="A1260" t="s">
        <v>21</v>
      </c>
      <c r="C1260" s="16">
        <v>46209</v>
      </c>
      <c r="D1260">
        <v>1761026.4599999995</v>
      </c>
    </row>
    <row r="1261" spans="1:4" x14ac:dyDescent="0.3">
      <c r="A1261" t="s">
        <v>22</v>
      </c>
      <c r="C1261" s="16">
        <v>46209</v>
      </c>
      <c r="D1261">
        <v>220496.38</v>
      </c>
    </row>
    <row r="1262" spans="1:4" x14ac:dyDescent="0.3">
      <c r="A1262" t="s">
        <v>23</v>
      </c>
      <c r="C1262" s="16">
        <v>46209</v>
      </c>
      <c r="D1262">
        <v>88090.37</v>
      </c>
    </row>
    <row r="1263" spans="1:4" x14ac:dyDescent="0.3">
      <c r="A1263" t="s">
        <v>24</v>
      </c>
      <c r="C1263" s="16">
        <v>46209</v>
      </c>
      <c r="D1263">
        <v>471.15999999999985</v>
      </c>
    </row>
    <row r="1264" spans="1:4" x14ac:dyDescent="0.3">
      <c r="A1264" t="s">
        <v>25</v>
      </c>
      <c r="C1264" s="16">
        <v>46209</v>
      </c>
      <c r="D1264">
        <v>54.400000000000006</v>
      </c>
    </row>
    <row r="1265" spans="1:4" x14ac:dyDescent="0.3">
      <c r="A1265" t="s">
        <v>26</v>
      </c>
      <c r="C1265" s="16">
        <v>46209</v>
      </c>
      <c r="D1265">
        <v>2207.8200000000002</v>
      </c>
    </row>
    <row r="1266" spans="1:4" x14ac:dyDescent="0.3">
      <c r="A1266" t="s">
        <v>27</v>
      </c>
      <c r="C1266" s="16">
        <v>46209</v>
      </c>
      <c r="D1266">
        <v>3349.94</v>
      </c>
    </row>
    <row r="1267" spans="1:4" x14ac:dyDescent="0.3">
      <c r="A1267" t="s">
        <v>28</v>
      </c>
      <c r="C1267" s="16">
        <v>46209</v>
      </c>
      <c r="D1267">
        <v>1968.99</v>
      </c>
    </row>
    <row r="1268" spans="1:4" x14ac:dyDescent="0.3">
      <c r="A1268" t="s">
        <v>29</v>
      </c>
      <c r="C1268" s="16">
        <v>46209</v>
      </c>
      <c r="D1268">
        <v>382.69000000000005</v>
      </c>
    </row>
    <row r="1269" spans="1:4" x14ac:dyDescent="0.3">
      <c r="A1269" t="s">
        <v>30</v>
      </c>
      <c r="C1269" s="16">
        <v>46209</v>
      </c>
      <c r="D1269">
        <v>1412.08</v>
      </c>
    </row>
    <row r="1270" spans="1:4" x14ac:dyDescent="0.3">
      <c r="A1270" t="s">
        <v>31</v>
      </c>
      <c r="C1270" s="16">
        <v>46209</v>
      </c>
      <c r="D1270">
        <v>22496.639999999959</v>
      </c>
    </row>
    <row r="1271" spans="1:4" x14ac:dyDescent="0.3">
      <c r="A1271" t="s">
        <v>32</v>
      </c>
      <c r="C1271" s="16">
        <v>46209</v>
      </c>
      <c r="D1271">
        <v>10522.800000000003</v>
      </c>
    </row>
    <row r="1272" spans="1:4" x14ac:dyDescent="0.3">
      <c r="A1272" t="s">
        <v>33</v>
      </c>
      <c r="C1272" s="16">
        <v>46209</v>
      </c>
      <c r="D1272">
        <v>24085.559999999998</v>
      </c>
    </row>
    <row r="1273" spans="1:4" x14ac:dyDescent="0.3">
      <c r="A1273" t="s">
        <v>34</v>
      </c>
      <c r="C1273" s="16">
        <v>46209</v>
      </c>
      <c r="D1273">
        <v>345</v>
      </c>
    </row>
    <row r="1274" spans="1:4" x14ac:dyDescent="0.3">
      <c r="A1274" t="s">
        <v>35</v>
      </c>
      <c r="C1274" s="16">
        <v>46209</v>
      </c>
      <c r="D1274">
        <v>15165.34</v>
      </c>
    </row>
    <row r="1275" spans="1:4" x14ac:dyDescent="0.3">
      <c r="A1275" t="s">
        <v>17</v>
      </c>
      <c r="C1275" s="16">
        <v>46210</v>
      </c>
      <c r="D1275">
        <v>5592585.7500000009</v>
      </c>
    </row>
    <row r="1276" spans="1:4" x14ac:dyDescent="0.3">
      <c r="A1276" t="s">
        <v>18</v>
      </c>
      <c r="C1276" s="16">
        <v>46210</v>
      </c>
      <c r="D1276">
        <v>79139.680000000168</v>
      </c>
    </row>
    <row r="1277" spans="1:4" x14ac:dyDescent="0.3">
      <c r="A1277" t="s">
        <v>19</v>
      </c>
      <c r="C1277" s="16">
        <v>46210</v>
      </c>
      <c r="D1277">
        <v>1669.89</v>
      </c>
    </row>
    <row r="1278" spans="1:4" x14ac:dyDescent="0.3">
      <c r="A1278" t="s">
        <v>20</v>
      </c>
      <c r="C1278" s="16">
        <v>46210</v>
      </c>
      <c r="D1278">
        <v>350475.62999999989</v>
      </c>
    </row>
    <row r="1279" spans="1:4" x14ac:dyDescent="0.3">
      <c r="A1279" t="s">
        <v>21</v>
      </c>
      <c r="C1279" s="16">
        <v>46210</v>
      </c>
      <c r="D1279">
        <v>1761026.4599999995</v>
      </c>
    </row>
    <row r="1280" spans="1:4" x14ac:dyDescent="0.3">
      <c r="A1280" t="s">
        <v>22</v>
      </c>
      <c r="C1280" s="16">
        <v>46210</v>
      </c>
      <c r="D1280">
        <v>220496.38</v>
      </c>
    </row>
    <row r="1281" spans="1:4" x14ac:dyDescent="0.3">
      <c r="A1281" t="s">
        <v>23</v>
      </c>
      <c r="C1281" s="16">
        <v>46210</v>
      </c>
      <c r="D1281">
        <v>88090.37</v>
      </c>
    </row>
    <row r="1282" spans="1:4" x14ac:dyDescent="0.3">
      <c r="A1282" t="s">
        <v>24</v>
      </c>
      <c r="C1282" s="16">
        <v>46210</v>
      </c>
      <c r="D1282">
        <v>471.15999999999985</v>
      </c>
    </row>
    <row r="1283" spans="1:4" x14ac:dyDescent="0.3">
      <c r="A1283" t="s">
        <v>25</v>
      </c>
      <c r="C1283" s="16">
        <v>46210</v>
      </c>
      <c r="D1283">
        <v>54.400000000000006</v>
      </c>
    </row>
    <row r="1284" spans="1:4" x14ac:dyDescent="0.3">
      <c r="A1284" t="s">
        <v>26</v>
      </c>
      <c r="C1284" s="16">
        <v>46210</v>
      </c>
      <c r="D1284">
        <v>2207.8200000000002</v>
      </c>
    </row>
    <row r="1285" spans="1:4" x14ac:dyDescent="0.3">
      <c r="A1285" t="s">
        <v>27</v>
      </c>
      <c r="C1285" s="16">
        <v>46210</v>
      </c>
      <c r="D1285">
        <v>3349.94</v>
      </c>
    </row>
    <row r="1286" spans="1:4" x14ac:dyDescent="0.3">
      <c r="A1286" t="s">
        <v>28</v>
      </c>
      <c r="C1286" s="16">
        <v>46210</v>
      </c>
      <c r="D1286">
        <v>1968.99</v>
      </c>
    </row>
    <row r="1287" spans="1:4" x14ac:dyDescent="0.3">
      <c r="A1287" t="s">
        <v>29</v>
      </c>
      <c r="C1287" s="16">
        <v>46210</v>
      </c>
      <c r="D1287">
        <v>382.69000000000005</v>
      </c>
    </row>
    <row r="1288" spans="1:4" x14ac:dyDescent="0.3">
      <c r="A1288" t="s">
        <v>30</v>
      </c>
      <c r="C1288" s="16">
        <v>46210</v>
      </c>
      <c r="D1288">
        <v>1412.08</v>
      </c>
    </row>
    <row r="1289" spans="1:4" x14ac:dyDescent="0.3">
      <c r="A1289" t="s">
        <v>31</v>
      </c>
      <c r="C1289" s="16">
        <v>46210</v>
      </c>
      <c r="D1289">
        <v>22496.639999999959</v>
      </c>
    </row>
    <row r="1290" spans="1:4" x14ac:dyDescent="0.3">
      <c r="A1290" t="s">
        <v>32</v>
      </c>
      <c r="C1290" s="16">
        <v>46210</v>
      </c>
      <c r="D1290">
        <v>10522.800000000003</v>
      </c>
    </row>
    <row r="1291" spans="1:4" x14ac:dyDescent="0.3">
      <c r="A1291" t="s">
        <v>33</v>
      </c>
      <c r="C1291" s="16">
        <v>46210</v>
      </c>
      <c r="D1291">
        <v>24085.559999999998</v>
      </c>
    </row>
    <row r="1292" spans="1:4" x14ac:dyDescent="0.3">
      <c r="A1292" t="s">
        <v>34</v>
      </c>
      <c r="C1292" s="16">
        <v>46210</v>
      </c>
      <c r="D1292">
        <v>345</v>
      </c>
    </row>
    <row r="1293" spans="1:4" x14ac:dyDescent="0.3">
      <c r="A1293" t="s">
        <v>35</v>
      </c>
      <c r="C1293" s="16">
        <v>46210</v>
      </c>
      <c r="D1293">
        <v>14498.59</v>
      </c>
    </row>
    <row r="1294" spans="1:4" x14ac:dyDescent="0.3">
      <c r="A1294" t="s">
        <v>17</v>
      </c>
      <c r="C1294" s="16">
        <v>46211</v>
      </c>
      <c r="D1294">
        <v>5592585.7500000009</v>
      </c>
    </row>
    <row r="1295" spans="1:4" x14ac:dyDescent="0.3">
      <c r="A1295" t="s">
        <v>18</v>
      </c>
      <c r="C1295" s="16">
        <v>46211</v>
      </c>
      <c r="D1295">
        <v>79139.680000000168</v>
      </c>
    </row>
    <row r="1296" spans="1:4" x14ac:dyDescent="0.3">
      <c r="A1296" t="s">
        <v>19</v>
      </c>
      <c r="C1296" s="16">
        <v>46211</v>
      </c>
      <c r="D1296">
        <v>1669.89</v>
      </c>
    </row>
    <row r="1297" spans="1:4" x14ac:dyDescent="0.3">
      <c r="A1297" t="s">
        <v>20</v>
      </c>
      <c r="C1297" s="16">
        <v>46211</v>
      </c>
      <c r="D1297">
        <v>350475.62999999989</v>
      </c>
    </row>
    <row r="1298" spans="1:4" x14ac:dyDescent="0.3">
      <c r="A1298" t="s">
        <v>21</v>
      </c>
      <c r="C1298" s="16">
        <v>46211</v>
      </c>
      <c r="D1298">
        <v>1751695.8399999994</v>
      </c>
    </row>
    <row r="1299" spans="1:4" x14ac:dyDescent="0.3">
      <c r="A1299" t="s">
        <v>22</v>
      </c>
      <c r="C1299" s="16">
        <v>46211</v>
      </c>
      <c r="D1299">
        <v>220496.38</v>
      </c>
    </row>
    <row r="1300" spans="1:4" x14ac:dyDescent="0.3">
      <c r="A1300" t="s">
        <v>23</v>
      </c>
      <c r="C1300" s="16">
        <v>46211</v>
      </c>
      <c r="D1300">
        <v>88090.37</v>
      </c>
    </row>
    <row r="1301" spans="1:4" x14ac:dyDescent="0.3">
      <c r="A1301" t="s">
        <v>24</v>
      </c>
      <c r="C1301" s="16">
        <v>46211</v>
      </c>
      <c r="D1301">
        <v>471.15999999999985</v>
      </c>
    </row>
    <row r="1302" spans="1:4" x14ac:dyDescent="0.3">
      <c r="A1302" t="s">
        <v>25</v>
      </c>
      <c r="C1302" s="16">
        <v>46211</v>
      </c>
      <c r="D1302">
        <v>54.400000000000006</v>
      </c>
    </row>
    <row r="1303" spans="1:4" x14ac:dyDescent="0.3">
      <c r="A1303" t="s">
        <v>26</v>
      </c>
      <c r="C1303" s="16">
        <v>46211</v>
      </c>
      <c r="D1303">
        <v>2207.8200000000002</v>
      </c>
    </row>
    <row r="1304" spans="1:4" x14ac:dyDescent="0.3">
      <c r="A1304" t="s">
        <v>27</v>
      </c>
      <c r="C1304" s="16">
        <v>46211</v>
      </c>
      <c r="D1304">
        <v>3334.94</v>
      </c>
    </row>
    <row r="1305" spans="1:4" x14ac:dyDescent="0.3">
      <c r="A1305" t="s">
        <v>28</v>
      </c>
      <c r="C1305" s="16">
        <v>46211</v>
      </c>
      <c r="D1305">
        <v>1968.99</v>
      </c>
    </row>
    <row r="1306" spans="1:4" x14ac:dyDescent="0.3">
      <c r="A1306" t="s">
        <v>29</v>
      </c>
      <c r="C1306" s="16">
        <v>46211</v>
      </c>
      <c r="D1306">
        <v>382.69000000000005</v>
      </c>
    </row>
    <row r="1307" spans="1:4" x14ac:dyDescent="0.3">
      <c r="A1307" t="s">
        <v>30</v>
      </c>
      <c r="C1307" s="16">
        <v>46211</v>
      </c>
      <c r="D1307">
        <v>1412.08</v>
      </c>
    </row>
    <row r="1308" spans="1:4" x14ac:dyDescent="0.3">
      <c r="A1308" t="s">
        <v>31</v>
      </c>
      <c r="C1308" s="16">
        <v>46211</v>
      </c>
      <c r="D1308">
        <v>22496.639999999959</v>
      </c>
    </row>
    <row r="1309" spans="1:4" x14ac:dyDescent="0.3">
      <c r="A1309" t="s">
        <v>32</v>
      </c>
      <c r="C1309" s="16">
        <v>46211</v>
      </c>
      <c r="D1309">
        <v>6522.8000000000029</v>
      </c>
    </row>
    <row r="1310" spans="1:4" x14ac:dyDescent="0.3">
      <c r="A1310" t="s">
        <v>33</v>
      </c>
      <c r="C1310" s="16">
        <v>46211</v>
      </c>
      <c r="D1310">
        <v>24085.559999999998</v>
      </c>
    </row>
    <row r="1311" spans="1:4" x14ac:dyDescent="0.3">
      <c r="A1311" t="s">
        <v>34</v>
      </c>
      <c r="C1311" s="16">
        <v>46211</v>
      </c>
      <c r="D1311">
        <v>345</v>
      </c>
    </row>
    <row r="1312" spans="1:4" x14ac:dyDescent="0.3">
      <c r="A1312" t="s">
        <v>35</v>
      </c>
      <c r="C1312" s="16">
        <v>46211</v>
      </c>
      <c r="D1312">
        <v>14498.59</v>
      </c>
    </row>
    <row r="1313" spans="1:4" x14ac:dyDescent="0.3">
      <c r="A1313" t="s">
        <v>17</v>
      </c>
      <c r="C1313" s="16">
        <v>46212</v>
      </c>
      <c r="D1313">
        <v>4377944.080000001</v>
      </c>
    </row>
    <row r="1314" spans="1:4" x14ac:dyDescent="0.3">
      <c r="A1314" t="s">
        <v>18</v>
      </c>
      <c r="C1314" s="16">
        <v>46212</v>
      </c>
      <c r="D1314">
        <v>73157.680000000168</v>
      </c>
    </row>
    <row r="1315" spans="1:4" x14ac:dyDescent="0.3">
      <c r="A1315" t="s">
        <v>19</v>
      </c>
      <c r="C1315" s="16">
        <v>46212</v>
      </c>
      <c r="D1315">
        <v>1669.89</v>
      </c>
    </row>
    <row r="1316" spans="1:4" x14ac:dyDescent="0.3">
      <c r="A1316" t="s">
        <v>20</v>
      </c>
      <c r="C1316" s="16">
        <v>46212</v>
      </c>
      <c r="D1316">
        <v>290475.62999999989</v>
      </c>
    </row>
    <row r="1317" spans="1:4" x14ac:dyDescent="0.3">
      <c r="A1317" t="s">
        <v>21</v>
      </c>
      <c r="C1317" s="16">
        <v>46212</v>
      </c>
      <c r="D1317">
        <v>2119592.9399999995</v>
      </c>
    </row>
    <row r="1318" spans="1:4" x14ac:dyDescent="0.3">
      <c r="A1318" t="s">
        <v>22</v>
      </c>
      <c r="C1318" s="16">
        <v>46212</v>
      </c>
      <c r="D1318">
        <v>200496.38</v>
      </c>
    </row>
    <row r="1319" spans="1:4" x14ac:dyDescent="0.3">
      <c r="A1319" t="s">
        <v>23</v>
      </c>
      <c r="C1319" s="16">
        <v>46212</v>
      </c>
      <c r="D1319">
        <v>88090.37</v>
      </c>
    </row>
    <row r="1320" spans="1:4" x14ac:dyDescent="0.3">
      <c r="A1320" t="s">
        <v>24</v>
      </c>
      <c r="C1320" s="16">
        <v>46212</v>
      </c>
      <c r="D1320">
        <v>15130.45</v>
      </c>
    </row>
    <row r="1321" spans="1:4" x14ac:dyDescent="0.3">
      <c r="A1321" t="s">
        <v>25</v>
      </c>
      <c r="C1321" s="16">
        <v>46212</v>
      </c>
      <c r="D1321">
        <v>54.400000000000006</v>
      </c>
    </row>
    <row r="1322" spans="1:4" x14ac:dyDescent="0.3">
      <c r="A1322" t="s">
        <v>26</v>
      </c>
      <c r="C1322" s="16">
        <v>46212</v>
      </c>
      <c r="D1322">
        <v>2207.8200000000002</v>
      </c>
    </row>
    <row r="1323" spans="1:4" x14ac:dyDescent="0.3">
      <c r="A1323" t="s">
        <v>27</v>
      </c>
      <c r="C1323" s="16">
        <v>46212</v>
      </c>
      <c r="D1323">
        <v>1454604.72</v>
      </c>
    </row>
    <row r="1324" spans="1:4" x14ac:dyDescent="0.3">
      <c r="A1324" t="s">
        <v>28</v>
      </c>
      <c r="C1324" s="16">
        <v>46212</v>
      </c>
      <c r="D1324">
        <v>1968.99</v>
      </c>
    </row>
    <row r="1325" spans="1:4" x14ac:dyDescent="0.3">
      <c r="A1325" t="s">
        <v>29</v>
      </c>
      <c r="C1325" s="16">
        <v>46212</v>
      </c>
      <c r="D1325">
        <v>382.69000000000005</v>
      </c>
    </row>
    <row r="1326" spans="1:4" x14ac:dyDescent="0.3">
      <c r="A1326" t="s">
        <v>30</v>
      </c>
      <c r="C1326" s="16">
        <v>46212</v>
      </c>
      <c r="D1326">
        <v>1412.08</v>
      </c>
    </row>
    <row r="1327" spans="1:4" x14ac:dyDescent="0.3">
      <c r="A1327" t="s">
        <v>31</v>
      </c>
      <c r="C1327" s="16">
        <v>46212</v>
      </c>
      <c r="D1327">
        <v>22496.639999999959</v>
      </c>
    </row>
    <row r="1328" spans="1:4" x14ac:dyDescent="0.3">
      <c r="A1328" t="s">
        <v>32</v>
      </c>
      <c r="C1328" s="16">
        <v>46212</v>
      </c>
      <c r="D1328">
        <v>6522.8000000000029</v>
      </c>
    </row>
    <row r="1329" spans="1:4" x14ac:dyDescent="0.3">
      <c r="A1329" t="s">
        <v>33</v>
      </c>
      <c r="C1329" s="16">
        <v>46212</v>
      </c>
      <c r="D1329">
        <v>24085.559999999998</v>
      </c>
    </row>
    <row r="1330" spans="1:4" x14ac:dyDescent="0.3">
      <c r="A1330" t="s">
        <v>34</v>
      </c>
      <c r="C1330" s="16">
        <v>46212</v>
      </c>
      <c r="D1330">
        <v>345</v>
      </c>
    </row>
    <row r="1331" spans="1:4" x14ac:dyDescent="0.3">
      <c r="A1331" t="s">
        <v>35</v>
      </c>
      <c r="C1331" s="16">
        <v>46212</v>
      </c>
      <c r="D1331">
        <v>31900.120000000003</v>
      </c>
    </row>
    <row r="1332" spans="1:4" x14ac:dyDescent="0.3">
      <c r="A1332" t="s">
        <v>17</v>
      </c>
      <c r="C1332" s="16">
        <v>46213</v>
      </c>
      <c r="D1332">
        <v>4163755.7500000005</v>
      </c>
    </row>
    <row r="1333" spans="1:4" x14ac:dyDescent="0.3">
      <c r="A1333" t="s">
        <v>18</v>
      </c>
      <c r="C1333" s="16">
        <v>46213</v>
      </c>
      <c r="D1333">
        <v>73157.680000000168</v>
      </c>
    </row>
    <row r="1334" spans="1:4" x14ac:dyDescent="0.3">
      <c r="A1334" t="s">
        <v>19</v>
      </c>
      <c r="C1334" s="16">
        <v>46213</v>
      </c>
      <c r="D1334">
        <v>1669.89</v>
      </c>
    </row>
    <row r="1335" spans="1:4" x14ac:dyDescent="0.3">
      <c r="A1335" t="s">
        <v>20</v>
      </c>
      <c r="C1335" s="16">
        <v>46213</v>
      </c>
      <c r="D1335">
        <v>290141.62999999989</v>
      </c>
    </row>
    <row r="1336" spans="1:4" x14ac:dyDescent="0.3">
      <c r="A1336" t="s">
        <v>21</v>
      </c>
      <c r="C1336" s="16">
        <v>46213</v>
      </c>
      <c r="D1336">
        <v>1921752.2699999993</v>
      </c>
    </row>
    <row r="1337" spans="1:4" x14ac:dyDescent="0.3">
      <c r="A1337" t="s">
        <v>22</v>
      </c>
      <c r="C1337" s="16">
        <v>46213</v>
      </c>
      <c r="D1337">
        <v>200496.38</v>
      </c>
    </row>
    <row r="1338" spans="1:4" x14ac:dyDescent="0.3">
      <c r="A1338" t="s">
        <v>23</v>
      </c>
      <c r="C1338" s="16">
        <v>46213</v>
      </c>
      <c r="D1338">
        <v>88090.37</v>
      </c>
    </row>
    <row r="1339" spans="1:4" x14ac:dyDescent="0.3">
      <c r="A1339" t="s">
        <v>24</v>
      </c>
      <c r="C1339" s="16">
        <v>46213</v>
      </c>
      <c r="D1339">
        <v>14580.45</v>
      </c>
    </row>
    <row r="1340" spans="1:4" x14ac:dyDescent="0.3">
      <c r="A1340" t="s">
        <v>25</v>
      </c>
      <c r="C1340" s="16">
        <v>46213</v>
      </c>
      <c r="D1340">
        <v>54.400000000000006</v>
      </c>
    </row>
    <row r="1341" spans="1:4" x14ac:dyDescent="0.3">
      <c r="A1341" t="s">
        <v>26</v>
      </c>
      <c r="C1341" s="16">
        <v>46213</v>
      </c>
      <c r="D1341">
        <v>2207.8200000000002</v>
      </c>
    </row>
    <row r="1342" spans="1:4" x14ac:dyDescent="0.3">
      <c r="A1342" t="s">
        <v>27</v>
      </c>
      <c r="C1342" s="16">
        <v>46213</v>
      </c>
      <c r="D1342">
        <v>1454589.72</v>
      </c>
    </row>
    <row r="1343" spans="1:4" x14ac:dyDescent="0.3">
      <c r="A1343" t="s">
        <v>28</v>
      </c>
      <c r="C1343" s="16">
        <v>46213</v>
      </c>
      <c r="D1343">
        <v>1968.99</v>
      </c>
    </row>
    <row r="1344" spans="1:4" x14ac:dyDescent="0.3">
      <c r="A1344" t="s">
        <v>29</v>
      </c>
      <c r="C1344" s="16">
        <v>46213</v>
      </c>
      <c r="D1344">
        <v>382.69000000000005</v>
      </c>
    </row>
    <row r="1345" spans="1:4" x14ac:dyDescent="0.3">
      <c r="A1345" t="s">
        <v>30</v>
      </c>
      <c r="C1345" s="16">
        <v>46213</v>
      </c>
      <c r="D1345">
        <v>1412.08</v>
      </c>
    </row>
    <row r="1346" spans="1:4" x14ac:dyDescent="0.3">
      <c r="A1346" t="s">
        <v>31</v>
      </c>
      <c r="C1346" s="16">
        <v>46213</v>
      </c>
      <c r="D1346">
        <v>22496.639999999959</v>
      </c>
    </row>
    <row r="1347" spans="1:4" x14ac:dyDescent="0.3">
      <c r="A1347" t="s">
        <v>32</v>
      </c>
      <c r="C1347" s="16">
        <v>46213</v>
      </c>
      <c r="D1347">
        <v>6522.8000000000029</v>
      </c>
    </row>
    <row r="1348" spans="1:4" x14ac:dyDescent="0.3">
      <c r="A1348" t="s">
        <v>33</v>
      </c>
      <c r="C1348" s="16">
        <v>46213</v>
      </c>
      <c r="D1348">
        <v>24085.559999999998</v>
      </c>
    </row>
    <row r="1349" spans="1:4" x14ac:dyDescent="0.3">
      <c r="A1349" t="s">
        <v>34</v>
      </c>
      <c r="C1349" s="16">
        <v>46213</v>
      </c>
      <c r="D1349">
        <v>345</v>
      </c>
    </row>
    <row r="1350" spans="1:4" x14ac:dyDescent="0.3">
      <c r="A1350" t="s">
        <v>35</v>
      </c>
      <c r="C1350" s="16">
        <v>46213</v>
      </c>
      <c r="D1350">
        <v>31900.120000000003</v>
      </c>
    </row>
    <row r="1351" spans="1:4" x14ac:dyDescent="0.3">
      <c r="A1351" t="s">
        <v>17</v>
      </c>
      <c r="C1351" s="16">
        <v>46214</v>
      </c>
      <c r="D1351">
        <v>4163755.7500000005</v>
      </c>
    </row>
    <row r="1352" spans="1:4" x14ac:dyDescent="0.3">
      <c r="A1352" t="s">
        <v>18</v>
      </c>
      <c r="C1352" s="16">
        <v>46214</v>
      </c>
      <c r="D1352">
        <v>73157.680000000168</v>
      </c>
    </row>
    <row r="1353" spans="1:4" x14ac:dyDescent="0.3">
      <c r="A1353" t="s">
        <v>19</v>
      </c>
      <c r="C1353" s="16">
        <v>46214</v>
      </c>
      <c r="D1353">
        <v>1669.89</v>
      </c>
    </row>
    <row r="1354" spans="1:4" x14ac:dyDescent="0.3">
      <c r="A1354" t="s">
        <v>20</v>
      </c>
      <c r="C1354" s="16">
        <v>46214</v>
      </c>
      <c r="D1354">
        <v>290141.62999999989</v>
      </c>
    </row>
    <row r="1355" spans="1:4" x14ac:dyDescent="0.3">
      <c r="A1355" t="s">
        <v>21</v>
      </c>
      <c r="C1355" s="16">
        <v>46214</v>
      </c>
      <c r="D1355">
        <v>1921752.2699999993</v>
      </c>
    </row>
    <row r="1356" spans="1:4" x14ac:dyDescent="0.3">
      <c r="A1356" t="s">
        <v>22</v>
      </c>
      <c r="C1356" s="16">
        <v>46214</v>
      </c>
      <c r="D1356">
        <v>200496.38</v>
      </c>
    </row>
    <row r="1357" spans="1:4" x14ac:dyDescent="0.3">
      <c r="A1357" t="s">
        <v>23</v>
      </c>
      <c r="C1357" s="16">
        <v>46214</v>
      </c>
      <c r="D1357">
        <v>88090.37</v>
      </c>
    </row>
    <row r="1358" spans="1:4" x14ac:dyDescent="0.3">
      <c r="A1358" t="s">
        <v>24</v>
      </c>
      <c r="C1358" s="16">
        <v>46214</v>
      </c>
      <c r="D1358">
        <v>14580.45</v>
      </c>
    </row>
    <row r="1359" spans="1:4" x14ac:dyDescent="0.3">
      <c r="A1359" t="s">
        <v>25</v>
      </c>
      <c r="C1359" s="16">
        <v>46214</v>
      </c>
      <c r="D1359">
        <v>54.400000000000006</v>
      </c>
    </row>
    <row r="1360" spans="1:4" x14ac:dyDescent="0.3">
      <c r="A1360" t="s">
        <v>26</v>
      </c>
      <c r="C1360" s="16">
        <v>46214</v>
      </c>
      <c r="D1360">
        <v>2207.8200000000002</v>
      </c>
    </row>
    <row r="1361" spans="1:4" x14ac:dyDescent="0.3">
      <c r="A1361" t="s">
        <v>27</v>
      </c>
      <c r="C1361" s="16">
        <v>46214</v>
      </c>
      <c r="D1361">
        <v>1454589.72</v>
      </c>
    </row>
    <row r="1362" spans="1:4" x14ac:dyDescent="0.3">
      <c r="A1362" t="s">
        <v>28</v>
      </c>
      <c r="C1362" s="16">
        <v>46214</v>
      </c>
      <c r="D1362">
        <v>1968.99</v>
      </c>
    </row>
    <row r="1363" spans="1:4" x14ac:dyDescent="0.3">
      <c r="A1363" t="s">
        <v>29</v>
      </c>
      <c r="C1363" s="16">
        <v>46214</v>
      </c>
      <c r="D1363">
        <v>382.69000000000005</v>
      </c>
    </row>
    <row r="1364" spans="1:4" x14ac:dyDescent="0.3">
      <c r="A1364" t="s">
        <v>30</v>
      </c>
      <c r="C1364" s="16">
        <v>46214</v>
      </c>
      <c r="D1364">
        <v>1412.08</v>
      </c>
    </row>
    <row r="1365" spans="1:4" x14ac:dyDescent="0.3">
      <c r="A1365" t="s">
        <v>31</v>
      </c>
      <c r="C1365" s="16">
        <v>46214</v>
      </c>
      <c r="D1365">
        <v>22496.639999999959</v>
      </c>
    </row>
    <row r="1366" spans="1:4" x14ac:dyDescent="0.3">
      <c r="A1366" t="s">
        <v>32</v>
      </c>
      <c r="C1366" s="16">
        <v>46214</v>
      </c>
      <c r="D1366">
        <v>6522.8000000000029</v>
      </c>
    </row>
    <row r="1367" spans="1:4" x14ac:dyDescent="0.3">
      <c r="A1367" t="s">
        <v>33</v>
      </c>
      <c r="C1367" s="16">
        <v>46214</v>
      </c>
      <c r="D1367">
        <v>24085.559999999998</v>
      </c>
    </row>
    <row r="1368" spans="1:4" x14ac:dyDescent="0.3">
      <c r="A1368" t="s">
        <v>34</v>
      </c>
      <c r="C1368" s="16">
        <v>46214</v>
      </c>
      <c r="D1368">
        <v>345</v>
      </c>
    </row>
    <row r="1369" spans="1:4" x14ac:dyDescent="0.3">
      <c r="A1369" t="s">
        <v>35</v>
      </c>
      <c r="C1369" s="16">
        <v>46214</v>
      </c>
      <c r="D1369">
        <v>31900.120000000003</v>
      </c>
    </row>
    <row r="1370" spans="1:4" x14ac:dyDescent="0.3">
      <c r="A1370" t="s">
        <v>17</v>
      </c>
      <c r="C1370" s="16">
        <v>46215</v>
      </c>
      <c r="D1370">
        <v>4163755.7500000005</v>
      </c>
    </row>
    <row r="1371" spans="1:4" x14ac:dyDescent="0.3">
      <c r="A1371" t="s">
        <v>18</v>
      </c>
      <c r="C1371" s="16">
        <v>46215</v>
      </c>
      <c r="D1371">
        <v>73157.680000000168</v>
      </c>
    </row>
    <row r="1372" spans="1:4" x14ac:dyDescent="0.3">
      <c r="A1372" t="s">
        <v>19</v>
      </c>
      <c r="C1372" s="16">
        <v>46215</v>
      </c>
      <c r="D1372">
        <v>1669.89</v>
      </c>
    </row>
    <row r="1373" spans="1:4" x14ac:dyDescent="0.3">
      <c r="A1373" t="s">
        <v>20</v>
      </c>
      <c r="C1373" s="16">
        <v>46215</v>
      </c>
      <c r="D1373">
        <v>290141.62999999989</v>
      </c>
    </row>
    <row r="1374" spans="1:4" x14ac:dyDescent="0.3">
      <c r="A1374" t="s">
        <v>21</v>
      </c>
      <c r="C1374" s="16">
        <v>46215</v>
      </c>
      <c r="D1374">
        <v>1921752.2699999993</v>
      </c>
    </row>
    <row r="1375" spans="1:4" x14ac:dyDescent="0.3">
      <c r="A1375" t="s">
        <v>22</v>
      </c>
      <c r="C1375" s="16">
        <v>46215</v>
      </c>
      <c r="D1375">
        <v>200496.38</v>
      </c>
    </row>
    <row r="1376" spans="1:4" x14ac:dyDescent="0.3">
      <c r="A1376" t="s">
        <v>23</v>
      </c>
      <c r="C1376" s="16">
        <v>46215</v>
      </c>
      <c r="D1376">
        <v>88090.37</v>
      </c>
    </row>
    <row r="1377" spans="1:4" x14ac:dyDescent="0.3">
      <c r="A1377" t="s">
        <v>24</v>
      </c>
      <c r="C1377" s="16">
        <v>46215</v>
      </c>
      <c r="D1377">
        <v>14580.45</v>
      </c>
    </row>
    <row r="1378" spans="1:4" x14ac:dyDescent="0.3">
      <c r="A1378" t="s">
        <v>25</v>
      </c>
      <c r="C1378" s="16">
        <v>46215</v>
      </c>
      <c r="D1378">
        <v>54.400000000000006</v>
      </c>
    </row>
    <row r="1379" spans="1:4" x14ac:dyDescent="0.3">
      <c r="A1379" t="s">
        <v>26</v>
      </c>
      <c r="C1379" s="16">
        <v>46215</v>
      </c>
      <c r="D1379">
        <v>2207.8200000000002</v>
      </c>
    </row>
    <row r="1380" spans="1:4" x14ac:dyDescent="0.3">
      <c r="A1380" t="s">
        <v>27</v>
      </c>
      <c r="C1380" s="16">
        <v>46215</v>
      </c>
      <c r="D1380">
        <v>1454589.72</v>
      </c>
    </row>
    <row r="1381" spans="1:4" x14ac:dyDescent="0.3">
      <c r="A1381" t="s">
        <v>28</v>
      </c>
      <c r="C1381" s="16">
        <v>46215</v>
      </c>
      <c r="D1381">
        <v>1968.99</v>
      </c>
    </row>
    <row r="1382" spans="1:4" x14ac:dyDescent="0.3">
      <c r="A1382" t="s">
        <v>29</v>
      </c>
      <c r="C1382" s="16">
        <v>46215</v>
      </c>
      <c r="D1382">
        <v>382.69000000000005</v>
      </c>
    </row>
    <row r="1383" spans="1:4" x14ac:dyDescent="0.3">
      <c r="A1383" t="s">
        <v>30</v>
      </c>
      <c r="C1383" s="16">
        <v>46215</v>
      </c>
      <c r="D1383">
        <v>1412.08</v>
      </c>
    </row>
    <row r="1384" spans="1:4" x14ac:dyDescent="0.3">
      <c r="A1384" t="s">
        <v>31</v>
      </c>
      <c r="C1384" s="16">
        <v>46215</v>
      </c>
      <c r="D1384">
        <v>22496.639999999959</v>
      </c>
    </row>
    <row r="1385" spans="1:4" x14ac:dyDescent="0.3">
      <c r="A1385" t="s">
        <v>32</v>
      </c>
      <c r="C1385" s="16">
        <v>46215</v>
      </c>
      <c r="D1385">
        <v>6522.8000000000029</v>
      </c>
    </row>
    <row r="1386" spans="1:4" x14ac:dyDescent="0.3">
      <c r="A1386" t="s">
        <v>33</v>
      </c>
      <c r="C1386" s="16">
        <v>46215</v>
      </c>
      <c r="D1386">
        <v>24085.559999999998</v>
      </c>
    </row>
    <row r="1387" spans="1:4" x14ac:dyDescent="0.3">
      <c r="A1387" t="s">
        <v>34</v>
      </c>
      <c r="C1387" s="16">
        <v>46215</v>
      </c>
      <c r="D1387">
        <v>345</v>
      </c>
    </row>
    <row r="1388" spans="1:4" x14ac:dyDescent="0.3">
      <c r="A1388" t="s">
        <v>35</v>
      </c>
      <c r="C1388" s="16">
        <v>46215</v>
      </c>
      <c r="D1388">
        <v>31900.120000000003</v>
      </c>
    </row>
    <row r="1389" spans="1:4" x14ac:dyDescent="0.3">
      <c r="A1389" t="s">
        <v>17</v>
      </c>
      <c r="C1389" s="16">
        <v>46216</v>
      </c>
      <c r="D1389">
        <v>4163755.7500000005</v>
      </c>
    </row>
    <row r="1390" spans="1:4" x14ac:dyDescent="0.3">
      <c r="A1390" t="s">
        <v>18</v>
      </c>
      <c r="C1390" s="16">
        <v>46216</v>
      </c>
      <c r="D1390">
        <v>73157.680000000168</v>
      </c>
    </row>
    <row r="1391" spans="1:4" x14ac:dyDescent="0.3">
      <c r="A1391" t="s">
        <v>19</v>
      </c>
      <c r="C1391" s="16">
        <v>46216</v>
      </c>
      <c r="D1391">
        <v>1669.89</v>
      </c>
    </row>
    <row r="1392" spans="1:4" x14ac:dyDescent="0.3">
      <c r="A1392" t="s">
        <v>20</v>
      </c>
      <c r="C1392" s="16">
        <v>46216</v>
      </c>
      <c r="D1392">
        <v>290141.62999999989</v>
      </c>
    </row>
    <row r="1393" spans="1:4" x14ac:dyDescent="0.3">
      <c r="A1393" t="s">
        <v>21</v>
      </c>
      <c r="C1393" s="16">
        <v>46216</v>
      </c>
      <c r="D1393">
        <v>1921752.2699999993</v>
      </c>
    </row>
    <row r="1394" spans="1:4" x14ac:dyDescent="0.3">
      <c r="A1394" t="s">
        <v>22</v>
      </c>
      <c r="C1394" s="16">
        <v>46216</v>
      </c>
      <c r="D1394">
        <v>200496.38</v>
      </c>
    </row>
    <row r="1395" spans="1:4" x14ac:dyDescent="0.3">
      <c r="A1395" t="s">
        <v>23</v>
      </c>
      <c r="C1395" s="16">
        <v>46216</v>
      </c>
      <c r="D1395">
        <v>88090.37</v>
      </c>
    </row>
    <row r="1396" spans="1:4" x14ac:dyDescent="0.3">
      <c r="A1396" t="s">
        <v>24</v>
      </c>
      <c r="C1396" s="16">
        <v>46216</v>
      </c>
      <c r="D1396">
        <v>14580.45</v>
      </c>
    </row>
    <row r="1397" spans="1:4" x14ac:dyDescent="0.3">
      <c r="A1397" t="s">
        <v>25</v>
      </c>
      <c r="C1397" s="16">
        <v>46216</v>
      </c>
      <c r="D1397">
        <v>54.400000000000006</v>
      </c>
    </row>
    <row r="1398" spans="1:4" x14ac:dyDescent="0.3">
      <c r="A1398" t="s">
        <v>26</v>
      </c>
      <c r="C1398" s="16">
        <v>46216</v>
      </c>
      <c r="D1398">
        <v>2207.8200000000002</v>
      </c>
    </row>
    <row r="1399" spans="1:4" x14ac:dyDescent="0.3">
      <c r="A1399" t="s">
        <v>27</v>
      </c>
      <c r="C1399" s="16">
        <v>46216</v>
      </c>
      <c r="D1399">
        <v>1454589.72</v>
      </c>
    </row>
    <row r="1400" spans="1:4" x14ac:dyDescent="0.3">
      <c r="A1400" t="s">
        <v>28</v>
      </c>
      <c r="C1400" s="16">
        <v>46216</v>
      </c>
      <c r="D1400">
        <v>1968.99</v>
      </c>
    </row>
    <row r="1401" spans="1:4" x14ac:dyDescent="0.3">
      <c r="A1401" t="s">
        <v>29</v>
      </c>
      <c r="C1401" s="16">
        <v>46216</v>
      </c>
      <c r="D1401">
        <v>901.34</v>
      </c>
    </row>
    <row r="1402" spans="1:4" x14ac:dyDescent="0.3">
      <c r="A1402" t="s">
        <v>30</v>
      </c>
      <c r="C1402" s="16">
        <v>46216</v>
      </c>
      <c r="D1402">
        <v>1412.08</v>
      </c>
    </row>
    <row r="1403" spans="1:4" x14ac:dyDescent="0.3">
      <c r="A1403" t="s">
        <v>31</v>
      </c>
      <c r="C1403" s="16">
        <v>46216</v>
      </c>
      <c r="D1403">
        <v>22496.639999999959</v>
      </c>
    </row>
    <row r="1404" spans="1:4" x14ac:dyDescent="0.3">
      <c r="A1404" t="s">
        <v>32</v>
      </c>
      <c r="C1404" s="16">
        <v>46216</v>
      </c>
      <c r="D1404">
        <v>6522.8000000000029</v>
      </c>
    </row>
    <row r="1405" spans="1:4" x14ac:dyDescent="0.3">
      <c r="A1405" t="s">
        <v>33</v>
      </c>
      <c r="C1405" s="16">
        <v>46216</v>
      </c>
      <c r="D1405">
        <v>24085.559999999998</v>
      </c>
    </row>
    <row r="1406" spans="1:4" x14ac:dyDescent="0.3">
      <c r="A1406" t="s">
        <v>34</v>
      </c>
      <c r="C1406" s="16">
        <v>46216</v>
      </c>
      <c r="D1406">
        <v>345</v>
      </c>
    </row>
    <row r="1407" spans="1:4" x14ac:dyDescent="0.3">
      <c r="A1407" t="s">
        <v>35</v>
      </c>
      <c r="C1407" s="16">
        <v>46216</v>
      </c>
      <c r="D1407">
        <v>25198.240000000002</v>
      </c>
    </row>
    <row r="1408" spans="1:4" x14ac:dyDescent="0.3">
      <c r="A1408" t="s">
        <v>17</v>
      </c>
      <c r="C1408" s="16">
        <v>46217</v>
      </c>
      <c r="D1408">
        <v>3363755.7500000005</v>
      </c>
    </row>
    <row r="1409" spans="1:4" x14ac:dyDescent="0.3">
      <c r="A1409" t="s">
        <v>18</v>
      </c>
      <c r="C1409" s="16">
        <v>46217</v>
      </c>
      <c r="D1409">
        <v>73157.680000000168</v>
      </c>
    </row>
    <row r="1410" spans="1:4" x14ac:dyDescent="0.3">
      <c r="A1410" t="s">
        <v>19</v>
      </c>
      <c r="C1410" s="16">
        <v>46217</v>
      </c>
      <c r="D1410">
        <v>1669.89</v>
      </c>
    </row>
    <row r="1411" spans="1:4" x14ac:dyDescent="0.3">
      <c r="A1411" t="s">
        <v>20</v>
      </c>
      <c r="C1411" s="16">
        <v>46217</v>
      </c>
      <c r="D1411">
        <v>1090141.6299999999</v>
      </c>
    </row>
    <row r="1412" spans="1:4" x14ac:dyDescent="0.3">
      <c r="A1412" t="s">
        <v>21</v>
      </c>
      <c r="C1412" s="16">
        <v>46217</v>
      </c>
      <c r="D1412">
        <v>1856542.8899999992</v>
      </c>
    </row>
    <row r="1413" spans="1:4" x14ac:dyDescent="0.3">
      <c r="A1413" t="s">
        <v>22</v>
      </c>
      <c r="C1413" s="16">
        <v>46217</v>
      </c>
      <c r="D1413">
        <v>200496.38</v>
      </c>
    </row>
    <row r="1414" spans="1:4" x14ac:dyDescent="0.3">
      <c r="A1414" t="s">
        <v>23</v>
      </c>
      <c r="C1414" s="16">
        <v>46217</v>
      </c>
      <c r="D1414">
        <v>88090.37</v>
      </c>
    </row>
    <row r="1415" spans="1:4" x14ac:dyDescent="0.3">
      <c r="A1415" t="s">
        <v>24</v>
      </c>
      <c r="C1415" s="16">
        <v>46217</v>
      </c>
      <c r="D1415">
        <v>14580.45</v>
      </c>
    </row>
    <row r="1416" spans="1:4" x14ac:dyDescent="0.3">
      <c r="A1416" t="s">
        <v>25</v>
      </c>
      <c r="C1416" s="16">
        <v>46217</v>
      </c>
      <c r="D1416">
        <v>54.400000000000006</v>
      </c>
    </row>
    <row r="1417" spans="1:4" x14ac:dyDescent="0.3">
      <c r="A1417" t="s">
        <v>26</v>
      </c>
      <c r="C1417" s="16">
        <v>46217</v>
      </c>
      <c r="D1417">
        <v>2207.8200000000002</v>
      </c>
    </row>
    <row r="1418" spans="1:4" x14ac:dyDescent="0.3">
      <c r="A1418" t="s">
        <v>27</v>
      </c>
      <c r="C1418" s="16">
        <v>46217</v>
      </c>
      <c r="D1418">
        <v>1454589.72</v>
      </c>
    </row>
    <row r="1419" spans="1:4" x14ac:dyDescent="0.3">
      <c r="A1419" t="s">
        <v>28</v>
      </c>
      <c r="C1419" s="16">
        <v>46217</v>
      </c>
      <c r="D1419">
        <v>1968.99</v>
      </c>
    </row>
    <row r="1420" spans="1:4" x14ac:dyDescent="0.3">
      <c r="A1420" t="s">
        <v>29</v>
      </c>
      <c r="C1420" s="16">
        <v>46217</v>
      </c>
      <c r="D1420">
        <v>901.34</v>
      </c>
    </row>
    <row r="1421" spans="1:4" x14ac:dyDescent="0.3">
      <c r="A1421" t="s">
        <v>30</v>
      </c>
      <c r="C1421" s="16">
        <v>46217</v>
      </c>
      <c r="D1421">
        <v>1412.08</v>
      </c>
    </row>
    <row r="1422" spans="1:4" x14ac:dyDescent="0.3">
      <c r="A1422" t="s">
        <v>31</v>
      </c>
      <c r="C1422" s="16">
        <v>46217</v>
      </c>
      <c r="D1422">
        <v>22347.56999999996</v>
      </c>
    </row>
    <row r="1423" spans="1:4" x14ac:dyDescent="0.3">
      <c r="A1423" t="s">
        <v>32</v>
      </c>
      <c r="C1423" s="16">
        <v>46217</v>
      </c>
      <c r="D1423">
        <v>6522.8000000000029</v>
      </c>
    </row>
    <row r="1424" spans="1:4" x14ac:dyDescent="0.3">
      <c r="A1424" t="s">
        <v>33</v>
      </c>
      <c r="C1424" s="16">
        <v>46217</v>
      </c>
      <c r="D1424">
        <v>24085.559999999998</v>
      </c>
    </row>
    <row r="1425" spans="1:4" x14ac:dyDescent="0.3">
      <c r="A1425" t="s">
        <v>34</v>
      </c>
      <c r="C1425" s="16">
        <v>46217</v>
      </c>
      <c r="D1425">
        <v>345</v>
      </c>
    </row>
    <row r="1426" spans="1:4" x14ac:dyDescent="0.3">
      <c r="A1426" t="s">
        <v>35</v>
      </c>
      <c r="C1426" s="16">
        <v>46217</v>
      </c>
      <c r="D1426">
        <v>25198.240000000002</v>
      </c>
    </row>
    <row r="1427" spans="1:4" x14ac:dyDescent="0.3">
      <c r="A1427" t="s">
        <v>17</v>
      </c>
      <c r="C1427" s="16">
        <v>46218</v>
      </c>
      <c r="D1427">
        <v>3363755.7500000005</v>
      </c>
    </row>
    <row r="1428" spans="1:4" x14ac:dyDescent="0.3">
      <c r="A1428" t="s">
        <v>18</v>
      </c>
      <c r="C1428" s="16">
        <v>46218</v>
      </c>
      <c r="D1428">
        <v>73157.680000000168</v>
      </c>
    </row>
    <row r="1429" spans="1:4" x14ac:dyDescent="0.3">
      <c r="A1429" t="s">
        <v>19</v>
      </c>
      <c r="C1429" s="16">
        <v>46218</v>
      </c>
      <c r="D1429">
        <v>1669.89</v>
      </c>
    </row>
    <row r="1430" spans="1:4" x14ac:dyDescent="0.3">
      <c r="A1430" t="s">
        <v>20</v>
      </c>
      <c r="C1430" s="16">
        <v>46218</v>
      </c>
      <c r="D1430">
        <v>1089804.7499999998</v>
      </c>
    </row>
    <row r="1431" spans="1:4" x14ac:dyDescent="0.3">
      <c r="A1431" t="s">
        <v>21</v>
      </c>
      <c r="C1431" s="16">
        <v>46218</v>
      </c>
      <c r="D1431">
        <v>1856513.4499999993</v>
      </c>
    </row>
    <row r="1432" spans="1:4" x14ac:dyDescent="0.3">
      <c r="A1432" t="s">
        <v>22</v>
      </c>
      <c r="C1432" s="16">
        <v>46218</v>
      </c>
      <c r="D1432">
        <v>200496.38</v>
      </c>
    </row>
    <row r="1433" spans="1:4" x14ac:dyDescent="0.3">
      <c r="A1433" t="s">
        <v>23</v>
      </c>
      <c r="C1433" s="16">
        <v>46218</v>
      </c>
      <c r="D1433">
        <v>88090.37</v>
      </c>
    </row>
    <row r="1434" spans="1:4" x14ac:dyDescent="0.3">
      <c r="A1434" t="s">
        <v>24</v>
      </c>
      <c r="C1434" s="16">
        <v>46218</v>
      </c>
      <c r="D1434">
        <v>14580.45</v>
      </c>
    </row>
    <row r="1435" spans="1:4" x14ac:dyDescent="0.3">
      <c r="A1435" t="s">
        <v>25</v>
      </c>
      <c r="C1435" s="16">
        <v>46218</v>
      </c>
      <c r="D1435">
        <v>54.400000000000006</v>
      </c>
    </row>
    <row r="1436" spans="1:4" x14ac:dyDescent="0.3">
      <c r="A1436" t="s">
        <v>26</v>
      </c>
      <c r="C1436" s="16">
        <v>46218</v>
      </c>
      <c r="D1436">
        <v>2207.8200000000002</v>
      </c>
    </row>
    <row r="1437" spans="1:4" x14ac:dyDescent="0.3">
      <c r="A1437" t="s">
        <v>27</v>
      </c>
      <c r="C1437" s="16">
        <v>46218</v>
      </c>
      <c r="D1437">
        <v>1454589.72</v>
      </c>
    </row>
    <row r="1438" spans="1:4" x14ac:dyDescent="0.3">
      <c r="A1438" t="s">
        <v>28</v>
      </c>
      <c r="C1438" s="16">
        <v>46218</v>
      </c>
      <c r="D1438">
        <v>1968.99</v>
      </c>
    </row>
    <row r="1439" spans="1:4" x14ac:dyDescent="0.3">
      <c r="A1439" t="s">
        <v>29</v>
      </c>
      <c r="C1439" s="16">
        <v>46218</v>
      </c>
      <c r="D1439">
        <v>901.34</v>
      </c>
    </row>
    <row r="1440" spans="1:4" x14ac:dyDescent="0.3">
      <c r="A1440" t="s">
        <v>30</v>
      </c>
      <c r="C1440" s="16">
        <v>46218</v>
      </c>
      <c r="D1440">
        <v>1412.08</v>
      </c>
    </row>
    <row r="1441" spans="1:4" x14ac:dyDescent="0.3">
      <c r="A1441" t="s">
        <v>31</v>
      </c>
      <c r="C1441" s="16">
        <v>46218</v>
      </c>
      <c r="D1441">
        <v>22347.56999999996</v>
      </c>
    </row>
    <row r="1442" spans="1:4" x14ac:dyDescent="0.3">
      <c r="A1442" t="s">
        <v>32</v>
      </c>
      <c r="C1442" s="16">
        <v>46218</v>
      </c>
      <c r="D1442">
        <v>6522.8000000000029</v>
      </c>
    </row>
    <row r="1443" spans="1:4" x14ac:dyDescent="0.3">
      <c r="A1443" t="s">
        <v>33</v>
      </c>
      <c r="C1443" s="16">
        <v>46218</v>
      </c>
      <c r="D1443">
        <v>24085.559999999998</v>
      </c>
    </row>
    <row r="1444" spans="1:4" x14ac:dyDescent="0.3">
      <c r="A1444" t="s">
        <v>34</v>
      </c>
      <c r="C1444" s="16">
        <v>46218</v>
      </c>
      <c r="D1444">
        <v>345</v>
      </c>
    </row>
    <row r="1445" spans="1:4" x14ac:dyDescent="0.3">
      <c r="A1445" t="s">
        <v>35</v>
      </c>
      <c r="C1445" s="16">
        <v>46218</v>
      </c>
      <c r="D1445">
        <v>25023.24</v>
      </c>
    </row>
    <row r="1446" spans="1:4" x14ac:dyDescent="0.3">
      <c r="A1446" t="s">
        <v>17</v>
      </c>
      <c r="C1446" s="16">
        <v>46219</v>
      </c>
      <c r="D1446">
        <v>3110339.0700000008</v>
      </c>
    </row>
    <row r="1447" spans="1:4" x14ac:dyDescent="0.3">
      <c r="A1447" t="s">
        <v>18</v>
      </c>
      <c r="C1447" s="16">
        <v>46219</v>
      </c>
      <c r="D1447">
        <v>73157.680000000168</v>
      </c>
    </row>
    <row r="1448" spans="1:4" x14ac:dyDescent="0.3">
      <c r="A1448" t="s">
        <v>19</v>
      </c>
      <c r="C1448" s="16">
        <v>46219</v>
      </c>
      <c r="D1448">
        <v>1669.89</v>
      </c>
    </row>
    <row r="1449" spans="1:4" x14ac:dyDescent="0.3">
      <c r="A1449" t="s">
        <v>20</v>
      </c>
      <c r="C1449" s="16">
        <v>46219</v>
      </c>
      <c r="D1449">
        <v>1029804.7499999998</v>
      </c>
    </row>
    <row r="1450" spans="1:4" x14ac:dyDescent="0.3">
      <c r="A1450" t="s">
        <v>21</v>
      </c>
      <c r="C1450" s="16">
        <v>46219</v>
      </c>
      <c r="D1450">
        <v>1678189.7499999995</v>
      </c>
    </row>
    <row r="1451" spans="1:4" x14ac:dyDescent="0.3">
      <c r="A1451" t="s">
        <v>22</v>
      </c>
      <c r="C1451" s="16">
        <v>46219</v>
      </c>
      <c r="D1451">
        <v>200496.38</v>
      </c>
    </row>
    <row r="1452" spans="1:4" x14ac:dyDescent="0.3">
      <c r="A1452" t="s">
        <v>23</v>
      </c>
      <c r="C1452" s="16">
        <v>46219</v>
      </c>
      <c r="D1452">
        <v>88090.37</v>
      </c>
    </row>
    <row r="1453" spans="1:4" x14ac:dyDescent="0.3">
      <c r="A1453" t="s">
        <v>24</v>
      </c>
      <c r="C1453" s="16">
        <v>46219</v>
      </c>
      <c r="D1453">
        <v>14580.45</v>
      </c>
    </row>
    <row r="1454" spans="1:4" x14ac:dyDescent="0.3">
      <c r="A1454" t="s">
        <v>25</v>
      </c>
      <c r="C1454" s="16">
        <v>46219</v>
      </c>
      <c r="D1454">
        <v>54.400000000000006</v>
      </c>
    </row>
    <row r="1455" spans="1:4" x14ac:dyDescent="0.3">
      <c r="A1455" t="s">
        <v>26</v>
      </c>
      <c r="C1455" s="16">
        <v>46219</v>
      </c>
      <c r="D1455">
        <v>2207.8200000000002</v>
      </c>
    </row>
    <row r="1456" spans="1:4" x14ac:dyDescent="0.3">
      <c r="A1456" t="s">
        <v>27</v>
      </c>
      <c r="C1456" s="16">
        <v>46219</v>
      </c>
      <c r="D1456">
        <v>1454589.72</v>
      </c>
    </row>
    <row r="1457" spans="1:4" x14ac:dyDescent="0.3">
      <c r="A1457" t="s">
        <v>28</v>
      </c>
      <c r="C1457" s="16">
        <v>46219</v>
      </c>
      <c r="D1457">
        <v>1968.99</v>
      </c>
    </row>
    <row r="1458" spans="1:4" x14ac:dyDescent="0.3">
      <c r="A1458" t="s">
        <v>29</v>
      </c>
      <c r="C1458" s="16">
        <v>46219</v>
      </c>
      <c r="D1458">
        <v>901.34</v>
      </c>
    </row>
    <row r="1459" spans="1:4" x14ac:dyDescent="0.3">
      <c r="A1459" t="s">
        <v>30</v>
      </c>
      <c r="C1459" s="16">
        <v>46219</v>
      </c>
      <c r="D1459">
        <v>1412.08</v>
      </c>
    </row>
    <row r="1460" spans="1:4" x14ac:dyDescent="0.3">
      <c r="A1460" t="s">
        <v>31</v>
      </c>
      <c r="C1460" s="16">
        <v>46219</v>
      </c>
      <c r="D1460">
        <v>22347.56999999996</v>
      </c>
    </row>
    <row r="1461" spans="1:4" x14ac:dyDescent="0.3">
      <c r="A1461" t="s">
        <v>32</v>
      </c>
      <c r="C1461" s="16">
        <v>46219</v>
      </c>
      <c r="D1461">
        <v>3522.8000000000029</v>
      </c>
    </row>
    <row r="1462" spans="1:4" x14ac:dyDescent="0.3">
      <c r="A1462" t="s">
        <v>33</v>
      </c>
      <c r="C1462" s="16">
        <v>46219</v>
      </c>
      <c r="D1462">
        <v>24085.559999999998</v>
      </c>
    </row>
    <row r="1463" spans="1:4" x14ac:dyDescent="0.3">
      <c r="A1463" t="s">
        <v>34</v>
      </c>
      <c r="C1463" s="16">
        <v>46219</v>
      </c>
      <c r="D1463">
        <v>345</v>
      </c>
    </row>
    <row r="1464" spans="1:4" x14ac:dyDescent="0.3">
      <c r="A1464" t="s">
        <v>35</v>
      </c>
      <c r="C1464" s="16">
        <v>46219</v>
      </c>
      <c r="D1464">
        <v>23978.850000000002</v>
      </c>
    </row>
    <row r="1465" spans="1:4" x14ac:dyDescent="0.3">
      <c r="A1465" t="s">
        <v>17</v>
      </c>
      <c r="C1465" s="16">
        <v>46220</v>
      </c>
      <c r="D1465">
        <v>3110339.0700000008</v>
      </c>
    </row>
    <row r="1466" spans="1:4" x14ac:dyDescent="0.3">
      <c r="A1466" t="s">
        <v>18</v>
      </c>
      <c r="C1466" s="16">
        <v>46220</v>
      </c>
      <c r="D1466">
        <v>73157.680000000168</v>
      </c>
    </row>
    <row r="1467" spans="1:4" x14ac:dyDescent="0.3">
      <c r="A1467" t="s">
        <v>19</v>
      </c>
      <c r="C1467" s="16">
        <v>46220</v>
      </c>
      <c r="D1467">
        <v>1669.89</v>
      </c>
    </row>
    <row r="1468" spans="1:4" x14ac:dyDescent="0.3">
      <c r="A1468" t="s">
        <v>20</v>
      </c>
      <c r="C1468" s="16">
        <v>46220</v>
      </c>
      <c r="D1468">
        <v>1029804.7499999998</v>
      </c>
    </row>
    <row r="1469" spans="1:4" x14ac:dyDescent="0.3">
      <c r="A1469" t="s">
        <v>21</v>
      </c>
      <c r="C1469" s="16">
        <v>46220</v>
      </c>
      <c r="D1469">
        <v>1748189.7499999995</v>
      </c>
    </row>
    <row r="1470" spans="1:4" x14ac:dyDescent="0.3">
      <c r="A1470" t="s">
        <v>22</v>
      </c>
      <c r="C1470" s="16">
        <v>46220</v>
      </c>
      <c r="D1470">
        <v>200496.38</v>
      </c>
    </row>
    <row r="1471" spans="1:4" x14ac:dyDescent="0.3">
      <c r="A1471" t="s">
        <v>23</v>
      </c>
      <c r="C1471" s="16">
        <v>46220</v>
      </c>
      <c r="D1471">
        <v>88090.37</v>
      </c>
    </row>
    <row r="1472" spans="1:4" x14ac:dyDescent="0.3">
      <c r="A1472" t="s">
        <v>24</v>
      </c>
      <c r="C1472" s="16">
        <v>46220</v>
      </c>
      <c r="D1472">
        <v>14580.45</v>
      </c>
    </row>
    <row r="1473" spans="1:4" x14ac:dyDescent="0.3">
      <c r="A1473" t="s">
        <v>25</v>
      </c>
      <c r="C1473" s="16">
        <v>46220</v>
      </c>
      <c r="D1473">
        <v>54.400000000000006</v>
      </c>
    </row>
    <row r="1474" spans="1:4" x14ac:dyDescent="0.3">
      <c r="A1474" t="s">
        <v>26</v>
      </c>
      <c r="C1474" s="16">
        <v>46220</v>
      </c>
      <c r="D1474">
        <v>2207.8200000000002</v>
      </c>
    </row>
    <row r="1475" spans="1:4" x14ac:dyDescent="0.3">
      <c r="A1475" t="s">
        <v>27</v>
      </c>
      <c r="C1475" s="16">
        <v>46220</v>
      </c>
      <c r="D1475">
        <v>1454589.72</v>
      </c>
    </row>
    <row r="1476" spans="1:4" x14ac:dyDescent="0.3">
      <c r="A1476" t="s">
        <v>28</v>
      </c>
      <c r="C1476" s="16">
        <v>46220</v>
      </c>
      <c r="D1476">
        <v>1968.99</v>
      </c>
    </row>
    <row r="1477" spans="1:4" x14ac:dyDescent="0.3">
      <c r="A1477" t="s">
        <v>29</v>
      </c>
      <c r="C1477" s="16">
        <v>46220</v>
      </c>
      <c r="D1477">
        <v>901.34</v>
      </c>
    </row>
    <row r="1478" spans="1:4" x14ac:dyDescent="0.3">
      <c r="A1478" t="s">
        <v>30</v>
      </c>
      <c r="C1478" s="16">
        <v>46220</v>
      </c>
      <c r="D1478">
        <v>1412.08</v>
      </c>
    </row>
    <row r="1479" spans="1:4" x14ac:dyDescent="0.3">
      <c r="A1479" t="s">
        <v>31</v>
      </c>
      <c r="C1479" s="16">
        <v>46220</v>
      </c>
      <c r="D1479">
        <v>22347.56999999996</v>
      </c>
    </row>
    <row r="1480" spans="1:4" x14ac:dyDescent="0.3">
      <c r="A1480" t="s">
        <v>32</v>
      </c>
      <c r="C1480" s="16">
        <v>46220</v>
      </c>
      <c r="D1480">
        <v>3522.8000000000029</v>
      </c>
    </row>
    <row r="1481" spans="1:4" x14ac:dyDescent="0.3">
      <c r="A1481" t="s">
        <v>33</v>
      </c>
      <c r="C1481" s="16">
        <v>46220</v>
      </c>
      <c r="D1481">
        <v>24085.559999999998</v>
      </c>
    </row>
    <row r="1482" spans="1:4" x14ac:dyDescent="0.3">
      <c r="A1482" t="s">
        <v>34</v>
      </c>
      <c r="C1482" s="16">
        <v>46220</v>
      </c>
      <c r="D1482">
        <v>345</v>
      </c>
    </row>
    <row r="1483" spans="1:4" x14ac:dyDescent="0.3">
      <c r="A1483" t="s">
        <v>35</v>
      </c>
      <c r="C1483" s="16">
        <v>46220</v>
      </c>
      <c r="D1483">
        <v>16230.620000000003</v>
      </c>
    </row>
    <row r="1484" spans="1:4" x14ac:dyDescent="0.3">
      <c r="A1484" t="s">
        <v>17</v>
      </c>
      <c r="C1484" s="16">
        <v>46221</v>
      </c>
      <c r="D1484">
        <v>3110339.0700000008</v>
      </c>
    </row>
    <row r="1485" spans="1:4" x14ac:dyDescent="0.3">
      <c r="A1485" t="s">
        <v>18</v>
      </c>
      <c r="C1485" s="16">
        <v>46221</v>
      </c>
      <c r="D1485">
        <v>73157.680000000168</v>
      </c>
    </row>
    <row r="1486" spans="1:4" x14ac:dyDescent="0.3">
      <c r="A1486" t="s">
        <v>19</v>
      </c>
      <c r="C1486" s="16">
        <v>46221</v>
      </c>
      <c r="D1486">
        <v>1669.89</v>
      </c>
    </row>
    <row r="1487" spans="1:4" x14ac:dyDescent="0.3">
      <c r="A1487" t="s">
        <v>20</v>
      </c>
      <c r="C1487" s="16">
        <v>46221</v>
      </c>
      <c r="D1487">
        <v>1029804.7499999998</v>
      </c>
    </row>
    <row r="1488" spans="1:4" x14ac:dyDescent="0.3">
      <c r="A1488" t="s">
        <v>21</v>
      </c>
      <c r="C1488" s="16">
        <v>46221</v>
      </c>
      <c r="D1488">
        <v>1748189.7499999995</v>
      </c>
    </row>
    <row r="1489" spans="1:4" x14ac:dyDescent="0.3">
      <c r="A1489" t="s">
        <v>22</v>
      </c>
      <c r="C1489" s="16">
        <v>46221</v>
      </c>
      <c r="D1489">
        <v>200496.38</v>
      </c>
    </row>
    <row r="1490" spans="1:4" x14ac:dyDescent="0.3">
      <c r="A1490" t="s">
        <v>23</v>
      </c>
      <c r="C1490" s="16">
        <v>46221</v>
      </c>
      <c r="D1490">
        <v>88090.37</v>
      </c>
    </row>
    <row r="1491" spans="1:4" x14ac:dyDescent="0.3">
      <c r="A1491" t="s">
        <v>24</v>
      </c>
      <c r="C1491" s="16">
        <v>46221</v>
      </c>
      <c r="D1491">
        <v>14580.45</v>
      </c>
    </row>
    <row r="1492" spans="1:4" x14ac:dyDescent="0.3">
      <c r="A1492" t="s">
        <v>25</v>
      </c>
      <c r="C1492" s="16">
        <v>46221</v>
      </c>
      <c r="D1492">
        <v>54.400000000000006</v>
      </c>
    </row>
    <row r="1493" spans="1:4" x14ac:dyDescent="0.3">
      <c r="A1493" t="s">
        <v>26</v>
      </c>
      <c r="C1493" s="16">
        <v>46221</v>
      </c>
      <c r="D1493">
        <v>2207.8200000000002</v>
      </c>
    </row>
    <row r="1494" spans="1:4" x14ac:dyDescent="0.3">
      <c r="A1494" t="s">
        <v>27</v>
      </c>
      <c r="C1494" s="16">
        <v>46221</v>
      </c>
      <c r="D1494">
        <v>1454589.72</v>
      </c>
    </row>
    <row r="1495" spans="1:4" x14ac:dyDescent="0.3">
      <c r="A1495" t="s">
        <v>28</v>
      </c>
      <c r="C1495" s="16">
        <v>46221</v>
      </c>
      <c r="D1495">
        <v>1968.99</v>
      </c>
    </row>
    <row r="1496" spans="1:4" x14ac:dyDescent="0.3">
      <c r="A1496" t="s">
        <v>29</v>
      </c>
      <c r="C1496" s="16">
        <v>46221</v>
      </c>
      <c r="D1496">
        <v>901.34</v>
      </c>
    </row>
    <row r="1497" spans="1:4" x14ac:dyDescent="0.3">
      <c r="A1497" t="s">
        <v>30</v>
      </c>
      <c r="C1497" s="16">
        <v>46221</v>
      </c>
      <c r="D1497">
        <v>1412.08</v>
      </c>
    </row>
    <row r="1498" spans="1:4" x14ac:dyDescent="0.3">
      <c r="A1498" t="s">
        <v>31</v>
      </c>
      <c r="C1498" s="16">
        <v>46221</v>
      </c>
      <c r="D1498">
        <v>22347.56999999996</v>
      </c>
    </row>
    <row r="1499" spans="1:4" x14ac:dyDescent="0.3">
      <c r="A1499" t="s">
        <v>32</v>
      </c>
      <c r="C1499" s="16">
        <v>46221</v>
      </c>
      <c r="D1499">
        <v>3522.8000000000029</v>
      </c>
    </row>
    <row r="1500" spans="1:4" x14ac:dyDescent="0.3">
      <c r="A1500" t="s">
        <v>33</v>
      </c>
      <c r="C1500" s="16">
        <v>46221</v>
      </c>
      <c r="D1500">
        <v>24085.559999999998</v>
      </c>
    </row>
    <row r="1501" spans="1:4" x14ac:dyDescent="0.3">
      <c r="A1501" t="s">
        <v>34</v>
      </c>
      <c r="C1501" s="16">
        <v>46221</v>
      </c>
      <c r="D1501">
        <v>345</v>
      </c>
    </row>
    <row r="1502" spans="1:4" x14ac:dyDescent="0.3">
      <c r="A1502" t="s">
        <v>35</v>
      </c>
      <c r="C1502" s="16">
        <v>46221</v>
      </c>
      <c r="D1502">
        <v>16230.620000000003</v>
      </c>
    </row>
    <row r="1503" spans="1:4" x14ac:dyDescent="0.3">
      <c r="A1503" t="s">
        <v>17</v>
      </c>
      <c r="C1503" s="16">
        <v>46222</v>
      </c>
      <c r="D1503">
        <v>3110339.0700000008</v>
      </c>
    </row>
    <row r="1504" spans="1:4" x14ac:dyDescent="0.3">
      <c r="A1504" t="s">
        <v>18</v>
      </c>
      <c r="C1504" s="16">
        <v>46222</v>
      </c>
      <c r="D1504">
        <v>73157.680000000168</v>
      </c>
    </row>
    <row r="1505" spans="1:4" x14ac:dyDescent="0.3">
      <c r="A1505" t="s">
        <v>19</v>
      </c>
      <c r="C1505" s="16">
        <v>46222</v>
      </c>
      <c r="D1505">
        <v>1669.89</v>
      </c>
    </row>
    <row r="1506" spans="1:4" x14ac:dyDescent="0.3">
      <c r="A1506" t="s">
        <v>20</v>
      </c>
      <c r="C1506" s="16">
        <v>46222</v>
      </c>
      <c r="D1506">
        <v>1029804.7499999998</v>
      </c>
    </row>
    <row r="1507" spans="1:4" x14ac:dyDescent="0.3">
      <c r="A1507" t="s">
        <v>21</v>
      </c>
      <c r="C1507" s="16">
        <v>46222</v>
      </c>
      <c r="D1507">
        <v>1748189.7499999995</v>
      </c>
    </row>
    <row r="1508" spans="1:4" x14ac:dyDescent="0.3">
      <c r="A1508" t="s">
        <v>22</v>
      </c>
      <c r="C1508" s="16">
        <v>46222</v>
      </c>
      <c r="D1508">
        <v>200496.38</v>
      </c>
    </row>
    <row r="1509" spans="1:4" x14ac:dyDescent="0.3">
      <c r="A1509" t="s">
        <v>23</v>
      </c>
      <c r="C1509" s="16">
        <v>46222</v>
      </c>
      <c r="D1509">
        <v>88090.37</v>
      </c>
    </row>
    <row r="1510" spans="1:4" x14ac:dyDescent="0.3">
      <c r="A1510" t="s">
        <v>24</v>
      </c>
      <c r="C1510" s="16">
        <v>46222</v>
      </c>
      <c r="D1510">
        <v>14580.45</v>
      </c>
    </row>
    <row r="1511" spans="1:4" x14ac:dyDescent="0.3">
      <c r="A1511" t="s">
        <v>25</v>
      </c>
      <c r="C1511" s="16">
        <v>46222</v>
      </c>
      <c r="D1511">
        <v>54.400000000000006</v>
      </c>
    </row>
    <row r="1512" spans="1:4" x14ac:dyDescent="0.3">
      <c r="A1512" t="s">
        <v>26</v>
      </c>
      <c r="C1512" s="16">
        <v>46222</v>
      </c>
      <c r="D1512">
        <v>2207.8200000000002</v>
      </c>
    </row>
    <row r="1513" spans="1:4" x14ac:dyDescent="0.3">
      <c r="A1513" t="s">
        <v>27</v>
      </c>
      <c r="C1513" s="16">
        <v>46222</v>
      </c>
      <c r="D1513">
        <v>1454589.72</v>
      </c>
    </row>
    <row r="1514" spans="1:4" x14ac:dyDescent="0.3">
      <c r="A1514" t="s">
        <v>28</v>
      </c>
      <c r="C1514" s="16">
        <v>46222</v>
      </c>
      <c r="D1514">
        <v>1968.99</v>
      </c>
    </row>
    <row r="1515" spans="1:4" x14ac:dyDescent="0.3">
      <c r="A1515" t="s">
        <v>29</v>
      </c>
      <c r="C1515" s="16">
        <v>46222</v>
      </c>
      <c r="D1515">
        <v>901.34</v>
      </c>
    </row>
    <row r="1516" spans="1:4" x14ac:dyDescent="0.3">
      <c r="A1516" t="s">
        <v>30</v>
      </c>
      <c r="C1516" s="16">
        <v>46222</v>
      </c>
      <c r="D1516">
        <v>1412.08</v>
      </c>
    </row>
    <row r="1517" spans="1:4" x14ac:dyDescent="0.3">
      <c r="A1517" t="s">
        <v>31</v>
      </c>
      <c r="C1517" s="16">
        <v>46222</v>
      </c>
      <c r="D1517">
        <v>22347.56999999996</v>
      </c>
    </row>
    <row r="1518" spans="1:4" x14ac:dyDescent="0.3">
      <c r="A1518" t="s">
        <v>32</v>
      </c>
      <c r="C1518" s="16">
        <v>46222</v>
      </c>
      <c r="D1518">
        <v>3522.8000000000029</v>
      </c>
    </row>
    <row r="1519" spans="1:4" x14ac:dyDescent="0.3">
      <c r="A1519" t="s">
        <v>33</v>
      </c>
      <c r="C1519" s="16">
        <v>46222</v>
      </c>
      <c r="D1519">
        <v>24085.559999999998</v>
      </c>
    </row>
    <row r="1520" spans="1:4" x14ac:dyDescent="0.3">
      <c r="A1520" t="s">
        <v>34</v>
      </c>
      <c r="C1520" s="16">
        <v>46222</v>
      </c>
      <c r="D1520">
        <v>345</v>
      </c>
    </row>
    <row r="1521" spans="1:4" x14ac:dyDescent="0.3">
      <c r="A1521" t="s">
        <v>35</v>
      </c>
      <c r="C1521" s="16">
        <v>46222</v>
      </c>
      <c r="D1521">
        <v>16230.620000000003</v>
      </c>
    </row>
    <row r="1522" spans="1:4" x14ac:dyDescent="0.3">
      <c r="A1522" t="s">
        <v>17</v>
      </c>
      <c r="C1522" s="16">
        <v>46223</v>
      </c>
      <c r="D1522">
        <v>3110339.0700000008</v>
      </c>
    </row>
    <row r="1523" spans="1:4" x14ac:dyDescent="0.3">
      <c r="A1523" t="s">
        <v>18</v>
      </c>
      <c r="C1523" s="16">
        <v>46223</v>
      </c>
      <c r="D1523">
        <v>73157.680000000168</v>
      </c>
    </row>
    <row r="1524" spans="1:4" x14ac:dyDescent="0.3">
      <c r="A1524" t="s">
        <v>19</v>
      </c>
      <c r="C1524" s="16">
        <v>46223</v>
      </c>
      <c r="D1524">
        <v>1669.89</v>
      </c>
    </row>
    <row r="1525" spans="1:4" x14ac:dyDescent="0.3">
      <c r="A1525" t="s">
        <v>20</v>
      </c>
      <c r="C1525" s="16">
        <v>46223</v>
      </c>
      <c r="D1525">
        <v>1029804.7499999998</v>
      </c>
    </row>
    <row r="1526" spans="1:4" x14ac:dyDescent="0.3">
      <c r="A1526" t="s">
        <v>21</v>
      </c>
      <c r="C1526" s="16">
        <v>46223</v>
      </c>
      <c r="D1526">
        <v>1744257.8699999994</v>
      </c>
    </row>
    <row r="1527" spans="1:4" x14ac:dyDescent="0.3">
      <c r="A1527" t="s">
        <v>22</v>
      </c>
      <c r="C1527" s="16">
        <v>46223</v>
      </c>
      <c r="D1527">
        <v>200496.38</v>
      </c>
    </row>
    <row r="1528" spans="1:4" x14ac:dyDescent="0.3">
      <c r="A1528" t="s">
        <v>23</v>
      </c>
      <c r="C1528" s="16">
        <v>46223</v>
      </c>
      <c r="D1528">
        <v>88090.37</v>
      </c>
    </row>
    <row r="1529" spans="1:4" x14ac:dyDescent="0.3">
      <c r="A1529" t="s">
        <v>24</v>
      </c>
      <c r="C1529" s="16">
        <v>46223</v>
      </c>
      <c r="D1529">
        <v>14580.45</v>
      </c>
    </row>
    <row r="1530" spans="1:4" x14ac:dyDescent="0.3">
      <c r="A1530" t="s">
        <v>25</v>
      </c>
      <c r="C1530" s="16">
        <v>46223</v>
      </c>
      <c r="D1530">
        <v>54.400000000000006</v>
      </c>
    </row>
    <row r="1531" spans="1:4" x14ac:dyDescent="0.3">
      <c r="A1531" t="s">
        <v>26</v>
      </c>
      <c r="C1531" s="16">
        <v>46223</v>
      </c>
      <c r="D1531">
        <v>2207.8200000000002</v>
      </c>
    </row>
    <row r="1532" spans="1:4" x14ac:dyDescent="0.3">
      <c r="A1532" t="s">
        <v>27</v>
      </c>
      <c r="C1532" s="16">
        <v>46223</v>
      </c>
      <c r="D1532">
        <v>1454589.72</v>
      </c>
    </row>
    <row r="1533" spans="1:4" x14ac:dyDescent="0.3">
      <c r="A1533" t="s">
        <v>28</v>
      </c>
      <c r="C1533" s="16">
        <v>46223</v>
      </c>
      <c r="D1533">
        <v>1968.99</v>
      </c>
    </row>
    <row r="1534" spans="1:4" x14ac:dyDescent="0.3">
      <c r="A1534" t="s">
        <v>29</v>
      </c>
      <c r="C1534" s="16">
        <v>46223</v>
      </c>
      <c r="D1534">
        <v>901.34</v>
      </c>
    </row>
    <row r="1535" spans="1:4" x14ac:dyDescent="0.3">
      <c r="A1535" t="s">
        <v>30</v>
      </c>
      <c r="C1535" s="16">
        <v>46223</v>
      </c>
      <c r="D1535">
        <v>1412.08</v>
      </c>
    </row>
    <row r="1536" spans="1:4" x14ac:dyDescent="0.3">
      <c r="A1536" t="s">
        <v>31</v>
      </c>
      <c r="C1536" s="16">
        <v>46223</v>
      </c>
      <c r="D1536">
        <v>22347.56999999996</v>
      </c>
    </row>
    <row r="1537" spans="1:4" x14ac:dyDescent="0.3">
      <c r="A1537" t="s">
        <v>32</v>
      </c>
      <c r="C1537" s="16">
        <v>46223</v>
      </c>
      <c r="D1537">
        <v>3522.8000000000029</v>
      </c>
    </row>
    <row r="1538" spans="1:4" x14ac:dyDescent="0.3">
      <c r="A1538" t="s">
        <v>33</v>
      </c>
      <c r="C1538" s="16">
        <v>46223</v>
      </c>
      <c r="D1538">
        <v>24085.559999999998</v>
      </c>
    </row>
    <row r="1539" spans="1:4" x14ac:dyDescent="0.3">
      <c r="A1539" t="s">
        <v>34</v>
      </c>
      <c r="C1539" s="16">
        <v>46223</v>
      </c>
      <c r="D1539">
        <v>345</v>
      </c>
    </row>
    <row r="1540" spans="1:4" x14ac:dyDescent="0.3">
      <c r="A1540" t="s">
        <v>35</v>
      </c>
      <c r="C1540" s="16">
        <v>46223</v>
      </c>
      <c r="D1540">
        <v>14097.480000000003</v>
      </c>
    </row>
    <row r="1541" spans="1:4" x14ac:dyDescent="0.3">
      <c r="A1541" t="s">
        <v>17</v>
      </c>
      <c r="C1541" s="16">
        <v>46224</v>
      </c>
      <c r="D1541">
        <v>3110339.0700000008</v>
      </c>
    </row>
    <row r="1542" spans="1:4" x14ac:dyDescent="0.3">
      <c r="A1542" t="s">
        <v>18</v>
      </c>
      <c r="C1542" s="16">
        <v>46224</v>
      </c>
      <c r="D1542">
        <v>73157.680000000168</v>
      </c>
    </row>
    <row r="1543" spans="1:4" x14ac:dyDescent="0.3">
      <c r="A1543" t="s">
        <v>19</v>
      </c>
      <c r="C1543" s="16">
        <v>46224</v>
      </c>
      <c r="D1543">
        <v>1669.89</v>
      </c>
    </row>
    <row r="1544" spans="1:4" x14ac:dyDescent="0.3">
      <c r="A1544" t="s">
        <v>20</v>
      </c>
      <c r="C1544" s="16">
        <v>46224</v>
      </c>
      <c r="D1544">
        <v>1029804.7499999998</v>
      </c>
    </row>
    <row r="1545" spans="1:4" x14ac:dyDescent="0.3">
      <c r="A1545" t="s">
        <v>21</v>
      </c>
      <c r="C1545" s="16">
        <v>46224</v>
      </c>
      <c r="D1545">
        <v>1744257.8699999994</v>
      </c>
    </row>
    <row r="1546" spans="1:4" x14ac:dyDescent="0.3">
      <c r="A1546" t="s">
        <v>22</v>
      </c>
      <c r="C1546" s="16">
        <v>46224</v>
      </c>
      <c r="D1546">
        <v>200496.38</v>
      </c>
    </row>
    <row r="1547" spans="1:4" x14ac:dyDescent="0.3">
      <c r="A1547" t="s">
        <v>23</v>
      </c>
      <c r="C1547" s="16">
        <v>46224</v>
      </c>
      <c r="D1547">
        <v>88090.37</v>
      </c>
    </row>
    <row r="1548" spans="1:4" x14ac:dyDescent="0.3">
      <c r="A1548" t="s">
        <v>24</v>
      </c>
      <c r="C1548" s="16">
        <v>46224</v>
      </c>
      <c r="D1548">
        <v>14580.45</v>
      </c>
    </row>
    <row r="1549" spans="1:4" x14ac:dyDescent="0.3">
      <c r="A1549" t="s">
        <v>25</v>
      </c>
      <c r="C1549" s="16">
        <v>46224</v>
      </c>
      <c r="D1549">
        <v>54.400000000000006</v>
      </c>
    </row>
    <row r="1550" spans="1:4" x14ac:dyDescent="0.3">
      <c r="A1550" t="s">
        <v>26</v>
      </c>
      <c r="C1550" s="16">
        <v>46224</v>
      </c>
      <c r="D1550">
        <v>2207.8200000000002</v>
      </c>
    </row>
    <row r="1551" spans="1:4" x14ac:dyDescent="0.3">
      <c r="A1551" t="s">
        <v>27</v>
      </c>
      <c r="C1551" s="16">
        <v>46224</v>
      </c>
      <c r="D1551">
        <v>1454589.72</v>
      </c>
    </row>
    <row r="1552" spans="1:4" x14ac:dyDescent="0.3">
      <c r="A1552" t="s">
        <v>28</v>
      </c>
      <c r="C1552" s="16">
        <v>46224</v>
      </c>
      <c r="D1552">
        <v>1968.99</v>
      </c>
    </row>
    <row r="1553" spans="1:4" x14ac:dyDescent="0.3">
      <c r="A1553" t="s">
        <v>29</v>
      </c>
      <c r="C1553" s="16">
        <v>46224</v>
      </c>
      <c r="D1553">
        <v>901.34</v>
      </c>
    </row>
    <row r="1554" spans="1:4" x14ac:dyDescent="0.3">
      <c r="A1554" t="s">
        <v>30</v>
      </c>
      <c r="C1554" s="16">
        <v>46224</v>
      </c>
      <c r="D1554">
        <v>1412.08</v>
      </c>
    </row>
    <row r="1555" spans="1:4" x14ac:dyDescent="0.3">
      <c r="A1555" t="s">
        <v>31</v>
      </c>
      <c r="C1555" s="16">
        <v>46224</v>
      </c>
      <c r="D1555">
        <v>22347.56999999996</v>
      </c>
    </row>
    <row r="1556" spans="1:4" x14ac:dyDescent="0.3">
      <c r="A1556" t="s">
        <v>32</v>
      </c>
      <c r="C1556" s="16">
        <v>46224</v>
      </c>
      <c r="D1556">
        <v>3522.8000000000029</v>
      </c>
    </row>
    <row r="1557" spans="1:4" x14ac:dyDescent="0.3">
      <c r="A1557" t="s">
        <v>33</v>
      </c>
      <c r="C1557" s="16">
        <v>46224</v>
      </c>
      <c r="D1557">
        <v>24085.559999999998</v>
      </c>
    </row>
    <row r="1558" spans="1:4" x14ac:dyDescent="0.3">
      <c r="A1558" t="s">
        <v>34</v>
      </c>
      <c r="C1558" s="16">
        <v>46224</v>
      </c>
      <c r="D1558">
        <v>345</v>
      </c>
    </row>
    <row r="1559" spans="1:4" x14ac:dyDescent="0.3">
      <c r="A1559" t="s">
        <v>35</v>
      </c>
      <c r="C1559" s="16">
        <v>46224</v>
      </c>
      <c r="D1559">
        <v>13745.850000000002</v>
      </c>
    </row>
    <row r="1560" spans="1:4" x14ac:dyDescent="0.3">
      <c r="A1560" t="s">
        <v>17</v>
      </c>
      <c r="C1560" s="16">
        <v>46225</v>
      </c>
      <c r="D1560">
        <v>2255755.7400000007</v>
      </c>
    </row>
    <row r="1561" spans="1:4" x14ac:dyDescent="0.3">
      <c r="A1561" t="s">
        <v>18</v>
      </c>
      <c r="C1561" s="16">
        <v>46225</v>
      </c>
      <c r="D1561">
        <v>73157.680000000168</v>
      </c>
    </row>
    <row r="1562" spans="1:4" x14ac:dyDescent="0.3">
      <c r="A1562" t="s">
        <v>19</v>
      </c>
      <c r="C1562" s="16">
        <v>46225</v>
      </c>
      <c r="D1562">
        <v>1669.89</v>
      </c>
    </row>
    <row r="1563" spans="1:4" x14ac:dyDescent="0.3">
      <c r="A1563" t="s">
        <v>20</v>
      </c>
      <c r="C1563" s="16">
        <v>46225</v>
      </c>
      <c r="D1563">
        <v>1002754.9899999998</v>
      </c>
    </row>
    <row r="1564" spans="1:4" x14ac:dyDescent="0.3">
      <c r="A1564" t="s">
        <v>21</v>
      </c>
      <c r="C1564" s="16">
        <v>46225</v>
      </c>
      <c r="D1564">
        <v>2022877.8699999996</v>
      </c>
    </row>
    <row r="1565" spans="1:4" x14ac:dyDescent="0.3">
      <c r="A1565" t="s">
        <v>22</v>
      </c>
      <c r="C1565" s="16">
        <v>46225</v>
      </c>
      <c r="D1565">
        <v>200496.38</v>
      </c>
    </row>
    <row r="1566" spans="1:4" x14ac:dyDescent="0.3">
      <c r="A1566" t="s">
        <v>23</v>
      </c>
      <c r="C1566" s="16">
        <v>46225</v>
      </c>
      <c r="D1566">
        <v>88090.37</v>
      </c>
    </row>
    <row r="1567" spans="1:4" x14ac:dyDescent="0.3">
      <c r="A1567" t="s">
        <v>24</v>
      </c>
      <c r="C1567" s="16">
        <v>46225</v>
      </c>
      <c r="D1567">
        <v>14580.45</v>
      </c>
    </row>
    <row r="1568" spans="1:4" x14ac:dyDescent="0.3">
      <c r="A1568" t="s">
        <v>25</v>
      </c>
      <c r="C1568" s="16">
        <v>46225</v>
      </c>
      <c r="D1568">
        <v>54.400000000000006</v>
      </c>
    </row>
    <row r="1569" spans="1:4" x14ac:dyDescent="0.3">
      <c r="A1569" t="s">
        <v>26</v>
      </c>
      <c r="C1569" s="16">
        <v>46225</v>
      </c>
      <c r="D1569">
        <v>2207.8200000000002</v>
      </c>
    </row>
    <row r="1570" spans="1:4" x14ac:dyDescent="0.3">
      <c r="A1570" t="s">
        <v>27</v>
      </c>
      <c r="C1570" s="16">
        <v>46225</v>
      </c>
      <c r="D1570">
        <v>1454589.72</v>
      </c>
    </row>
    <row r="1571" spans="1:4" x14ac:dyDescent="0.3">
      <c r="A1571" t="s">
        <v>28</v>
      </c>
      <c r="C1571" s="16">
        <v>46225</v>
      </c>
      <c r="D1571">
        <v>1968.99</v>
      </c>
    </row>
    <row r="1572" spans="1:4" x14ac:dyDescent="0.3">
      <c r="A1572" t="s">
        <v>29</v>
      </c>
      <c r="C1572" s="16">
        <v>46225</v>
      </c>
      <c r="D1572">
        <v>901.34</v>
      </c>
    </row>
    <row r="1573" spans="1:4" x14ac:dyDescent="0.3">
      <c r="A1573" t="s">
        <v>30</v>
      </c>
      <c r="C1573" s="16">
        <v>46225</v>
      </c>
      <c r="D1573">
        <v>1412.08</v>
      </c>
    </row>
    <row r="1574" spans="1:4" x14ac:dyDescent="0.3">
      <c r="A1574" t="s">
        <v>31</v>
      </c>
      <c r="C1574" s="16">
        <v>46225</v>
      </c>
      <c r="D1574">
        <v>22347.56999999996</v>
      </c>
    </row>
    <row r="1575" spans="1:4" x14ac:dyDescent="0.3">
      <c r="A1575" t="s">
        <v>32</v>
      </c>
      <c r="C1575" s="16">
        <v>46225</v>
      </c>
      <c r="D1575">
        <v>3522.8000000000029</v>
      </c>
    </row>
    <row r="1576" spans="1:4" x14ac:dyDescent="0.3">
      <c r="A1576" t="s">
        <v>33</v>
      </c>
      <c r="C1576" s="16">
        <v>46225</v>
      </c>
      <c r="D1576">
        <v>24085.559999999998</v>
      </c>
    </row>
    <row r="1577" spans="1:4" x14ac:dyDescent="0.3">
      <c r="A1577" t="s">
        <v>34</v>
      </c>
      <c r="C1577" s="16">
        <v>46225</v>
      </c>
      <c r="D1577">
        <v>345</v>
      </c>
    </row>
    <row r="1578" spans="1:4" x14ac:dyDescent="0.3">
      <c r="A1578" t="s">
        <v>35</v>
      </c>
      <c r="C1578" s="16">
        <v>46225</v>
      </c>
      <c r="D1578">
        <v>10252.290000000003</v>
      </c>
    </row>
    <row r="1579" spans="1:4" x14ac:dyDescent="0.3">
      <c r="A1579" t="s">
        <v>17</v>
      </c>
      <c r="C1579" s="16">
        <v>46226</v>
      </c>
      <c r="D1579">
        <v>2255750.7400000007</v>
      </c>
    </row>
    <row r="1580" spans="1:4" x14ac:dyDescent="0.3">
      <c r="A1580" t="s">
        <v>18</v>
      </c>
      <c r="C1580" s="16">
        <v>46226</v>
      </c>
      <c r="D1580">
        <v>73157.680000000168</v>
      </c>
    </row>
    <row r="1581" spans="1:4" x14ac:dyDescent="0.3">
      <c r="A1581" t="s">
        <v>19</v>
      </c>
      <c r="C1581" s="16">
        <v>46226</v>
      </c>
      <c r="D1581">
        <v>1669.89</v>
      </c>
    </row>
    <row r="1582" spans="1:4" x14ac:dyDescent="0.3">
      <c r="A1582" t="s">
        <v>20</v>
      </c>
      <c r="C1582" s="16">
        <v>46226</v>
      </c>
      <c r="D1582">
        <v>1042744.6899999997</v>
      </c>
    </row>
    <row r="1583" spans="1:4" x14ac:dyDescent="0.3">
      <c r="A1583" t="s">
        <v>21</v>
      </c>
      <c r="C1583" s="16">
        <v>46226</v>
      </c>
      <c r="D1583">
        <v>2022877.8699999996</v>
      </c>
    </row>
    <row r="1584" spans="1:4" x14ac:dyDescent="0.3">
      <c r="A1584" t="s">
        <v>22</v>
      </c>
      <c r="C1584" s="16">
        <v>46226</v>
      </c>
      <c r="D1584">
        <v>200496.38</v>
      </c>
    </row>
    <row r="1585" spans="1:4" x14ac:dyDescent="0.3">
      <c r="A1585" t="s">
        <v>23</v>
      </c>
      <c r="C1585" s="16">
        <v>46226</v>
      </c>
      <c r="D1585">
        <v>88090.37</v>
      </c>
    </row>
    <row r="1586" spans="1:4" x14ac:dyDescent="0.3">
      <c r="A1586" t="s">
        <v>24</v>
      </c>
      <c r="C1586" s="16">
        <v>46226</v>
      </c>
      <c r="D1586">
        <v>14580.45</v>
      </c>
    </row>
    <row r="1587" spans="1:4" x14ac:dyDescent="0.3">
      <c r="A1587" t="s">
        <v>25</v>
      </c>
      <c r="C1587" s="16">
        <v>46226</v>
      </c>
      <c r="D1587">
        <v>54.400000000000006</v>
      </c>
    </row>
    <row r="1588" spans="1:4" x14ac:dyDescent="0.3">
      <c r="A1588" t="s">
        <v>26</v>
      </c>
      <c r="C1588" s="16">
        <v>46226</v>
      </c>
      <c r="D1588">
        <v>2207.8200000000002</v>
      </c>
    </row>
    <row r="1589" spans="1:4" x14ac:dyDescent="0.3">
      <c r="A1589" t="s">
        <v>27</v>
      </c>
      <c r="C1589" s="16">
        <v>46226</v>
      </c>
      <c r="D1589">
        <v>1454589.72</v>
      </c>
    </row>
    <row r="1590" spans="1:4" x14ac:dyDescent="0.3">
      <c r="A1590" t="s">
        <v>28</v>
      </c>
      <c r="C1590" s="16">
        <v>46226</v>
      </c>
      <c r="D1590">
        <v>1968.99</v>
      </c>
    </row>
    <row r="1591" spans="1:4" x14ac:dyDescent="0.3">
      <c r="A1591" t="s">
        <v>29</v>
      </c>
      <c r="C1591" s="16">
        <v>46226</v>
      </c>
      <c r="D1591">
        <v>901.34</v>
      </c>
    </row>
    <row r="1592" spans="1:4" x14ac:dyDescent="0.3">
      <c r="A1592" t="s">
        <v>30</v>
      </c>
      <c r="C1592" s="16">
        <v>46226</v>
      </c>
      <c r="D1592">
        <v>1412.08</v>
      </c>
    </row>
    <row r="1593" spans="1:4" x14ac:dyDescent="0.3">
      <c r="A1593" t="s">
        <v>31</v>
      </c>
      <c r="C1593" s="16">
        <v>46226</v>
      </c>
      <c r="D1593">
        <v>22347.56999999996</v>
      </c>
    </row>
    <row r="1594" spans="1:4" x14ac:dyDescent="0.3">
      <c r="A1594" t="s">
        <v>32</v>
      </c>
      <c r="C1594" s="16">
        <v>46226</v>
      </c>
      <c r="D1594">
        <v>18522.800000000003</v>
      </c>
    </row>
    <row r="1595" spans="1:4" x14ac:dyDescent="0.3">
      <c r="A1595" t="s">
        <v>33</v>
      </c>
      <c r="C1595" s="16">
        <v>46226</v>
      </c>
      <c r="D1595">
        <v>24085.559999999998</v>
      </c>
    </row>
    <row r="1596" spans="1:4" x14ac:dyDescent="0.3">
      <c r="A1596" t="s">
        <v>34</v>
      </c>
      <c r="C1596" s="16">
        <v>46226</v>
      </c>
      <c r="D1596">
        <v>345</v>
      </c>
    </row>
    <row r="1597" spans="1:4" x14ac:dyDescent="0.3">
      <c r="A1597" t="s">
        <v>35</v>
      </c>
      <c r="C1597" s="16">
        <v>46226</v>
      </c>
      <c r="D1597">
        <v>9958.7100000000028</v>
      </c>
    </row>
    <row r="1598" spans="1:4" x14ac:dyDescent="0.3">
      <c r="A1598" t="s">
        <v>17</v>
      </c>
      <c r="C1598" s="16">
        <v>46227</v>
      </c>
      <c r="D1598">
        <v>2255750.7400000007</v>
      </c>
    </row>
    <row r="1599" spans="1:4" x14ac:dyDescent="0.3">
      <c r="A1599" t="s">
        <v>18</v>
      </c>
      <c r="C1599" s="16">
        <v>46227</v>
      </c>
      <c r="D1599">
        <v>73157.680000000168</v>
      </c>
    </row>
    <row r="1600" spans="1:4" x14ac:dyDescent="0.3">
      <c r="A1600" t="s">
        <v>19</v>
      </c>
      <c r="C1600" s="16">
        <v>46227</v>
      </c>
      <c r="D1600">
        <v>1669.89</v>
      </c>
    </row>
    <row r="1601" spans="1:4" x14ac:dyDescent="0.3">
      <c r="A1601" t="s">
        <v>20</v>
      </c>
      <c r="C1601" s="16">
        <v>46227</v>
      </c>
      <c r="D1601">
        <v>1042744.6899999997</v>
      </c>
    </row>
    <row r="1602" spans="1:4" x14ac:dyDescent="0.3">
      <c r="A1602" t="s">
        <v>21</v>
      </c>
      <c r="C1602" s="16">
        <v>46227</v>
      </c>
      <c r="D1602">
        <v>2022877.8699999996</v>
      </c>
    </row>
    <row r="1603" spans="1:4" x14ac:dyDescent="0.3">
      <c r="A1603" t="s">
        <v>22</v>
      </c>
      <c r="C1603" s="16">
        <v>46227</v>
      </c>
      <c r="D1603">
        <v>200496.38</v>
      </c>
    </row>
    <row r="1604" spans="1:4" x14ac:dyDescent="0.3">
      <c r="A1604" t="s">
        <v>23</v>
      </c>
      <c r="C1604" s="16">
        <v>46227</v>
      </c>
      <c r="D1604">
        <v>88090.37</v>
      </c>
    </row>
    <row r="1605" spans="1:4" x14ac:dyDescent="0.3">
      <c r="A1605" t="s">
        <v>24</v>
      </c>
      <c r="C1605" s="16">
        <v>46227</v>
      </c>
      <c r="D1605">
        <v>14580.45</v>
      </c>
    </row>
    <row r="1606" spans="1:4" x14ac:dyDescent="0.3">
      <c r="A1606" t="s">
        <v>25</v>
      </c>
      <c r="C1606" s="16">
        <v>46227</v>
      </c>
      <c r="D1606">
        <v>54.400000000000006</v>
      </c>
    </row>
    <row r="1607" spans="1:4" x14ac:dyDescent="0.3">
      <c r="A1607" t="s">
        <v>26</v>
      </c>
      <c r="C1607" s="16">
        <v>46227</v>
      </c>
      <c r="D1607">
        <v>2207.8200000000002</v>
      </c>
    </row>
    <row r="1608" spans="1:4" x14ac:dyDescent="0.3">
      <c r="A1608" t="s">
        <v>27</v>
      </c>
      <c r="C1608" s="16">
        <v>46227</v>
      </c>
      <c r="D1608">
        <v>1454589.72</v>
      </c>
    </row>
    <row r="1609" spans="1:4" x14ac:dyDescent="0.3">
      <c r="A1609" t="s">
        <v>28</v>
      </c>
      <c r="C1609" s="16">
        <v>46227</v>
      </c>
      <c r="D1609">
        <v>1968.99</v>
      </c>
    </row>
    <row r="1610" spans="1:4" x14ac:dyDescent="0.3">
      <c r="A1610" t="s">
        <v>29</v>
      </c>
      <c r="C1610" s="16">
        <v>46227</v>
      </c>
      <c r="D1610">
        <v>901.34</v>
      </c>
    </row>
    <row r="1611" spans="1:4" x14ac:dyDescent="0.3">
      <c r="A1611" t="s">
        <v>30</v>
      </c>
      <c r="C1611" s="16">
        <v>46227</v>
      </c>
      <c r="D1611">
        <v>1412.08</v>
      </c>
    </row>
    <row r="1612" spans="1:4" x14ac:dyDescent="0.3">
      <c r="A1612" t="s">
        <v>31</v>
      </c>
      <c r="C1612" s="16">
        <v>46227</v>
      </c>
      <c r="D1612">
        <v>22347.56999999996</v>
      </c>
    </row>
    <row r="1613" spans="1:4" x14ac:dyDescent="0.3">
      <c r="A1613" t="s">
        <v>32</v>
      </c>
      <c r="C1613" s="16">
        <v>46227</v>
      </c>
      <c r="D1613">
        <v>18522.800000000003</v>
      </c>
    </row>
    <row r="1614" spans="1:4" x14ac:dyDescent="0.3">
      <c r="A1614" t="s">
        <v>33</v>
      </c>
      <c r="C1614" s="16">
        <v>46227</v>
      </c>
      <c r="D1614">
        <v>24085.559999999998</v>
      </c>
    </row>
    <row r="1615" spans="1:4" x14ac:dyDescent="0.3">
      <c r="A1615" t="s">
        <v>34</v>
      </c>
      <c r="C1615" s="16">
        <v>46227</v>
      </c>
      <c r="D1615">
        <v>345</v>
      </c>
    </row>
    <row r="1616" spans="1:4" x14ac:dyDescent="0.3">
      <c r="A1616" t="s">
        <v>35</v>
      </c>
      <c r="C1616" s="16">
        <v>46227</v>
      </c>
      <c r="D1616">
        <v>9557.6300000000028</v>
      </c>
    </row>
    <row r="1617" spans="1:4" x14ac:dyDescent="0.3">
      <c r="A1617" t="s">
        <v>17</v>
      </c>
      <c r="C1617" s="16">
        <v>46228</v>
      </c>
      <c r="D1617">
        <v>2255750.7400000007</v>
      </c>
    </row>
    <row r="1618" spans="1:4" x14ac:dyDescent="0.3">
      <c r="A1618" t="s">
        <v>18</v>
      </c>
      <c r="C1618" s="16">
        <v>46228</v>
      </c>
      <c r="D1618">
        <v>73157.680000000168</v>
      </c>
    </row>
    <row r="1619" spans="1:4" x14ac:dyDescent="0.3">
      <c r="A1619" t="s">
        <v>19</v>
      </c>
      <c r="C1619" s="16">
        <v>46228</v>
      </c>
      <c r="D1619">
        <v>1669.89</v>
      </c>
    </row>
    <row r="1620" spans="1:4" x14ac:dyDescent="0.3">
      <c r="A1620" t="s">
        <v>20</v>
      </c>
      <c r="C1620" s="16">
        <v>46228</v>
      </c>
      <c r="D1620">
        <v>1042744.6899999997</v>
      </c>
    </row>
    <row r="1621" spans="1:4" x14ac:dyDescent="0.3">
      <c r="A1621" t="s">
        <v>21</v>
      </c>
      <c r="C1621" s="16">
        <v>46228</v>
      </c>
      <c r="D1621">
        <v>2022877.8699999996</v>
      </c>
    </row>
    <row r="1622" spans="1:4" x14ac:dyDescent="0.3">
      <c r="A1622" t="s">
        <v>22</v>
      </c>
      <c r="C1622" s="16">
        <v>46228</v>
      </c>
      <c r="D1622">
        <v>200496.38</v>
      </c>
    </row>
    <row r="1623" spans="1:4" x14ac:dyDescent="0.3">
      <c r="A1623" t="s">
        <v>23</v>
      </c>
      <c r="C1623" s="16">
        <v>46228</v>
      </c>
      <c r="D1623">
        <v>88090.37</v>
      </c>
    </row>
    <row r="1624" spans="1:4" x14ac:dyDescent="0.3">
      <c r="A1624" t="s">
        <v>24</v>
      </c>
      <c r="C1624" s="16">
        <v>46228</v>
      </c>
      <c r="D1624">
        <v>14580.45</v>
      </c>
    </row>
    <row r="1625" spans="1:4" x14ac:dyDescent="0.3">
      <c r="A1625" t="s">
        <v>25</v>
      </c>
      <c r="C1625" s="16">
        <v>46228</v>
      </c>
      <c r="D1625">
        <v>54.400000000000006</v>
      </c>
    </row>
    <row r="1626" spans="1:4" x14ac:dyDescent="0.3">
      <c r="A1626" t="s">
        <v>26</v>
      </c>
      <c r="C1626" s="16">
        <v>46228</v>
      </c>
      <c r="D1626">
        <v>2207.8200000000002</v>
      </c>
    </row>
    <row r="1627" spans="1:4" x14ac:dyDescent="0.3">
      <c r="A1627" t="s">
        <v>27</v>
      </c>
      <c r="C1627" s="16">
        <v>46228</v>
      </c>
      <c r="D1627">
        <v>1454589.72</v>
      </c>
    </row>
    <row r="1628" spans="1:4" x14ac:dyDescent="0.3">
      <c r="A1628" t="s">
        <v>28</v>
      </c>
      <c r="C1628" s="16">
        <v>46228</v>
      </c>
      <c r="D1628">
        <v>1968.99</v>
      </c>
    </row>
    <row r="1629" spans="1:4" x14ac:dyDescent="0.3">
      <c r="A1629" t="s">
        <v>29</v>
      </c>
      <c r="C1629" s="16">
        <v>46228</v>
      </c>
      <c r="D1629">
        <v>901.34</v>
      </c>
    </row>
    <row r="1630" spans="1:4" x14ac:dyDescent="0.3">
      <c r="A1630" t="s">
        <v>30</v>
      </c>
      <c r="C1630" s="16">
        <v>46228</v>
      </c>
      <c r="D1630">
        <v>1412.08</v>
      </c>
    </row>
    <row r="1631" spans="1:4" x14ac:dyDescent="0.3">
      <c r="A1631" t="s">
        <v>31</v>
      </c>
      <c r="C1631" s="16">
        <v>46228</v>
      </c>
      <c r="D1631">
        <v>22347.56999999996</v>
      </c>
    </row>
    <row r="1632" spans="1:4" x14ac:dyDescent="0.3">
      <c r="A1632" t="s">
        <v>32</v>
      </c>
      <c r="C1632" s="16">
        <v>46228</v>
      </c>
      <c r="D1632">
        <v>18522.800000000003</v>
      </c>
    </row>
    <row r="1633" spans="1:4" x14ac:dyDescent="0.3">
      <c r="A1633" t="s">
        <v>33</v>
      </c>
      <c r="C1633" s="16">
        <v>46228</v>
      </c>
      <c r="D1633">
        <v>24085.559999999998</v>
      </c>
    </row>
    <row r="1634" spans="1:4" x14ac:dyDescent="0.3">
      <c r="A1634" t="s">
        <v>34</v>
      </c>
      <c r="C1634" s="16">
        <v>46228</v>
      </c>
      <c r="D1634">
        <v>345</v>
      </c>
    </row>
    <row r="1635" spans="1:4" x14ac:dyDescent="0.3">
      <c r="A1635" t="s">
        <v>35</v>
      </c>
      <c r="C1635" s="16">
        <v>46228</v>
      </c>
      <c r="D1635">
        <v>9557.6300000000028</v>
      </c>
    </row>
    <row r="1636" spans="1:4" x14ac:dyDescent="0.3">
      <c r="A1636" t="s">
        <v>17</v>
      </c>
      <c r="C1636" s="16">
        <v>46229</v>
      </c>
      <c r="D1636">
        <v>2255750.7400000007</v>
      </c>
    </row>
    <row r="1637" spans="1:4" x14ac:dyDescent="0.3">
      <c r="A1637" t="s">
        <v>18</v>
      </c>
      <c r="C1637" s="16">
        <v>46229</v>
      </c>
      <c r="D1637">
        <v>73157.680000000168</v>
      </c>
    </row>
    <row r="1638" spans="1:4" x14ac:dyDescent="0.3">
      <c r="A1638" t="s">
        <v>19</v>
      </c>
      <c r="C1638" s="16">
        <v>46229</v>
      </c>
      <c r="D1638">
        <v>1669.89</v>
      </c>
    </row>
    <row r="1639" spans="1:4" x14ac:dyDescent="0.3">
      <c r="A1639" t="s">
        <v>20</v>
      </c>
      <c r="C1639" s="16">
        <v>46229</v>
      </c>
      <c r="D1639">
        <v>1042744.6899999997</v>
      </c>
    </row>
    <row r="1640" spans="1:4" x14ac:dyDescent="0.3">
      <c r="A1640" t="s">
        <v>21</v>
      </c>
      <c r="C1640" s="16">
        <v>46229</v>
      </c>
      <c r="D1640">
        <v>2022877.8699999996</v>
      </c>
    </row>
    <row r="1641" spans="1:4" x14ac:dyDescent="0.3">
      <c r="A1641" t="s">
        <v>22</v>
      </c>
      <c r="C1641" s="16">
        <v>46229</v>
      </c>
      <c r="D1641">
        <v>200496.38</v>
      </c>
    </row>
    <row r="1642" spans="1:4" x14ac:dyDescent="0.3">
      <c r="A1642" t="s">
        <v>23</v>
      </c>
      <c r="C1642" s="16">
        <v>46229</v>
      </c>
      <c r="D1642">
        <v>88090.37</v>
      </c>
    </row>
    <row r="1643" spans="1:4" x14ac:dyDescent="0.3">
      <c r="A1643" t="s">
        <v>24</v>
      </c>
      <c r="C1643" s="16">
        <v>46229</v>
      </c>
      <c r="D1643">
        <v>14580.45</v>
      </c>
    </row>
    <row r="1644" spans="1:4" x14ac:dyDescent="0.3">
      <c r="A1644" t="s">
        <v>25</v>
      </c>
      <c r="C1644" s="16">
        <v>46229</v>
      </c>
      <c r="D1644">
        <v>54.400000000000006</v>
      </c>
    </row>
    <row r="1645" spans="1:4" x14ac:dyDescent="0.3">
      <c r="A1645" t="s">
        <v>26</v>
      </c>
      <c r="C1645" s="16">
        <v>46229</v>
      </c>
      <c r="D1645">
        <v>2207.8200000000002</v>
      </c>
    </row>
    <row r="1646" spans="1:4" x14ac:dyDescent="0.3">
      <c r="A1646" t="s">
        <v>27</v>
      </c>
      <c r="C1646" s="16">
        <v>46229</v>
      </c>
      <c r="D1646">
        <v>1454589.72</v>
      </c>
    </row>
    <row r="1647" spans="1:4" x14ac:dyDescent="0.3">
      <c r="A1647" t="s">
        <v>28</v>
      </c>
      <c r="C1647" s="16">
        <v>46229</v>
      </c>
      <c r="D1647">
        <v>1968.99</v>
      </c>
    </row>
    <row r="1648" spans="1:4" x14ac:dyDescent="0.3">
      <c r="A1648" t="s">
        <v>29</v>
      </c>
      <c r="C1648" s="16">
        <v>46229</v>
      </c>
      <c r="D1648">
        <v>901.34</v>
      </c>
    </row>
    <row r="1649" spans="1:4" x14ac:dyDescent="0.3">
      <c r="A1649" t="s">
        <v>30</v>
      </c>
      <c r="C1649" s="16">
        <v>46229</v>
      </c>
      <c r="D1649">
        <v>1412.08</v>
      </c>
    </row>
    <row r="1650" spans="1:4" x14ac:dyDescent="0.3">
      <c r="A1650" t="s">
        <v>31</v>
      </c>
      <c r="C1650" s="16">
        <v>46229</v>
      </c>
      <c r="D1650">
        <v>22347.56999999996</v>
      </c>
    </row>
    <row r="1651" spans="1:4" x14ac:dyDescent="0.3">
      <c r="A1651" t="s">
        <v>32</v>
      </c>
      <c r="C1651" s="16">
        <v>46229</v>
      </c>
      <c r="D1651">
        <v>18522.800000000003</v>
      </c>
    </row>
    <row r="1652" spans="1:4" x14ac:dyDescent="0.3">
      <c r="A1652" t="s">
        <v>33</v>
      </c>
      <c r="C1652" s="16">
        <v>46229</v>
      </c>
      <c r="D1652">
        <v>24085.559999999998</v>
      </c>
    </row>
    <row r="1653" spans="1:4" x14ac:dyDescent="0.3">
      <c r="A1653" t="s">
        <v>34</v>
      </c>
      <c r="C1653" s="16">
        <v>46229</v>
      </c>
      <c r="D1653">
        <v>345</v>
      </c>
    </row>
    <row r="1654" spans="1:4" x14ac:dyDescent="0.3">
      <c r="A1654" t="s">
        <v>35</v>
      </c>
      <c r="C1654" s="16">
        <v>46229</v>
      </c>
      <c r="D1654">
        <v>9557.6300000000028</v>
      </c>
    </row>
    <row r="1655" spans="1:4" x14ac:dyDescent="0.3">
      <c r="A1655" t="s">
        <v>17</v>
      </c>
      <c r="C1655" s="16">
        <v>46230</v>
      </c>
      <c r="D1655">
        <v>2255750.7400000007</v>
      </c>
    </row>
    <row r="1656" spans="1:4" x14ac:dyDescent="0.3">
      <c r="A1656" t="s">
        <v>18</v>
      </c>
      <c r="C1656" s="16">
        <v>46230</v>
      </c>
      <c r="D1656">
        <v>73157.680000000168</v>
      </c>
    </row>
    <row r="1657" spans="1:4" x14ac:dyDescent="0.3">
      <c r="A1657" t="s">
        <v>19</v>
      </c>
      <c r="C1657" s="16">
        <v>46230</v>
      </c>
      <c r="D1657">
        <v>1669.89</v>
      </c>
    </row>
    <row r="1658" spans="1:4" x14ac:dyDescent="0.3">
      <c r="A1658" t="s">
        <v>20</v>
      </c>
      <c r="C1658" s="16">
        <v>46230</v>
      </c>
      <c r="D1658">
        <v>1392744.6899999997</v>
      </c>
    </row>
    <row r="1659" spans="1:4" x14ac:dyDescent="0.3">
      <c r="A1659" t="s">
        <v>21</v>
      </c>
      <c r="C1659" s="16">
        <v>46230</v>
      </c>
      <c r="D1659">
        <v>2022877.8699999996</v>
      </c>
    </row>
    <row r="1660" spans="1:4" x14ac:dyDescent="0.3">
      <c r="A1660" t="s">
        <v>22</v>
      </c>
      <c r="C1660" s="16">
        <v>46230</v>
      </c>
      <c r="D1660">
        <v>190496.38</v>
      </c>
    </row>
    <row r="1661" spans="1:4" x14ac:dyDescent="0.3">
      <c r="A1661" t="s">
        <v>23</v>
      </c>
      <c r="C1661" s="16">
        <v>46230</v>
      </c>
      <c r="D1661">
        <v>88090.37</v>
      </c>
    </row>
    <row r="1662" spans="1:4" x14ac:dyDescent="0.3">
      <c r="A1662" t="s">
        <v>24</v>
      </c>
      <c r="C1662" s="16">
        <v>46230</v>
      </c>
      <c r="D1662">
        <v>14580.45</v>
      </c>
    </row>
    <row r="1663" spans="1:4" x14ac:dyDescent="0.3">
      <c r="A1663" t="s">
        <v>25</v>
      </c>
      <c r="C1663" s="16">
        <v>46230</v>
      </c>
      <c r="D1663">
        <v>54.400000000000006</v>
      </c>
    </row>
    <row r="1664" spans="1:4" x14ac:dyDescent="0.3">
      <c r="A1664" t="s">
        <v>26</v>
      </c>
      <c r="C1664" s="16">
        <v>46230</v>
      </c>
      <c r="D1664">
        <v>2207.8200000000002</v>
      </c>
    </row>
    <row r="1665" spans="1:4" x14ac:dyDescent="0.3">
      <c r="A1665" t="s">
        <v>27</v>
      </c>
      <c r="C1665" s="16">
        <v>46230</v>
      </c>
      <c r="D1665">
        <v>1454589.72</v>
      </c>
    </row>
    <row r="1666" spans="1:4" x14ac:dyDescent="0.3">
      <c r="A1666" t="s">
        <v>28</v>
      </c>
      <c r="C1666" s="16">
        <v>46230</v>
      </c>
      <c r="D1666">
        <v>1968.99</v>
      </c>
    </row>
    <row r="1667" spans="1:4" x14ac:dyDescent="0.3">
      <c r="A1667" t="s">
        <v>29</v>
      </c>
      <c r="C1667" s="16">
        <v>46230</v>
      </c>
      <c r="D1667">
        <v>901.34</v>
      </c>
    </row>
    <row r="1668" spans="1:4" x14ac:dyDescent="0.3">
      <c r="A1668" t="s">
        <v>30</v>
      </c>
      <c r="C1668" s="16">
        <v>46230</v>
      </c>
      <c r="D1668">
        <v>1412.08</v>
      </c>
    </row>
    <row r="1669" spans="1:4" x14ac:dyDescent="0.3">
      <c r="A1669" t="s">
        <v>31</v>
      </c>
      <c r="C1669" s="16">
        <v>46230</v>
      </c>
      <c r="D1669">
        <v>22347.56999999996</v>
      </c>
    </row>
    <row r="1670" spans="1:4" x14ac:dyDescent="0.3">
      <c r="A1670" t="s">
        <v>32</v>
      </c>
      <c r="C1670" s="16">
        <v>46230</v>
      </c>
      <c r="D1670">
        <v>18522.800000000003</v>
      </c>
    </row>
    <row r="1671" spans="1:4" x14ac:dyDescent="0.3">
      <c r="A1671" t="s">
        <v>33</v>
      </c>
      <c r="C1671" s="16">
        <v>46230</v>
      </c>
      <c r="D1671">
        <v>24085.559999999998</v>
      </c>
    </row>
    <row r="1672" spans="1:4" x14ac:dyDescent="0.3">
      <c r="A1672" t="s">
        <v>34</v>
      </c>
      <c r="C1672" s="16">
        <v>46230</v>
      </c>
      <c r="D1672">
        <v>345</v>
      </c>
    </row>
    <row r="1673" spans="1:4" x14ac:dyDescent="0.3">
      <c r="A1673" t="s">
        <v>35</v>
      </c>
      <c r="C1673" s="16">
        <v>46230</v>
      </c>
      <c r="D1673">
        <v>15418.180000000004</v>
      </c>
    </row>
    <row r="1674" spans="1:4" x14ac:dyDescent="0.3">
      <c r="A1674" t="s">
        <v>17</v>
      </c>
      <c r="C1674" s="16">
        <v>46231</v>
      </c>
      <c r="D1674">
        <v>2255750.7400000007</v>
      </c>
    </row>
    <row r="1675" spans="1:4" x14ac:dyDescent="0.3">
      <c r="A1675" t="s">
        <v>18</v>
      </c>
      <c r="C1675" s="16">
        <v>46231</v>
      </c>
      <c r="D1675">
        <v>80574.12000000017</v>
      </c>
    </row>
    <row r="1676" spans="1:4" x14ac:dyDescent="0.3">
      <c r="A1676" t="s">
        <v>19</v>
      </c>
      <c r="C1676" s="16">
        <v>46231</v>
      </c>
      <c r="D1676">
        <v>1669.89</v>
      </c>
    </row>
    <row r="1677" spans="1:4" x14ac:dyDescent="0.3">
      <c r="A1677" t="s">
        <v>20</v>
      </c>
      <c r="C1677" s="16">
        <v>46231</v>
      </c>
      <c r="D1677">
        <v>1415636.7399999998</v>
      </c>
    </row>
    <row r="1678" spans="1:4" x14ac:dyDescent="0.3">
      <c r="A1678" t="s">
        <v>21</v>
      </c>
      <c r="C1678" s="16">
        <v>46231</v>
      </c>
      <c r="D1678">
        <v>1857997.0999999996</v>
      </c>
    </row>
    <row r="1679" spans="1:4" x14ac:dyDescent="0.3">
      <c r="A1679" t="s">
        <v>22</v>
      </c>
      <c r="C1679" s="16">
        <v>46231</v>
      </c>
      <c r="D1679">
        <v>190496.38</v>
      </c>
    </row>
    <row r="1680" spans="1:4" x14ac:dyDescent="0.3">
      <c r="A1680" t="s">
        <v>23</v>
      </c>
      <c r="C1680" s="16">
        <v>46231</v>
      </c>
      <c r="D1680">
        <v>88090.37</v>
      </c>
    </row>
    <row r="1681" spans="1:4" x14ac:dyDescent="0.3">
      <c r="A1681" t="s">
        <v>24</v>
      </c>
      <c r="C1681" s="16">
        <v>46231</v>
      </c>
      <c r="D1681">
        <v>14580.45</v>
      </c>
    </row>
    <row r="1682" spans="1:4" x14ac:dyDescent="0.3">
      <c r="A1682" t="s">
        <v>25</v>
      </c>
      <c r="C1682" s="16">
        <v>46231</v>
      </c>
      <c r="D1682">
        <v>54.400000000000006</v>
      </c>
    </row>
    <row r="1683" spans="1:4" x14ac:dyDescent="0.3">
      <c r="A1683" t="s">
        <v>26</v>
      </c>
      <c r="C1683" s="16">
        <v>46231</v>
      </c>
      <c r="D1683">
        <v>2207.8200000000002</v>
      </c>
    </row>
    <row r="1684" spans="1:4" x14ac:dyDescent="0.3">
      <c r="A1684" t="s">
        <v>27</v>
      </c>
      <c r="C1684" s="16">
        <v>46231</v>
      </c>
      <c r="D1684">
        <v>1454589.72</v>
      </c>
    </row>
    <row r="1685" spans="1:4" x14ac:dyDescent="0.3">
      <c r="A1685" t="s">
        <v>28</v>
      </c>
      <c r="C1685" s="16">
        <v>46231</v>
      </c>
      <c r="D1685">
        <v>1968.99</v>
      </c>
    </row>
    <row r="1686" spans="1:4" x14ac:dyDescent="0.3">
      <c r="A1686" t="s">
        <v>29</v>
      </c>
      <c r="C1686" s="16">
        <v>46231</v>
      </c>
      <c r="D1686">
        <v>901.34</v>
      </c>
    </row>
    <row r="1687" spans="1:4" x14ac:dyDescent="0.3">
      <c r="A1687" t="s">
        <v>30</v>
      </c>
      <c r="C1687" s="16">
        <v>46231</v>
      </c>
      <c r="D1687">
        <v>1412.08</v>
      </c>
    </row>
    <row r="1688" spans="1:4" x14ac:dyDescent="0.3">
      <c r="A1688" t="s">
        <v>31</v>
      </c>
      <c r="C1688" s="16">
        <v>46231</v>
      </c>
      <c r="D1688">
        <v>22347.56999999996</v>
      </c>
    </row>
    <row r="1689" spans="1:4" x14ac:dyDescent="0.3">
      <c r="A1689" t="s">
        <v>32</v>
      </c>
      <c r="C1689" s="16">
        <v>46231</v>
      </c>
      <c r="D1689">
        <v>18522.800000000003</v>
      </c>
    </row>
    <row r="1690" spans="1:4" x14ac:dyDescent="0.3">
      <c r="A1690" t="s">
        <v>33</v>
      </c>
      <c r="C1690" s="16">
        <v>46231</v>
      </c>
      <c r="D1690">
        <v>24085.559999999998</v>
      </c>
    </row>
    <row r="1691" spans="1:4" x14ac:dyDescent="0.3">
      <c r="A1691" t="s">
        <v>34</v>
      </c>
      <c r="C1691" s="16">
        <v>46231</v>
      </c>
      <c r="D1691">
        <v>345</v>
      </c>
    </row>
    <row r="1692" spans="1:4" x14ac:dyDescent="0.3">
      <c r="A1692" t="s">
        <v>35</v>
      </c>
      <c r="C1692" s="16">
        <v>46231</v>
      </c>
      <c r="D1692">
        <v>15094.090000000004</v>
      </c>
    </row>
    <row r="1693" spans="1:4" x14ac:dyDescent="0.3">
      <c r="A1693" t="s">
        <v>17</v>
      </c>
      <c r="C1693" s="16">
        <v>46232</v>
      </c>
      <c r="D1693">
        <v>2270539.1300000008</v>
      </c>
    </row>
    <row r="1694" spans="1:4" x14ac:dyDescent="0.3">
      <c r="A1694" t="s">
        <v>18</v>
      </c>
      <c r="C1694" s="16">
        <v>46232</v>
      </c>
      <c r="D1694">
        <v>83211.250000000175</v>
      </c>
    </row>
    <row r="1695" spans="1:4" x14ac:dyDescent="0.3">
      <c r="A1695" t="s">
        <v>19</v>
      </c>
      <c r="C1695" s="16">
        <v>46232</v>
      </c>
      <c r="D1695">
        <v>1669.89</v>
      </c>
    </row>
    <row r="1696" spans="1:4" x14ac:dyDescent="0.3">
      <c r="A1696" t="s">
        <v>20</v>
      </c>
      <c r="C1696" s="16">
        <v>46232</v>
      </c>
      <c r="D1696">
        <v>1434634.5999999999</v>
      </c>
    </row>
    <row r="1697" spans="1:4" x14ac:dyDescent="0.3">
      <c r="A1697" t="s">
        <v>21</v>
      </c>
      <c r="C1697" s="16">
        <v>46232</v>
      </c>
      <c r="D1697">
        <v>1857997.0999999996</v>
      </c>
    </row>
    <row r="1698" spans="1:4" x14ac:dyDescent="0.3">
      <c r="A1698" t="s">
        <v>22</v>
      </c>
      <c r="C1698" s="16">
        <v>46232</v>
      </c>
      <c r="D1698">
        <v>190496.38</v>
      </c>
    </row>
    <row r="1699" spans="1:4" x14ac:dyDescent="0.3">
      <c r="A1699" t="s">
        <v>23</v>
      </c>
      <c r="C1699" s="16">
        <v>46232</v>
      </c>
      <c r="D1699">
        <v>88090.37</v>
      </c>
    </row>
    <row r="1700" spans="1:4" x14ac:dyDescent="0.3">
      <c r="A1700" t="s">
        <v>24</v>
      </c>
      <c r="C1700" s="16">
        <v>46232</v>
      </c>
      <c r="D1700">
        <v>14580.45</v>
      </c>
    </row>
    <row r="1701" spans="1:4" x14ac:dyDescent="0.3">
      <c r="A1701" t="s">
        <v>25</v>
      </c>
      <c r="C1701" s="16">
        <v>46232</v>
      </c>
      <c r="D1701">
        <v>54.400000000000006</v>
      </c>
    </row>
    <row r="1702" spans="1:4" x14ac:dyDescent="0.3">
      <c r="A1702" t="s">
        <v>26</v>
      </c>
      <c r="C1702" s="16">
        <v>46232</v>
      </c>
      <c r="D1702">
        <v>2207.8200000000002</v>
      </c>
    </row>
    <row r="1703" spans="1:4" x14ac:dyDescent="0.3">
      <c r="A1703" t="s">
        <v>27</v>
      </c>
      <c r="C1703" s="16">
        <v>46232</v>
      </c>
      <c r="D1703">
        <v>1454589.72</v>
      </c>
    </row>
    <row r="1704" spans="1:4" x14ac:dyDescent="0.3">
      <c r="A1704" t="s">
        <v>28</v>
      </c>
      <c r="C1704" s="16">
        <v>46232</v>
      </c>
      <c r="D1704">
        <v>1968.99</v>
      </c>
    </row>
    <row r="1705" spans="1:4" x14ac:dyDescent="0.3">
      <c r="A1705" t="s">
        <v>29</v>
      </c>
      <c r="C1705" s="16">
        <v>46232</v>
      </c>
      <c r="D1705">
        <v>901.34</v>
      </c>
    </row>
    <row r="1706" spans="1:4" x14ac:dyDescent="0.3">
      <c r="A1706" t="s">
        <v>30</v>
      </c>
      <c r="C1706" s="16">
        <v>46232</v>
      </c>
      <c r="D1706">
        <v>1412.08</v>
      </c>
    </row>
    <row r="1707" spans="1:4" x14ac:dyDescent="0.3">
      <c r="A1707" t="s">
        <v>31</v>
      </c>
      <c r="C1707" s="16">
        <v>46232</v>
      </c>
      <c r="D1707">
        <v>22347.56999999996</v>
      </c>
    </row>
    <row r="1708" spans="1:4" x14ac:dyDescent="0.3">
      <c r="A1708" t="s">
        <v>32</v>
      </c>
      <c r="C1708" s="16">
        <v>46232</v>
      </c>
      <c r="D1708">
        <v>18522.800000000003</v>
      </c>
    </row>
    <row r="1709" spans="1:4" x14ac:dyDescent="0.3">
      <c r="A1709" t="s">
        <v>33</v>
      </c>
      <c r="C1709" s="16">
        <v>46232</v>
      </c>
      <c r="D1709">
        <v>24085.559999999998</v>
      </c>
    </row>
    <row r="1710" spans="1:4" x14ac:dyDescent="0.3">
      <c r="A1710" t="s">
        <v>34</v>
      </c>
      <c r="C1710" s="16">
        <v>46232</v>
      </c>
      <c r="D1710">
        <v>345</v>
      </c>
    </row>
    <row r="1711" spans="1:4" x14ac:dyDescent="0.3">
      <c r="A1711" t="s">
        <v>35</v>
      </c>
      <c r="C1711" s="16">
        <v>46232</v>
      </c>
      <c r="D1711">
        <v>13469.780000000002</v>
      </c>
    </row>
    <row r="1712" spans="1:4" x14ac:dyDescent="0.3">
      <c r="A1712" t="s">
        <v>17</v>
      </c>
      <c r="C1712" s="16">
        <v>46233</v>
      </c>
      <c r="D1712">
        <v>2470350.7000000002</v>
      </c>
    </row>
    <row r="1713" spans="1:4" x14ac:dyDescent="0.3">
      <c r="A1713" t="s">
        <v>18</v>
      </c>
      <c r="C1713" s="16">
        <v>46233</v>
      </c>
      <c r="D1713">
        <v>83211.250000000175</v>
      </c>
    </row>
    <row r="1714" spans="1:4" x14ac:dyDescent="0.3">
      <c r="A1714" t="s">
        <v>19</v>
      </c>
      <c r="C1714" s="16">
        <v>46233</v>
      </c>
      <c r="D1714">
        <v>1669.89</v>
      </c>
    </row>
    <row r="1715" spans="1:4" x14ac:dyDescent="0.3">
      <c r="A1715" t="s">
        <v>20</v>
      </c>
      <c r="C1715" s="16">
        <v>46233</v>
      </c>
      <c r="D1715">
        <v>1458426.0399999998</v>
      </c>
    </row>
    <row r="1716" spans="1:4" x14ac:dyDescent="0.3">
      <c r="A1716" t="s">
        <v>21</v>
      </c>
      <c r="C1716" s="16">
        <v>46233</v>
      </c>
      <c r="D1716">
        <v>1857993.8499999996</v>
      </c>
    </row>
    <row r="1717" spans="1:4" x14ac:dyDescent="0.3">
      <c r="A1717" t="s">
        <v>22</v>
      </c>
      <c r="C1717" s="16">
        <v>46233</v>
      </c>
      <c r="D1717">
        <v>190496.38</v>
      </c>
    </row>
    <row r="1718" spans="1:4" x14ac:dyDescent="0.3">
      <c r="A1718" t="s">
        <v>23</v>
      </c>
      <c r="C1718" s="16">
        <v>46233</v>
      </c>
      <c r="D1718">
        <v>88090.37</v>
      </c>
    </row>
    <row r="1719" spans="1:4" x14ac:dyDescent="0.3">
      <c r="A1719" t="s">
        <v>24</v>
      </c>
      <c r="C1719" s="16">
        <v>46233</v>
      </c>
      <c r="D1719">
        <v>14580.45</v>
      </c>
    </row>
    <row r="1720" spans="1:4" x14ac:dyDescent="0.3">
      <c r="A1720" t="s">
        <v>25</v>
      </c>
      <c r="C1720" s="16">
        <v>46233</v>
      </c>
      <c r="D1720">
        <v>54.400000000000006</v>
      </c>
    </row>
    <row r="1721" spans="1:4" x14ac:dyDescent="0.3">
      <c r="A1721" t="s">
        <v>26</v>
      </c>
      <c r="C1721" s="16">
        <v>46233</v>
      </c>
      <c r="D1721">
        <v>2207.8200000000002</v>
      </c>
    </row>
    <row r="1722" spans="1:4" x14ac:dyDescent="0.3">
      <c r="A1722" t="s">
        <v>27</v>
      </c>
      <c r="C1722" s="16">
        <v>46233</v>
      </c>
      <c r="D1722">
        <v>1454589.72</v>
      </c>
    </row>
    <row r="1723" spans="1:4" x14ac:dyDescent="0.3">
      <c r="A1723" t="s">
        <v>28</v>
      </c>
      <c r="C1723" s="16">
        <v>46233</v>
      </c>
      <c r="D1723">
        <v>1968.99</v>
      </c>
    </row>
    <row r="1724" spans="1:4" x14ac:dyDescent="0.3">
      <c r="A1724" t="s">
        <v>29</v>
      </c>
      <c r="C1724" s="16">
        <v>46233</v>
      </c>
      <c r="D1724">
        <v>901.34</v>
      </c>
    </row>
    <row r="1725" spans="1:4" x14ac:dyDescent="0.3">
      <c r="A1725" t="s">
        <v>30</v>
      </c>
      <c r="C1725" s="16">
        <v>46233</v>
      </c>
      <c r="D1725">
        <v>1412.08</v>
      </c>
    </row>
    <row r="1726" spans="1:4" x14ac:dyDescent="0.3">
      <c r="A1726" t="s">
        <v>31</v>
      </c>
      <c r="C1726" s="16">
        <v>46233</v>
      </c>
      <c r="D1726">
        <v>22347.56999999996</v>
      </c>
    </row>
    <row r="1727" spans="1:4" x14ac:dyDescent="0.3">
      <c r="A1727" t="s">
        <v>32</v>
      </c>
      <c r="C1727" s="16">
        <v>46233</v>
      </c>
      <c r="D1727">
        <v>18522.800000000003</v>
      </c>
    </row>
    <row r="1728" spans="1:4" x14ac:dyDescent="0.3">
      <c r="A1728" t="s">
        <v>33</v>
      </c>
      <c r="C1728" s="16">
        <v>46233</v>
      </c>
      <c r="D1728">
        <v>24085.559999999998</v>
      </c>
    </row>
    <row r="1729" spans="1:4" x14ac:dyDescent="0.3">
      <c r="A1729" t="s">
        <v>34</v>
      </c>
      <c r="C1729" s="16">
        <v>46233</v>
      </c>
      <c r="D1729">
        <v>345</v>
      </c>
    </row>
    <row r="1730" spans="1:4" x14ac:dyDescent="0.3">
      <c r="A1730" t="s">
        <v>35</v>
      </c>
      <c r="C1730" s="16">
        <v>46233</v>
      </c>
      <c r="D1730">
        <v>11634.930000000004</v>
      </c>
    </row>
    <row r="1731" spans="1:4" x14ac:dyDescent="0.3">
      <c r="A1731" t="s">
        <v>17</v>
      </c>
      <c r="C1731" s="16">
        <v>46234</v>
      </c>
      <c r="D1731">
        <v>2468032.08</v>
      </c>
    </row>
    <row r="1732" spans="1:4" x14ac:dyDescent="0.3">
      <c r="A1732" t="s">
        <v>18</v>
      </c>
      <c r="C1732" s="16">
        <v>46234</v>
      </c>
      <c r="D1732">
        <v>83211.250000000175</v>
      </c>
    </row>
    <row r="1733" spans="1:4" x14ac:dyDescent="0.3">
      <c r="A1733" t="s">
        <v>19</v>
      </c>
      <c r="C1733" s="16">
        <v>46234</v>
      </c>
      <c r="D1733">
        <v>1669.89</v>
      </c>
    </row>
    <row r="1734" spans="1:4" x14ac:dyDescent="0.3">
      <c r="A1734" t="s">
        <v>20</v>
      </c>
      <c r="C1734" s="16">
        <v>46234</v>
      </c>
      <c r="D1734">
        <v>1458426.0399999998</v>
      </c>
    </row>
    <row r="1735" spans="1:4" x14ac:dyDescent="0.3">
      <c r="A1735" t="s">
        <v>21</v>
      </c>
      <c r="C1735" s="16">
        <v>46234</v>
      </c>
      <c r="D1735">
        <v>1514477.1199999996</v>
      </c>
    </row>
    <row r="1736" spans="1:4" x14ac:dyDescent="0.3">
      <c r="A1736" t="s">
        <v>22</v>
      </c>
      <c r="C1736" s="16">
        <v>46234</v>
      </c>
      <c r="D1736">
        <v>190496.38</v>
      </c>
    </row>
    <row r="1737" spans="1:4" x14ac:dyDescent="0.3">
      <c r="A1737" t="s">
        <v>23</v>
      </c>
      <c r="C1737" s="16">
        <v>46234</v>
      </c>
      <c r="D1737">
        <v>88090.37</v>
      </c>
    </row>
    <row r="1738" spans="1:4" x14ac:dyDescent="0.3">
      <c r="A1738" t="s">
        <v>24</v>
      </c>
      <c r="C1738" s="16">
        <v>46234</v>
      </c>
      <c r="D1738">
        <v>14580.45</v>
      </c>
    </row>
    <row r="1739" spans="1:4" x14ac:dyDescent="0.3">
      <c r="A1739" t="s">
        <v>25</v>
      </c>
      <c r="C1739" s="16">
        <v>46234</v>
      </c>
      <c r="D1739">
        <v>54.400000000000006</v>
      </c>
    </row>
    <row r="1740" spans="1:4" x14ac:dyDescent="0.3">
      <c r="A1740" t="s">
        <v>26</v>
      </c>
      <c r="C1740" s="16">
        <v>46234</v>
      </c>
      <c r="D1740">
        <v>2207.8200000000002</v>
      </c>
    </row>
    <row r="1741" spans="1:4" x14ac:dyDescent="0.3">
      <c r="A1741" t="s">
        <v>27</v>
      </c>
      <c r="C1741" s="16">
        <v>46234</v>
      </c>
      <c r="D1741">
        <v>1454589.72</v>
      </c>
    </row>
    <row r="1742" spans="1:4" x14ac:dyDescent="0.3">
      <c r="A1742" t="s">
        <v>28</v>
      </c>
      <c r="C1742" s="16">
        <v>46234</v>
      </c>
      <c r="D1742">
        <v>1968.99</v>
      </c>
    </row>
    <row r="1743" spans="1:4" x14ac:dyDescent="0.3">
      <c r="A1743" t="s">
        <v>29</v>
      </c>
      <c r="C1743" s="16">
        <v>46234</v>
      </c>
      <c r="D1743">
        <v>901.34</v>
      </c>
    </row>
    <row r="1744" spans="1:4" x14ac:dyDescent="0.3">
      <c r="A1744" t="s">
        <v>30</v>
      </c>
      <c r="C1744" s="16">
        <v>46234</v>
      </c>
      <c r="D1744">
        <v>1412.08</v>
      </c>
    </row>
    <row r="1745" spans="1:4" x14ac:dyDescent="0.3">
      <c r="A1745" t="s">
        <v>31</v>
      </c>
      <c r="C1745" s="16">
        <v>46234</v>
      </c>
      <c r="D1745">
        <v>22347.56999999996</v>
      </c>
    </row>
    <row r="1746" spans="1:4" x14ac:dyDescent="0.3">
      <c r="A1746" t="s">
        <v>32</v>
      </c>
      <c r="C1746" s="16">
        <v>46234</v>
      </c>
      <c r="D1746">
        <v>18522.800000000003</v>
      </c>
    </row>
    <row r="1747" spans="1:4" x14ac:dyDescent="0.3">
      <c r="A1747" t="s">
        <v>33</v>
      </c>
      <c r="C1747" s="16">
        <v>46234</v>
      </c>
      <c r="D1747">
        <v>24085.559999999998</v>
      </c>
    </row>
    <row r="1748" spans="1:4" x14ac:dyDescent="0.3">
      <c r="A1748" t="s">
        <v>34</v>
      </c>
      <c r="C1748" s="16">
        <v>46234</v>
      </c>
      <c r="D1748">
        <v>345</v>
      </c>
    </row>
    <row r="1749" spans="1:4" x14ac:dyDescent="0.3">
      <c r="A1749" t="s">
        <v>35</v>
      </c>
      <c r="C1749" s="16">
        <v>46234</v>
      </c>
      <c r="D1749">
        <v>11634.930000000004</v>
      </c>
    </row>
    <row r="1750" spans="1:4" x14ac:dyDescent="0.3">
      <c r="A1750" t="s">
        <v>17</v>
      </c>
      <c r="C1750" s="16">
        <v>46235</v>
      </c>
      <c r="D1750">
        <v>2468032.08</v>
      </c>
    </row>
    <row r="1751" spans="1:4" x14ac:dyDescent="0.3">
      <c r="A1751" t="s">
        <v>18</v>
      </c>
      <c r="C1751" s="16">
        <v>46235</v>
      </c>
      <c r="D1751">
        <v>83211.250000000175</v>
      </c>
    </row>
    <row r="1752" spans="1:4" x14ac:dyDescent="0.3">
      <c r="A1752" t="s">
        <v>19</v>
      </c>
      <c r="C1752" s="16">
        <v>46235</v>
      </c>
      <c r="D1752">
        <v>1669.89</v>
      </c>
    </row>
    <row r="1753" spans="1:4" x14ac:dyDescent="0.3">
      <c r="A1753" t="s">
        <v>20</v>
      </c>
      <c r="C1753" s="16">
        <v>46235</v>
      </c>
      <c r="D1753">
        <v>1458426.0399999998</v>
      </c>
    </row>
    <row r="1754" spans="1:4" x14ac:dyDescent="0.3">
      <c r="A1754" t="s">
        <v>21</v>
      </c>
      <c r="C1754" s="16">
        <v>46235</v>
      </c>
      <c r="D1754">
        <v>1514477.1199999996</v>
      </c>
    </row>
    <row r="1755" spans="1:4" x14ac:dyDescent="0.3">
      <c r="A1755" t="s">
        <v>22</v>
      </c>
      <c r="C1755" s="16">
        <v>46235</v>
      </c>
      <c r="D1755">
        <v>190496.38</v>
      </c>
    </row>
    <row r="1756" spans="1:4" x14ac:dyDescent="0.3">
      <c r="A1756" t="s">
        <v>23</v>
      </c>
      <c r="C1756" s="16">
        <v>46235</v>
      </c>
      <c r="D1756">
        <v>88090.37</v>
      </c>
    </row>
    <row r="1757" spans="1:4" x14ac:dyDescent="0.3">
      <c r="A1757" t="s">
        <v>24</v>
      </c>
      <c r="C1757" s="16">
        <v>46235</v>
      </c>
      <c r="D1757">
        <v>14580.45</v>
      </c>
    </row>
    <row r="1758" spans="1:4" x14ac:dyDescent="0.3">
      <c r="A1758" t="s">
        <v>25</v>
      </c>
      <c r="C1758" s="16">
        <v>46235</v>
      </c>
      <c r="D1758">
        <v>54.400000000000006</v>
      </c>
    </row>
    <row r="1759" spans="1:4" x14ac:dyDescent="0.3">
      <c r="A1759" t="s">
        <v>26</v>
      </c>
      <c r="C1759" s="16">
        <v>46235</v>
      </c>
      <c r="D1759">
        <v>2207.8200000000002</v>
      </c>
    </row>
    <row r="1760" spans="1:4" x14ac:dyDescent="0.3">
      <c r="A1760" t="s">
        <v>27</v>
      </c>
      <c r="C1760" s="16">
        <v>46235</v>
      </c>
      <c r="D1760">
        <v>1454589.72</v>
      </c>
    </row>
    <row r="1761" spans="1:4" x14ac:dyDescent="0.3">
      <c r="A1761" t="s">
        <v>28</v>
      </c>
      <c r="C1761" s="16">
        <v>46235</v>
      </c>
      <c r="D1761">
        <v>1968.99</v>
      </c>
    </row>
    <row r="1762" spans="1:4" x14ac:dyDescent="0.3">
      <c r="A1762" t="s">
        <v>29</v>
      </c>
      <c r="C1762" s="16">
        <v>46235</v>
      </c>
      <c r="D1762">
        <v>901.34</v>
      </c>
    </row>
    <row r="1763" spans="1:4" x14ac:dyDescent="0.3">
      <c r="A1763" t="s">
        <v>30</v>
      </c>
      <c r="C1763" s="16">
        <v>46235</v>
      </c>
      <c r="D1763">
        <v>1412.08</v>
      </c>
    </row>
    <row r="1764" spans="1:4" x14ac:dyDescent="0.3">
      <c r="A1764" t="s">
        <v>31</v>
      </c>
      <c r="C1764" s="16">
        <v>46235</v>
      </c>
      <c r="D1764">
        <v>22347.56999999996</v>
      </c>
    </row>
    <row r="1765" spans="1:4" x14ac:dyDescent="0.3">
      <c r="A1765" t="s">
        <v>32</v>
      </c>
      <c r="C1765" s="16">
        <v>46235</v>
      </c>
      <c r="D1765">
        <v>18522.800000000003</v>
      </c>
    </row>
    <row r="1766" spans="1:4" x14ac:dyDescent="0.3">
      <c r="A1766" t="s">
        <v>33</v>
      </c>
      <c r="C1766" s="16">
        <v>46235</v>
      </c>
      <c r="D1766">
        <v>24085.559999999998</v>
      </c>
    </row>
    <row r="1767" spans="1:4" x14ac:dyDescent="0.3">
      <c r="A1767" t="s">
        <v>34</v>
      </c>
      <c r="C1767" s="16">
        <v>46235</v>
      </c>
      <c r="D1767">
        <v>345</v>
      </c>
    </row>
    <row r="1768" spans="1:4" x14ac:dyDescent="0.3">
      <c r="A1768" t="s">
        <v>35</v>
      </c>
      <c r="C1768" s="16">
        <v>46235</v>
      </c>
      <c r="D1768">
        <v>11634.930000000004</v>
      </c>
    </row>
    <row r="1769" spans="1:4" x14ac:dyDescent="0.3">
      <c r="A1769" t="s">
        <v>17</v>
      </c>
      <c r="C1769" s="16">
        <v>46236</v>
      </c>
      <c r="D1769">
        <v>2468032.08</v>
      </c>
    </row>
    <row r="1770" spans="1:4" x14ac:dyDescent="0.3">
      <c r="A1770" t="s">
        <v>18</v>
      </c>
      <c r="C1770" s="16">
        <v>46236</v>
      </c>
      <c r="D1770">
        <v>83211.250000000175</v>
      </c>
    </row>
    <row r="1771" spans="1:4" x14ac:dyDescent="0.3">
      <c r="A1771" t="s">
        <v>19</v>
      </c>
      <c r="C1771" s="16">
        <v>46236</v>
      </c>
      <c r="D1771">
        <v>1669.89</v>
      </c>
    </row>
    <row r="1772" spans="1:4" x14ac:dyDescent="0.3">
      <c r="A1772" t="s">
        <v>20</v>
      </c>
      <c r="C1772" s="16">
        <v>46236</v>
      </c>
      <c r="D1772">
        <v>1458426.0399999998</v>
      </c>
    </row>
    <row r="1773" spans="1:4" x14ac:dyDescent="0.3">
      <c r="A1773" t="s">
        <v>21</v>
      </c>
      <c r="C1773" s="16">
        <v>46236</v>
      </c>
      <c r="D1773">
        <v>1514477.1199999996</v>
      </c>
    </row>
    <row r="1774" spans="1:4" x14ac:dyDescent="0.3">
      <c r="A1774" t="s">
        <v>22</v>
      </c>
      <c r="C1774" s="16">
        <v>46236</v>
      </c>
      <c r="D1774">
        <v>190496.38</v>
      </c>
    </row>
    <row r="1775" spans="1:4" x14ac:dyDescent="0.3">
      <c r="A1775" t="s">
        <v>23</v>
      </c>
      <c r="C1775" s="16">
        <v>46236</v>
      </c>
      <c r="D1775">
        <v>88090.37</v>
      </c>
    </row>
    <row r="1776" spans="1:4" x14ac:dyDescent="0.3">
      <c r="A1776" t="s">
        <v>24</v>
      </c>
      <c r="C1776" s="16">
        <v>46236</v>
      </c>
      <c r="D1776">
        <v>14580.45</v>
      </c>
    </row>
    <row r="1777" spans="1:4" x14ac:dyDescent="0.3">
      <c r="A1777" t="s">
        <v>25</v>
      </c>
      <c r="C1777" s="16">
        <v>46236</v>
      </c>
      <c r="D1777">
        <v>54.400000000000006</v>
      </c>
    </row>
    <row r="1778" spans="1:4" x14ac:dyDescent="0.3">
      <c r="A1778" t="s">
        <v>26</v>
      </c>
      <c r="C1778" s="16">
        <v>46236</v>
      </c>
      <c r="D1778">
        <v>2207.8200000000002</v>
      </c>
    </row>
    <row r="1779" spans="1:4" x14ac:dyDescent="0.3">
      <c r="A1779" t="s">
        <v>27</v>
      </c>
      <c r="C1779" s="16">
        <v>46236</v>
      </c>
      <c r="D1779">
        <v>1454589.72</v>
      </c>
    </row>
    <row r="1780" spans="1:4" x14ac:dyDescent="0.3">
      <c r="A1780" t="s">
        <v>28</v>
      </c>
      <c r="C1780" s="16">
        <v>46236</v>
      </c>
      <c r="D1780">
        <v>1968.99</v>
      </c>
    </row>
    <row r="1781" spans="1:4" x14ac:dyDescent="0.3">
      <c r="A1781" t="s">
        <v>29</v>
      </c>
      <c r="C1781" s="16">
        <v>46236</v>
      </c>
      <c r="D1781">
        <v>901.34</v>
      </c>
    </row>
    <row r="1782" spans="1:4" x14ac:dyDescent="0.3">
      <c r="A1782" t="s">
        <v>30</v>
      </c>
      <c r="C1782" s="16">
        <v>46236</v>
      </c>
      <c r="D1782">
        <v>1412.08</v>
      </c>
    </row>
    <row r="1783" spans="1:4" x14ac:dyDescent="0.3">
      <c r="A1783" t="s">
        <v>31</v>
      </c>
      <c r="C1783" s="16">
        <v>46236</v>
      </c>
      <c r="D1783">
        <v>22347.56999999996</v>
      </c>
    </row>
    <row r="1784" spans="1:4" x14ac:dyDescent="0.3">
      <c r="A1784" t="s">
        <v>32</v>
      </c>
      <c r="C1784" s="16">
        <v>46236</v>
      </c>
      <c r="D1784">
        <v>18522.800000000003</v>
      </c>
    </row>
    <row r="1785" spans="1:4" x14ac:dyDescent="0.3">
      <c r="A1785" t="s">
        <v>33</v>
      </c>
      <c r="C1785" s="16">
        <v>46236</v>
      </c>
      <c r="D1785">
        <v>24085.559999999998</v>
      </c>
    </row>
    <row r="1786" spans="1:4" x14ac:dyDescent="0.3">
      <c r="A1786" t="s">
        <v>34</v>
      </c>
      <c r="C1786" s="16">
        <v>46236</v>
      </c>
      <c r="D1786">
        <v>345</v>
      </c>
    </row>
    <row r="1787" spans="1:4" x14ac:dyDescent="0.3">
      <c r="A1787" t="s">
        <v>35</v>
      </c>
      <c r="C1787" s="16">
        <v>46236</v>
      </c>
      <c r="D1787">
        <v>11634.930000000004</v>
      </c>
    </row>
    <row r="1788" spans="1:4" x14ac:dyDescent="0.3">
      <c r="A1788" t="s">
        <v>17</v>
      </c>
      <c r="C1788" s="16">
        <v>46237</v>
      </c>
      <c r="D1788">
        <v>2468032.08</v>
      </c>
    </row>
    <row r="1789" spans="1:4" x14ac:dyDescent="0.3">
      <c r="A1789" t="s">
        <v>18</v>
      </c>
      <c r="C1789" s="16">
        <v>46237</v>
      </c>
      <c r="D1789">
        <v>83211.250000000175</v>
      </c>
    </row>
    <row r="1790" spans="1:4" x14ac:dyDescent="0.3">
      <c r="A1790" t="s">
        <v>19</v>
      </c>
      <c r="C1790" s="16">
        <v>46237</v>
      </c>
      <c r="D1790">
        <v>1669.89</v>
      </c>
    </row>
    <row r="1791" spans="1:4" x14ac:dyDescent="0.3">
      <c r="A1791" t="s">
        <v>20</v>
      </c>
      <c r="C1791" s="16">
        <v>46237</v>
      </c>
      <c r="D1791">
        <v>1458426.0399999998</v>
      </c>
    </row>
    <row r="1792" spans="1:4" x14ac:dyDescent="0.3">
      <c r="A1792" t="s">
        <v>21</v>
      </c>
      <c r="C1792" s="16">
        <v>46237</v>
      </c>
      <c r="D1792">
        <v>1514477.1199999996</v>
      </c>
    </row>
    <row r="1793" spans="1:4" x14ac:dyDescent="0.3">
      <c r="A1793" t="s">
        <v>22</v>
      </c>
      <c r="C1793" s="16">
        <v>46237</v>
      </c>
      <c r="D1793">
        <v>190496.38</v>
      </c>
    </row>
    <row r="1794" spans="1:4" x14ac:dyDescent="0.3">
      <c r="A1794" t="s">
        <v>23</v>
      </c>
      <c r="C1794" s="16">
        <v>46237</v>
      </c>
      <c r="D1794">
        <v>88090.37</v>
      </c>
    </row>
    <row r="1795" spans="1:4" x14ac:dyDescent="0.3">
      <c r="A1795" t="s">
        <v>24</v>
      </c>
      <c r="C1795" s="16">
        <v>46237</v>
      </c>
      <c r="D1795">
        <v>14580.45</v>
      </c>
    </row>
    <row r="1796" spans="1:4" x14ac:dyDescent="0.3">
      <c r="A1796" t="s">
        <v>25</v>
      </c>
      <c r="C1796" s="16">
        <v>46237</v>
      </c>
      <c r="D1796">
        <v>24.450000000000003</v>
      </c>
    </row>
    <row r="1797" spans="1:4" x14ac:dyDescent="0.3">
      <c r="A1797" t="s">
        <v>26</v>
      </c>
      <c r="C1797" s="16">
        <v>46237</v>
      </c>
      <c r="D1797">
        <v>2177.87</v>
      </c>
    </row>
    <row r="1798" spans="1:4" x14ac:dyDescent="0.3">
      <c r="A1798" t="s">
        <v>27</v>
      </c>
      <c r="C1798" s="16">
        <v>46237</v>
      </c>
      <c r="D1798">
        <v>1454589.72</v>
      </c>
    </row>
    <row r="1799" spans="1:4" x14ac:dyDescent="0.3">
      <c r="A1799" t="s">
        <v>28</v>
      </c>
      <c r="C1799" s="16">
        <v>46237</v>
      </c>
      <c r="D1799">
        <v>1968.99</v>
      </c>
    </row>
    <row r="1800" spans="1:4" x14ac:dyDescent="0.3">
      <c r="A1800" t="s">
        <v>29</v>
      </c>
      <c r="C1800" s="16">
        <v>46237</v>
      </c>
      <c r="D1800">
        <v>901.34</v>
      </c>
    </row>
    <row r="1801" spans="1:4" x14ac:dyDescent="0.3">
      <c r="A1801" t="s">
        <v>30</v>
      </c>
      <c r="C1801" s="16">
        <v>46237</v>
      </c>
      <c r="D1801">
        <v>1396.08</v>
      </c>
    </row>
    <row r="1802" spans="1:4" x14ac:dyDescent="0.3">
      <c r="A1802" t="s">
        <v>31</v>
      </c>
      <c r="C1802" s="16">
        <v>46237</v>
      </c>
      <c r="D1802">
        <v>13804.239999999962</v>
      </c>
    </row>
    <row r="1803" spans="1:4" x14ac:dyDescent="0.3">
      <c r="A1803" t="s">
        <v>32</v>
      </c>
      <c r="C1803" s="16">
        <v>46237</v>
      </c>
      <c r="D1803">
        <v>8724.1700000000037</v>
      </c>
    </row>
    <row r="1804" spans="1:4" x14ac:dyDescent="0.3">
      <c r="A1804" t="s">
        <v>33</v>
      </c>
      <c r="C1804" s="16">
        <v>46237</v>
      </c>
      <c r="D1804">
        <v>10706.099999999997</v>
      </c>
    </row>
    <row r="1805" spans="1:4" x14ac:dyDescent="0.3">
      <c r="A1805" t="s">
        <v>34</v>
      </c>
      <c r="C1805" s="16">
        <v>46237</v>
      </c>
      <c r="D1805">
        <v>345</v>
      </c>
    </row>
    <row r="1806" spans="1:4" x14ac:dyDescent="0.3">
      <c r="A1806" t="s">
        <v>35</v>
      </c>
      <c r="C1806" s="16">
        <v>46237</v>
      </c>
      <c r="D1806">
        <v>8270.3500000000022</v>
      </c>
    </row>
    <row r="1807" spans="1:4" x14ac:dyDescent="0.3">
      <c r="A1807" t="s">
        <v>17</v>
      </c>
      <c r="C1807" s="16">
        <v>46238</v>
      </c>
      <c r="D1807">
        <v>2468032.08</v>
      </c>
    </row>
    <row r="1808" spans="1:4" x14ac:dyDescent="0.3">
      <c r="A1808" t="s">
        <v>18</v>
      </c>
      <c r="C1808" s="16">
        <v>46238</v>
      </c>
      <c r="D1808">
        <v>83211.250000000175</v>
      </c>
    </row>
    <row r="1809" spans="1:4" x14ac:dyDescent="0.3">
      <c r="A1809" t="s">
        <v>19</v>
      </c>
      <c r="C1809" s="16">
        <v>46238</v>
      </c>
      <c r="D1809">
        <v>1669.89</v>
      </c>
    </row>
    <row r="1810" spans="1:4" x14ac:dyDescent="0.3">
      <c r="A1810" t="s">
        <v>20</v>
      </c>
      <c r="C1810" s="16">
        <v>46238</v>
      </c>
      <c r="D1810">
        <v>1458426.0399999998</v>
      </c>
    </row>
    <row r="1811" spans="1:4" x14ac:dyDescent="0.3">
      <c r="A1811" t="s">
        <v>21</v>
      </c>
      <c r="C1811" s="16">
        <v>46238</v>
      </c>
      <c r="D1811">
        <v>1513867.4199999995</v>
      </c>
    </row>
    <row r="1812" spans="1:4" x14ac:dyDescent="0.3">
      <c r="A1812" t="s">
        <v>22</v>
      </c>
      <c r="C1812" s="16">
        <v>46238</v>
      </c>
      <c r="D1812">
        <v>184496.38</v>
      </c>
    </row>
    <row r="1813" spans="1:4" x14ac:dyDescent="0.3">
      <c r="A1813" t="s">
        <v>23</v>
      </c>
      <c r="C1813" s="16">
        <v>46238</v>
      </c>
      <c r="D1813">
        <v>88090.37</v>
      </c>
    </row>
    <row r="1814" spans="1:4" x14ac:dyDescent="0.3">
      <c r="A1814" t="s">
        <v>24</v>
      </c>
      <c r="C1814" s="16">
        <v>46238</v>
      </c>
      <c r="D1814">
        <v>14580.45</v>
      </c>
    </row>
    <row r="1815" spans="1:4" x14ac:dyDescent="0.3">
      <c r="A1815" t="s">
        <v>25</v>
      </c>
      <c r="C1815" s="16">
        <v>46238</v>
      </c>
      <c r="D1815">
        <v>24.450000000000003</v>
      </c>
    </row>
    <row r="1816" spans="1:4" x14ac:dyDescent="0.3">
      <c r="A1816" t="s">
        <v>26</v>
      </c>
      <c r="C1816" s="16">
        <v>46238</v>
      </c>
      <c r="D1816">
        <v>2177.87</v>
      </c>
    </row>
    <row r="1817" spans="1:4" x14ac:dyDescent="0.3">
      <c r="A1817" t="s">
        <v>27</v>
      </c>
      <c r="C1817" s="16">
        <v>46238</v>
      </c>
      <c r="D1817">
        <v>1454589.72</v>
      </c>
    </row>
    <row r="1818" spans="1:4" x14ac:dyDescent="0.3">
      <c r="A1818" t="s">
        <v>28</v>
      </c>
      <c r="C1818" s="16">
        <v>46238</v>
      </c>
      <c r="D1818">
        <v>1968.99</v>
      </c>
    </row>
    <row r="1819" spans="1:4" x14ac:dyDescent="0.3">
      <c r="A1819" t="s">
        <v>29</v>
      </c>
      <c r="C1819" s="16">
        <v>46238</v>
      </c>
      <c r="D1819">
        <v>901.34</v>
      </c>
    </row>
    <row r="1820" spans="1:4" x14ac:dyDescent="0.3">
      <c r="A1820" t="s">
        <v>30</v>
      </c>
      <c r="C1820" s="16">
        <v>46238</v>
      </c>
      <c r="D1820">
        <v>1396.08</v>
      </c>
    </row>
    <row r="1821" spans="1:4" x14ac:dyDescent="0.3">
      <c r="A1821" t="s">
        <v>31</v>
      </c>
      <c r="C1821" s="16">
        <v>46238</v>
      </c>
      <c r="D1821">
        <v>13804.239999999962</v>
      </c>
    </row>
    <row r="1822" spans="1:4" x14ac:dyDescent="0.3">
      <c r="A1822" t="s">
        <v>32</v>
      </c>
      <c r="C1822" s="16">
        <v>46238</v>
      </c>
      <c r="D1822">
        <v>8724.1700000000037</v>
      </c>
    </row>
    <row r="1823" spans="1:4" x14ac:dyDescent="0.3">
      <c r="A1823" t="s">
        <v>33</v>
      </c>
      <c r="C1823" s="16">
        <v>46238</v>
      </c>
      <c r="D1823">
        <v>10706.099999999997</v>
      </c>
    </row>
    <row r="1824" spans="1:4" x14ac:dyDescent="0.3">
      <c r="A1824" t="s">
        <v>34</v>
      </c>
      <c r="C1824" s="16">
        <v>46238</v>
      </c>
      <c r="D1824">
        <v>345</v>
      </c>
    </row>
    <row r="1825" spans="1:4" x14ac:dyDescent="0.3">
      <c r="A1825" t="s">
        <v>35</v>
      </c>
      <c r="C1825" s="16">
        <v>46238</v>
      </c>
      <c r="D1825">
        <v>7879.4200000000019</v>
      </c>
    </row>
    <row r="1826" spans="1:4" x14ac:dyDescent="0.3">
      <c r="A1826" t="s">
        <v>17</v>
      </c>
      <c r="C1826" s="16">
        <v>46239</v>
      </c>
      <c r="D1826">
        <v>2468032.08</v>
      </c>
    </row>
    <row r="1827" spans="1:4" x14ac:dyDescent="0.3">
      <c r="A1827" t="s">
        <v>18</v>
      </c>
      <c r="C1827" s="16">
        <v>46239</v>
      </c>
      <c r="D1827">
        <v>83211.250000000175</v>
      </c>
    </row>
    <row r="1828" spans="1:4" x14ac:dyDescent="0.3">
      <c r="A1828" t="s">
        <v>19</v>
      </c>
      <c r="C1828" s="16">
        <v>46239</v>
      </c>
      <c r="D1828">
        <v>1669.89</v>
      </c>
    </row>
    <row r="1829" spans="1:4" x14ac:dyDescent="0.3">
      <c r="A1829" t="s">
        <v>20</v>
      </c>
      <c r="C1829" s="16">
        <v>46239</v>
      </c>
      <c r="D1829">
        <v>1452426.0399999998</v>
      </c>
    </row>
    <row r="1830" spans="1:4" x14ac:dyDescent="0.3">
      <c r="A1830" t="s">
        <v>21</v>
      </c>
      <c r="C1830" s="16">
        <v>46239</v>
      </c>
      <c r="D1830">
        <v>1512187.6399999997</v>
      </c>
    </row>
    <row r="1831" spans="1:4" x14ac:dyDescent="0.3">
      <c r="A1831" t="s">
        <v>22</v>
      </c>
      <c r="C1831" s="16">
        <v>46239</v>
      </c>
      <c r="D1831">
        <v>184496.38</v>
      </c>
    </row>
    <row r="1832" spans="1:4" x14ac:dyDescent="0.3">
      <c r="A1832" t="s">
        <v>23</v>
      </c>
      <c r="C1832" s="16">
        <v>46239</v>
      </c>
      <c r="D1832">
        <v>88090.37</v>
      </c>
    </row>
    <row r="1833" spans="1:4" x14ac:dyDescent="0.3">
      <c r="A1833" t="s">
        <v>24</v>
      </c>
      <c r="C1833" s="16">
        <v>46239</v>
      </c>
      <c r="D1833">
        <v>14580.45</v>
      </c>
    </row>
    <row r="1834" spans="1:4" x14ac:dyDescent="0.3">
      <c r="A1834" t="s">
        <v>25</v>
      </c>
      <c r="C1834" s="16">
        <v>46239</v>
      </c>
      <c r="D1834">
        <v>24.450000000000003</v>
      </c>
    </row>
    <row r="1835" spans="1:4" x14ac:dyDescent="0.3">
      <c r="A1835" t="s">
        <v>26</v>
      </c>
      <c r="C1835" s="16">
        <v>46239</v>
      </c>
      <c r="D1835">
        <v>2177.87</v>
      </c>
    </row>
    <row r="1836" spans="1:4" x14ac:dyDescent="0.3">
      <c r="A1836" t="s">
        <v>27</v>
      </c>
      <c r="C1836" s="16">
        <v>46239</v>
      </c>
      <c r="D1836">
        <v>1454589.72</v>
      </c>
    </row>
    <row r="1837" spans="1:4" x14ac:dyDescent="0.3">
      <c r="A1837" t="s">
        <v>28</v>
      </c>
      <c r="C1837" s="16">
        <v>46239</v>
      </c>
      <c r="D1837">
        <v>1968.99</v>
      </c>
    </row>
    <row r="1838" spans="1:4" x14ac:dyDescent="0.3">
      <c r="A1838" t="s">
        <v>29</v>
      </c>
      <c r="C1838" s="16">
        <v>46239</v>
      </c>
      <c r="D1838">
        <v>901.34</v>
      </c>
    </row>
    <row r="1839" spans="1:4" x14ac:dyDescent="0.3">
      <c r="A1839" t="s">
        <v>30</v>
      </c>
      <c r="C1839" s="16">
        <v>46239</v>
      </c>
      <c r="D1839">
        <v>1396.08</v>
      </c>
    </row>
    <row r="1840" spans="1:4" x14ac:dyDescent="0.3">
      <c r="A1840" t="s">
        <v>31</v>
      </c>
      <c r="C1840" s="16">
        <v>46239</v>
      </c>
      <c r="D1840">
        <v>13804.239999999962</v>
      </c>
    </row>
    <row r="1841" spans="1:4" x14ac:dyDescent="0.3">
      <c r="A1841" t="s">
        <v>32</v>
      </c>
      <c r="C1841" s="16">
        <v>46239</v>
      </c>
      <c r="D1841">
        <v>8724.1700000000037</v>
      </c>
    </row>
    <row r="1842" spans="1:4" x14ac:dyDescent="0.3">
      <c r="A1842" t="s">
        <v>33</v>
      </c>
      <c r="C1842" s="16">
        <v>46239</v>
      </c>
      <c r="D1842">
        <v>10706.099999999997</v>
      </c>
    </row>
    <row r="1843" spans="1:4" x14ac:dyDescent="0.3">
      <c r="A1843" t="s">
        <v>34</v>
      </c>
      <c r="C1843" s="16">
        <v>46239</v>
      </c>
      <c r="D1843">
        <v>345</v>
      </c>
    </row>
    <row r="1844" spans="1:4" x14ac:dyDescent="0.3">
      <c r="A1844" t="s">
        <v>35</v>
      </c>
      <c r="C1844" s="16">
        <v>46239</v>
      </c>
      <c r="D1844">
        <v>7879.4200000000019</v>
      </c>
    </row>
    <row r="1845" spans="1:4" x14ac:dyDescent="0.3">
      <c r="A1845" t="s">
        <v>17</v>
      </c>
      <c r="C1845" s="16">
        <v>46240</v>
      </c>
      <c r="D1845">
        <v>1153390.4100000001</v>
      </c>
    </row>
    <row r="1846" spans="1:4" x14ac:dyDescent="0.3">
      <c r="A1846" t="s">
        <v>18</v>
      </c>
      <c r="C1846" s="16">
        <v>46240</v>
      </c>
      <c r="D1846">
        <v>83211.250000000175</v>
      </c>
    </row>
    <row r="1847" spans="1:4" x14ac:dyDescent="0.3">
      <c r="A1847" t="s">
        <v>19</v>
      </c>
      <c r="C1847" s="16">
        <v>46240</v>
      </c>
      <c r="D1847">
        <v>1669.89</v>
      </c>
    </row>
    <row r="1848" spans="1:4" x14ac:dyDescent="0.3">
      <c r="A1848" t="s">
        <v>20</v>
      </c>
      <c r="C1848" s="16">
        <v>46240</v>
      </c>
      <c r="D1848">
        <v>1349451.94</v>
      </c>
    </row>
    <row r="1849" spans="1:4" x14ac:dyDescent="0.3">
      <c r="A1849" t="s">
        <v>21</v>
      </c>
      <c r="C1849" s="16">
        <v>46240</v>
      </c>
      <c r="D1849">
        <v>2102073.7899999996</v>
      </c>
    </row>
    <row r="1850" spans="1:4" x14ac:dyDescent="0.3">
      <c r="A1850" t="s">
        <v>22</v>
      </c>
      <c r="C1850" s="16">
        <v>46240</v>
      </c>
      <c r="D1850">
        <v>171496.38</v>
      </c>
    </row>
    <row r="1851" spans="1:4" x14ac:dyDescent="0.3">
      <c r="A1851" t="s">
        <v>23</v>
      </c>
      <c r="C1851" s="16">
        <v>46240</v>
      </c>
      <c r="D1851">
        <v>88090.37</v>
      </c>
    </row>
    <row r="1852" spans="1:4" x14ac:dyDescent="0.3">
      <c r="A1852" t="s">
        <v>24</v>
      </c>
      <c r="C1852" s="16">
        <v>46240</v>
      </c>
      <c r="D1852">
        <v>14580.45</v>
      </c>
    </row>
    <row r="1853" spans="1:4" x14ac:dyDescent="0.3">
      <c r="A1853" t="s">
        <v>25</v>
      </c>
      <c r="C1853" s="16">
        <v>46240</v>
      </c>
      <c r="D1853">
        <v>24.450000000000003</v>
      </c>
    </row>
    <row r="1854" spans="1:4" x14ac:dyDescent="0.3">
      <c r="A1854" t="s">
        <v>26</v>
      </c>
      <c r="C1854" s="16">
        <v>46240</v>
      </c>
      <c r="D1854">
        <v>2177.87</v>
      </c>
    </row>
    <row r="1855" spans="1:4" x14ac:dyDescent="0.3">
      <c r="A1855" t="s">
        <v>27</v>
      </c>
      <c r="C1855" s="16">
        <v>46240</v>
      </c>
      <c r="D1855">
        <v>1454589.72</v>
      </c>
    </row>
    <row r="1856" spans="1:4" x14ac:dyDescent="0.3">
      <c r="A1856" t="s">
        <v>28</v>
      </c>
      <c r="C1856" s="16">
        <v>46240</v>
      </c>
      <c r="D1856">
        <v>1968.99</v>
      </c>
    </row>
    <row r="1857" spans="1:4" x14ac:dyDescent="0.3">
      <c r="A1857" t="s">
        <v>29</v>
      </c>
      <c r="C1857" s="16">
        <v>46240</v>
      </c>
      <c r="D1857">
        <v>901.34</v>
      </c>
    </row>
    <row r="1858" spans="1:4" x14ac:dyDescent="0.3">
      <c r="A1858" t="s">
        <v>30</v>
      </c>
      <c r="C1858" s="16">
        <v>46240</v>
      </c>
      <c r="D1858">
        <v>1396.08</v>
      </c>
    </row>
    <row r="1859" spans="1:4" x14ac:dyDescent="0.3">
      <c r="A1859" t="s">
        <v>31</v>
      </c>
      <c r="C1859" s="16">
        <v>46240</v>
      </c>
      <c r="D1859">
        <v>13804.239999999962</v>
      </c>
    </row>
    <row r="1860" spans="1:4" x14ac:dyDescent="0.3">
      <c r="A1860" t="s">
        <v>32</v>
      </c>
      <c r="C1860" s="16">
        <v>46240</v>
      </c>
      <c r="D1860">
        <v>8724.1700000000037</v>
      </c>
    </row>
    <row r="1861" spans="1:4" x14ac:dyDescent="0.3">
      <c r="A1861" t="s">
        <v>33</v>
      </c>
      <c r="C1861" s="16">
        <v>46240</v>
      </c>
      <c r="D1861">
        <v>10706.099999999997</v>
      </c>
    </row>
    <row r="1862" spans="1:4" x14ac:dyDescent="0.3">
      <c r="A1862" t="s">
        <v>34</v>
      </c>
      <c r="C1862" s="16">
        <v>46240</v>
      </c>
      <c r="D1862">
        <v>345</v>
      </c>
    </row>
    <row r="1863" spans="1:4" x14ac:dyDescent="0.3">
      <c r="A1863" t="s">
        <v>35</v>
      </c>
      <c r="C1863" s="16">
        <v>46240</v>
      </c>
      <c r="D1863">
        <v>12470.040000000003</v>
      </c>
    </row>
    <row r="1864" spans="1:4" x14ac:dyDescent="0.3">
      <c r="A1864" t="s">
        <v>17</v>
      </c>
      <c r="C1864" s="16">
        <v>46241</v>
      </c>
      <c r="D1864">
        <v>1153390.4100000001</v>
      </c>
    </row>
    <row r="1865" spans="1:4" x14ac:dyDescent="0.3">
      <c r="A1865" t="s">
        <v>18</v>
      </c>
      <c r="C1865" s="16">
        <v>46241</v>
      </c>
      <c r="D1865">
        <v>83211.250000000175</v>
      </c>
    </row>
    <row r="1866" spans="1:4" x14ac:dyDescent="0.3">
      <c r="A1866" t="s">
        <v>19</v>
      </c>
      <c r="C1866" s="16">
        <v>46241</v>
      </c>
      <c r="D1866">
        <v>1669.89</v>
      </c>
    </row>
    <row r="1867" spans="1:4" x14ac:dyDescent="0.3">
      <c r="A1867" t="s">
        <v>20</v>
      </c>
      <c r="C1867" s="16">
        <v>46241</v>
      </c>
      <c r="D1867">
        <v>1349451.94</v>
      </c>
    </row>
    <row r="1868" spans="1:4" x14ac:dyDescent="0.3">
      <c r="A1868" t="s">
        <v>21</v>
      </c>
      <c r="C1868" s="16">
        <v>46241</v>
      </c>
      <c r="D1868">
        <v>2102073.7899999996</v>
      </c>
    </row>
    <row r="1869" spans="1:4" x14ac:dyDescent="0.3">
      <c r="A1869" t="s">
        <v>22</v>
      </c>
      <c r="C1869" s="16">
        <v>46241</v>
      </c>
      <c r="D1869">
        <v>171496.38</v>
      </c>
    </row>
    <row r="1870" spans="1:4" x14ac:dyDescent="0.3">
      <c r="A1870" t="s">
        <v>23</v>
      </c>
      <c r="C1870" s="16">
        <v>46241</v>
      </c>
      <c r="D1870">
        <v>88090.37</v>
      </c>
    </row>
    <row r="1871" spans="1:4" x14ac:dyDescent="0.3">
      <c r="A1871" t="s">
        <v>24</v>
      </c>
      <c r="C1871" s="16">
        <v>46241</v>
      </c>
      <c r="D1871">
        <v>14580.45</v>
      </c>
    </row>
    <row r="1872" spans="1:4" x14ac:dyDescent="0.3">
      <c r="A1872" t="s">
        <v>25</v>
      </c>
      <c r="C1872" s="16">
        <v>46241</v>
      </c>
      <c r="D1872">
        <v>24.450000000000003</v>
      </c>
    </row>
    <row r="1873" spans="1:4" x14ac:dyDescent="0.3">
      <c r="A1873" t="s">
        <v>26</v>
      </c>
      <c r="C1873" s="16">
        <v>46241</v>
      </c>
      <c r="D1873">
        <v>2177.87</v>
      </c>
    </row>
    <row r="1874" spans="1:4" x14ac:dyDescent="0.3">
      <c r="A1874" t="s">
        <v>27</v>
      </c>
      <c r="C1874" s="16">
        <v>46241</v>
      </c>
      <c r="D1874">
        <v>1454589.72</v>
      </c>
    </row>
    <row r="1875" spans="1:4" x14ac:dyDescent="0.3">
      <c r="A1875" t="s">
        <v>28</v>
      </c>
      <c r="C1875" s="16">
        <v>46241</v>
      </c>
      <c r="D1875">
        <v>1968.99</v>
      </c>
    </row>
    <row r="1876" spans="1:4" x14ac:dyDescent="0.3">
      <c r="A1876" t="s">
        <v>29</v>
      </c>
      <c r="C1876" s="16">
        <v>46241</v>
      </c>
      <c r="D1876">
        <v>901.34</v>
      </c>
    </row>
    <row r="1877" spans="1:4" x14ac:dyDescent="0.3">
      <c r="A1877" t="s">
        <v>30</v>
      </c>
      <c r="C1877" s="16">
        <v>46241</v>
      </c>
      <c r="D1877">
        <v>1396.08</v>
      </c>
    </row>
    <row r="1878" spans="1:4" x14ac:dyDescent="0.3">
      <c r="A1878" t="s">
        <v>31</v>
      </c>
      <c r="C1878" s="16">
        <v>46241</v>
      </c>
      <c r="D1878">
        <v>11259.639999999961</v>
      </c>
    </row>
    <row r="1879" spans="1:4" x14ac:dyDescent="0.3">
      <c r="A1879" t="s">
        <v>32</v>
      </c>
      <c r="C1879" s="16">
        <v>46241</v>
      </c>
      <c r="D1879">
        <v>8724.1700000000037</v>
      </c>
    </row>
    <row r="1880" spans="1:4" x14ac:dyDescent="0.3">
      <c r="A1880" t="s">
        <v>33</v>
      </c>
      <c r="C1880" s="16">
        <v>46241</v>
      </c>
      <c r="D1880">
        <v>15706.099999999997</v>
      </c>
    </row>
    <row r="1881" spans="1:4" x14ac:dyDescent="0.3">
      <c r="A1881" t="s">
        <v>34</v>
      </c>
      <c r="C1881" s="16">
        <v>46241</v>
      </c>
      <c r="D1881">
        <v>345</v>
      </c>
    </row>
    <row r="1882" spans="1:4" x14ac:dyDescent="0.3">
      <c r="A1882" t="s">
        <v>35</v>
      </c>
      <c r="C1882" s="16">
        <v>46241</v>
      </c>
      <c r="D1882">
        <v>12470.040000000003</v>
      </c>
    </row>
    <row r="1883" spans="1:4" x14ac:dyDescent="0.3">
      <c r="A1883" t="s">
        <v>17</v>
      </c>
      <c r="C1883" s="16">
        <v>46242</v>
      </c>
      <c r="D1883">
        <v>1153390.4100000001</v>
      </c>
    </row>
    <row r="1884" spans="1:4" x14ac:dyDescent="0.3">
      <c r="A1884" t="s">
        <v>18</v>
      </c>
      <c r="C1884" s="16">
        <v>46242</v>
      </c>
      <c r="D1884">
        <v>83211.250000000175</v>
      </c>
    </row>
    <row r="1885" spans="1:4" x14ac:dyDescent="0.3">
      <c r="A1885" t="s">
        <v>19</v>
      </c>
      <c r="C1885" s="16">
        <v>46242</v>
      </c>
      <c r="D1885">
        <v>1669.89</v>
      </c>
    </row>
    <row r="1886" spans="1:4" x14ac:dyDescent="0.3">
      <c r="A1886" t="s">
        <v>20</v>
      </c>
      <c r="C1886" s="16">
        <v>46242</v>
      </c>
      <c r="D1886">
        <v>1349451.94</v>
      </c>
    </row>
    <row r="1887" spans="1:4" x14ac:dyDescent="0.3">
      <c r="A1887" t="s">
        <v>21</v>
      </c>
      <c r="C1887" s="16">
        <v>46242</v>
      </c>
      <c r="D1887">
        <v>2102073.7899999996</v>
      </c>
    </row>
    <row r="1888" spans="1:4" x14ac:dyDescent="0.3">
      <c r="A1888" t="s">
        <v>22</v>
      </c>
      <c r="C1888" s="16">
        <v>46242</v>
      </c>
      <c r="D1888">
        <v>171496.38</v>
      </c>
    </row>
    <row r="1889" spans="1:4" x14ac:dyDescent="0.3">
      <c r="A1889" t="s">
        <v>23</v>
      </c>
      <c r="C1889" s="16">
        <v>46242</v>
      </c>
      <c r="D1889">
        <v>88090.37</v>
      </c>
    </row>
    <row r="1890" spans="1:4" x14ac:dyDescent="0.3">
      <c r="A1890" t="s">
        <v>24</v>
      </c>
      <c r="C1890" s="16">
        <v>46242</v>
      </c>
      <c r="D1890">
        <v>14580.45</v>
      </c>
    </row>
    <row r="1891" spans="1:4" x14ac:dyDescent="0.3">
      <c r="A1891" t="s">
        <v>25</v>
      </c>
      <c r="C1891" s="16">
        <v>46242</v>
      </c>
      <c r="D1891">
        <v>24.450000000000003</v>
      </c>
    </row>
    <row r="1892" spans="1:4" x14ac:dyDescent="0.3">
      <c r="A1892" t="s">
        <v>26</v>
      </c>
      <c r="C1892" s="16">
        <v>46242</v>
      </c>
      <c r="D1892">
        <v>2177.87</v>
      </c>
    </row>
    <row r="1893" spans="1:4" x14ac:dyDescent="0.3">
      <c r="A1893" t="s">
        <v>27</v>
      </c>
      <c r="C1893" s="16">
        <v>46242</v>
      </c>
      <c r="D1893">
        <v>1454589.72</v>
      </c>
    </row>
    <row r="1894" spans="1:4" x14ac:dyDescent="0.3">
      <c r="A1894" t="s">
        <v>28</v>
      </c>
      <c r="C1894" s="16">
        <v>46242</v>
      </c>
      <c r="D1894">
        <v>1968.99</v>
      </c>
    </row>
    <row r="1895" spans="1:4" x14ac:dyDescent="0.3">
      <c r="A1895" t="s">
        <v>29</v>
      </c>
      <c r="C1895" s="16">
        <v>46242</v>
      </c>
      <c r="D1895">
        <v>901.34</v>
      </c>
    </row>
    <row r="1896" spans="1:4" x14ac:dyDescent="0.3">
      <c r="A1896" t="s">
        <v>30</v>
      </c>
      <c r="C1896" s="16">
        <v>46242</v>
      </c>
      <c r="D1896">
        <v>1396.08</v>
      </c>
    </row>
    <row r="1897" spans="1:4" x14ac:dyDescent="0.3">
      <c r="A1897" t="s">
        <v>31</v>
      </c>
      <c r="C1897" s="16">
        <v>46242</v>
      </c>
      <c r="D1897">
        <v>11259.639999999961</v>
      </c>
    </row>
    <row r="1898" spans="1:4" x14ac:dyDescent="0.3">
      <c r="A1898" t="s">
        <v>32</v>
      </c>
      <c r="C1898" s="16">
        <v>46242</v>
      </c>
      <c r="D1898">
        <v>8724.1700000000037</v>
      </c>
    </row>
    <row r="1899" spans="1:4" x14ac:dyDescent="0.3">
      <c r="A1899" t="s">
        <v>33</v>
      </c>
      <c r="C1899" s="16">
        <v>46242</v>
      </c>
      <c r="D1899">
        <v>15706.099999999997</v>
      </c>
    </row>
    <row r="1900" spans="1:4" x14ac:dyDescent="0.3">
      <c r="A1900" t="s">
        <v>34</v>
      </c>
      <c r="C1900" s="16">
        <v>46242</v>
      </c>
      <c r="D1900">
        <v>345</v>
      </c>
    </row>
    <row r="1901" spans="1:4" x14ac:dyDescent="0.3">
      <c r="A1901" t="s">
        <v>35</v>
      </c>
      <c r="C1901" s="16">
        <v>46242</v>
      </c>
      <c r="D1901">
        <v>12470.040000000003</v>
      </c>
    </row>
    <row r="1902" spans="1:4" x14ac:dyDescent="0.3">
      <c r="A1902" t="s">
        <v>17</v>
      </c>
      <c r="C1902" s="16">
        <v>46243</v>
      </c>
      <c r="D1902">
        <v>1153390.4100000001</v>
      </c>
    </row>
    <row r="1903" spans="1:4" x14ac:dyDescent="0.3">
      <c r="A1903" t="s">
        <v>18</v>
      </c>
      <c r="C1903" s="16">
        <v>46243</v>
      </c>
      <c r="D1903">
        <v>83211.250000000175</v>
      </c>
    </row>
    <row r="1904" spans="1:4" x14ac:dyDescent="0.3">
      <c r="A1904" t="s">
        <v>19</v>
      </c>
      <c r="C1904" s="16">
        <v>46243</v>
      </c>
      <c r="D1904">
        <v>1669.89</v>
      </c>
    </row>
    <row r="1905" spans="1:4" x14ac:dyDescent="0.3">
      <c r="A1905" t="s">
        <v>20</v>
      </c>
      <c r="C1905" s="16">
        <v>46243</v>
      </c>
      <c r="D1905">
        <v>1349451.94</v>
      </c>
    </row>
    <row r="1906" spans="1:4" x14ac:dyDescent="0.3">
      <c r="A1906" t="s">
        <v>21</v>
      </c>
      <c r="C1906" s="16">
        <v>46243</v>
      </c>
      <c r="D1906">
        <v>2102073.7899999996</v>
      </c>
    </row>
    <row r="1907" spans="1:4" x14ac:dyDescent="0.3">
      <c r="A1907" t="s">
        <v>22</v>
      </c>
      <c r="C1907" s="16">
        <v>46243</v>
      </c>
      <c r="D1907">
        <v>171496.38</v>
      </c>
    </row>
    <row r="1908" spans="1:4" x14ac:dyDescent="0.3">
      <c r="A1908" t="s">
        <v>23</v>
      </c>
      <c r="C1908" s="16">
        <v>46243</v>
      </c>
      <c r="D1908">
        <v>88090.37</v>
      </c>
    </row>
    <row r="1909" spans="1:4" x14ac:dyDescent="0.3">
      <c r="A1909" t="s">
        <v>24</v>
      </c>
      <c r="C1909" s="16">
        <v>46243</v>
      </c>
      <c r="D1909">
        <v>14580.45</v>
      </c>
    </row>
    <row r="1910" spans="1:4" x14ac:dyDescent="0.3">
      <c r="A1910" t="s">
        <v>25</v>
      </c>
      <c r="C1910" s="16">
        <v>46243</v>
      </c>
      <c r="D1910">
        <v>24.450000000000003</v>
      </c>
    </row>
    <row r="1911" spans="1:4" x14ac:dyDescent="0.3">
      <c r="A1911" t="s">
        <v>26</v>
      </c>
      <c r="C1911" s="16">
        <v>46243</v>
      </c>
      <c r="D1911">
        <v>2177.87</v>
      </c>
    </row>
    <row r="1912" spans="1:4" x14ac:dyDescent="0.3">
      <c r="A1912" t="s">
        <v>27</v>
      </c>
      <c r="C1912" s="16">
        <v>46243</v>
      </c>
      <c r="D1912">
        <v>1454589.72</v>
      </c>
    </row>
    <row r="1913" spans="1:4" x14ac:dyDescent="0.3">
      <c r="A1913" t="s">
        <v>28</v>
      </c>
      <c r="C1913" s="16">
        <v>46243</v>
      </c>
      <c r="D1913">
        <v>1968.99</v>
      </c>
    </row>
    <row r="1914" spans="1:4" x14ac:dyDescent="0.3">
      <c r="A1914" t="s">
        <v>29</v>
      </c>
      <c r="C1914" s="16">
        <v>46243</v>
      </c>
      <c r="D1914">
        <v>901.34</v>
      </c>
    </row>
    <row r="1915" spans="1:4" x14ac:dyDescent="0.3">
      <c r="A1915" t="s">
        <v>30</v>
      </c>
      <c r="C1915" s="16">
        <v>46243</v>
      </c>
      <c r="D1915">
        <v>1396.08</v>
      </c>
    </row>
    <row r="1916" spans="1:4" x14ac:dyDescent="0.3">
      <c r="A1916" t="s">
        <v>31</v>
      </c>
      <c r="C1916" s="16">
        <v>46243</v>
      </c>
      <c r="D1916">
        <v>11259.639999999961</v>
      </c>
    </row>
    <row r="1917" spans="1:4" x14ac:dyDescent="0.3">
      <c r="A1917" t="s">
        <v>32</v>
      </c>
      <c r="C1917" s="16">
        <v>46243</v>
      </c>
      <c r="D1917">
        <v>8724.1700000000037</v>
      </c>
    </row>
    <row r="1918" spans="1:4" x14ac:dyDescent="0.3">
      <c r="A1918" t="s">
        <v>33</v>
      </c>
      <c r="C1918" s="16">
        <v>46243</v>
      </c>
      <c r="D1918">
        <v>15706.099999999997</v>
      </c>
    </row>
    <row r="1919" spans="1:4" x14ac:dyDescent="0.3">
      <c r="A1919" t="s">
        <v>34</v>
      </c>
      <c r="C1919" s="16">
        <v>46243</v>
      </c>
      <c r="D1919">
        <v>345</v>
      </c>
    </row>
    <row r="1920" spans="1:4" x14ac:dyDescent="0.3">
      <c r="A1920" t="s">
        <v>35</v>
      </c>
      <c r="C1920" s="16">
        <v>46243</v>
      </c>
      <c r="D1920">
        <v>12470.040000000003</v>
      </c>
    </row>
    <row r="1921" spans="1:4" x14ac:dyDescent="0.3">
      <c r="A1921" t="s">
        <v>17</v>
      </c>
      <c r="C1921" s="16">
        <v>46244</v>
      </c>
      <c r="D1921">
        <v>1260076.9800000002</v>
      </c>
    </row>
    <row r="1922" spans="1:4" x14ac:dyDescent="0.3">
      <c r="A1922" t="s">
        <v>18</v>
      </c>
      <c r="C1922" s="16">
        <v>46244</v>
      </c>
      <c r="D1922">
        <v>83211.250000000175</v>
      </c>
    </row>
    <row r="1923" spans="1:4" x14ac:dyDescent="0.3">
      <c r="A1923" t="s">
        <v>19</v>
      </c>
      <c r="C1923" s="16">
        <v>46244</v>
      </c>
      <c r="D1923">
        <v>1669.89</v>
      </c>
    </row>
    <row r="1924" spans="1:4" x14ac:dyDescent="0.3">
      <c r="A1924" t="s">
        <v>20</v>
      </c>
      <c r="C1924" s="16">
        <v>46244</v>
      </c>
      <c r="D1924">
        <v>1349451.94</v>
      </c>
    </row>
    <row r="1925" spans="1:4" x14ac:dyDescent="0.3">
      <c r="A1925" t="s">
        <v>21</v>
      </c>
      <c r="C1925" s="16">
        <v>46244</v>
      </c>
      <c r="D1925">
        <v>2098801.8999999994</v>
      </c>
    </row>
    <row r="1926" spans="1:4" x14ac:dyDescent="0.3">
      <c r="A1926" t="s">
        <v>22</v>
      </c>
      <c r="C1926" s="16">
        <v>46244</v>
      </c>
      <c r="D1926">
        <v>171496.38</v>
      </c>
    </row>
    <row r="1927" spans="1:4" x14ac:dyDescent="0.3">
      <c r="A1927" t="s">
        <v>23</v>
      </c>
      <c r="C1927" s="16">
        <v>46244</v>
      </c>
      <c r="D1927">
        <v>88090.37</v>
      </c>
    </row>
    <row r="1928" spans="1:4" x14ac:dyDescent="0.3">
      <c r="A1928" t="s">
        <v>24</v>
      </c>
      <c r="C1928" s="16">
        <v>46244</v>
      </c>
      <c r="D1928">
        <v>14580.45</v>
      </c>
    </row>
    <row r="1929" spans="1:4" x14ac:dyDescent="0.3">
      <c r="A1929" t="s">
        <v>25</v>
      </c>
      <c r="C1929" s="16">
        <v>46244</v>
      </c>
      <c r="D1929">
        <v>24.450000000000003</v>
      </c>
    </row>
    <row r="1930" spans="1:4" x14ac:dyDescent="0.3">
      <c r="A1930" t="s">
        <v>26</v>
      </c>
      <c r="C1930" s="16">
        <v>46244</v>
      </c>
      <c r="D1930">
        <v>2177.87</v>
      </c>
    </row>
    <row r="1931" spans="1:4" x14ac:dyDescent="0.3">
      <c r="A1931" t="s">
        <v>27</v>
      </c>
      <c r="C1931" s="16">
        <v>46244</v>
      </c>
      <c r="D1931">
        <v>1454589.72</v>
      </c>
    </row>
    <row r="1932" spans="1:4" x14ac:dyDescent="0.3">
      <c r="A1932" t="s">
        <v>28</v>
      </c>
      <c r="C1932" s="16">
        <v>46244</v>
      </c>
      <c r="D1932">
        <v>1968.99</v>
      </c>
    </row>
    <row r="1933" spans="1:4" x14ac:dyDescent="0.3">
      <c r="A1933" t="s">
        <v>29</v>
      </c>
      <c r="C1933" s="16">
        <v>46244</v>
      </c>
      <c r="D1933">
        <v>901.34</v>
      </c>
    </row>
    <row r="1934" spans="1:4" x14ac:dyDescent="0.3">
      <c r="A1934" t="s">
        <v>30</v>
      </c>
      <c r="C1934" s="16">
        <v>46244</v>
      </c>
      <c r="D1934">
        <v>1396.08</v>
      </c>
    </row>
    <row r="1935" spans="1:4" x14ac:dyDescent="0.3">
      <c r="A1935" t="s">
        <v>31</v>
      </c>
      <c r="C1935" s="16">
        <v>46244</v>
      </c>
      <c r="D1935">
        <v>3700.7099999999591</v>
      </c>
    </row>
    <row r="1936" spans="1:4" x14ac:dyDescent="0.3">
      <c r="A1936" t="s">
        <v>32</v>
      </c>
      <c r="C1936" s="16">
        <v>46244</v>
      </c>
      <c r="D1936">
        <v>8724.1700000000037</v>
      </c>
    </row>
    <row r="1937" spans="1:4" x14ac:dyDescent="0.3">
      <c r="A1937" t="s">
        <v>33</v>
      </c>
      <c r="C1937" s="16">
        <v>46244</v>
      </c>
      <c r="D1937">
        <v>15706.099999999997</v>
      </c>
    </row>
    <row r="1938" spans="1:4" x14ac:dyDescent="0.3">
      <c r="A1938" t="s">
        <v>34</v>
      </c>
      <c r="C1938" s="16">
        <v>46244</v>
      </c>
      <c r="D1938">
        <v>345</v>
      </c>
    </row>
    <row r="1939" spans="1:4" x14ac:dyDescent="0.3">
      <c r="A1939" t="s">
        <v>35</v>
      </c>
      <c r="C1939" s="16">
        <v>46244</v>
      </c>
      <c r="D1939">
        <v>12470.040000000003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2026-08-11T15:24:36Z</dcterms:modified>
  <dc:language>en-US</dc:language>
</cp:coreProperties>
</file>