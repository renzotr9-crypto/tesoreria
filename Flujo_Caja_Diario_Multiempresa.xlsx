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339" documentId="8_{BBC9EA4E-7F3B-475F-B61B-890F681C3A1C}" xr6:coauthVersionLast="47" xr6:coauthVersionMax="47" xr10:uidLastSave="{5ED9A903-9F14-471A-B9B5-0B7428B58EEC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06" i="1" l="1"/>
  <c r="P806" i="1" s="1"/>
  <c r="O787" i="1"/>
  <c r="P787" i="1" s="1"/>
  <c r="O788" i="1"/>
  <c r="P788" i="1" s="1"/>
  <c r="O789" i="1"/>
  <c r="P789" i="1"/>
  <c r="O790" i="1"/>
  <c r="P790" i="1"/>
  <c r="O791" i="1"/>
  <c r="P791" i="1" s="1"/>
  <c r="O792" i="1"/>
  <c r="P792" i="1" s="1"/>
  <c r="O793" i="1"/>
  <c r="O794" i="1"/>
  <c r="P794" i="1" s="1"/>
  <c r="O795" i="1"/>
  <c r="P795" i="1" s="1"/>
  <c r="O796" i="1"/>
  <c r="P796" i="1" s="1"/>
  <c r="O797" i="1"/>
  <c r="P797" i="1" s="1"/>
  <c r="O798" i="1"/>
  <c r="P798" i="1"/>
  <c r="O799" i="1"/>
  <c r="P799" i="1" s="1"/>
  <c r="O800" i="1"/>
  <c r="P800" i="1" s="1"/>
  <c r="O801" i="1"/>
  <c r="P801" i="1"/>
  <c r="O802" i="1"/>
  <c r="P802" i="1"/>
  <c r="O803" i="1"/>
  <c r="P803" i="1" s="1"/>
  <c r="O804" i="1"/>
  <c r="P804" i="1" s="1"/>
  <c r="O805" i="1"/>
  <c r="P805" i="1"/>
  <c r="M794" i="1"/>
  <c r="M801" i="1"/>
  <c r="M802" i="1"/>
  <c r="M806" i="1"/>
  <c r="A112" i="6"/>
  <c r="C112" i="6"/>
  <c r="D112" i="6"/>
  <c r="E112" i="6"/>
  <c r="F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A113" i="6"/>
  <c r="D113" i="6"/>
  <c r="E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I791" i="1"/>
  <c r="K791" i="1"/>
  <c r="G112" i="6" s="1"/>
  <c r="N791" i="1"/>
  <c r="I792" i="1"/>
  <c r="K792" i="1"/>
  <c r="M792" i="1" s="1"/>
  <c r="N792" i="1"/>
  <c r="I793" i="1"/>
  <c r="K793" i="1"/>
  <c r="M799" i="1" s="1"/>
  <c r="N793" i="1"/>
  <c r="P793" i="1" s="1"/>
  <c r="I794" i="1"/>
  <c r="K794" i="1"/>
  <c r="M795" i="1" s="1"/>
  <c r="N794" i="1"/>
  <c r="I795" i="1"/>
  <c r="K795" i="1"/>
  <c r="N795" i="1"/>
  <c r="I796" i="1"/>
  <c r="K796" i="1"/>
  <c r="N796" i="1"/>
  <c r="I797" i="1"/>
  <c r="K797" i="1"/>
  <c r="N797" i="1"/>
  <c r="I798" i="1"/>
  <c r="K798" i="1"/>
  <c r="N798" i="1"/>
  <c r="I799" i="1"/>
  <c r="K799" i="1"/>
  <c r="N799" i="1"/>
  <c r="I800" i="1"/>
  <c r="K800" i="1"/>
  <c r="N800" i="1"/>
  <c r="I801" i="1"/>
  <c r="K801" i="1"/>
  <c r="N801" i="1"/>
  <c r="I802" i="1"/>
  <c r="K802" i="1"/>
  <c r="N802" i="1"/>
  <c r="I803" i="1"/>
  <c r="K803" i="1"/>
  <c r="M803" i="1" s="1"/>
  <c r="N803" i="1"/>
  <c r="I804" i="1"/>
  <c r="K804" i="1"/>
  <c r="N804" i="1"/>
  <c r="I805" i="1"/>
  <c r="K805" i="1"/>
  <c r="N805" i="1"/>
  <c r="I806" i="1"/>
  <c r="K806" i="1"/>
  <c r="F113" i="6" s="1"/>
  <c r="N806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P11" i="3"/>
  <c r="O13" i="3"/>
  <c r="J11" i="3"/>
  <c r="J26" i="3"/>
  <c r="K4" i="3"/>
  <c r="K11" i="3"/>
  <c r="K33" i="3"/>
  <c r="J35" i="3"/>
  <c r="T13" i="3"/>
  <c r="J13" i="3"/>
  <c r="J4" i="3"/>
  <c r="J33" i="3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A111" i="6"/>
  <c r="K787" i="1"/>
  <c r="N787" i="1"/>
  <c r="K788" i="1"/>
  <c r="N788" i="1"/>
  <c r="K789" i="1"/>
  <c r="N789" i="1"/>
  <c r="K790" i="1"/>
  <c r="N790" i="1"/>
  <c r="K745" i="1"/>
  <c r="N745" i="1"/>
  <c r="O745" i="1"/>
  <c r="P745" i="1" s="1"/>
  <c r="K746" i="1"/>
  <c r="N746" i="1"/>
  <c r="O746" i="1"/>
  <c r="P746" i="1"/>
  <c r="K747" i="1"/>
  <c r="N747" i="1"/>
  <c r="O747" i="1"/>
  <c r="P747" i="1" s="1"/>
  <c r="K748" i="1"/>
  <c r="N748" i="1"/>
  <c r="P748" i="1" s="1"/>
  <c r="O748" i="1"/>
  <c r="I788" i="1"/>
  <c r="I789" i="1"/>
  <c r="I790" i="1"/>
  <c r="I745" i="1"/>
  <c r="I746" i="1"/>
  <c r="I747" i="1"/>
  <c r="I748" i="1"/>
  <c r="C789" i="1"/>
  <c r="C790" i="1"/>
  <c r="C745" i="1"/>
  <c r="C746" i="1"/>
  <c r="C747" i="1"/>
  <c r="C748" i="1"/>
  <c r="E789" i="1"/>
  <c r="E790" i="1"/>
  <c r="E745" i="1"/>
  <c r="E746" i="1"/>
  <c r="E747" i="1"/>
  <c r="E748" i="1"/>
  <c r="H789" i="1"/>
  <c r="H790" i="1"/>
  <c r="H745" i="1"/>
  <c r="H746" i="1"/>
  <c r="H747" i="1"/>
  <c r="H748" i="1"/>
  <c r="A107" i="6"/>
  <c r="A108" i="6"/>
  <c r="A109" i="6"/>
  <c r="A110" i="6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/>
  <c r="I783" i="1"/>
  <c r="I784" i="1"/>
  <c r="I785" i="1"/>
  <c r="I786" i="1"/>
  <c r="I787" i="1"/>
  <c r="M793" i="1" l="1"/>
  <c r="G113" i="6"/>
  <c r="M800" i="1"/>
  <c r="M791" i="1"/>
  <c r="M798" i="1"/>
  <c r="M805" i="1"/>
  <c r="M797" i="1"/>
  <c r="C113" i="6"/>
  <c r="V113" i="6" s="1"/>
  <c r="M804" i="1"/>
  <c r="M796" i="1"/>
  <c r="V112" i="6"/>
  <c r="M748" i="1"/>
  <c r="J20" i="3"/>
  <c r="C782" i="1"/>
  <c r="C783" i="1"/>
  <c r="C784" i="1"/>
  <c r="C785" i="1"/>
  <c r="C786" i="1"/>
  <c r="C787" i="1"/>
  <c r="C788" i="1"/>
  <c r="E783" i="1"/>
  <c r="E784" i="1"/>
  <c r="E785" i="1"/>
  <c r="E786" i="1"/>
  <c r="E787" i="1"/>
  <c r="E788" i="1"/>
  <c r="H783" i="1"/>
  <c r="H784" i="1"/>
  <c r="H785" i="1"/>
  <c r="H786" i="1"/>
  <c r="H787" i="1"/>
  <c r="H788" i="1"/>
  <c r="A106" i="6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P752" i="1" s="1"/>
  <c r="O752" i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P776" i="1" s="1"/>
  <c r="O776" i="1"/>
  <c r="K777" i="1"/>
  <c r="N777" i="1"/>
  <c r="O777" i="1"/>
  <c r="P777" i="1" s="1"/>
  <c r="K778" i="1"/>
  <c r="N778" i="1"/>
  <c r="P778" i="1" s="1"/>
  <c r="O778" i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A104" i="6"/>
  <c r="A105" i="6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A100" i="6"/>
  <c r="A101" i="6"/>
  <c r="A102" i="6"/>
  <c r="A103" i="6"/>
  <c r="K723" i="1"/>
  <c r="N723" i="1"/>
  <c r="P723" i="1" s="1"/>
  <c r="O723" i="1"/>
  <c r="K724" i="1"/>
  <c r="N724" i="1"/>
  <c r="P724" i="1" s="1"/>
  <c r="O724" i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P694" i="1" s="1"/>
  <c r="O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T29" i="3" l="1"/>
  <c r="T8" i="3"/>
  <c r="T2" i="3"/>
  <c r="T12" i="3"/>
  <c r="T34" i="3"/>
  <c r="T3" i="3"/>
  <c r="U8" i="3"/>
  <c r="T32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P586" i="1" s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P584" i="1" s="1"/>
  <c r="O585" i="1"/>
  <c r="P585" i="1" s="1"/>
  <c r="O586" i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M529" i="1" s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M474" i="1" s="1"/>
  <c r="C478" i="1"/>
  <c r="C479" i="1"/>
  <c r="C480" i="1"/>
  <c r="C481" i="1"/>
  <c r="C482" i="1"/>
  <c r="C484" i="1"/>
  <c r="M473" i="1" l="1"/>
  <c r="M515" i="1"/>
  <c r="U31" i="3"/>
  <c r="U13" i="3"/>
  <c r="U5" i="3"/>
  <c r="U3" i="3"/>
  <c r="U12" i="3"/>
  <c r="U26" i="3"/>
  <c r="U34" i="3"/>
  <c r="U29" i="3"/>
  <c r="M482" i="1"/>
  <c r="M481" i="1"/>
  <c r="U27" i="3"/>
  <c r="M535" i="1"/>
  <c r="K27" i="3"/>
  <c r="O27" i="3"/>
  <c r="J27" i="3"/>
  <c r="M488" i="1"/>
  <c r="T24" i="3"/>
  <c r="U24" i="3"/>
  <c r="M746" i="1"/>
  <c r="M745" i="1"/>
  <c r="M747" i="1"/>
  <c r="M484" i="1"/>
  <c r="M528" i="1"/>
  <c r="M480" i="1"/>
  <c r="M514" i="1"/>
  <c r="M472" i="1"/>
  <c r="M479" i="1"/>
  <c r="M475" i="1"/>
  <c r="O21" i="3"/>
  <c r="J21" i="3"/>
  <c r="O2" i="3"/>
  <c r="T31" i="3"/>
  <c r="M478" i="1"/>
  <c r="M627" i="1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625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3" i="1" l="1"/>
  <c r="M648" i="1"/>
  <c r="M531" i="1"/>
  <c r="M621" i="1"/>
  <c r="M534" i="1"/>
  <c r="M622" i="1"/>
  <c r="M657" i="1"/>
  <c r="M571" i="1"/>
  <c r="M572" i="1"/>
  <c r="M533" i="1"/>
  <c r="M613" i="1"/>
  <c r="M614" i="1"/>
  <c r="M639" i="1"/>
  <c r="M581" i="1"/>
  <c r="M549" i="1"/>
  <c r="M550" i="1"/>
  <c r="M552" i="1"/>
  <c r="M647" i="1"/>
  <c r="M530" i="1"/>
  <c r="M659" i="1"/>
  <c r="M573" i="1"/>
  <c r="M658" i="1"/>
  <c r="M616" i="1"/>
  <c r="M492" i="1"/>
  <c r="M660" i="1"/>
  <c r="M626" i="1"/>
  <c r="M551" i="1"/>
  <c r="M586" i="1"/>
  <c r="M618" i="1"/>
  <c r="M624" i="1"/>
  <c r="M519" i="1"/>
  <c r="M587" i="1"/>
  <c r="M588" i="1"/>
  <c r="M580" i="1"/>
  <c r="M619" i="1"/>
  <c r="M532" i="1"/>
  <c r="M620" i="1"/>
  <c r="M688" i="1"/>
  <c r="M615" i="1"/>
  <c r="M650" i="1"/>
  <c r="M640" i="1"/>
  <c r="M582" i="1"/>
  <c r="M64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41" i="1" l="1"/>
  <c r="K30" i="3"/>
  <c r="U30" i="3"/>
  <c r="J30" i="3"/>
  <c r="M672" i="1"/>
  <c r="P31" i="3"/>
  <c r="O12" i="3"/>
  <c r="M439" i="1"/>
  <c r="T28" i="3"/>
  <c r="U28" i="3"/>
  <c r="M670" i="1"/>
  <c r="P9" i="3"/>
  <c r="P33" i="3"/>
  <c r="P19" i="3"/>
  <c r="P30" i="3"/>
  <c r="P24" i="3"/>
  <c r="P4" i="3"/>
  <c r="P35" i="3"/>
  <c r="P27" i="3"/>
  <c r="P28" i="3"/>
  <c r="M462" i="1"/>
  <c r="M776" i="1"/>
  <c r="M777" i="1"/>
  <c r="M716" i="1"/>
  <c r="M715" i="1"/>
  <c r="M630" i="1"/>
  <c r="M629" i="1"/>
  <c r="M509" i="1"/>
  <c r="M510" i="1"/>
  <c r="M438" i="1"/>
  <c r="P23" i="3"/>
  <c r="O23" i="3"/>
  <c r="K23" i="3"/>
  <c r="J23" i="3"/>
  <c r="M669" i="1"/>
  <c r="M437" i="1"/>
  <c r="J22" i="3"/>
  <c r="O22" i="3"/>
  <c r="K22" i="3"/>
  <c r="T22" i="3"/>
  <c r="M668" i="1"/>
  <c r="O29" i="3"/>
  <c r="O30" i="3"/>
  <c r="O5" i="3"/>
  <c r="O33" i="3"/>
  <c r="O19" i="3"/>
  <c r="O35" i="3"/>
  <c r="O28" i="3"/>
  <c r="O26" i="3"/>
  <c r="O32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M422" i="1" s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6" i="1"/>
  <c r="M709" i="1"/>
  <c r="M744" i="1"/>
  <c r="M772" i="1"/>
  <c r="M771" i="1"/>
  <c r="M628" i="1"/>
  <c r="M503" i="1"/>
  <c r="M415" i="1"/>
  <c r="J32" i="3"/>
  <c r="M458" i="1"/>
  <c r="M459" i="1"/>
  <c r="M433" i="1"/>
  <c r="J18" i="3"/>
  <c r="P18" i="3"/>
  <c r="M687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M646" i="1"/>
  <c r="M638" i="1"/>
  <c r="M637" i="1"/>
  <c r="M491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T25" i="3" l="1"/>
  <c r="M239" i="1"/>
  <c r="J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9" i="3" l="1"/>
  <c r="U11" i="3"/>
  <c r="T21" i="3"/>
  <c r="P3" i="3"/>
  <c r="P21" i="3"/>
  <c r="P22" i="3"/>
  <c r="U4" i="3"/>
  <c r="P33" i="6"/>
  <c r="E34" i="6"/>
  <c r="K18" i="3"/>
  <c r="O41" i="6"/>
  <c r="Q37" i="6"/>
  <c r="T34" i="6"/>
  <c r="K19" i="3"/>
  <c r="O42" i="6"/>
  <c r="P36" i="6"/>
  <c r="C34" i="6"/>
  <c r="I38" i="6"/>
  <c r="L36" i="6"/>
  <c r="G35" i="6"/>
  <c r="T42" i="6"/>
  <c r="T35" i="6"/>
  <c r="K40" i="6"/>
  <c r="T36" i="6"/>
  <c r="D41" i="6"/>
  <c r="S36" i="6"/>
  <c r="R37" i="6"/>
  <c r="T38" i="6"/>
  <c r="N42" i="6"/>
  <c r="L38" i="6"/>
  <c r="E35" i="6"/>
  <c r="G37" i="6"/>
  <c r="K37" i="6"/>
  <c r="H39" i="6"/>
  <c r="T19" i="3"/>
  <c r="U35" i="3"/>
  <c r="T20" i="3"/>
  <c r="U21" i="3"/>
  <c r="P12" i="3"/>
  <c r="P2" i="3"/>
  <c r="U23" i="3"/>
  <c r="U25" i="3"/>
  <c r="P26" i="3"/>
  <c r="U15" i="3"/>
  <c r="K7" i="3"/>
  <c r="I40" i="6"/>
  <c r="F34" i="6"/>
  <c r="H36" i="6"/>
  <c r="H38" i="6"/>
  <c r="R34" i="6"/>
  <c r="R42" i="6"/>
  <c r="K39" i="6"/>
  <c r="G36" i="6"/>
  <c r="K35" i="3"/>
  <c r="H37" i="6"/>
  <c r="K38" i="6"/>
  <c r="O33" i="6"/>
  <c r="K24" i="3"/>
  <c r="N35" i="6"/>
  <c r="G33" i="6"/>
  <c r="T39" i="6"/>
  <c r="J37" i="6"/>
  <c r="M37" i="6"/>
  <c r="M33" i="6"/>
  <c r="O39" i="6"/>
  <c r="S34" i="6"/>
  <c r="F36" i="6"/>
  <c r="I36" i="6"/>
  <c r="K34" i="6"/>
  <c r="T4" i="3"/>
  <c r="J24" i="3"/>
  <c r="U9" i="3"/>
  <c r="P20" i="3"/>
  <c r="P34" i="3"/>
  <c r="U22" i="3"/>
  <c r="K15" i="3"/>
  <c r="I41" i="6"/>
  <c r="J38" i="6"/>
  <c r="K21" i="3"/>
  <c r="K25" i="3"/>
  <c r="K13" i="3"/>
  <c r="E39" i="6"/>
  <c r="N38" i="6"/>
  <c r="L39" i="6"/>
  <c r="D42" i="6"/>
  <c r="Q33" i="6"/>
  <c r="C39" i="6"/>
  <c r="G40" i="6"/>
  <c r="H41" i="6"/>
  <c r="K20" i="3"/>
  <c r="C37" i="6"/>
  <c r="H34" i="6"/>
  <c r="L42" i="6"/>
  <c r="J42" i="6"/>
  <c r="C40" i="6"/>
  <c r="D39" i="6"/>
  <c r="T11" i="3"/>
  <c r="T35" i="3"/>
  <c r="U2" i="3"/>
  <c r="U32" i="3"/>
  <c r="U33" i="3"/>
  <c r="P8" i="3"/>
  <c r="P32" i="3"/>
  <c r="U18" i="3"/>
  <c r="P25" i="3"/>
  <c r="P13" i="3"/>
  <c r="O40" i="6"/>
  <c r="Q36" i="6"/>
  <c r="G39" i="6"/>
  <c r="L40" i="6"/>
  <c r="K6" i="3"/>
  <c r="M234" i="1"/>
  <c r="P40" i="6"/>
  <c r="E40" i="6"/>
  <c r="F37" i="6"/>
  <c r="Q41" i="6"/>
  <c r="U36" i="6"/>
  <c r="K26" i="3"/>
  <c r="F42" i="6"/>
  <c r="N33" i="6"/>
  <c r="N39" i="6"/>
  <c r="M38" i="6"/>
  <c r="D38" i="6"/>
  <c r="O36" i="6"/>
  <c r="C42" i="6"/>
  <c r="U38" i="6"/>
  <c r="S41" i="6"/>
  <c r="S37" i="6"/>
  <c r="U42" i="6"/>
  <c r="O34" i="6"/>
  <c r="Q39" i="6"/>
  <c r="M36" i="6"/>
  <c r="T27" i="3"/>
  <c r="U19" i="3"/>
  <c r="T33" i="3"/>
  <c r="N40" i="6"/>
  <c r="K36" i="6"/>
  <c r="E38" i="6"/>
  <c r="E42" i="6"/>
  <c r="L35" i="6"/>
  <c r="M40" i="6"/>
  <c r="U40" i="6"/>
  <c r="M42" i="6"/>
  <c r="P38" i="6"/>
  <c r="P37" i="6"/>
  <c r="S42" i="6"/>
  <c r="H33" i="6"/>
  <c r="T41" i="6"/>
  <c r="K33" i="6"/>
  <c r="G34" i="6"/>
  <c r="R35" i="6"/>
  <c r="G42" i="6"/>
  <c r="N36" i="6"/>
  <c r="T40" i="6"/>
  <c r="K35" i="6"/>
  <c r="P34" i="6"/>
  <c r="U20" i="3"/>
  <c r="P29" i="3"/>
  <c r="P5" i="3"/>
  <c r="J28" i="3"/>
  <c r="O34" i="3"/>
  <c r="O4" i="3"/>
  <c r="P7" i="3"/>
  <c r="I39" i="6"/>
  <c r="I33" i="6"/>
  <c r="K28" i="3"/>
  <c r="P35" i="6"/>
  <c r="C36" i="6"/>
  <c r="F38" i="6"/>
  <c r="J34" i="6"/>
  <c r="F39" i="6"/>
  <c r="R41" i="6"/>
  <c r="S39" i="6"/>
  <c r="J39" i="6"/>
  <c r="S35" i="6"/>
  <c r="C41" i="6"/>
  <c r="L34" i="6"/>
  <c r="H42" i="6"/>
  <c r="F35" i="6"/>
  <c r="R36" i="6"/>
  <c r="D35" i="6"/>
  <c r="P41" i="6"/>
  <c r="S38" i="6"/>
  <c r="F33" i="6"/>
  <c r="Q34" i="6"/>
  <c r="J40" i="6"/>
  <c r="L41" i="6"/>
  <c r="C35" i="6"/>
  <c r="I37" i="6"/>
  <c r="R33" i="6"/>
  <c r="R38" i="6"/>
  <c r="O37" i="6"/>
  <c r="I42" i="6"/>
  <c r="U35" i="6"/>
  <c r="E36" i="6"/>
  <c r="D36" i="6"/>
  <c r="E33" i="6"/>
  <c r="G41" i="6"/>
  <c r="Q38" i="6"/>
  <c r="M41" i="6"/>
  <c r="C33" i="6"/>
  <c r="J35" i="6"/>
  <c r="O35" i="6"/>
  <c r="P39" i="6"/>
  <c r="N34" i="6"/>
  <c r="M35" i="6"/>
  <c r="Q35" i="6"/>
  <c r="S33" i="6"/>
  <c r="I34" i="6"/>
  <c r="T33" i="6"/>
  <c r="J41" i="6"/>
  <c r="S40" i="6"/>
  <c r="J36" i="6"/>
  <c r="K41" i="6"/>
  <c r="D33" i="6"/>
  <c r="L33" i="6"/>
  <c r="T6" i="3"/>
  <c r="R39" i="6"/>
  <c r="K42" i="6"/>
  <c r="N37" i="6"/>
  <c r="M39" i="6"/>
  <c r="U41" i="6"/>
  <c r="D40" i="6"/>
  <c r="E41" i="6"/>
  <c r="R40" i="6"/>
  <c r="Q40" i="6"/>
  <c r="C38" i="6"/>
  <c r="T37" i="6"/>
  <c r="O6" i="3"/>
  <c r="L37" i="6"/>
  <c r="E37" i="6"/>
  <c r="H35" i="6"/>
  <c r="I35" i="6"/>
  <c r="M34" i="6"/>
  <c r="O38" i="6"/>
  <c r="U37" i="6"/>
  <c r="N41" i="6"/>
  <c r="F40" i="6"/>
  <c r="Q42" i="6"/>
  <c r="D37" i="6"/>
  <c r="P42" i="6"/>
  <c r="H40" i="6"/>
  <c r="G38" i="6"/>
  <c r="U39" i="6"/>
  <c r="U33" i="6"/>
  <c r="F41" i="6"/>
  <c r="U34" i="6"/>
  <c r="D34" i="6"/>
  <c r="J33" i="6"/>
  <c r="U6" i="3"/>
  <c r="P6" i="3"/>
  <c r="M237" i="1"/>
  <c r="T17" i="3"/>
  <c r="K17" i="3"/>
  <c r="J17" i="3"/>
  <c r="P17" i="3"/>
  <c r="U17" i="3"/>
  <c r="O17" i="3"/>
  <c r="M235" i="1"/>
  <c r="P15" i="3"/>
  <c r="J15" i="3"/>
  <c r="T15" i="3"/>
  <c r="M238" i="1"/>
  <c r="O7" i="3"/>
  <c r="T7" i="3"/>
  <c r="U7" i="3"/>
  <c r="O16" i="3"/>
  <c r="U16" i="3"/>
  <c r="J16" i="3"/>
  <c r="P16" i="3"/>
  <c r="M236" i="1"/>
  <c r="K16" i="3"/>
  <c r="T16" i="3"/>
  <c r="M35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M324" i="1" s="1"/>
  <c r="C325" i="1"/>
  <c r="M325" i="1" s="1"/>
  <c r="C326" i="1"/>
  <c r="C327" i="1"/>
  <c r="C328" i="1"/>
  <c r="M328" i="1" s="1"/>
  <c r="C329" i="1"/>
  <c r="C330" i="1"/>
  <c r="C331" i="1"/>
  <c r="M331" i="1" s="1"/>
  <c r="C312" i="1"/>
  <c r="M312" i="1" s="1"/>
  <c r="C341" i="1"/>
  <c r="M341" i="1" s="1"/>
  <c r="C342" i="1"/>
  <c r="C332" i="1"/>
  <c r="C333" i="1"/>
  <c r="C334" i="1"/>
  <c r="C335" i="1"/>
  <c r="C336" i="1"/>
  <c r="M336" i="1" s="1"/>
  <c r="C337" i="1"/>
  <c r="M337" i="1" s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U78" i="6" s="1"/>
  <c r="M350" i="1" l="1"/>
  <c r="M343" i="1"/>
  <c r="J62" i="6"/>
  <c r="D50" i="6"/>
  <c r="D47" i="6"/>
  <c r="I64" i="6"/>
  <c r="S102" i="6"/>
  <c r="M48" i="6"/>
  <c r="I62" i="6"/>
  <c r="C55" i="6"/>
  <c r="L45" i="6"/>
  <c r="U81" i="6"/>
  <c r="Q75" i="6"/>
  <c r="M46" i="6"/>
  <c r="M320" i="1"/>
  <c r="K29" i="3"/>
  <c r="J29" i="3"/>
  <c r="M309" i="1"/>
  <c r="M734" i="1"/>
  <c r="M726" i="1"/>
  <c r="M730" i="1"/>
  <c r="M725" i="1"/>
  <c r="M752" i="1"/>
  <c r="M732" i="1"/>
  <c r="M731" i="1"/>
  <c r="M724" i="1"/>
  <c r="M723" i="1"/>
  <c r="M733" i="1"/>
  <c r="M783" i="1"/>
  <c r="M540" i="1"/>
  <c r="M671" i="1"/>
  <c r="M440" i="1"/>
  <c r="M361" i="1"/>
  <c r="J10" i="3"/>
  <c r="P10" i="3"/>
  <c r="U10" i="3"/>
  <c r="O10" i="3"/>
  <c r="T10" i="3"/>
  <c r="M332" i="1"/>
  <c r="K10" i="3"/>
  <c r="M785" i="1"/>
  <c r="M543" i="1"/>
  <c r="M663" i="1"/>
  <c r="M579" i="1"/>
  <c r="M327" i="1"/>
  <c r="M319" i="1"/>
  <c r="M349" i="1"/>
  <c r="G60" i="6"/>
  <c r="R88" i="6"/>
  <c r="D89" i="6"/>
  <c r="Q94" i="6"/>
  <c r="C64" i="6"/>
  <c r="N89" i="6"/>
  <c r="J69" i="6"/>
  <c r="I47" i="6"/>
  <c r="H101" i="6"/>
  <c r="J60" i="6"/>
  <c r="H105" i="6"/>
  <c r="I87" i="6"/>
  <c r="J109" i="6"/>
  <c r="M310" i="1"/>
  <c r="K32" i="3"/>
  <c r="M736" i="1"/>
  <c r="M727" i="1"/>
  <c r="M743" i="1"/>
  <c r="M675" i="1"/>
  <c r="M674" i="1"/>
  <c r="M681" i="1"/>
  <c r="M680" i="1"/>
  <c r="M676" i="1"/>
  <c r="M678" i="1"/>
  <c r="M677" i="1"/>
  <c r="M682" i="1"/>
  <c r="M679" i="1"/>
  <c r="M683" i="1"/>
  <c r="M449" i="1"/>
  <c r="M443" i="1"/>
  <c r="M378" i="1"/>
  <c r="M377" i="1"/>
  <c r="M413" i="1"/>
  <c r="M356" i="1"/>
  <c r="M355" i="1"/>
  <c r="K8" i="3"/>
  <c r="M333" i="1"/>
  <c r="M696" i="1"/>
  <c r="M693" i="1"/>
  <c r="M749" i="1"/>
  <c r="M692" i="1"/>
  <c r="M786" i="1"/>
  <c r="M697" i="1"/>
  <c r="M698" i="1"/>
  <c r="M547" i="1"/>
  <c r="M642" i="1"/>
  <c r="M583" i="1"/>
  <c r="M544" i="1"/>
  <c r="M539" i="1"/>
  <c r="M652" i="1"/>
  <c r="M617" i="1"/>
  <c r="M584" i="1"/>
  <c r="M643" i="1"/>
  <c r="M636" i="1"/>
  <c r="M635" i="1"/>
  <c r="M610" i="1"/>
  <c r="M490" i="1"/>
  <c r="M517" i="1"/>
  <c r="M446" i="1"/>
  <c r="M448" i="1"/>
  <c r="M436" i="1"/>
  <c r="M435" i="1"/>
  <c r="M447" i="1"/>
  <c r="M419" i="1"/>
  <c r="M374" i="1"/>
  <c r="M369" i="1"/>
  <c r="M370" i="1"/>
  <c r="M308" i="1"/>
  <c r="K9" i="3"/>
  <c r="M789" i="1"/>
  <c r="M728" i="1"/>
  <c r="M691" i="1"/>
  <c r="M742" i="1"/>
  <c r="M695" i="1"/>
  <c r="M689" i="1"/>
  <c r="M694" i="1"/>
  <c r="M686" i="1"/>
  <c r="M690" i="1"/>
  <c r="M634" i="1"/>
  <c r="M662" i="1"/>
  <c r="M633" i="1"/>
  <c r="M578" i="1"/>
  <c r="M577" i="1"/>
  <c r="M576" i="1"/>
  <c r="M651" i="1"/>
  <c r="M546" i="1"/>
  <c r="M516" i="1"/>
  <c r="M485" i="1"/>
  <c r="M489" i="1"/>
  <c r="M445" i="1"/>
  <c r="M476" i="1"/>
  <c r="M410" i="1"/>
  <c r="M430" i="1"/>
  <c r="M429" i="1"/>
  <c r="M360" i="1"/>
  <c r="M359" i="1"/>
  <c r="M353" i="1"/>
  <c r="M342" i="1"/>
  <c r="M326" i="1"/>
  <c r="K12" i="3"/>
  <c r="M318" i="1"/>
  <c r="M348" i="1"/>
  <c r="K86" i="6"/>
  <c r="R80" i="6"/>
  <c r="C80" i="6"/>
  <c r="O53" i="6"/>
  <c r="I89" i="6"/>
  <c r="L95" i="6"/>
  <c r="T102" i="6"/>
  <c r="D72" i="6"/>
  <c r="M99" i="6"/>
  <c r="R74" i="6"/>
  <c r="S85" i="6"/>
  <c r="L104" i="6"/>
  <c r="L65" i="6"/>
  <c r="I61" i="6"/>
  <c r="G48" i="6"/>
  <c r="H84" i="6"/>
  <c r="T43" i="6"/>
  <c r="R99" i="6"/>
  <c r="G50" i="6"/>
  <c r="K72" i="6"/>
  <c r="C70" i="6"/>
  <c r="I65" i="6"/>
  <c r="T91" i="6"/>
  <c r="Q49" i="6"/>
  <c r="G101" i="6"/>
  <c r="K34" i="3"/>
  <c r="M283" i="1"/>
  <c r="M782" i="1"/>
  <c r="M722" i="1"/>
  <c r="M717" i="1"/>
  <c r="M721" i="1"/>
  <c r="M718" i="1"/>
  <c r="M778" i="1"/>
  <c r="M719" i="1"/>
  <c r="M779" i="1"/>
  <c r="M788" i="1"/>
  <c r="M720" i="1"/>
  <c r="M781" i="1"/>
  <c r="M780" i="1"/>
  <c r="M575" i="1"/>
  <c r="M608" i="1"/>
  <c r="M632" i="1"/>
  <c r="M684" i="1"/>
  <c r="M661" i="1"/>
  <c r="M545" i="1"/>
  <c r="M609" i="1"/>
  <c r="M537" i="1"/>
  <c r="M538" i="1"/>
  <c r="M570" i="1"/>
  <c r="M685" i="1"/>
  <c r="M607" i="1"/>
  <c r="M631" i="1"/>
  <c r="M606" i="1"/>
  <c r="M536" i="1"/>
  <c r="M605" i="1"/>
  <c r="M512" i="1"/>
  <c r="M483" i="1"/>
  <c r="M513" i="1"/>
  <c r="M511" i="1"/>
  <c r="M527" i="1"/>
  <c r="M465" i="1"/>
  <c r="M470" i="1"/>
  <c r="M434" i="1"/>
  <c r="M467" i="1"/>
  <c r="M466" i="1"/>
  <c r="M469" i="1"/>
  <c r="M464" i="1"/>
  <c r="M477" i="1"/>
  <c r="M468" i="1"/>
  <c r="M471" i="1"/>
  <c r="M408" i="1"/>
  <c r="M407" i="1"/>
  <c r="M404" i="1"/>
  <c r="M402" i="1"/>
  <c r="M417" i="1"/>
  <c r="M424" i="1"/>
  <c r="M416" i="1"/>
  <c r="M403" i="1"/>
  <c r="M425" i="1"/>
  <c r="M406" i="1"/>
  <c r="M409" i="1"/>
  <c r="M418" i="1"/>
  <c r="M405" i="1"/>
  <c r="M367" i="1"/>
  <c r="M365" i="1"/>
  <c r="M366" i="1"/>
  <c r="M364" i="1"/>
  <c r="E111" i="6"/>
  <c r="F56" i="6"/>
  <c r="J48" i="6"/>
  <c r="D102" i="6"/>
  <c r="R67" i="6"/>
  <c r="E73" i="6"/>
  <c r="N91" i="6"/>
  <c r="M49" i="6"/>
  <c r="D98" i="6"/>
  <c r="P86" i="6"/>
  <c r="C99" i="6"/>
  <c r="D70" i="6"/>
  <c r="U98" i="6"/>
  <c r="J83" i="6"/>
  <c r="O80" i="6"/>
  <c r="P90" i="6"/>
  <c r="L46" i="6"/>
  <c r="J89" i="6"/>
  <c r="O107" i="6"/>
  <c r="C52" i="6"/>
  <c r="P111" i="6"/>
  <c r="I53" i="6"/>
  <c r="I56" i="6"/>
  <c r="E67" i="6"/>
  <c r="C76" i="6"/>
  <c r="H111" i="6"/>
  <c r="C74" i="6"/>
  <c r="K106" i="6"/>
  <c r="E78" i="6"/>
  <c r="E109" i="6"/>
  <c r="D78" i="6"/>
  <c r="Q62" i="6"/>
  <c r="D43" i="6"/>
  <c r="D57" i="6"/>
  <c r="Q103" i="6"/>
  <c r="C73" i="6"/>
  <c r="D45" i="6"/>
  <c r="S45" i="6"/>
  <c r="O43" i="6"/>
  <c r="U79" i="6"/>
  <c r="M107" i="6"/>
  <c r="P50" i="6"/>
  <c r="O79" i="6"/>
  <c r="O61" i="6"/>
  <c r="H107" i="6"/>
  <c r="G59" i="6"/>
  <c r="C83" i="6"/>
  <c r="D87" i="6"/>
  <c r="R45" i="6"/>
  <c r="E107" i="6"/>
  <c r="T110" i="6"/>
  <c r="J79" i="6"/>
  <c r="N88" i="6"/>
  <c r="F47" i="6"/>
  <c r="O110" i="6"/>
  <c r="U60" i="6"/>
  <c r="G76" i="6"/>
  <c r="I102" i="6"/>
  <c r="U89" i="6"/>
  <c r="N80" i="6"/>
  <c r="F68" i="6"/>
  <c r="H60" i="6"/>
  <c r="I86" i="6"/>
  <c r="T88" i="6"/>
  <c r="D64" i="6"/>
  <c r="S58" i="6"/>
  <c r="R69" i="6"/>
  <c r="G55" i="6"/>
  <c r="T47" i="6"/>
  <c r="T94" i="6"/>
  <c r="L76" i="6"/>
  <c r="G98" i="6"/>
  <c r="O92" i="6"/>
  <c r="F109" i="6"/>
  <c r="F54" i="6"/>
  <c r="F55" i="6"/>
  <c r="Q67" i="6"/>
  <c r="C95" i="6"/>
  <c r="E71" i="6"/>
  <c r="D82" i="6"/>
  <c r="K97" i="6"/>
  <c r="I50" i="6"/>
  <c r="N73" i="6"/>
  <c r="O105" i="6"/>
  <c r="T89" i="6"/>
  <c r="I82" i="6"/>
  <c r="Q71" i="6"/>
  <c r="U95" i="6"/>
  <c r="I66" i="6"/>
  <c r="M84" i="6"/>
  <c r="Q72" i="6"/>
  <c r="S65" i="6"/>
  <c r="C87" i="6"/>
  <c r="M103" i="6"/>
  <c r="K87" i="6"/>
  <c r="P64" i="6"/>
  <c r="I54" i="6"/>
  <c r="P80" i="6"/>
  <c r="F110" i="6"/>
  <c r="G91" i="6"/>
  <c r="O64" i="6"/>
  <c r="T45" i="6"/>
  <c r="N51" i="6"/>
  <c r="S51" i="6"/>
  <c r="D110" i="6"/>
  <c r="O59" i="6"/>
  <c r="G107" i="6"/>
  <c r="U83" i="6"/>
  <c r="G57" i="6"/>
  <c r="E63" i="6"/>
  <c r="H74" i="6"/>
  <c r="N110" i="6"/>
  <c r="S88" i="6"/>
  <c r="E45" i="6"/>
  <c r="P45" i="6"/>
  <c r="P52" i="6"/>
  <c r="N53" i="6"/>
  <c r="S44" i="6"/>
  <c r="M111" i="6"/>
  <c r="N71" i="6"/>
  <c r="Q66" i="6"/>
  <c r="H89" i="6"/>
  <c r="G111" i="6"/>
  <c r="K84" i="6"/>
  <c r="O88" i="6"/>
  <c r="P85" i="6"/>
  <c r="I49" i="6"/>
  <c r="G89" i="6"/>
  <c r="T108" i="6"/>
  <c r="Q44" i="6"/>
  <c r="N95" i="6"/>
  <c r="H66" i="6"/>
  <c r="N55" i="6"/>
  <c r="E99" i="6"/>
  <c r="H69" i="6"/>
  <c r="D109" i="6"/>
  <c r="L98" i="6"/>
  <c r="T50" i="6"/>
  <c r="O86" i="6"/>
  <c r="R93" i="6"/>
  <c r="C89" i="6"/>
  <c r="M62" i="6"/>
  <c r="H82" i="6"/>
  <c r="S75" i="6"/>
  <c r="S64" i="6"/>
  <c r="G54" i="6"/>
  <c r="L109" i="6"/>
  <c r="D48" i="6"/>
  <c r="U69" i="6"/>
  <c r="P78" i="6"/>
  <c r="K67" i="6"/>
  <c r="O100" i="6"/>
  <c r="F67" i="6"/>
  <c r="U59" i="6"/>
  <c r="H54" i="6"/>
  <c r="S84" i="6"/>
  <c r="R68" i="6"/>
  <c r="P76" i="6"/>
  <c r="I98" i="6"/>
  <c r="U109" i="6"/>
  <c r="G85" i="6"/>
  <c r="Q90" i="6"/>
  <c r="O47" i="6"/>
  <c r="H91" i="6"/>
  <c r="C43" i="6"/>
  <c r="L90" i="6"/>
  <c r="C105" i="6"/>
  <c r="E96" i="6"/>
  <c r="O83" i="6"/>
  <c r="R55" i="6"/>
  <c r="G86" i="6"/>
  <c r="E89" i="6"/>
  <c r="M93" i="6"/>
  <c r="L103" i="6"/>
  <c r="T68" i="6"/>
  <c r="K102" i="6"/>
  <c r="U111" i="6"/>
  <c r="F103" i="6"/>
  <c r="P96" i="6"/>
  <c r="O101" i="6"/>
  <c r="K45" i="6"/>
  <c r="N92" i="6"/>
  <c r="N90" i="6"/>
  <c r="H94" i="6"/>
  <c r="U106" i="6"/>
  <c r="H80" i="6"/>
  <c r="M60" i="6"/>
  <c r="F75" i="6"/>
  <c r="U101" i="6"/>
  <c r="J111" i="6"/>
  <c r="F96" i="6"/>
  <c r="P92" i="6"/>
  <c r="N46" i="6"/>
  <c r="N107" i="6"/>
  <c r="F86" i="6"/>
  <c r="G56" i="6"/>
  <c r="N61" i="6"/>
  <c r="F83" i="6"/>
  <c r="F50" i="6"/>
  <c r="C67" i="6"/>
  <c r="C61" i="6"/>
  <c r="J65" i="6"/>
  <c r="J61" i="6"/>
  <c r="U103" i="6"/>
  <c r="N47" i="6"/>
  <c r="E101" i="6"/>
  <c r="O45" i="6"/>
  <c r="S97" i="6"/>
  <c r="T64" i="6"/>
  <c r="O74" i="6"/>
  <c r="L81" i="6"/>
  <c r="F58" i="6"/>
  <c r="F94" i="6"/>
  <c r="O94" i="6"/>
  <c r="Q105" i="6"/>
  <c r="P98" i="6"/>
  <c r="C58" i="6"/>
  <c r="F80" i="6"/>
  <c r="J105" i="6"/>
  <c r="G77" i="6"/>
  <c r="H88" i="6"/>
  <c r="M80" i="6"/>
  <c r="K51" i="6"/>
  <c r="N60" i="6"/>
  <c r="M55" i="6"/>
  <c r="F53" i="6"/>
  <c r="H81" i="6"/>
  <c r="H87" i="6"/>
  <c r="T66" i="6"/>
  <c r="G46" i="6"/>
  <c r="K43" i="6"/>
  <c r="M54" i="6"/>
  <c r="O50" i="6"/>
  <c r="U110" i="6"/>
  <c r="F78" i="6"/>
  <c r="G90" i="6"/>
  <c r="P110" i="6"/>
  <c r="E77" i="6"/>
  <c r="M44" i="6"/>
  <c r="Q69" i="6"/>
  <c r="O60" i="6"/>
  <c r="H56" i="6"/>
  <c r="J103" i="6"/>
  <c r="U74" i="6"/>
  <c r="P55" i="6"/>
  <c r="K46" i="6"/>
  <c r="C106" i="6"/>
  <c r="I101" i="6"/>
  <c r="M65" i="6"/>
  <c r="C66" i="6"/>
  <c r="K94" i="6"/>
  <c r="P104" i="6"/>
  <c r="P61" i="6"/>
  <c r="G84" i="6"/>
  <c r="K44" i="6"/>
  <c r="T109" i="6"/>
  <c r="U105" i="6"/>
  <c r="T56" i="6"/>
  <c r="H65" i="6"/>
  <c r="C97" i="6"/>
  <c r="T98" i="6"/>
  <c r="D93" i="6"/>
  <c r="I45" i="6"/>
  <c r="O77" i="6"/>
  <c r="N85" i="6"/>
  <c r="O44" i="6"/>
  <c r="E83" i="6"/>
  <c r="L102" i="6"/>
  <c r="D51" i="6"/>
  <c r="P56" i="6"/>
  <c r="U52" i="6"/>
  <c r="M110" i="6"/>
  <c r="D81" i="6"/>
  <c r="C75" i="6"/>
  <c r="S70" i="6"/>
  <c r="T62" i="6"/>
  <c r="S111" i="6"/>
  <c r="K71" i="6"/>
  <c r="C108" i="6"/>
  <c r="F93" i="6"/>
  <c r="Q61" i="6"/>
  <c r="Q111" i="6"/>
  <c r="T80" i="6"/>
  <c r="F69" i="6"/>
  <c r="M90" i="6"/>
  <c r="M57" i="6"/>
  <c r="K108" i="6"/>
  <c r="C69" i="6"/>
  <c r="C103" i="6"/>
  <c r="S48" i="6"/>
  <c r="R62" i="6"/>
  <c r="G82" i="6"/>
  <c r="U91" i="6"/>
  <c r="G109" i="6"/>
  <c r="N70" i="6"/>
  <c r="U80" i="6"/>
  <c r="E54" i="6"/>
  <c r="K75" i="6"/>
  <c r="K70" i="6"/>
  <c r="L73" i="6"/>
  <c r="E85" i="6"/>
  <c r="P95" i="6"/>
  <c r="G71" i="6"/>
  <c r="F88" i="6"/>
  <c r="H106" i="6"/>
  <c r="P77" i="6"/>
  <c r="T72" i="6"/>
  <c r="Q93" i="6"/>
  <c r="L48" i="6"/>
  <c r="J110" i="6"/>
  <c r="U84" i="6"/>
  <c r="Q89" i="6"/>
  <c r="E55" i="6"/>
  <c r="D62" i="6"/>
  <c r="Q45" i="6"/>
  <c r="E91" i="6"/>
  <c r="R109" i="6"/>
  <c r="M106" i="6"/>
  <c r="J45" i="6"/>
  <c r="Q80" i="6"/>
  <c r="P99" i="6"/>
  <c r="E76" i="6"/>
  <c r="S103" i="6"/>
  <c r="D83" i="6"/>
  <c r="O102" i="6"/>
  <c r="I107" i="6"/>
  <c r="D100" i="6"/>
  <c r="T79" i="6"/>
  <c r="N103" i="6"/>
  <c r="J66" i="6"/>
  <c r="N66" i="6"/>
  <c r="E58" i="6"/>
  <c r="J99" i="6"/>
  <c r="R87" i="6"/>
  <c r="N100" i="6"/>
  <c r="E95" i="6"/>
  <c r="S68" i="6"/>
  <c r="E75" i="6"/>
  <c r="P62" i="6"/>
  <c r="S47" i="6"/>
  <c r="O106" i="6"/>
  <c r="G78" i="6"/>
  <c r="E86" i="6"/>
  <c r="L72" i="6"/>
  <c r="Q97" i="6"/>
  <c r="E93" i="6"/>
  <c r="S83" i="6"/>
  <c r="E62" i="6"/>
  <c r="I85" i="6"/>
  <c r="R60" i="6"/>
  <c r="T74" i="6"/>
  <c r="M77" i="6"/>
  <c r="Q96" i="6"/>
  <c r="U53" i="6"/>
  <c r="S110" i="6"/>
  <c r="G51" i="6"/>
  <c r="O48" i="6"/>
  <c r="S89" i="6"/>
  <c r="T103" i="6"/>
  <c r="M87" i="6"/>
  <c r="L51" i="6"/>
  <c r="C111" i="6"/>
  <c r="C96" i="6"/>
  <c r="U43" i="6"/>
  <c r="U51" i="6"/>
  <c r="Q70" i="6"/>
  <c r="S107" i="6"/>
  <c r="D86" i="6"/>
  <c r="G94" i="6"/>
  <c r="K111" i="6"/>
  <c r="R83" i="6"/>
  <c r="M76" i="6"/>
  <c r="J85" i="6"/>
  <c r="S61" i="6"/>
  <c r="H99" i="6"/>
  <c r="O67" i="6"/>
  <c r="S106" i="6"/>
  <c r="C91" i="6"/>
  <c r="M94" i="6"/>
  <c r="T105" i="6"/>
  <c r="C53" i="6"/>
  <c r="D96" i="6"/>
  <c r="G47" i="6"/>
  <c r="T52" i="6"/>
  <c r="L107" i="6"/>
  <c r="I81" i="6"/>
  <c r="T84" i="6"/>
  <c r="M53" i="6"/>
  <c r="O109" i="6"/>
  <c r="J63" i="6"/>
  <c r="F45" i="6"/>
  <c r="K109" i="6"/>
  <c r="C79" i="6"/>
  <c r="C86" i="6"/>
  <c r="D74" i="6"/>
  <c r="K65" i="6"/>
  <c r="I77" i="6"/>
  <c r="N96" i="6"/>
  <c r="N58" i="6"/>
  <c r="S74" i="6"/>
  <c r="F95" i="6"/>
  <c r="L66" i="6"/>
  <c r="K93" i="6"/>
  <c r="U99" i="6"/>
  <c r="U75" i="6"/>
  <c r="D66" i="6"/>
  <c r="H93" i="6"/>
  <c r="G58" i="6"/>
  <c r="C59" i="6"/>
  <c r="S71" i="6"/>
  <c r="D73" i="6"/>
  <c r="F101" i="6"/>
  <c r="F70" i="6"/>
  <c r="E56" i="6"/>
  <c r="G88" i="6"/>
  <c r="R97" i="6"/>
  <c r="J68" i="6"/>
  <c r="R102" i="6"/>
  <c r="L111" i="6"/>
  <c r="T111" i="6"/>
  <c r="G64" i="6"/>
  <c r="E84" i="6"/>
  <c r="T107" i="6"/>
  <c r="K105" i="6"/>
  <c r="P107" i="6"/>
  <c r="N101" i="6"/>
  <c r="Q106" i="6"/>
  <c r="R111" i="6"/>
  <c r="L96" i="6"/>
  <c r="E66" i="6"/>
  <c r="R78" i="6"/>
  <c r="L110" i="6"/>
  <c r="N87" i="6"/>
  <c r="I111" i="6"/>
  <c r="G87" i="6"/>
  <c r="S98" i="6"/>
  <c r="F97" i="6"/>
  <c r="F63" i="6"/>
  <c r="H108" i="6"/>
  <c r="O90" i="6"/>
  <c r="T92" i="6"/>
  <c r="T85" i="6"/>
  <c r="C109" i="6"/>
  <c r="I55" i="6"/>
  <c r="S52" i="6"/>
  <c r="E59" i="6"/>
  <c r="F92" i="6"/>
  <c r="J71" i="6"/>
  <c r="J67" i="6"/>
  <c r="E87" i="6"/>
  <c r="R71" i="6"/>
  <c r="F59" i="6"/>
  <c r="H62" i="6"/>
  <c r="O72" i="6"/>
  <c r="N106" i="6"/>
  <c r="F49" i="6"/>
  <c r="D61" i="6"/>
  <c r="H104" i="6"/>
  <c r="P89" i="6"/>
  <c r="Q77" i="6"/>
  <c r="D106" i="6"/>
  <c r="O84" i="6"/>
  <c r="N109" i="6"/>
  <c r="M63" i="6"/>
  <c r="F64" i="6"/>
  <c r="H49" i="6"/>
  <c r="C104" i="6"/>
  <c r="G103" i="6"/>
  <c r="R91" i="6"/>
  <c r="K69" i="6"/>
  <c r="M52" i="6"/>
  <c r="I91" i="6"/>
  <c r="J108" i="6"/>
  <c r="P101" i="6"/>
  <c r="H102" i="6"/>
  <c r="L71" i="6"/>
  <c r="I76" i="6"/>
  <c r="M68" i="6"/>
  <c r="P47" i="6"/>
  <c r="Q73" i="6"/>
  <c r="M89" i="6"/>
  <c r="P102" i="6"/>
  <c r="K68" i="6"/>
  <c r="U48" i="6"/>
  <c r="J86" i="6"/>
  <c r="R95" i="6"/>
  <c r="Q43" i="6"/>
  <c r="C92" i="6"/>
  <c r="U46" i="6"/>
  <c r="U92" i="6"/>
  <c r="O52" i="6"/>
  <c r="R58" i="6"/>
  <c r="F77" i="6"/>
  <c r="R63" i="6"/>
  <c r="G102" i="6"/>
  <c r="K92" i="6"/>
  <c r="R108" i="6"/>
  <c r="M51" i="6"/>
  <c r="E88" i="6"/>
  <c r="K103" i="6"/>
  <c r="M70" i="6"/>
  <c r="D111" i="6"/>
  <c r="R53" i="6"/>
  <c r="H83" i="6"/>
  <c r="I68" i="6"/>
  <c r="G106" i="6"/>
  <c r="O82" i="6"/>
  <c r="S72" i="6"/>
  <c r="D101" i="6"/>
  <c r="D107" i="6"/>
  <c r="M85" i="6"/>
  <c r="L67" i="6"/>
  <c r="S105" i="6"/>
  <c r="O111" i="6"/>
  <c r="N111" i="6"/>
  <c r="D92" i="6"/>
  <c r="S87" i="6"/>
  <c r="M97" i="6"/>
  <c r="I108" i="6"/>
  <c r="C62" i="6"/>
  <c r="I72" i="6"/>
  <c r="J64" i="6"/>
  <c r="N108" i="6"/>
  <c r="C90" i="6"/>
  <c r="J58" i="6"/>
  <c r="H72" i="6"/>
  <c r="U62" i="6"/>
  <c r="R107" i="6"/>
  <c r="T60" i="6"/>
  <c r="N86" i="6"/>
  <c r="U67" i="6"/>
  <c r="R103" i="6"/>
  <c r="J93" i="6"/>
  <c r="H68" i="6"/>
  <c r="U97" i="6"/>
  <c r="I104" i="6"/>
  <c r="C94" i="6"/>
  <c r="M108" i="6"/>
  <c r="F76" i="6"/>
  <c r="D77" i="6"/>
  <c r="O95" i="6"/>
  <c r="O108" i="6"/>
  <c r="H63" i="6"/>
  <c r="L58" i="6"/>
  <c r="H110" i="6"/>
  <c r="K91" i="6"/>
  <c r="K47" i="6"/>
  <c r="N98" i="6"/>
  <c r="C98" i="6"/>
  <c r="C81" i="6"/>
  <c r="M56" i="6"/>
  <c r="L77" i="6"/>
  <c r="K81" i="6"/>
  <c r="K53" i="6"/>
  <c r="L47" i="6"/>
  <c r="E69" i="6"/>
  <c r="H92" i="6"/>
  <c r="K107" i="6"/>
  <c r="D54" i="6"/>
  <c r="J88" i="6"/>
  <c r="P103" i="6"/>
  <c r="Q55" i="6"/>
  <c r="P59" i="6"/>
  <c r="L101" i="6"/>
  <c r="K50" i="6"/>
  <c r="I96" i="6"/>
  <c r="N74" i="6"/>
  <c r="R110" i="6"/>
  <c r="R57" i="6"/>
  <c r="U68" i="6"/>
  <c r="M92" i="6"/>
  <c r="M59" i="6"/>
  <c r="C47" i="6"/>
  <c r="I103" i="6"/>
  <c r="N105" i="6"/>
  <c r="S108" i="6"/>
  <c r="H109" i="6"/>
  <c r="T44" i="6"/>
  <c r="C46" i="6"/>
  <c r="N56" i="6"/>
  <c r="F108" i="6"/>
  <c r="G95" i="6"/>
  <c r="Q54" i="6"/>
  <c r="C72" i="6"/>
  <c r="I88" i="6"/>
  <c r="M81" i="6"/>
  <c r="S93" i="6"/>
  <c r="U44" i="6"/>
  <c r="F65" i="6"/>
  <c r="T71" i="6"/>
  <c r="J100" i="6"/>
  <c r="S86" i="6"/>
  <c r="J101" i="6"/>
  <c r="D108" i="6"/>
  <c r="C50" i="6"/>
  <c r="E72" i="6"/>
  <c r="P71" i="6"/>
  <c r="J84" i="6"/>
  <c r="U45" i="6"/>
  <c r="T86" i="6"/>
  <c r="M67" i="6"/>
  <c r="F90" i="6"/>
  <c r="O87" i="6"/>
  <c r="U71" i="6"/>
  <c r="C60" i="6"/>
  <c r="G72" i="6"/>
  <c r="H47" i="6"/>
  <c r="U90" i="6"/>
  <c r="O62" i="6"/>
  <c r="T96" i="6"/>
  <c r="T53" i="6"/>
  <c r="R90" i="6"/>
  <c r="O103" i="6"/>
  <c r="D85" i="6"/>
  <c r="O49" i="6"/>
  <c r="S104" i="6"/>
  <c r="R54" i="6"/>
  <c r="D60" i="6"/>
  <c r="N104" i="6"/>
  <c r="I43" i="6"/>
  <c r="E53" i="6"/>
  <c r="L52" i="6"/>
  <c r="L86" i="6"/>
  <c r="E44" i="6"/>
  <c r="P72" i="6"/>
  <c r="U96" i="6"/>
  <c r="H103" i="6"/>
  <c r="L78" i="6"/>
  <c r="M96" i="6"/>
  <c r="F79" i="6"/>
  <c r="L53" i="6"/>
  <c r="L74" i="6"/>
  <c r="L85" i="6"/>
  <c r="P94" i="6"/>
  <c r="M79" i="6"/>
  <c r="N67" i="6"/>
  <c r="H48" i="6"/>
  <c r="J59" i="6"/>
  <c r="U85" i="6"/>
  <c r="L50" i="6"/>
  <c r="H78" i="6"/>
  <c r="P74" i="6"/>
  <c r="T95" i="6"/>
  <c r="G83" i="6"/>
  <c r="M98" i="6"/>
  <c r="Q100" i="6"/>
  <c r="N94" i="6"/>
  <c r="U86" i="6"/>
  <c r="J77" i="6"/>
  <c r="O73" i="6"/>
  <c r="S82" i="6"/>
  <c r="R64" i="6"/>
  <c r="G62" i="6"/>
  <c r="R46" i="6"/>
  <c r="M82" i="6"/>
  <c r="R89" i="6"/>
  <c r="Q47" i="6"/>
  <c r="S59" i="6"/>
  <c r="D95" i="6"/>
  <c r="L44" i="6"/>
  <c r="T49" i="6"/>
  <c r="N64" i="6"/>
  <c r="Q65" i="6"/>
  <c r="K110" i="6"/>
  <c r="P108" i="6"/>
  <c r="Q109" i="6"/>
  <c r="S46" i="6"/>
  <c r="P65" i="6"/>
  <c r="O76" i="6"/>
  <c r="S79" i="6"/>
  <c r="J47" i="6"/>
  <c r="H77" i="6"/>
  <c r="T99" i="6"/>
  <c r="P81" i="6"/>
  <c r="E106" i="6"/>
  <c r="M105" i="6"/>
  <c r="R65" i="6"/>
  <c r="F107" i="6"/>
  <c r="E79" i="6"/>
  <c r="D80" i="6"/>
  <c r="Q91" i="6"/>
  <c r="P46" i="6"/>
  <c r="E47" i="6"/>
  <c r="H55" i="6"/>
  <c r="K77" i="6"/>
  <c r="R43" i="6"/>
  <c r="O93" i="6"/>
  <c r="H73" i="6"/>
  <c r="I74" i="6"/>
  <c r="T82" i="6"/>
  <c r="H61" i="6"/>
  <c r="T97" i="6"/>
  <c r="F74" i="6"/>
  <c r="Q86" i="6"/>
  <c r="H46" i="6"/>
  <c r="G97" i="6"/>
  <c r="G49" i="6"/>
  <c r="F66" i="6"/>
  <c r="N48" i="6"/>
  <c r="J46" i="6"/>
  <c r="J43" i="6"/>
  <c r="Q68" i="6"/>
  <c r="I99" i="6"/>
  <c r="J104" i="6"/>
  <c r="H45" i="6"/>
  <c r="G75" i="6"/>
  <c r="F102" i="6"/>
  <c r="H64" i="6"/>
  <c r="D69" i="6"/>
  <c r="S66" i="6"/>
  <c r="S78" i="6"/>
  <c r="T83" i="6"/>
  <c r="I80" i="6"/>
  <c r="J50" i="6"/>
  <c r="J92" i="6"/>
  <c r="F43" i="6"/>
  <c r="J76" i="6"/>
  <c r="I52" i="6"/>
  <c r="D59" i="6"/>
  <c r="H50" i="6"/>
  <c r="H67" i="6"/>
  <c r="R81" i="6"/>
  <c r="K96" i="6"/>
  <c r="L59" i="6"/>
  <c r="T51" i="6"/>
  <c r="G99" i="6"/>
  <c r="R85" i="6"/>
  <c r="Q52" i="6"/>
  <c r="J54" i="6"/>
  <c r="C77" i="6"/>
  <c r="S81" i="6"/>
  <c r="Q64" i="6"/>
  <c r="N81" i="6"/>
  <c r="M95" i="6"/>
  <c r="C51" i="6"/>
  <c r="M83" i="6"/>
  <c r="N75" i="6"/>
  <c r="P93" i="6"/>
  <c r="D90" i="6"/>
  <c r="T65" i="6"/>
  <c r="R51" i="6"/>
  <c r="I69" i="6"/>
  <c r="P57" i="6"/>
  <c r="D76" i="6"/>
  <c r="I44" i="6"/>
  <c r="I110" i="6"/>
  <c r="O63" i="6"/>
  <c r="T77" i="6"/>
  <c r="O57" i="6"/>
  <c r="L99" i="6"/>
  <c r="R47" i="6"/>
  <c r="H100" i="6"/>
  <c r="F61" i="6"/>
  <c r="T46" i="6"/>
  <c r="D44" i="6"/>
  <c r="H79" i="6"/>
  <c r="I109" i="6"/>
  <c r="Q110" i="6"/>
  <c r="P97" i="6"/>
  <c r="S55" i="6"/>
  <c r="F111" i="6"/>
  <c r="G53" i="6"/>
  <c r="H85" i="6"/>
  <c r="L100" i="6"/>
  <c r="U100" i="6"/>
  <c r="I57" i="6"/>
  <c r="D97" i="6"/>
  <c r="S63" i="6"/>
  <c r="Q102" i="6"/>
  <c r="P79" i="6"/>
  <c r="K60" i="6"/>
  <c r="F81" i="6"/>
  <c r="E65" i="6"/>
  <c r="K95" i="6"/>
  <c r="J49" i="6"/>
  <c r="M71" i="6"/>
  <c r="I94" i="6"/>
  <c r="K89" i="6"/>
  <c r="K73" i="6"/>
  <c r="P88" i="6"/>
  <c r="T106" i="6"/>
  <c r="L49" i="6"/>
  <c r="R73" i="6"/>
  <c r="T69" i="6"/>
  <c r="T54" i="6"/>
  <c r="D79" i="6"/>
  <c r="K76" i="6"/>
  <c r="L83" i="6"/>
  <c r="Q46" i="6"/>
  <c r="L63" i="6"/>
  <c r="T57" i="6"/>
  <c r="S43" i="6"/>
  <c r="G66" i="6"/>
  <c r="N76" i="6"/>
  <c r="T73" i="6"/>
  <c r="J78" i="6"/>
  <c r="E102" i="6"/>
  <c r="D91" i="6"/>
  <c r="I100" i="6"/>
  <c r="N43" i="6"/>
  <c r="M50" i="6"/>
  <c r="F98" i="6"/>
  <c r="G73" i="6"/>
  <c r="G45" i="6"/>
  <c r="F106" i="6"/>
  <c r="T76" i="6"/>
  <c r="R56" i="6"/>
  <c r="L92" i="6"/>
  <c r="R75" i="6"/>
  <c r="U66" i="6"/>
  <c r="Q82" i="6"/>
  <c r="D88" i="6"/>
  <c r="Q58" i="6"/>
  <c r="F87" i="6"/>
  <c r="J82" i="6"/>
  <c r="K63" i="6"/>
  <c r="E100" i="6"/>
  <c r="O54" i="6"/>
  <c r="I70" i="6"/>
  <c r="E94" i="6"/>
  <c r="L84" i="6"/>
  <c r="G81" i="6"/>
  <c r="M100" i="6"/>
  <c r="C44" i="6"/>
  <c r="Q104" i="6"/>
  <c r="U70" i="6"/>
  <c r="E108" i="6"/>
  <c r="H95" i="6"/>
  <c r="U94" i="6"/>
  <c r="P54" i="6"/>
  <c r="Q59" i="6"/>
  <c r="P43" i="6"/>
  <c r="U50" i="6"/>
  <c r="C102" i="6"/>
  <c r="M64" i="6"/>
  <c r="J81" i="6"/>
  <c r="C63" i="6"/>
  <c r="U77" i="6"/>
  <c r="R100" i="6"/>
  <c r="O99" i="6"/>
  <c r="O97" i="6"/>
  <c r="D67" i="6"/>
  <c r="M102" i="6"/>
  <c r="Q99" i="6"/>
  <c r="T63" i="6"/>
  <c r="C107" i="6"/>
  <c r="I90" i="6"/>
  <c r="J106" i="6"/>
  <c r="J98" i="6"/>
  <c r="U93" i="6"/>
  <c r="N69" i="6"/>
  <c r="N50" i="6"/>
  <c r="K58" i="6"/>
  <c r="G100" i="6"/>
  <c r="P91" i="6"/>
  <c r="F60" i="6"/>
  <c r="Q50" i="6"/>
  <c r="P83" i="6"/>
  <c r="D55" i="6"/>
  <c r="K59" i="6"/>
  <c r="O51" i="6"/>
  <c r="R44" i="6"/>
  <c r="N49" i="6"/>
  <c r="P60" i="6"/>
  <c r="H53" i="6"/>
  <c r="P63" i="6"/>
  <c r="H57" i="6"/>
  <c r="E64" i="6"/>
  <c r="H59" i="6"/>
  <c r="U72" i="6"/>
  <c r="Q87" i="6"/>
  <c r="R72" i="6"/>
  <c r="L54" i="6"/>
  <c r="D56" i="6"/>
  <c r="I71" i="6"/>
  <c r="L80" i="6"/>
  <c r="S67" i="6"/>
  <c r="C57" i="6"/>
  <c r="G74" i="6"/>
  <c r="I79" i="6"/>
  <c r="K54" i="6"/>
  <c r="U47" i="6"/>
  <c r="N72" i="6"/>
  <c r="I46" i="6"/>
  <c r="D52" i="6"/>
  <c r="E49" i="6"/>
  <c r="O71" i="6"/>
  <c r="I78" i="6"/>
  <c r="I48" i="6"/>
  <c r="F99" i="6"/>
  <c r="D84" i="6"/>
  <c r="F71" i="6"/>
  <c r="R61" i="6"/>
  <c r="U65" i="6"/>
  <c r="N83" i="6"/>
  <c r="G43" i="6"/>
  <c r="G67" i="6"/>
  <c r="F57" i="6"/>
  <c r="F46" i="6"/>
  <c r="J56" i="6"/>
  <c r="K90" i="6"/>
  <c r="I60" i="6"/>
  <c r="O65" i="6"/>
  <c r="E110" i="6"/>
  <c r="N68" i="6"/>
  <c r="R94" i="6"/>
  <c r="Q76" i="6"/>
  <c r="R76" i="6"/>
  <c r="H97" i="6"/>
  <c r="U107" i="6"/>
  <c r="M101" i="6"/>
  <c r="L97" i="6"/>
  <c r="E48" i="6"/>
  <c r="O58" i="6"/>
  <c r="N99" i="6"/>
  <c r="M109" i="6"/>
  <c r="I63" i="6"/>
  <c r="Q107" i="6"/>
  <c r="L105" i="6"/>
  <c r="F85" i="6"/>
  <c r="L106" i="6"/>
  <c r="P66" i="6"/>
  <c r="Q51" i="6"/>
  <c r="U76" i="6"/>
  <c r="C78" i="6"/>
  <c r="C68" i="6"/>
  <c r="Q88" i="6"/>
  <c r="P82" i="6"/>
  <c r="L43" i="6"/>
  <c r="E74" i="6"/>
  <c r="L60" i="6"/>
  <c r="O104" i="6"/>
  <c r="S80" i="6"/>
  <c r="R49" i="6"/>
  <c r="P87" i="6"/>
  <c r="L55" i="6"/>
  <c r="L56" i="6"/>
  <c r="L61" i="6"/>
  <c r="M91" i="6"/>
  <c r="H90" i="6"/>
  <c r="Q85" i="6"/>
  <c r="C85" i="6"/>
  <c r="I105" i="6"/>
  <c r="C93" i="6"/>
  <c r="H43" i="6"/>
  <c r="L70" i="6"/>
  <c r="O96" i="6"/>
  <c r="U57" i="6"/>
  <c r="I93" i="6"/>
  <c r="C84" i="6"/>
  <c r="P105" i="6"/>
  <c r="P53" i="6"/>
  <c r="G68" i="6"/>
  <c r="E51" i="6"/>
  <c r="O66" i="6"/>
  <c r="F52" i="6"/>
  <c r="R106" i="6"/>
  <c r="J70" i="6"/>
  <c r="T58" i="6"/>
  <c r="F73" i="6"/>
  <c r="S101" i="6"/>
  <c r="O98" i="6"/>
  <c r="Q48" i="6"/>
  <c r="T67" i="6"/>
  <c r="E61" i="6"/>
  <c r="J96" i="6"/>
  <c r="N44" i="6"/>
  <c r="K55" i="6"/>
  <c r="M66" i="6"/>
  <c r="C100" i="6"/>
  <c r="S62" i="6"/>
  <c r="T100" i="6"/>
  <c r="R70" i="6"/>
  <c r="O78" i="6"/>
  <c r="J57" i="6"/>
  <c r="K101" i="6"/>
  <c r="I95" i="6"/>
  <c r="U58" i="6"/>
  <c r="M74" i="6"/>
  <c r="C82" i="6"/>
  <c r="L87" i="6"/>
  <c r="Q108" i="6"/>
  <c r="J55" i="6"/>
  <c r="F51" i="6"/>
  <c r="J80" i="6"/>
  <c r="U49" i="6"/>
  <c r="L57" i="6"/>
  <c r="E57" i="6"/>
  <c r="G79" i="6"/>
  <c r="J107" i="6"/>
  <c r="D49" i="6"/>
  <c r="S60" i="6"/>
  <c r="Q60" i="6"/>
  <c r="K82" i="6"/>
  <c r="H96" i="6"/>
  <c r="L88" i="6"/>
  <c r="G104" i="6"/>
  <c r="E50" i="6"/>
  <c r="S76" i="6"/>
  <c r="O70" i="6"/>
  <c r="R101" i="6"/>
  <c r="E90" i="6"/>
  <c r="N62" i="6"/>
  <c r="G105" i="6"/>
  <c r="N79" i="6"/>
  <c r="F72" i="6"/>
  <c r="G52" i="6"/>
  <c r="J94" i="6"/>
  <c r="J87" i="6"/>
  <c r="E81" i="6"/>
  <c r="G92" i="6"/>
  <c r="G44" i="6"/>
  <c r="M86" i="6"/>
  <c r="E70" i="6"/>
  <c r="F105" i="6"/>
  <c r="D68" i="6"/>
  <c r="D75" i="6"/>
  <c r="S95" i="6"/>
  <c r="K100" i="6"/>
  <c r="D103" i="6"/>
  <c r="E97" i="6"/>
  <c r="P49" i="6"/>
  <c r="U56" i="6"/>
  <c r="S77" i="6"/>
  <c r="K99" i="6"/>
  <c r="E104" i="6"/>
  <c r="Q78" i="6"/>
  <c r="R98" i="6"/>
  <c r="C101" i="6"/>
  <c r="K78" i="6"/>
  <c r="D65" i="6"/>
  <c r="M72" i="6"/>
  <c r="K79" i="6"/>
  <c r="I75" i="6"/>
  <c r="J90" i="6"/>
  <c r="S94" i="6"/>
  <c r="E103" i="6"/>
  <c r="F48" i="6"/>
  <c r="G110" i="6"/>
  <c r="J75" i="6"/>
  <c r="D104" i="6"/>
  <c r="H86" i="6"/>
  <c r="D94" i="6"/>
  <c r="E52" i="6"/>
  <c r="I73" i="6"/>
  <c r="D63" i="6"/>
  <c r="D58" i="6"/>
  <c r="O69" i="6"/>
  <c r="L89" i="6"/>
  <c r="K64" i="6"/>
  <c r="P84" i="6"/>
  <c r="R84" i="6"/>
  <c r="I83" i="6"/>
  <c r="M58" i="6"/>
  <c r="O56" i="6"/>
  <c r="T48" i="6"/>
  <c r="U63" i="6"/>
  <c r="N59" i="6"/>
  <c r="N65" i="6"/>
  <c r="R96" i="6"/>
  <c r="H71" i="6"/>
  <c r="U88" i="6"/>
  <c r="N77" i="6"/>
  <c r="T61" i="6"/>
  <c r="P67" i="6"/>
  <c r="P48" i="6"/>
  <c r="N78" i="6"/>
  <c r="J52" i="6"/>
  <c r="J51" i="6"/>
  <c r="J74" i="6"/>
  <c r="L108" i="6"/>
  <c r="R86" i="6"/>
  <c r="S50" i="6"/>
  <c r="P106" i="6"/>
  <c r="M61" i="6"/>
  <c r="M47" i="6"/>
  <c r="N63" i="6"/>
  <c r="N84" i="6"/>
  <c r="R48" i="6"/>
  <c r="I59" i="6"/>
  <c r="T93" i="6"/>
  <c r="R105" i="6"/>
  <c r="C71" i="6"/>
  <c r="H70" i="6"/>
  <c r="C56" i="6"/>
  <c r="O81" i="6"/>
  <c r="N57" i="6"/>
  <c r="P75" i="6"/>
  <c r="I106" i="6"/>
  <c r="D105" i="6"/>
  <c r="R59" i="6"/>
  <c r="Q53" i="6"/>
  <c r="E82" i="6"/>
  <c r="U104" i="6"/>
  <c r="D53" i="6"/>
  <c r="U64" i="6"/>
  <c r="C48" i="6"/>
  <c r="F82" i="6"/>
  <c r="I97" i="6"/>
  <c r="G61" i="6"/>
  <c r="H51" i="6"/>
  <c r="P69" i="6"/>
  <c r="R50" i="6"/>
  <c r="P58" i="6"/>
  <c r="D46" i="6"/>
  <c r="L62" i="6"/>
  <c r="F84" i="6"/>
  <c r="U55" i="6"/>
  <c r="G108" i="6"/>
  <c r="O91" i="6"/>
  <c r="T55" i="6"/>
  <c r="P100" i="6"/>
  <c r="F91" i="6"/>
  <c r="T75" i="6"/>
  <c r="T87" i="6"/>
  <c r="P51" i="6"/>
  <c r="J53" i="6"/>
  <c r="N52" i="6"/>
  <c r="N102" i="6"/>
  <c r="F62" i="6"/>
  <c r="H58" i="6"/>
  <c r="G93" i="6"/>
  <c r="D71" i="6"/>
  <c r="G69" i="6"/>
  <c r="L69" i="6"/>
  <c r="K62" i="6"/>
  <c r="R104" i="6"/>
  <c r="S69" i="6"/>
  <c r="T81" i="6"/>
  <c r="E105" i="6"/>
  <c r="S96" i="6"/>
  <c r="I84" i="6"/>
  <c r="K74" i="6"/>
  <c r="Q74" i="6"/>
  <c r="M73" i="6"/>
  <c r="O89" i="6"/>
  <c r="R92" i="6"/>
  <c r="U73" i="6"/>
  <c r="K66" i="6"/>
  <c r="E80" i="6"/>
  <c r="L75" i="6"/>
  <c r="I92" i="6"/>
  <c r="O75" i="6"/>
  <c r="J72" i="6"/>
  <c r="N54" i="6"/>
  <c r="T59" i="6"/>
  <c r="C110" i="6"/>
  <c r="Q84" i="6"/>
  <c r="P44" i="6"/>
  <c r="Q92" i="6"/>
  <c r="Q81" i="6"/>
  <c r="N97" i="6"/>
  <c r="Q98" i="6"/>
  <c r="K48" i="6"/>
  <c r="E43" i="6"/>
  <c r="U87" i="6"/>
  <c r="K56" i="6"/>
  <c r="S109" i="6"/>
  <c r="I58" i="6"/>
  <c r="J44" i="6"/>
  <c r="S57" i="6"/>
  <c r="J73" i="6"/>
  <c r="N82" i="6"/>
  <c r="M45" i="6"/>
  <c r="K61" i="6"/>
  <c r="H98" i="6"/>
  <c r="S99" i="6"/>
  <c r="S92" i="6"/>
  <c r="K57" i="6"/>
  <c r="Q57" i="6"/>
  <c r="U82" i="6"/>
  <c r="R66" i="6"/>
  <c r="K98" i="6"/>
  <c r="M43" i="6"/>
  <c r="S54" i="6"/>
  <c r="S100" i="6"/>
  <c r="P109" i="6"/>
  <c r="G96" i="6"/>
  <c r="C88" i="6"/>
  <c r="Q101" i="6"/>
  <c r="G70" i="6"/>
  <c r="R82" i="6"/>
  <c r="N93" i="6"/>
  <c r="P73" i="6"/>
  <c r="G63" i="6"/>
  <c r="R52" i="6"/>
  <c r="G65" i="6"/>
  <c r="Q63" i="6"/>
  <c r="L68" i="6"/>
  <c r="Q95" i="6"/>
  <c r="L64" i="6"/>
  <c r="K49" i="6"/>
  <c r="P68" i="6"/>
  <c r="F89" i="6"/>
  <c r="I51" i="6"/>
  <c r="K52" i="6"/>
  <c r="R77" i="6"/>
  <c r="H52" i="6"/>
  <c r="S91" i="6"/>
  <c r="S56" i="6"/>
  <c r="F44" i="6"/>
  <c r="S53" i="6"/>
  <c r="K83" i="6"/>
  <c r="J95" i="6"/>
  <c r="E68" i="6"/>
  <c r="M69" i="6"/>
  <c r="U61" i="6"/>
  <c r="K88" i="6"/>
  <c r="M88" i="6"/>
  <c r="M316" i="1"/>
  <c r="J31" i="3"/>
  <c r="K31" i="3"/>
  <c r="M347" i="1"/>
  <c r="M673" i="1"/>
  <c r="M548" i="1"/>
  <c r="M612" i="1"/>
  <c r="M486" i="1"/>
  <c r="M442" i="1"/>
  <c r="F104" i="6"/>
  <c r="T104" i="6"/>
  <c r="C54" i="6"/>
  <c r="T78" i="6"/>
  <c r="S73" i="6"/>
  <c r="L93" i="6"/>
  <c r="D99" i="6"/>
  <c r="C65" i="6"/>
  <c r="L82" i="6"/>
  <c r="C45" i="6"/>
  <c r="J91" i="6"/>
  <c r="H76" i="6"/>
  <c r="E98" i="6"/>
  <c r="M346" i="1"/>
  <c r="M104" i="6"/>
  <c r="U108" i="6"/>
  <c r="T101" i="6"/>
  <c r="K104" i="6"/>
  <c r="U102" i="6"/>
  <c r="Q79" i="6"/>
  <c r="L91" i="6"/>
  <c r="O85" i="6"/>
  <c r="G80" i="6"/>
  <c r="L94" i="6"/>
  <c r="T90" i="6"/>
  <c r="N45" i="6"/>
  <c r="J97" i="6"/>
  <c r="M315" i="1"/>
  <c r="T30" i="3"/>
  <c r="O20" i="3"/>
  <c r="O3" i="3"/>
  <c r="O18" i="3"/>
  <c r="O31" i="3"/>
  <c r="T18" i="3"/>
  <c r="V18" i="3" s="1"/>
  <c r="J5" i="3"/>
  <c r="J19" i="3"/>
  <c r="J6" i="3"/>
  <c r="O9" i="3"/>
  <c r="T23" i="3"/>
  <c r="O11" i="3"/>
  <c r="O25" i="3"/>
  <c r="T26" i="3"/>
  <c r="V26" i="3" s="1"/>
  <c r="J7" i="3"/>
  <c r="O24" i="3"/>
  <c r="T5" i="3"/>
  <c r="V5" i="3" s="1"/>
  <c r="J9" i="3"/>
  <c r="O15" i="3"/>
  <c r="M307" i="1"/>
  <c r="J34" i="3"/>
  <c r="M335" i="1"/>
  <c r="K2" i="3"/>
  <c r="M790" i="1"/>
  <c r="M729" i="1"/>
  <c r="M750" i="1"/>
  <c r="M751" i="1"/>
  <c r="M654" i="1"/>
  <c r="M653" i="1"/>
  <c r="M655" i="1"/>
  <c r="M645" i="1"/>
  <c r="M585" i="1"/>
  <c r="M664" i="1"/>
  <c r="M644" i="1"/>
  <c r="M665" i="1"/>
  <c r="M656" i="1"/>
  <c r="M611" i="1"/>
  <c r="M518" i="1"/>
  <c r="M421" i="1"/>
  <c r="M412" i="1"/>
  <c r="M420" i="1"/>
  <c r="M432" i="1"/>
  <c r="M411" i="1"/>
  <c r="M376" i="1"/>
  <c r="M431" i="1"/>
  <c r="M375" i="1"/>
  <c r="M371" i="1"/>
  <c r="M330" i="1"/>
  <c r="M322" i="1"/>
  <c r="K3" i="3"/>
  <c r="M314" i="1"/>
  <c r="M340" i="1"/>
  <c r="U14" i="3"/>
  <c r="O14" i="3"/>
  <c r="T14" i="3"/>
  <c r="P14" i="3"/>
  <c r="K14" i="3"/>
  <c r="J14" i="3"/>
  <c r="M666" i="1"/>
  <c r="M427" i="1"/>
  <c r="M345" i="1"/>
  <c r="M357" i="1"/>
  <c r="M354" i="1"/>
  <c r="M352" i="1"/>
  <c r="J102" i="6"/>
  <c r="E46" i="6"/>
  <c r="I67" i="6"/>
  <c r="E92" i="6"/>
  <c r="R79" i="6"/>
  <c r="K85" i="6"/>
  <c r="O68" i="6"/>
  <c r="S49" i="6"/>
  <c r="M78" i="6"/>
  <c r="C49" i="6"/>
  <c r="K80" i="6"/>
  <c r="U54" i="6"/>
  <c r="Q83" i="6"/>
  <c r="M323" i="1"/>
  <c r="J12" i="3"/>
  <c r="M311" i="1"/>
  <c r="M741" i="1"/>
  <c r="M735" i="1"/>
  <c r="M774" i="1"/>
  <c r="M737" i="1"/>
  <c r="M713" i="1"/>
  <c r="M775" i="1"/>
  <c r="M710" i="1"/>
  <c r="M712" i="1"/>
  <c r="M738" i="1"/>
  <c r="M714" i="1"/>
  <c r="M773" i="1"/>
  <c r="M711" i="1"/>
  <c r="M787" i="1"/>
  <c r="M740" i="1"/>
  <c r="M739" i="1"/>
  <c r="M567" i="1"/>
  <c r="M641" i="1"/>
  <c r="M602" i="1"/>
  <c r="M600" i="1"/>
  <c r="M568" i="1"/>
  <c r="M667" i="1"/>
  <c r="M601" i="1"/>
  <c r="M574" i="1"/>
  <c r="M542" i="1"/>
  <c r="M599" i="1"/>
  <c r="M598" i="1"/>
  <c r="M569" i="1"/>
  <c r="M597" i="1"/>
  <c r="M604" i="1"/>
  <c r="M603" i="1"/>
  <c r="M524" i="1"/>
  <c r="M506" i="1"/>
  <c r="M525" i="1"/>
  <c r="M508" i="1"/>
  <c r="M505" i="1"/>
  <c r="M487" i="1"/>
  <c r="M504" i="1"/>
  <c r="M507" i="1"/>
  <c r="M526" i="1"/>
  <c r="M460" i="1"/>
  <c r="M461" i="1"/>
  <c r="M400" i="1"/>
  <c r="M401" i="1"/>
  <c r="M397" i="1"/>
  <c r="M393" i="1"/>
  <c r="M396" i="1"/>
  <c r="M394" i="1"/>
  <c r="M392" i="1"/>
  <c r="M399" i="1"/>
  <c r="M391" i="1"/>
  <c r="M398" i="1"/>
  <c r="M423" i="1"/>
  <c r="M428" i="1"/>
  <c r="M395" i="1"/>
  <c r="M390" i="1"/>
  <c r="M334" i="1"/>
  <c r="M329" i="1"/>
  <c r="M321" i="1"/>
  <c r="J3" i="3"/>
  <c r="M313" i="1"/>
  <c r="M704" i="1"/>
  <c r="M765" i="1"/>
  <c r="M700" i="1"/>
  <c r="M764" i="1"/>
  <c r="M699" i="1"/>
  <c r="M784" i="1"/>
  <c r="M701" i="1"/>
  <c r="M757" i="1"/>
  <c r="M756" i="1"/>
  <c r="M753" i="1"/>
  <c r="M707" i="1"/>
  <c r="M760" i="1"/>
  <c r="M766" i="1"/>
  <c r="M758" i="1"/>
  <c r="M770" i="1"/>
  <c r="M708" i="1"/>
  <c r="M705" i="1"/>
  <c r="M769" i="1"/>
  <c r="M767" i="1"/>
  <c r="M702" i="1"/>
  <c r="M762" i="1"/>
  <c r="M761" i="1"/>
  <c r="M759" i="1"/>
  <c r="M706" i="1"/>
  <c r="M754" i="1"/>
  <c r="M755" i="1"/>
  <c r="M703" i="1"/>
  <c r="M763" i="1"/>
  <c r="M768" i="1"/>
  <c r="M556" i="1"/>
  <c r="M594" i="1"/>
  <c r="M591" i="1"/>
  <c r="M590" i="1"/>
  <c r="M589" i="1"/>
  <c r="M596" i="1"/>
  <c r="M595" i="1"/>
  <c r="M541" i="1"/>
  <c r="M564" i="1"/>
  <c r="M559" i="1"/>
  <c r="M566" i="1"/>
  <c r="M565" i="1"/>
  <c r="M592" i="1"/>
  <c r="M553" i="1"/>
  <c r="M560" i="1"/>
  <c r="M558" i="1"/>
  <c r="M557" i="1"/>
  <c r="M593" i="1"/>
  <c r="M562" i="1"/>
  <c r="M554" i="1"/>
  <c r="M561" i="1"/>
  <c r="M563" i="1"/>
  <c r="M555" i="1"/>
  <c r="M497" i="1"/>
  <c r="M495" i="1"/>
  <c r="M520" i="1"/>
  <c r="M501" i="1"/>
  <c r="M523" i="1"/>
  <c r="M499" i="1"/>
  <c r="M496" i="1"/>
  <c r="M494" i="1"/>
  <c r="M502" i="1"/>
  <c r="M521" i="1"/>
  <c r="M368" i="1"/>
  <c r="M498" i="1"/>
  <c r="M522" i="1"/>
  <c r="M500" i="1"/>
  <c r="M452" i="1"/>
  <c r="M457" i="1"/>
  <c r="M454" i="1"/>
  <c r="M451" i="1"/>
  <c r="M450" i="1"/>
  <c r="M456" i="1"/>
  <c r="M455" i="1"/>
  <c r="M453" i="1"/>
  <c r="M382" i="1"/>
  <c r="M385" i="1"/>
  <c r="M379" i="1"/>
  <c r="M381" i="1"/>
  <c r="M380" i="1"/>
  <c r="M384" i="1"/>
  <c r="M383" i="1"/>
  <c r="M414" i="1"/>
  <c r="M362" i="1"/>
  <c r="M363" i="1"/>
  <c r="M351" i="1"/>
  <c r="J2" i="3"/>
  <c r="M344" i="1"/>
  <c r="E60" i="6"/>
  <c r="Q56" i="6"/>
  <c r="O55" i="6"/>
  <c r="F100" i="6"/>
  <c r="L79" i="6"/>
  <c r="M75" i="6"/>
  <c r="H44" i="6"/>
  <c r="O46" i="6"/>
  <c r="S90" i="6"/>
  <c r="T70" i="6"/>
  <c r="H75" i="6"/>
  <c r="P70" i="6"/>
  <c r="V13" i="3"/>
  <c r="V25" i="3"/>
  <c r="V2" i="3"/>
  <c r="V16" i="3"/>
  <c r="V7" i="3"/>
  <c r="V4" i="3"/>
  <c r="V9" i="3"/>
  <c r="V6" i="3"/>
  <c r="V19" i="3"/>
  <c r="V15" i="3"/>
  <c r="V23" i="3"/>
  <c r="V27" i="3"/>
  <c r="V24" i="3"/>
  <c r="V28" i="3"/>
  <c r="V21" i="3"/>
  <c r="V8" i="3"/>
  <c r="V20" i="3"/>
  <c r="V32" i="3"/>
  <c r="V17" i="3"/>
  <c r="V29" i="3"/>
  <c r="V12" i="3"/>
  <c r="V33" i="3"/>
  <c r="V35" i="3"/>
  <c r="V34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1" i="6" l="1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<sst xmlns="http://schemas.openxmlformats.org/spreadsheetml/2006/main" count="6521" uniqueCount="182">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</sst>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06" totalsRowShown="0" headerRowDxfId="42">
  <autoFilter ref="A1:P806" xr:uid="{00000000-0009-0000-0100-000001000000}"/>
  <sortState xmlns:xlrd2="http://schemas.microsoft.com/office/spreadsheetml/2017/richdata2" ref="A2:P790">
    <sortCondition ref="B1:B790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129" tableType="queryTable" totalsRowShown="0" headerRowDxfId="44" headerRowBorderDxfId="43">
  <autoFilter ref="A1:D212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06"/>
  <sheetViews>
    <sheetView topLeftCell="I1" zoomScale="70" zoomScaleNormal="70" workbookViewId="0">
      <pane ySplit="1" topLeftCell="A778" activePane="bottomLeft" state="frozen"/>
      <selection pane="bottomLeft" activeCell="J791" sqref="J791:J80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Iniciales'!$B$2:$B$38,D234)+SUMIFS($K$1:$K$806,$C$1:$C$806,C234,$D$1:$D$806,D234,$B$1:$B$806,"&lt;="&amp;B234)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Iniciales'!$B$2:$B$38,D235)+SUMIFS($K$1:$K$806,$C$1:$C$806,C235,$D$1:$D$806,D235,$B$1:$B$806,"&lt;="&amp;B235)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Iniciales'!$B$2:$B$38,D236)+SUMIFS($K$1:$K$806,$C$1:$C$806,C236,$D$1:$D$806,D236,$B$1:$B$806,"&lt;="&amp;B236)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Iniciales'!$B$2:$B$38,D237)+SUMIFS($K$1:$K$806,$C$1:$C$806,C237,$D$1:$D$806,D237,$B$1:$B$806,"&lt;="&amp;B237)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Iniciales'!$B$2:$B$38,D238)+SUMIFS($K$1:$K$806,$C$1:$C$806,C238,$D$1:$D$806,D238,$B$1:$B$806,"&lt;="&amp;B238)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Iniciales'!$B$2:$B$38,D239)+SUMIFS($K$1:$K$806,$C$1:$C$806,C239,$D$1:$D$806,D239,$B$1:$B$806,"&lt;="&amp;B239)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Iniciales'!$B$2:$B$38,D283)+SUMIFS($K$1:$K$806,$C$1:$C$806,C283,$D$1:$D$806,D283,$B$1:$B$806,"&lt;="&amp;B283)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Iniciales'!$B$2:$B$38,D306)+SUMIFS($K$1:$K$806,$C$1:$C$806,C306,$D$1:$D$806,D306,$B$1:$B$806,"&lt;="&amp;B306)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Iniciales'!$B$2:$B$38,D307)+SUMIFS($K$1:$K$806,$C$1:$C$806,C307,$D$1:$D$806,D307,$B$1:$B$806,"&lt;="&amp;B307)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Iniciales'!$B$2:$B$38,D308)+SUMIFS($K$1:$K$806,$C$1:$C$806,C308,$D$1:$D$806,D308,$B$1:$B$806,"&lt;="&amp;B308)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Iniciales'!$B$2:$B$38,D309)+SUMIFS($K$1:$K$806,$C$1:$C$806,C309,$D$1:$D$806,D309,$B$1:$B$806,"&lt;="&amp;B309)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Iniciales'!$B$2:$B$38,D310)+SUMIFS($K$1:$K$806,$C$1:$C$806,C310,$D$1:$D$806,D310,$B$1:$B$806,"&lt;="&amp;B310)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Iniciales'!$B$2:$B$38,D311)+SUMIFS($K$1:$K$806,$C$1:$C$806,C311,$D$1:$D$806,D311,$B$1:$B$806,"&lt;="&amp;B311)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Iniciales'!$B$2:$B$38,D312)+SUMIFS($K$1:$K$806,$C$1:$C$806,C312,$D$1:$D$806,D312,$B$1:$B$806,"&lt;="&amp;B312)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Iniciales'!$B$2:$B$38,D313)+SUMIFS($K$1:$K$806,$C$1:$C$806,C313,$D$1:$D$806,D313,$B$1:$B$806,"&lt;="&amp;B313)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Iniciales'!$B$2:$B$38,D314)+SUMIFS($K$1:$K$806,$C$1:$C$806,C314,$D$1:$D$806,D314,$B$1:$B$806,"&lt;="&amp;B314)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Iniciales'!$B$2:$B$38,D315)+SUMIFS($K$1:$K$806,$C$1:$C$806,C315,$D$1:$D$806,D315,$B$1:$B$806,"&lt;="&amp;B315)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Iniciales'!$B$2:$B$38,D316)+SUMIFS($K$1:$K$806,$C$1:$C$806,C316,$D$1:$D$806,D316,$B$1:$B$806,"&lt;="&amp;B316)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Iniciales'!$B$2:$B$38,D317)+SUMIFS($K$1:$K$806,$C$1:$C$806,C317,$D$1:$D$806,D317,$B$1:$B$806,"&lt;="&amp;B317)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Iniciales'!$B$2:$B$38,D318)+SUMIFS($K$1:$K$806,$C$1:$C$806,C318,$D$1:$D$806,D318,$B$1:$B$806,"&lt;="&amp;B318)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Iniciales'!$B$2:$B$38,D319)+SUMIFS($K$1:$K$806,$C$1:$C$806,C319,$D$1:$D$806,D319,$B$1:$B$806,"&lt;="&amp;B319)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Iniciales'!$B$2:$B$38,D320)+SUMIFS($K$1:$K$806,$C$1:$C$806,C320,$D$1:$D$806,D320,$B$1:$B$806,"&lt;="&amp;B320)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Iniciales'!$B$2:$B$38,D321)+SUMIFS($K$1:$K$806,$C$1:$C$806,C321,$D$1:$D$806,D321,$B$1:$B$806,"&lt;="&amp;B321)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Iniciales'!$B$2:$B$38,D322)+SUMIFS($K$1:$K$806,$C$1:$C$806,C322,$D$1:$D$806,D322,$B$1:$B$806,"&lt;="&amp;B322)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Iniciales'!$B$2:$B$38,D323)+SUMIFS($K$1:$K$806,$C$1:$C$806,C323,$D$1:$D$806,D323,$B$1:$B$806,"&lt;="&amp;B323)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Iniciales'!$B$2:$B$38,D324)+SUMIFS($K$1:$K$806,$C$1:$C$806,C324,$D$1:$D$806,D324,$B$1:$B$806,"&lt;="&amp;B324)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Iniciales'!$B$2:$B$38,D325)+SUMIFS($K$1:$K$806,$C$1:$C$806,C325,$D$1:$D$806,D325,$B$1:$B$806,"&lt;="&amp;B325)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Iniciales'!$B$2:$B$38,D326)+SUMIFS($K$1:$K$806,$C$1:$C$806,C326,$D$1:$D$806,D326,$B$1:$B$806,"&lt;="&amp;B326)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Iniciales'!$B$2:$B$38,D327)+SUMIFS($K$1:$K$806,$C$1:$C$806,C327,$D$1:$D$806,D327,$B$1:$B$806,"&lt;="&amp;B327)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Iniciales'!$B$2:$B$38,D328)+SUMIFS($K$1:$K$806,$C$1:$C$806,C328,$D$1:$D$806,D328,$B$1:$B$806,"&lt;="&amp;B328)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Iniciales'!$B$2:$B$38,D329)+SUMIFS($K$1:$K$806,$C$1:$C$806,C329,$D$1:$D$806,D329,$B$1:$B$806,"&lt;="&amp;B329)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Iniciales'!$B$2:$B$38,D330)+SUMIFS($K$1:$K$806,$C$1:$C$806,C330,$D$1:$D$806,D330,$B$1:$B$806,"&lt;="&amp;B330)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Iniciales'!$B$2:$B$38,D331)+SUMIFS($K$1:$K$806,$C$1:$C$806,C331,$D$1:$D$806,D331,$B$1:$B$806,"&lt;="&amp;B331)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Iniciales'!$B$2:$B$38,D332)+SUMIFS($K$1:$K$806,$C$1:$C$806,C332,$D$1:$D$806,D332,$B$1:$B$806,"&lt;="&amp;B332)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Iniciales'!$B$2:$B$38,D333)+SUMIFS($K$1:$K$806,$C$1:$C$806,C333,$D$1:$D$806,D333,$B$1:$B$806,"&lt;="&amp;B333)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Iniciales'!$B$2:$B$38,D334)+SUMIFS($K$1:$K$806,$C$1:$C$806,C334,$D$1:$D$806,D334,$B$1:$B$806,"&lt;="&amp;B334)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Iniciales'!$B$2:$B$38,D335)+SUMIFS($K$1:$K$806,$C$1:$C$806,C335,$D$1:$D$806,D335,$B$1:$B$806,"&lt;="&amp;B335)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Iniciales'!$B$2:$B$38,D336)+SUMIFS($K$1:$K$806,$C$1:$C$806,C336,$D$1:$D$806,D336,$B$1:$B$806,"&lt;="&amp;B336)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Iniciales'!$B$2:$B$38,D337)+SUMIFS($K$1:$K$806,$C$1:$C$806,C337,$D$1:$D$806,D337,$B$1:$B$806,"&lt;="&amp;B337)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Iniciales'!$B$2:$B$38,D338)+SUMIFS($K$1:$K$806,$C$1:$C$806,C338,$D$1:$D$806,D338,$B$1:$B$806,"&lt;="&amp;B338)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Iniciales'!$B$2:$B$38,D339)+SUMIFS($K$1:$K$806,$C$1:$C$806,C339,$D$1:$D$806,D339,$B$1:$B$806,"&lt;="&amp;B339)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Iniciales'!$B$2:$B$38,D340)+SUMIFS($K$1:$K$806,$C$1:$C$806,C340,$D$1:$D$806,D340,$B$1:$B$806,"&lt;="&amp;B340)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Iniciales'!$B$2:$B$38,D341)+SUMIFS($K$1:$K$806,$C$1:$C$806,C341,$D$1:$D$806,D341,$B$1:$B$806,"&lt;="&amp;B341)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Iniciales'!$B$2:$B$38,D342)+SUMIFS($K$1:$K$806,$C$1:$C$806,C342,$D$1:$D$806,D342,$B$1:$B$806,"&lt;="&amp;B342)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Iniciales'!$B$2:$B$38,D343)+SUMIFS($K$1:$K$806,$C$1:$C$806,C343,$D$1:$D$806,D343,$B$1:$B$806,"&lt;="&amp;B343)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Iniciales'!$B$2:$B$38,D344)+SUMIFS($K$1:$K$806,$C$1:$C$806,C344,$D$1:$D$806,D344,$B$1:$B$806,"&lt;="&amp;B344)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Iniciales'!$B$2:$B$38,D345)+SUMIFS($K$1:$K$806,$C$1:$C$806,C345,$D$1:$D$806,D345,$B$1:$B$806,"&lt;="&amp;B345)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Iniciales'!$B$2:$B$38,D346)+SUMIFS($K$1:$K$806,$C$1:$C$806,C346,$D$1:$D$806,D346,$B$1:$B$806,"&lt;="&amp;B346)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Iniciales'!$B$2:$B$38,D347)+SUMIFS($K$1:$K$806,$C$1:$C$806,C347,$D$1:$D$806,D347,$B$1:$B$806,"&lt;="&amp;B347)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Iniciales'!$B$2:$B$38,D348)+SUMIFS($K$1:$K$806,$C$1:$C$806,C348,$D$1:$D$806,D348,$B$1:$B$806,"&lt;="&amp;B348)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Iniciales'!$B$2:$B$38,D349)+SUMIFS($K$1:$K$806,$C$1:$C$806,C349,$D$1:$D$806,D349,$B$1:$B$806,"&lt;="&amp;B349)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Iniciales'!$B$2:$B$38,D350)+SUMIFS($K$1:$K$806,$C$1:$C$806,C350,$D$1:$D$806,D350,$B$1:$B$806,"&lt;="&amp;B350)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Iniciales'!$B$2:$B$38,D351)+SUMIFS($K$1:$K$806,$C$1:$C$806,C351,$D$1:$D$806,D351,$B$1:$B$806,"&lt;="&amp;B351)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Iniciales'!$B$2:$B$38,D352)+SUMIFS($K$1:$K$806,$C$1:$C$806,C352,$D$1:$D$806,D352,$B$1:$B$806,"&lt;="&amp;B352)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Iniciales'!$B$2:$B$38,D353)+SUMIFS($K$1:$K$806,$C$1:$C$806,C353,$D$1:$D$806,D353,$B$1:$B$806,"&lt;="&amp;B353)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Iniciales'!$B$2:$B$38,D354)+SUMIFS($K$1:$K$806,$C$1:$C$806,C354,$D$1:$D$806,D354,$B$1:$B$806,"&lt;="&amp;B354)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Iniciales'!$B$2:$B$38,D355)+SUMIFS($K$1:$K$806,$C$1:$C$806,C355,$D$1:$D$806,D355,$B$1:$B$806,"&lt;="&amp;B355)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Iniciales'!$B$2:$B$38,D356)+SUMIFS($K$1:$K$806,$C$1:$C$806,C356,$D$1:$D$806,D356,$B$1:$B$806,"&lt;="&amp;B356)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Iniciales'!$B$2:$B$38,D357)+SUMIFS($K$1:$K$806,$C$1:$C$806,C357,$D$1:$D$806,D357,$B$1:$B$806,"&lt;="&amp;B357)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Iniciales'!$B$2:$B$38,D358)+SUMIFS($K$1:$K$806,$C$1:$C$806,C358,$D$1:$D$806,D358,$B$1:$B$806,"&lt;="&amp;B358)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Iniciales'!$B$2:$B$38,D359)+SUMIFS($K$1:$K$806,$C$1:$C$806,C359,$D$1:$D$806,D359,$B$1:$B$806,"&lt;="&amp;B359)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Iniciales'!$B$2:$B$38,D360)+SUMIFS($K$1:$K$806,$C$1:$C$806,C360,$D$1:$D$806,D360,$B$1:$B$806,"&lt;="&amp;B360)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Iniciales'!$B$2:$B$38,D361)+SUMIFS($K$1:$K$806,$C$1:$C$806,C361,$D$1:$D$806,D361,$B$1:$B$806,"&lt;="&amp;B361)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Iniciales'!$B$2:$B$38,D362)+SUMIFS($K$1:$K$806,$C$1:$C$806,C362,$D$1:$D$806,D362,$B$1:$B$806,"&lt;="&amp;B362)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Iniciales'!$B$2:$B$38,D363)+SUMIFS($K$1:$K$806,$C$1:$C$806,C363,$D$1:$D$806,D363,$B$1:$B$806,"&lt;="&amp;B363)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Iniciales'!$B$2:$B$38,D364)+SUMIFS($K$1:$K$806,$C$1:$C$806,C364,$D$1:$D$806,D364,$B$1:$B$806,"&lt;="&amp;B364)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Iniciales'!$B$2:$B$38,D365)+SUMIFS($K$1:$K$806,$C$1:$C$806,C365,$D$1:$D$806,D365,$B$1:$B$806,"&lt;="&amp;B365)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Iniciales'!$B$2:$B$38,D366)+SUMIFS($K$1:$K$806,$C$1:$C$806,C366,$D$1:$D$806,D366,$B$1:$B$806,"&lt;="&amp;B366)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Iniciales'!$B$2:$B$38,D367)+SUMIFS($K$1:$K$806,$C$1:$C$806,C367,$D$1:$D$806,D367,$B$1:$B$806,"&lt;="&amp;B367)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Iniciales'!$B$2:$B$38,D368)+SUMIFS($K$1:$K$806,$C$1:$C$806,C368,$D$1:$D$806,D368,$B$1:$B$806,"&lt;="&amp;B368)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Iniciales'!$B$2:$B$38,D369)+SUMIFS($K$1:$K$806,$C$1:$C$806,C369,$D$1:$D$806,D369,$B$1:$B$806,"&lt;="&amp;B369)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Iniciales'!$B$2:$B$38,D370)+SUMIFS($K$1:$K$806,$C$1:$C$806,C370,$D$1:$D$806,D370,$B$1:$B$806,"&lt;="&amp;B370)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Iniciales'!$B$2:$B$38,D371)+SUMIFS($K$1:$K$806,$C$1:$C$806,C371,$D$1:$D$806,D371,$B$1:$B$806,"&lt;="&amp;B371)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Iniciales'!$B$2:$B$38,D372)+SUMIFS($K$1:$K$806,$C$1:$C$806,C372,$D$1:$D$806,D372,$B$1:$B$806,"&lt;="&amp;B372)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Iniciales'!$B$2:$B$38,D373)+SUMIFS($K$1:$K$806,$C$1:$C$806,C373,$D$1:$D$806,D373,$B$1:$B$806,"&lt;="&amp;B373)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Iniciales'!$B$2:$B$38,D374)+SUMIFS($K$1:$K$806,$C$1:$C$806,C374,$D$1:$D$806,D374,$B$1:$B$806,"&lt;="&amp;B374)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Iniciales'!$B$2:$B$38,D375)+SUMIFS($K$1:$K$806,$C$1:$C$806,C375,$D$1:$D$806,D375,$B$1:$B$806,"&lt;="&amp;B375)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Iniciales'!$B$2:$B$38,D376)+SUMIFS($K$1:$K$806,$C$1:$C$806,C376,$D$1:$D$806,D376,$B$1:$B$806,"&lt;="&amp;B376)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Iniciales'!$B$2:$B$38,D377)+SUMIFS($K$1:$K$806,$C$1:$C$806,C377,$D$1:$D$806,D377,$B$1:$B$806,"&lt;="&amp;B377)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Iniciales'!$B$2:$B$38,D378)+SUMIFS($K$1:$K$806,$C$1:$C$806,C378,$D$1:$D$806,D378,$B$1:$B$806,"&lt;="&amp;B378)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Iniciales'!$B$2:$B$38,D379)+SUMIFS($K$1:$K$806,$C$1:$C$806,C379,$D$1:$D$806,D379,$B$1:$B$806,"&lt;="&amp;B379)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Iniciales'!$B$2:$B$38,D380)+SUMIFS($K$1:$K$806,$C$1:$C$806,C380,$D$1:$D$806,D380,$B$1:$B$806,"&lt;="&amp;B380)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Iniciales'!$B$2:$B$38,D381)+SUMIFS($K$1:$K$806,$C$1:$C$806,C381,$D$1:$D$806,D381,$B$1:$B$806,"&lt;="&amp;B381)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Iniciales'!$B$2:$B$38,D382)+SUMIFS($K$1:$K$806,$C$1:$C$806,C382,$D$1:$D$806,D382,$B$1:$B$806,"&lt;="&amp;B382)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Iniciales'!$B$2:$B$38,D383)+SUMIFS($K$1:$K$806,$C$1:$C$806,C383,$D$1:$D$806,D383,$B$1:$B$806,"&lt;="&amp;B383)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Iniciales'!$B$2:$B$38,D384)+SUMIFS($K$1:$K$806,$C$1:$C$806,C384,$D$1:$D$806,D384,$B$1:$B$806,"&lt;="&amp;B384)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Iniciales'!$B$2:$B$38,D385)+SUMIFS($K$1:$K$806,$C$1:$C$806,C385,$D$1:$D$806,D385,$B$1:$B$806,"&lt;="&amp;B385)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Iniciales'!$B$2:$B$38,D386)+SUMIFS($K$1:$K$806,$C$1:$C$806,C386,$D$1:$D$806,D386,$B$1:$B$806,"&lt;="&amp;B386)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Iniciales'!$B$2:$B$38,D387)+SUMIFS($K$1:$K$806,$C$1:$C$806,C387,$D$1:$D$806,D387,$B$1:$B$806,"&lt;="&amp;B387)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Iniciales'!$B$2:$B$38,D388)+SUMIFS($K$1:$K$806,$C$1:$C$806,C388,$D$1:$D$806,D388,$B$1:$B$806,"&lt;="&amp;B388)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Iniciales'!$B$2:$B$38,D389)+SUMIFS($K$1:$K$806,$C$1:$C$806,C389,$D$1:$D$806,D389,$B$1:$B$806,"&lt;="&amp;B389)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Iniciales'!$B$2:$B$38,D390)+SUMIFS($K$1:$K$806,$C$1:$C$806,C390,$D$1:$D$806,D390,$B$1:$B$806,"&lt;="&amp;B390)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Iniciales'!$B$2:$B$38,D391)+SUMIFS($K$1:$K$806,$C$1:$C$806,C391,$D$1:$D$806,D391,$B$1:$B$806,"&lt;="&amp;B391)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Iniciales'!$B$2:$B$38,D392)+SUMIFS($K$1:$K$806,$C$1:$C$806,C392,$D$1:$D$806,D392,$B$1:$B$806,"&lt;="&amp;B392)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Iniciales'!$B$2:$B$38,D393)+SUMIFS($K$1:$K$806,$C$1:$C$806,C393,$D$1:$D$806,D393,$B$1:$B$806,"&lt;="&amp;B393)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Iniciales'!$B$2:$B$38,D394)+SUMIFS($K$1:$K$806,$C$1:$C$806,C394,$D$1:$D$806,D394,$B$1:$B$806,"&lt;="&amp;B394)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Iniciales'!$B$2:$B$38,D395)+SUMIFS($K$1:$K$806,$C$1:$C$806,C395,$D$1:$D$806,D395,$B$1:$B$806,"&lt;="&amp;B395)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Iniciales'!$B$2:$B$38,D396)+SUMIFS($K$1:$K$806,$C$1:$C$806,C396,$D$1:$D$806,D396,$B$1:$B$806,"&lt;="&amp;B396)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Iniciales'!$B$2:$B$38,D397)+SUMIFS($K$1:$K$806,$C$1:$C$806,C397,$D$1:$D$806,D397,$B$1:$B$806,"&lt;="&amp;B397)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Iniciales'!$B$2:$B$38,D398)+SUMIFS($K$1:$K$806,$C$1:$C$806,C398,$D$1:$D$806,D398,$B$1:$B$806,"&lt;="&amp;B398)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Iniciales'!$B$2:$B$38,D399)+SUMIFS($K$1:$K$806,$C$1:$C$806,C399,$D$1:$D$806,D399,$B$1:$B$806,"&lt;="&amp;B399)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Iniciales'!$B$2:$B$38,D400)+SUMIFS($K$1:$K$806,$C$1:$C$806,C400,$D$1:$D$806,D400,$B$1:$B$806,"&lt;="&amp;B400)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Iniciales'!$B$2:$B$38,D401)+SUMIFS($K$1:$K$806,$C$1:$C$806,C401,$D$1:$D$806,D401,$B$1:$B$806,"&lt;="&amp;B401)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Iniciales'!$B$2:$B$38,D402)+SUMIFS($K$1:$K$806,$C$1:$C$806,C402,$D$1:$D$806,D402,$B$1:$B$806,"&lt;="&amp;B402)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Iniciales'!$B$2:$B$38,D403)+SUMIFS($K$1:$K$806,$C$1:$C$806,C403,$D$1:$D$806,D403,$B$1:$B$806,"&lt;="&amp;B403)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Iniciales'!$B$2:$B$38,D404)+SUMIFS($K$1:$K$806,$C$1:$C$806,C404,$D$1:$D$806,D404,$B$1:$B$806,"&lt;="&amp;B404)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Iniciales'!$B$2:$B$38,D405)+SUMIFS($K$1:$K$806,$C$1:$C$806,C405,$D$1:$D$806,D405,$B$1:$B$806,"&lt;="&amp;B405)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Iniciales'!$B$2:$B$38,D406)+SUMIFS($K$1:$K$806,$C$1:$C$806,C406,$D$1:$D$806,D406,$B$1:$B$806,"&lt;="&amp;B406)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Iniciales'!$B$2:$B$38,D407)+SUMIFS($K$1:$K$806,$C$1:$C$806,C407,$D$1:$D$806,D407,$B$1:$B$806,"&lt;="&amp;B407)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Iniciales'!$B$2:$B$38,D408)+SUMIFS($K$1:$K$806,$C$1:$C$806,C408,$D$1:$D$806,D408,$B$1:$B$806,"&lt;="&amp;B408)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Iniciales'!$B$2:$B$38,D409)+SUMIFS($K$1:$K$806,$C$1:$C$806,C409,$D$1:$D$806,D409,$B$1:$B$806,"&lt;="&amp;B409)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Iniciales'!$B$2:$B$38,D410)+SUMIFS($K$1:$K$806,$C$1:$C$806,C410,$D$1:$D$806,D410,$B$1:$B$806,"&lt;="&amp;B410)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Iniciales'!$B$2:$B$38,D411)+SUMIFS($K$1:$K$806,$C$1:$C$806,C411,$D$1:$D$806,D411,$B$1:$B$806,"&lt;="&amp;B411)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Iniciales'!$B$2:$B$38,D412)+SUMIFS($K$1:$K$806,$C$1:$C$806,C412,$D$1:$D$806,D412,$B$1:$B$806,"&lt;="&amp;B412)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Iniciales'!$B$2:$B$38,D413)+SUMIFS($K$1:$K$806,$C$1:$C$806,C413,$D$1:$D$806,D413,$B$1:$B$806,"&lt;="&amp;B413)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Iniciales'!$B$2:$B$38,D414)+SUMIFS($K$1:$K$806,$C$1:$C$806,C414,$D$1:$D$806,D414,$B$1:$B$806,"&lt;="&amp;B414)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Iniciales'!$B$2:$B$38,D415)+SUMIFS($K$1:$K$806,$C$1:$C$806,C415,$D$1:$D$806,D415,$B$1:$B$806,"&lt;="&amp;B415)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Iniciales'!$B$2:$B$38,D416)+SUMIFS($K$1:$K$806,$C$1:$C$806,C416,$D$1:$D$806,D416,$B$1:$B$806,"&lt;="&amp;B416)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Iniciales'!$B$2:$B$38,D417)+SUMIFS($K$1:$K$806,$C$1:$C$806,C417,$D$1:$D$806,D417,$B$1:$B$806,"&lt;="&amp;B417)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Iniciales'!$B$2:$B$38,D418)+SUMIFS($K$1:$K$806,$C$1:$C$806,C418,$D$1:$D$806,D418,$B$1:$B$806,"&lt;="&amp;B418)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Iniciales'!$B$2:$B$38,D419)+SUMIFS($K$1:$K$806,$C$1:$C$806,C419,$D$1:$D$806,D419,$B$1:$B$806,"&lt;="&amp;B419)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Iniciales'!$B$2:$B$38,D420)+SUMIFS($K$1:$K$806,$C$1:$C$806,C420,$D$1:$D$806,D420,$B$1:$B$806,"&lt;="&amp;B420)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Iniciales'!$B$2:$B$38,D421)+SUMIFS($K$1:$K$806,$C$1:$C$806,C421,$D$1:$D$806,D421,$B$1:$B$806,"&lt;="&amp;B421)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Iniciales'!$B$2:$B$38,D422)+SUMIFS($K$1:$K$806,$C$1:$C$806,C422,$D$1:$D$806,D422,$B$1:$B$806,"&lt;="&amp;B422)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Iniciales'!$B$2:$B$38,D423)+SUMIFS($K$1:$K$806,$C$1:$C$806,C423,$D$1:$D$806,D423,$B$1:$B$806,"&lt;="&amp;B423)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Iniciales'!$B$2:$B$38,D424)+SUMIFS($K$1:$K$806,$C$1:$C$806,C424,$D$1:$D$806,D424,$B$1:$B$806,"&lt;="&amp;B424)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Iniciales'!$B$2:$B$38,D425)+SUMIFS($K$1:$K$806,$C$1:$C$806,C425,$D$1:$D$806,D425,$B$1:$B$806,"&lt;="&amp;B425)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Iniciales'!$B$2:$B$38,D426)+SUMIFS($K$1:$K$806,$C$1:$C$806,C426,$D$1:$D$806,D426,$B$1:$B$806,"&lt;="&amp;B426)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Iniciales'!$B$2:$B$38,D427)+SUMIFS($K$1:$K$806,$C$1:$C$806,C427,$D$1:$D$806,D427,$B$1:$B$806,"&lt;="&amp;B427)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Iniciales'!$B$2:$B$38,D428)+SUMIFS($K$1:$K$806,$C$1:$C$806,C428,$D$1:$D$806,D428,$B$1:$B$806,"&lt;="&amp;B428)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Iniciales'!$B$2:$B$38,D429)+SUMIFS($K$1:$K$806,$C$1:$C$806,C429,$D$1:$D$806,D429,$B$1:$B$806,"&lt;="&amp;B429)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Iniciales'!$B$2:$B$38,D430)+SUMIFS($K$1:$K$806,$C$1:$C$806,C430,$D$1:$D$806,D430,$B$1:$B$806,"&lt;="&amp;B430)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Iniciales'!$B$2:$B$38,D431)+SUMIFS($K$1:$K$806,$C$1:$C$806,C431,$D$1:$D$806,D431,$B$1:$B$806,"&lt;="&amp;B431)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Iniciales'!$B$2:$B$38,D432)+SUMIFS($K$1:$K$806,$C$1:$C$806,C432,$D$1:$D$806,D432,$B$1:$B$806,"&lt;="&amp;B432)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Iniciales'!$B$2:$B$38,D433)+SUMIFS($K$1:$K$806,$C$1:$C$806,C433,$D$1:$D$806,D433,$B$1:$B$806,"&lt;="&amp;B433)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Iniciales'!$B$2:$B$38,D434)+SUMIFS($K$1:$K$806,$C$1:$C$806,C434,$D$1:$D$806,D434,$B$1:$B$806,"&lt;="&amp;B434)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Iniciales'!$B$2:$B$38,D435)+SUMIFS($K$1:$K$806,$C$1:$C$806,C435,$D$1:$D$806,D435,$B$1:$B$806,"&lt;="&amp;B435)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Iniciales'!$D$2:$D$38,'Saldos Iniciales'!$A$2:$A$38,C436,'Saldos Iniciales'!$B$2:$B$38,D436)+SUMIFS($K$1:$K$806,$C$1:$C$806,C436,$D$1:$D$806,D436,$B$1:$B$806,"&lt;="&amp;B436)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Iniciales'!$D$2:$D$38,'Saldos Iniciales'!$A$2:$A$38,C437,'Saldos Iniciales'!$B$2:$B$38,D437)+SUMIFS($K$1:$K$806,$C$1:$C$806,C437,$D$1:$D$806,D437,$B$1:$B$806,"&lt;="&amp;B437)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Iniciales'!$D$2:$D$38,'Saldos Iniciales'!$A$2:$A$38,C438,'Saldos Iniciales'!$B$2:$B$38,D438)+SUMIFS($K$1:$K$806,$C$1:$C$806,C438,$D$1:$D$806,D438,$B$1:$B$806,"&lt;="&amp;B438)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Iniciales'!$D$2:$D$38,'Saldos Iniciales'!$A$2:$A$38,C439,'Saldos Iniciales'!$B$2:$B$38,D439)+SUMIFS($K$1:$K$806,$C$1:$C$806,C439,$D$1:$D$806,D439,$B$1:$B$806,"&lt;="&amp;B439)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Iniciales'!$D$2:$D$38,'Saldos Iniciales'!$A$2:$A$38,C440,'Saldos Iniciales'!$B$2:$B$38,D440)+SUMIFS($K$1:$K$806,$C$1:$C$806,C440,$D$1:$D$806,D440,$B$1:$B$806,"&lt;="&amp;B440)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Iniciales'!$D$2:$D$38,'Saldos Iniciales'!$A$2:$A$38,C441,'Saldos Iniciales'!$B$2:$B$38,D441)+SUMIFS($K$1:$K$806,$C$1:$C$806,C441,$D$1:$D$806,D441,$B$1:$B$806,"&lt;="&amp;B441)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Iniciales'!$D$2:$D$38,'Saldos Iniciales'!$A$2:$A$38,C442,'Saldos Iniciales'!$B$2:$B$38,D442)+SUMIFS($K$1:$K$806,$C$1:$C$806,C442,$D$1:$D$806,D442,$B$1:$B$806,"&lt;="&amp;B442)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Iniciales'!$D$2:$D$38,'Saldos Iniciales'!$A$2:$A$38,C443,'Saldos Iniciales'!$B$2:$B$38,D443)+SUMIFS($K$1:$K$806,$C$1:$C$806,C443,$D$1:$D$806,D443,$B$1:$B$806,"&lt;="&amp;B443)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Iniciales'!$D$2:$D$38,'Saldos Iniciales'!$A$2:$A$38,C444,'Saldos Iniciales'!$B$2:$B$38,D444)+SUMIFS($K$1:$K$806,$C$1:$C$806,C444,$D$1:$D$806,D444,$B$1:$B$806,"&lt;="&amp;B444)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Iniciales'!$D$2:$D$38,'Saldos Iniciales'!$A$2:$A$38,C445,'Saldos Iniciales'!$B$2:$B$38,D445)+SUMIFS($K$1:$K$806,$C$1:$C$806,C445,$D$1:$D$806,D445,$B$1:$B$806,"&lt;="&amp;B445)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Iniciales'!$D$2:$D$38,'Saldos Iniciales'!$A$2:$A$38,C446,'Saldos Iniciales'!$B$2:$B$38,D446)+SUMIFS($K$1:$K$806,$C$1:$C$806,C446,$D$1:$D$806,D446,$B$1:$B$806,"&lt;="&amp;B446)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Iniciales'!$D$2:$D$38,'Saldos Iniciales'!$A$2:$A$38,C447,'Saldos Iniciales'!$B$2:$B$38,D447)+SUMIFS($K$1:$K$806,$C$1:$C$806,C447,$D$1:$D$806,D447,$B$1:$B$806,"&lt;="&amp;B447)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Iniciales'!$D$2:$D$38,'Saldos Iniciales'!$A$2:$A$38,C448,'Saldos Iniciales'!$B$2:$B$38,D448)+SUMIFS($K$1:$K$806,$C$1:$C$806,C448,$D$1:$D$806,D448,$B$1:$B$806,"&lt;="&amp;B448)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Iniciales'!$D$2:$D$38,'Saldos Iniciales'!$A$2:$A$38,C449,'Saldos Iniciales'!$B$2:$B$38,D449)+SUMIFS($K$1:$K$806,$C$1:$C$806,C449,$D$1:$D$806,D449,$B$1:$B$806,"&lt;="&amp;B449)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Iniciales'!$D$2:$D$38,'Saldos Iniciales'!$A$2:$A$38,C450,'Saldos Iniciales'!$B$2:$B$38,D450)+SUMIFS($K$1:$K$806,$C$1:$C$806,C450,$D$1:$D$806,D450,$B$1:$B$806,"&lt;="&amp;B450)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Iniciales'!$D$2:$D$38,'Saldos Iniciales'!$A$2:$A$38,C451,'Saldos Iniciales'!$B$2:$B$38,D451)+SUMIFS($K$1:$K$806,$C$1:$C$806,C451,$D$1:$D$806,D451,$B$1:$B$806,"&lt;="&amp;B451)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Iniciales'!$D$2:$D$38,'Saldos Iniciales'!$A$2:$A$38,C452,'Saldos Iniciales'!$B$2:$B$38,D452)+SUMIFS($K$1:$K$806,$C$1:$C$806,C452,$D$1:$D$806,D452,$B$1:$B$806,"&lt;="&amp;B452)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Iniciales'!$D$2:$D$38,'Saldos Iniciales'!$A$2:$A$38,C453,'Saldos Iniciales'!$B$2:$B$38,D453)+SUMIFS($K$1:$K$806,$C$1:$C$806,C453,$D$1:$D$806,D453,$B$1:$B$806,"&lt;="&amp;B453)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Iniciales'!$D$2:$D$38,'Saldos Iniciales'!$A$2:$A$38,C454,'Saldos Iniciales'!$B$2:$B$38,D454)+SUMIFS($K$1:$K$806,$C$1:$C$806,C454,$D$1:$D$806,D454,$B$1:$B$806,"&lt;="&amp;B454)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Iniciales'!$D$2:$D$38,'Saldos Iniciales'!$A$2:$A$38,C455,'Saldos Iniciales'!$B$2:$B$38,D455)+SUMIFS($K$1:$K$806,$C$1:$C$806,C455,$D$1:$D$806,D455,$B$1:$B$806,"&lt;="&amp;B455)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Iniciales'!$D$2:$D$38,'Saldos Iniciales'!$A$2:$A$38,C456,'Saldos Iniciales'!$B$2:$B$38,D456)+SUMIFS($K$1:$K$806,$C$1:$C$806,C456,$D$1:$D$806,D456,$B$1:$B$806,"&lt;="&amp;B456)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Iniciales'!$D$2:$D$38,'Saldos Iniciales'!$A$2:$A$38,C457,'Saldos Iniciales'!$B$2:$B$38,D457)+SUMIFS($K$1:$K$806,$C$1:$C$806,C457,$D$1:$D$806,D457,$B$1:$B$806,"&lt;="&amp;B457)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Iniciales'!$D$2:$D$38,'Saldos Iniciales'!$A$2:$A$38,C458,'Saldos Iniciales'!$B$2:$B$38,D458)+SUMIFS($K$1:$K$806,$C$1:$C$806,C458,$D$1:$D$806,D458,$B$1:$B$806,"&lt;="&amp;B458)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Iniciales'!$D$2:$D$38,'Saldos Iniciales'!$A$2:$A$38,C459,'Saldos Iniciales'!$B$2:$B$38,D459)+SUMIFS($K$1:$K$806,$C$1:$C$806,C459,$D$1:$D$806,D459,$B$1:$B$806,"&lt;="&amp;B459)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Iniciales'!$D$2:$D$38,'Saldos Iniciales'!$A$2:$A$38,C460,'Saldos Iniciales'!$B$2:$B$38,D460)+SUMIFS($K$1:$K$806,$C$1:$C$806,C460,$D$1:$D$806,D460,$B$1:$B$806,"&lt;="&amp;B460)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Iniciales'!$D$2:$D$38,'Saldos Iniciales'!$A$2:$A$38,C461,'Saldos Iniciales'!$B$2:$B$38,D461)+SUMIFS($K$1:$K$806,$C$1:$C$806,C461,$D$1:$D$806,D461,$B$1:$B$806,"&lt;="&amp;B461)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Iniciales'!$D$2:$D$38,'Saldos Iniciales'!$A$2:$A$38,C462,'Saldos Iniciales'!$B$2:$B$38,D462)+SUMIFS($K$1:$K$806,$C$1:$C$806,C462,$D$1:$D$806,D462,$B$1:$B$806,"&lt;="&amp;B462)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Iniciales'!$D$2:$D$38,'Saldos Iniciales'!$A$2:$A$38,C463,'Saldos Iniciales'!$B$2:$B$38,D463)+SUMIFS($K$1:$K$806,$C$1:$C$806,C463,$D$1:$D$806,D463,$B$1:$B$806,"&lt;="&amp;B463)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Iniciales'!$D$2:$D$38,'Saldos Iniciales'!$A$2:$A$38,C464,'Saldos Iniciales'!$B$2:$B$38,D464)+SUMIFS($K$1:$K$806,$C$1:$C$806,C464,$D$1:$D$806,D464,$B$1:$B$806,"&lt;="&amp;B464)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Iniciales'!$D$2:$D$38,'Saldos Iniciales'!$A$2:$A$38,C465,'Saldos Iniciales'!$B$2:$B$38,D465)+SUMIFS($K$1:$K$806,$C$1:$C$806,C465,$D$1:$D$806,D465,$B$1:$B$806,"&lt;="&amp;B465)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Iniciales'!$B$2:$B$38,D466)+SUMIFS($K$1:$K$806,$C$1:$C$806,C466,$D$1:$D$806,D466,$B$1:$B$806,"&lt;="&amp;B466)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Iniciales'!$D$2:$D$38,'Saldos Iniciales'!$A$2:$A$38,C467,'Saldos Iniciales'!$B$2:$B$38,D467)+SUMIFS($K$1:$K$806,$C$1:$C$806,C467,$D$1:$D$806,D467,$B$1:$B$806,"&lt;="&amp;B467)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Iniciales'!$D$2:$D$38,'Saldos Iniciales'!$A$2:$A$38,C468,'Saldos Iniciales'!$B$2:$B$38,D468)+SUMIFS($K$1:$K$806,$C$1:$C$806,C468,$D$1:$D$806,D468,$B$1:$B$806,"&lt;="&amp;B468)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Iniciales'!$D$2:$D$38,'Saldos Iniciales'!$A$2:$A$38,C469,'Saldos Iniciales'!$B$2:$B$38,D469)+SUMIFS($K$1:$K$806,$C$1:$C$806,C469,$D$1:$D$806,D469,$B$1:$B$806,"&lt;="&amp;B469)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Iniciales'!$B$2:$B$38,D470)+SUMIFS($K$1:$K$806,$C$1:$C$806,C470,$D$1:$D$806,D470,$B$1:$B$806,"&lt;="&amp;B470)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>IF(F471="Ingreso",J471,-J471)</f>
        <v>-2363.85</v>
      </c>
      <c r="L471" s="15" t="s">
        <v>129</v>
      </c>
      <c r="M471" s="44">
        <f>SUMIFS('Saldos Iniciales'!$D$2:$D$38,'Saldos Iniciales'!$A$2:$A$38,C471,'Saldos Iniciales'!$B$2:$B$38,D471)+SUMIFS($K$1:$K$806,$C$1:$C$806,C471,$D$1:$D$806,D471,$B$1:$B$806,"&lt;="&amp;B471)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>IF(F472="Ingreso",J472,-J472)</f>
        <v>-229.15</v>
      </c>
      <c r="L472" s="15" t="s">
        <v>129</v>
      </c>
      <c r="M472" s="44">
        <f>SUMIFS('Saldos Iniciales'!$D$2:$D$38,'Saldos Iniciales'!$A$2:$A$38,C472,'Saldos Iniciales'!$B$2:$B$38,D472)+SUMIFS($K$1:$K$806,$C$1:$C$806,C472,$D$1:$D$806,D472,$B$1:$B$806,"&lt;="&amp;B472)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>IF(F473="Ingreso",J473,-J473)</f>
        <v>-499.22</v>
      </c>
      <c r="L473" s="15" t="s">
        <v>129</v>
      </c>
      <c r="M473" s="44">
        <f>SUMIFS('Saldos Iniciales'!$D$2:$D$38,'Saldos Iniciales'!$A$2:$A$38,C473,'Saldos Iniciales'!$B$2:$B$38,D473)+SUMIFS($K$1:$K$806,$C$1:$C$806,C473,$D$1:$D$806,D473,$B$1:$B$806,"&lt;="&amp;B473)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>IF(F474="Ingreso",J474,-J474)</f>
        <v>-29.96</v>
      </c>
      <c r="L474" s="15" t="s">
        <v>129</v>
      </c>
      <c r="M474" s="44">
        <f>SUMIFS('Saldos Iniciales'!$D$2:$D$38,'Saldos Iniciales'!$A$2:$A$38,C474,'Saldos Iniciales'!$B$2:$B$38,D474)+SUMIFS($K$1:$K$806,$C$1:$C$806,C474,$D$1:$D$806,D474,$B$1:$B$806,"&lt;="&amp;B474)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>IF(F475="Ingreso",J475,-J475)</f>
        <v>-40</v>
      </c>
      <c r="L475" s="15" t="s">
        <v>129</v>
      </c>
      <c r="M475" s="44">
        <f>SUMIFS('Saldos Iniciales'!$D$2:$D$38,'Saldos Iniciales'!$A$2:$A$38,C475,'Saldos Iniciales'!$B$2:$B$38,D475)+SUMIFS($K$1:$K$806,$C$1:$C$806,C475,$D$1:$D$806,D475,$B$1:$B$806,"&lt;="&amp;B475)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>IF(F476="Ingreso",J476,-J476)</f>
        <v>-538.41999999999996</v>
      </c>
      <c r="L476" s="15" t="s">
        <v>129</v>
      </c>
      <c r="M476" s="44">
        <f>SUMIFS('Saldos Iniciales'!$D$2:$D$38,'Saldos Iniciales'!$A$2:$A$38,C476,'Saldos Iniciales'!$B$2:$B$38,D476)+SUMIFS($K$1:$K$806,$C$1:$C$806,C476,$D$1:$D$806,D476,$B$1:$B$806,"&lt;="&amp;B476)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>IF(F477="Ingreso",J477,-J477)</f>
        <v>-17151.490000000002</v>
      </c>
      <c r="L477" s="15" t="s">
        <v>129</v>
      </c>
      <c r="M477" s="44">
        <f>SUMIFS('Saldos Iniciales'!$D$2:$D$38,'Saldos Iniciales'!$A$2:$A$38,C477,'Saldos Iniciales'!$B$2:$B$38,D477)+SUMIFS($K$1:$K$806,$C$1:$C$806,C477,$D$1:$D$806,D477,$B$1:$B$806,"&lt;="&amp;B477)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>IF(F478="Ingreso",J478,-J478)</f>
        <v>-30</v>
      </c>
      <c r="L478" s="15" t="s">
        <v>129</v>
      </c>
      <c r="M478" s="44">
        <f>SUMIFS('Saldos Iniciales'!$D$2:$D$38,'Saldos Iniciales'!$A$2:$A$38,C478,'Saldos Iniciales'!$B$2:$B$38,D478)+SUMIFS($K$1:$K$806,$C$1:$C$806,C478,$D$1:$D$806,D478,$B$1:$B$806,"&lt;="&amp;B478)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>IF(F479="Ingreso",J479,-J479)</f>
        <v>-18</v>
      </c>
      <c r="L479" s="15" t="s">
        <v>129</v>
      </c>
      <c r="M479" s="44">
        <f>SUMIFS('Saldos Iniciales'!$D$2:$D$38,'Saldos Iniciales'!$A$2:$A$38,C479,'Saldos Iniciales'!$B$2:$B$38,D479)+SUMIFS($K$1:$K$806,$C$1:$C$806,C479,$D$1:$D$806,D479,$B$1:$B$806,"&lt;="&amp;B479)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>IF(F480="Ingreso",J480,-J480)</f>
        <v>-458.35</v>
      </c>
      <c r="L480" s="15" t="s">
        <v>129</v>
      </c>
      <c r="M480" s="44">
        <f>SUMIFS('Saldos Iniciales'!$D$2:$D$38,'Saldos Iniciales'!$A$2:$A$38,C480,'Saldos Iniciales'!$B$2:$B$38,D480)+SUMIFS($K$1:$K$806,$C$1:$C$806,C480,$D$1:$D$806,D480,$B$1:$B$806,"&lt;="&amp;B480)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>IF(F481="Ingreso",J481,-J481)</f>
        <v>-24</v>
      </c>
      <c r="L481" s="15" t="s">
        <v>129</v>
      </c>
      <c r="M481" s="44">
        <f>SUMIFS('Saldos Iniciales'!$D$2:$D$38,'Saldos Iniciales'!$A$2:$A$38,C481,'Saldos Iniciales'!$B$2:$B$38,D481)+SUMIFS($K$1:$K$806,$C$1:$C$806,C481,$D$1:$D$806,D481,$B$1:$B$806,"&lt;="&amp;B481)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>IF(F482="Ingreso",J482,-J482)</f>
        <v>-271.86</v>
      </c>
      <c r="L482" s="15" t="s">
        <v>129</v>
      </c>
      <c r="M482" s="44">
        <f>SUMIFS('Saldos Iniciales'!$D$2:$D$38,'Saldos Iniciales'!$A$2:$A$38,C482,'Saldos Iniciales'!$B$2:$B$38,D482)+SUMIFS($K$1:$K$806,$C$1:$C$806,C482,$D$1:$D$806,D482,$B$1:$B$806,"&lt;="&amp;B482)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>IF(F483="Ingreso",J483,-J483)</f>
        <v>-614.75</v>
      </c>
      <c r="L483" s="15" t="s">
        <v>129</v>
      </c>
      <c r="M483" s="44">
        <f>SUMIFS('Saldos Iniciales'!$D$2:$D$38,'Saldos Iniciales'!$A$2:$A$38,C483,'Saldos Iniciales'!$B$2:$B$38,D483)+SUMIFS($K$1:$K$806,$C$1:$C$806,C483,$D$1:$D$806,D483,$B$1:$B$806,"&lt;="&amp;B483)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>IF(F484="Ingreso",J484,-J484)</f>
        <v>-52</v>
      </c>
      <c r="L484" s="15" t="s">
        <v>129</v>
      </c>
      <c r="M484" s="44">
        <f>SUMIFS('Saldos Iniciales'!$D$2:$D$38,'Saldos Iniciales'!$A$2:$A$38,C484,'Saldos Iniciales'!$B$2:$B$38,D484)+SUMIFS($K$1:$K$806,$C$1:$C$806,C484,$D$1:$D$806,D484,$B$1:$B$806,"&lt;="&amp;B484)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>IF(F485="Ingreso",J485,-J485)</f>
        <v>-7679.78</v>
      </c>
      <c r="L485" s="15" t="s">
        <v>129</v>
      </c>
      <c r="M485" s="44">
        <f>SUMIFS('Saldos Iniciales'!$D$2:$D$38,'Saldos Iniciales'!$A$2:$A$38,C485,'Saldos Iniciales'!$B$2:$B$38,D485)+SUMIFS($K$1:$K$806,$C$1:$C$806,C485,$D$1:$D$806,D485,$B$1:$B$806,"&lt;="&amp;B485)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>IF(F486="Ingreso",J486,-J486)</f>
        <v>-4000</v>
      </c>
      <c r="L486" s="15" t="s">
        <v>129</v>
      </c>
      <c r="M486" s="44">
        <f>SUMIFS('Saldos Iniciales'!$D$2:$D$38,'Saldos Iniciales'!$A$2:$A$38,C486,'Saldos Iniciales'!$B$2:$B$38,D486)+SUMIFS($K$1:$K$806,$C$1:$C$806,C486,$D$1:$D$806,D486,$B$1:$B$806,"&lt;="&amp;B486)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>IF(F487="Ingreso",J487,-J487)</f>
        <v>-1650.84</v>
      </c>
      <c r="L487" s="15" t="s">
        <v>129</v>
      </c>
      <c r="M487" s="44">
        <f>SUMIFS('Saldos Iniciales'!$D$2:$D$38,'Saldos Iniciales'!$A$2:$A$38,C487,'Saldos Iniciales'!$B$2:$B$38,D487)+SUMIFS($K$1:$K$806,$C$1:$C$806,C487,$D$1:$D$806,D487,$B$1:$B$806,"&lt;="&amp;B487)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>IF(F488="Ingreso",J488,-J488)</f>
        <v>-15</v>
      </c>
      <c r="L488" s="15" t="s">
        <v>129</v>
      </c>
      <c r="M488" s="44">
        <f>SUMIFS('Saldos Iniciales'!$D$2:$D$38,'Saldos Iniciales'!$A$2:$A$38,C488,'Saldos Iniciales'!$B$2:$B$38,D488)+SUMIFS($K$1:$K$806,$C$1:$C$806,C488,$D$1:$D$806,D488,$B$1:$B$806,"&lt;="&amp;B488)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>IF(F489="Ingreso",J489,-J489)</f>
        <v>-1291.6500000000001</v>
      </c>
      <c r="L489" s="15" t="s">
        <v>129</v>
      </c>
      <c r="M489" s="44">
        <f>SUMIFS('Saldos Iniciales'!$D$2:$D$38,'Saldos Iniciales'!$A$2:$A$38,C489,'Saldos Iniciales'!$B$2:$B$38,D489)+SUMIFS($K$1:$K$806,$C$1:$C$806,C489,$D$1:$D$806,D489,$B$1:$B$806,"&lt;="&amp;B489)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>IF(F490="Ingreso",J490,-J490)</f>
        <v>-60000</v>
      </c>
      <c r="L490" s="15" t="s">
        <v>129</v>
      </c>
      <c r="M490" s="44">
        <f>SUMIFS('Saldos Iniciales'!$D$2:$D$38,'Saldos Iniciales'!$A$2:$A$38,C490,'Saldos Iniciales'!$B$2:$B$38,D490)+SUMIFS($K$1:$K$806,$C$1:$C$806,C490,$D$1:$D$806,D490,$B$1:$B$806,"&lt;="&amp;B490)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>IF(F491="Ingreso",J491,-J491)</f>
        <v>-5982</v>
      </c>
      <c r="L491" s="15" t="s">
        <v>129</v>
      </c>
      <c r="M491" s="44">
        <f>SUMIFS('Saldos Iniciales'!$D$2:$D$38,'Saldos Iniciales'!$A$2:$A$38,C491,'Saldos Iniciales'!$B$2:$B$38,D491)+SUMIFS($K$1:$K$806,$C$1:$C$806,C491,$D$1:$D$806,D491,$B$1:$B$806,"&lt;="&amp;B491)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>IF(F492="Ingreso",J492,-J492)</f>
        <v>-47.47</v>
      </c>
      <c r="L492" s="15" t="s">
        <v>129</v>
      </c>
      <c r="M492" s="44">
        <f>SUMIFS('Saldos Iniciales'!$D$2:$D$38,'Saldos Iniciales'!$A$2:$A$38,C492,'Saldos Iniciales'!$B$2:$B$38,D492)+SUMIFS($K$1:$K$806,$C$1:$C$806,C492,$D$1:$D$806,D492,$B$1:$B$806,"&lt;="&amp;B492)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>IF(F493="Ingreso",J493,-J493)</f>
        <v>-36</v>
      </c>
      <c r="L493" s="15" t="s">
        <v>129</v>
      </c>
      <c r="M493" s="44">
        <f>SUMIFS('Saldos Iniciales'!$D$2:$D$38,'Saldos Iniciales'!$A$2:$A$38,C493,'Saldos Iniciales'!$B$2:$B$38,D493)+SUMIFS($K$1:$K$806,$C$1:$C$806,C493,$D$1:$D$806,D493,$B$1:$B$806,"&lt;="&amp;B493)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>IF(F494="Ingreso",J494,-J494)</f>
        <v>-2975</v>
      </c>
      <c r="L494" s="15" t="s">
        <v>129</v>
      </c>
      <c r="M494" s="44">
        <f>SUMIFS('Saldos Iniciales'!$D$2:$D$38,'Saldos Iniciales'!$A$2:$A$38,C494,'Saldos Iniciales'!$B$2:$B$38,D494)+SUMIFS($K$1:$K$806,$C$1:$C$806,C494,$D$1:$D$806,D494,$B$1:$B$806,"&lt;="&amp;B494)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>IF(F495="Ingreso",J495,-J495)</f>
        <v>-11666.67</v>
      </c>
      <c r="L495" s="15" t="s">
        <v>129</v>
      </c>
      <c r="M495" s="44">
        <f>SUMIFS('Saldos Iniciales'!$D$2:$D$38,'Saldos Iniciales'!$A$2:$A$38,C495,'Saldos Iniciales'!$B$2:$B$38,D495)+SUMIFS($K$1:$K$806,$C$1:$C$806,C495,$D$1:$D$806,D495,$B$1:$B$806,"&lt;="&amp;B495)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>IF(F496="Ingreso",J496,-J496)</f>
        <v>-40000</v>
      </c>
      <c r="L496" s="15" t="s">
        <v>129</v>
      </c>
      <c r="M496" s="44">
        <f>SUMIFS('Saldos Iniciales'!$D$2:$D$38,'Saldos Iniciales'!$A$2:$A$38,C496,'Saldos Iniciales'!$B$2:$B$38,D496)+SUMIFS($K$1:$K$806,$C$1:$C$806,C496,$D$1:$D$806,D496,$B$1:$B$806,"&lt;="&amp;B496)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>IF(F497="Ingreso",J497,-J497)</f>
        <v>-60000</v>
      </c>
      <c r="L497" s="15" t="s">
        <v>129</v>
      </c>
      <c r="M497" s="44">
        <f>SUMIFS('Saldos Iniciales'!$D$2:$D$38,'Saldos Iniciales'!$A$2:$A$38,C497,'Saldos Iniciales'!$B$2:$B$38,D497)+SUMIFS($K$1:$K$806,$C$1:$C$806,C497,$D$1:$D$806,D497,$B$1:$B$806,"&lt;="&amp;B497)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>IF(F498="Ingreso",J498,-J498)</f>
        <v>-100000</v>
      </c>
      <c r="L498" s="15" t="s">
        <v>129</v>
      </c>
      <c r="M498" s="44">
        <f>SUMIFS('Saldos Iniciales'!$D$2:$D$38,'Saldos Iniciales'!$A$2:$A$38,C498,'Saldos Iniciales'!$B$2:$B$38,D498)+SUMIFS($K$1:$K$806,$C$1:$C$806,C498,$D$1:$D$806,D498,$B$1:$B$806,"&lt;="&amp;B498)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Iniciales'!$B$2:$B$38,D499)+SUMIFS($K$1:$K$806,$C$1:$C$806,C499,$D$1:$D$806,D499,$B$1:$B$806,"&lt;="&amp;B499)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Iniciales'!$D$2:$D$38,'Saldos Iniciales'!$A$2:$A$38,C500,'Saldos Iniciales'!$B$2:$B$38,D500)+SUMIFS($K$1:$K$806,$C$1:$C$806,C500,$D$1:$D$806,D500,$B$1:$B$806,"&lt;="&amp;B500)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>IF(F501="Ingreso",J501,-J501)</f>
        <v>-200000</v>
      </c>
      <c r="L501" s="15" t="s">
        <v>129</v>
      </c>
      <c r="M501" s="44">
        <f>SUMIFS('Saldos Iniciales'!$D$2:$D$38,'Saldos Iniciales'!$A$2:$A$38,C501,'Saldos Iniciales'!$B$2:$B$38,D501)+SUMIFS($K$1:$K$806,$C$1:$C$806,C501,$D$1:$D$806,D501,$B$1:$B$806,"&lt;="&amp;B501)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>IF(F502="Ingreso",J502,-J502)</f>
        <v>-600000</v>
      </c>
      <c r="L502" s="15" t="s">
        <v>129</v>
      </c>
      <c r="M502" s="44">
        <f>SUMIFS('Saldos Iniciales'!$D$2:$D$38,'Saldos Iniciales'!$A$2:$A$38,C502,'Saldos Iniciales'!$B$2:$B$38,D502)+SUMIFS($K$1:$K$806,$C$1:$C$806,C502,$D$1:$D$806,D502,$B$1:$B$806,"&lt;="&amp;B502)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>IF(F503="Ingreso",J503,-J503)</f>
        <v>-20000</v>
      </c>
      <c r="L503" s="15" t="s">
        <v>129</v>
      </c>
      <c r="M503" s="44">
        <f>SUMIFS('Saldos Iniciales'!$D$2:$D$38,'Saldos Iniciales'!$A$2:$A$38,C503,'Saldos Iniciales'!$B$2:$B$38,D503)+SUMIFS($K$1:$K$806,$C$1:$C$806,C503,$D$1:$D$806,D503,$B$1:$B$806,"&lt;="&amp;B503)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>IF(F504="Ingreso",J504,-J504)</f>
        <v>600000</v>
      </c>
      <c r="L504" s="15" t="s">
        <v>129</v>
      </c>
      <c r="M504" s="44">
        <f>SUMIFS('Saldos Iniciales'!$D$2:$D$38,'Saldos Iniciales'!$A$2:$A$38,C504,'Saldos Iniciales'!$B$2:$B$38,D504)+SUMIFS($K$1:$K$806,$C$1:$C$806,C504,$D$1:$D$806,D504,$B$1:$B$806,"&lt;="&amp;B504)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>IF(F505="Ingreso",J505,-J505)</f>
        <v>-295</v>
      </c>
      <c r="L505" s="15" t="s">
        <v>129</v>
      </c>
      <c r="M505" s="44">
        <f>SUMIFS('Saldos Iniciales'!$D$2:$D$38,'Saldos Iniciales'!$A$2:$A$38,C505,'Saldos Iniciales'!$B$2:$B$38,D505)+SUMIFS($K$1:$K$806,$C$1:$C$806,C505,$D$1:$D$806,D505,$B$1:$B$806,"&lt;="&amp;B505)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>IF(F506="Ingreso",J506,-J506)</f>
        <v>-24255</v>
      </c>
      <c r="L506" s="15" t="s">
        <v>129</v>
      </c>
      <c r="M506" s="44">
        <f>SUMIFS('Saldos Iniciales'!$D$2:$D$38,'Saldos Iniciales'!$A$2:$A$38,C506,'Saldos Iniciales'!$B$2:$B$38,D506)+SUMIFS($K$1:$K$806,$C$1:$C$806,C506,$D$1:$D$806,D506,$B$1:$B$806,"&lt;="&amp;B506)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>IF(F507="Ingreso",J507,-J507)</f>
        <v>-66261.25</v>
      </c>
      <c r="L507" s="15" t="s">
        <v>129</v>
      </c>
      <c r="M507" s="44">
        <f>SUMIFS('Saldos Iniciales'!$D$2:$D$38,'Saldos Iniciales'!$A$2:$A$38,C507,'Saldos Iniciales'!$B$2:$B$38,D507)+SUMIFS($K$1:$K$806,$C$1:$C$806,C507,$D$1:$D$806,D507,$B$1:$B$806,"&lt;="&amp;B507)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>IF(F508="Ingreso",J508,-J508)</f>
        <v>-140000</v>
      </c>
      <c r="L508" s="15" t="s">
        <v>129</v>
      </c>
      <c r="M508" s="44">
        <f>SUMIFS('Saldos Iniciales'!$D$2:$D$38,'Saldos Iniciales'!$A$2:$A$38,C508,'Saldos Iniciales'!$B$2:$B$38,D508)+SUMIFS($K$1:$K$806,$C$1:$C$806,C508,$D$1:$D$806,D508,$B$1:$B$806,"&lt;="&amp;B508)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>IF(F509="Ingreso",J509,-J509)</f>
        <v>20000</v>
      </c>
      <c r="L509" s="15" t="s">
        <v>129</v>
      </c>
      <c r="M509" s="44">
        <f>SUMIFS('Saldos Iniciales'!$D$2:$D$38,'Saldos Iniciales'!$A$2:$A$38,C509,'Saldos Iniciales'!$B$2:$B$38,D509)+SUMIFS($K$1:$K$806,$C$1:$C$806,C509,$D$1:$D$806,D509,$B$1:$B$806,"&lt;="&amp;B509)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>IF(F510="Ingreso",J510,-J510)</f>
        <v>-20000</v>
      </c>
      <c r="L510" s="15" t="s">
        <v>129</v>
      </c>
      <c r="M510" s="44">
        <f>SUMIFS('Saldos Iniciales'!$D$2:$D$38,'Saldos Iniciales'!$A$2:$A$38,C510,'Saldos Iniciales'!$B$2:$B$38,D510)+SUMIFS($K$1:$K$806,$C$1:$C$806,C510,$D$1:$D$806,D510,$B$1:$B$806,"&lt;="&amp;B510)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20000</v>
      </c>
      <c r="L511" s="15" t="s">
        <v>129</v>
      </c>
      <c r="M511" s="44">
        <f>SUMIFS('Saldos Iniciales'!$D$2:$D$38,'Saldos Iniciales'!$A$2:$A$38,C511,'Saldos Iniciales'!$B$2:$B$38,D511)+SUMIFS($K$1:$K$806,$C$1:$C$806,C511,$D$1:$D$806,D511,$B$1:$B$806,"&lt;="&amp;B511)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>IF(F512="Ingreso",J512,-J512)</f>
        <v>-2500</v>
      </c>
      <c r="L512" s="15" t="s">
        <v>129</v>
      </c>
      <c r="M512" s="44">
        <f>SUMIFS('Saldos Iniciales'!$D$2:$D$38,'Saldos Iniciales'!$A$2:$A$38,C512,'Saldos Iniciales'!$B$2:$B$38,D512)+SUMIFS($K$1:$K$806,$C$1:$C$806,C512,$D$1:$D$806,D512,$B$1:$B$806,"&lt;="&amp;B512)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>IF(F513="Ingreso",J513,-J513)</f>
        <v>-15</v>
      </c>
      <c r="L513" s="15" t="s">
        <v>129</v>
      </c>
      <c r="M513" s="44">
        <f>SUMIFS('Saldos Iniciales'!$D$2:$D$38,'Saldos Iniciales'!$A$2:$A$38,C513,'Saldos Iniciales'!$B$2:$B$38,D513)+SUMIFS($K$1:$K$806,$C$1:$C$806,C513,$D$1:$D$806,D513,$B$1:$B$806,"&lt;="&amp;B513)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>IF(F514="Ingreso",J514,-J514)</f>
        <v>14659.29</v>
      </c>
      <c r="L514" s="15" t="s">
        <v>129</v>
      </c>
      <c r="M514" s="44">
        <f>SUMIFS('Saldos Iniciales'!$D$2:$D$38,'Saldos Iniciales'!$A$2:$A$38,C514,'Saldos Iniciales'!$B$2:$B$38,D514)+SUMIFS($K$1:$K$806,$C$1:$C$806,C514,$D$1:$D$806,D514,$B$1:$B$806,"&lt;="&amp;B514)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>IF(F515="Ingreso",J515,-J515)</f>
        <v>1451269.78</v>
      </c>
      <c r="L515" s="15" t="s">
        <v>129</v>
      </c>
      <c r="M515" s="44">
        <f>SUMIFS('Saldos Iniciales'!$D$2:$D$38,'Saldos Iniciales'!$A$2:$A$38,C515,'Saldos Iniciales'!$B$2:$B$38,D515)+SUMIFS($K$1:$K$806,$C$1:$C$806,C515,$D$1:$D$806,D515,$B$1:$B$806,"&lt;="&amp;B515)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>IF(F516="Ingreso",J516,-J516)</f>
        <v>-424</v>
      </c>
      <c r="L516" s="15" t="s">
        <v>129</v>
      </c>
      <c r="M516" s="44">
        <f>SUMIFS('Saldos Iniciales'!$D$2:$D$38,'Saldos Iniciales'!$A$2:$A$38,C516,'Saldos Iniciales'!$B$2:$B$38,D516)+SUMIFS($K$1:$K$806,$C$1:$C$806,C516,$D$1:$D$806,D516,$B$1:$B$806,"&lt;="&amp;B516)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>IF(F517="Ingreso",J517,-J517)</f>
        <v>-334</v>
      </c>
      <c r="L517" s="15" t="s">
        <v>129</v>
      </c>
      <c r="M517" s="44">
        <f>SUMIFS('Saldos Iniciales'!$D$2:$D$38,'Saldos Iniciales'!$A$2:$A$38,C517,'Saldos Iniciales'!$B$2:$B$38,D517)+SUMIFS($K$1:$K$806,$C$1:$C$806,C517,$D$1:$D$806,D517,$B$1:$B$806,"&lt;="&amp;B517)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>IF(F518="Ingreso",J518,-J518)</f>
        <v>-355</v>
      </c>
      <c r="L518" s="15" t="s">
        <v>129</v>
      </c>
      <c r="M518" s="44">
        <f>SUMIFS('Saldos Iniciales'!$D$2:$D$38,'Saldos Iniciales'!$A$2:$A$38,C518,'Saldos Iniciales'!$B$2:$B$38,D518)+SUMIFS($K$1:$K$806,$C$1:$C$806,C518,$D$1:$D$806,D518,$B$1:$B$806,"&lt;="&amp;B518)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>IF(F519="Ingreso",J519,-J519)</f>
        <v>2000</v>
      </c>
      <c r="L519" s="15" t="s">
        <v>129</v>
      </c>
      <c r="M519" s="44">
        <f>SUMIFS('Saldos Iniciales'!$D$2:$D$38,'Saldos Iniciales'!$A$2:$A$38,C519,'Saldos Iniciales'!$B$2:$B$38,D519)+SUMIFS($K$1:$K$806,$C$1:$C$806,C519,$D$1:$D$806,D519,$B$1:$B$806,"&lt;="&amp;B519)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>IF(F520="Ingreso",J520,-J520)</f>
        <v>-5000</v>
      </c>
      <c r="L520" s="15" t="s">
        <v>129</v>
      </c>
      <c r="M520" s="44">
        <f>SUMIFS('Saldos Iniciales'!$D$2:$D$38,'Saldos Iniciales'!$A$2:$A$38,C520,'Saldos Iniciales'!$B$2:$B$38,D520)+SUMIFS($K$1:$K$806,$C$1:$C$806,C520,$D$1:$D$806,D520,$B$1:$B$806,"&lt;="&amp;B520)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>IF(F521="Ingreso",J521,-J521)</f>
        <v>-56000</v>
      </c>
      <c r="L521" s="15" t="s">
        <v>129</v>
      </c>
      <c r="M521" s="44">
        <f>SUMIFS('Saldos Iniciales'!$D$2:$D$38,'Saldos Iniciales'!$A$2:$A$38,C521,'Saldos Iniciales'!$B$2:$B$38,D521)+SUMIFS($K$1:$K$806,$C$1:$C$806,C521,$D$1:$D$806,D521,$B$1:$B$806,"&lt;="&amp;B521)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>IF(F522="Ingreso",J522,-J522)</f>
        <v>-70000</v>
      </c>
      <c r="L522" s="15" t="s">
        <v>129</v>
      </c>
      <c r="M522" s="44">
        <f>SUMIFS('Saldos Iniciales'!$D$2:$D$38,'Saldos Iniciales'!$A$2:$A$38,C522,'Saldos Iniciales'!$B$2:$B$38,D522)+SUMIFS($K$1:$K$806,$C$1:$C$806,C522,$D$1:$D$806,D522,$B$1:$B$806,"&lt;="&amp;B522)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>IF(F523="Ingreso",J523,-J523)</f>
        <v>-82833.33</v>
      </c>
      <c r="L523" s="15" t="s">
        <v>129</v>
      </c>
      <c r="M523" s="44">
        <f>SUMIFS('Saldos Iniciales'!$D$2:$D$38,'Saldos Iniciales'!$A$2:$A$38,C523,'Saldos Iniciales'!$B$2:$B$38,D523)+SUMIFS($K$1:$K$806,$C$1:$C$806,C523,$D$1:$D$806,D523,$B$1:$B$806,"&lt;="&amp;B523)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>IF(F524="Ingreso",J524,-J524)</f>
        <v>-9583.33</v>
      </c>
      <c r="L524" s="15" t="s">
        <v>129</v>
      </c>
      <c r="M524" s="44">
        <f>SUMIFS('Saldos Iniciales'!$D$2:$D$38,'Saldos Iniciales'!$A$2:$A$38,C524,'Saldos Iniciales'!$B$2:$B$38,D524)+SUMIFS($K$1:$K$806,$C$1:$C$806,C524,$D$1:$D$806,D524,$B$1:$B$806,"&lt;="&amp;B524)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>IF(F525="Ingreso",J525,-J525)</f>
        <v>-53666.67</v>
      </c>
      <c r="L525" s="15" t="s">
        <v>129</v>
      </c>
      <c r="M525" s="44">
        <f>SUMIFS('Saldos Iniciales'!$D$2:$D$38,'Saldos Iniciales'!$A$2:$A$38,C525,'Saldos Iniciales'!$B$2:$B$38,D525)+SUMIFS($K$1:$K$806,$C$1:$C$806,C525,$D$1:$D$806,D525,$B$1:$B$806,"&lt;="&amp;B525)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>IF(F526="Ingreso",J526,-J526)</f>
        <v>-134166.67000000001</v>
      </c>
      <c r="L526" s="15" t="s">
        <v>129</v>
      </c>
      <c r="M526" s="44">
        <f>SUMIFS('Saldos Iniciales'!$D$2:$D$38,'Saldos Iniciales'!$A$2:$A$38,C526,'Saldos Iniciales'!$B$2:$B$38,D526)+SUMIFS($K$1:$K$806,$C$1:$C$806,C526,$D$1:$D$806,D526,$B$1:$B$806,"&lt;="&amp;B526)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-2000</v>
      </c>
      <c r="L527" s="15" t="s">
        <v>129</v>
      </c>
      <c r="M527" s="44">
        <f>SUMIFS('Saldos Iniciales'!$D$2:$D$38,'Saldos Iniciales'!$A$2:$A$38,C527,'Saldos Iniciales'!$B$2:$B$38,D527)+SUMIFS($K$1:$K$806,$C$1:$C$806,C527,$D$1:$D$806,D527,$B$1:$B$806,"&lt;="&amp;B527)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>IF(F528="Ingreso",J528,-J528)</f>
        <v>-550</v>
      </c>
      <c r="L528" s="15" t="s">
        <v>129</v>
      </c>
      <c r="M528" s="44">
        <f>SUMIFS('Saldos Iniciales'!$D$2:$D$38,'Saldos Iniciales'!$A$2:$A$38,C528,'Saldos Iniciales'!$B$2:$B$38,D528)+SUMIFS($K$1:$K$806,$C$1:$C$806,C528,$D$1:$D$806,D528,$B$1:$B$806,"&lt;="&amp;B528)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>IF(F529="Ingreso",J529,-J529)</f>
        <v>-15</v>
      </c>
      <c r="L529" s="15" t="s">
        <v>129</v>
      </c>
      <c r="M529" s="44">
        <f>SUMIFS('Saldos Iniciales'!$D$2:$D$38,'Saldos Iniciales'!$A$2:$A$38,C529,'Saldos Iniciales'!$B$2:$B$38,D529)+SUMIFS($K$1:$K$806,$C$1:$C$806,C529,$D$1:$D$806,D529,$B$1:$B$806,"&lt;="&amp;B529)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>IF(F530="Ingreso",J530,-J530)</f>
        <v>-24</v>
      </c>
      <c r="L530" s="15" t="s">
        <v>129</v>
      </c>
      <c r="M530" s="44">
        <f>SUMIFS('Saldos Iniciales'!$D$2:$D$38,'Saldos Iniciales'!$A$2:$A$38,C530,'Saldos Iniciales'!$B$2:$B$38,D530)+SUMIFS($K$1:$K$806,$C$1:$C$806,C530,$D$1:$D$806,D530,$B$1:$B$806,"&lt;="&amp;B530)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>IF(F531="Ingreso",J531,-J531)</f>
        <v>-764.97</v>
      </c>
      <c r="L531" s="15" t="s">
        <v>129</v>
      </c>
      <c r="M531" s="44">
        <f>SUMIFS('Saldos Iniciales'!$D$2:$D$38,'Saldos Iniciales'!$A$2:$A$38,C531,'Saldos Iniciales'!$B$2:$B$38,D531)+SUMIFS($K$1:$K$806,$C$1:$C$806,C531,$D$1:$D$806,D531,$B$1:$B$806,"&lt;="&amp;B531)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>IF(F532="Ingreso",J532,-J532)</f>
        <v>-24</v>
      </c>
      <c r="L532" s="15" t="s">
        <v>129</v>
      </c>
      <c r="M532" s="44">
        <f>SUMIFS('Saldos Iniciales'!$D$2:$D$38,'Saldos Iniciales'!$A$2:$A$38,C532,'Saldos Iniciales'!$B$2:$B$38,D532)+SUMIFS($K$1:$K$806,$C$1:$C$806,C532,$D$1:$D$806,D532,$B$1:$B$806,"&lt;="&amp;B532)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>IF(F533="Ingreso",J533,-J533)</f>
        <v>-29.47</v>
      </c>
      <c r="L533" s="15" t="s">
        <v>129</v>
      </c>
      <c r="M533" s="44">
        <f>SUMIFS('Saldos Iniciales'!$D$2:$D$38,'Saldos Iniciales'!$A$2:$A$38,C533,'Saldos Iniciales'!$B$2:$B$38,D533)+SUMIFS($K$1:$K$806,$C$1:$C$806,C533,$D$1:$D$806,D533,$B$1:$B$806,"&lt;="&amp;B533)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>IF(F534="Ingreso",J534,-J534)</f>
        <v>-38.4</v>
      </c>
      <c r="L534" s="15" t="s">
        <v>129</v>
      </c>
      <c r="M534" s="44">
        <f>SUMIFS('Saldos Iniciales'!$D$2:$D$38,'Saldos Iniciales'!$A$2:$A$38,C534,'Saldos Iniciales'!$B$2:$B$38,D534)+SUMIFS($K$1:$K$806,$C$1:$C$806,C534,$D$1:$D$806,D534,$B$1:$B$806,"&lt;="&amp;B534)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>IF(F535="Ingreso",J535,-J535)</f>
        <v>518.65</v>
      </c>
      <c r="L535" s="15" t="s">
        <v>129</v>
      </c>
      <c r="M535" s="44">
        <f>SUMIFS('Saldos Iniciales'!$D$2:$D$38,'Saldos Iniciales'!$A$2:$A$38,C535,'Saldos Iniciales'!$B$2:$B$38,D535)+SUMIFS($K$1:$K$806,$C$1:$C$806,C535,$D$1:$D$806,D535,$B$1:$B$806,"&lt;="&amp;B535)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>IF(F536="Ingreso",J536,-J536)</f>
        <v>-1104.78</v>
      </c>
      <c r="L536" s="15" t="s">
        <v>129</v>
      </c>
      <c r="M536" s="44">
        <f>SUMIFS('Saldos Iniciales'!$D$2:$D$38,'Saldos Iniciales'!$A$2:$A$38,C536,'Saldos Iniciales'!$B$2:$B$38,D536)+SUMIFS($K$1:$K$806,$C$1:$C$806,C536,$D$1:$D$806,D536,$B$1:$B$806,"&lt;="&amp;B536)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>IF(F537="Ingreso",J537,-J537)</f>
        <v>-2209.56</v>
      </c>
      <c r="L537" s="15" t="s">
        <v>129</v>
      </c>
      <c r="M537" s="44">
        <f>SUMIFS('Saldos Iniciales'!$D$2:$D$38,'Saldos Iniciales'!$A$2:$A$38,C537,'Saldos Iniciales'!$B$2:$B$38,D537)+SUMIFS($K$1:$K$806,$C$1:$C$806,C537,$D$1:$D$806,D537,$B$1:$B$806,"&lt;="&amp;B537)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>IF(F538="Ingreso",J538,-J538)</f>
        <v>-2506.6999999999998</v>
      </c>
      <c r="L538" s="15" t="s">
        <v>129</v>
      </c>
      <c r="M538" s="44">
        <f>SUMIFS('Saldos Iniciales'!$D$2:$D$38,'Saldos Iniciales'!$A$2:$A$38,C538,'Saldos Iniciales'!$B$2:$B$38,D538)+SUMIFS($K$1:$K$806,$C$1:$C$806,C538,$D$1:$D$806,D538,$B$1:$B$806,"&lt;="&amp;B538)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Iniciales'!$B$2:$B$38,D539)+SUMIFS($K$1:$K$806,$C$1:$C$806,C539,$D$1:$D$806,D539,$B$1:$B$806,"&lt;="&amp;B539)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>IF(F540="Ingreso",J540,-J540)</f>
        <v>-149.07</v>
      </c>
      <c r="L540" s="15" t="s">
        <v>129</v>
      </c>
      <c r="M540" s="44">
        <f>SUMIFS('Saldos Iniciales'!$D$2:$D$38,'Saldos Iniciales'!$A$2:$A$38,C540,'Saldos Iniciales'!$B$2:$B$38,D540)+SUMIFS($K$1:$K$806,$C$1:$C$806,C540,$D$1:$D$806,D540,$B$1:$B$806,"&lt;="&amp;B540)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>IF(F541="Ingreso",J541,-J541)</f>
        <v>-800000</v>
      </c>
      <c r="L541" s="15" t="s">
        <v>129</v>
      </c>
      <c r="M541" s="44">
        <f>SUMIFS('Saldos Iniciales'!$D$2:$D$38,'Saldos Iniciales'!$A$2:$A$38,C541,'Saldos Iniciales'!$B$2:$B$38,D541)+SUMIFS($K$1:$K$806,$C$1:$C$806,C541,$D$1:$D$806,D541,$B$1:$B$806,"&lt;="&amp;B541)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>IF(F542="Ingreso",J542,-J542)</f>
        <v>-65209.38</v>
      </c>
      <c r="L542" s="15" t="s">
        <v>129</v>
      </c>
      <c r="M542" s="44">
        <f>SUMIFS('Saldos Iniciales'!$D$2:$D$38,'Saldos Iniciales'!$A$2:$A$38,C542,'Saldos Iniciales'!$B$2:$B$38,D542)+SUMIFS($K$1:$K$806,$C$1:$C$806,C542,$D$1:$D$806,D542,$B$1:$B$806,"&lt;="&amp;B542)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Iniciales'!$B$2:$B$38,D543)+SUMIFS($K$1:$K$806,$C$1:$C$806,C543,$D$1:$D$806,D543,$B$1:$B$806,"&lt;="&amp;B543)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>IF(F544="Ingreso",J544,-J544)</f>
        <v>-336.88</v>
      </c>
      <c r="L544" s="15" t="s">
        <v>129</v>
      </c>
      <c r="M544" s="44">
        <f>SUMIFS('Saldos Iniciales'!$D$2:$D$38,'Saldos Iniciales'!$A$2:$A$38,C544,'Saldos Iniciales'!$B$2:$B$38,D544)+SUMIFS($K$1:$K$806,$C$1:$C$806,C544,$D$1:$D$806,D544,$B$1:$B$806,"&lt;="&amp;B544)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>IF(F545="Ingreso",J545,-J545)</f>
        <v>-175</v>
      </c>
      <c r="L545" s="15" t="s">
        <v>129</v>
      </c>
      <c r="M545" s="44">
        <f>SUMIFS('Saldos Iniciales'!$D$2:$D$38,'Saldos Iniciales'!$A$2:$A$38,C545,'Saldos Iniciales'!$B$2:$B$38,D545)+SUMIFS($K$1:$K$806,$C$1:$C$806,C545,$D$1:$D$806,D545,$B$1:$B$806,"&lt;="&amp;B545)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>IF(F546="Ingreso",J546,-J546)</f>
        <v>-2490.36</v>
      </c>
      <c r="L546" s="15" t="s">
        <v>129</v>
      </c>
      <c r="M546" s="44">
        <f>SUMIFS('Saldos Iniciales'!$D$2:$D$38,'Saldos Iniciales'!$A$2:$A$38,C546,'Saldos Iniciales'!$B$2:$B$38,D546)+SUMIFS($K$1:$K$806,$C$1:$C$806,C546,$D$1:$D$806,D546,$B$1:$B$806,"&lt;="&amp;B546)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>IF(F547="Ingreso",J547,-J547)</f>
        <v>-60000</v>
      </c>
      <c r="L547" s="15" t="s">
        <v>129</v>
      </c>
      <c r="M547" s="44">
        <f>SUMIFS('Saldos Iniciales'!$D$2:$D$38,'Saldos Iniciales'!$A$2:$A$38,C547,'Saldos Iniciales'!$B$2:$B$38,D547)+SUMIFS($K$1:$K$806,$C$1:$C$806,C547,$D$1:$D$806,D547,$B$1:$B$806,"&lt;="&amp;B547)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Iniciales'!$B$2:$B$38,D548)+SUMIFS($K$1:$K$806,$C$1:$C$806,C548,$D$1:$D$806,D548,$B$1:$B$806,"&lt;="&amp;B548)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>IF(F549="Ingreso",J549,-J549)</f>
        <v>2000</v>
      </c>
      <c r="L549" s="15" t="s">
        <v>129</v>
      </c>
      <c r="M549" s="44">
        <f>SUMIFS('Saldos Iniciales'!$D$2:$D$38,'Saldos Iniciales'!$A$2:$A$38,C549,'Saldos Iniciales'!$B$2:$B$38,D549)+SUMIFS($K$1:$K$806,$C$1:$C$806,C549,$D$1:$D$806,D549,$B$1:$B$806,"&lt;="&amp;B549)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>IF(F550="Ingreso",J550,-J550)</f>
        <v>-938</v>
      </c>
      <c r="L550" s="15" t="s">
        <v>129</v>
      </c>
      <c r="M550" s="44">
        <f>SUMIFS('Saldos Iniciales'!$D$2:$D$38,'Saldos Iniciales'!$A$2:$A$38,C550,'Saldos Iniciales'!$B$2:$B$38,D550)+SUMIFS($K$1:$K$806,$C$1:$C$806,C550,$D$1:$D$806,D550,$B$1:$B$806,"&lt;="&amp;B550)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>IF(F551="Ingreso",J551,-J551)</f>
        <v>-92.41</v>
      </c>
      <c r="L551" s="15" t="s">
        <v>129</v>
      </c>
      <c r="M551" s="44">
        <f>SUMIFS('Saldos Iniciales'!$D$2:$D$38,'Saldos Iniciales'!$A$2:$A$38,C551,'Saldos Iniciales'!$B$2:$B$38,D551)+SUMIFS($K$1:$K$806,$C$1:$C$806,C551,$D$1:$D$806,D551,$B$1:$B$806,"&lt;="&amp;B551)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>IF(F552="Ingreso",J552,-J552)</f>
        <v>-13.98</v>
      </c>
      <c r="L552" s="15" t="s">
        <v>129</v>
      </c>
      <c r="M552" s="44">
        <f>SUMIFS('Saldos Iniciales'!$D$2:$D$38,'Saldos Iniciales'!$A$2:$A$38,C552,'Saldos Iniciales'!$B$2:$B$38,D552)+SUMIFS($K$1:$K$806,$C$1:$C$806,C552,$D$1:$D$806,D552,$B$1:$B$806,"&lt;="&amp;B552)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>IF(F553="Ingreso",J553,-J553)</f>
        <v>250000</v>
      </c>
      <c r="L553" s="15" t="s">
        <v>129</v>
      </c>
      <c r="M553" s="44">
        <f>SUMIFS('Saldos Iniciales'!$D$2:$D$38,'Saldos Iniciales'!$A$2:$A$38,C553,'Saldos Iniciales'!$B$2:$B$38,D553)+SUMIFS($K$1:$K$806,$C$1:$C$806,C553,$D$1:$D$806,D553,$B$1:$B$806,"&lt;="&amp;B553)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>IF(F554="Ingreso",J554,-J554)</f>
        <v>-2366.67</v>
      </c>
      <c r="L554" s="15" t="s">
        <v>129</v>
      </c>
      <c r="M554" s="44">
        <f>SUMIFS('Saldos Iniciales'!$D$2:$D$38,'Saldos Iniciales'!$A$2:$A$38,C554,'Saldos Iniciales'!$B$2:$B$38,D554)+SUMIFS($K$1:$K$806,$C$1:$C$806,C554,$D$1:$D$806,D554,$B$1:$B$806,"&lt;="&amp;B554)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>IF(F555="Ingreso",J555,-J555)</f>
        <v>-2916.67</v>
      </c>
      <c r="L555" s="15" t="s">
        <v>129</v>
      </c>
      <c r="M555" s="44">
        <f>SUMIFS('Saldos Iniciales'!$D$2:$D$38,'Saldos Iniciales'!$A$2:$A$38,C555,'Saldos Iniciales'!$B$2:$B$38,D555)+SUMIFS($K$1:$K$806,$C$1:$C$806,C555,$D$1:$D$806,D555,$B$1:$B$806,"&lt;="&amp;B555)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>IF(F556="Ingreso",J556,-J556)</f>
        <v>-3616.67</v>
      </c>
      <c r="L556" s="15" t="s">
        <v>129</v>
      </c>
      <c r="M556" s="44">
        <f>SUMIFS('Saldos Iniciales'!$D$2:$D$38,'Saldos Iniciales'!$A$2:$A$38,C556,'Saldos Iniciales'!$B$2:$B$38,D556)+SUMIFS($K$1:$K$806,$C$1:$C$806,C556,$D$1:$D$806,D556,$B$1:$B$806,"&lt;="&amp;B556)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>IF(F557="Ingreso",J557,-J557)</f>
        <v>-10266.67</v>
      </c>
      <c r="L557" s="15" t="s">
        <v>129</v>
      </c>
      <c r="M557" s="44">
        <f>SUMIFS('Saldos Iniciales'!$D$2:$D$38,'Saldos Iniciales'!$A$2:$A$38,C557,'Saldos Iniciales'!$B$2:$B$38,D557)+SUMIFS($K$1:$K$806,$C$1:$C$806,C557,$D$1:$D$806,D557,$B$1:$B$806,"&lt;="&amp;B557)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>IF(F558="Ingreso",J558,-J558)</f>
        <v>-11666.67</v>
      </c>
      <c r="L558" s="15" t="s">
        <v>129</v>
      </c>
      <c r="M558" s="44">
        <f>SUMIFS('Saldos Iniciales'!$D$2:$D$38,'Saldos Iniciales'!$A$2:$A$38,C558,'Saldos Iniciales'!$B$2:$B$38,D558)+SUMIFS($K$1:$K$806,$C$1:$C$806,C558,$D$1:$D$806,D558,$B$1:$B$806,"&lt;="&amp;B558)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>IF(F559="Ingreso",J559,-J559)</f>
        <v>-22166.67</v>
      </c>
      <c r="L559" s="15" t="s">
        <v>129</v>
      </c>
      <c r="M559" s="44">
        <f>SUMIFS('Saldos Iniciales'!$D$2:$D$38,'Saldos Iniciales'!$A$2:$A$38,C559,'Saldos Iniciales'!$B$2:$B$38,D559)+SUMIFS($K$1:$K$806,$C$1:$C$806,C559,$D$1:$D$806,D559,$B$1:$B$806,"&lt;="&amp;B559)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>IF(F560="Ingreso",J560,-J560)</f>
        <v>-23333.33</v>
      </c>
      <c r="L560" s="15" t="s">
        <v>129</v>
      </c>
      <c r="M560" s="44">
        <f>SUMIFS('Saldos Iniciales'!$D$2:$D$38,'Saldos Iniciales'!$A$2:$A$38,C560,'Saldos Iniciales'!$B$2:$B$38,D560)+SUMIFS($K$1:$K$806,$C$1:$C$806,C560,$D$1:$D$806,D560,$B$1:$B$806,"&lt;="&amp;B560)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>IF(F561="Ingreso",J561,-J561)</f>
        <v>-27083.33</v>
      </c>
      <c r="L561" s="15" t="s">
        <v>129</v>
      </c>
      <c r="M561" s="44">
        <f>SUMIFS('Saldos Iniciales'!$D$2:$D$38,'Saldos Iniciales'!$A$2:$A$38,C561,'Saldos Iniciales'!$B$2:$B$38,D561)+SUMIFS($K$1:$K$806,$C$1:$C$806,C561,$D$1:$D$806,D561,$B$1:$B$806,"&lt;="&amp;B561)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>IF(F562="Ingreso",J562,-J562)</f>
        <v>-30000</v>
      </c>
      <c r="L562" s="15" t="s">
        <v>129</v>
      </c>
      <c r="M562" s="44">
        <f>SUMIFS('Saldos Iniciales'!$D$2:$D$38,'Saldos Iniciales'!$A$2:$A$38,C562,'Saldos Iniciales'!$B$2:$B$38,D562)+SUMIFS($K$1:$K$806,$C$1:$C$806,C562,$D$1:$D$806,D562,$B$1:$B$806,"&lt;="&amp;B562)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>IF(F563="Ingreso",J563,-J563)</f>
        <v>-70000</v>
      </c>
      <c r="L563" s="15" t="s">
        <v>129</v>
      </c>
      <c r="M563" s="44">
        <f>SUMIFS('Saldos Iniciales'!$D$2:$D$38,'Saldos Iniciales'!$A$2:$A$38,C563,'Saldos Iniciales'!$B$2:$B$38,D563)+SUMIFS($K$1:$K$806,$C$1:$C$806,C563,$D$1:$D$806,D563,$B$1:$B$806,"&lt;="&amp;B563)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>IF(F564="Ingreso",J564,-J564)</f>
        <v>-100000</v>
      </c>
      <c r="L564" s="15" t="s">
        <v>129</v>
      </c>
      <c r="M564" s="44">
        <f>SUMIFS('Saldos Iniciales'!$D$2:$D$38,'Saldos Iniciales'!$A$2:$A$38,C564,'Saldos Iniciales'!$B$2:$B$38,D564)+SUMIFS($K$1:$K$806,$C$1:$C$806,C564,$D$1:$D$806,D564,$B$1:$B$806,"&lt;="&amp;B564)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Iniciales'!$D$2:$D$38,'Saldos Iniciales'!$A$2:$A$38,C565,'Saldos Iniciales'!$B$2:$B$38,D565)+SUMIFS($K$1:$K$806,$C$1:$C$806,C565,$D$1:$D$806,D565,$B$1:$B$806,"&lt;="&amp;B565)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Iniciales'!$D$2:$D$38,'Saldos Iniciales'!$A$2:$A$38,C566,'Saldos Iniciales'!$B$2:$B$38,D566)+SUMIFS($K$1:$K$806,$C$1:$C$806,C566,$D$1:$D$806,D566,$B$1:$B$806,"&lt;="&amp;B566)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>IF(F567="Ingreso",J567,-J567)</f>
        <v>-26250</v>
      </c>
      <c r="L567" s="15" t="s">
        <v>129</v>
      </c>
      <c r="M567" s="44">
        <f>SUMIFS('Saldos Iniciales'!$D$2:$D$38,'Saldos Iniciales'!$A$2:$A$38,C567,'Saldos Iniciales'!$B$2:$B$38,D567)+SUMIFS($K$1:$K$806,$C$1:$C$806,C567,$D$1:$D$806,D567,$B$1:$B$806,"&lt;="&amp;B567)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>IF(F568="Ingreso",J568,-J568)</f>
        <v>-49583.34</v>
      </c>
      <c r="L568" s="15" t="s">
        <v>129</v>
      </c>
      <c r="M568" s="44">
        <f>SUMIFS('Saldos Iniciales'!$D$2:$D$38,'Saldos Iniciales'!$A$2:$A$38,C568,'Saldos Iniciales'!$B$2:$B$38,D568)+SUMIFS($K$1:$K$806,$C$1:$C$806,C568,$D$1:$D$806,D568,$B$1:$B$806,"&lt;="&amp;B568)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>IF(F569="Ingreso",J569,-J569)</f>
        <v>-100000</v>
      </c>
      <c r="L569" s="15" t="s">
        <v>129</v>
      </c>
      <c r="M569" s="44">
        <f>SUMIFS('Saldos Iniciales'!$D$2:$D$38,'Saldos Iniciales'!$A$2:$A$38,C569,'Saldos Iniciales'!$B$2:$B$38,D569)+SUMIFS($K$1:$K$806,$C$1:$C$806,C569,$D$1:$D$806,D569,$B$1:$B$806,"&lt;="&amp;B569)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>IF(F570="Ingreso",J570,-J570)</f>
        <v>-2000</v>
      </c>
      <c r="L570" s="15" t="s">
        <v>129</v>
      </c>
      <c r="M570" s="44">
        <f>SUMIFS('Saldos Iniciales'!$D$2:$D$38,'Saldos Iniciales'!$A$2:$A$38,C570,'Saldos Iniciales'!$B$2:$B$38,D570)+SUMIFS($K$1:$K$806,$C$1:$C$806,C570,$D$1:$D$806,D570,$B$1:$B$806,"&lt;="&amp;B570)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Iniciales'!$B$2:$B$38,D571)+SUMIFS($K$1:$K$806,$C$1:$C$806,C571,$D$1:$D$806,D571,$B$1:$B$806,"&lt;="&amp;B571)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>IF(F572="Ingreso",J572,-J572)</f>
        <v>-2300.0300000000002</v>
      </c>
      <c r="L572" s="15" t="s">
        <v>129</v>
      </c>
      <c r="M572" s="44">
        <f>SUMIFS('Saldos Iniciales'!$D$2:$D$38,'Saldos Iniciales'!$A$2:$A$38,C572,'Saldos Iniciales'!$B$2:$B$38,D572)+SUMIFS($K$1:$K$806,$C$1:$C$806,C572,$D$1:$D$806,D572,$B$1:$B$806,"&lt;="&amp;B572)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>IF(F573="Ingreso",J573,-J573)</f>
        <v>-21.73</v>
      </c>
      <c r="L573" s="15" t="s">
        <v>129</v>
      </c>
      <c r="M573" s="44">
        <f>SUMIFS('Saldos Iniciales'!$D$2:$D$38,'Saldos Iniciales'!$A$2:$A$38,C573,'Saldos Iniciales'!$B$2:$B$38,D573)+SUMIFS($K$1:$K$806,$C$1:$C$806,C573,$D$1:$D$806,D573,$B$1:$B$806,"&lt;="&amp;B573)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>IF(F574="Ingreso",J574,-J574)</f>
        <v>70000</v>
      </c>
      <c r="L574" s="15" t="s">
        <v>129</v>
      </c>
      <c r="M574" s="44">
        <f>SUMIFS('Saldos Iniciales'!$D$2:$D$38,'Saldos Iniciales'!$A$2:$A$38,C574,'Saldos Iniciales'!$B$2:$B$38,D574)+SUMIFS($K$1:$K$806,$C$1:$C$806,C574,$D$1:$D$806,D574,$B$1:$B$806,"&lt;="&amp;B574)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>IF(F575="Ingreso",J575,-J575)</f>
        <v>-5402.47</v>
      </c>
      <c r="L575" s="15" t="s">
        <v>129</v>
      </c>
      <c r="M575" s="44">
        <f>SUMIFS('Saldos Iniciales'!$D$2:$D$38,'Saldos Iniciales'!$A$2:$A$38,C575,'Saldos Iniciales'!$B$2:$B$38,D575)+SUMIFS($K$1:$K$806,$C$1:$C$806,C575,$D$1:$D$806,D575,$B$1:$B$806,"&lt;="&amp;B575)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Iniciales'!$B$2:$B$38,D576)+SUMIFS($K$1:$K$806,$C$1:$C$806,C576,$D$1:$D$806,D576,$B$1:$B$806,"&lt;="&amp;B576)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>IF(F577="Ingreso",J577,-J577)</f>
        <v>-737.04</v>
      </c>
      <c r="L577" s="15" t="s">
        <v>129</v>
      </c>
      <c r="M577" s="44">
        <f>SUMIFS('Saldos Iniciales'!$D$2:$D$38,'Saldos Iniciales'!$A$2:$A$38,C577,'Saldos Iniciales'!$B$2:$B$38,D577)+SUMIFS($K$1:$K$806,$C$1:$C$806,C577,$D$1:$D$806,D577,$B$1:$B$806,"&lt;="&amp;B577)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>IF(F578="Ingreso",J578,-J578)</f>
        <v>-644.70000000000005</v>
      </c>
      <c r="L578" s="15" t="s">
        <v>129</v>
      </c>
      <c r="M578" s="44">
        <f>SUMIFS('Saldos Iniciales'!$D$2:$D$38,'Saldos Iniciales'!$A$2:$A$38,C578,'Saldos Iniciales'!$B$2:$B$38,D578)+SUMIFS($K$1:$K$806,$C$1:$C$806,C578,$D$1:$D$806,D578,$B$1:$B$806,"&lt;="&amp;B578)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>IF(F579="Ingreso",J579,-J579)</f>
        <v>-166.66</v>
      </c>
      <c r="L579" s="15" t="s">
        <v>129</v>
      </c>
      <c r="M579" s="44">
        <f>SUMIFS('Saldos Iniciales'!$D$2:$D$38,'Saldos Iniciales'!$A$2:$A$38,C579,'Saldos Iniciales'!$B$2:$B$38,D579)+SUMIFS($K$1:$K$806,$C$1:$C$806,C579,$D$1:$D$806,D579,$B$1:$B$806,"&lt;="&amp;B579)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>IF(F580="Ingreso",J580,-J580)</f>
        <v>-2133.14</v>
      </c>
      <c r="L580" s="15" t="s">
        <v>129</v>
      </c>
      <c r="M580" s="44">
        <f>SUMIFS('Saldos Iniciales'!$D$2:$D$38,'Saldos Iniciales'!$A$2:$A$38,C580,'Saldos Iniciales'!$B$2:$B$38,D580)+SUMIFS($K$1:$K$806,$C$1:$C$806,C580,$D$1:$D$806,D580,$B$1:$B$806,"&lt;="&amp;B580)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Iniciales'!$B$2:$B$38,D581)+SUMIFS($K$1:$K$806,$C$1:$C$806,C581,$D$1:$D$806,D581,$B$1:$B$806,"&lt;="&amp;B581)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>IF(F582="Ingreso",J582,-J582)</f>
        <v>-146.13</v>
      </c>
      <c r="L582" s="15" t="s">
        <v>129</v>
      </c>
      <c r="M582" s="44">
        <f>SUMIFS('Saldos Iniciales'!$D$2:$D$38,'Saldos Iniciales'!$A$2:$A$38,C582,'Saldos Iniciales'!$B$2:$B$38,D582)+SUMIFS($K$1:$K$806,$C$1:$C$806,C582,$D$1:$D$806,D582,$B$1:$B$806,"&lt;="&amp;B582)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>IF(F583="Ingreso",J583,-J583)</f>
        <v>32950.239999999998</v>
      </c>
      <c r="L583" s="15" t="s">
        <v>129</v>
      </c>
      <c r="M583" s="44">
        <f>SUMIFS('Saldos Iniciales'!$D$2:$D$38,'Saldos Iniciales'!$A$2:$A$38,C583,'Saldos Iniciales'!$B$2:$B$38,D583)+SUMIFS($K$1:$K$806,$C$1:$C$806,C583,$D$1:$D$806,D583,$B$1:$B$806,"&lt;="&amp;B583)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Iniciales'!$B$2:$B$38,D584)+SUMIFS($K$1:$K$806,$C$1:$C$806,C584,$D$1:$D$806,D584,$B$1:$B$806,"&lt;="&amp;B584)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>IF(F585="Ingreso",J585,-J585)</f>
        <v>-15000</v>
      </c>
      <c r="L585" s="15" t="s">
        <v>129</v>
      </c>
      <c r="M585" s="44">
        <f>SUMIFS('Saldos Iniciales'!$D$2:$D$38,'Saldos Iniciales'!$A$2:$A$38,C585,'Saldos Iniciales'!$B$2:$B$38,D585)+SUMIFS($K$1:$K$806,$C$1:$C$806,C585,$D$1:$D$806,D585,$B$1:$B$806,"&lt;="&amp;B585)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>IF(F586="Ingreso",J586,-J586)</f>
        <v>5000</v>
      </c>
      <c r="L586" s="15" t="s">
        <v>129</v>
      </c>
      <c r="M586" s="44">
        <f>SUMIFS('Saldos Iniciales'!$D$2:$D$38,'Saldos Iniciales'!$A$2:$A$38,C586,'Saldos Iniciales'!$B$2:$B$38,D586)+SUMIFS($K$1:$K$806,$C$1:$C$806,C586,$D$1:$D$806,D586,$B$1:$B$806,"&lt;="&amp;B586)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>IF(F587="Ingreso",J587,-J587)</f>
        <v>-205.5</v>
      </c>
      <c r="L587" s="15" t="s">
        <v>129</v>
      </c>
      <c r="M587" s="44">
        <f>SUMIFS('Saldos Iniciales'!$D$2:$D$38,'Saldos Iniciales'!$A$2:$A$38,C587,'Saldos Iniciales'!$B$2:$B$38,D587)+SUMIFS($K$1:$K$806,$C$1:$C$806,C587,$D$1:$D$806,D587,$B$1:$B$806,"&lt;="&amp;B587)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>IF(F588="Ingreso",J588,-J588)</f>
        <v>-84</v>
      </c>
      <c r="L588" s="15" t="s">
        <v>129</v>
      </c>
      <c r="M588" s="44">
        <f>SUMIFS('Saldos Iniciales'!$D$2:$D$38,'Saldos Iniciales'!$A$2:$A$38,C588,'Saldos Iniciales'!$B$2:$B$38,D588)+SUMIFS($K$1:$K$806,$C$1:$C$806,C588,$D$1:$D$806,D588,$B$1:$B$806,"&lt;="&amp;B588)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>IF(F589="Ingreso",J589,-J589)</f>
        <v>-10000</v>
      </c>
      <c r="L589" s="15" t="s">
        <v>129</v>
      </c>
      <c r="M589" s="44">
        <f>SUMIFS('Saldos Iniciales'!$D$2:$D$38,'Saldos Iniciales'!$A$2:$A$38,C589,'Saldos Iniciales'!$B$2:$B$38,D589)+SUMIFS($K$1:$K$806,$C$1:$C$806,C589,$D$1:$D$806,D589,$B$1:$B$806,"&lt;="&amp;B589)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>IF(F590="Ingreso",J590,-J590)</f>
        <v>-10833.33</v>
      </c>
      <c r="L590" s="15" t="s">
        <v>129</v>
      </c>
      <c r="M590" s="44">
        <f>SUMIFS('Saldos Iniciales'!$D$2:$D$38,'Saldos Iniciales'!$A$2:$A$38,C590,'Saldos Iniciales'!$B$2:$B$38,D590)+SUMIFS($K$1:$K$806,$C$1:$C$806,C590,$D$1:$D$806,D590,$B$1:$B$806,"&lt;="&amp;B590)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>IF(F591="Ingreso",J591,-J591)</f>
        <v>-40000</v>
      </c>
      <c r="L591" s="15" t="s">
        <v>129</v>
      </c>
      <c r="M591" s="44">
        <f>SUMIFS('Saldos Iniciales'!$D$2:$D$38,'Saldos Iniciales'!$A$2:$A$38,C591,'Saldos Iniciales'!$B$2:$B$38,D591)+SUMIFS($K$1:$K$806,$C$1:$C$806,C591,$D$1:$D$806,D591,$B$1:$B$806,"&lt;="&amp;B591)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>IF(F592="Ingreso",J592,-J592)</f>
        <v>-50000</v>
      </c>
      <c r="L592" s="15" t="s">
        <v>129</v>
      </c>
      <c r="M592" s="44">
        <f>SUMIFS('Saldos Iniciales'!$D$2:$D$38,'Saldos Iniciales'!$A$2:$A$38,C592,'Saldos Iniciales'!$B$2:$B$38,D592)+SUMIFS($K$1:$K$806,$C$1:$C$806,C592,$D$1:$D$806,D592,$B$1:$B$806,"&lt;="&amp;B592)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Iniciales'!$D$2:$D$38,'Saldos Iniciales'!$A$2:$A$38,C593,'Saldos Iniciales'!$B$2:$B$38,D593)+SUMIFS($K$1:$K$806,$C$1:$C$806,C593,$D$1:$D$806,D593,$B$1:$B$806,"&lt;="&amp;B593)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>IF(F594="Ingreso",J594,-J594)</f>
        <v>-68750</v>
      </c>
      <c r="L594" s="15" t="s">
        <v>129</v>
      </c>
      <c r="M594" s="44">
        <f>SUMIFS('Saldos Iniciales'!$D$2:$D$38,'Saldos Iniciales'!$A$2:$A$38,C594,'Saldos Iniciales'!$B$2:$B$38,D594)+SUMIFS($K$1:$K$806,$C$1:$C$806,C594,$D$1:$D$806,D594,$B$1:$B$806,"&lt;="&amp;B594)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>IF(F595="Ingreso",J595,-J595)</f>
        <v>-100000</v>
      </c>
      <c r="L595" s="15" t="s">
        <v>129</v>
      </c>
      <c r="M595" s="44">
        <f>SUMIFS('Saldos Iniciales'!$D$2:$D$38,'Saldos Iniciales'!$A$2:$A$38,C595,'Saldos Iniciales'!$B$2:$B$38,D595)+SUMIFS($K$1:$K$806,$C$1:$C$806,C595,$D$1:$D$806,D595,$B$1:$B$806,"&lt;="&amp;B595)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>IF(F596="Ingreso",J596,-J596)</f>
        <v>-500000</v>
      </c>
      <c r="L596" s="15" t="s">
        <v>129</v>
      </c>
      <c r="M596" s="44">
        <f>SUMIFS('Saldos Iniciales'!$D$2:$D$38,'Saldos Iniciales'!$A$2:$A$38,C596,'Saldos Iniciales'!$B$2:$B$38,D596)+SUMIFS($K$1:$K$806,$C$1:$C$806,C596,$D$1:$D$806,D596,$B$1:$B$806,"&lt;="&amp;B596)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500000</v>
      </c>
      <c r="L597" s="15" t="s">
        <v>129</v>
      </c>
      <c r="M597" s="44">
        <f>SUMIFS('Saldos Iniciales'!$D$2:$D$38,'Saldos Iniciales'!$A$2:$A$38,C597,'Saldos Iniciales'!$B$2:$B$38,D597)+SUMIFS($K$1:$K$806,$C$1:$C$806,C597,$D$1:$D$806,D597,$B$1:$B$806,"&lt;="&amp;B597)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>IF(F598="Ingreso",J598,-J598)</f>
        <v>-4939.9799999999996</v>
      </c>
      <c r="L598" s="15" t="s">
        <v>129</v>
      </c>
      <c r="M598" s="44">
        <f>SUMIFS('Saldos Iniciales'!$D$2:$D$38,'Saldos Iniciales'!$A$2:$A$38,C598,'Saldos Iniciales'!$B$2:$B$38,D598)+SUMIFS($K$1:$K$806,$C$1:$C$806,C598,$D$1:$D$806,D598,$B$1:$B$806,"&lt;="&amp;B598)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>IF(F599="Ingreso",J599,-J599)</f>
        <v>-8666.67</v>
      </c>
      <c r="L599" s="15" t="s">
        <v>129</v>
      </c>
      <c r="M599" s="44">
        <f>SUMIFS('Saldos Iniciales'!$D$2:$D$38,'Saldos Iniciales'!$A$2:$A$38,C599,'Saldos Iniciales'!$B$2:$B$38,D599)+SUMIFS($K$1:$K$806,$C$1:$C$806,C599,$D$1:$D$806,D599,$B$1:$B$806,"&lt;="&amp;B599)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>IF(F600="Ingreso",J600,-J600)</f>
        <v>-10753.2</v>
      </c>
      <c r="L600" s="15" t="s">
        <v>129</v>
      </c>
      <c r="M600" s="44">
        <f>SUMIFS('Saldos Iniciales'!$D$2:$D$38,'Saldos Iniciales'!$A$2:$A$38,C600,'Saldos Iniciales'!$B$2:$B$38,D600)+SUMIFS($K$1:$K$806,$C$1:$C$806,C600,$D$1:$D$806,D600,$B$1:$B$806,"&lt;="&amp;B600)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>IF(F601="Ingreso",J601,-J601)</f>
        <v>-13300.05</v>
      </c>
      <c r="L601" s="15" t="s">
        <v>129</v>
      </c>
      <c r="M601" s="44">
        <f>SUMIFS('Saldos Iniciales'!$D$2:$D$38,'Saldos Iniciales'!$A$2:$A$38,C601,'Saldos Iniciales'!$B$2:$B$38,D601)+SUMIFS($K$1:$K$806,$C$1:$C$806,C601,$D$1:$D$806,D601,$B$1:$B$806,"&lt;="&amp;B601)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>IF(F602="Ingreso",J602,-J602)</f>
        <v>-28686.82</v>
      </c>
      <c r="L602" s="15" t="s">
        <v>129</v>
      </c>
      <c r="M602" s="44">
        <f>SUMIFS('Saldos Iniciales'!$D$2:$D$38,'Saldos Iniciales'!$A$2:$A$38,C602,'Saldos Iniciales'!$B$2:$B$38,D602)+SUMIFS($K$1:$K$806,$C$1:$C$806,C602,$D$1:$D$806,D602,$B$1:$B$806,"&lt;="&amp;B602)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>IF(F603="Ingreso",J603,-J603)</f>
        <v>-45833.33</v>
      </c>
      <c r="L603" s="15" t="s">
        <v>129</v>
      </c>
      <c r="M603" s="44">
        <f>SUMIFS('Saldos Iniciales'!$D$2:$D$38,'Saldos Iniciales'!$A$2:$A$38,C603,'Saldos Iniciales'!$B$2:$B$38,D603)+SUMIFS($K$1:$K$806,$C$1:$C$806,C603,$D$1:$D$806,D603,$B$1:$B$806,"&lt;="&amp;B603)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>IF(F604="Ingreso",J604,-J604)</f>
        <v>-109199.95</v>
      </c>
      <c r="L604" s="15" t="s">
        <v>129</v>
      </c>
      <c r="M604" s="44">
        <f>SUMIFS('Saldos Iniciales'!$D$2:$D$38,'Saldos Iniciales'!$A$2:$A$38,C604,'Saldos Iniciales'!$B$2:$B$38,D604)+SUMIFS($K$1:$K$806,$C$1:$C$806,C604,$D$1:$D$806,D604,$B$1:$B$806,"&lt;="&amp;B604)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>IF(F605="Ingreso",J605,-J605)</f>
        <v>-674.06</v>
      </c>
      <c r="L605" s="15" t="s">
        <v>129</v>
      </c>
      <c r="M605" s="44">
        <f>SUMIFS('Saldos Iniciales'!$D$2:$D$38,'Saldos Iniciales'!$A$2:$A$38,C605,'Saldos Iniciales'!$B$2:$B$38,D605)+SUMIFS($K$1:$K$806,$C$1:$C$806,C605,$D$1:$D$806,D605,$B$1:$B$806,"&lt;="&amp;B605)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>IF(F606="Ingreso",J606,-J606)</f>
        <v>-15</v>
      </c>
      <c r="L606" s="15" t="s">
        <v>129</v>
      </c>
      <c r="M606" s="44">
        <f>SUMIFS('Saldos Iniciales'!$D$2:$D$38,'Saldos Iniciales'!$A$2:$A$38,C606,'Saldos Iniciales'!$B$2:$B$38,D606)+SUMIFS($K$1:$K$806,$C$1:$C$806,C606,$D$1:$D$806,D606,$B$1:$B$806,"&lt;="&amp;B606)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>IF(F607="Ingreso",J607,-J607)</f>
        <v>-2500</v>
      </c>
      <c r="L607" s="15" t="s">
        <v>129</v>
      </c>
      <c r="M607" s="44">
        <f>SUMIFS('Saldos Iniciales'!$D$2:$D$38,'Saldos Iniciales'!$A$2:$A$38,C607,'Saldos Iniciales'!$B$2:$B$38,D607)+SUMIFS($K$1:$K$806,$C$1:$C$806,C607,$D$1:$D$806,D607,$B$1:$B$806,"&lt;="&amp;B607)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>IF(F608="Ingreso",J608,-J608)</f>
        <v>-15</v>
      </c>
      <c r="L608" s="15" t="s">
        <v>129</v>
      </c>
      <c r="M608" s="44">
        <f>SUMIFS('Saldos Iniciales'!$D$2:$D$38,'Saldos Iniciales'!$A$2:$A$38,C608,'Saldos Iniciales'!$B$2:$B$38,D608)+SUMIFS($K$1:$K$806,$C$1:$C$806,C608,$D$1:$D$806,D608,$B$1:$B$806,"&lt;="&amp;B608)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>IF(F609="Ingreso",J609,-J609)</f>
        <v>-5000</v>
      </c>
      <c r="L609" s="15" t="s">
        <v>129</v>
      </c>
      <c r="M609" s="44">
        <f>SUMIFS('Saldos Iniciales'!$D$2:$D$38,'Saldos Iniciales'!$A$2:$A$38,C609,'Saldos Iniciales'!$B$2:$B$38,D609)+SUMIFS($K$1:$K$806,$C$1:$C$806,C609,$D$1:$D$806,D609,$B$1:$B$806,"&lt;="&amp;B609)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>IF(F610="Ingreso",J610,-J610)</f>
        <v>39989.699999999997</v>
      </c>
      <c r="L610" s="15" t="s">
        <v>129</v>
      </c>
      <c r="M610" s="44">
        <f>SUMIFS('Saldos Iniciales'!$D$2:$D$38,'Saldos Iniciales'!$A$2:$A$38,C610,'Saldos Iniciales'!$B$2:$B$38,D610)+SUMIFS($K$1:$K$806,$C$1:$C$806,C610,$D$1:$D$806,D610,$B$1:$B$806,"&lt;="&amp;B610)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>IF(F611="Ingreso",J611,-J611)</f>
        <v>-5</v>
      </c>
      <c r="L611" s="15" t="s">
        <v>129</v>
      </c>
      <c r="M611" s="44">
        <f>SUMIFS('Saldos Iniciales'!$D$2:$D$38,'Saldos Iniciales'!$A$2:$A$38,C611,'Saldos Iniciales'!$B$2:$B$38,D611)+SUMIFS($K$1:$K$806,$C$1:$C$806,C611,$D$1:$D$806,D611,$B$1:$B$806,"&lt;="&amp;B611)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>IF(F612="Ingreso",J612,-J612)</f>
        <v>15000</v>
      </c>
      <c r="L612" s="15" t="s">
        <v>129</v>
      </c>
      <c r="M612" s="44">
        <f>SUMIFS('Saldos Iniciales'!$D$2:$D$38,'Saldos Iniciales'!$A$2:$A$38,C612,'Saldos Iniciales'!$B$2:$B$38,D612)+SUMIFS($K$1:$K$806,$C$1:$C$806,C612,$D$1:$D$806,D612,$B$1:$B$806,"&lt;="&amp;B612)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>IF(F613="Ingreso",J613,-J613)</f>
        <v>-185.5</v>
      </c>
      <c r="L613" s="15" t="s">
        <v>129</v>
      </c>
      <c r="M613" s="44">
        <f>SUMIFS('Saldos Iniciales'!$D$2:$D$38,'Saldos Iniciales'!$A$2:$A$38,C613,'Saldos Iniciales'!$B$2:$B$38,D613)+SUMIFS($K$1:$K$806,$C$1:$C$806,C613,$D$1:$D$806,D613,$B$1:$B$806,"&lt;="&amp;B613)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>IF(F614="Ingreso",J614,-J614)</f>
        <v>-108.08</v>
      </c>
      <c r="L614" s="15" t="s">
        <v>129</v>
      </c>
      <c r="M614" s="44">
        <f>SUMIFS('Saldos Iniciales'!$D$2:$D$38,'Saldos Iniciales'!$A$2:$A$38,C614,'Saldos Iniciales'!$B$2:$B$38,D614)+SUMIFS($K$1:$K$806,$C$1:$C$806,C614,$D$1:$D$806,D614,$B$1:$B$806,"&lt;="&amp;B614)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Iniciales'!$B$2:$B$38,D615)+SUMIFS($K$1:$K$806,$C$1:$C$806,C615,$D$1:$D$806,D615,$B$1:$B$806,"&lt;="&amp;B615)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>IF(F616="Ingreso",J616,-J616)</f>
        <v>-164.76</v>
      </c>
      <c r="L616" s="15" t="s">
        <v>129</v>
      </c>
      <c r="M616" s="44">
        <f>SUMIFS('Saldos Iniciales'!$D$2:$D$38,'Saldos Iniciales'!$A$2:$A$38,C616,'Saldos Iniciales'!$B$2:$B$38,D616)+SUMIFS($K$1:$K$806,$C$1:$C$806,C616,$D$1:$D$806,D616,$B$1:$B$806,"&lt;="&amp;B616)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>IF(F617="Ingreso",J617,-J617)</f>
        <v>350000</v>
      </c>
      <c r="L617" s="15" t="s">
        <v>129</v>
      </c>
      <c r="M617" s="44">
        <f>SUMIFS('Saldos Iniciales'!$D$2:$D$38,'Saldos Iniciales'!$A$2:$A$38,C617,'Saldos Iniciales'!$B$2:$B$38,D617)+SUMIFS($K$1:$K$806,$C$1:$C$806,C617,$D$1:$D$806,D617,$B$1:$B$806,"&lt;="&amp;B617)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>IF(F618="Ingreso",J618,-J618)</f>
        <v>4000</v>
      </c>
      <c r="L618" s="15" t="s">
        <v>129</v>
      </c>
      <c r="M618" s="44">
        <f>SUMIFS('Saldos Iniciales'!$D$2:$D$38,'Saldos Iniciales'!$A$2:$A$38,C618,'Saldos Iniciales'!$B$2:$B$38,D618)+SUMIFS($K$1:$K$806,$C$1:$C$806,C618,$D$1:$D$806,D618,$B$1:$B$806,"&lt;="&amp;B618)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>IF(F619="Ingreso",J619,-J619)</f>
        <v>-1969.07</v>
      </c>
      <c r="L619" s="15" t="s">
        <v>129</v>
      </c>
      <c r="M619" s="44">
        <f>SUMIFS('Saldos Iniciales'!$D$2:$D$38,'Saldos Iniciales'!$A$2:$A$38,C619,'Saldos Iniciales'!$B$2:$B$38,D619)+SUMIFS($K$1:$K$806,$C$1:$C$806,C619,$D$1:$D$806,D619,$B$1:$B$806,"&lt;="&amp;B619)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>IF(F620="Ingreso",J620,-J620)</f>
        <v>-145.56</v>
      </c>
      <c r="L620" s="15" t="s">
        <v>129</v>
      </c>
      <c r="M620" s="44">
        <f>SUMIFS('Saldos Iniciales'!$D$2:$D$38,'Saldos Iniciales'!$A$2:$A$38,C620,'Saldos Iniciales'!$B$2:$B$38,D620)+SUMIFS($K$1:$K$806,$C$1:$C$806,C620,$D$1:$D$806,D620,$B$1:$B$806,"&lt;="&amp;B620)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>IF(F621="Ingreso",J621,-J621)</f>
        <v>-132.26</v>
      </c>
      <c r="L621" s="15" t="s">
        <v>129</v>
      </c>
      <c r="M621" s="44">
        <f>SUMIFS('Saldos Iniciales'!$D$2:$D$38,'Saldos Iniciales'!$A$2:$A$38,C621,'Saldos Iniciales'!$B$2:$B$38,D621)+SUMIFS($K$1:$K$806,$C$1:$C$806,C621,$D$1:$D$806,D621,$B$1:$B$806,"&lt;="&amp;B621)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>IF(F622="Ingreso",J622,-J622)</f>
        <v>-1463.85</v>
      </c>
      <c r="L622" s="15" t="s">
        <v>129</v>
      </c>
      <c r="M622" s="44">
        <f>SUMIFS('Saldos Iniciales'!$D$2:$D$38,'Saldos Iniciales'!$A$2:$A$38,C622,'Saldos Iniciales'!$B$2:$B$38,D622)+SUMIFS($K$1:$K$806,$C$1:$C$806,C622,$D$1:$D$806,D622,$B$1:$B$806,"&lt;="&amp;B622)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>IF(F623="Ingreso",J623,-J623)</f>
        <v>-74.7</v>
      </c>
      <c r="L623" s="15" t="s">
        <v>129</v>
      </c>
      <c r="M623" s="44">
        <f>SUMIFS('Saldos Iniciales'!$D$2:$D$38,'Saldos Iniciales'!$A$2:$A$38,C623,'Saldos Iniciales'!$B$2:$B$38,D623)+SUMIFS($K$1:$K$806,$C$1:$C$806,C623,$D$1:$D$806,D623,$B$1:$B$806,"&lt;="&amp;B623)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>IF(F624="Ingreso",J624,-J624)</f>
        <v>-116.96</v>
      </c>
      <c r="L624" s="15" t="s">
        <v>129</v>
      </c>
      <c r="M624" s="44">
        <f>SUMIFS('Saldos Iniciales'!$D$2:$D$38,'Saldos Iniciales'!$A$2:$A$38,C624,'Saldos Iniciales'!$B$2:$B$38,D624)+SUMIFS($K$1:$K$806,$C$1:$C$806,C624,$D$1:$D$806,D624,$B$1:$B$806,"&lt;="&amp;B624)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>IF(F625="Ingreso",J625,-J625)</f>
        <v>-79.430000000000007</v>
      </c>
      <c r="L625" s="15" t="s">
        <v>129</v>
      </c>
      <c r="M625" s="44">
        <f>SUMIFS('Saldos Iniciales'!$D$2:$D$38,'Saldos Iniciales'!$A$2:$A$38,C625,'Saldos Iniciales'!$B$2:$B$38,D625)+SUMIFS($K$1:$K$806,$C$1:$C$806,C625,$D$1:$D$806,D625,$B$1:$B$806,"&lt;="&amp;B625)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>IF(F626="Ingreso",J626,-J626)</f>
        <v>-81.56</v>
      </c>
      <c r="L626" s="15" t="s">
        <v>129</v>
      </c>
      <c r="M626" s="44">
        <f>SUMIFS('Saldos Iniciales'!$D$2:$D$38,'Saldos Iniciales'!$A$2:$A$38,C626,'Saldos Iniciales'!$B$2:$B$38,D626)+SUMIFS($K$1:$K$806,$C$1:$C$806,C626,$D$1:$D$806,D626,$B$1:$B$806,"&lt;="&amp;B626)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>IF(F627="Ingreso",J627,-J627)</f>
        <v>-76.06</v>
      </c>
      <c r="L627" s="15" t="s">
        <v>129</v>
      </c>
      <c r="M627" s="44">
        <f>SUMIFS('Saldos Iniciales'!$D$2:$D$38,'Saldos Iniciales'!$A$2:$A$38,C627,'Saldos Iniciales'!$B$2:$B$38,D627)+SUMIFS($K$1:$K$806,$C$1:$C$806,C627,$D$1:$D$806,D627,$B$1:$B$806,"&lt;="&amp;B627)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>IF(F628="Ingreso",J628,-J628)</f>
        <v>-10000</v>
      </c>
      <c r="L628" s="15" t="s">
        <v>129</v>
      </c>
      <c r="M628" s="44">
        <f>SUMIFS('Saldos Iniciales'!$D$2:$D$38,'Saldos Iniciales'!$A$2:$A$38,C628,'Saldos Iniciales'!$B$2:$B$38,D628)+SUMIFS($K$1:$K$806,$C$1:$C$806,C628,$D$1:$D$806,D628,$B$1:$B$806,"&lt;="&amp;B628)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10000</v>
      </c>
      <c r="L629" s="15" t="s">
        <v>129</v>
      </c>
      <c r="M629" s="44">
        <f>SUMIFS('Saldos Iniciales'!$D$2:$D$38,'Saldos Iniciales'!$A$2:$A$38,C629,'Saldos Iniciales'!$B$2:$B$38,D629)+SUMIFS($K$1:$K$806,$C$1:$C$806,C629,$D$1:$D$806,D629,$B$1:$B$806,"&lt;="&amp;B629)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-10000</v>
      </c>
      <c r="L630" s="15" t="s">
        <v>129</v>
      </c>
      <c r="M630" s="44">
        <f>SUMIFS('Saldos Iniciales'!$D$2:$D$38,'Saldos Iniciales'!$A$2:$A$38,C630,'Saldos Iniciales'!$B$2:$B$38,D630)+SUMIFS($K$1:$K$806,$C$1:$C$806,C630,$D$1:$D$806,D630,$B$1:$B$806,"&lt;="&amp;B630)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10000</v>
      </c>
      <c r="L631" s="15" t="s">
        <v>129</v>
      </c>
      <c r="M631" s="44">
        <f>SUMIFS('Saldos Iniciales'!$D$2:$D$38,'Saldos Iniciales'!$A$2:$A$38,C631,'Saldos Iniciales'!$B$2:$B$38,D631)+SUMIFS($K$1:$K$806,$C$1:$C$806,C631,$D$1:$D$806,D631,$B$1:$B$806,"&lt;="&amp;B631)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>IF(F632="Ingreso",J632,-J632)</f>
        <v>-4000</v>
      </c>
      <c r="L632" s="15" t="s">
        <v>129</v>
      </c>
      <c r="M632" s="44">
        <f>SUMIFS('Saldos Iniciales'!$D$2:$D$38,'Saldos Iniciales'!$A$2:$A$38,C632,'Saldos Iniciales'!$B$2:$B$38,D632)+SUMIFS($K$1:$K$806,$C$1:$C$806,C632,$D$1:$D$806,D632,$B$1:$B$806,"&lt;="&amp;B632)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>IF(F633="Ingreso",J633,-J633)</f>
        <v>-526.75</v>
      </c>
      <c r="L633" s="15" t="s">
        <v>129</v>
      </c>
      <c r="M633" s="44">
        <f>SUMIFS('Saldos Iniciales'!$D$2:$D$38,'Saldos Iniciales'!$A$2:$A$38,C633,'Saldos Iniciales'!$B$2:$B$38,D633)+SUMIFS($K$1:$K$806,$C$1:$C$806,C633,$D$1:$D$806,D633,$B$1:$B$806,"&lt;="&amp;B633)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>IF(F634="Ingreso",J634,-J634)</f>
        <v>-193.19</v>
      </c>
      <c r="L634" s="15" t="s">
        <v>129</v>
      </c>
      <c r="M634" s="44">
        <f>SUMIFS('Saldos Iniciales'!$D$2:$D$38,'Saldos Iniciales'!$A$2:$A$38,C634,'Saldos Iniciales'!$B$2:$B$38,D634)+SUMIFS($K$1:$K$806,$C$1:$C$806,C634,$D$1:$D$806,D634,$B$1:$B$806,"&lt;="&amp;B634)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>IF(F635="Ingreso",J635,-J635)</f>
        <v>17345.61</v>
      </c>
      <c r="L635" s="15" t="s">
        <v>129</v>
      </c>
      <c r="M635" s="44">
        <f>SUMIFS('Saldos Iniciales'!$D$2:$D$38,'Saldos Iniciales'!$A$2:$A$38,C635,'Saldos Iniciales'!$B$2:$B$38,D635)+SUMIFS($K$1:$K$806,$C$1:$C$806,C635,$D$1:$D$806,D635,$B$1:$B$806,"&lt;="&amp;B635)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>IF(F636="Ingreso",J636,-J636)</f>
        <v>5546.44</v>
      </c>
      <c r="L636" s="15" t="s">
        <v>129</v>
      </c>
      <c r="M636" s="44">
        <f>SUMIFS('Saldos Iniciales'!$D$2:$D$38,'Saldos Iniciales'!$A$2:$A$38,C636,'Saldos Iniciales'!$B$2:$B$38,D636)+SUMIFS($K$1:$K$806,$C$1:$C$806,C636,$D$1:$D$806,D636,$B$1:$B$806,"&lt;="&amp;B636)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>IF(F637="Ingreso",J637,-J637)</f>
        <v>442.33</v>
      </c>
      <c r="L637" s="15" t="s">
        <v>129</v>
      </c>
      <c r="M637" s="44">
        <f>SUMIFS('Saldos Iniciales'!$D$2:$D$38,'Saldos Iniciales'!$A$2:$A$38,C637,'Saldos Iniciales'!$B$2:$B$38,D637)+SUMIFS($K$1:$K$806,$C$1:$C$806,C637,$D$1:$D$806,D637,$B$1:$B$806,"&lt;="&amp;B637)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>IF(F638="Ingreso",J638,-J638)</f>
        <v>6974.11</v>
      </c>
      <c r="L638" s="15" t="s">
        <v>129</v>
      </c>
      <c r="M638" s="44">
        <f>SUMIFS('Saldos Iniciales'!$D$2:$D$38,'Saldos Iniciales'!$A$2:$A$38,C638,'Saldos Iniciales'!$B$2:$B$38,D638)+SUMIFS($K$1:$K$806,$C$1:$C$806,C638,$D$1:$D$806,D638,$B$1:$B$806,"&lt;="&amp;B638)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>IF(F639="Ingreso",J639,-J639)</f>
        <v>-237</v>
      </c>
      <c r="L639" s="15" t="s">
        <v>129</v>
      </c>
      <c r="M639" s="44">
        <f>SUMIFS('Saldos Iniciales'!$D$2:$D$38,'Saldos Iniciales'!$A$2:$A$38,C639,'Saldos Iniciales'!$B$2:$B$38,D639)+SUMIFS($K$1:$K$806,$C$1:$C$806,C639,$D$1:$D$806,D639,$B$1:$B$806,"&lt;="&amp;B639)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>IF(F640="Ingreso",J640,-J640)</f>
        <v>-87.09</v>
      </c>
      <c r="L640" s="15" t="s">
        <v>129</v>
      </c>
      <c r="M640" s="44">
        <f>SUMIFS('Saldos Iniciales'!$D$2:$D$38,'Saldos Iniciales'!$A$2:$A$38,C640,'Saldos Iniciales'!$B$2:$B$38,D640)+SUMIFS($K$1:$K$806,$C$1:$C$806,C640,$D$1:$D$806,D640,$B$1:$B$806,"&lt;="&amp;B640)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>IF(F641="Ingreso",J641,-J641)</f>
        <v>-164160.82999999999</v>
      </c>
      <c r="L641" s="15" t="s">
        <v>129</v>
      </c>
      <c r="M641" s="44">
        <f>SUMIFS('Saldos Iniciales'!$D$2:$D$38,'Saldos Iniciales'!$A$2:$A$38,C641,'Saldos Iniciales'!$B$2:$B$38,D641)+SUMIFS($K$1:$K$806,$C$1:$C$806,C641,$D$1:$D$806,D641,$B$1:$B$806,"&lt;="&amp;B641)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>IF(F642="Ingreso",J642,-J642)</f>
        <v>17545.53</v>
      </c>
      <c r="L642" s="15" t="s">
        <v>129</v>
      </c>
      <c r="M642" s="44">
        <f>SUMIFS('Saldos Iniciales'!$D$2:$D$38,'Saldos Iniciales'!$A$2:$A$38,C642,'Saldos Iniciales'!$B$2:$B$38,D642)+SUMIFS($K$1:$K$806,$C$1:$C$806,C642,$D$1:$D$806,D642,$B$1:$B$806,"&lt;="&amp;B642)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>IF(F643="Ingreso",J643,-J643)</f>
        <v>1452.33</v>
      </c>
      <c r="L643" s="15" t="s">
        <v>129</v>
      </c>
      <c r="M643" s="44">
        <f>SUMIFS('Saldos Iniciales'!$D$2:$D$38,'Saldos Iniciales'!$A$2:$A$38,C643,'Saldos Iniciales'!$B$2:$B$38,D643)+SUMIFS($K$1:$K$806,$C$1:$C$806,C643,$D$1:$D$806,D643,$B$1:$B$806,"&lt;="&amp;B643)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>IF(F644="Ingreso",J644,-J644)</f>
        <v>7471.23</v>
      </c>
      <c r="L644" s="15" t="s">
        <v>129</v>
      </c>
      <c r="M644" s="44">
        <f>SUMIFS('Saldos Iniciales'!$D$2:$D$38,'Saldos Iniciales'!$A$2:$A$38,C644,'Saldos Iniciales'!$B$2:$B$38,D644)+SUMIFS($K$1:$K$806,$C$1:$C$806,C644,$D$1:$D$806,D644,$B$1:$B$806,"&lt;="&amp;B644)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>IF(F645="Ingreso",J645,-J645)</f>
        <v>7317.16</v>
      </c>
      <c r="L645" s="15" t="s">
        <v>129</v>
      </c>
      <c r="M645" s="44">
        <f>SUMIFS('Saldos Iniciales'!$D$2:$D$38,'Saldos Iniciales'!$A$2:$A$38,C645,'Saldos Iniciales'!$B$2:$B$38,D645)+SUMIFS($K$1:$K$806,$C$1:$C$806,C645,$D$1:$D$806,D645,$B$1:$B$806,"&lt;="&amp;B645)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>IF(F646="Ingreso",J646,-J646)</f>
        <v>2637.13</v>
      </c>
      <c r="L646" s="15" t="s">
        <v>129</v>
      </c>
      <c r="M646" s="44">
        <f>SUMIFS('Saldos Iniciales'!$D$2:$D$38,'Saldos Iniciales'!$A$2:$A$38,C646,'Saldos Iniciales'!$B$2:$B$38,D646)+SUMIFS($K$1:$K$806,$C$1:$C$806,C646,$D$1:$D$806,D646,$B$1:$B$806,"&lt;="&amp;B646)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>IF(F647="Ingreso",J647,-J647)</f>
        <v>-168.79</v>
      </c>
      <c r="L647" s="15" t="s">
        <v>129</v>
      </c>
      <c r="M647" s="44">
        <f>SUMIFS('Saldos Iniciales'!$D$2:$D$38,'Saldos Iniciales'!$A$2:$A$38,C647,'Saldos Iniciales'!$B$2:$B$38,D647)+SUMIFS($K$1:$K$806,$C$1:$C$806,C647,$D$1:$D$806,D647,$B$1:$B$806,"&lt;="&amp;B647)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>IF(F648="Ingreso",J648,-J648)</f>
        <v>-1300.76</v>
      </c>
      <c r="L648" s="15" t="s">
        <v>129</v>
      </c>
      <c r="M648" s="44">
        <f>SUMIFS('Saldos Iniciales'!$D$2:$D$38,'Saldos Iniciales'!$A$2:$A$38,C648,'Saldos Iniciales'!$B$2:$B$38,D648)+SUMIFS($K$1:$K$806,$C$1:$C$806,C648,$D$1:$D$806,D648,$B$1:$B$806,"&lt;="&amp;B648)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>IF(F649="Ingreso",J649,-J649)</f>
        <v>-132.08000000000001</v>
      </c>
      <c r="L649" s="15" t="s">
        <v>129</v>
      </c>
      <c r="M649" s="44">
        <f>SUMIFS('Saldos Iniciales'!$D$2:$D$38,'Saldos Iniciales'!$A$2:$A$38,C649,'Saldos Iniciales'!$B$2:$B$38,D649)+SUMIFS($K$1:$K$806,$C$1:$C$806,C649,$D$1:$D$806,D649,$B$1:$B$806,"&lt;="&amp;B649)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>IF(F650="Ingreso",J650,-J650)</f>
        <v>-22.68</v>
      </c>
      <c r="L650" s="15" t="s">
        <v>129</v>
      </c>
      <c r="M650" s="44">
        <f>SUMIFS('Saldos Iniciales'!$D$2:$D$38,'Saldos Iniciales'!$A$2:$A$38,C650,'Saldos Iniciales'!$B$2:$B$38,D650)+SUMIFS($K$1:$K$806,$C$1:$C$806,C650,$D$1:$D$806,D650,$B$1:$B$806,"&lt;="&amp;B650)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>IF(F651="Ingreso",J651,-J651)</f>
        <v>-3.25</v>
      </c>
      <c r="L651" s="15" t="s">
        <v>129</v>
      </c>
      <c r="M651" s="44">
        <f>SUMIFS('Saldos Iniciales'!$D$2:$D$38,'Saldos Iniciales'!$A$2:$A$38,C651,'Saldos Iniciales'!$B$2:$B$38,D651)+SUMIFS($K$1:$K$806,$C$1:$C$806,C651,$D$1:$D$806,D651,$B$1:$B$806,"&lt;="&amp;B651)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>IF(F652="Ingreso",J652,-J652)</f>
        <v>23791.439999999999</v>
      </c>
      <c r="L652" s="15" t="s">
        <v>129</v>
      </c>
      <c r="M652" s="44">
        <f>SUMIFS('Saldos Iniciales'!$D$2:$D$38,'Saldos Iniciales'!$A$2:$A$38,C652,'Saldos Iniciales'!$B$2:$B$38,D652)+SUMIFS($K$1:$K$806,$C$1:$C$806,C652,$D$1:$D$806,D652,$B$1:$B$806,"&lt;="&amp;B652)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>IF(F653="Ingreso",J653,-J653)</f>
        <v>129678.6</v>
      </c>
      <c r="L653" s="15" t="s">
        <v>129</v>
      </c>
      <c r="M653" s="44">
        <f>SUMIFS('Saldos Iniciales'!$D$2:$D$38,'Saldos Iniciales'!$A$2:$A$38,C653,'Saldos Iniciales'!$B$2:$B$38,D653)+SUMIFS($K$1:$K$806,$C$1:$C$806,C653,$D$1:$D$806,D653,$B$1:$B$806,"&lt;="&amp;B653)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>IF(F654="Ingreso",J654,-J654)</f>
        <v>71403.73</v>
      </c>
      <c r="L654" s="15" t="s">
        <v>129</v>
      </c>
      <c r="M654" s="44">
        <f>SUMIFS('Saldos Iniciales'!$D$2:$D$38,'Saldos Iniciales'!$A$2:$A$38,C654,'Saldos Iniciales'!$B$2:$B$38,D654)+SUMIFS($K$1:$K$806,$C$1:$C$806,C654,$D$1:$D$806,D654,$B$1:$B$806,"&lt;="&amp;B654)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>IF(F655="Ingreso",J655,-J655)</f>
        <v>-1270.43</v>
      </c>
      <c r="L655" s="15" t="s">
        <v>129</v>
      </c>
      <c r="M655" s="44">
        <f>SUMIFS('Saldos Iniciales'!$D$2:$D$38,'Saldos Iniciales'!$A$2:$A$38,C655,'Saldos Iniciales'!$B$2:$B$38,D655)+SUMIFS($K$1:$K$806,$C$1:$C$806,C655,$D$1:$D$806,D655,$B$1:$B$806,"&lt;="&amp;B655)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>IF(F656="Ingreso",J656,-J656)</f>
        <v>-0.33</v>
      </c>
      <c r="L656" s="15" t="s">
        <v>129</v>
      </c>
      <c r="M656" s="44">
        <f>SUMIFS('Saldos Iniciales'!$D$2:$D$38,'Saldos Iniciales'!$A$2:$A$38,C656,'Saldos Iniciales'!$B$2:$B$38,D656)+SUMIFS($K$1:$K$806,$C$1:$C$806,C656,$D$1:$D$806,D656,$B$1:$B$806,"&lt;="&amp;B656)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>IF(F657="Ingreso",J657,-J657)</f>
        <v>2000</v>
      </c>
      <c r="L657" s="15" t="s">
        <v>129</v>
      </c>
      <c r="M657" s="44">
        <f>SUMIFS('Saldos Iniciales'!$D$2:$D$38,'Saldos Iniciales'!$A$2:$A$38,C657,'Saldos Iniciales'!$B$2:$B$38,D657)+SUMIFS($K$1:$K$806,$C$1:$C$806,C657,$D$1:$D$806,D657,$B$1:$B$806,"&lt;="&amp;B657)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>IF(F658="Ingreso",J658,-J658)</f>
        <v>-694</v>
      </c>
      <c r="L658" s="15" t="s">
        <v>129</v>
      </c>
      <c r="M658" s="44">
        <f>SUMIFS('Saldos Iniciales'!$D$2:$D$38,'Saldos Iniciales'!$A$2:$A$38,C658,'Saldos Iniciales'!$B$2:$B$38,D658)+SUMIFS($K$1:$K$806,$C$1:$C$806,C658,$D$1:$D$806,D658,$B$1:$B$806,"&lt;="&amp;B658)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>IF(F659="Ingreso",J659,-J659)</f>
        <v>-1032.81</v>
      </c>
      <c r="L659" s="15" t="s">
        <v>129</v>
      </c>
      <c r="M659" s="44">
        <f>SUMIFS('Saldos Iniciales'!$D$2:$D$38,'Saldos Iniciales'!$A$2:$A$38,C659,'Saldos Iniciales'!$B$2:$B$38,D659)+SUMIFS($K$1:$K$806,$C$1:$C$806,C659,$D$1:$D$806,D659,$B$1:$B$806,"&lt;="&amp;B659)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>IF(F660="Ingreso",J660,-J660)</f>
        <v>-108.04</v>
      </c>
      <c r="L660" s="15" t="s">
        <v>129</v>
      </c>
      <c r="M660" s="44">
        <f>SUMIFS('Saldos Iniciales'!$D$2:$D$38,'Saldos Iniciales'!$A$2:$A$38,C660,'Saldos Iniciales'!$B$2:$B$38,D660)+SUMIFS($K$1:$K$806,$C$1:$C$806,C660,$D$1:$D$806,D660,$B$1:$B$806,"&lt;="&amp;B660)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>IF(F661="Ingreso",J661,-J661)</f>
        <v>-2000</v>
      </c>
      <c r="L661" s="15" t="s">
        <v>129</v>
      </c>
      <c r="M661" s="44">
        <f>SUMIFS('Saldos Iniciales'!$D$2:$D$38,'Saldos Iniciales'!$A$2:$A$38,C661,'Saldos Iniciales'!$B$2:$B$38,D661)+SUMIFS($K$1:$K$806,$C$1:$C$806,C661,$D$1:$D$806,D661,$B$1:$B$806,"&lt;="&amp;B661)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>IF(F662="Ingreso",J662,-J662)</f>
        <v>-1000</v>
      </c>
      <c r="L662" s="15" t="s">
        <v>129</v>
      </c>
      <c r="M662" s="44">
        <f>SUMIFS('Saldos Iniciales'!$D$2:$D$38,'Saldos Iniciales'!$A$2:$A$38,C662,'Saldos Iniciales'!$B$2:$B$38,D662)+SUMIFS($K$1:$K$806,$C$1:$C$806,C662,$D$1:$D$806,D662,$B$1:$B$806,"&lt;="&amp;B662)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1000</v>
      </c>
      <c r="L663" s="15" t="s">
        <v>129</v>
      </c>
      <c r="M663" s="44">
        <f>SUMIFS('Saldos Iniciales'!$D$2:$D$38,'Saldos Iniciales'!$A$2:$A$38,C663,'Saldos Iniciales'!$B$2:$B$38,D663)+SUMIFS($K$1:$K$806,$C$1:$C$806,C663,$D$1:$D$806,D663,$B$1:$B$806,"&lt;="&amp;B663)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>IF(F664="Ingreso",J664,-J664)</f>
        <v>-1707.52</v>
      </c>
      <c r="L664" s="15" t="s">
        <v>129</v>
      </c>
      <c r="M664" s="44">
        <f>SUMIFS('Saldos Iniciales'!$D$2:$D$38,'Saldos Iniciales'!$A$2:$A$38,C664,'Saldos Iniciales'!$B$2:$B$38,D664)+SUMIFS($K$1:$K$806,$C$1:$C$806,C664,$D$1:$D$806,D664,$B$1:$B$806,"&lt;="&amp;B664)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>IF(F665="Ingreso",J665,-J665)</f>
        <v>-611.1</v>
      </c>
      <c r="L665" s="15" t="s">
        <v>129</v>
      </c>
      <c r="M665" s="44">
        <f>SUMIFS('Saldos Iniciales'!$D$2:$D$38,'Saldos Iniciales'!$A$2:$A$38,C665,'Saldos Iniciales'!$B$2:$B$38,D665)+SUMIFS($K$1:$K$806,$C$1:$C$806,C665,$D$1:$D$806,D665,$B$1:$B$806,"&lt;="&amp;B665)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>IF(F666="Ingreso",J666,-J666)</f>
        <v>2426.71</v>
      </c>
      <c r="L666" s="15" t="s">
        <v>129</v>
      </c>
      <c r="M666" s="44">
        <f>SUMIFS('Saldos Iniciales'!$D$2:$D$38,'Saldos Iniciales'!$A$2:$A$38,C666,'Saldos Iniciales'!$B$2:$B$38,D666)+SUMIFS($K$1:$K$806,$C$1:$C$806,C666,$D$1:$D$806,D666,$B$1:$B$806,"&lt;="&amp;B666)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>IF(F667="Ingreso",J667,-J667)</f>
        <v>-345943.44</v>
      </c>
      <c r="L667" s="15" t="s">
        <v>129</v>
      </c>
      <c r="M667" s="44">
        <f>SUMIFS('Saldos Iniciales'!$D$2:$D$38,'Saldos Iniciales'!$A$2:$A$38,C667,'Saldos Iniciales'!$B$2:$B$38,D667)+SUMIFS($K$1:$K$806,$C$1:$C$806,C667,$D$1:$D$806,D667,$B$1:$B$806,"&lt;="&amp;B667)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>IF(F668="Ingreso",J668,-J668)</f>
        <v>-29.95</v>
      </c>
      <c r="L668" s="15" t="s">
        <v>132</v>
      </c>
      <c r="M668" s="44">
        <f>SUMIFS('Saldos Iniciales'!$D$2:$D$38,'Saldos Iniciales'!$A$2:$A$38,C668,'Saldos Iniciales'!$B$2:$B$38,D668)+SUMIFS($K$1:$K$806,$C$1:$C$806,C668,$D$1:$D$806,D668,$B$1:$B$806,"&lt;="&amp;B668)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Iniciales'!$B$2:$B$38,D669)+SUMIFS($K$1:$K$806,$C$1:$C$806,C669,$D$1:$D$806,D669,$B$1:$B$806,"&lt;="&amp;B669)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>IF(F670="Ingreso",J670,-J670)</f>
        <v>-16</v>
      </c>
      <c r="L670" s="15" t="s">
        <v>132</v>
      </c>
      <c r="M670" s="44">
        <f>SUMIFS('Saldos Iniciales'!$D$2:$D$38,'Saldos Iniciales'!$A$2:$A$38,C670,'Saldos Iniciales'!$B$2:$B$38,D670)+SUMIFS($K$1:$K$806,$C$1:$C$806,C670,$D$1:$D$806,D670,$B$1:$B$806,"&lt;="&amp;B670)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>IF(F671="Ingreso",J671,-J671)</f>
        <v>-8533.33</v>
      </c>
      <c r="L671" s="15" t="s">
        <v>132</v>
      </c>
      <c r="M671" s="44">
        <f>SUMIFS('Saldos Iniciales'!$D$2:$D$38,'Saldos Iniciales'!$A$2:$A$38,C671,'Saldos Iniciales'!$B$2:$B$38,D671)+SUMIFS($K$1:$K$806,$C$1:$C$806,C671,$D$1:$D$806,D671,$B$1:$B$806,"&lt;="&amp;B671)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>IF(F672="Ingreso",J672,-J672)</f>
        <v>-10</v>
      </c>
      <c r="L672" s="15" t="s">
        <v>132</v>
      </c>
      <c r="M672" s="44">
        <f>SUMIFS('Saldos Iniciales'!$D$2:$D$38,'Saldos Iniciales'!$A$2:$A$38,C672,'Saldos Iniciales'!$B$2:$B$38,D672)+SUMIFS($K$1:$K$806,$C$1:$C$806,C672,$D$1:$D$806,D672,$B$1:$B$806,"&lt;="&amp;B672)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>IF(F673="Ingreso",J673,-J673)</f>
        <v>-9798.6299999999992</v>
      </c>
      <c r="L673" s="15" t="s">
        <v>132</v>
      </c>
      <c r="M673" s="44">
        <f>SUMIFS('Saldos Iniciales'!$D$2:$D$38,'Saldos Iniciales'!$A$2:$A$38,C673,'Saldos Iniciales'!$B$2:$B$38,D673)+SUMIFS($K$1:$K$806,$C$1:$C$806,C673,$D$1:$D$806,D673,$B$1:$B$806,"&lt;="&amp;B673)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>IF(F674="Ingreso",J674,-J674)</f>
        <v>-1900</v>
      </c>
      <c r="L674" s="15" t="s">
        <v>132</v>
      </c>
      <c r="M674" s="44">
        <f>SUMIFS('Saldos Iniciales'!$D$2:$D$38,'Saldos Iniciales'!$A$2:$A$38,C674,'Saldos Iniciales'!$B$2:$B$38,D674)+SUMIFS($K$1:$K$806,$C$1:$C$806,C674,$D$1:$D$806,D674,$B$1:$B$806,"&lt;="&amp;B674)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>IF(F675="Ingreso",J675,-J675)</f>
        <v>-240</v>
      </c>
      <c r="L675" s="15" t="s">
        <v>132</v>
      </c>
      <c r="M675" s="44">
        <f>SUMIFS('Saldos Iniciales'!$D$2:$D$38,'Saldos Iniciales'!$A$2:$A$38,C675,'Saldos Iniciales'!$B$2:$B$38,D675)+SUMIFS($K$1:$K$806,$C$1:$C$806,C675,$D$1:$D$806,D675,$B$1:$B$806,"&lt;="&amp;B675)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>IF(F676="Ingreso",J676,-J676)</f>
        <v>-100</v>
      </c>
      <c r="L676" s="15" t="s">
        <v>132</v>
      </c>
      <c r="M676" s="44">
        <f>SUMIFS('Saldos Iniciales'!$D$2:$D$38,'Saldos Iniciales'!$A$2:$A$38,C676,'Saldos Iniciales'!$B$2:$B$38,D676)+SUMIFS($K$1:$K$806,$C$1:$C$806,C676,$D$1:$D$806,D676,$B$1:$B$806,"&lt;="&amp;B676)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>IF(F677="Ingreso",J677,-J677)</f>
        <v>-220</v>
      </c>
      <c r="L677" s="15" t="s">
        <v>132</v>
      </c>
      <c r="M677" s="44">
        <f>SUMIFS('Saldos Iniciales'!$D$2:$D$38,'Saldos Iniciales'!$A$2:$A$38,C677,'Saldos Iniciales'!$B$2:$B$38,D677)+SUMIFS($K$1:$K$806,$C$1:$C$806,C677,$D$1:$D$806,D677,$B$1:$B$806,"&lt;="&amp;B677)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Iniciales'!$D$2:$D$38,'Saldos Iniciales'!$A$2:$A$38,C678,'Saldos Iniciales'!$B$2:$B$38,D678)+SUMIFS($K$1:$K$806,$C$1:$C$806,C678,$D$1:$D$806,D678,$B$1:$B$806,"&lt;="&amp;B678)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Iniciales'!$B$2:$B$38,D679)+SUMIFS($K$1:$K$806,$C$1:$C$806,C679,$D$1:$D$806,D679,$B$1:$B$806,"&lt;="&amp;B679)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>IF(F680="Ingreso",J680,-J680)</f>
        <v>-295</v>
      </c>
      <c r="L680" s="15" t="s">
        <v>132</v>
      </c>
      <c r="M680" s="44">
        <f>SUMIFS('Saldos Iniciales'!$D$2:$D$38,'Saldos Iniciales'!$A$2:$A$38,C680,'Saldos Iniciales'!$B$2:$B$38,D680)+SUMIFS($K$1:$K$806,$C$1:$C$806,C680,$D$1:$D$806,D680,$B$1:$B$806,"&lt;="&amp;B680)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>IF(F681="Ingreso",J681,-J681)</f>
        <v>-395</v>
      </c>
      <c r="L681" s="15" t="s">
        <v>132</v>
      </c>
      <c r="M681" s="44">
        <f>SUMIFS('Saldos Iniciales'!$D$2:$D$38,'Saldos Iniciales'!$A$2:$A$38,C681,'Saldos Iniciales'!$B$2:$B$38,D681)+SUMIFS($K$1:$K$806,$C$1:$C$806,C681,$D$1:$D$806,D681,$B$1:$B$806,"&lt;="&amp;B681)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>IF(F682="Ingreso",J682,-J682)</f>
        <v>-1086.42</v>
      </c>
      <c r="L682" s="15" t="s">
        <v>132</v>
      </c>
      <c r="M682" s="44">
        <f>SUMIFS('Saldos Iniciales'!$D$2:$D$38,'Saldos Iniciales'!$A$2:$A$38,C682,'Saldos Iniciales'!$B$2:$B$38,D682)+SUMIFS($K$1:$K$806,$C$1:$C$806,C682,$D$1:$D$806,D682,$B$1:$B$806,"&lt;="&amp;B682)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>IF(F683="Ingreso",J683,-J683)</f>
        <v>-8773.0400000000009</v>
      </c>
      <c r="L683" s="15" t="s">
        <v>132</v>
      </c>
      <c r="M683" s="44">
        <f>SUMIFS('Saldos Iniciales'!$D$2:$D$38,'Saldos Iniciales'!$A$2:$A$38,C683,'Saldos Iniciales'!$B$2:$B$38,D683)+SUMIFS($K$1:$K$806,$C$1:$C$806,C683,$D$1:$D$806,D683,$B$1:$B$806,"&lt;="&amp;B683)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Iniciales'!$D$2:$D$38,'Saldos Iniciales'!$A$2:$A$38,C684,'Saldos Iniciales'!$B$2:$B$38,D684)+SUMIFS($K$1:$K$806,$C$1:$C$806,C684,$D$1:$D$806,D684,$B$1:$B$806,"&lt;="&amp;B684)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Iniciales'!$D$2:$D$38,'Saldos Iniciales'!$A$2:$A$38,C685,'Saldos Iniciales'!$B$2:$B$38,D685)+SUMIFS($K$1:$K$806,$C$1:$C$806,C685,$D$1:$D$806,D685,$B$1:$B$806,"&lt;="&amp;B685)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Iniciales'!$B$2:$B$38,D686)+SUMIFS($K$1:$K$806,$C$1:$C$806,C686,$D$1:$D$806,D686,$B$1:$B$806,"&lt;="&amp;B686)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>IF(F687="Ingreso",J687,-J687)</f>
        <v>-6000</v>
      </c>
      <c r="L687" s="15" t="s">
        <v>132</v>
      </c>
      <c r="M687" s="44">
        <f>SUMIFS('Saldos Iniciales'!$D$2:$D$38,'Saldos Iniciales'!$A$2:$A$38,C687,'Saldos Iniciales'!$B$2:$B$38,D687)+SUMIFS($K$1:$K$806,$C$1:$C$806,C687,$D$1:$D$806,D687,$B$1:$B$806,"&lt;="&amp;B687)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>IF(F688="Ingreso",J688,-J688)</f>
        <v>-390.93</v>
      </c>
      <c r="L688" s="15" t="s">
        <v>132</v>
      </c>
      <c r="M688" s="44">
        <f>SUMIFS('Saldos Iniciales'!$D$2:$D$38,'Saldos Iniciales'!$A$2:$A$38,C688,'Saldos Iniciales'!$B$2:$B$38,D688)+SUMIFS($K$1:$K$806,$C$1:$C$806,C688,$D$1:$D$806,D688,$B$1:$B$806,"&lt;="&amp;B688)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>IF(F689="Ingreso",J689,-J689)</f>
        <v>4000</v>
      </c>
      <c r="L689" s="15" t="s">
        <v>132</v>
      </c>
      <c r="M689" s="44">
        <f>SUMIFS('Saldos Iniciales'!$D$2:$D$38,'Saldos Iniciales'!$A$2:$A$38,C689,'Saldos Iniciales'!$B$2:$B$38,D689)+SUMIFS($K$1:$K$806,$C$1:$C$806,C689,$D$1:$D$806,D689,$B$1:$B$806,"&lt;="&amp;B689)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>IF(F690="Ingreso",J690,-J690)</f>
        <v>2000</v>
      </c>
      <c r="L690" s="15" t="s">
        <v>132</v>
      </c>
      <c r="M690" s="44">
        <f>SUMIFS('Saldos Iniciales'!$D$2:$D$38,'Saldos Iniciales'!$A$2:$A$38,C690,'Saldos Iniciales'!$B$2:$B$38,D690)+SUMIFS($K$1:$K$806,$C$1:$C$806,C690,$D$1:$D$806,D690,$B$1:$B$806,"&lt;="&amp;B690)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>IF(F691="Ingreso",J691,-J691)</f>
        <v>-7679.78</v>
      </c>
      <c r="L691" s="15" t="s">
        <v>132</v>
      </c>
      <c r="M691" s="44">
        <f>SUMIFS('Saldos Iniciales'!$D$2:$D$38,'Saldos Iniciales'!$A$2:$A$38,C691,'Saldos Iniciales'!$B$2:$B$38,D691)+SUMIFS($K$1:$K$806,$C$1:$C$806,C691,$D$1:$D$806,D691,$B$1:$B$806,"&lt;="&amp;B691)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>IF(F692="Ingreso",J692,-J692)</f>
        <v>-4000</v>
      </c>
      <c r="L692" s="15" t="s">
        <v>132</v>
      </c>
      <c r="M692" s="44">
        <f>SUMIFS('Saldos Iniciales'!$D$2:$D$38,'Saldos Iniciales'!$A$2:$A$38,C692,'Saldos Iniciales'!$B$2:$B$38,D692)+SUMIFS($K$1:$K$806,$C$1:$C$806,C692,$D$1:$D$806,D692,$B$1:$B$806,"&lt;="&amp;B692)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Iniciales'!$B$2:$B$38,D693)+SUMIFS($K$1:$K$806,$C$1:$C$806,C693,$D$1:$D$806,D693,$B$1:$B$806,"&lt;="&amp;B693)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>IF(F694="Ingreso",J694,-J694)</f>
        <v>20000</v>
      </c>
      <c r="L694" s="15" t="s">
        <v>132</v>
      </c>
      <c r="M694" s="44">
        <f>SUMIFS('Saldos Iniciales'!$D$2:$D$38,'Saldos Iniciales'!$A$2:$A$38,C694,'Saldos Iniciales'!$B$2:$B$38,D694)+SUMIFS($K$1:$K$806,$C$1:$C$806,C694,$D$1:$D$806,D694,$B$1:$B$806,"&lt;="&amp;B694)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>IF(F695="Ingreso",J695,-J695)</f>
        <v>9280.15</v>
      </c>
      <c r="L695" s="15" t="s">
        <v>132</v>
      </c>
      <c r="M695" s="44">
        <f>SUMIFS('Saldos Iniciales'!$D$2:$D$38,'Saldos Iniciales'!$A$2:$A$38,C695,'Saldos Iniciales'!$B$2:$B$38,D695)+SUMIFS($K$1:$K$806,$C$1:$C$806,C695,$D$1:$D$806,D695,$B$1:$B$806,"&lt;="&amp;B695)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>IF(F696="Ingreso",J696,-J696)</f>
        <v>-60000</v>
      </c>
      <c r="L696" s="15" t="s">
        <v>132</v>
      </c>
      <c r="M696" s="44">
        <f>SUMIFS('Saldos Iniciales'!$D$2:$D$38,'Saldos Iniciales'!$A$2:$A$38,C696,'Saldos Iniciales'!$B$2:$B$38,D696)+SUMIFS($K$1:$K$806,$C$1:$C$806,C696,$D$1:$D$806,D696,$B$1:$B$806,"&lt;="&amp;B696)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>IF(F697="Ingreso",J697,-J697)</f>
        <v>-9280.15</v>
      </c>
      <c r="L697" s="15" t="s">
        <v>132</v>
      </c>
      <c r="M697" s="44">
        <f>SUMIFS('Saldos Iniciales'!$D$2:$D$38,'Saldos Iniciales'!$A$2:$A$38,C697,'Saldos Iniciales'!$B$2:$B$38,D697)+SUMIFS($K$1:$K$806,$C$1:$C$806,C697,$D$1:$D$806,D697,$B$1:$B$806,"&lt;="&amp;B697)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>IF(F698="Ingreso",J698,-J698)</f>
        <v>-33693.949999999997</v>
      </c>
      <c r="L698" s="15" t="s">
        <v>132</v>
      </c>
      <c r="M698" s="44">
        <f>SUMIFS('Saldos Iniciales'!$D$2:$D$38,'Saldos Iniciales'!$A$2:$A$38,C698,'Saldos Iniciales'!$B$2:$B$38,D698)+SUMIFS($K$1:$K$806,$C$1:$C$806,C698,$D$1:$D$806,D698,$B$1:$B$806,"&lt;="&amp;B698)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>IF(F699="Ingreso",J699,-J699)</f>
        <v>-2975</v>
      </c>
      <c r="L699" s="15" t="s">
        <v>132</v>
      </c>
      <c r="M699" s="44">
        <f>SUMIFS('Saldos Iniciales'!$D$2:$D$38,'Saldos Iniciales'!$A$2:$A$38,C699,'Saldos Iniciales'!$B$2:$B$38,D699)+SUMIFS($K$1:$K$806,$C$1:$C$806,C699,$D$1:$D$806,D699,$B$1:$B$806,"&lt;="&amp;B699)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>IF(F700="Ingreso",J700,-J700)</f>
        <v>-11666.67</v>
      </c>
      <c r="L700" s="15" t="s">
        <v>132</v>
      </c>
      <c r="M700" s="44">
        <f>SUMIFS('Saldos Iniciales'!$D$2:$D$38,'Saldos Iniciales'!$A$2:$A$38,C700,'Saldos Iniciales'!$B$2:$B$38,D700)+SUMIFS($K$1:$K$806,$C$1:$C$806,C700,$D$1:$D$806,D700,$B$1:$B$806,"&lt;="&amp;B700)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>IF(F701="Ingreso",J701,-J701)</f>
        <v>-45000</v>
      </c>
      <c r="L701" s="15" t="s">
        <v>132</v>
      </c>
      <c r="M701" s="44">
        <f>SUMIFS('Saldos Iniciales'!$D$2:$D$38,'Saldos Iniciales'!$A$2:$A$38,C701,'Saldos Iniciales'!$B$2:$B$38,D701)+SUMIFS($K$1:$K$806,$C$1:$C$806,C701,$D$1:$D$806,D701,$B$1:$B$806,"&lt;="&amp;B701)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>IF(F702="Ingreso",J702,-J702)</f>
        <v>-75000</v>
      </c>
      <c r="L702" s="15" t="s">
        <v>132</v>
      </c>
      <c r="M702" s="44">
        <f>SUMIFS('Saldos Iniciales'!$D$2:$D$38,'Saldos Iniciales'!$A$2:$A$38,C702,'Saldos Iniciales'!$B$2:$B$38,D702)+SUMIFS($K$1:$K$806,$C$1:$C$806,C702,$D$1:$D$806,D702,$B$1:$B$806,"&lt;="&amp;B702)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>IF(F703="Ingreso",J703,-J703)</f>
        <v>-80000</v>
      </c>
      <c r="L703" s="15" t="s">
        <v>132</v>
      </c>
      <c r="M703" s="44">
        <f>SUMIFS('Saldos Iniciales'!$D$2:$D$38,'Saldos Iniciales'!$A$2:$A$38,C703,'Saldos Iniciales'!$B$2:$B$38,D703)+SUMIFS($K$1:$K$806,$C$1:$C$806,C703,$D$1:$D$806,D703,$B$1:$B$806,"&lt;="&amp;B703)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>IF(F704="Ingreso",J704,-J704)</f>
        <v>-100000</v>
      </c>
      <c r="L704" s="15" t="s">
        <v>132</v>
      </c>
      <c r="M704" s="44">
        <f>SUMIFS('Saldos Iniciales'!$D$2:$D$38,'Saldos Iniciales'!$A$2:$A$38,C704,'Saldos Iniciales'!$B$2:$B$38,D704)+SUMIFS($K$1:$K$806,$C$1:$C$806,C704,$D$1:$D$806,D704,$B$1:$B$806,"&lt;="&amp;B704)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>IF(F705="Ingreso",J705,-J705)</f>
        <v>-100000</v>
      </c>
      <c r="L705" s="15" t="s">
        <v>132</v>
      </c>
      <c r="M705" s="44">
        <f>SUMIFS('Saldos Iniciales'!$D$2:$D$38,'Saldos Iniciales'!$A$2:$A$38,C705,'Saldos Iniciales'!$B$2:$B$38,D705)+SUMIFS($K$1:$K$806,$C$1:$C$806,C705,$D$1:$D$806,D705,$B$1:$B$806,"&lt;="&amp;B705)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Iniciales'!$D$2:$D$38,'Saldos Iniciales'!$A$2:$A$38,C706,'Saldos Iniciales'!$B$2:$B$38,D706)+SUMIFS($K$1:$K$806,$C$1:$C$806,C706,$D$1:$D$806,D706,$B$1:$B$806,"&lt;="&amp;B706)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>IF(F707="Ingreso",J707,-J707)</f>
        <v>-200000</v>
      </c>
      <c r="L707" s="15" t="s">
        <v>132</v>
      </c>
      <c r="M707" s="44">
        <f>SUMIFS('Saldos Iniciales'!$D$2:$D$38,'Saldos Iniciales'!$A$2:$A$38,C707,'Saldos Iniciales'!$B$2:$B$38,D707)+SUMIFS($K$1:$K$806,$C$1:$C$806,C707,$D$1:$D$806,D707,$B$1:$B$806,"&lt;="&amp;B707)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>IF(F708="Ingreso",J708,-J708)</f>
        <v>-600000</v>
      </c>
      <c r="L708" s="15" t="s">
        <v>132</v>
      </c>
      <c r="M708" s="44">
        <f>SUMIFS('Saldos Iniciales'!$D$2:$D$38,'Saldos Iniciales'!$A$2:$A$38,C708,'Saldos Iniciales'!$B$2:$B$38,D708)+SUMIFS($K$1:$K$806,$C$1:$C$806,C708,$D$1:$D$806,D708,$B$1:$B$806,"&lt;="&amp;B708)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>IF(F709="Ingreso",J709,-J709)</f>
        <v>-13000</v>
      </c>
      <c r="L709" s="15" t="s">
        <v>132</v>
      </c>
      <c r="M709" s="44">
        <f>SUMIFS('Saldos Iniciales'!$D$2:$D$38,'Saldos Iniciales'!$A$2:$A$38,C709,'Saldos Iniciales'!$B$2:$B$38,D709)+SUMIFS($K$1:$K$806,$C$1:$C$806,C709,$D$1:$D$806,D709,$B$1:$B$806,"&lt;="&amp;B709)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>IF(F710="Ingreso",J710,-J710)</f>
        <v>600000</v>
      </c>
      <c r="L710" s="15" t="s">
        <v>132</v>
      </c>
      <c r="M710" s="44">
        <f>SUMIFS('Saldos Iniciales'!$D$2:$D$38,'Saldos Iniciales'!$A$2:$A$38,C710,'Saldos Iniciales'!$B$2:$B$38,D710)+SUMIFS($K$1:$K$806,$C$1:$C$806,C710,$D$1:$D$806,D710,$B$1:$B$806,"&lt;="&amp;B710)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>IF(F711="Ingreso",J711,-J711)</f>
        <v>-385</v>
      </c>
      <c r="L711" s="15" t="s">
        <v>132</v>
      </c>
      <c r="M711" s="44">
        <f>SUMIFS('Saldos Iniciales'!$D$2:$D$38,'Saldos Iniciales'!$A$2:$A$38,C711,'Saldos Iniciales'!$B$2:$B$38,D711)+SUMIFS($K$1:$K$806,$C$1:$C$806,C711,$D$1:$D$806,D711,$B$1:$B$806,"&lt;="&amp;B711)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>IF(F712="Ingreso",J712,-J712)</f>
        <v>-4375</v>
      </c>
      <c r="L712" s="15" t="s">
        <v>132</v>
      </c>
      <c r="M712" s="44">
        <f>SUMIFS('Saldos Iniciales'!$D$2:$D$38,'Saldos Iniciales'!$A$2:$A$38,C712,'Saldos Iniciales'!$B$2:$B$38,D712)+SUMIFS($K$1:$K$806,$C$1:$C$806,C712,$D$1:$D$806,D712,$B$1:$B$806,"&lt;="&amp;B712)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>IF(F713="Ingreso",J713,-J713)</f>
        <v>-14634</v>
      </c>
      <c r="L713" s="15" t="s">
        <v>132</v>
      </c>
      <c r="M713" s="44">
        <f>SUMIFS('Saldos Iniciales'!$D$2:$D$38,'Saldos Iniciales'!$A$2:$A$38,C713,'Saldos Iniciales'!$B$2:$B$38,D713)+SUMIFS($K$1:$K$806,$C$1:$C$806,C713,$D$1:$D$806,D713,$B$1:$B$806,"&lt;="&amp;B713)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>IF(F714="Ingreso",J714,-J714)</f>
        <v>-20000</v>
      </c>
      <c r="L714" s="15" t="s">
        <v>132</v>
      </c>
      <c r="M714" s="44">
        <f>SUMIFS('Saldos Iniciales'!$D$2:$D$38,'Saldos Iniciales'!$A$2:$A$38,C714,'Saldos Iniciales'!$B$2:$B$38,D714)+SUMIFS($K$1:$K$806,$C$1:$C$806,C714,$D$1:$D$806,D714,$B$1:$B$806,"&lt;="&amp;B714)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>IF(F715="Ingreso",J715,-J715)</f>
        <v>13000</v>
      </c>
      <c r="L715" s="15" t="s">
        <v>132</v>
      </c>
      <c r="M715" s="44">
        <f>SUMIFS('Saldos Iniciales'!$D$2:$D$38,'Saldos Iniciales'!$A$2:$A$38,C715,'Saldos Iniciales'!$B$2:$B$38,D715)+SUMIFS($K$1:$K$806,$C$1:$C$806,C715,$D$1:$D$806,D715,$B$1:$B$806,"&lt;="&amp;B715)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>IF(F716="Ingreso",J716,-J716)</f>
        <v>-13000</v>
      </c>
      <c r="L716" s="15" t="s">
        <v>132</v>
      </c>
      <c r="M716" s="44">
        <f>SUMIFS('Saldos Iniciales'!$D$2:$D$38,'Saldos Iniciales'!$A$2:$A$38,C716,'Saldos Iniciales'!$B$2:$B$38,D716)+SUMIFS($K$1:$K$806,$C$1:$C$806,C716,$D$1:$D$806,D716,$B$1:$B$806,"&lt;="&amp;B716)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>IF(F717="Ingreso",J717,-J717)</f>
        <v>13000</v>
      </c>
      <c r="L717" s="15" t="s">
        <v>132</v>
      </c>
      <c r="M717" s="44">
        <f>SUMIFS('Saldos Iniciales'!$D$2:$D$38,'Saldos Iniciales'!$A$2:$A$38,C717,'Saldos Iniciales'!$B$2:$B$38,D717)+SUMIFS($K$1:$K$806,$C$1:$C$806,C717,$D$1:$D$806,D717,$B$1:$B$806,"&lt;="&amp;B717)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>IF(F718="Ingreso",J718,-J718)</f>
        <v>-15</v>
      </c>
      <c r="L718" s="15" t="s">
        <v>132</v>
      </c>
      <c r="M718" s="44">
        <f>SUMIFS('Saldos Iniciales'!$D$2:$D$38,'Saldos Iniciales'!$A$2:$A$38,C718,'Saldos Iniciales'!$B$2:$B$38,D718)+SUMIFS($K$1:$K$806,$C$1:$C$806,C718,$D$1:$D$806,D718,$B$1:$B$806,"&lt;="&amp;B718)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>IF(F719="Ingreso",J719,-J719)</f>
        <v>-2413.56</v>
      </c>
      <c r="L719" s="15" t="s">
        <v>132</v>
      </c>
      <c r="M719" s="44">
        <f>SUMIFS('Saldos Iniciales'!$D$2:$D$38,'Saldos Iniciales'!$A$2:$A$38,C719,'Saldos Iniciales'!$B$2:$B$38,D719)+SUMIFS($K$1:$K$806,$C$1:$C$806,C719,$D$1:$D$806,D719,$B$1:$B$806,"&lt;="&amp;B719)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>IF(F720="Ingreso",J720,-J720)</f>
        <v>-15</v>
      </c>
      <c r="L720" s="15" t="s">
        <v>132</v>
      </c>
      <c r="M720" s="44">
        <f>SUMIFS('Saldos Iniciales'!$D$2:$D$38,'Saldos Iniciales'!$A$2:$A$38,C720,'Saldos Iniciales'!$B$2:$B$38,D720)+SUMIFS($K$1:$K$806,$C$1:$C$806,C720,$D$1:$D$806,D720,$B$1:$B$806,"&lt;="&amp;B720)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>IF(F721="Ingreso",J721,-J721)</f>
        <v>-5950.82</v>
      </c>
      <c r="L721" s="15" t="s">
        <v>132</v>
      </c>
      <c r="M721" s="44">
        <f>SUMIFS('Saldos Iniciales'!$D$2:$D$38,'Saldos Iniciales'!$A$2:$A$38,C721,'Saldos Iniciales'!$B$2:$B$38,D721)+SUMIFS($K$1:$K$806,$C$1:$C$806,C721,$D$1:$D$806,D721,$B$1:$B$806,"&lt;="&amp;B721)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>IF(F722="Ingreso",J722,-J722)</f>
        <v>-15</v>
      </c>
      <c r="L722" s="15" t="s">
        <v>132</v>
      </c>
      <c r="M722" s="44">
        <f>SUMIFS('Saldos Iniciales'!$D$2:$D$38,'Saldos Iniciales'!$A$2:$A$38,C722,'Saldos Iniciales'!$B$2:$B$38,D722)+SUMIFS($K$1:$K$806,$C$1:$C$806,C722,$D$1:$D$806,D722,$B$1:$B$806,"&lt;="&amp;B722)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Iniciales'!$B$2:$B$38,D723)+SUMIFS($K$1:$K$806,$C$1:$C$806,C723,$D$1:$D$806,D723,$B$1:$B$806,"&lt;="&amp;B723)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>IF(F724="Ingreso",J724,-J724)</f>
        <v>42.5</v>
      </c>
      <c r="L724" s="15" t="s">
        <v>132</v>
      </c>
      <c r="M724" s="44">
        <f>SUMIFS('Saldos Iniciales'!$D$2:$D$38,'Saldos Iniciales'!$A$2:$A$38,C724,'Saldos Iniciales'!$B$2:$B$38,D724)+SUMIFS($K$1:$K$806,$C$1:$C$806,C724,$D$1:$D$806,D724,$B$1:$B$806,"&lt;="&amp;B724)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>IF(F725="Ingreso",J725,-J725)</f>
        <v>-205</v>
      </c>
      <c r="L725" s="15" t="s">
        <v>132</v>
      </c>
      <c r="M725" s="44">
        <f>SUMIFS('Saldos Iniciales'!$D$2:$D$38,'Saldos Iniciales'!$A$2:$A$38,C725,'Saldos Iniciales'!$B$2:$B$38,D725)+SUMIFS($K$1:$K$806,$C$1:$C$806,C725,$D$1:$D$806,D725,$B$1:$B$806,"&lt;="&amp;B725)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>IF(F726="Ingreso",J726,-J726)</f>
        <v>-2445</v>
      </c>
      <c r="L726" s="15" t="s">
        <v>132</v>
      </c>
      <c r="M726" s="44">
        <f>SUMIFS('Saldos Iniciales'!$D$2:$D$38,'Saldos Iniciales'!$A$2:$A$38,C726,'Saldos Iniciales'!$B$2:$B$38,D726)+SUMIFS($K$1:$K$806,$C$1:$C$806,C726,$D$1:$D$806,D726,$B$1:$B$806,"&lt;="&amp;B726)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>IF(F727="Ingreso",J727,-J727)</f>
        <v>5000</v>
      </c>
      <c r="L727" s="15" t="s">
        <v>132</v>
      </c>
      <c r="M727" s="44">
        <f>SUMIFS('Saldos Iniciales'!$D$2:$D$38,'Saldos Iniciales'!$A$2:$A$38,C727,'Saldos Iniciales'!$B$2:$B$38,D727)+SUMIFS($K$1:$K$806,$C$1:$C$806,C727,$D$1:$D$806,D727,$B$1:$B$806,"&lt;="&amp;B727)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>IF(F728="Ingreso",J728,-J728)</f>
        <v>-1291.6500000000001</v>
      </c>
      <c r="L728" s="15" t="s">
        <v>132</v>
      </c>
      <c r="M728" s="44">
        <f>SUMIFS('Saldos Iniciales'!$D$2:$D$38,'Saldos Iniciales'!$A$2:$A$38,C728,'Saldos Iniciales'!$B$2:$B$38,D728)+SUMIFS($K$1:$K$806,$C$1:$C$806,C728,$D$1:$D$806,D728,$B$1:$B$806,"&lt;="&amp;B728)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>IF(F729="Ingreso",J729,-J729)</f>
        <v>106686.57</v>
      </c>
      <c r="L729" s="15" t="s">
        <v>132</v>
      </c>
      <c r="M729" s="44">
        <f>SUMIFS('Saldos Iniciales'!$D$2:$D$38,'Saldos Iniciales'!$A$2:$A$38,C729,'Saldos Iniciales'!$B$2:$B$38,D729)+SUMIFS($K$1:$K$806,$C$1:$C$806,C729,$D$1:$D$806,D729,$B$1:$B$806,"&lt;="&amp;B729)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>IF(F730="Ingreso",J730,-J730)</f>
        <v>-1050</v>
      </c>
      <c r="L730" s="15" t="s">
        <v>132</v>
      </c>
      <c r="M730" s="44">
        <f>SUMIFS('Saldos Iniciales'!$D$2:$D$38,'Saldos Iniciales'!$A$2:$A$38,C730,'Saldos Iniciales'!$B$2:$B$38,D730)+SUMIFS($K$1:$K$806,$C$1:$C$806,C730,$D$1:$D$806,D730,$B$1:$B$806,"&lt;="&amp;B730)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>IF(F731="Ingreso",J731,-J731)</f>
        <v>-1971.27</v>
      </c>
      <c r="L731" s="15" t="s">
        <v>132</v>
      </c>
      <c r="M731" s="44">
        <f>SUMIFS('Saldos Iniciales'!$D$2:$D$38,'Saldos Iniciales'!$A$2:$A$38,C731,'Saldos Iniciales'!$B$2:$B$38,D731)+SUMIFS($K$1:$K$806,$C$1:$C$806,C731,$D$1:$D$806,D731,$B$1:$B$806,"&lt;="&amp;B731)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>IF(F732="Ingreso",J732,-J732)</f>
        <v>-500</v>
      </c>
      <c r="L732" s="15" t="s">
        <v>132</v>
      </c>
      <c r="M732" s="44">
        <f>SUMIFS('Saldos Iniciales'!$D$2:$D$38,'Saldos Iniciales'!$A$2:$A$38,C732,'Saldos Iniciales'!$B$2:$B$38,D732)+SUMIFS($K$1:$K$806,$C$1:$C$806,C732,$D$1:$D$806,D732,$B$1:$B$806,"&lt;="&amp;B732)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>IF(F733="Ingreso",J733,-J733)</f>
        <v>-2625</v>
      </c>
      <c r="L733" s="15" t="s">
        <v>132</v>
      </c>
      <c r="M733" s="44">
        <f>SUMIFS('Saldos Iniciales'!$D$2:$D$38,'Saldos Iniciales'!$A$2:$A$38,C733,'Saldos Iniciales'!$B$2:$B$38,D733)+SUMIFS($K$1:$K$806,$C$1:$C$806,C733,$D$1:$D$806,D733,$B$1:$B$806,"&lt;="&amp;B733)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>IF(F734="Ingreso",J734,-J734)</f>
        <v>-1412.66</v>
      </c>
      <c r="L734" s="15" t="s">
        <v>132</v>
      </c>
      <c r="M734" s="44">
        <f>SUMIFS('Saldos Iniciales'!$D$2:$D$38,'Saldos Iniciales'!$A$2:$A$38,C734,'Saldos Iniciales'!$B$2:$B$38,D734)+SUMIFS($K$1:$K$806,$C$1:$C$806,C734,$D$1:$D$806,D734,$B$1:$B$806,"&lt;="&amp;B734)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>IF(F735="Ingreso",J735,-J735)</f>
        <v>-1980.24</v>
      </c>
      <c r="L735" s="15" t="s">
        <v>132</v>
      </c>
      <c r="M735" s="44">
        <f>SUMIFS('Saldos Iniciales'!$D$2:$D$38,'Saldos Iniciales'!$A$2:$A$38,C735,'Saldos Iniciales'!$B$2:$B$38,D735)+SUMIFS($K$1:$K$806,$C$1:$C$806,C735,$D$1:$D$806,D735,$B$1:$B$806,"&lt;="&amp;B735)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>IF(F736="Ingreso",J736,-J736)</f>
        <v>-663.66</v>
      </c>
      <c r="L736" s="15" t="s">
        <v>132</v>
      </c>
      <c r="M736" s="44">
        <f>SUMIFS('Saldos Iniciales'!$D$2:$D$38,'Saldos Iniciales'!$A$2:$A$38,C736,'Saldos Iniciales'!$B$2:$B$38,D736)+SUMIFS($K$1:$K$806,$C$1:$C$806,C736,$D$1:$D$806,D736,$B$1:$B$806,"&lt;="&amp;B736)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>IF(F737="Ingreso",J737,-J737)</f>
        <v>-25572.5</v>
      </c>
      <c r="L737" s="15" t="s">
        <v>132</v>
      </c>
      <c r="M737" s="44">
        <f>SUMIFS('Saldos Iniciales'!$D$2:$D$38,'Saldos Iniciales'!$A$2:$A$38,C737,'Saldos Iniciales'!$B$2:$B$38,D737)+SUMIFS($K$1:$K$806,$C$1:$C$806,C737,$D$1:$D$806,D737,$B$1:$B$806,"&lt;="&amp;B737)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>IF(F738="Ingreso",J738,-J738)</f>
        <v>-29322.5</v>
      </c>
      <c r="L738" s="15" t="s">
        <v>132</v>
      </c>
      <c r="M738" s="44">
        <f>SUMIFS('Saldos Iniciales'!$D$2:$D$38,'Saldos Iniciales'!$A$2:$A$38,C738,'Saldos Iniciales'!$B$2:$B$38,D738)+SUMIFS($K$1:$K$806,$C$1:$C$806,C738,$D$1:$D$806,D738,$B$1:$B$806,"&lt;="&amp;B738)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>IF(F739="Ingreso",J739,-J739)</f>
        <v>-92917.72</v>
      </c>
      <c r="L739" s="15" t="s">
        <v>132</v>
      </c>
      <c r="M739" s="44">
        <f>SUMIFS('Saldos Iniciales'!$D$2:$D$38,'Saldos Iniciales'!$A$2:$A$38,C739,'Saldos Iniciales'!$B$2:$B$38,D739)+SUMIFS($K$1:$K$806,$C$1:$C$806,C739,$D$1:$D$806,D739,$B$1:$B$806,"&lt;="&amp;B739)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>IF(F740="Ingreso",J740,-J740)</f>
        <v>-97296.25</v>
      </c>
      <c r="L740" s="15" t="s">
        <v>132</v>
      </c>
      <c r="M740" s="44">
        <f>SUMIFS('Saldos Iniciales'!$D$2:$D$38,'Saldos Iniciales'!$A$2:$A$38,C740,'Saldos Iniciales'!$B$2:$B$38,D740)+SUMIFS($K$1:$K$806,$C$1:$C$806,C740,$D$1:$D$806,D740,$B$1:$B$806,"&lt;="&amp;B740)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>IF(F741="Ingreso",J741,-J741)</f>
        <v>-230772.11</v>
      </c>
      <c r="L741" s="15" t="s">
        <v>132</v>
      </c>
      <c r="M741" s="44">
        <f>SUMIFS('Saldos Iniciales'!$D$2:$D$38,'Saldos Iniciales'!$A$2:$A$38,C741,'Saldos Iniciales'!$B$2:$B$38,D741)+SUMIFS($K$1:$K$806,$C$1:$C$806,C741,$D$1:$D$806,D741,$B$1:$B$806,"&lt;="&amp;B741)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>IF(F742="Ingreso",J742,-J742)</f>
        <v>-6</v>
      </c>
      <c r="L742" s="15" t="s">
        <v>132</v>
      </c>
      <c r="M742" s="44">
        <f>SUMIFS('Saldos Iniciales'!$D$2:$D$38,'Saldos Iniciales'!$A$2:$A$38,C742,'Saldos Iniciales'!$B$2:$B$38,D742)+SUMIFS($K$1:$K$806,$C$1:$C$806,C742,$D$1:$D$806,D742,$B$1:$B$806,"&lt;="&amp;B742)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>IF(F743="Ingreso",J743,-J743)</f>
        <v>-106.4</v>
      </c>
      <c r="L743" s="15" t="s">
        <v>132</v>
      </c>
      <c r="M743" s="44">
        <f>SUMIFS('Saldos Iniciales'!$D$2:$D$38,'Saldos Iniciales'!$A$2:$A$38,C743,'Saldos Iniciales'!$B$2:$B$38,D743)+SUMIFS($K$1:$K$806,$C$1:$C$806,C743,$D$1:$D$806,D743,$B$1:$B$806,"&lt;="&amp;B743)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>IF(F744="Ingreso",J744,-J744)</f>
        <v>560000</v>
      </c>
      <c r="L744" s="15" t="s">
        <v>132</v>
      </c>
      <c r="M744" s="44">
        <f>SUMIFS('Saldos Iniciales'!$D$2:$D$38,'Saldos Iniciales'!$A$2:$A$38,C744,'Saldos Iniciales'!$B$2:$B$38,D744)+SUMIFS($K$1:$K$806,$C$1:$C$806,C744,$D$1:$D$806,D744,$B$1:$B$806,"&lt;="&amp;B744)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5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>IF(F745="Ingreso",J745,-J745)</f>
        <v>-560000</v>
      </c>
      <c r="L745" s="15" t="s">
        <v>132</v>
      </c>
      <c r="M745" s="44">
        <f>SUMIFS('Saldos Iniciales'!$D$2:$D$38,'Saldos Iniciales'!$A$2:$A$38,C745,'Saldos Iniciales'!$B$2:$B$38,D745)+SUMIFS($K$1:$K$806,$C$1:$C$806,C745,$D$1:$D$806,D745,$B$1:$B$806,"&lt;="&amp;B745)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5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>IF(F746="Ingreso",J746,-J746)</f>
        <v>-70000</v>
      </c>
      <c r="L746" s="15" t="s">
        <v>132</v>
      </c>
      <c r="M746" s="44">
        <f>SUMIFS('Saldos Iniciales'!$D$2:$D$38,'Saldos Iniciales'!$A$2:$A$38,C746,'Saldos Iniciales'!$B$2:$B$38,D746)+SUMIFS($K$1:$K$806,$C$1:$C$806,C746,$D$1:$D$806,D746,$B$1:$B$806,"&lt;="&amp;B746)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5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>IF(F747="Ingreso",J747,-J747)</f>
        <v>-70000</v>
      </c>
      <c r="L747" s="15" t="s">
        <v>132</v>
      </c>
      <c r="M747" s="44">
        <f>SUMIFS('Saldos Iniciales'!$D$2:$D$38,'Saldos Iniciales'!$A$2:$A$38,C747,'Saldos Iniciales'!$B$2:$B$38,D747)+SUMIFS($K$1:$K$806,$C$1:$C$806,C747,$D$1:$D$806,D747,$B$1:$B$806,"&lt;="&amp;B747)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5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>IF(F748="Ingreso",J748,-J748)</f>
        <v>70000</v>
      </c>
      <c r="L748" s="15" t="s">
        <v>132</v>
      </c>
      <c r="M748" s="44">
        <f>SUMIFS('Saldos Iniciales'!$D$2:$D$38,'Saldos Iniciales'!$A$2:$A$38,C748,'Saldos Iniciales'!$B$2:$B$38,D748)+SUMIFS($K$1:$K$806,$C$1:$C$806,C748,$D$1:$D$806,D748,$B$1:$B$806,"&lt;="&amp;B748)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46247</v>
      </c>
      <c r="C749" s="46" t="str">
        <f>_xlfn.XLOOKUP(tblMovimientos[[#This Row],[Cuenta Bancaria]],Listas!$B:$B,Listas!$A:$A,"")</f>
        <v>A&amp;M Imports</v>
      </c>
      <c r="D749" s="41" t="s">
        <v>100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61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60000</v>
      </c>
      <c r="K749" s="5">
        <f>IF(F749="Ingreso",J749,-J749)</f>
        <v>-60000</v>
      </c>
      <c r="L749" s="15" t="s">
        <v>132</v>
      </c>
      <c r="M749" s="44">
        <f>SUMIFS('Saldos Iniciales'!$D$2:$D$38,'Saldos Iniciales'!$A$2:$A$38,C749,'Saldos Iniciales'!$B$2:$B$38,D749)+SUMIFS($K$1:$K$806,$C$1:$C$806,C749,$D$1:$D$806,D749,$B$1:$B$806,"&lt;="&amp;B749)</f>
        <v>1289451.94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60000</v>
      </c>
      <c r="P749" s="28">
        <f>IF(tblMovimientos[[#This Row],[Tipo de Movimiento]]="Ingreso",tblMovimientos[[#This Row],[Ingreso]],-tblMovimientos[[#This Row],[Egreso]])</f>
        <v>-60000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CFT Group</v>
      </c>
      <c r="D750" s="41" t="s">
        <v>94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64</v>
      </c>
      <c r="H750" s="4" t="str">
        <f>IFERROR(_xlfn.XLOOKUP(G750,Listas!E:E,Listas!F:F,""),"")</f>
        <v>Operativo</v>
      </c>
      <c r="I750" s="46" t="str">
        <f>IFERROR(_xlfn.XLOOKUP(G750,Listas!E:E,Listas!G:G,""),"")</f>
        <v>Interno</v>
      </c>
      <c r="J750" s="43">
        <v>300000</v>
      </c>
      <c r="K750" s="5">
        <f>IF(F750="Ingreso",J750,-J750)</f>
        <v>-300000</v>
      </c>
      <c r="L750" s="15" t="s">
        <v>132</v>
      </c>
      <c r="M750" s="44">
        <f>SUMIFS('Saldos Iniciales'!$D$2:$D$38,'Saldos Iniciales'!$A$2:$A$38,C750,'Saldos Iniciales'!$B$2:$B$38,D750)+SUMIFS($K$1:$K$806,$C$1:$C$806,C750,$D$1:$D$806,D750,$B$1:$B$806,"&lt;="&amp;B750)</f>
        <v>29551.26999999999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300000</v>
      </c>
      <c r="P750" s="28">
        <f>IF(tblMovimientos[[#This Row],[Tipo de Movimiento]]="Ingreso",tblMovimientos[[#This Row],[Ingreso]],-tblMovimientos[[#This Row],[Egreso]])</f>
        <v>-300000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10000</v>
      </c>
      <c r="K751" s="5">
        <f>IF(F751="Ingreso",J751,-J751)</f>
        <v>-10000</v>
      </c>
      <c r="L751" s="15" t="s">
        <v>132</v>
      </c>
      <c r="M751" s="44">
        <f>SUMIFS('Saldos Iniciales'!$D$2:$D$38,'Saldos Iniciales'!$A$2:$A$38,C751,'Saldos Iniciales'!$B$2:$B$38,D751)+SUMIFS($K$1:$K$806,$C$1:$C$806,C751,$D$1:$D$806,D751,$B$1:$B$806,"&lt;="&amp;B751)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10000</v>
      </c>
      <c r="P751" s="28">
        <f>IF(tblMovimientos[[#This Row],[Tipo de Movimiento]]="Ingreso",tblMovimientos[[#This Row],[Ingreso]],-tblMovimientos[[#This Row],[Egreso]])</f>
        <v>-10000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2515 Overbrook</v>
      </c>
      <c r="D752" s="41" t="s">
        <v>121</v>
      </c>
      <c r="E752" s="4" t="str">
        <f>_xlfn.XLOOKUP(tblMovimientos[[#This Row],[Cuenta Bancaria]],Listas!$B:$B,Listas!$C:$C,"")</f>
        <v>Bank of America</v>
      </c>
      <c r="F752" s="41" t="s">
        <v>9</v>
      </c>
      <c r="G752" s="41" t="s">
        <v>85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>IF(F752="Ingreso",J752,-J752)</f>
        <v>10000</v>
      </c>
      <c r="L752" s="15" t="s">
        <v>132</v>
      </c>
      <c r="M752" s="44">
        <f>SUMIFS('Saldos Iniciales'!$D$2:$D$38,'Saldos Iniciales'!$A$2:$A$38,C752,'Saldos Iniciales'!$B$2:$B$38,D752)+SUMIFS($K$1:$K$806,$C$1:$C$806,C752,$D$1:$D$806,D752,$B$1:$B$806,"&lt;="&amp;B752)</f>
        <v>13390.289999999964</v>
      </c>
      <c r="N752" s="65">
        <f>IF(tblMovimientos[[#This Row],[Tipo de Movimiento]]="Ingreso",tblMovimientos[[#This Row],[Monto (S/)]],"0")</f>
        <v>10000</v>
      </c>
      <c r="O752" s="65" t="str">
        <f>IF(tblMovimientos[[#This Row],[Tipo de Movimiento]]="Egreso",tblMovimientos[[#This Row],[Monto (S/)]],"0")</f>
        <v>0</v>
      </c>
      <c r="P752" s="28">
        <f>IF(tblMovimientos[[#This Row],[Tipo de Movimiento]]="Ingreso",tblMovimientos[[#This Row],[Ingreso]],-tblMovimientos[[#This Row],[Egreso]])</f>
        <v>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CFT Group</v>
      </c>
      <c r="D753" s="41" t="s">
        <v>95</v>
      </c>
      <c r="E753" s="4" t="str">
        <f>_xlfn.XLOOKUP(tblMovimientos[[#This Row],[Cuenta Bancaria]],Listas!$B:$B,Listas!$C:$C,"")</f>
        <v xml:space="preserve">Amerant Bank </v>
      </c>
      <c r="F753" s="41" t="s">
        <v>9</v>
      </c>
      <c r="G753" s="41" t="s">
        <v>68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18088.189999999999</v>
      </c>
      <c r="K753" s="5">
        <f>IF(F753="Ingreso",J753,-J753)</f>
        <v>18088.189999999999</v>
      </c>
      <c r="L753" s="15" t="s">
        <v>132</v>
      </c>
      <c r="M753" s="44">
        <f>SUMIFS('Saldos Iniciales'!$D$2:$D$38,'Saldos Iniciales'!$A$2:$A$38,C753,'Saldos Iniciales'!$B$2:$B$38,D753)+SUMIFS($K$1:$K$806,$C$1:$C$806,C753,$D$1:$D$806,D753,$B$1:$B$806,"&lt;="&amp;B753)</f>
        <v>1006435.0800000008</v>
      </c>
      <c r="N753" s="65">
        <f>IF(tblMovimientos[[#This Row],[Tipo de Movimiento]]="Ingreso",tblMovimientos[[#This Row],[Monto (S/)]],"0")</f>
        <v>18088.189999999999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18088.189999999999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85</v>
      </c>
      <c r="H754" s="4" t="str">
        <f>IFERROR(_xlfn.XLOOKUP(G754,Listas!E:E,Listas!F:F,""),"")</f>
        <v>Operativo</v>
      </c>
      <c r="I754" s="46" t="str">
        <f>IFERROR(_xlfn.XLOOKUP(G754,Listas!E:E,Listas!G:G,""),"")</f>
        <v>Interno</v>
      </c>
      <c r="J754" s="43">
        <v>300000</v>
      </c>
      <c r="K754" s="5">
        <f>IF(F754="Ingreso",J754,-J754)</f>
        <v>300000</v>
      </c>
      <c r="L754" s="15" t="s">
        <v>132</v>
      </c>
      <c r="M754" s="44">
        <f>SUMIFS('Saldos Iniciales'!$D$2:$D$38,'Saldos Iniciales'!$A$2:$A$38,C754,'Saldos Iniciales'!$B$2:$B$38,D754)+SUMIFS($K$1:$K$806,$C$1:$C$806,C754,$D$1:$D$806,D754,$B$1:$B$806,"&lt;="&amp;B754)</f>
        <v>1006435.0800000008</v>
      </c>
      <c r="N754" s="65">
        <f>IF(tblMovimientos[[#This Row],[Tipo de Movimiento]]="Ingreso",tblMovimientos[[#This Row],[Monto (S/)]],"0")</f>
        <v>300000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300000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77</v>
      </c>
      <c r="H755" s="4" t="str">
        <f>IFERROR(_xlfn.XLOOKUP(G755,Listas!E:E,Listas!F:F,""),"")</f>
        <v>Inversion</v>
      </c>
      <c r="I755" s="46" t="str">
        <f>IFERROR(_xlfn.XLOOKUP(G755,Listas!E:E,Listas!G:G,""),"")</f>
        <v>Interno</v>
      </c>
      <c r="J755" s="43">
        <v>500000</v>
      </c>
      <c r="K755" s="5">
        <f>IF(F755="Ingreso",J755,-J755)</f>
        <v>500000</v>
      </c>
      <c r="L755" s="15" t="s">
        <v>132</v>
      </c>
      <c r="M755" s="44">
        <f>SUMIFS('Saldos Iniciales'!$D$2:$D$38,'Saldos Iniciales'!$A$2:$A$38,C755,'Saldos Iniciales'!$B$2:$B$38,D755)+SUMIFS($K$1:$K$806,$C$1:$C$806,C755,$D$1:$D$806,D755,$B$1:$B$806,"&lt;="&amp;B755)</f>
        <v>1006435.0800000008</v>
      </c>
      <c r="N755" s="65">
        <f>IF(tblMovimientos[[#This Row],[Tipo de Movimiento]]="Ingreso",tblMovimientos[[#This Row],[Monto (S/)]],"0")</f>
        <v>500000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500000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10</v>
      </c>
      <c r="G756" s="41" t="s">
        <v>46</v>
      </c>
      <c r="H756" s="4" t="str">
        <f>IFERROR(_xlfn.XLOOKUP(G756,Listas!E:E,Listas!F:F,""),"")</f>
        <v>Financiamiento</v>
      </c>
      <c r="I756" s="46" t="str">
        <f>IFERROR(_xlfn.XLOOKUP(G756,Listas!E:E,Listas!G:G,""),"")</f>
        <v>Externo</v>
      </c>
      <c r="J756" s="43">
        <v>2916.67</v>
      </c>
      <c r="K756" s="5">
        <f>IF(F756="Ingreso",J756,-J756)</f>
        <v>-2916.67</v>
      </c>
      <c r="L756" s="15" t="s">
        <v>132</v>
      </c>
      <c r="M756" s="44">
        <f>SUMIFS('Saldos Iniciales'!$D$2:$D$38,'Saldos Iniciales'!$A$2:$A$38,C756,'Saldos Iniciales'!$B$2:$B$38,D756)+SUMIFS($K$1:$K$806,$C$1:$C$806,C756,$D$1:$D$806,D756,$B$1:$B$806,"&lt;="&amp;B756)</f>
        <v>1006435.0800000008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2916.67</v>
      </c>
      <c r="P756" s="28">
        <f>IF(tblMovimientos[[#This Row],[Tipo de Movimiento]]="Ingreso",tblMovimientos[[#This Row],[Ingreso]],-tblMovimientos[[#This Row],[Egreso]])</f>
        <v>-2916.67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3616.67</v>
      </c>
      <c r="K757" s="5">
        <f>IF(F757="Ingreso",J757,-J757)</f>
        <v>-3616.67</v>
      </c>
      <c r="L757" s="15" t="s">
        <v>132</v>
      </c>
      <c r="M757" s="44">
        <f>SUMIFS('Saldos Iniciales'!$D$2:$D$38,'Saldos Iniciales'!$A$2:$A$38,C757,'Saldos Iniciales'!$B$2:$B$38,D757)+SUMIFS($K$1:$K$806,$C$1:$C$806,C757,$D$1:$D$806,D757,$B$1:$B$806,"&lt;="&amp;B757)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3616.67</v>
      </c>
      <c r="P757" s="28">
        <f>IF(tblMovimientos[[#This Row],[Tipo de Movimiento]]="Ingreso",tblMovimientos[[#This Row],[Ingreso]],-tblMovimientos[[#This Row],[Egreso]])</f>
        <v>-3616.67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5166.67</v>
      </c>
      <c r="K758" s="5">
        <f>IF(F758="Ingreso",J758,-J758)</f>
        <v>-5166.67</v>
      </c>
      <c r="L758" s="15" t="s">
        <v>132</v>
      </c>
      <c r="M758" s="44">
        <f>SUMIFS('Saldos Iniciales'!$D$2:$D$38,'Saldos Iniciales'!$A$2:$A$38,C758,'Saldos Iniciales'!$B$2:$B$38,D758)+SUMIFS($K$1:$K$806,$C$1:$C$806,C758,$D$1:$D$806,D758,$B$1:$B$806,"&lt;="&amp;B758)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5166.67</v>
      </c>
      <c r="P758" s="28">
        <f>IF(tblMovimientos[[#This Row],[Tipo de Movimiento]]="Ingreso",tblMovimientos[[#This Row],[Ingreso]],-tblMovimientos[[#This Row],[Egreso]])</f>
        <v>-5166.67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12055.56</v>
      </c>
      <c r="K759" s="5">
        <f>IF(F759="Ingreso",J759,-J759)</f>
        <v>-12055.56</v>
      </c>
      <c r="L759" s="15" t="s">
        <v>132</v>
      </c>
      <c r="M759" s="44">
        <f>SUMIFS('Saldos Iniciales'!$D$2:$D$38,'Saldos Iniciales'!$A$2:$A$38,C759,'Saldos Iniciales'!$B$2:$B$38,D759)+SUMIFS($K$1:$K$806,$C$1:$C$806,C759,$D$1:$D$806,D759,$B$1:$B$806,"&lt;="&amp;B759)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12055.56</v>
      </c>
      <c r="P759" s="28">
        <f>IF(tblMovimientos[[#This Row],[Tipo de Movimiento]]="Ingreso",tblMovimientos[[#This Row],[Ingreso]],-tblMovimientos[[#This Row],[Egreso]])</f>
        <v>-12055.56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14011.67</v>
      </c>
      <c r="K760" s="5">
        <f>IF(F760="Ingreso",J760,-J760)</f>
        <v>-14011.67</v>
      </c>
      <c r="L760" s="15" t="s">
        <v>132</v>
      </c>
      <c r="M760" s="44">
        <f>SUMIFS('Saldos Iniciales'!$D$2:$D$38,'Saldos Iniciales'!$A$2:$A$38,C760,'Saldos Iniciales'!$B$2:$B$38,D760)+SUMIFS($K$1:$K$806,$C$1:$C$806,C760,$D$1:$D$806,D760,$B$1:$B$806,"&lt;="&amp;B760)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14011.67</v>
      </c>
      <c r="P760" s="28">
        <f>IF(tblMovimientos[[#This Row],[Tipo de Movimiento]]="Ingreso",tblMovimientos[[#This Row],[Ingreso]],-tblMovimientos[[#This Row],[Egreso]])</f>
        <v>-14011.67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22166.67</v>
      </c>
      <c r="K761" s="5">
        <f>IF(F761="Ingreso",J761,-J761)</f>
        <v>-22166.67</v>
      </c>
      <c r="L761" s="15" t="s">
        <v>132</v>
      </c>
      <c r="M761" s="44">
        <f>SUMIFS('Saldos Iniciales'!$D$2:$D$38,'Saldos Iniciales'!$A$2:$A$38,C761,'Saldos Iniciales'!$B$2:$B$38,D761)+SUMIFS($K$1:$K$806,$C$1:$C$806,C761,$D$1:$D$806,D761,$B$1:$B$806,"&lt;="&amp;B761)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22166.67</v>
      </c>
      <c r="P761" s="28">
        <f>IF(tblMovimientos[[#This Row],[Tipo de Movimiento]]="Ingreso",tblMovimientos[[#This Row],[Ingreso]],-tblMovimientos[[#This Row],[Egreso]])</f>
        <v>-22166.67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24111.11</v>
      </c>
      <c r="K762" s="5">
        <f>IF(F762="Ingreso",J762,-J762)</f>
        <v>-24111.11</v>
      </c>
      <c r="L762" s="15" t="s">
        <v>132</v>
      </c>
      <c r="M762" s="44">
        <f>SUMIFS('Saldos Iniciales'!$D$2:$D$38,'Saldos Iniciales'!$A$2:$A$38,C762,'Saldos Iniciales'!$B$2:$B$38,D762)+SUMIFS($K$1:$K$806,$C$1:$C$806,C762,$D$1:$D$806,D762,$B$1:$B$806,"&lt;="&amp;B762)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24111.11</v>
      </c>
      <c r="P762" s="28">
        <f>IF(tblMovimientos[[#This Row],[Tipo de Movimiento]]="Ingreso",tblMovimientos[[#This Row],[Ingreso]],-tblMovimientos[[#This Row],[Egreso]])</f>
        <v>-24111.11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27083.33</v>
      </c>
      <c r="K763" s="5">
        <f>IF(F763="Ingreso",J763,-J763)</f>
        <v>-27083.33</v>
      </c>
      <c r="L763" s="15" t="s">
        <v>132</v>
      </c>
      <c r="M763" s="44">
        <f>SUMIFS('Saldos Iniciales'!$D$2:$D$38,'Saldos Iniciales'!$A$2:$A$38,C763,'Saldos Iniciales'!$B$2:$B$38,D763)+SUMIFS($K$1:$K$806,$C$1:$C$806,C763,$D$1:$D$806,D763,$B$1:$B$806,"&lt;="&amp;B763)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27083.33</v>
      </c>
      <c r="P763" s="28">
        <f>IF(tblMovimientos[[#This Row],[Tipo de Movimiento]]="Ingreso",tblMovimientos[[#This Row],[Ingreso]],-tblMovimientos[[#This Row],[Egreso]])</f>
        <v>-27083.33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40000</v>
      </c>
      <c r="K764" s="5">
        <f>IF(F764="Ingreso",J764,-J764)</f>
        <v>-40000</v>
      </c>
      <c r="L764" s="15" t="s">
        <v>132</v>
      </c>
      <c r="M764" s="44">
        <f>SUMIFS('Saldos Iniciales'!$D$2:$D$38,'Saldos Iniciales'!$A$2:$A$38,C764,'Saldos Iniciales'!$B$2:$B$38,D764)+SUMIFS($K$1:$K$806,$C$1:$C$806,C764,$D$1:$D$806,D764,$B$1:$B$806,"&lt;="&amp;B764)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40000</v>
      </c>
      <c r="P764" s="28">
        <f>IF(tblMovimientos[[#This Row],[Tipo de Movimiento]]="Ingreso",tblMovimientos[[#This Row],[Ingreso]],-tblMovimientos[[#This Row],[Egreso]])</f>
        <v>-40000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57866.67</v>
      </c>
      <c r="K765" s="5">
        <f>IF(F765="Ingreso",J765,-J765)</f>
        <v>-57866.67</v>
      </c>
      <c r="L765" s="15" t="s">
        <v>132</v>
      </c>
      <c r="M765" s="44">
        <f>SUMIFS('Saldos Iniciales'!$D$2:$D$38,'Saldos Iniciales'!$A$2:$A$38,C765,'Saldos Iniciales'!$B$2:$B$38,D765)+SUMIFS($K$1:$K$806,$C$1:$C$806,C765,$D$1:$D$806,D765,$B$1:$B$806,"&lt;="&amp;B765)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57866.67</v>
      </c>
      <c r="P765" s="28">
        <f>IF(tblMovimientos[[#This Row],[Tipo de Movimiento]]="Ingreso",tblMovimientos[[#This Row],[Ingreso]],-tblMovimientos[[#This Row],[Egreso]])</f>
        <v>-57866.67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Iniciales'!$D$2:$D$38,'Saldos Iniciales'!$A$2:$A$38,C766,'Saldos Iniciales'!$B$2:$B$38,D766)+SUMIFS($K$1:$K$806,$C$1:$C$806,C766,$D$1:$D$806,D766,$B$1:$B$806,"&lt;="&amp;B766)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72333.33</v>
      </c>
      <c r="K767" s="5">
        <f>IF(F767="Ingreso",J767,-J767)</f>
        <v>-72333.33</v>
      </c>
      <c r="L767" s="15" t="s">
        <v>132</v>
      </c>
      <c r="M767" s="44">
        <f>SUMIFS('Saldos Iniciales'!$D$2:$D$38,'Saldos Iniciales'!$A$2:$A$38,C767,'Saldos Iniciales'!$B$2:$B$38,D767)+SUMIFS($K$1:$K$806,$C$1:$C$806,C767,$D$1:$D$806,D767,$B$1:$B$806,"&lt;="&amp;B767)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72333.33</v>
      </c>
      <c r="P767" s="28">
        <f>IF(tblMovimientos[[#This Row],[Tipo de Movimiento]]="Ingreso",tblMovimientos[[#This Row],[Ingreso]],-tblMovimientos[[#This Row],[Egreso]])</f>
        <v>-72333.33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85594.44</v>
      </c>
      <c r="K768" s="5">
        <f>IF(F768="Ingreso",J768,-J768)</f>
        <v>-85594.44</v>
      </c>
      <c r="L768" s="15" t="s">
        <v>132</v>
      </c>
      <c r="M768" s="44">
        <f>SUMIFS('Saldos Iniciales'!$D$2:$D$38,'Saldos Iniciales'!$A$2:$A$38,C768,'Saldos Iniciales'!$B$2:$B$38,D768)+SUMIFS($K$1:$K$806,$C$1:$C$806,C768,$D$1:$D$806,D768,$B$1:$B$806,"&lt;="&amp;B768)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85594.44</v>
      </c>
      <c r="P768" s="28">
        <f>IF(tblMovimientos[[#This Row],[Tipo de Movimiento]]="Ingreso",tblMovimientos[[#This Row],[Ingreso]],-tblMovimientos[[#This Row],[Egreso]])</f>
        <v>-85594.44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100000</v>
      </c>
      <c r="K769" s="5">
        <f>IF(F769="Ingreso",J769,-J769)</f>
        <v>-100000</v>
      </c>
      <c r="L769" s="15" t="s">
        <v>132</v>
      </c>
      <c r="M769" s="44">
        <f>SUMIFS('Saldos Iniciales'!$D$2:$D$38,'Saldos Iniciales'!$A$2:$A$38,C769,'Saldos Iniciales'!$B$2:$B$38,D769)+SUMIFS($K$1:$K$806,$C$1:$C$806,C769,$D$1:$D$806,D769,$B$1:$B$806,"&lt;="&amp;B769)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100000</v>
      </c>
      <c r="P769" s="28">
        <f>IF(tblMovimientos[[#This Row],[Tipo de Movimiento]]="Ingreso",tblMovimientos[[#This Row],[Ingreso]],-tblMovimientos[[#This Row],[Egreso]])</f>
        <v>-100000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200000</v>
      </c>
      <c r="K770" s="5">
        <f>IF(F770="Ingreso",J770,-J770)</f>
        <v>-200000</v>
      </c>
      <c r="L770" s="15" t="s">
        <v>132</v>
      </c>
      <c r="M770" s="44">
        <f>SUMIFS('Saldos Iniciales'!$D$2:$D$38,'Saldos Iniciales'!$A$2:$A$38,C770,'Saldos Iniciales'!$B$2:$B$38,D770)+SUMIFS($K$1:$K$806,$C$1:$C$806,C770,$D$1:$D$806,D770,$B$1:$B$806,"&lt;="&amp;B770)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200000</v>
      </c>
      <c r="P770" s="28">
        <f>IF(tblMovimientos[[#This Row],[Tipo de Movimiento]]="Ingreso",tblMovimientos[[#This Row],[Ingreso]],-tblMovimientos[[#This Row],[Egreso]])</f>
        <v>-200000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Cross Family Trust</v>
      </c>
      <c r="D771" s="41" t="s">
        <v>111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64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10000</v>
      </c>
      <c r="K771" s="5">
        <f>IF(F771="Ingreso",J771,-J771)</f>
        <v>-10000</v>
      </c>
      <c r="L771" s="15" t="s">
        <v>132</v>
      </c>
      <c r="M771" s="44">
        <f>SUMIFS('Saldos Iniciales'!$D$2:$D$38,'Saldos Iniciales'!$A$2:$A$38,C771,'Saldos Iniciales'!$B$2:$B$38,D771)+SUMIFS($K$1:$K$806,$C$1:$C$806,C771,$D$1:$D$806,D771,$B$1:$B$806,"&lt;="&amp;B771)</f>
        <v>118717.6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10000</v>
      </c>
      <c r="P771" s="28">
        <f>IF(tblMovimientos[[#This Row],[Tipo de Movimiento]]="Ingreso",tblMovimientos[[#This Row],[Ingreso]],-tblMovimientos[[#This Row],[Egreso]])</f>
        <v>-10000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53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-500000</v>
      </c>
      <c r="L772" s="15" t="s">
        <v>132</v>
      </c>
      <c r="M772" s="44">
        <f>SUMIFS('Saldos Iniciales'!$D$2:$D$38,'Saldos Iniciales'!$A$2:$A$38,C772,'Saldos Iniciales'!$B$2:$B$38,D772)+SUMIFS($K$1:$K$806,$C$1:$C$806,C772,$D$1:$D$806,D772,$B$1:$B$806,"&lt;="&amp;B772)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500000</v>
      </c>
      <c r="P772" s="28">
        <f>IF(tblMovimientos[[#This Row],[Tipo de Movimiento]]="Ingreso",tblMovimientos[[#This Row],[Ingreso]],-tblMovimientos[[#This Row],[Egreso]])</f>
        <v>-500000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SSP Capital</v>
      </c>
      <c r="D773" s="41" t="s">
        <v>104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9902.7800000000007</v>
      </c>
      <c r="K773" s="5">
        <f>IF(F773="Ingreso",J773,-J773)</f>
        <v>-9902.7800000000007</v>
      </c>
      <c r="L773" s="15" t="s">
        <v>132</v>
      </c>
      <c r="M773" s="44">
        <f>SUMIFS('Saldos Iniciales'!$D$2:$D$38,'Saldos Iniciales'!$A$2:$A$38,C773,'Saldos Iniciales'!$B$2:$B$38,D773)+SUMIFS($K$1:$K$806,$C$1:$C$806,C773,$D$1:$D$806,D773,$B$1:$B$806,"&lt;="&amp;B773)</f>
        <v>568040.45999999926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9902.7800000000007</v>
      </c>
      <c r="P773" s="28">
        <f>IF(tblMovimientos[[#This Row],[Tipo de Movimiento]]="Ingreso",tblMovimientos[[#This Row],[Ingreso]],-tblMovimientos[[#This Row],[Egreso]])</f>
        <v>-9902.7800000000007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55455.56</v>
      </c>
      <c r="K774" s="5">
        <f>IF(F774="Ingreso",J774,-J774)</f>
        <v>-55455.56</v>
      </c>
      <c r="L774" s="15" t="s">
        <v>132</v>
      </c>
      <c r="M774" s="44">
        <f>SUMIFS('Saldos Iniciales'!$D$2:$D$38,'Saldos Iniciales'!$A$2:$A$38,C774,'Saldos Iniciales'!$B$2:$B$38,D774)+SUMIFS($K$1:$K$806,$C$1:$C$806,C774,$D$1:$D$806,D774,$B$1:$B$806,"&lt;="&amp;B774)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55455.56</v>
      </c>
      <c r="P774" s="28">
        <f>IF(tblMovimientos[[#This Row],[Tipo de Movimiento]]="Ingreso",tblMovimientos[[#This Row],[Ingreso]],-tblMovimientos[[#This Row],[Egreso]])</f>
        <v>-55455.56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138638.89000000001</v>
      </c>
      <c r="K775" s="5">
        <f>IF(F775="Ingreso",J775,-J775)</f>
        <v>-138638.89000000001</v>
      </c>
      <c r="L775" s="15" t="s">
        <v>132</v>
      </c>
      <c r="M775" s="44">
        <f>SUMIFS('Saldos Iniciales'!$D$2:$D$38,'Saldos Iniciales'!$A$2:$A$38,C775,'Saldos Iniciales'!$B$2:$B$38,D775)+SUMIFS($K$1:$K$806,$C$1:$C$806,C775,$D$1:$D$806,D775,$B$1:$B$806,"&lt;="&amp;B775)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138638.89000000001</v>
      </c>
      <c r="P775" s="28">
        <f>IF(tblMovimientos[[#This Row],[Tipo de Movimiento]]="Ingreso",tblMovimientos[[#This Row],[Ingreso]],-tblMovimientos[[#This Row],[Egreso]])</f>
        <v>-138638.89000000001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Green Harbor Trust</v>
      </c>
      <c r="D776" s="41" t="s">
        <v>125</v>
      </c>
      <c r="E776" s="4" t="str">
        <f>_xlfn.XLOOKUP(tblMovimientos[[#This Row],[Cuenta Bancaria]],Listas!$B:$B,Listas!$C:$C,"")</f>
        <v xml:space="preserve">Amerant Bank </v>
      </c>
      <c r="F776" s="41" t="s">
        <v>9</v>
      </c>
      <c r="G776" s="41" t="s">
        <v>85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>IF(F776="Ingreso",J776,-J776)</f>
        <v>10000</v>
      </c>
      <c r="L776" s="15" t="s">
        <v>132</v>
      </c>
      <c r="M776" s="44">
        <f>SUMIFS('Saldos Iniciales'!$D$2:$D$38,'Saldos Iniciales'!$A$2:$A$38,C776,'Saldos Iniciales'!$B$2:$B$38,D776)+SUMIFS($K$1:$K$806,$C$1:$C$806,C776,$D$1:$D$806,D776,$B$1:$B$806,"&lt;="&amp;B776)</f>
        <v>345</v>
      </c>
      <c r="N776" s="65">
        <f>IF(tblMovimientos[[#This Row],[Tipo de Movimiento]]="Ingreso",tblMovimientos[[#This Row],[Monto (S/)]],"0")</f>
        <v>10000</v>
      </c>
      <c r="O776" s="65" t="str">
        <f>IF(tblMovimientos[[#This Row],[Tipo de Movimiento]]="Egreso",tblMovimientos[[#This Row],[Monto (S/)]],"0")</f>
        <v>0</v>
      </c>
      <c r="P776" s="28">
        <f>IF(tblMovimientos[[#This Row],[Tipo de Movimiento]]="Ingreso",tblMovimientos[[#This Row],[Ingreso]],-tblMovimientos[[#This Row],[Egreso]])</f>
        <v>10000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64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>IF(F777="Ingreso",J777,-J777)</f>
        <v>-10000</v>
      </c>
      <c r="L777" s="15" t="s">
        <v>132</v>
      </c>
      <c r="M777" s="44">
        <f>SUMIFS('Saldos Iniciales'!$D$2:$D$38,'Saldos Iniciales'!$A$2:$A$38,C777,'Saldos Iniciales'!$B$2:$B$38,D777)+SUMIFS($K$1:$K$806,$C$1:$C$806,C777,$D$1:$D$806,D777,$B$1:$B$806,"&lt;="&amp;B777)</f>
        <v>345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10000</v>
      </c>
      <c r="P777" s="28">
        <f>IF(tblMovimientos[[#This Row],[Tipo de Movimiento]]="Ingreso",tblMovimientos[[#This Row],[Ingreso]],-tblMovimientos[[#This Row],[Egreso]])</f>
        <v>-10000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Go Blue</v>
      </c>
      <c r="D778" s="41" t="s">
        <v>126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85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10000</v>
      </c>
      <c r="L778" s="15" t="s">
        <v>132</v>
      </c>
      <c r="M778" s="44">
        <f>SUMIFS('Saldos Iniciales'!$D$2:$D$38,'Saldos Iniciales'!$A$2:$A$38,C778,'Saldos Iniciales'!$B$2:$B$38,D778)+SUMIFS($K$1:$K$806,$C$1:$C$806,C778,$D$1:$D$806,D778,$B$1:$B$806,"&lt;="&amp;B778)</f>
        <v>12455.609999999997</v>
      </c>
      <c r="N778" s="65">
        <f>IF(tblMovimientos[[#This Row],[Tipo de Movimiento]]="Ingreso",tblMovimientos[[#This Row],[Monto (S/)]],"0")</f>
        <v>10000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38</v>
      </c>
      <c r="H779" s="4" t="str">
        <f>IFERROR(_xlfn.XLOOKUP(G779,Listas!E:E,Listas!F:F,""),"")</f>
        <v>Operativo</v>
      </c>
      <c r="I779" s="46" t="str">
        <f>IFERROR(_xlfn.XLOOKUP(G779,Listas!E:E,Listas!G:G,""),"")</f>
        <v>Externo</v>
      </c>
      <c r="J779" s="43">
        <v>2500</v>
      </c>
      <c r="K779" s="5">
        <f>IF(F779="Ingreso",J779,-J779)</f>
        <v>-2500</v>
      </c>
      <c r="L779" s="15" t="s">
        <v>132</v>
      </c>
      <c r="M779" s="44">
        <f>SUMIFS('Saldos Iniciales'!$D$2:$D$38,'Saldos Iniciales'!$A$2:$A$38,C779,'Saldos Iniciales'!$B$2:$B$38,D779)+SUMIFS($K$1:$K$806,$C$1:$C$806,C779,$D$1:$D$806,D779,$B$1:$B$806,"&lt;="&amp;B779)</f>
        <v>12455.609999999997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2500</v>
      </c>
      <c r="P779" s="28">
        <f>IF(tblMovimientos[[#This Row],[Tipo de Movimiento]]="Ingreso",tblMovimientos[[#This Row],[Ingreso]],-tblMovimientos[[#This Row],[Egreso]])</f>
        <v>-2500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44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15</v>
      </c>
      <c r="K780" s="5">
        <f>IF(F780="Ingreso",J780,-J780)</f>
        <v>-15</v>
      </c>
      <c r="L780" s="15" t="s">
        <v>132</v>
      </c>
      <c r="M780" s="44">
        <f>SUMIFS('Saldos Iniciales'!$D$2:$D$38,'Saldos Iniciales'!$A$2:$A$38,C780,'Saldos Iniciales'!$B$2:$B$38,D780)+SUMIFS($K$1:$K$806,$C$1:$C$806,C780,$D$1:$D$806,D780,$B$1:$B$806,"&lt;="&amp;B780)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15</v>
      </c>
      <c r="P780" s="28">
        <f>IF(tblMovimientos[[#This Row],[Tipo de Movimiento]]="Ingreso",tblMovimientos[[#This Row],[Ingreso]],-tblMovimientos[[#This Row],[Egreso]])</f>
        <v>-15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38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5199.1400000000003</v>
      </c>
      <c r="K781" s="5">
        <f>IF(F781="Ingreso",J781,-J781)</f>
        <v>-5199.1400000000003</v>
      </c>
      <c r="L781" s="15" t="s">
        <v>132</v>
      </c>
      <c r="M781" s="44">
        <f>SUMIFS('Saldos Iniciales'!$D$2:$D$38,'Saldos Iniciales'!$A$2:$A$38,C781,'Saldos Iniciales'!$B$2:$B$38,D781)+SUMIFS($K$1:$K$806,$C$1:$C$806,C781,$D$1:$D$806,D781,$B$1:$B$806,"&lt;="&amp;B781)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5199.1400000000003</v>
      </c>
      <c r="P781" s="28">
        <f>IF(tblMovimientos[[#This Row],[Tipo de Movimiento]]="Ingreso",tblMovimientos[[#This Row],[Ingreso]],-tblMovimientos[[#This Row],[Egreso]])</f>
        <v>-5199.1400000000003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44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15</v>
      </c>
      <c r="K782" s="5">
        <f>IF(F782="Ingreso",J782,-J782)</f>
        <v>-15</v>
      </c>
      <c r="L782" s="15" t="s">
        <v>132</v>
      </c>
      <c r="M782" s="44">
        <f>SUMIFS('Saldos Iniciales'!$D$2:$D$38,'Saldos Iniciales'!$A$2:$A$38,C782,'Saldos Iniciales'!$B$2:$B$38,D782)+SUMIFS($K$1:$K$806,$C$1:$C$806,C782,$D$1:$D$806,D782,$B$1:$B$806,"&lt;="&amp;B782)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15</v>
      </c>
      <c r="P782" s="28">
        <f>IF(tblMovimientos[[#This Row],[Tipo de Movimiento]]="Ingreso",tblMovimientos[[#This Row],[Ingreso]],-tblMovimientos[[#This Row],[Egreso]])</f>
        <v>-15</v>
      </c>
    </row>
    <row r="783" spans="1:16" x14ac:dyDescent="0.3">
      <c r="B783" s="39">
        <v>46248</v>
      </c>
      <c r="C783" s="46" t="str">
        <f>_xlfn.XLOOKUP(tblMovimientos[[#This Row],[Cuenta Bancaria]],Listas!$B:$B,Listas!$A:$A,"")</f>
        <v>2515 Overbrook</v>
      </c>
      <c r="D783" s="41" t="s">
        <v>121</v>
      </c>
      <c r="E783" s="75" t="str">
        <f>_xlfn.XLOOKUP(tblMovimientos[[#This Row],[Cuenta Bancaria]],Listas!$B:$B,Listas!$C:$C,"")</f>
        <v>Bank of America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>IF(F783="Ingreso",J783,-J783)</f>
        <v>-15</v>
      </c>
      <c r="L783" s="15" t="s">
        <v>132</v>
      </c>
      <c r="M783" s="44">
        <f>SUMIFS('Saldos Iniciales'!$D$2:$D$38,'Saldos Iniciales'!$A$2:$A$38,C783,'Saldos Iniciales'!$B$2:$B$38,D783)+SUMIFS($K$1:$K$806,$C$1:$C$806,C783,$D$1:$D$806,D783,$B$1:$B$806,"&lt;="&amp;B783)</f>
        <v>13375.289999999964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CFT Group</v>
      </c>
      <c r="D784" s="41" t="s">
        <v>95</v>
      </c>
      <c r="E784" s="7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61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100000</v>
      </c>
      <c r="K784" s="5">
        <f>IF(F784="Ingreso",J784,-J784)</f>
        <v>-100000</v>
      </c>
      <c r="L784" s="15" t="s">
        <v>132</v>
      </c>
      <c r="M784" s="44">
        <f>SUMIFS('Saldos Iniciales'!$D$2:$D$38,'Saldos Iniciales'!$A$2:$A$38,C784,'Saldos Iniciales'!$B$2:$B$38,D784)+SUMIFS($K$1:$K$806,$C$1:$C$806,C784,$D$1:$D$806,D784,$B$1:$B$806,"&lt;="&amp;B784)</f>
        <v>906435.08000000077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100000</v>
      </c>
      <c r="P784" s="28">
        <f>IF(tblMovimientos[[#This Row],[Tipo de Movimiento]]="Ingreso",tblMovimientos[[#This Row],[Ingreso]],-tblMovimientos[[#This Row],[Egreso]])</f>
        <v>-100000</v>
      </c>
    </row>
    <row r="785" spans="1:16" x14ac:dyDescent="0.3">
      <c r="B785" s="39">
        <v>46251</v>
      </c>
      <c r="C785" s="46" t="str">
        <f>_xlfn.XLOOKUP(tblMovimientos[[#This Row],[Cuenta Bancaria]],Listas!$B:$B,Listas!$A:$A,"")</f>
        <v>SSP Capital</v>
      </c>
      <c r="D785" s="41" t="s">
        <v>102</v>
      </c>
      <c r="E785" s="75" t="str">
        <f>_xlfn.XLOOKUP(tblMovimientos[[#This Row],[Cuenta Bancaria]],Listas!$B:$B,Listas!$C:$C,"")</f>
        <v>Bank of America</v>
      </c>
      <c r="F785" s="41" t="s">
        <v>10</v>
      </c>
      <c r="G785" s="41" t="s">
        <v>44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29.75</v>
      </c>
      <c r="K785" s="5">
        <f>IF(F785="Ingreso",J785,-J785)</f>
        <v>-29.75</v>
      </c>
      <c r="L785" s="15" t="s">
        <v>132</v>
      </c>
      <c r="M785" s="44">
        <f>SUMIFS('Saldos Iniciales'!$D$2:$D$38,'Saldos Iniciales'!$A$2:$A$38,C785,'Saldos Iniciales'!$B$2:$B$38,D785)+SUMIFS($K$1:$K$806,$C$1:$C$806,C785,$D$1:$D$806,D785,$B$1:$B$806,"&lt;="&amp;B785)</f>
        <v>1141.0700000000002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29.75</v>
      </c>
      <c r="P785" s="28">
        <f>IF(tblMovimientos[[#This Row],[Tipo de Movimiento]]="Ingreso",tblMovimientos[[#This Row],[Ingreso]],-tblMovimientos[[#This Row],[Egreso]])</f>
        <v>-29.75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A&amp;M Imports</v>
      </c>
      <c r="D786" s="41" t="s">
        <v>100</v>
      </c>
      <c r="E786" s="75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420.6</v>
      </c>
      <c r="K786" s="5">
        <f>IF(F786="Ingreso",J786,-J786)</f>
        <v>-420.6</v>
      </c>
      <c r="L786" s="15" t="s">
        <v>132</v>
      </c>
      <c r="M786" s="44">
        <f>SUMIFS('Saldos Iniciales'!$D$2:$D$38,'Saldos Iniciales'!$A$2:$A$38,C786,'Saldos Iniciales'!$B$2:$B$38,D786)+SUMIFS($K$1:$K$806,$C$1:$C$806,C786,$D$1:$D$806,D786,$B$1:$B$806,"&lt;="&amp;B786)</f>
        <v>1289031.3399999999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420.6</v>
      </c>
      <c r="P786" s="28">
        <f>IF(tblMovimientos[[#This Row],[Tipo de Movimiento]]="Ingreso",tblMovimientos[[#This Row],[Ingreso]],-tblMovimientos[[#This Row],[Egreso]])</f>
        <v>-420.6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SSP Capital</v>
      </c>
      <c r="D787" s="41" t="s">
        <v>104</v>
      </c>
      <c r="E787" s="7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39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34801.339999999997</v>
      </c>
      <c r="K787" s="5">
        <f>IF(F787="Ingreso",J787,-J787)</f>
        <v>-34801.339999999997</v>
      </c>
      <c r="L787" s="15" t="s">
        <v>132</v>
      </c>
      <c r="M787" s="44">
        <f>SUMIFS('Saldos Iniciales'!$D$2:$D$38,'Saldos Iniciales'!$A$2:$A$38,C787,'Saldos Iniciales'!$B$2:$B$38,D787)+SUMIFS($K$1:$K$806,$C$1:$C$806,C787,$D$1:$D$806,D787,$B$1:$B$806,"&lt;="&amp;B787)</f>
        <v>533239.1199999993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34801.339999999997</v>
      </c>
      <c r="P787" s="28">
        <f>IF(tblMovimientos[[#This Row],[Tipo de Movimiento]]="Ingreso",tblMovimientos[[#This Row],[Ingreso]],-tblMovimientos[[#This Row],[Egreso]])</f>
        <v>-34801.339999999997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Go Blue</v>
      </c>
      <c r="D788" s="41" t="s">
        <v>126</v>
      </c>
      <c r="E788" s="7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175</v>
      </c>
      <c r="K788" s="5">
        <f>IF(F788="Ingreso",J788,-J788)</f>
        <v>-175</v>
      </c>
      <c r="L788" s="15" t="s">
        <v>132</v>
      </c>
      <c r="M788" s="44">
        <f>SUMIFS('Saldos Iniciales'!$D$2:$D$38,'Saldos Iniciales'!$A$2:$A$38,C788,'Saldos Iniciales'!$B$2:$B$38,D788)+SUMIFS($K$1:$K$806,$C$1:$C$806,C788,$D$1:$D$806,D788,$B$1:$B$806,"&lt;="&amp;B788)</f>
        <v>12280.609999999997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175</v>
      </c>
      <c r="P788" s="28">
        <f>IF(tblMovimientos[[#This Row],[Tipo de Movimiento]]="Ingreso",tblMovimientos[[#This Row],[Ingreso]],-tblMovimientos[[#This Row],[Egreso]])</f>
        <v>-175</v>
      </c>
    </row>
    <row r="789" spans="1:16" x14ac:dyDescent="0.3">
      <c r="B789" s="39">
        <v>46252</v>
      </c>
      <c r="C789" s="46" t="str">
        <f>_xlfn.XLOOKUP(tblMovimientos[[#This Row],[Cuenta Bancaria]],Listas!$B:$B,Listas!$A:$A,"")</f>
        <v>SSP Capital</v>
      </c>
      <c r="D789" s="41" t="s">
        <v>101</v>
      </c>
      <c r="E789" s="75" t="str">
        <f>_xlfn.XLOOKUP(tblMovimientos[[#This Row],[Cuenta Bancaria]],Listas!$B:$B,Listas!$C:$C,"")</f>
        <v>Bank of America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2490.36</v>
      </c>
      <c r="K789" s="5">
        <f>IF(F789="Ingreso",J789,-J789)</f>
        <v>-2490.36</v>
      </c>
      <c r="L789" s="15" t="s">
        <v>132</v>
      </c>
      <c r="M789" s="44">
        <f>SUMIFS('Saldos Iniciales'!$D$2:$D$38,'Saldos Iniciales'!$A$2:$A$38,C789,'Saldos Iniciales'!$B$2:$B$38,D789)+SUMIFS($K$1:$K$806,$C$1:$C$806,C789,$D$1:$D$806,D789,$B$1:$B$806,"&lt;="&amp;B789)</f>
        <v>28347.43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2490.36</v>
      </c>
      <c r="P789" s="28">
        <f>IF(tblMovimientos[[#This Row],[Tipo de Movimiento]]="Ingreso",tblMovimientos[[#This Row],[Ingreso]],-tblMovimientos[[#This Row],[Egreso]])</f>
        <v>-2490.36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CFT Group</v>
      </c>
      <c r="D790" s="41" t="s">
        <v>94</v>
      </c>
      <c r="E790" s="76" t="str">
        <f>_xlfn.XLOOKUP(tblMovimientos[[#This Row],[Cuenta Bancaria]],Listas!$B:$B,Listas!$C:$C,"")</f>
        <v>Bank of America</v>
      </c>
      <c r="F790" s="41" t="s">
        <v>9</v>
      </c>
      <c r="G790" s="41" t="s">
        <v>68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105861.78</v>
      </c>
      <c r="K790" s="5">
        <f>IF(F790="Ingreso",J790,-J790)</f>
        <v>105861.78</v>
      </c>
      <c r="L790" s="15" t="s">
        <v>132</v>
      </c>
      <c r="M790" s="44">
        <f>SUMIFS('Saldos Iniciales'!$D$2:$D$38,'Saldos Iniciales'!$A$2:$A$38,C790,'Saldos Iniciales'!$B$2:$B$38,D790)+SUMIFS($K$1:$K$806,$C$1:$C$806,C790,$D$1:$D$806,D790,$B$1:$B$806,"&lt;="&amp;B790)</f>
        <v>135413.04999999999</v>
      </c>
      <c r="N790" s="65">
        <f>IF(tblMovimientos[[#This Row],[Tipo de Movimiento]]="Ingreso",tblMovimientos[[#This Row],[Monto (S/)]],"0")</f>
        <v>105861.78</v>
      </c>
      <c r="O790" s="65" t="str">
        <f>IF(tblMovimientos[[#This Row],[Tipo de Movimiento]]="Egreso",tblMovimientos[[#This Row],[Monto (S/)]],"0")</f>
        <v>0</v>
      </c>
      <c r="P790" s="28">
        <f>IF(tblMovimientos[[#This Row],[Tipo de Movimiento]]="Ingreso",tblMovimientos[[#This Row],[Ingreso]],-tblMovimientos[[#This Row],[Egreso]])</f>
        <v>105861.78</v>
      </c>
    </row>
    <row r="791" spans="1:16" x14ac:dyDescent="0.3">
      <c r="B791" s="39">
        <v>46253</v>
      </c>
      <c r="C791" s="46" t="str">
        <f>_xlfn.XLOOKUP(tblMovimientos[[#This Row],[Cuenta Bancaria]],Listas!$B:$B,Listas!$A:$A,"")</f>
        <v>SSP Capital</v>
      </c>
      <c r="D791" s="41" t="s">
        <v>101</v>
      </c>
      <c r="E791" s="75" t="str">
        <f>_xlfn.XLOOKUP(tblMovimientos[[#This Row],[Cuenta Bancaria]],Listas!$B:$B,Listas!$C:$C,"")</f>
        <v>Bank of America</v>
      </c>
      <c r="F791" s="41" t="s">
        <v>10</v>
      </c>
      <c r="G791" s="41" t="s">
        <v>41</v>
      </c>
      <c r="H791" s="77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737.04</v>
      </c>
      <c r="K791" s="5">
        <f t="shared" ref="K791:K806" si="0">IF(F791="Ingreso",J791,-J791)</f>
        <v>-737.04</v>
      </c>
      <c r="L791" s="15" t="s">
        <v>132</v>
      </c>
      <c r="M791" s="44">
        <f>SUMIFS('Saldos Iniciales'!$D$2:$D$38,'Saldos Iniciales'!$A$2:$A$38,C791,'Saldos Iniciales'!$B$2:$B$38,D791)+SUMIFS($K$1:$K$806,$C$1:$C$806,C791,$D$1:$D$806,D791,$B$1:$B$806,"&lt;="&amp;B791)</f>
        <v>27610.39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737.04</v>
      </c>
      <c r="P791" s="28">
        <f>IF(tblMovimientos[[#This Row],[Tipo de Movimiento]]="Ingreso",tblMovimientos[[#This Row],[Ingreso]],-tblMovimientos[[#This Row],[Egreso]])</f>
        <v>-737.04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102</v>
      </c>
      <c r="E792" s="75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77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166.66</v>
      </c>
      <c r="K792" s="5">
        <f t="shared" si="0"/>
        <v>-166.66</v>
      </c>
      <c r="L792" s="15" t="s">
        <v>132</v>
      </c>
      <c r="M792" s="44">
        <f>SUMIFS('Saldos Iniciales'!$D$2:$D$38,'Saldos Iniciales'!$A$2:$A$38,C792,'Saldos Iniciales'!$B$2:$B$38,D792)+SUMIFS($K$1:$K$806,$C$1:$C$806,C792,$D$1:$D$806,D792,$B$1:$B$806,"&lt;="&amp;B792)</f>
        <v>974.41000000000008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166.66</v>
      </c>
      <c r="P792" s="28">
        <f>IF(tblMovimientos[[#This Row],[Tipo de Movimiento]]="Ingreso",tblMovimientos[[#This Row],[Ingreso]],-tblMovimientos[[#This Row],[Egreso]])</f>
        <v>-166.66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104</v>
      </c>
      <c r="E793" s="7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76</v>
      </c>
      <c r="H793" s="77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500000</v>
      </c>
      <c r="K793" s="5">
        <f t="shared" si="0"/>
        <v>500000</v>
      </c>
      <c r="L793" s="15" t="s">
        <v>132</v>
      </c>
      <c r="M793" s="44">
        <f>SUMIFS('Saldos Iniciales'!$D$2:$D$38,'Saldos Iniciales'!$A$2:$A$38,C793,'Saldos Iniciales'!$B$2:$B$38,D793)+SUMIFS($K$1:$K$806,$C$1:$C$806,C793,$D$1:$D$806,D793,$B$1:$B$806,"&lt;="&amp;B793)</f>
        <v>1033239.1199999993</v>
      </c>
      <c r="N793" s="65">
        <f>IF(tblMovimientos[[#This Row],[Tipo de Movimiento]]="Ingreso",tblMovimientos[[#This Row],[Monto (S/)]],"0")</f>
        <v>500000</v>
      </c>
      <c r="O793" s="65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500000</v>
      </c>
    </row>
    <row r="794" spans="1:16" x14ac:dyDescent="0.3">
      <c r="B794" s="39">
        <v>46254</v>
      </c>
      <c r="C794" s="46" t="str">
        <f>_xlfn.XLOOKUP(tblMovimientos[[#This Row],[Cuenta Bancaria]],Listas!$B:$B,Listas!$A:$A,"")</f>
        <v>CFT Group</v>
      </c>
      <c r="D794" s="41" t="s">
        <v>95</v>
      </c>
      <c r="E794" s="7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77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3833.33</v>
      </c>
      <c r="K794" s="5">
        <f t="shared" si="0"/>
        <v>-3833.33</v>
      </c>
      <c r="L794" s="15" t="s">
        <v>132</v>
      </c>
      <c r="M794" s="44">
        <f>SUMIFS('Saldos Iniciales'!$D$2:$D$38,'Saldos Iniciales'!$A$2:$A$38,C794,'Saldos Iniciales'!$B$2:$B$38,D794)+SUMIFS($K$1:$K$806,$C$1:$C$806,C794,$D$1:$D$806,D794,$B$1:$B$806,"&lt;="&amp;B794)</f>
        <v>561560.08000000077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3833.33</v>
      </c>
      <c r="P794" s="28">
        <f>IF(tblMovimientos[[#This Row],[Tipo de Movimiento]]="Ingreso",tblMovimientos[[#This Row],[Ingreso]],-tblMovimientos[[#This Row],[Egreso]])</f>
        <v>-3833.33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5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77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70000</v>
      </c>
      <c r="K795" s="5">
        <f t="shared" si="0"/>
        <v>-70000</v>
      </c>
      <c r="L795" s="15" t="s">
        <v>132</v>
      </c>
      <c r="M795" s="44">
        <f>SUMIFS('Saldos Iniciales'!$D$2:$D$38,'Saldos Iniciales'!$A$2:$A$38,C795,'Saldos Iniciales'!$B$2:$B$38,D795)+SUMIFS($K$1:$K$806,$C$1:$C$806,C795,$D$1:$D$806,D795,$B$1:$B$806,"&lt;="&amp;B795)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70000</v>
      </c>
      <c r="P795" s="28">
        <f>IF(tblMovimientos[[#This Row],[Tipo de Movimiento]]="Ingreso",tblMovimientos[[#This Row],[Ingreso]],-tblMovimientos[[#This Row],[Egreso]])</f>
        <v>-70000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77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71041.67</v>
      </c>
      <c r="K796" s="5">
        <f t="shared" si="0"/>
        <v>-71041.67</v>
      </c>
      <c r="L796" s="15" t="s">
        <v>132</v>
      </c>
      <c r="M796" s="44">
        <f>SUMIFS('Saldos Iniciales'!$D$2:$D$38,'Saldos Iniciales'!$A$2:$A$38,C796,'Saldos Iniciales'!$B$2:$B$38,D796)+SUMIFS($K$1:$K$806,$C$1:$C$806,C796,$D$1:$D$806,D796,$B$1:$B$806,"&lt;="&amp;B796)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71041.67</v>
      </c>
      <c r="P796" s="28">
        <f>IF(tblMovimientos[[#This Row],[Tipo de Movimiento]]="Ingreso",tblMovimientos[[#This Row],[Ingreso]],-tblMovimientos[[#This Row],[Egreso]])</f>
        <v>-71041.67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77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100000</v>
      </c>
      <c r="K797" s="5">
        <f t="shared" si="0"/>
        <v>-100000</v>
      </c>
      <c r="L797" s="15" t="s">
        <v>132</v>
      </c>
      <c r="M797" s="44">
        <f>SUMIFS('Saldos Iniciales'!$D$2:$D$38,'Saldos Iniciales'!$A$2:$A$38,C797,'Saldos Iniciales'!$B$2:$B$38,D797)+SUMIFS($K$1:$K$806,$C$1:$C$806,C797,$D$1:$D$806,D797,$B$1:$B$806,"&lt;="&amp;B797)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100000</v>
      </c>
      <c r="P797" s="28">
        <f>IF(tblMovimientos[[#This Row],[Tipo de Movimiento]]="Ingreso",tblMovimientos[[#This Row],[Ingreso]],-tblMovimientos[[#This Row],[Egreso]])</f>
        <v>-100000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77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0"/>
        <v>-100000</v>
      </c>
      <c r="L798" s="15" t="s">
        <v>132</v>
      </c>
      <c r="M798" s="44">
        <f>SUMIFS('Saldos Iniciales'!$D$2:$D$38,'Saldos Iniciales'!$A$2:$A$38,C798,'Saldos Iniciales'!$B$2:$B$38,D798)+SUMIFS($K$1:$K$806,$C$1:$C$806,C798,$D$1:$D$806,D798,$B$1:$B$806,"&lt;="&amp;B798)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SSP Capital</v>
      </c>
      <c r="D799" s="41" t="s">
        <v>104</v>
      </c>
      <c r="E799" s="7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77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2555.56</v>
      </c>
      <c r="K799" s="5">
        <f t="shared" si="0"/>
        <v>-2555.56</v>
      </c>
      <c r="L799" s="15" t="s">
        <v>132</v>
      </c>
      <c r="M799" s="44">
        <f>SUMIFS('Saldos Iniciales'!$D$2:$D$38,'Saldos Iniciales'!$A$2:$A$38,C799,'Saldos Iniciales'!$B$2:$B$38,D799)+SUMIFS($K$1:$K$806,$C$1:$C$806,C799,$D$1:$D$806,D799,$B$1:$B$806,"&lt;="&amp;B799)</f>
        <v>897489.10999999929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2555.56</v>
      </c>
      <c r="P799" s="28">
        <f>IF(tblMovimientos[[#This Row],[Tipo de Movimiento]]="Ingreso",tblMovimientos[[#This Row],[Ingreso]],-tblMovimientos[[#This Row],[Egreso]])</f>
        <v>-2555.56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5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77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26250</v>
      </c>
      <c r="K800" s="5">
        <f t="shared" si="0"/>
        <v>-26250</v>
      </c>
      <c r="L800" s="15" t="s">
        <v>132</v>
      </c>
      <c r="M800" s="44">
        <f>SUMIFS('Saldos Iniciales'!$D$2:$D$38,'Saldos Iniciales'!$A$2:$A$38,C800,'Saldos Iniciales'!$B$2:$B$38,D800)+SUMIFS($K$1:$K$806,$C$1:$C$806,C800,$D$1:$D$806,D800,$B$1:$B$806,"&lt;="&amp;B800)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26250</v>
      </c>
      <c r="P800" s="28">
        <f>IF(tblMovimientos[[#This Row],[Tipo de Movimiento]]="Ingreso",tblMovimientos[[#This Row],[Ingreso]],-tblMovimientos[[#This Row],[Egreso]])</f>
        <v>-26250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5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77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47361.11</v>
      </c>
      <c r="K801" s="5">
        <f t="shared" si="0"/>
        <v>-47361.11</v>
      </c>
      <c r="L801" s="15" t="s">
        <v>132</v>
      </c>
      <c r="M801" s="44">
        <f>SUMIFS('Saldos Iniciales'!$D$2:$D$38,'Saldos Iniciales'!$A$2:$A$38,C801,'Saldos Iniciales'!$B$2:$B$38,D801)+SUMIFS($K$1:$K$806,$C$1:$C$806,C801,$D$1:$D$806,D801,$B$1:$B$806,"&lt;="&amp;B801)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47361.11</v>
      </c>
      <c r="P801" s="28">
        <f>IF(tblMovimientos[[#This Row],[Tipo de Movimiento]]="Ingreso",tblMovimientos[[#This Row],[Ingreso]],-tblMovimientos[[#This Row],[Egreso]])</f>
        <v>-47361.11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5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77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59583.34</v>
      </c>
      <c r="K802" s="5">
        <f t="shared" si="0"/>
        <v>-59583.34</v>
      </c>
      <c r="L802" s="15" t="s">
        <v>132</v>
      </c>
      <c r="M802" s="44">
        <f>SUMIFS('Saldos Iniciales'!$D$2:$D$38,'Saldos Iniciales'!$A$2:$A$38,C802,'Saldos Iniciales'!$B$2:$B$38,D802)+SUMIFS($K$1:$K$806,$C$1:$C$806,C802,$D$1:$D$806,D802,$B$1:$B$806,"&lt;="&amp;B802)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59583.34</v>
      </c>
      <c r="P802" s="28">
        <f>IF(tblMovimientos[[#This Row],[Tipo de Movimiento]]="Ingreso",tblMovimientos[[#This Row],[Ingreso]],-tblMovimientos[[#This Row],[Egreso]])</f>
        <v>-59583.34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Go Blue</v>
      </c>
      <c r="D803" s="41" t="s">
        <v>126</v>
      </c>
      <c r="E803" s="7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40</v>
      </c>
      <c r="H803" s="77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1809.12</v>
      </c>
      <c r="K803" s="5">
        <f t="shared" si="0"/>
        <v>-1809.12</v>
      </c>
      <c r="L803" s="15" t="s">
        <v>132</v>
      </c>
      <c r="M803" s="44">
        <f>SUMIFS('Saldos Iniciales'!$D$2:$D$38,'Saldos Iniciales'!$A$2:$A$38,C803,'Saldos Iniciales'!$B$2:$B$38,D803)+SUMIFS($K$1:$K$806,$C$1:$C$806,C803,$D$1:$D$806,D803,$B$1:$B$806,"&lt;="&amp;B803)</f>
        <v>10456.489999999998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1809.12</v>
      </c>
      <c r="P803" s="28">
        <f>IF(tblMovimientos[[#This Row],[Tipo de Movimiento]]="Ingreso",tblMovimientos[[#This Row],[Ingreso]],-tblMovimientos[[#This Row],[Egreso]])</f>
        <v>-1809.12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5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44</v>
      </c>
      <c r="H804" s="77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15</v>
      </c>
      <c r="K804" s="5">
        <f t="shared" si="0"/>
        <v>-15</v>
      </c>
      <c r="L804" s="15" t="s">
        <v>132</v>
      </c>
      <c r="M804" s="44">
        <f>SUMIFS('Saldos Iniciales'!$D$2:$D$38,'Saldos Iniciales'!$A$2:$A$38,C804,'Saldos Iniciales'!$B$2:$B$38,D804)+SUMIFS($K$1:$K$806,$C$1:$C$806,C804,$D$1:$D$806,D804,$B$1:$B$806,"&lt;="&amp;B804)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15</v>
      </c>
      <c r="P804" s="28">
        <f>IF(tblMovimientos[[#This Row],[Tipo de Movimiento]]="Ingreso",tblMovimientos[[#This Row],[Ingreso]],-tblMovimientos[[#This Row],[Egreso]])</f>
        <v>-15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SSP Capital</v>
      </c>
      <c r="D805" s="41" t="s">
        <v>101</v>
      </c>
      <c r="E805" s="75" t="str">
        <f>_xlfn.XLOOKUP(tblMovimientos[[#This Row],[Cuenta Bancaria]],Listas!$B:$B,Listas!$C:$C,"")</f>
        <v>Bank of America</v>
      </c>
      <c r="F805" s="41" t="s">
        <v>10</v>
      </c>
      <c r="G805" s="41" t="s">
        <v>41</v>
      </c>
      <c r="H805" s="77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780.9</v>
      </c>
      <c r="K805" s="5">
        <f t="shared" si="0"/>
        <v>-780.9</v>
      </c>
      <c r="L805" s="15" t="s">
        <v>132</v>
      </c>
      <c r="M805" s="44">
        <f>SUMIFS('Saldos Iniciales'!$D$2:$D$38,'Saldos Iniciales'!$A$2:$A$38,C805,'Saldos Iniciales'!$B$2:$B$38,D805)+SUMIFS($K$1:$K$806,$C$1:$C$806,C805,$D$1:$D$806,D805,$B$1:$B$806,"&lt;="&amp;B805)</f>
        <v>26829.489999999998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780.9</v>
      </c>
      <c r="P805" s="28">
        <f>IF(tblMovimientos[[#This Row],[Tipo de Movimiento]]="Ingreso",tblMovimientos[[#This Row],[Ingreso]],-tblMovimientos[[#This Row],[Egreso]])</f>
        <v>-780.9</v>
      </c>
    </row>
    <row r="806" spans="1:16" x14ac:dyDescent="0.3">
      <c r="A806" s="45"/>
      <c r="B806" s="78">
        <v>46254</v>
      </c>
      <c r="C806" s="46" t="str">
        <f>_xlfn.XLOOKUP(tblMovimientos[[#This Row],[Cuenta Bancaria]],Listas!$B:$B,Listas!$A:$A,"")</f>
        <v>A&amp;M Imports</v>
      </c>
      <c r="D806" s="79" t="s">
        <v>100</v>
      </c>
      <c r="E806" s="76" t="str">
        <f>_xlfn.XLOOKUP(tblMovimientos[[#This Row],[Cuenta Bancaria]],Listas!$B:$B,Listas!$C:$C,"")</f>
        <v>Bank of America</v>
      </c>
      <c r="F806" s="79" t="s">
        <v>10</v>
      </c>
      <c r="G806" s="79" t="s">
        <v>61</v>
      </c>
      <c r="H806" s="80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60000</v>
      </c>
      <c r="K806" s="5">
        <f t="shared" si="0"/>
        <v>-60000</v>
      </c>
      <c r="L806" s="15" t="s">
        <v>132</v>
      </c>
      <c r="M806" s="44">
        <f>SUMIFS('Saldos Iniciales'!$D$2:$D$38,'Saldos Iniciales'!$A$2:$A$38,C806,'Saldos Iniciales'!$B$2:$B$38,D806)+SUMIFS($K$1:$K$806,$C$1:$C$806,C806,$D$1:$D$806,D806,$B$1:$B$806,"&lt;="&amp;B806)</f>
        <v>1229031.3399999999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60000</v>
      </c>
      <c r="P806" s="28">
        <f>IF(tblMovimientos[[#This Row],[Tipo de Movimiento]]="Ingreso",tblMovimientos[[#This Row],[Ingreso]],-tblMovimientos[[#This Row],[Egreso]])</f>
        <v>-60000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C2:C806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G2:G806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F2:F806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1215780.6000000008</v>
      </c>
      <c r="E2" s="37">
        <f>C2+D2</f>
        <v>1632458.8600000008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1323441.8400000073</v>
      </c>
      <c r="E3" s="37">
        <f t="shared" ref="E3:E9" si="0">C3+D3</f>
        <v>2490743.3700000071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SUMIFS(Movimientos!$J$1:$J$806,Movimientos!$C$1:$C$806,$B2,Movimientos!$D$1:$D$806,$C2,Movimientos!$L$1:$L$806,A$3,Movimientos!$F$1:$F$806,"Ingreso")</f>
        <v>490932.83999999997</v>
      </c>
      <c r="K2" s="44">
        <f>SUMIFS(Movimientos!$J$1:$J$806,Movimientos!$C$1:$C$806,$B2,Movimientos!$D$1:$D$806,$C2,Movimientos!$L$1:$L$806,A$3,Movimientos!$F$1:$F$806,"Egreso")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SUMIFS(Movimientos!$J$1:$J$806,Movimientos!$C$1:$C$806,$B2,Movimientos!$D$1:$D$806,$C2,Movimientos!$L$1:$L$806,A$4,Movimientos!$F$1:$F$806,"Ingreso")</f>
        <v>215870.71999999997</v>
      </c>
      <c r="P2" s="44">
        <f>SUMIFS(Movimientos!$J$1:$J$806,Movimientos!$C$1:$C$806,$B2,Movimientos!$D$1:$D$806,$C2,Movimientos!$L$1:$L$806,A$4,Movimientos!$F$1:$F$806,"Egreso")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SUMIFS(Movimientos!$J$1:$J$806,Movimientos!$C$1:$C$806,$B2,Movimientos!$D$1:$D$806,$C2,Movimientos!$L$1:$L$806,A$5,Movimientos!$F$1:$F$806,"Ingreso")</f>
        <v>212548.35</v>
      </c>
      <c r="U2" s="44">
        <f>SUMIFS(Movimientos!$J$1:$J$806,Movimientos!$C$1:$C$806,$B2,Movimientos!$D$1:$D$806,$C2,Movimientos!$L$1:$L$806,A$5,Movimientos!$F$1:$F$806,"Egreso")</f>
        <v>310000</v>
      </c>
      <c r="V2" s="7">
        <f>+T2-U2</f>
        <v>-97451.65</v>
      </c>
      <c r="W2" s="12">
        <f>S2+T2-U2</f>
        <v>135413.05000000016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SUMIFS(Movimientos!$J$1:$J$806,Movimientos!$C$1:$C$806,$B3,Movimientos!$D$1:$D$806,$C3,Movimientos!$L$1:$L$806,A$3,Movimientos!$F$1:$F$806,"Ingreso")</f>
        <v>8947382.8399999999</v>
      </c>
      <c r="K3" s="44">
        <f>SUMIFS(Movimientos!$J$1:$J$806,Movimientos!$C$1:$C$806,$B3,Movimientos!$D$1:$D$806,$C3,Movimientos!$L$1:$L$806,A$3,Movimientos!$F$1:$F$806,"Egreso")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SUMIFS(Movimientos!$J$1:$J$806,Movimientos!$C$1:$C$806,$B3,Movimientos!$D$1:$D$806,$C3,Movimientos!$L$1:$L$806,A$4,Movimientos!$F$1:$F$806,"Ingreso")</f>
        <v>250000</v>
      </c>
      <c r="P3" s="44">
        <f>SUMIFS(Movimientos!$J$1:$J$806,Movimientos!$C$1:$C$806,$B3,Movimientos!$D$1:$D$806,$C3,Movimientos!$L$1:$L$806,A$4,Movimientos!$F$1:$F$806,"Egreso")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SUMIFS(Movimientos!$J$1:$J$806,Movimientos!$C$1:$C$806,$B3,Movimientos!$D$1:$D$806,$C3,Movimientos!$L$1:$L$806,A$5,Movimientos!$F$1:$F$806,"Ingreso")</f>
        <v>818088.19</v>
      </c>
      <c r="U3" s="44">
        <f>SUMIFS(Movimientos!$J$1:$J$806,Movimientos!$C$1:$C$806,$B3,Movimientos!$D$1:$D$806,$C3,Movimientos!$L$1:$L$806,A$5,Movimientos!$F$1:$F$806,"Egreso")</f>
        <v>2486439.46</v>
      </c>
      <c r="V3" s="7">
        <f t="shared" ref="V3:V35" si="2">+T3-U3</f>
        <v>-1668351.27</v>
      </c>
      <c r="W3" s="12">
        <f>S3+T3-U3</f>
        <v>561560.07999999961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SUMIFS(Movimientos!$J$1:$J$806,Movimientos!$C$1:$C$806,$B4,Movimientos!$D$1:$D$806,$C4,Movimientos!$L$1:$L$806,A$3,Movimientos!$F$1:$F$806,"Ingreso")</f>
        <v>0</v>
      </c>
      <c r="K4" s="44">
        <f>SUMIFS(Movimientos!$J$1:$J$806,Movimientos!$C$1:$C$806,$B4,Movimientos!$D$1:$D$806,$C4,Movimientos!$L$1:$L$806,A$3,Movimientos!$F$1:$F$806,"Egreso")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SUMIFS(Movimientos!$J$1:$J$806,Movimientos!$C$1:$C$806,$B4,Movimientos!$D$1:$D$806,$C4,Movimientos!$L$1:$L$806,A$4,Movimientos!$F$1:$F$806,"Ingreso")</f>
        <v>0</v>
      </c>
      <c r="P4" s="44">
        <f>SUMIFS(Movimientos!$J$1:$J$806,Movimientos!$C$1:$C$806,$B4,Movimientos!$D$1:$D$806,$C4,Movimientos!$L$1:$L$806,A$4,Movimientos!$F$1:$F$806,"Egreso")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SUMIFS(Movimientos!$J$1:$J$806,Movimientos!$C$1:$C$806,$B4,Movimientos!$D$1:$D$806,$C4,Movimientos!$L$1:$L$806,A$5,Movimientos!$F$1:$F$806,"Ingreso")</f>
        <v>0</v>
      </c>
      <c r="U4" s="44">
        <f>SUMIFS(Movimientos!$J$1:$J$806,Movimientos!$C$1:$C$806,$B4,Movimientos!$D$1:$D$806,$C4,Movimientos!$L$1:$L$806,A$5,Movimientos!$F$1:$F$806,"Egreso")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SUMIFS(Movimientos!$J$1:$J$806,Movimientos!$C$1:$C$806,$B5,Movimientos!$D$1:$D$806,$C5,Movimientos!$L$1:$L$806,A$3,Movimientos!$F$1:$F$806,"Ingreso")</f>
        <v>16742.400000000001</v>
      </c>
      <c r="K5" s="44">
        <f>SUMIFS(Movimientos!$J$1:$J$806,Movimientos!$C$1:$C$806,$B5,Movimientos!$D$1:$D$806,$C5,Movimientos!$L$1:$L$806,A$3,Movimientos!$F$1:$F$806,"Egreso")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SUMIFS(Movimientos!$J$1:$J$806,Movimientos!$C$1:$C$806,$B5,Movimientos!$D$1:$D$806,$C5,Movimientos!$L$1:$L$806,A$4,Movimientos!$F$1:$F$806,"Ingreso")</f>
        <v>10053.57</v>
      </c>
      <c r="P5" s="44">
        <f>SUMIFS(Movimientos!$J$1:$J$806,Movimientos!$C$1:$C$806,$B5,Movimientos!$D$1:$D$806,$C5,Movimientos!$L$1:$L$806,A$4,Movimientos!$F$1:$F$806,"Egreso")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SUMIFS(Movimientos!$J$1:$J$806,Movimientos!$C$1:$C$806,$B5,Movimientos!$D$1:$D$806,$C5,Movimientos!$L$1:$L$806,A$5,Movimientos!$F$1:$F$806,"Ingreso")</f>
        <v>0</v>
      </c>
      <c r="U5" s="44">
        <f>SUMIFS(Movimientos!$J$1:$J$806,Movimientos!$C$1:$C$806,$B5,Movimientos!$D$1:$D$806,$C5,Movimientos!$L$1:$L$806,A$5,Movimientos!$F$1:$F$806,"Egreso")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SUMIFS(Movimientos!$J$1:$J$806,Movimientos!$C$1:$C$806,$B6,Movimientos!$D$1:$D$806,$C6,Movimientos!$L$1:$L$806,A$3,Movimientos!$F$1:$F$806,"Ingreso")</f>
        <v>0</v>
      </c>
      <c r="K6" s="44">
        <f>SUMIFS(Movimientos!$J$1:$J$806,Movimientos!$C$1:$C$806,$B6,Movimientos!$D$1:$D$806,$C6,Movimientos!$L$1:$L$806,A$3,Movimientos!$F$1:$F$806,"Egreso")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SUMIFS(Movimientos!$J$1:$J$806,Movimientos!$C$1:$C$806,$B6,Movimientos!$D$1:$D$806,$C6,Movimientos!$L$1:$L$806,A$4,Movimientos!$F$1:$F$806,"Ingreso")</f>
        <v>0</v>
      </c>
      <c r="P6" s="44">
        <f>SUMIFS(Movimientos!$J$1:$J$806,Movimientos!$C$1:$C$806,$B6,Movimientos!$D$1:$D$806,$C6,Movimientos!$L$1:$L$806,A$4,Movimientos!$F$1:$F$806,"Egreso")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SUMIFS(Movimientos!$J$1:$J$806,Movimientos!$C$1:$C$806,$B6,Movimientos!$D$1:$D$806,$C6,Movimientos!$L$1:$L$806,A$5,Movimientos!$F$1:$F$806,"Ingreso")</f>
        <v>0</v>
      </c>
      <c r="U6" s="44">
        <f>SUMIFS(Movimientos!$J$1:$J$806,Movimientos!$C$1:$C$806,$B6,Movimientos!$D$1:$D$806,$C6,Movimientos!$L$1:$L$806,A$5,Movimientos!$F$1:$F$806,"Egreso")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SUMIFS(Movimientos!$J$1:$J$806,Movimientos!$C$1:$C$806,$B7,Movimientos!$D$1:$D$806,$C7,Movimientos!$L$1:$L$806,A$3,Movimientos!$F$1:$F$806,"Ingreso")</f>
        <v>0</v>
      </c>
      <c r="K7" s="44">
        <f>SUMIFS(Movimientos!$J$1:$J$806,Movimientos!$C$1:$C$806,$B7,Movimientos!$D$1:$D$806,$C7,Movimientos!$L$1:$L$806,A$3,Movimientos!$F$1:$F$806,"Egreso")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SUMIFS(Movimientos!$J$1:$J$806,Movimientos!$C$1:$C$806,$B7,Movimientos!$D$1:$D$806,$C7,Movimientos!$L$1:$L$806,A$4,Movimientos!$F$1:$F$806,"Ingreso")</f>
        <v>0</v>
      </c>
      <c r="P7" s="44">
        <f>SUMIFS(Movimientos!$J$1:$J$806,Movimientos!$C$1:$C$806,$B7,Movimientos!$D$1:$D$806,$C7,Movimientos!$L$1:$L$806,A$4,Movimientos!$F$1:$F$806,"Egreso")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SUMIFS(Movimientos!$J$1:$J$806,Movimientos!$C$1:$C$806,$B7,Movimientos!$D$1:$D$806,$C7,Movimientos!$L$1:$L$806,A$5,Movimientos!$F$1:$F$806,"Ingreso")</f>
        <v>0</v>
      </c>
      <c r="U7" s="44">
        <f>SUMIFS(Movimientos!$J$1:$J$806,Movimientos!$C$1:$C$806,$B7,Movimientos!$D$1:$D$806,$C7,Movimientos!$L$1:$L$806,A$5,Movimientos!$F$1:$F$806,"Egreso")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SUMIFS(Movimientos!$J$1:$J$806,Movimientos!$C$1:$C$806,$B8,Movimientos!$D$1:$D$806,$C8,Movimientos!$L$1:$L$806,A$3,Movimientos!$F$1:$F$806,"Ingreso")</f>
        <v>440602.39</v>
      </c>
      <c r="K8" s="44">
        <f>SUMIFS(Movimientos!$J$1:$J$806,Movimientos!$C$1:$C$806,$B8,Movimientos!$D$1:$D$806,$C8,Movimientos!$L$1:$L$806,A$3,Movimientos!$F$1:$F$806,"Egreso")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SUMIFS(Movimientos!$J$1:$J$806,Movimientos!$C$1:$C$806,$B8,Movimientos!$D$1:$D$806,$C8,Movimientos!$L$1:$L$806,A$4,Movimientos!$F$1:$F$806,"Ingreso")</f>
        <v>1306812.04</v>
      </c>
      <c r="P8" s="44">
        <f>SUMIFS(Movimientos!$J$1:$J$806,Movimientos!$C$1:$C$806,$B8,Movimientos!$D$1:$D$806,$C8,Movimientos!$L$1:$L$806,A$4,Movimientos!$F$1:$F$806,"Egreso")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SUMIFS(Movimientos!$J$1:$J$806,Movimientos!$C$1:$C$806,$B8,Movimientos!$D$1:$D$806,$C8,Movimientos!$L$1:$L$806,A$5,Movimientos!$F$1:$F$806,"Ingreso")</f>
        <v>0</v>
      </c>
      <c r="U8" s="44">
        <f>SUMIFS(Movimientos!$J$1:$J$806,Movimientos!$C$1:$C$806,$B8,Movimientos!$D$1:$D$806,$C8,Movimientos!$L$1:$L$806,A$5,Movimientos!$F$1:$F$806,"Egreso")</f>
        <v>229394.69999999998</v>
      </c>
      <c r="V8" s="7">
        <f t="shared" si="2"/>
        <v>-229394.69999999998</v>
      </c>
      <c r="W8" s="12">
        <f t="shared" si="9"/>
        <v>1229031.3399999996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SUMIFS(Movimientos!$J$1:$J$806,Movimientos!$C$1:$C$806,$B9,Movimientos!$D$1:$D$806,$C9,Movimientos!$L$1:$L$806,A$3,Movimientos!$F$1:$F$806,"Ingreso")</f>
        <v>15307.88</v>
      </c>
      <c r="K9" s="44">
        <f>SUMIFS(Movimientos!$J$1:$J$806,Movimientos!$C$1:$C$806,$B9,Movimientos!$D$1:$D$806,$C9,Movimientos!$L$1:$L$806,A$3,Movimientos!$F$1:$F$806,"Egreso")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SUMIFS(Movimientos!$J$1:$J$806,Movimientos!$C$1:$C$806,$B9,Movimientos!$D$1:$D$806,$C9,Movimientos!$L$1:$L$806,A$4,Movimientos!$F$1:$F$806,"Ingreso")</f>
        <v>15280.15</v>
      </c>
      <c r="P9" s="44">
        <f>SUMIFS(Movimientos!$J$1:$J$806,Movimientos!$C$1:$C$806,$B9,Movimientos!$D$1:$D$806,$C9,Movimientos!$L$1:$L$806,A$4,Movimientos!$F$1:$F$806,"Egreso")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SUMIFS(Movimientos!$J$1:$J$806,Movimientos!$C$1:$C$806,$B9,Movimientos!$D$1:$D$806,$C9,Movimientos!$L$1:$L$806,A$5,Movimientos!$F$1:$F$806,"Ingreso")</f>
        <v>35280.15</v>
      </c>
      <c r="U9" s="44">
        <f>SUMIFS(Movimientos!$J$1:$J$806,Movimientos!$C$1:$C$806,$B9,Movimientos!$D$1:$D$806,$C9,Movimientos!$L$1:$L$806,A$5,Movimientos!$F$1:$F$806,"Egreso")</f>
        <v>13595.429999999998</v>
      </c>
      <c r="V9" s="7">
        <f t="shared" si="2"/>
        <v>21684.720000000001</v>
      </c>
      <c r="W9" s="12">
        <f t="shared" si="9"/>
        <v>26829.489999999998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SUMIFS(Movimientos!$J$1:$J$806,Movimientos!$C$1:$C$806,$B10,Movimientos!$D$1:$D$806,$C10,Movimientos!$L$1:$L$806,A$3,Movimientos!$F$1:$F$806,"Ingreso")</f>
        <v>0</v>
      </c>
      <c r="K10" s="44">
        <f>SUMIFS(Movimientos!$J$1:$J$806,Movimientos!$C$1:$C$806,$B10,Movimientos!$D$1:$D$806,$C10,Movimientos!$L$1:$L$806,A$3,Movimientos!$F$1:$F$806,"Egreso")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SUMIFS(Movimientos!$J$1:$J$806,Movimientos!$C$1:$C$806,$B10,Movimientos!$D$1:$D$806,$C10,Movimientos!$L$1:$L$806,A$4,Movimientos!$F$1:$F$806,"Ingreso")</f>
        <v>1000</v>
      </c>
      <c r="P10" s="44">
        <f>SUMIFS(Movimientos!$J$1:$J$806,Movimientos!$C$1:$C$806,$B10,Movimientos!$D$1:$D$806,$C10,Movimientos!$L$1:$L$806,A$4,Movimientos!$F$1:$F$806,"Egreso")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SUMIFS(Movimientos!$J$1:$J$806,Movimientos!$C$1:$C$806,$B10,Movimientos!$D$1:$D$806,$C10,Movimientos!$L$1:$L$806,A$5,Movimientos!$F$1:$F$806,"Ingreso")</f>
        <v>0</v>
      </c>
      <c r="U10" s="44">
        <f>SUMIFS(Movimientos!$J$1:$J$806,Movimientos!$C$1:$C$806,$B10,Movimientos!$D$1:$D$806,$C10,Movimientos!$L$1:$L$806,A$5,Movimientos!$F$1:$F$806,"Egreso")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SUMIFS(Movimientos!$J$1:$J$806,Movimientos!$C$1:$C$806,$B11,Movimientos!$D$1:$D$806,$C11,Movimientos!$L$1:$L$806,A$3,Movimientos!$F$1:$F$806,"Ingreso")</f>
        <v>0</v>
      </c>
      <c r="K11" s="44">
        <f>SUMIFS(Movimientos!$J$1:$J$806,Movimientos!$C$1:$C$806,$B11,Movimientos!$D$1:$D$806,$C11,Movimientos!$L$1:$L$806,A$3,Movimientos!$F$1:$F$806,"Egreso")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SUMIFS(Movimientos!$J$1:$J$806,Movimientos!$C$1:$C$806,$B11,Movimientos!$D$1:$D$806,$C11,Movimientos!$L$1:$L$806,A$4,Movimientos!$F$1:$F$806,"Ingreso")</f>
        <v>0</v>
      </c>
      <c r="P11" s="44">
        <f>SUMIFS(Movimientos!$J$1:$J$806,Movimientos!$C$1:$C$806,$B11,Movimientos!$D$1:$D$806,$C11,Movimientos!$L$1:$L$806,A$4,Movimientos!$F$1:$F$806,"Egreso")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SUMIFS(Movimientos!$J$1:$J$806,Movimientos!$C$1:$C$806,$B11,Movimientos!$D$1:$D$806,$C11,Movimientos!$L$1:$L$806,A$5,Movimientos!$F$1:$F$806,"Ingreso")</f>
        <v>0</v>
      </c>
      <c r="U11" s="44">
        <f>SUMIFS(Movimientos!$J$1:$J$806,Movimientos!$C$1:$C$806,$B11,Movimientos!$D$1:$D$806,$C11,Movimientos!$L$1:$L$806,A$5,Movimientos!$F$1:$F$806,"Egreso")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SUMIFS(Movimientos!$J$1:$J$806,Movimientos!$C$1:$C$806,$B12,Movimientos!$D$1:$D$806,$C12,Movimientos!$L$1:$L$806,A$3,Movimientos!$F$1:$F$806,"Ingreso")</f>
        <v>4970000</v>
      </c>
      <c r="K12" s="44">
        <f>SUMIFS(Movimientos!$J$1:$J$806,Movimientos!$C$1:$C$806,$B12,Movimientos!$D$1:$D$806,$C12,Movimientos!$L$1:$L$806,A$3,Movimientos!$F$1:$F$806,"Egreso")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SUMIFS(Movimientos!$J$1:$J$806,Movimientos!$C$1:$C$806,$B12,Movimientos!$D$1:$D$806,$C12,Movimientos!$L$1:$L$806,A$4,Movimientos!$F$1:$F$806,"Ingreso")</f>
        <v>1320000</v>
      </c>
      <c r="P12" s="44">
        <f>SUMIFS(Movimientos!$J$1:$J$806,Movimientos!$C$1:$C$806,$B12,Movimientos!$D$1:$D$806,$C12,Movimientos!$L$1:$L$806,A$4,Movimientos!$F$1:$F$806,"Egreso")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SUMIFS(Movimientos!$J$1:$J$806,Movimientos!$C$1:$C$806,$B12,Movimientos!$D$1:$D$806,$C12,Movimientos!$L$1:$L$806,A$5,Movimientos!$F$1:$F$806,"Ingreso")</f>
        <v>1100000</v>
      </c>
      <c r="U12" s="44">
        <f>SUMIFS(Movimientos!$J$1:$J$806,Movimientos!$C$1:$C$806,$B12,Movimientos!$D$1:$D$806,$C12,Movimientos!$L$1:$L$806,A$5,Movimientos!$F$1:$F$806,"Egreso")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SUMIFS(Movimientos!$J$1:$J$806,Movimientos!$C$1:$C$806,$B13,Movimientos!$D$1:$D$806,$C13,Movimientos!$L$1:$L$806,A$3,Movimientos!$F$1:$F$806,"Ingreso")</f>
        <v>0</v>
      </c>
      <c r="K13" s="44">
        <f>SUMIFS(Movimientos!$J$1:$J$806,Movimientos!$C$1:$C$806,$B13,Movimientos!$D$1:$D$806,$C13,Movimientos!$L$1:$L$806,A$3,Movimientos!$F$1:$F$806,"Egreso")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SUMIFS(Movimientos!$J$1:$J$806,Movimientos!$C$1:$C$806,$B13,Movimientos!$D$1:$D$806,$C13,Movimientos!$L$1:$L$806,A$4,Movimientos!$F$1:$F$806,"Ingreso")</f>
        <v>0</v>
      </c>
      <c r="P13" s="44">
        <f>SUMIFS(Movimientos!$J$1:$J$806,Movimientos!$C$1:$C$806,$B13,Movimientos!$D$1:$D$806,$C13,Movimientos!$L$1:$L$806,A$4,Movimientos!$F$1:$F$806,"Egreso")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SUMIFS(Movimientos!$J$1:$J$806,Movimientos!$C$1:$C$806,$B13,Movimientos!$D$1:$D$806,$C13,Movimientos!$L$1:$L$806,A$5,Movimientos!$F$1:$F$806,"Ingreso")</f>
        <v>0</v>
      </c>
      <c r="U13" s="44">
        <f>SUMIFS(Movimientos!$J$1:$J$806,Movimientos!$C$1:$C$806,$B13,Movimientos!$D$1:$D$806,$C13,Movimientos!$L$1:$L$806,A$5,Movimientos!$F$1:$F$806,"Egreso")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SUMIFS(Movimientos!$J$1:$J$806,Movimientos!$C$1:$C$806,$B14,Movimientos!$D$1:$D$806,$C14,Movimientos!$L$1:$L$806,A$3,Movimientos!$F$1:$F$806,"Ingreso")</f>
        <v>56867.66</v>
      </c>
      <c r="K14" s="44">
        <f>SUMIFS(Movimientos!$J$1:$J$806,Movimientos!$C$1:$C$806,$B14,Movimientos!$D$1:$D$806,$C14,Movimientos!$L$1:$L$806,A$3,Movimientos!$F$1:$F$806,"Egreso")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SUMIFS(Movimientos!$J$1:$J$806,Movimientos!$C$1:$C$806,$B14,Movimientos!$D$1:$D$806,$C14,Movimientos!$L$1:$L$806,A$4,Movimientos!$F$1:$F$806,"Ingreso")</f>
        <v>2426.71</v>
      </c>
      <c r="P14" s="44">
        <f>SUMIFS(Movimientos!$J$1:$J$806,Movimientos!$C$1:$C$806,$B14,Movimientos!$D$1:$D$806,$C14,Movimientos!$L$1:$L$806,A$4,Movimientos!$F$1:$F$806,"Egreso")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SUMIFS(Movimientos!$J$1:$J$806,Movimientos!$C$1:$C$806,$B14,Movimientos!$D$1:$D$806,$C14,Movimientos!$L$1:$L$806,A$5,Movimientos!$F$1:$F$806,"Ingreso")</f>
        <v>0</v>
      </c>
      <c r="U14" s="44">
        <f>SUMIFS(Movimientos!$J$1:$J$806,Movimientos!$C$1:$C$806,$B14,Movimientos!$D$1:$D$806,$C14,Movimientos!$L$1:$L$806,A$5,Movimientos!$F$1:$F$806,"Egreso")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SUMIFS(Movimientos!$J$1:$J$806,Movimientos!$C$1:$C$806,$B15,Movimientos!$D$1:$D$806,$C15,Movimientos!$L$1:$L$806,A$3,Movimientos!$F$1:$F$806,"Ingreso")</f>
        <v>0</v>
      </c>
      <c r="K15" s="44">
        <f>SUMIFS(Movimientos!$J$1:$J$806,Movimientos!$C$1:$C$806,$B15,Movimientos!$D$1:$D$806,$C15,Movimientos!$L$1:$L$806,A$3,Movimientos!$F$1:$F$806,"Egreso")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SUMIFS(Movimientos!$J$1:$J$806,Movimientos!$C$1:$C$806,$B15,Movimientos!$D$1:$D$806,$C15,Movimientos!$L$1:$L$806,A$4,Movimientos!$F$1:$F$806,"Ingreso")</f>
        <v>0</v>
      </c>
      <c r="P15" s="44">
        <f>SUMIFS(Movimientos!$J$1:$J$806,Movimientos!$C$1:$C$806,$B15,Movimientos!$D$1:$D$806,$C15,Movimientos!$L$1:$L$806,A$4,Movimientos!$F$1:$F$806,"Egreso")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SUMIFS(Movimientos!$J$1:$J$806,Movimientos!$C$1:$C$806,$B15,Movimientos!$D$1:$D$806,$C15,Movimientos!$L$1:$L$806,A$5,Movimientos!$F$1:$F$806,"Ingreso")</f>
        <v>0</v>
      </c>
      <c r="U15" s="44">
        <f>SUMIFS(Movimientos!$J$1:$J$806,Movimientos!$C$1:$C$806,$B15,Movimientos!$D$1:$D$806,$C15,Movimientos!$L$1:$L$806,A$5,Movimientos!$F$1:$F$806,"Egreso")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SUMIFS(Movimientos!$J$1:$J$806,Movimientos!$C$1:$C$806,$B16,Movimientos!$D$1:$D$806,$C16,Movimientos!$L$1:$L$806,A$3,Movimientos!$F$1:$F$806,"Ingreso")</f>
        <v>0</v>
      </c>
      <c r="K16" s="44">
        <f>SUMIFS(Movimientos!$J$1:$J$806,Movimientos!$C$1:$C$806,$B16,Movimientos!$D$1:$D$806,$C16,Movimientos!$L$1:$L$806,A$3,Movimientos!$F$1:$F$806,"Egreso")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SUMIFS(Movimientos!$J$1:$J$806,Movimientos!$C$1:$C$806,$B16,Movimientos!$D$1:$D$806,$C16,Movimientos!$L$1:$L$806,A$4,Movimientos!$F$1:$F$806,"Ingreso")</f>
        <v>0</v>
      </c>
      <c r="P16" s="44">
        <f>SUMIFS(Movimientos!$J$1:$J$806,Movimientos!$C$1:$C$806,$B16,Movimientos!$D$1:$D$806,$C16,Movimientos!$L$1:$L$806,A$4,Movimientos!$F$1:$F$806,"Egreso")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SUMIFS(Movimientos!$J$1:$J$806,Movimientos!$C$1:$C$806,$B16,Movimientos!$D$1:$D$806,$C16,Movimientos!$L$1:$L$806,A$5,Movimientos!$F$1:$F$806,"Ingreso")</f>
        <v>0</v>
      </c>
      <c r="U16" s="44">
        <f>SUMIFS(Movimientos!$J$1:$J$806,Movimientos!$C$1:$C$806,$B16,Movimientos!$D$1:$D$806,$C16,Movimientos!$L$1:$L$806,A$5,Movimientos!$F$1:$F$806,"Egreso")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SUMIFS(Movimientos!$J$1:$J$806,Movimientos!$C$1:$C$806,$B17,Movimientos!$D$1:$D$806,$C17,Movimientos!$L$1:$L$806,A$3,Movimientos!$F$1:$F$806,"Ingreso")</f>
        <v>0</v>
      </c>
      <c r="K17" s="44">
        <f>SUMIFS(Movimientos!$J$1:$J$806,Movimientos!$C$1:$C$806,$B17,Movimientos!$D$1:$D$806,$C17,Movimientos!$L$1:$L$806,A$3,Movimientos!$F$1:$F$806,"Egreso")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SUMIFS(Movimientos!$J$1:$J$806,Movimientos!$C$1:$C$806,$B17,Movimientos!$D$1:$D$806,$C17,Movimientos!$L$1:$L$806,A$4,Movimientos!$F$1:$F$806,"Ingreso")</f>
        <v>0</v>
      </c>
      <c r="P17" s="44">
        <f>SUMIFS(Movimientos!$J$1:$J$806,Movimientos!$C$1:$C$806,$B17,Movimientos!$D$1:$D$806,$C17,Movimientos!$L$1:$L$806,A$4,Movimientos!$F$1:$F$806,"Egreso")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SUMIFS(Movimientos!$J$1:$J$806,Movimientos!$C$1:$C$806,$B17,Movimientos!$D$1:$D$806,$C17,Movimientos!$L$1:$L$806,A$5,Movimientos!$F$1:$F$806,"Ingreso")</f>
        <v>0</v>
      </c>
      <c r="U17" s="44">
        <f>SUMIFS(Movimientos!$J$1:$J$806,Movimientos!$C$1:$C$806,$B17,Movimientos!$D$1:$D$806,$C17,Movimientos!$L$1:$L$806,A$5,Movimientos!$F$1:$F$806,"Egreso")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SUMIFS(Movimientos!$J$1:$J$806,Movimientos!$C$1:$C$806,$B18,Movimientos!$D$1:$D$806,$C18,Movimientos!$L$1:$L$806,A$3,Movimientos!$F$1:$F$806,"Ingreso")</f>
        <v>0</v>
      </c>
      <c r="K18" s="44">
        <f>SUMIFS(Movimientos!$J$1:$J$806,Movimientos!$C$1:$C$806,$B18,Movimientos!$D$1:$D$806,$C18,Movimientos!$L$1:$L$806,A$3,Movimientos!$F$1:$F$806,"Egreso")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SUMIFS(Movimientos!$J$1:$J$806,Movimientos!$C$1:$C$806,$B18,Movimientos!$D$1:$D$806,$C18,Movimientos!$L$1:$L$806,A$4,Movimientos!$F$1:$F$806,"Ingreso")</f>
        <v>0</v>
      </c>
      <c r="P18" s="44">
        <f>SUMIFS(Movimientos!$J$1:$J$806,Movimientos!$C$1:$C$806,$B18,Movimientos!$D$1:$D$806,$C18,Movimientos!$L$1:$L$806,A$4,Movimientos!$F$1:$F$806,"Egreso")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SUMIFS(Movimientos!$J$1:$J$806,Movimientos!$C$1:$C$806,$B18,Movimientos!$D$1:$D$806,$C18,Movimientos!$L$1:$L$806,A$5,Movimientos!$F$1:$F$806,"Ingreso")</f>
        <v>0</v>
      </c>
      <c r="U18" s="44">
        <f>SUMIFS(Movimientos!$J$1:$J$806,Movimientos!$C$1:$C$806,$B18,Movimientos!$D$1:$D$806,$C18,Movimientos!$L$1:$L$806,A$5,Movimientos!$F$1:$F$806,"Egreso")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SUMIFS(Movimientos!$J$1:$J$806,Movimientos!$C$1:$C$806,$B19,Movimientos!$D$1:$D$806,$C19,Movimientos!$L$1:$L$806,A$3,Movimientos!$F$1:$F$806,"Ingreso")</f>
        <v>2580000</v>
      </c>
      <c r="K19" s="44">
        <f>SUMIFS(Movimientos!$J$1:$J$806,Movimientos!$C$1:$C$806,$B19,Movimientos!$D$1:$D$806,$C19,Movimientos!$L$1:$L$806,A$3,Movimientos!$F$1:$F$806,"Egreso")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SUMIFS(Movimientos!$J$1:$J$806,Movimientos!$C$1:$C$806,$B19,Movimientos!$D$1:$D$806,$C19,Movimientos!$L$1:$L$806,A$4,Movimientos!$F$1:$F$806,"Ingreso")</f>
        <v>0</v>
      </c>
      <c r="P19" s="44">
        <f>SUMIFS(Movimientos!$J$1:$J$806,Movimientos!$C$1:$C$806,$B19,Movimientos!$D$1:$D$806,$C19,Movimientos!$L$1:$L$806,A$4,Movimientos!$F$1:$F$806,"Egreso")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SUMIFS(Movimientos!$J$1:$J$806,Movimientos!$C$1:$C$806,$B19,Movimientos!$D$1:$D$806,$C19,Movimientos!$L$1:$L$806,A$5,Movimientos!$F$1:$F$806,"Ingreso")</f>
        <v>560000</v>
      </c>
      <c r="U19" s="44">
        <f>SUMIFS(Movimientos!$J$1:$J$806,Movimientos!$C$1:$C$806,$B19,Movimientos!$D$1:$D$806,$C19,Movimientos!$L$1:$L$806,A$5,Movimientos!$F$1:$F$806,"Egreso")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SUMIFS(Movimientos!$J$1:$J$806,Movimientos!$C$1:$C$806,$B20,Movimientos!$D$1:$D$806,$C20,Movimientos!$L$1:$L$806,A$3,Movimientos!$F$1:$F$806,"Ingreso")</f>
        <v>0</v>
      </c>
      <c r="K20" s="44">
        <f>SUMIFS(Movimientos!$J$1:$J$806,Movimientos!$C$1:$C$806,$B20,Movimientos!$D$1:$D$806,$C20,Movimientos!$L$1:$L$806,A$3,Movimientos!$F$1:$F$806,"Egreso")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SUMIFS(Movimientos!$J$1:$J$806,Movimientos!$C$1:$C$806,$B20,Movimientos!$D$1:$D$806,$C20,Movimientos!$L$1:$L$806,A$4,Movimientos!$F$1:$F$806,"Ingreso")</f>
        <v>0</v>
      </c>
      <c r="P20" s="44">
        <f>SUMIFS(Movimientos!$J$1:$J$806,Movimientos!$C$1:$C$806,$B20,Movimientos!$D$1:$D$806,$C20,Movimientos!$L$1:$L$806,A$4,Movimientos!$F$1:$F$806,"Egreso")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SUMIFS(Movimientos!$J$1:$J$806,Movimientos!$C$1:$C$806,$B20,Movimientos!$D$1:$D$806,$C20,Movimientos!$L$1:$L$806,A$5,Movimientos!$F$1:$F$806,"Ingreso")</f>
        <v>70000</v>
      </c>
      <c r="U20" s="44">
        <f>SUMIFS(Movimientos!$J$1:$J$806,Movimientos!$C$1:$C$806,$B20,Movimientos!$D$1:$D$806,$C20,Movimientos!$L$1:$L$806,A$5,Movimientos!$F$1:$F$806,"Egreso")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SUMIFS(Movimientos!$J$1:$J$806,Movimientos!$C$1:$C$806,$B21,Movimientos!$D$1:$D$806,$C21,Movimientos!$L$1:$L$806,A$3,Movimientos!$F$1:$F$806,"Ingreso")</f>
        <v>0</v>
      </c>
      <c r="K21" s="44">
        <f>SUMIFS(Movimientos!$J$1:$J$806,Movimientos!$C$1:$C$806,$B21,Movimientos!$D$1:$D$806,$C21,Movimientos!$L$1:$L$806,A$3,Movimientos!$F$1:$F$806,"Egreso")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SUMIFS(Movimientos!$J$1:$J$806,Movimientos!$C$1:$C$806,$B21,Movimientos!$D$1:$D$806,$C21,Movimientos!$L$1:$L$806,A$4,Movimientos!$F$1:$F$806,"Ingreso")</f>
        <v>14659.29</v>
      </c>
      <c r="P21" s="44">
        <f>SUMIFS(Movimientos!$J$1:$J$806,Movimientos!$C$1:$C$806,$B21,Movimientos!$D$1:$D$806,$C21,Movimientos!$L$1:$L$806,A$4,Movimientos!$F$1:$F$806,"Egreso")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SUMIFS(Movimientos!$J$1:$J$806,Movimientos!$C$1:$C$806,$B21,Movimientos!$D$1:$D$806,$C21,Movimientos!$L$1:$L$806,A$5,Movimientos!$F$1:$F$806,"Ingreso")</f>
        <v>0</v>
      </c>
      <c r="U21" s="44">
        <f>SUMIFS(Movimientos!$J$1:$J$806,Movimientos!$C$1:$C$806,$B21,Movimientos!$D$1:$D$806,$C21,Movimientos!$L$1:$L$806,A$5,Movimientos!$F$1:$F$806,"Egreso")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SUMIFS(Movimientos!$J$1:$J$806,Movimientos!$C$1:$C$806,$B22,Movimientos!$D$1:$D$806,$C22,Movimientos!$L$1:$L$806,A$3,Movimientos!$F$1:$F$806,"Ingreso")</f>
        <v>0</v>
      </c>
      <c r="K22" s="44">
        <f>SUMIFS(Movimientos!$J$1:$J$806,Movimientos!$C$1:$C$806,$B22,Movimientos!$D$1:$D$806,$C22,Movimientos!$L$1:$L$806,A$3,Movimientos!$F$1:$F$806,"Egreso")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SUMIFS(Movimientos!$J$1:$J$806,Movimientos!$C$1:$C$806,$B22,Movimientos!$D$1:$D$806,$C22,Movimientos!$L$1:$L$806,A$4,Movimientos!$F$1:$F$806,"Ingreso")</f>
        <v>0</v>
      </c>
      <c r="P22" s="44">
        <f>SUMIFS(Movimientos!$J$1:$J$806,Movimientos!$C$1:$C$806,$B22,Movimientos!$D$1:$D$806,$C22,Movimientos!$L$1:$L$806,A$4,Movimientos!$F$1:$F$806,"Egreso")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SUMIFS(Movimientos!$J$1:$J$806,Movimientos!$C$1:$C$806,$B22,Movimientos!$D$1:$D$806,$C22,Movimientos!$L$1:$L$806,A$5,Movimientos!$F$1:$F$806,"Ingreso")</f>
        <v>0</v>
      </c>
      <c r="U22" s="44">
        <f>SUMIFS(Movimientos!$J$1:$J$806,Movimientos!$C$1:$C$806,$B22,Movimientos!$D$1:$D$806,$C22,Movimientos!$L$1:$L$806,A$5,Movimientos!$F$1:$F$806,"Egreso")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SUMIFS(Movimientos!$J$1:$J$806,Movimientos!$C$1:$C$806,$B23,Movimientos!$D$1:$D$806,$C23,Movimientos!$L$1:$L$806,A$3,Movimientos!$F$1:$F$806,"Ingreso")</f>
        <v>0</v>
      </c>
      <c r="K23" s="44">
        <f>SUMIFS(Movimientos!$J$1:$J$806,Movimientos!$C$1:$C$806,$B23,Movimientos!$D$1:$D$806,$C23,Movimientos!$L$1:$L$806,A$3,Movimientos!$F$1:$F$806,"Egreso")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SUMIFS(Movimientos!$J$1:$J$806,Movimientos!$C$1:$C$806,$B23,Movimientos!$D$1:$D$806,$C23,Movimientos!$L$1:$L$806,A$4,Movimientos!$F$1:$F$806,"Ingreso")</f>
        <v>0</v>
      </c>
      <c r="P23" s="44">
        <f>SUMIFS(Movimientos!$J$1:$J$806,Movimientos!$C$1:$C$806,$B23,Movimientos!$D$1:$D$806,$C23,Movimientos!$L$1:$L$806,A$4,Movimientos!$F$1:$F$806,"Egreso")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SUMIFS(Movimientos!$J$1:$J$806,Movimientos!$C$1:$C$806,$B23,Movimientos!$D$1:$D$806,$C23,Movimientos!$L$1:$L$806,A$5,Movimientos!$F$1:$F$806,"Ingreso")</f>
        <v>0</v>
      </c>
      <c r="U23" s="44">
        <f>SUMIFS(Movimientos!$J$1:$J$806,Movimientos!$C$1:$C$806,$B23,Movimientos!$D$1:$D$806,$C23,Movimientos!$L$1:$L$806,A$5,Movimientos!$F$1:$F$806,"Egreso")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SUMIFS(Movimientos!$J$1:$J$806,Movimientos!$C$1:$C$806,$B24,Movimientos!$D$1:$D$806,$C24,Movimientos!$L$1:$L$806,A$3,Movimientos!$F$1:$F$806,"Ingreso")</f>
        <v>0</v>
      </c>
      <c r="K24" s="44">
        <f>SUMIFS(Movimientos!$J$1:$J$806,Movimientos!$C$1:$C$806,$B24,Movimientos!$D$1:$D$806,$C24,Movimientos!$L$1:$L$806,A$3,Movimientos!$F$1:$F$806,"Egreso")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SUMIFS(Movimientos!$J$1:$J$806,Movimientos!$C$1:$C$806,$B24,Movimientos!$D$1:$D$806,$C24,Movimientos!$L$1:$L$806,A$4,Movimientos!$F$1:$F$806,"Ingreso")</f>
        <v>1451269.78</v>
      </c>
      <c r="P24" s="44">
        <f>SUMIFS(Movimientos!$J$1:$J$806,Movimientos!$C$1:$C$806,$B24,Movimientos!$D$1:$D$806,$C24,Movimientos!$L$1:$L$806,A$4,Movimientos!$F$1:$F$806,"Egreso")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SUMIFS(Movimientos!$J$1:$J$806,Movimientos!$C$1:$C$806,$B24,Movimientos!$D$1:$D$806,$C24,Movimientos!$L$1:$L$806,A$5,Movimientos!$F$1:$F$806,"Ingreso")</f>
        <v>0</v>
      </c>
      <c r="U24" s="44">
        <f>SUMIFS(Movimientos!$J$1:$J$806,Movimientos!$C$1:$C$806,$B24,Movimientos!$D$1:$D$806,$C24,Movimientos!$L$1:$L$806,A$5,Movimientos!$F$1:$F$806,"Egreso")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SUMIFS(Movimientos!$J$1:$J$806,Movimientos!$C$1:$C$806,$B25,Movimientos!$D$1:$D$806,$C25,Movimientos!$L$1:$L$806,A$3,Movimientos!$F$1:$F$806,"Ingreso")</f>
        <v>0</v>
      </c>
      <c r="K25" s="44">
        <f>SUMIFS(Movimientos!$J$1:$J$806,Movimientos!$C$1:$C$806,$B25,Movimientos!$D$1:$D$806,$C25,Movimientos!$L$1:$L$806,A$3,Movimientos!$F$1:$F$806,"Egreso")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SUMIFS(Movimientos!$J$1:$J$806,Movimientos!$C$1:$C$806,$B25,Movimientos!$D$1:$D$806,$C25,Movimientos!$L$1:$L$806,A$4,Movimientos!$F$1:$F$806,"Ingreso")</f>
        <v>0</v>
      </c>
      <c r="P25" s="44">
        <f>SUMIFS(Movimientos!$J$1:$J$806,Movimientos!$C$1:$C$806,$B25,Movimientos!$D$1:$D$806,$C25,Movimientos!$L$1:$L$806,A$4,Movimientos!$F$1:$F$806,"Egreso")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SUMIFS(Movimientos!$J$1:$J$806,Movimientos!$C$1:$C$806,$B25,Movimientos!$D$1:$D$806,$C25,Movimientos!$L$1:$L$806,A$5,Movimientos!$F$1:$F$806,"Ingreso")</f>
        <v>0</v>
      </c>
      <c r="U25" s="44">
        <f>SUMIFS(Movimientos!$J$1:$J$806,Movimientos!$C$1:$C$806,$B25,Movimientos!$D$1:$D$806,$C25,Movimientos!$L$1:$L$806,A$5,Movimientos!$F$1:$F$806,"Egreso")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SUMIFS(Movimientos!$J$1:$J$806,Movimientos!$C$1:$C$806,$B26,Movimientos!$D$1:$D$806,$C26,Movimientos!$L$1:$L$806,A$3,Movimientos!$F$1:$F$806,"Ingreso")</f>
        <v>0</v>
      </c>
      <c r="K26" s="44">
        <f>SUMIFS(Movimientos!$J$1:$J$806,Movimientos!$C$1:$C$806,$B26,Movimientos!$D$1:$D$806,$C26,Movimientos!$L$1:$L$806,A$3,Movimientos!$F$1:$F$806,"Egreso")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SUMIFS(Movimientos!$J$1:$J$806,Movimientos!$C$1:$C$806,$B26,Movimientos!$D$1:$D$806,$C26,Movimientos!$L$1:$L$806,A$4,Movimientos!$F$1:$F$806,"Ingreso")</f>
        <v>0</v>
      </c>
      <c r="P26" s="44">
        <f>SUMIFS(Movimientos!$J$1:$J$806,Movimientos!$C$1:$C$806,$B26,Movimientos!$D$1:$D$806,$C26,Movimientos!$L$1:$L$806,A$4,Movimientos!$F$1:$F$806,"Egreso")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SUMIFS(Movimientos!$J$1:$J$806,Movimientos!$C$1:$C$806,$B26,Movimientos!$D$1:$D$806,$C26,Movimientos!$L$1:$L$806,A$5,Movimientos!$F$1:$F$806,"Ingreso")</f>
        <v>0</v>
      </c>
      <c r="U26" s="44">
        <f>SUMIFS(Movimientos!$J$1:$J$806,Movimientos!$C$1:$C$806,$B26,Movimientos!$D$1:$D$806,$C26,Movimientos!$L$1:$L$806,A$5,Movimientos!$F$1:$F$806,"Egreso")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SUMIFS(Movimientos!$J$1:$J$806,Movimientos!$C$1:$C$806,$B27,Movimientos!$D$1:$D$806,$C27,Movimientos!$L$1:$L$806,A$3,Movimientos!$F$1:$F$806,"Ingreso")</f>
        <v>0</v>
      </c>
      <c r="K27" s="44">
        <f>SUMIFS(Movimientos!$J$1:$J$806,Movimientos!$C$1:$C$806,$B27,Movimientos!$D$1:$D$806,$C27,Movimientos!$L$1:$L$806,A$3,Movimientos!$F$1:$F$806,"Egreso")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SUMIFS(Movimientos!$J$1:$J$806,Movimientos!$C$1:$C$806,$B27,Movimientos!$D$1:$D$806,$C27,Movimientos!$L$1:$L$806,A$4,Movimientos!$F$1:$F$806,"Ingreso")</f>
        <v>518.65</v>
      </c>
      <c r="P27" s="44">
        <f>SUMIFS(Movimientos!$J$1:$J$806,Movimientos!$C$1:$C$806,$B27,Movimientos!$D$1:$D$806,$C27,Movimientos!$L$1:$L$806,A$4,Movimientos!$F$1:$F$806,"Egreso")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SUMIFS(Movimientos!$J$1:$J$806,Movimientos!$C$1:$C$806,$B27,Movimientos!$D$1:$D$806,$C27,Movimientos!$L$1:$L$806,A$5,Movimientos!$F$1:$F$806,"Ingreso")</f>
        <v>0</v>
      </c>
      <c r="U27" s="44">
        <f>SUMIFS(Movimientos!$J$1:$J$806,Movimientos!$C$1:$C$806,$B27,Movimientos!$D$1:$D$806,$C27,Movimientos!$L$1:$L$806,A$5,Movimientos!$F$1:$F$806,"Egreso")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SUMIFS(Movimientos!$J$1:$J$806,Movimientos!$C$1:$C$806,$B28,Movimientos!$D$1:$D$806,$C28,Movimientos!$L$1:$L$806,A$3,Movimientos!$F$1:$F$806,"Ingreso")</f>
        <v>0</v>
      </c>
      <c r="K28" s="44">
        <f>SUMIFS(Movimientos!$J$1:$J$806,Movimientos!$C$1:$C$806,$B28,Movimientos!$D$1:$D$806,$C28,Movimientos!$L$1:$L$806,A$3,Movimientos!$F$1:$F$806,"Egreso")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SUMIFS(Movimientos!$J$1:$J$806,Movimientos!$C$1:$C$806,$B28,Movimientos!$D$1:$D$806,$C28,Movimientos!$L$1:$L$806,A$4,Movimientos!$F$1:$F$806,"Ingreso")</f>
        <v>0</v>
      </c>
      <c r="P28" s="44">
        <f>SUMIFS(Movimientos!$J$1:$J$806,Movimientos!$C$1:$C$806,$B28,Movimientos!$D$1:$D$806,$C28,Movimientos!$L$1:$L$806,A$4,Movimientos!$F$1:$F$806,"Egreso")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SUMIFS(Movimientos!$J$1:$J$806,Movimientos!$C$1:$C$806,$B28,Movimientos!$D$1:$D$806,$C28,Movimientos!$L$1:$L$806,A$5,Movimientos!$F$1:$F$806,"Ingreso")</f>
        <v>0</v>
      </c>
      <c r="U28" s="44">
        <f>SUMIFS(Movimientos!$J$1:$J$806,Movimientos!$C$1:$C$806,$B28,Movimientos!$D$1:$D$806,$C28,Movimientos!$L$1:$L$806,A$5,Movimientos!$F$1:$F$806,"Egreso")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SUMIFS(Movimientos!$J$1:$J$806,Movimientos!$C$1:$C$806,$B29,Movimientos!$D$1:$D$806,$C29,Movimientos!$L$1:$L$806,A$3,Movimientos!$F$1:$F$806,"Ingreso")</f>
        <v>5250</v>
      </c>
      <c r="K29" s="44">
        <f>SUMIFS(Movimientos!$J$1:$J$806,Movimientos!$C$1:$C$806,$B29,Movimientos!$D$1:$D$806,$C29,Movimientos!$L$1:$L$806,A$3,Movimientos!$F$1:$F$806,"Egreso")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SUMIFS(Movimientos!$J$1:$J$806,Movimientos!$C$1:$C$806,$B29,Movimientos!$D$1:$D$806,$C29,Movimientos!$L$1:$L$806,A$4,Movimientos!$F$1:$F$806,"Ingreso")</f>
        <v>0</v>
      </c>
      <c r="P29" s="44">
        <f>SUMIFS(Movimientos!$J$1:$J$806,Movimientos!$C$1:$C$806,$B29,Movimientos!$D$1:$D$806,$C29,Movimientos!$L$1:$L$806,A$4,Movimientos!$F$1:$F$806,"Egreso")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SUMIFS(Movimientos!$J$1:$J$806,Movimientos!$C$1:$C$806,$B29,Movimientos!$D$1:$D$806,$C29,Movimientos!$L$1:$L$806,A$5,Movimientos!$F$1:$F$806,"Ingreso")</f>
        <v>10105.4</v>
      </c>
      <c r="U29" s="44">
        <f>SUMIFS(Movimientos!$J$1:$J$806,Movimientos!$C$1:$C$806,$B29,Movimientos!$D$1:$D$806,$C29,Movimientos!$L$1:$L$806,A$5,Movimientos!$F$1:$F$806,"Egreso")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SUMIFS(Movimientos!$J$1:$J$806,Movimientos!$C$1:$C$806,$B30,Movimientos!$D$1:$D$806,$C30,Movimientos!$L$1:$L$806,A$3,Movimientos!$F$1:$F$806,"Ingreso")</f>
        <v>0</v>
      </c>
      <c r="K30" s="44">
        <f>SUMIFS(Movimientos!$J$1:$J$806,Movimientos!$C$1:$C$806,$B30,Movimientos!$D$1:$D$806,$C30,Movimientos!$L$1:$L$806,A$3,Movimientos!$F$1:$F$806,"Egreso")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SUMIFS(Movimientos!$J$1:$J$806,Movimientos!$C$1:$C$806,$B30,Movimientos!$D$1:$D$806,$C30,Movimientos!$L$1:$L$806,A$4,Movimientos!$F$1:$F$806,"Ingreso")</f>
        <v>0</v>
      </c>
      <c r="P30" s="44">
        <f>SUMIFS(Movimientos!$J$1:$J$806,Movimientos!$C$1:$C$806,$B30,Movimientos!$D$1:$D$806,$C30,Movimientos!$L$1:$L$806,A$4,Movimientos!$F$1:$F$806,"Egreso")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SUMIFS(Movimientos!$J$1:$J$806,Movimientos!$C$1:$C$806,$B30,Movimientos!$D$1:$D$806,$C30,Movimientos!$L$1:$L$806,A$5,Movimientos!$F$1:$F$806,"Ingreso")</f>
        <v>0</v>
      </c>
      <c r="U30" s="44">
        <f>SUMIFS(Movimientos!$J$1:$J$806,Movimientos!$C$1:$C$806,$B30,Movimientos!$D$1:$D$806,$C30,Movimientos!$L$1:$L$806,A$5,Movimientos!$F$1:$F$806,"Egreso")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SUMIFS(Movimientos!$J$1:$J$806,Movimientos!$C$1:$C$806,$B31,Movimientos!$D$1:$D$806,$C31,Movimientos!$L$1:$L$806,A$3,Movimientos!$F$1:$F$806,"Ingreso")</f>
        <v>15000</v>
      </c>
      <c r="K31" s="44">
        <f>SUMIFS(Movimientos!$J$1:$J$806,Movimientos!$C$1:$C$806,$B31,Movimientos!$D$1:$D$806,$C31,Movimientos!$L$1:$L$806,A$3,Movimientos!$F$1:$F$806,"Egreso")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SUMIFS(Movimientos!$J$1:$J$806,Movimientos!$C$1:$C$806,$B31,Movimientos!$D$1:$D$806,$C31,Movimientos!$L$1:$L$806,A$4,Movimientos!$F$1:$F$806,"Ingreso")</f>
        <v>15000</v>
      </c>
      <c r="P31" s="44">
        <f>SUMIFS(Movimientos!$J$1:$J$806,Movimientos!$C$1:$C$806,$B31,Movimientos!$D$1:$D$806,$C31,Movimientos!$L$1:$L$806,A$4,Movimientos!$F$1:$F$806,"Egreso")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SUMIFS(Movimientos!$J$1:$J$806,Movimientos!$C$1:$C$806,$B31,Movimientos!$D$1:$D$806,$C31,Movimientos!$L$1:$L$806,A$5,Movimientos!$F$1:$F$806,"Ingreso")</f>
        <v>0</v>
      </c>
      <c r="U31" s="44">
        <f>SUMIFS(Movimientos!$J$1:$J$806,Movimientos!$C$1:$C$806,$B31,Movimientos!$D$1:$D$806,$C31,Movimientos!$L$1:$L$806,A$5,Movimientos!$F$1:$F$806,"Egreso")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SUMIFS(Movimientos!$J$1:$J$806,Movimientos!$C$1:$C$806,$B32,Movimientos!$D$1:$D$806,$C32,Movimientos!$L$1:$L$806,A$3,Movimientos!$F$1:$F$806,"Ingreso")</f>
        <v>12000</v>
      </c>
      <c r="K32" s="44">
        <f>SUMIFS(Movimientos!$J$1:$J$806,Movimientos!$C$1:$C$806,$B32,Movimientos!$D$1:$D$806,$C32,Movimientos!$L$1:$L$806,A$3,Movimientos!$F$1:$F$806,"Egreso")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SUMIFS(Movimientos!$J$1:$J$806,Movimientos!$C$1:$C$806,$B32,Movimientos!$D$1:$D$806,$C32,Movimientos!$L$1:$L$806,A$4,Movimientos!$F$1:$F$806,"Ingreso")</f>
        <v>4400</v>
      </c>
      <c r="P32" s="44">
        <f>SUMIFS(Movimientos!$J$1:$J$806,Movimientos!$C$1:$C$806,$B32,Movimientos!$D$1:$D$806,$C32,Movimientos!$L$1:$L$806,A$4,Movimientos!$F$1:$F$806,"Egreso")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SUMIFS(Movimientos!$J$1:$J$806,Movimientos!$C$1:$C$806,$B32,Movimientos!$D$1:$D$806,$C32,Movimientos!$L$1:$L$806,A$5,Movimientos!$F$1:$F$806,"Ingreso")</f>
        <v>5000</v>
      </c>
      <c r="U32" s="44">
        <f>SUMIFS(Movimientos!$J$1:$J$806,Movimientos!$C$1:$C$806,$B32,Movimientos!$D$1:$D$806,$C32,Movimientos!$L$1:$L$806,A$5,Movimientos!$F$1:$F$806,"Egreso")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SUMIFS(Movimientos!$J$1:$J$806,Movimientos!$C$1:$C$806,$B33,Movimientos!$D$1:$D$806,$C33,Movimientos!$L$1:$L$806,A$3,Movimientos!$F$1:$F$806,"Ingreso")</f>
        <v>59000</v>
      </c>
      <c r="K33" s="44">
        <f>SUMIFS(Movimientos!$J$1:$J$806,Movimientos!$C$1:$C$806,$B33,Movimientos!$D$1:$D$806,$C33,Movimientos!$L$1:$L$806,A$3,Movimientos!$F$1:$F$806,"Egreso")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SUMIFS(Movimientos!$J$1:$J$806,Movimientos!$C$1:$C$806,$B33,Movimientos!$D$1:$D$806,$C33,Movimientos!$L$1:$L$806,A$4,Movimientos!$F$1:$F$806,"Ingreso")</f>
        <v>50000</v>
      </c>
      <c r="P33" s="44">
        <f>SUMIFS(Movimientos!$J$1:$J$806,Movimientos!$C$1:$C$806,$B33,Movimientos!$D$1:$D$806,$C33,Movimientos!$L$1:$L$806,A$4,Movimientos!$F$1:$F$806,"Egreso")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SUMIFS(Movimientos!$J$1:$J$806,Movimientos!$C$1:$C$806,$B33,Movimientos!$D$1:$D$806,$C33,Movimientos!$L$1:$L$806,A$5,Movimientos!$F$1:$F$806,"Ingreso")</f>
        <v>23000</v>
      </c>
      <c r="U33" s="44">
        <f>SUMIFS(Movimientos!$J$1:$J$806,Movimientos!$C$1:$C$806,$B33,Movimientos!$D$1:$D$806,$C33,Movimientos!$L$1:$L$806,A$5,Movimientos!$F$1:$F$806,"Egreso")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SUMIFS(Movimientos!$J$1:$J$806,Movimientos!$C$1:$C$806,$B34,Movimientos!$D$1:$D$806,$C34,Movimientos!$L$1:$L$806,A$3,Movimientos!$F$1:$F$806,"Ingreso")</f>
        <v>59000</v>
      </c>
      <c r="K34" s="44">
        <f>SUMIFS(Movimientos!$J$1:$J$806,Movimientos!$C$1:$C$806,$B34,Movimientos!$D$1:$D$806,$C34,Movimientos!$L$1:$L$806,A$3,Movimientos!$F$1:$F$806,"Egreso")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SUMIFS(Movimientos!$J$1:$J$806,Movimientos!$C$1:$C$806,$B34,Movimientos!$D$1:$D$806,$C34,Movimientos!$L$1:$L$806,A$4,Movimientos!$F$1:$F$806,"Ingreso")</f>
        <v>50000</v>
      </c>
      <c r="P34" s="44">
        <f>SUMIFS(Movimientos!$J$1:$J$806,Movimientos!$C$1:$C$806,$B34,Movimientos!$D$1:$D$806,$C34,Movimientos!$L$1:$L$806,A$4,Movimientos!$F$1:$F$806,"Egreso")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SUMIFS(Movimientos!$J$1:$J$806,Movimientos!$C$1:$C$806,$B34,Movimientos!$D$1:$D$806,$C34,Movimientos!$L$1:$L$806,A$5,Movimientos!$F$1:$F$806,"Ingreso")</f>
        <v>23000</v>
      </c>
      <c r="U34" s="44">
        <f>SUMIFS(Movimientos!$J$1:$J$806,Movimientos!$C$1:$C$806,$B34,Movimientos!$D$1:$D$806,$C34,Movimientos!$L$1:$L$806,A$5,Movimientos!$F$1:$F$806,"Egreso")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SUMIFS(Movimientos!$J$1:$J$806,Movimientos!$C$1:$C$806,$B35,Movimientos!$D$1:$D$806,$C35,Movimientos!$L$1:$L$806,A$3,Movimientos!$F$1:$F$806,"Ingreso")</f>
        <v>0</v>
      </c>
      <c r="K35" s="44">
        <f>SUMIFS(Movimientos!$J$1:$J$806,Movimientos!$C$1:$C$806,$B35,Movimientos!$D$1:$D$806,$C35,Movimientos!$L$1:$L$806,A$3,Movimientos!$F$1:$F$806,"Egreso")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SUMIFS(Movimientos!$J$1:$J$806,Movimientos!$C$1:$C$806,$B35,Movimientos!$D$1:$D$806,$C35,Movimientos!$L$1:$L$806,A$4,Movimientos!$F$1:$F$806,"Ingreso")</f>
        <v>15000</v>
      </c>
      <c r="P35" s="44">
        <f>SUMIFS(Movimientos!$J$1:$J$806,Movimientos!$C$1:$C$806,$B35,Movimientos!$D$1:$D$806,$C35,Movimientos!$L$1:$L$806,A$4,Movimientos!$F$1:$F$806,"Egreso")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SUMIFS(Movimientos!$J$1:$J$806,Movimientos!$C$1:$C$806,$B35,Movimientos!$D$1:$D$806,$C35,Movimientos!$L$1:$L$806,A$5,Movimientos!$F$1:$F$806,"Ingreso")</f>
        <v>0</v>
      </c>
      <c r="U35" s="44">
        <f>SUMIFS(Movimientos!$J$1:$J$806,Movimientos!$C$1:$C$806,$B35,Movimientos!$D$1:$D$806,$C35,Movimientos!$L$1:$L$806,A$5,Movimientos!$F$1:$F$806,"Egreso")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3"/>
  <sheetViews>
    <sheetView showGridLines="0" zoomScale="80" zoomScaleNormal="80" workbookViewId="0">
      <pane xSplit="2" ySplit="1" topLeftCell="P96" activePane="bottomRight" state="frozen"/>
      <selection pane="topRight" activeCell="C1" sqref="C1"/>
      <selection pane="bottomLeft" activeCell="A2" sqref="A2"/>
      <selection pane="bottomRight" activeCell="H110" sqref="H11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Group")+SUMIFS(Movimientos!$K$1:$K$806,Movimientos!$C$1:$C$806,"CFT Group",Movimientos!$B$1:$B$806,"&lt;="&amp;$B33)</f>
        <v>983394.14000000013</v>
      </c>
      <c r="D33" s="24">
        <f>SUMIFS('Saldos Iniciales'!$D:$D,'Saldos Iniciales'!$A:$A,"M1B")+SUMIFS(Movimientos!$K$1:$K$806,Movimientos!$C$1:$C$806,"M1B",Movimientos!$B$1:$B$806,"&lt;="&amp;$B33)</f>
        <v>69376.390000000174</v>
      </c>
      <c r="E33" s="24">
        <f>SUMIFS('Saldos Iniciales'!$D:$D,'Saldos Iniciales'!$A:$A,"Durand")+SUMIFS(Movimientos!$K$1:$K$806,Movimientos!$C$1:$C$806,"Durand",Movimientos!$B$1:$B$806,"&lt;="&amp;$B33)</f>
        <v>1669.89</v>
      </c>
      <c r="F33" s="24">
        <f>SUMIFS('Saldos Iniciales'!$D:$D,'Saldos Iniciales'!$A:$A,"A&amp;M Imports")+SUMIFS(Movimientos!$K$1:$K$806,Movimientos!$C$1:$C$806,"A&amp;M Imports",Movimientos!$B$1:$B$806,"&lt;="&amp;$B33)</f>
        <v>804853.11999999988</v>
      </c>
      <c r="G33" s="24">
        <f>SUMIFS('Saldos Iniciales'!$D:$D,'Saldos Iniciales'!$A:$A,"SSP Capital")+SUMIFS(Movimientos!$K$1:$K$806,Movimientos!$C$1:$C$806,"SSP Capital",Movimientos!$B$1:$B$806,"&lt;="&amp;$B33)</f>
        <v>1015901.6699999992</v>
      </c>
      <c r="H33" s="24">
        <f>SUMIFS('Saldos Iniciales'!$D:$D,'Saldos Iniciales'!$A:$A,"Cross Family Trust")+SUMIFS(Movimientos!$K$1:$K$806,Movimientos!$C$1:$C$806,"Cross Family Trust",Movimientos!$B$1:$B$806,"&lt;="&amp;$B33)</f>
        <v>131496.38</v>
      </c>
      <c r="I33" s="24">
        <f>SUMIFS('Saldos Iniciales'!$D:$D,'Saldos Iniciales'!$A:$A,"Cross Security Trust")+SUMIFS(Movimientos!$K$1:$K$806,Movimientos!$C$1:$C$806,"Cross Security Trust",Movimientos!$B$1:$B$806,"&lt;="&amp;$B33)</f>
        <v>88090.37</v>
      </c>
      <c r="J33" s="24">
        <f>SUMIFS('Saldos Iniciales'!$D:$D,'Saldos Iniciales'!$A:$A,"Electrama")+SUMIFS(Movimientos!$K$1:$K$806,Movimientos!$C$1:$C$806,"Electrama",Movimientos!$B$1:$B$806,"&lt;="&amp;$B33)</f>
        <v>511.15999999999985</v>
      </c>
      <c r="K33" s="24">
        <f>SUMIFS('Saldos Iniciales'!$D:$D,'Saldos Iniciales'!$A:$A,"Sacred Valley Capital")+SUMIFS(Movimientos!$K$1:$K$806,Movimientos!$C$1:$C$806,"Sacred Valley Capital",Movimientos!$B$1:$B$806,"&lt;="&amp;$B33)</f>
        <v>84.35</v>
      </c>
      <c r="L33" s="24">
        <f>SUMIFS('Saldos Iniciales'!$D:$D,'Saldos Iniciales'!$A:$A,"YWC Capital")+SUMIFS(Movimientos!$K$1:$K$806,Movimientos!$C$1:$C$806,"YWC Capital",Movimientos!$B$1:$B$806,"&lt;="&amp;$B33)</f>
        <v>2237.77</v>
      </c>
      <c r="M33" s="24">
        <f>SUMIFS('Saldos Iniciales'!$D:$D,'Saldos Iniciales'!$A:$A,"Soweto")+SUMIFS(Movimientos!$K$1:$K$806,Movimientos!$C$1:$C$806,"Soweto",Movimientos!$B$1:$B$806,"&lt;="&amp;$B33)</f>
        <v>3349.94</v>
      </c>
      <c r="N33" s="24">
        <f>SUMIFS('Saldos Iniciales'!$D:$D,'Saldos Iniciales'!$A:$A,"Green Stone Trust")+SUMIFS(Movimientos!$K$1:$K$806,Movimientos!$C$1:$C$806,"Green Stone Trust",Movimientos!$B$1:$B$806,"&lt;="&amp;$B33)</f>
        <v>1968.99</v>
      </c>
      <c r="O33" s="24">
        <f>SUMIFS('Saldos Iniciales'!$D:$D,'Saldos Iniciales'!$A:$A,"EC Auto")+SUMIFS(Movimientos!$K$1:$K$806,Movimientos!$C$1:$C$806,"EC Auto",Movimientos!$B$1:$B$806,"&lt;="&amp;$B33)</f>
        <v>901.34</v>
      </c>
      <c r="P33" s="24">
        <f>SUMIFS('Saldos Iniciales'!$D:$D,'Saldos Iniciales'!$A:$A,"Arbor Capital Properties")+SUMIFS(Movimientos!$K$1:$K$806,Movimientos!$C$1:$C$806,"Arbor Capital Properties",Movimientos!$B$1:$B$806,"&lt;="&amp;$B33)</f>
        <v>1428.08</v>
      </c>
      <c r="Q33" s="24">
        <f>SUMIFS('Saldos Iniciales'!$D:$D,'Saldos Iniciales'!$A:$A,"2515 Overbrook")+SUMIFS(Movimientos!$K$1:$K$806,Movimientos!$C$1:$C$806,"2515 Overbrook",Movimientos!$B$1:$B$806,"&lt;="&amp;$B33)</f>
        <v>26416.26999999996</v>
      </c>
      <c r="R33" s="24">
        <f>SUMIFS('Saldos Iniciales'!$D:$D,'Saldos Iniciales'!$A:$A,"112 Florida Ave")+SUMIFS(Movimientos!$K$1:$K$806,Movimientos!$C$1:$C$806,"112 Florida Ave",Movimientos!$B$1:$B$806,"&lt;="&amp;$B33)</f>
        <v>5321.4300000000021</v>
      </c>
      <c r="S33" s="24">
        <f>SUMIFS('Saldos Iniciales'!$D:$D,'Saldos Iniciales'!$A:$A,"3628 Thomas Ave")+SUMIFS(Movimientos!$K$1:$K$806,Movimientos!$C$1:$C$806,"3628 Thomas Ave",Movimientos!$B$1:$B$806,"&lt;="&amp;$B33)</f>
        <v>24833.23</v>
      </c>
      <c r="T33" s="24">
        <f>SUMIFS('Saldos Iniciales'!$D:$D,'Saldos Iniciales'!$A:$A,"Green Harbor Trust")+SUMIFS(Movimientos!$K$1:$K$806,Movimientos!$C$1:$C$806,"Green Harbor Trust",Movimientos!$B$1:$B$806,"&lt;="&amp;$B33)</f>
        <v>345</v>
      </c>
      <c r="U33" s="24">
        <f>SUMIFS('Saldos Iniciales'!$D:$D,'Saldos Iniciales'!$A:$A,"Go Blue")+SUMIFS(Movimientos!$K$1:$K$806,Movimientos!$C$1:$C$806,"Go Blue",Movimientos!$B$1:$B$806,"&lt;="&amp;$B33)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Group")+SUMIFS(Movimientos!$K$1:$K$806,Movimientos!$C$1:$C$806,"CFT Group",Movimientos!$B$1:$B$806,"&lt;="&amp;$B34)</f>
        <v>983394.14000000013</v>
      </c>
      <c r="D34" s="24">
        <f>SUMIFS('Saldos Iniciales'!$D:$D,'Saldos Iniciales'!$A:$A,"M1B")+SUMIFS(Movimientos!$K$1:$K$806,Movimientos!$C$1:$C$806,"M1B",Movimientos!$B$1:$B$806,"&lt;="&amp;$B34)</f>
        <v>69376.390000000174</v>
      </c>
      <c r="E34" s="24">
        <f>SUMIFS('Saldos Iniciales'!$D:$D,'Saldos Iniciales'!$A:$A,"Durand")+SUMIFS(Movimientos!$K$1:$K$806,Movimientos!$C$1:$C$806,"Durand",Movimientos!$B$1:$B$806,"&lt;="&amp;$B34)</f>
        <v>1669.89</v>
      </c>
      <c r="F34" s="24">
        <f>SUMIFS('Saldos Iniciales'!$D:$D,'Saldos Iniciales'!$A:$A,"A&amp;M Imports")+SUMIFS(Movimientos!$K$1:$K$806,Movimientos!$C$1:$C$806,"A&amp;M Imports",Movimientos!$B$1:$B$806,"&lt;="&amp;$B34)</f>
        <v>804853.11999999988</v>
      </c>
      <c r="G34" s="24">
        <f>SUMIFS('Saldos Iniciales'!$D:$D,'Saldos Iniciales'!$A:$A,"SSP Capital")+SUMIFS(Movimientos!$K$1:$K$806,Movimientos!$C$1:$C$806,"SSP Capital",Movimientos!$B$1:$B$806,"&lt;="&amp;$B34)</f>
        <v>1015901.6699999992</v>
      </c>
      <c r="H34" s="24">
        <f>SUMIFS('Saldos Iniciales'!$D:$D,'Saldos Iniciales'!$A:$A,"Cross Family Trust")+SUMIFS(Movimientos!$K$1:$K$806,Movimientos!$C$1:$C$806,"Cross Family Trust",Movimientos!$B$1:$B$806,"&lt;="&amp;$B34)</f>
        <v>131496.38</v>
      </c>
      <c r="I34" s="24">
        <f>SUMIFS('Saldos Iniciales'!$D:$D,'Saldos Iniciales'!$A:$A,"Cross Security Trust")+SUMIFS(Movimientos!$K$1:$K$806,Movimientos!$C$1:$C$806,"Cross Security Trust",Movimientos!$B$1:$B$806,"&lt;="&amp;$B34)</f>
        <v>88090.37</v>
      </c>
      <c r="J34" s="24">
        <f>SUMIFS('Saldos Iniciales'!$D:$D,'Saldos Iniciales'!$A:$A,"Electrama")+SUMIFS(Movimientos!$K$1:$K$806,Movimientos!$C$1:$C$806,"Electrama",Movimientos!$B$1:$B$806,"&lt;="&amp;$B34)</f>
        <v>511.15999999999985</v>
      </c>
      <c r="K34" s="24">
        <f>SUMIFS('Saldos Iniciales'!$D:$D,'Saldos Iniciales'!$A:$A,"Sacred Valley Capital")+SUMIFS(Movimientos!$K$1:$K$806,Movimientos!$C$1:$C$806,"Sacred Valley Capital",Movimientos!$B$1:$B$806,"&lt;="&amp;$B34)</f>
        <v>84.35</v>
      </c>
      <c r="L34" s="24">
        <f>SUMIFS('Saldos Iniciales'!$D:$D,'Saldos Iniciales'!$A:$A,"YWC Capital")+SUMIFS(Movimientos!$K$1:$K$806,Movimientos!$C$1:$C$806,"YWC Capital",Movimientos!$B$1:$B$806,"&lt;="&amp;$B34)</f>
        <v>2237.77</v>
      </c>
      <c r="M34" s="24">
        <f>SUMIFS('Saldos Iniciales'!$D:$D,'Saldos Iniciales'!$A:$A,"Soweto")+SUMIFS(Movimientos!$K$1:$K$806,Movimientos!$C$1:$C$806,"Soweto",Movimientos!$B$1:$B$806,"&lt;="&amp;$B34)</f>
        <v>3349.94</v>
      </c>
      <c r="N34" s="24">
        <f>SUMIFS('Saldos Iniciales'!$D:$D,'Saldos Iniciales'!$A:$A,"Green Stone Trust")+SUMIFS(Movimientos!$K$1:$K$806,Movimientos!$C$1:$C$806,"Green Stone Trust",Movimientos!$B$1:$B$806,"&lt;="&amp;$B34)</f>
        <v>1968.99</v>
      </c>
      <c r="O34" s="24">
        <f>SUMIFS('Saldos Iniciales'!$D:$D,'Saldos Iniciales'!$A:$A,"EC Auto")+SUMIFS(Movimientos!$K$1:$K$806,Movimientos!$C$1:$C$806,"EC Auto",Movimientos!$B$1:$B$806,"&lt;="&amp;$B34)</f>
        <v>901.34</v>
      </c>
      <c r="P34" s="24">
        <f>SUMIFS('Saldos Iniciales'!$D:$D,'Saldos Iniciales'!$A:$A,"Arbor Capital Properties")+SUMIFS(Movimientos!$K$1:$K$806,Movimientos!$C$1:$C$806,"Arbor Capital Properties",Movimientos!$B$1:$B$806,"&lt;="&amp;$B34)</f>
        <v>1428.08</v>
      </c>
      <c r="Q34" s="24">
        <f>SUMIFS('Saldos Iniciales'!$D:$D,'Saldos Iniciales'!$A:$A,"2515 Overbrook")+SUMIFS(Movimientos!$K$1:$K$806,Movimientos!$C$1:$C$806,"2515 Overbrook",Movimientos!$B$1:$B$806,"&lt;="&amp;$B34)</f>
        <v>25789.969999999961</v>
      </c>
      <c r="R34" s="24">
        <f>SUMIFS('Saldos Iniciales'!$D:$D,'Saldos Iniciales'!$A:$A,"112 Florida Ave")+SUMIFS(Movimientos!$K$1:$K$806,Movimientos!$C$1:$C$806,"112 Florida Ave",Movimientos!$B$1:$B$806,"&lt;="&amp;$B34)</f>
        <v>5321.4300000000021</v>
      </c>
      <c r="S34" s="24">
        <f>SUMIFS('Saldos Iniciales'!$D:$D,'Saldos Iniciales'!$A:$A,"3628 Thomas Ave")+SUMIFS(Movimientos!$K$1:$K$806,Movimientos!$C$1:$C$806,"3628 Thomas Ave",Movimientos!$B$1:$B$806,"&lt;="&amp;$B34)</f>
        <v>24833.23</v>
      </c>
      <c r="T34" s="24">
        <f>SUMIFS('Saldos Iniciales'!$D:$D,'Saldos Iniciales'!$A:$A,"Green Harbor Trust")+SUMIFS(Movimientos!$K$1:$K$806,Movimientos!$C$1:$C$806,"Green Harbor Trust",Movimientos!$B$1:$B$806,"&lt;="&amp;$B34)</f>
        <v>345</v>
      </c>
      <c r="U34" s="24">
        <f>SUMIFS('Saldos Iniciales'!$D:$D,'Saldos Iniciales'!$A:$A,"Go Blue")+SUMIFS(Movimientos!$K$1:$K$806,Movimientos!$C$1:$C$806,"Go Blue",Movimientos!$B$1:$B$806,"&lt;="&amp;$B34)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Group")+SUMIFS(Movimientos!$K$1:$K$806,Movimientos!$C$1:$C$806,"CFT Group",Movimientos!$B$1:$B$806,"&lt;="&amp;$B35)</f>
        <v>983394.14000000013</v>
      </c>
      <c r="D35" s="24">
        <f>SUMIFS('Saldos Iniciales'!$D:$D,'Saldos Iniciales'!$A:$A,"M1B")+SUMIFS(Movimientos!$K$1:$K$806,Movimientos!$C$1:$C$806,"M1B",Movimientos!$B$1:$B$806,"&lt;="&amp;$B35)</f>
        <v>69376.390000000174</v>
      </c>
      <c r="E35" s="24">
        <f>SUMIFS('Saldos Iniciales'!$D:$D,'Saldos Iniciales'!$A:$A,"Durand")+SUMIFS(Movimientos!$K$1:$K$806,Movimientos!$C$1:$C$806,"Durand",Movimientos!$B$1:$B$806,"&lt;="&amp;$B35)</f>
        <v>1669.89</v>
      </c>
      <c r="F35" s="24">
        <f>SUMIFS('Saldos Iniciales'!$D:$D,'Saldos Iniciales'!$A:$A,"A&amp;M Imports")+SUMIFS(Movimientos!$K$1:$K$806,Movimientos!$C$1:$C$806,"A&amp;M Imports",Movimientos!$B$1:$B$806,"&lt;="&amp;$B35)</f>
        <v>804853.11999999988</v>
      </c>
      <c r="G35" s="24">
        <f>SUMIFS('Saldos Iniciales'!$D:$D,'Saldos Iniciales'!$A:$A,"SSP Capital")+SUMIFS(Movimientos!$K$1:$K$806,Movimientos!$C$1:$C$806,"SSP Capital",Movimientos!$B$1:$B$806,"&lt;="&amp;$B35)</f>
        <v>1015611.6599999993</v>
      </c>
      <c r="H35" s="24">
        <f>SUMIFS('Saldos Iniciales'!$D:$D,'Saldos Iniciales'!$A:$A,"Cross Family Trust")+SUMIFS(Movimientos!$K$1:$K$806,Movimientos!$C$1:$C$806,"Cross Family Trust",Movimientos!$B$1:$B$806,"&lt;="&amp;$B35)</f>
        <v>125496.38</v>
      </c>
      <c r="I35" s="24">
        <f>SUMIFS('Saldos Iniciales'!$D:$D,'Saldos Iniciales'!$A:$A,"Cross Security Trust")+SUMIFS(Movimientos!$K$1:$K$806,Movimientos!$C$1:$C$806,"Cross Security Trust",Movimientos!$B$1:$B$806,"&lt;="&amp;$B35)</f>
        <v>88090.37</v>
      </c>
      <c r="J35" s="24">
        <f>SUMIFS('Saldos Iniciales'!$D:$D,'Saldos Iniciales'!$A:$A,"Electrama")+SUMIFS(Movimientos!$K$1:$K$806,Movimientos!$C$1:$C$806,"Electrama",Movimientos!$B$1:$B$806,"&lt;="&amp;$B35)</f>
        <v>511.15999999999985</v>
      </c>
      <c r="K35" s="24">
        <f>SUMIFS('Saldos Iniciales'!$D:$D,'Saldos Iniciales'!$A:$A,"Sacred Valley Capital")+SUMIFS(Movimientos!$K$1:$K$806,Movimientos!$C$1:$C$806,"Sacred Valley Capital",Movimientos!$B$1:$B$806,"&lt;="&amp;$B35)</f>
        <v>84.35</v>
      </c>
      <c r="L35" s="24">
        <f>SUMIFS('Saldos Iniciales'!$D:$D,'Saldos Iniciales'!$A:$A,"YWC Capital")+SUMIFS(Movimientos!$K$1:$K$806,Movimientos!$C$1:$C$806,"YWC Capital",Movimientos!$B$1:$B$806,"&lt;="&amp;$B35)</f>
        <v>2237.77</v>
      </c>
      <c r="M35" s="24">
        <f>SUMIFS('Saldos Iniciales'!$D:$D,'Saldos Iniciales'!$A:$A,"Soweto")+SUMIFS(Movimientos!$K$1:$K$806,Movimientos!$C$1:$C$806,"Soweto",Movimientos!$B$1:$B$806,"&lt;="&amp;$B35)</f>
        <v>3349.94</v>
      </c>
      <c r="N35" s="24">
        <f>SUMIFS('Saldos Iniciales'!$D:$D,'Saldos Iniciales'!$A:$A,"Green Stone Trust")+SUMIFS(Movimientos!$K$1:$K$806,Movimientos!$C$1:$C$806,"Green Stone Trust",Movimientos!$B$1:$B$806,"&lt;="&amp;$B35)</f>
        <v>1968.99</v>
      </c>
      <c r="O35" s="24">
        <f>SUMIFS('Saldos Iniciales'!$D:$D,'Saldos Iniciales'!$A:$A,"EC Auto")+SUMIFS(Movimientos!$K$1:$K$806,Movimientos!$C$1:$C$806,"EC Auto",Movimientos!$B$1:$B$806,"&lt;="&amp;$B35)</f>
        <v>901.34</v>
      </c>
      <c r="P35" s="24">
        <f>SUMIFS('Saldos Iniciales'!$D:$D,'Saldos Iniciales'!$A:$A,"Arbor Capital Properties")+SUMIFS(Movimientos!$K$1:$K$806,Movimientos!$C$1:$C$806,"Arbor Capital Properties",Movimientos!$B$1:$B$806,"&lt;="&amp;$B35)</f>
        <v>1428.08</v>
      </c>
      <c r="Q35" s="24">
        <f>SUMIFS('Saldos Iniciales'!$D:$D,'Saldos Iniciales'!$A:$A,"2515 Overbrook")+SUMIFS(Movimientos!$K$1:$K$806,Movimientos!$C$1:$C$806,"2515 Overbrook",Movimientos!$B$1:$B$806,"&lt;="&amp;$B35)</f>
        <v>25789.969999999961</v>
      </c>
      <c r="R35" s="24">
        <f>SUMIFS('Saldos Iniciales'!$D:$D,'Saldos Iniciales'!$A:$A,"112 Florida Ave")+SUMIFS(Movimientos!$K$1:$K$806,Movimientos!$C$1:$C$806,"112 Florida Ave",Movimientos!$B$1:$B$806,"&lt;="&amp;$B35)</f>
        <v>5321.4300000000021</v>
      </c>
      <c r="S35" s="24">
        <f>SUMIFS('Saldos Iniciales'!$D:$D,'Saldos Iniciales'!$A:$A,"3628 Thomas Ave")+SUMIFS(Movimientos!$K$1:$K$806,Movimientos!$C$1:$C$806,"3628 Thomas Ave",Movimientos!$B$1:$B$806,"&lt;="&amp;$B35)</f>
        <v>24833.23</v>
      </c>
      <c r="T35" s="24">
        <f>SUMIFS('Saldos Iniciales'!$D:$D,'Saldos Iniciales'!$A:$A,"Green Harbor Trust")+SUMIFS(Movimientos!$K$1:$K$806,Movimientos!$C$1:$C$806,"Green Harbor Trust",Movimientos!$B$1:$B$806,"&lt;="&amp;$B35)</f>
        <v>345</v>
      </c>
      <c r="U35" s="24">
        <f>SUMIFS('Saldos Iniciales'!$D:$D,'Saldos Iniciales'!$A:$A,"Go Blue")+SUMIFS(Movimientos!$K$1:$K$806,Movimientos!$C$1:$C$806,"Go Blue",Movimientos!$B$1:$B$806,"&lt;="&amp;$B35)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Group")+SUMIFS(Movimientos!$K$1:$K$806,Movimientos!$C$1:$C$806,"CFT Group",Movimientos!$B$1:$B$806,"&lt;="&amp;$B36)</f>
        <v>733394.14000000013</v>
      </c>
      <c r="D36" s="24">
        <f>SUMIFS('Saldos Iniciales'!$D:$D,'Saldos Iniciales'!$A:$A,"M1B")+SUMIFS(Movimientos!$K$1:$K$806,Movimientos!$C$1:$C$806,"M1B",Movimientos!$B$1:$B$806,"&lt;="&amp;$B36)</f>
        <v>69376.390000000174</v>
      </c>
      <c r="E36" s="24">
        <f>SUMIFS('Saldos Iniciales'!$D:$D,'Saldos Iniciales'!$A:$A,"Durand")+SUMIFS(Movimientos!$K$1:$K$806,Movimientos!$C$1:$C$806,"Durand",Movimientos!$B$1:$B$806,"&lt;="&amp;$B36)</f>
        <v>1669.89</v>
      </c>
      <c r="F36" s="24">
        <f>SUMIFS('Saldos Iniciales'!$D:$D,'Saldos Iniciales'!$A:$A,"A&amp;M Imports")+SUMIFS(Movimientos!$K$1:$K$806,Movimientos!$C$1:$C$806,"A&amp;M Imports",Movimientos!$B$1:$B$806,"&lt;="&amp;$B36)</f>
        <v>729545.23999999987</v>
      </c>
      <c r="G36" s="24">
        <f>SUMIFS('Saldos Iniciales'!$D:$D,'Saldos Iniciales'!$A:$A,"SSP Capital")+SUMIFS(Movimientos!$K$1:$K$806,Movimientos!$C$1:$C$806,"SSP Capital",Movimientos!$B$1:$B$806,"&lt;="&amp;$B36)</f>
        <v>1171714.4499999993</v>
      </c>
      <c r="H36" s="24">
        <f>SUMIFS('Saldos Iniciales'!$D:$D,'Saldos Iniciales'!$A:$A,"Cross Family Trust")+SUMIFS(Movimientos!$K$1:$K$806,Movimientos!$C$1:$C$806,"Cross Family Trust",Movimientos!$B$1:$B$806,"&lt;="&amp;$B36)</f>
        <v>116496.38</v>
      </c>
      <c r="I36" s="24">
        <f>SUMIFS('Saldos Iniciales'!$D:$D,'Saldos Iniciales'!$A:$A,"Cross Security Trust")+SUMIFS(Movimientos!$K$1:$K$806,Movimientos!$C$1:$C$806,"Cross Security Trust",Movimientos!$B$1:$B$806,"&lt;="&amp;$B36)</f>
        <v>88090.37</v>
      </c>
      <c r="J36" s="24">
        <f>SUMIFS('Saldos Iniciales'!$D:$D,'Saldos Iniciales'!$A:$A,"Electrama")+SUMIFS(Movimientos!$K$1:$K$806,Movimientos!$C$1:$C$806,"Electrama",Movimientos!$B$1:$B$806,"&lt;="&amp;$B36)</f>
        <v>511.15999999999985</v>
      </c>
      <c r="K36" s="24">
        <f>SUMIFS('Saldos Iniciales'!$D:$D,'Saldos Iniciales'!$A:$A,"Sacred Valley Capital")+SUMIFS(Movimientos!$K$1:$K$806,Movimientos!$C$1:$C$806,"Sacred Valley Capital",Movimientos!$B$1:$B$806,"&lt;="&amp;$B36)</f>
        <v>84.35</v>
      </c>
      <c r="L36" s="24">
        <f>SUMIFS('Saldos Iniciales'!$D:$D,'Saldos Iniciales'!$A:$A,"YWC Capital")+SUMIFS(Movimientos!$K$1:$K$806,Movimientos!$C$1:$C$806,"YWC Capital",Movimientos!$B$1:$B$806,"&lt;="&amp;$B36)</f>
        <v>2237.77</v>
      </c>
      <c r="M36" s="24">
        <f>SUMIFS('Saldos Iniciales'!$D:$D,'Saldos Iniciales'!$A:$A,"Soweto")+SUMIFS(Movimientos!$K$1:$K$806,Movimientos!$C$1:$C$806,"Soweto",Movimientos!$B$1:$B$806,"&lt;="&amp;$B36)</f>
        <v>3349.94</v>
      </c>
      <c r="N36" s="24">
        <f>SUMIFS('Saldos Iniciales'!$D:$D,'Saldos Iniciales'!$A:$A,"Green Stone Trust")+SUMIFS(Movimientos!$K$1:$K$806,Movimientos!$C$1:$C$806,"Green Stone Trust",Movimientos!$B$1:$B$806,"&lt;="&amp;$B36)</f>
        <v>1968.99</v>
      </c>
      <c r="O36" s="24">
        <f>SUMIFS('Saldos Iniciales'!$D:$D,'Saldos Iniciales'!$A:$A,"EC Auto")+SUMIFS(Movimientos!$K$1:$K$806,Movimientos!$C$1:$C$806,"EC Auto",Movimientos!$B$1:$B$806,"&lt;="&amp;$B36)</f>
        <v>382.69000000000005</v>
      </c>
      <c r="P36" s="24">
        <f>SUMIFS('Saldos Iniciales'!$D:$D,'Saldos Iniciales'!$A:$A,"Arbor Capital Properties")+SUMIFS(Movimientos!$K$1:$K$806,Movimientos!$C$1:$C$806,"Arbor Capital Properties",Movimientos!$B$1:$B$806,"&lt;="&amp;$B36)</f>
        <v>1428.08</v>
      </c>
      <c r="Q36" s="24">
        <f>SUMIFS('Saldos Iniciales'!$D:$D,'Saldos Iniciales'!$A:$A,"2515 Overbrook")+SUMIFS(Movimientos!$K$1:$K$806,Movimientos!$C$1:$C$806,"2515 Overbrook",Movimientos!$B$1:$B$806,"&lt;="&amp;$B36)</f>
        <v>25789.969999999961</v>
      </c>
      <c r="R36" s="24">
        <f>SUMIFS('Saldos Iniciales'!$D:$D,'Saldos Iniciales'!$A:$A,"112 Florida Ave")+SUMIFS(Movimientos!$K$1:$K$806,Movimientos!$C$1:$C$806,"112 Florida Ave",Movimientos!$B$1:$B$806,"&lt;="&amp;$B36)</f>
        <v>5321.4300000000021</v>
      </c>
      <c r="S36" s="24">
        <f>SUMIFS('Saldos Iniciales'!$D:$D,'Saldos Iniciales'!$A:$A,"3628 Thomas Ave")+SUMIFS(Movimientos!$K$1:$K$806,Movimientos!$C$1:$C$806,"3628 Thomas Ave",Movimientos!$B$1:$B$806,"&lt;="&amp;$B36)</f>
        <v>24833.23</v>
      </c>
      <c r="T36" s="24">
        <f>SUMIFS('Saldos Iniciales'!$D:$D,'Saldos Iniciales'!$A:$A,"Green Harbor Trust")+SUMIFS(Movimientos!$K$1:$K$806,Movimientos!$C$1:$C$806,"Green Harbor Trust",Movimientos!$B$1:$B$806,"&lt;="&amp;$B36)</f>
        <v>345</v>
      </c>
      <c r="U36" s="24">
        <f>SUMIFS('Saldos Iniciales'!$D:$D,'Saldos Iniciales'!$A:$A,"Go Blue")+SUMIFS(Movimientos!$K$1:$K$806,Movimientos!$C$1:$C$806,"Go Blue",Movimientos!$B$1:$B$806,"&lt;="&amp;$B36)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Group")+SUMIFS(Movimientos!$K$1:$K$806,Movimientos!$C$1:$C$806,"CFT Group",Movimientos!$B$1:$B$806,"&lt;="&amp;$B37)</f>
        <v>733394.14000000013</v>
      </c>
      <c r="D37" s="24">
        <f>SUMIFS('Saldos Iniciales'!$D:$D,'Saldos Iniciales'!$A:$A,"M1B")+SUMIFS(Movimientos!$K$1:$K$806,Movimientos!$C$1:$C$806,"M1B",Movimientos!$B$1:$B$806,"&lt;="&amp;$B37)</f>
        <v>69376.390000000174</v>
      </c>
      <c r="E37" s="24">
        <f>SUMIFS('Saldos Iniciales'!$D:$D,'Saldos Iniciales'!$A:$A,"Durand")+SUMIFS(Movimientos!$K$1:$K$806,Movimientos!$C$1:$C$806,"Durand",Movimientos!$B$1:$B$806,"&lt;="&amp;$B37)</f>
        <v>1669.89</v>
      </c>
      <c r="F37" s="24">
        <f>SUMIFS('Saldos Iniciales'!$D:$D,'Saldos Iniciales'!$A:$A,"A&amp;M Imports")+SUMIFS(Movimientos!$K$1:$K$806,Movimientos!$C$1:$C$806,"A&amp;M Imports",Movimientos!$B$1:$B$806,"&lt;="&amp;$B37)</f>
        <v>729545.23999999987</v>
      </c>
      <c r="G37" s="24">
        <f>SUMIFS('Saldos Iniciales'!$D:$D,'Saldos Iniciales'!$A:$A,"SSP Capital")+SUMIFS(Movimientos!$K$1:$K$806,Movimientos!$C$1:$C$806,"SSP Capital",Movimientos!$B$1:$B$806,"&lt;="&amp;$B37)</f>
        <v>1164028.3199999994</v>
      </c>
      <c r="H37" s="24">
        <f>SUMIFS('Saldos Iniciales'!$D:$D,'Saldos Iniciales'!$A:$A,"Cross Family Trust")+SUMIFS(Movimientos!$K$1:$K$806,Movimientos!$C$1:$C$806,"Cross Family Trust",Movimientos!$B$1:$B$806,"&lt;="&amp;$B37)</f>
        <v>116496.38</v>
      </c>
      <c r="I37" s="24">
        <f>SUMIFS('Saldos Iniciales'!$D:$D,'Saldos Iniciales'!$A:$A,"Cross Security Trust")+SUMIFS(Movimientos!$K$1:$K$806,Movimientos!$C$1:$C$806,"Cross Security Trust",Movimientos!$B$1:$B$806,"&lt;="&amp;$B37)</f>
        <v>88090.37</v>
      </c>
      <c r="J37" s="24">
        <f>SUMIFS('Saldos Iniciales'!$D:$D,'Saldos Iniciales'!$A:$A,"Electrama")+SUMIFS(Movimientos!$K$1:$K$806,Movimientos!$C$1:$C$806,"Electrama",Movimientos!$B$1:$B$806,"&lt;="&amp;$B37)</f>
        <v>511.15999999999985</v>
      </c>
      <c r="K37" s="24">
        <f>SUMIFS('Saldos Iniciales'!$D:$D,'Saldos Iniciales'!$A:$A,"Sacred Valley Capital")+SUMIFS(Movimientos!$K$1:$K$806,Movimientos!$C$1:$C$806,"Sacred Valley Capital",Movimientos!$B$1:$B$806,"&lt;="&amp;$B37)</f>
        <v>84.35</v>
      </c>
      <c r="L37" s="24">
        <f>SUMIFS('Saldos Iniciales'!$D:$D,'Saldos Iniciales'!$A:$A,"YWC Capital")+SUMIFS(Movimientos!$K$1:$K$806,Movimientos!$C$1:$C$806,"YWC Capital",Movimientos!$B$1:$B$806,"&lt;="&amp;$B37)</f>
        <v>2237.77</v>
      </c>
      <c r="M37" s="24">
        <f>SUMIFS('Saldos Iniciales'!$D:$D,'Saldos Iniciales'!$A:$A,"Soweto")+SUMIFS(Movimientos!$K$1:$K$806,Movimientos!$C$1:$C$806,"Soweto",Movimientos!$B$1:$B$806,"&lt;="&amp;$B37)</f>
        <v>3349.94</v>
      </c>
      <c r="N37" s="24">
        <f>SUMIFS('Saldos Iniciales'!$D:$D,'Saldos Iniciales'!$A:$A,"Green Stone Trust")+SUMIFS(Movimientos!$K$1:$K$806,Movimientos!$C$1:$C$806,"Green Stone Trust",Movimientos!$B$1:$B$806,"&lt;="&amp;$B37)</f>
        <v>1968.99</v>
      </c>
      <c r="O37" s="24">
        <f>SUMIFS('Saldos Iniciales'!$D:$D,'Saldos Iniciales'!$A:$A,"EC Auto")+SUMIFS(Movimientos!$K$1:$K$806,Movimientos!$C$1:$C$806,"EC Auto",Movimientos!$B$1:$B$806,"&lt;="&amp;$B37)</f>
        <v>382.69000000000005</v>
      </c>
      <c r="P37" s="24">
        <f>SUMIFS('Saldos Iniciales'!$D:$D,'Saldos Iniciales'!$A:$A,"Arbor Capital Properties")+SUMIFS(Movimientos!$K$1:$K$806,Movimientos!$C$1:$C$806,"Arbor Capital Properties",Movimientos!$B$1:$B$806,"&lt;="&amp;$B37)</f>
        <v>1428.08</v>
      </c>
      <c r="Q37" s="24">
        <f>SUMIFS('Saldos Iniciales'!$D:$D,'Saldos Iniciales'!$A:$A,"2515 Overbrook")+SUMIFS(Movimientos!$K$1:$K$806,Movimientos!$C$1:$C$806,"2515 Overbrook",Movimientos!$B$1:$B$806,"&lt;="&amp;$B37)</f>
        <v>25789.969999999961</v>
      </c>
      <c r="R37" s="24">
        <f>SUMIFS('Saldos Iniciales'!$D:$D,'Saldos Iniciales'!$A:$A,"112 Florida Ave")+SUMIFS(Movimientos!$K$1:$K$806,Movimientos!$C$1:$C$806,"112 Florida Ave",Movimientos!$B$1:$B$806,"&lt;="&amp;$B37)</f>
        <v>5321.4300000000021</v>
      </c>
      <c r="S37" s="24">
        <f>SUMIFS('Saldos Iniciales'!$D:$D,'Saldos Iniciales'!$A:$A,"3628 Thomas Ave")+SUMIFS(Movimientos!$K$1:$K$806,Movimientos!$C$1:$C$806,"3628 Thomas Ave",Movimientos!$B$1:$B$806,"&lt;="&amp;$B37)</f>
        <v>24833.23</v>
      </c>
      <c r="T37" s="24">
        <f>SUMIFS('Saldos Iniciales'!$D:$D,'Saldos Iniciales'!$A:$A,"Green Harbor Trust")+SUMIFS(Movimientos!$K$1:$K$806,Movimientos!$C$1:$C$806,"Green Harbor Trust",Movimientos!$B$1:$B$806,"&lt;="&amp;$B37)</f>
        <v>345</v>
      </c>
      <c r="U37" s="24">
        <f>SUMIFS('Saldos Iniciales'!$D:$D,'Saldos Iniciales'!$A:$A,"Go Blue")+SUMIFS(Movimientos!$K$1:$K$806,Movimientos!$C$1:$C$806,"Go Blue",Movimientos!$B$1:$B$806,"&lt;="&amp;$B37)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Group")+SUMIFS(Movimientos!$K$1:$K$806,Movimientos!$C$1:$C$806,"CFT Group",Movimientos!$B$1:$B$806,"&lt;="&amp;$B38)</f>
        <v>733394.14000000013</v>
      </c>
      <c r="D38" s="24">
        <f>SUMIFS('Saldos Iniciales'!$D:$D,'Saldos Iniciales'!$A:$A,"M1B")+SUMIFS(Movimientos!$K$1:$K$806,Movimientos!$C$1:$C$806,"M1B",Movimientos!$B$1:$B$806,"&lt;="&amp;$B38)</f>
        <v>69376.390000000174</v>
      </c>
      <c r="E38" s="24">
        <f>SUMIFS('Saldos Iniciales'!$D:$D,'Saldos Iniciales'!$A:$A,"Durand")+SUMIFS(Movimientos!$K$1:$K$806,Movimientos!$C$1:$C$806,"Durand",Movimientos!$B$1:$B$806,"&lt;="&amp;$B38)</f>
        <v>1669.89</v>
      </c>
      <c r="F38" s="24">
        <f>SUMIFS('Saldos Iniciales'!$D:$D,'Saldos Iniciales'!$A:$A,"A&amp;M Imports")+SUMIFS(Movimientos!$K$1:$K$806,Movimientos!$C$1:$C$806,"A&amp;M Imports",Movimientos!$B$1:$B$806,"&lt;="&amp;$B38)</f>
        <v>729545.23999999987</v>
      </c>
      <c r="G38" s="24">
        <f>SUMIFS('Saldos Iniciales'!$D:$D,'Saldos Iniciales'!$A:$A,"SSP Capital")+SUMIFS(Movimientos!$K$1:$K$806,Movimientos!$C$1:$C$806,"SSP Capital",Movimientos!$B$1:$B$806,"&lt;="&amp;$B38)</f>
        <v>1164028.3199999994</v>
      </c>
      <c r="H38" s="24">
        <f>SUMIFS('Saldos Iniciales'!$D:$D,'Saldos Iniciales'!$A:$A,"Cross Family Trust")+SUMIFS(Movimientos!$K$1:$K$806,Movimientos!$C$1:$C$806,"Cross Family Trust",Movimientos!$B$1:$B$806,"&lt;="&amp;$B38)</f>
        <v>116496.38</v>
      </c>
      <c r="I38" s="24">
        <f>SUMIFS('Saldos Iniciales'!$D:$D,'Saldos Iniciales'!$A:$A,"Cross Security Trust")+SUMIFS(Movimientos!$K$1:$K$806,Movimientos!$C$1:$C$806,"Cross Security Trust",Movimientos!$B$1:$B$806,"&lt;="&amp;$B38)</f>
        <v>88090.37</v>
      </c>
      <c r="J38" s="24">
        <f>SUMIFS('Saldos Iniciales'!$D:$D,'Saldos Iniciales'!$A:$A,"Electrama")+SUMIFS(Movimientos!$K$1:$K$806,Movimientos!$C$1:$C$806,"Electrama",Movimientos!$B$1:$B$806,"&lt;="&amp;$B38)</f>
        <v>511.15999999999985</v>
      </c>
      <c r="K38" s="24">
        <f>SUMIFS('Saldos Iniciales'!$D:$D,'Saldos Iniciales'!$A:$A,"Sacred Valley Capital")+SUMIFS(Movimientos!$K$1:$K$806,Movimientos!$C$1:$C$806,"Sacred Valley Capital",Movimientos!$B$1:$B$806,"&lt;="&amp;$B38)</f>
        <v>84.35</v>
      </c>
      <c r="L38" s="24">
        <f>SUMIFS('Saldos Iniciales'!$D:$D,'Saldos Iniciales'!$A:$A,"YWC Capital")+SUMIFS(Movimientos!$K$1:$K$806,Movimientos!$C$1:$C$806,"YWC Capital",Movimientos!$B$1:$B$806,"&lt;="&amp;$B38)</f>
        <v>2237.77</v>
      </c>
      <c r="M38" s="24">
        <f>SUMIFS('Saldos Iniciales'!$D:$D,'Saldos Iniciales'!$A:$A,"Soweto")+SUMIFS(Movimientos!$K$1:$K$806,Movimientos!$C$1:$C$806,"Soweto",Movimientos!$B$1:$B$806,"&lt;="&amp;$B38)</f>
        <v>3349.94</v>
      </c>
      <c r="N38" s="24">
        <f>SUMIFS('Saldos Iniciales'!$D:$D,'Saldos Iniciales'!$A:$A,"Green Stone Trust")+SUMIFS(Movimientos!$K$1:$K$806,Movimientos!$C$1:$C$806,"Green Stone Trust",Movimientos!$B$1:$B$806,"&lt;="&amp;$B38)</f>
        <v>1968.99</v>
      </c>
      <c r="O38" s="24">
        <f>SUMIFS('Saldos Iniciales'!$D:$D,'Saldos Iniciales'!$A:$A,"EC Auto")+SUMIFS(Movimientos!$K$1:$K$806,Movimientos!$C$1:$C$806,"EC Auto",Movimientos!$B$1:$B$806,"&lt;="&amp;$B38)</f>
        <v>382.69000000000005</v>
      </c>
      <c r="P38" s="24">
        <f>SUMIFS('Saldos Iniciales'!$D:$D,'Saldos Iniciales'!$A:$A,"Arbor Capital Properties")+SUMIFS(Movimientos!$K$1:$K$806,Movimientos!$C$1:$C$806,"Arbor Capital Properties",Movimientos!$B$1:$B$806,"&lt;="&amp;$B38)</f>
        <v>1428.08</v>
      </c>
      <c r="Q38" s="24">
        <f>SUMIFS('Saldos Iniciales'!$D:$D,'Saldos Iniciales'!$A:$A,"2515 Overbrook")+SUMIFS(Movimientos!$K$1:$K$806,Movimientos!$C$1:$C$806,"2515 Overbrook",Movimientos!$B$1:$B$806,"&lt;="&amp;$B38)</f>
        <v>25789.969999999961</v>
      </c>
      <c r="R38" s="24">
        <f>SUMIFS('Saldos Iniciales'!$D:$D,'Saldos Iniciales'!$A:$A,"112 Florida Ave")+SUMIFS(Movimientos!$K$1:$K$806,Movimientos!$C$1:$C$806,"112 Florida Ave",Movimientos!$B$1:$B$806,"&lt;="&amp;$B38)</f>
        <v>5321.4300000000021</v>
      </c>
      <c r="S38" s="24">
        <f>SUMIFS('Saldos Iniciales'!$D:$D,'Saldos Iniciales'!$A:$A,"3628 Thomas Ave")+SUMIFS(Movimientos!$K$1:$K$806,Movimientos!$C$1:$C$806,"3628 Thomas Ave",Movimientos!$B$1:$B$806,"&lt;="&amp;$B38)</f>
        <v>24833.23</v>
      </c>
      <c r="T38" s="24">
        <f>SUMIFS('Saldos Iniciales'!$D:$D,'Saldos Iniciales'!$A:$A,"Green Harbor Trust")+SUMIFS(Movimientos!$K$1:$K$806,Movimientos!$C$1:$C$806,"Green Harbor Trust",Movimientos!$B$1:$B$806,"&lt;="&amp;$B38)</f>
        <v>345</v>
      </c>
      <c r="U38" s="24">
        <f>SUMIFS('Saldos Iniciales'!$D:$D,'Saldos Iniciales'!$A:$A,"Go Blue")+SUMIFS(Movimientos!$K$1:$K$806,Movimientos!$C$1:$C$806,"Go Blue",Movimientos!$B$1:$B$806,"&lt;="&amp;$B38)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Group")+SUMIFS(Movimientos!$K$1:$K$806,Movimientos!$C$1:$C$806,"CFT Group",Movimientos!$B$1:$B$806,"&lt;="&amp;$B39)</f>
        <v>733394.14000000013</v>
      </c>
      <c r="D39" s="24">
        <f>SUMIFS('Saldos Iniciales'!$D:$D,'Saldos Iniciales'!$A:$A,"M1B")+SUMIFS(Movimientos!$K$1:$K$806,Movimientos!$C$1:$C$806,"M1B",Movimientos!$B$1:$B$806,"&lt;="&amp;$B39)</f>
        <v>69376.390000000174</v>
      </c>
      <c r="E39" s="24">
        <f>SUMIFS('Saldos Iniciales'!$D:$D,'Saldos Iniciales'!$A:$A,"Durand")+SUMIFS(Movimientos!$K$1:$K$806,Movimientos!$C$1:$C$806,"Durand",Movimientos!$B$1:$B$806,"&lt;="&amp;$B39)</f>
        <v>1669.89</v>
      </c>
      <c r="F39" s="24">
        <f>SUMIFS('Saldos Iniciales'!$D:$D,'Saldos Iniciales'!$A:$A,"A&amp;M Imports")+SUMIFS(Movimientos!$K$1:$K$806,Movimientos!$C$1:$C$806,"A&amp;M Imports",Movimientos!$B$1:$B$806,"&lt;="&amp;$B39)</f>
        <v>729545.23999999987</v>
      </c>
      <c r="G39" s="24">
        <f>SUMIFS('Saldos Iniciales'!$D:$D,'Saldos Iniciales'!$A:$A,"SSP Capital")+SUMIFS(Movimientos!$K$1:$K$806,Movimientos!$C$1:$C$806,"SSP Capital",Movimientos!$B$1:$B$806,"&lt;="&amp;$B39)</f>
        <v>1164028.3199999994</v>
      </c>
      <c r="H39" s="24">
        <f>SUMIFS('Saldos Iniciales'!$D:$D,'Saldos Iniciales'!$A:$A,"Cross Family Trust")+SUMIFS(Movimientos!$K$1:$K$806,Movimientos!$C$1:$C$806,"Cross Family Trust",Movimientos!$B$1:$B$806,"&lt;="&amp;$B39)</f>
        <v>116496.38</v>
      </c>
      <c r="I39" s="24">
        <f>SUMIFS('Saldos Iniciales'!$D:$D,'Saldos Iniciales'!$A:$A,"Cross Security Trust")+SUMIFS(Movimientos!$K$1:$K$806,Movimientos!$C$1:$C$806,"Cross Security Trust",Movimientos!$B$1:$B$806,"&lt;="&amp;$B39)</f>
        <v>88090.37</v>
      </c>
      <c r="J39" s="24">
        <f>SUMIFS('Saldos Iniciales'!$D:$D,'Saldos Iniciales'!$A:$A,"Electrama")+SUMIFS(Movimientos!$K$1:$K$806,Movimientos!$C$1:$C$806,"Electrama",Movimientos!$B$1:$B$806,"&lt;="&amp;$B39)</f>
        <v>511.15999999999985</v>
      </c>
      <c r="K39" s="24">
        <f>SUMIFS('Saldos Iniciales'!$D:$D,'Saldos Iniciales'!$A:$A,"Sacred Valley Capital")+SUMIFS(Movimientos!$K$1:$K$806,Movimientos!$C$1:$C$806,"Sacred Valley Capital",Movimientos!$B$1:$B$806,"&lt;="&amp;$B39)</f>
        <v>84.35</v>
      </c>
      <c r="L39" s="24">
        <f>SUMIFS('Saldos Iniciales'!$D:$D,'Saldos Iniciales'!$A:$A,"YWC Capital")+SUMIFS(Movimientos!$K$1:$K$806,Movimientos!$C$1:$C$806,"YWC Capital",Movimientos!$B$1:$B$806,"&lt;="&amp;$B39)</f>
        <v>2237.77</v>
      </c>
      <c r="M39" s="24">
        <f>SUMIFS('Saldos Iniciales'!$D:$D,'Saldos Iniciales'!$A:$A,"Soweto")+SUMIFS(Movimientos!$K$1:$K$806,Movimientos!$C$1:$C$806,"Soweto",Movimientos!$B$1:$B$806,"&lt;="&amp;$B39)</f>
        <v>3349.94</v>
      </c>
      <c r="N39" s="24">
        <f>SUMIFS('Saldos Iniciales'!$D:$D,'Saldos Iniciales'!$A:$A,"Green Stone Trust")+SUMIFS(Movimientos!$K$1:$K$806,Movimientos!$C$1:$C$806,"Green Stone Trust",Movimientos!$B$1:$B$806,"&lt;="&amp;$B39)</f>
        <v>1968.99</v>
      </c>
      <c r="O39" s="24">
        <f>SUMIFS('Saldos Iniciales'!$D:$D,'Saldos Iniciales'!$A:$A,"EC Auto")+SUMIFS(Movimientos!$K$1:$K$806,Movimientos!$C$1:$C$806,"EC Auto",Movimientos!$B$1:$B$806,"&lt;="&amp;$B39)</f>
        <v>382.69000000000005</v>
      </c>
      <c r="P39" s="24">
        <f>SUMIFS('Saldos Iniciales'!$D:$D,'Saldos Iniciales'!$A:$A,"Arbor Capital Properties")+SUMIFS(Movimientos!$K$1:$K$806,Movimientos!$C$1:$C$806,"Arbor Capital Properties",Movimientos!$B$1:$B$806,"&lt;="&amp;$B39)</f>
        <v>1428.08</v>
      </c>
      <c r="Q39" s="24">
        <f>SUMIFS('Saldos Iniciales'!$D:$D,'Saldos Iniciales'!$A:$A,"2515 Overbrook")+SUMIFS(Movimientos!$K$1:$K$806,Movimientos!$C$1:$C$806,"2515 Overbrook",Movimientos!$B$1:$B$806,"&lt;="&amp;$B39)</f>
        <v>25789.969999999961</v>
      </c>
      <c r="R39" s="24">
        <f>SUMIFS('Saldos Iniciales'!$D:$D,'Saldos Iniciales'!$A:$A,"112 Florida Ave")+SUMIFS(Movimientos!$K$1:$K$806,Movimientos!$C$1:$C$806,"112 Florida Ave",Movimientos!$B$1:$B$806,"&lt;="&amp;$B39)</f>
        <v>5321.4300000000021</v>
      </c>
      <c r="S39" s="24">
        <f>SUMIFS('Saldos Iniciales'!$D:$D,'Saldos Iniciales'!$A:$A,"3628 Thomas Ave")+SUMIFS(Movimientos!$K$1:$K$806,Movimientos!$C$1:$C$806,"3628 Thomas Ave",Movimientos!$B$1:$B$806,"&lt;="&amp;$B39)</f>
        <v>24833.23</v>
      </c>
      <c r="T39" s="24">
        <f>SUMIFS('Saldos Iniciales'!$D:$D,'Saldos Iniciales'!$A:$A,"Green Harbor Trust")+SUMIFS(Movimientos!$K$1:$K$806,Movimientos!$C$1:$C$806,"Green Harbor Trust",Movimientos!$B$1:$B$806,"&lt;="&amp;$B39)</f>
        <v>345</v>
      </c>
      <c r="U39" s="24">
        <f>SUMIFS('Saldos Iniciales'!$D:$D,'Saldos Iniciales'!$A:$A,"Go Blue")+SUMIFS(Movimientos!$K$1:$K$806,Movimientos!$C$1:$C$806,"Go Blue",Movimientos!$B$1:$B$806,"&lt;="&amp;$B39)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Group")+SUMIFS(Movimientos!$K$1:$K$806,Movimientos!$C$1:$C$806,"CFT Group",Movimientos!$B$1:$B$806,"&lt;="&amp;$B40)</f>
        <v>733394.14000000013</v>
      </c>
      <c r="D40" s="24">
        <f>SUMIFS('Saldos Iniciales'!$D:$D,'Saldos Iniciales'!$A:$A,"M1B")+SUMIFS(Movimientos!$K$1:$K$806,Movimientos!$C$1:$C$806,"M1B",Movimientos!$B$1:$B$806,"&lt;="&amp;$B40)</f>
        <v>69376.390000000174</v>
      </c>
      <c r="E40" s="24">
        <f>SUMIFS('Saldos Iniciales'!$D:$D,'Saldos Iniciales'!$A:$A,"Durand")+SUMIFS(Movimientos!$K$1:$K$806,Movimientos!$C$1:$C$806,"Durand",Movimientos!$B$1:$B$806,"&lt;="&amp;$B40)</f>
        <v>1669.89</v>
      </c>
      <c r="F40" s="24">
        <f>SUMIFS('Saldos Iniciales'!$D:$D,'Saldos Iniciales'!$A:$A,"A&amp;M Imports")+SUMIFS(Movimientos!$K$1:$K$806,Movimientos!$C$1:$C$806,"A&amp;M Imports",Movimientos!$B$1:$B$806,"&lt;="&amp;$B40)</f>
        <v>729545.23999999987</v>
      </c>
      <c r="G40" s="24">
        <f>SUMIFS('Saldos Iniciales'!$D:$D,'Saldos Iniciales'!$A:$A,"SSP Capital")+SUMIFS(Movimientos!$K$1:$K$806,Movimientos!$C$1:$C$806,"SSP Capital",Movimientos!$B$1:$B$806,"&lt;="&amp;$B40)</f>
        <v>1164028.3199999994</v>
      </c>
      <c r="H40" s="24">
        <f>SUMIFS('Saldos Iniciales'!$D:$D,'Saldos Iniciales'!$A:$A,"Cross Family Trust")+SUMIFS(Movimientos!$K$1:$K$806,Movimientos!$C$1:$C$806,"Cross Family Trust",Movimientos!$B$1:$B$806,"&lt;="&amp;$B40)</f>
        <v>116496.38</v>
      </c>
      <c r="I40" s="24">
        <f>SUMIFS('Saldos Iniciales'!$D:$D,'Saldos Iniciales'!$A:$A,"Cross Security Trust")+SUMIFS(Movimientos!$K$1:$K$806,Movimientos!$C$1:$C$806,"Cross Security Trust",Movimientos!$B$1:$B$806,"&lt;="&amp;$B40)</f>
        <v>88090.37</v>
      </c>
      <c r="J40" s="24">
        <f>SUMIFS('Saldos Iniciales'!$D:$D,'Saldos Iniciales'!$A:$A,"Electrama")+SUMIFS(Movimientos!$K$1:$K$806,Movimientos!$C$1:$C$806,"Electrama",Movimientos!$B$1:$B$806,"&lt;="&amp;$B40)</f>
        <v>511.15999999999985</v>
      </c>
      <c r="K40" s="24">
        <f>SUMIFS('Saldos Iniciales'!$D:$D,'Saldos Iniciales'!$A:$A,"Sacred Valley Capital")+SUMIFS(Movimientos!$K$1:$K$806,Movimientos!$C$1:$C$806,"Sacred Valley Capital",Movimientos!$B$1:$B$806,"&lt;="&amp;$B40)</f>
        <v>84.35</v>
      </c>
      <c r="L40" s="24">
        <f>SUMIFS('Saldos Iniciales'!$D:$D,'Saldos Iniciales'!$A:$A,"YWC Capital")+SUMIFS(Movimientos!$K$1:$K$806,Movimientos!$C$1:$C$806,"YWC Capital",Movimientos!$B$1:$B$806,"&lt;="&amp;$B40)</f>
        <v>2237.77</v>
      </c>
      <c r="M40" s="24">
        <f>SUMIFS('Saldos Iniciales'!$D:$D,'Saldos Iniciales'!$A:$A,"Soweto")+SUMIFS(Movimientos!$K$1:$K$806,Movimientos!$C$1:$C$806,"Soweto",Movimientos!$B$1:$B$806,"&lt;="&amp;$B40)</f>
        <v>3349.94</v>
      </c>
      <c r="N40" s="24">
        <f>SUMIFS('Saldos Iniciales'!$D:$D,'Saldos Iniciales'!$A:$A,"Green Stone Trust")+SUMIFS(Movimientos!$K$1:$K$806,Movimientos!$C$1:$C$806,"Green Stone Trust",Movimientos!$B$1:$B$806,"&lt;="&amp;$B40)</f>
        <v>1968.99</v>
      </c>
      <c r="O40" s="24">
        <f>SUMIFS('Saldos Iniciales'!$D:$D,'Saldos Iniciales'!$A:$A,"EC Auto")+SUMIFS(Movimientos!$K$1:$K$806,Movimientos!$C$1:$C$806,"EC Auto",Movimientos!$B$1:$B$806,"&lt;="&amp;$B40)</f>
        <v>382.69000000000005</v>
      </c>
      <c r="P40" s="24">
        <f>SUMIFS('Saldos Iniciales'!$D:$D,'Saldos Iniciales'!$A:$A,"Arbor Capital Properties")+SUMIFS(Movimientos!$K$1:$K$806,Movimientos!$C$1:$C$806,"Arbor Capital Properties",Movimientos!$B$1:$B$806,"&lt;="&amp;$B40)</f>
        <v>1428.08</v>
      </c>
      <c r="Q40" s="24">
        <f>SUMIFS('Saldos Iniciales'!$D:$D,'Saldos Iniciales'!$A:$A,"2515 Overbrook")+SUMIFS(Movimientos!$K$1:$K$806,Movimientos!$C$1:$C$806,"2515 Overbrook",Movimientos!$B$1:$B$806,"&lt;="&amp;$B40)</f>
        <v>25789.969999999961</v>
      </c>
      <c r="R40" s="24">
        <f>SUMIFS('Saldos Iniciales'!$D:$D,'Saldos Iniciales'!$A:$A,"112 Florida Ave")+SUMIFS(Movimientos!$K$1:$K$806,Movimientos!$C$1:$C$806,"112 Florida Ave",Movimientos!$B$1:$B$806,"&lt;="&amp;$B40)</f>
        <v>5321.4300000000021</v>
      </c>
      <c r="S40" s="24">
        <f>SUMIFS('Saldos Iniciales'!$D:$D,'Saldos Iniciales'!$A:$A,"3628 Thomas Ave")+SUMIFS(Movimientos!$K$1:$K$806,Movimientos!$C$1:$C$806,"3628 Thomas Ave",Movimientos!$B$1:$B$806,"&lt;="&amp;$B40)</f>
        <v>24833.23</v>
      </c>
      <c r="T40" s="24">
        <f>SUMIFS('Saldos Iniciales'!$D:$D,'Saldos Iniciales'!$A:$A,"Green Harbor Trust")+SUMIFS(Movimientos!$K$1:$K$806,Movimientos!$C$1:$C$806,"Green Harbor Trust",Movimientos!$B$1:$B$806,"&lt;="&amp;$B40)</f>
        <v>345</v>
      </c>
      <c r="U40" s="24">
        <f>SUMIFS('Saldos Iniciales'!$D:$D,'Saldos Iniciales'!$A:$A,"Go Blue")+SUMIFS(Movimientos!$K$1:$K$806,Movimientos!$C$1:$C$806,"Go Blue",Movimientos!$B$1:$B$806,"&lt;="&amp;$B40)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Group")+SUMIFS(Movimientos!$K$1:$K$806,Movimientos!$C$1:$C$806,"CFT Group",Movimientos!$B$1:$B$806,"&lt;="&amp;$B41)</f>
        <v>847381.29000000015</v>
      </c>
      <c r="D41" s="24">
        <f>SUMIFS('Saldos Iniciales'!$D:$D,'Saldos Iniciales'!$A:$A,"M1B")+SUMIFS(Movimientos!$K$1:$K$806,Movimientos!$C$1:$C$806,"M1B",Movimientos!$B$1:$B$806,"&lt;="&amp;$B41)</f>
        <v>69376.390000000174</v>
      </c>
      <c r="E41" s="24">
        <f>SUMIFS('Saldos Iniciales'!$D:$D,'Saldos Iniciales'!$A:$A,"Durand")+SUMIFS(Movimientos!$K$1:$K$806,Movimientos!$C$1:$C$806,"Durand",Movimientos!$B$1:$B$806,"&lt;="&amp;$B41)</f>
        <v>1669.89</v>
      </c>
      <c r="F41" s="24">
        <f>SUMIFS('Saldos Iniciales'!$D:$D,'Saldos Iniciales'!$A:$A,"A&amp;M Imports")+SUMIFS(Movimientos!$K$1:$K$806,Movimientos!$C$1:$C$806,"A&amp;M Imports",Movimientos!$B$1:$B$806,"&lt;="&amp;$B41)</f>
        <v>729545.23999999987</v>
      </c>
      <c r="G41" s="24">
        <f>SUMIFS('Saldos Iniciales'!$D:$D,'Saldos Iniciales'!$A:$A,"SSP Capital")+SUMIFS(Movimientos!$K$1:$K$806,Movimientos!$C$1:$C$806,"SSP Capital",Movimientos!$B$1:$B$806,"&lt;="&amp;$B41)</f>
        <v>1160274.0499999993</v>
      </c>
      <c r="H41" s="24">
        <f>SUMIFS('Saldos Iniciales'!$D:$D,'Saldos Iniciales'!$A:$A,"Cross Family Trust")+SUMIFS(Movimientos!$K$1:$K$806,Movimientos!$C$1:$C$806,"Cross Family Trust",Movimientos!$B$1:$B$806,"&lt;="&amp;$B41)</f>
        <v>116496.38</v>
      </c>
      <c r="I41" s="24">
        <f>SUMIFS('Saldos Iniciales'!$D:$D,'Saldos Iniciales'!$A:$A,"Cross Security Trust")+SUMIFS(Movimientos!$K$1:$K$806,Movimientos!$C$1:$C$806,"Cross Security Trust",Movimientos!$B$1:$B$806,"&lt;="&amp;$B41)</f>
        <v>88090.37</v>
      </c>
      <c r="J41" s="24">
        <f>SUMIFS('Saldos Iniciales'!$D:$D,'Saldos Iniciales'!$A:$A,"Electrama")+SUMIFS(Movimientos!$K$1:$K$806,Movimientos!$C$1:$C$806,"Electrama",Movimientos!$B$1:$B$806,"&lt;="&amp;$B41)</f>
        <v>511.15999999999985</v>
      </c>
      <c r="K41" s="24">
        <f>SUMIFS('Saldos Iniciales'!$D:$D,'Saldos Iniciales'!$A:$A,"Sacred Valley Capital")+SUMIFS(Movimientos!$K$1:$K$806,Movimientos!$C$1:$C$806,"Sacred Valley Capital",Movimientos!$B$1:$B$806,"&lt;="&amp;$B41)</f>
        <v>84.35</v>
      </c>
      <c r="L41" s="24">
        <f>SUMIFS('Saldos Iniciales'!$D:$D,'Saldos Iniciales'!$A:$A,"YWC Capital")+SUMIFS(Movimientos!$K$1:$K$806,Movimientos!$C$1:$C$806,"YWC Capital",Movimientos!$B$1:$B$806,"&lt;="&amp;$B41)</f>
        <v>2237.77</v>
      </c>
      <c r="M41" s="24">
        <f>SUMIFS('Saldos Iniciales'!$D:$D,'Saldos Iniciales'!$A:$A,"Soweto")+SUMIFS(Movimientos!$K$1:$K$806,Movimientos!$C$1:$C$806,"Soweto",Movimientos!$B$1:$B$806,"&lt;="&amp;$B41)</f>
        <v>3349.94</v>
      </c>
      <c r="N41" s="24">
        <f>SUMIFS('Saldos Iniciales'!$D:$D,'Saldos Iniciales'!$A:$A,"Green Stone Trust")+SUMIFS(Movimientos!$K$1:$K$806,Movimientos!$C$1:$C$806,"Green Stone Trust",Movimientos!$B$1:$B$806,"&lt;="&amp;$B41)</f>
        <v>1968.99</v>
      </c>
      <c r="O41" s="24">
        <f>SUMIFS('Saldos Iniciales'!$D:$D,'Saldos Iniciales'!$A:$A,"EC Auto")+SUMIFS(Movimientos!$K$1:$K$806,Movimientos!$C$1:$C$806,"EC Auto",Movimientos!$B$1:$B$806,"&lt;="&amp;$B41)</f>
        <v>382.69000000000005</v>
      </c>
      <c r="P41" s="24">
        <f>SUMIFS('Saldos Iniciales'!$D:$D,'Saldos Iniciales'!$A:$A,"Arbor Capital Properties")+SUMIFS(Movimientos!$K$1:$K$806,Movimientos!$C$1:$C$806,"Arbor Capital Properties",Movimientos!$B$1:$B$806,"&lt;="&amp;$B41)</f>
        <v>1428.08</v>
      </c>
      <c r="Q41" s="24">
        <f>SUMIFS('Saldos Iniciales'!$D:$D,'Saldos Iniciales'!$A:$A,"2515 Overbrook")+SUMIFS(Movimientos!$K$1:$K$806,Movimientos!$C$1:$C$806,"2515 Overbrook",Movimientos!$B$1:$B$806,"&lt;="&amp;$B41)</f>
        <v>25789.969999999961</v>
      </c>
      <c r="R41" s="24">
        <f>SUMIFS('Saldos Iniciales'!$D:$D,'Saldos Iniciales'!$A:$A,"112 Florida Ave")+SUMIFS(Movimientos!$K$1:$K$806,Movimientos!$C$1:$C$806,"112 Florida Ave",Movimientos!$B$1:$B$806,"&lt;="&amp;$B41)</f>
        <v>5321.4300000000021</v>
      </c>
      <c r="S41" s="24">
        <f>SUMIFS('Saldos Iniciales'!$D:$D,'Saldos Iniciales'!$A:$A,"3628 Thomas Ave")+SUMIFS(Movimientos!$K$1:$K$806,Movimientos!$C$1:$C$806,"3628 Thomas Ave",Movimientos!$B$1:$B$806,"&lt;="&amp;$B41)</f>
        <v>24833.23</v>
      </c>
      <c r="T41" s="24">
        <f>SUMIFS('Saldos Iniciales'!$D:$D,'Saldos Iniciales'!$A:$A,"Green Harbor Trust")+SUMIFS(Movimientos!$K$1:$K$806,Movimientos!$C$1:$C$806,"Green Harbor Trust",Movimientos!$B$1:$B$806,"&lt;="&amp;$B41)</f>
        <v>345</v>
      </c>
      <c r="U41" s="24">
        <f>SUMIFS('Saldos Iniciales'!$D:$D,'Saldos Iniciales'!$A:$A,"Go Blue")+SUMIFS(Movimientos!$K$1:$K$806,Movimientos!$C$1:$C$806,"Go Blue",Movimientos!$B$1:$B$806,"&lt;="&amp;$B41)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Group")+SUMIFS(Movimientos!$K$1:$K$806,Movimientos!$C$1:$C$806,"CFT Group",Movimientos!$B$1:$B$806,"&lt;="&amp;$B42)</f>
        <v>2288745.9500000002</v>
      </c>
      <c r="D42" s="24">
        <f>SUMIFS('Saldos Iniciales'!$D:$D,'Saldos Iniciales'!$A:$A,"M1B")+SUMIFS(Movimientos!$K$1:$K$806,Movimientos!$C$1:$C$806,"M1B",Movimientos!$B$1:$B$806,"&lt;="&amp;$B42)</f>
        <v>69376.390000000174</v>
      </c>
      <c r="E42" s="24">
        <f>SUMIFS('Saldos Iniciales'!$D:$D,'Saldos Iniciales'!$A:$A,"Durand")+SUMIFS(Movimientos!$K$1:$K$806,Movimientos!$C$1:$C$806,"Durand",Movimientos!$B$1:$B$806,"&lt;="&amp;$B42)</f>
        <v>1669.89</v>
      </c>
      <c r="F42" s="24">
        <f>SUMIFS('Saldos Iniciales'!$D:$D,'Saldos Iniciales'!$A:$A,"A&amp;M Imports")+SUMIFS(Movimientos!$K$1:$K$806,Movimientos!$C$1:$C$806,"A&amp;M Imports",Movimientos!$B$1:$B$806,"&lt;="&amp;$B42)</f>
        <v>744306.80999999982</v>
      </c>
      <c r="G42" s="24">
        <f>SUMIFS('Saldos Iniciales'!$D:$D,'Saldos Iniciales'!$A:$A,"SSP Capital")+SUMIFS(Movimientos!$K$1:$K$806,Movimientos!$C$1:$C$806,"SSP Capital",Movimientos!$B$1:$B$806,"&lt;="&amp;$B42)</f>
        <v>1160274.0499999993</v>
      </c>
      <c r="H42" s="24">
        <f>SUMIFS('Saldos Iniciales'!$D:$D,'Saldos Iniciales'!$A:$A,"Cross Family Trust")+SUMIFS(Movimientos!$K$1:$K$806,Movimientos!$C$1:$C$806,"Cross Family Trust",Movimientos!$B$1:$B$806,"&lt;="&amp;$B42)</f>
        <v>116496.38</v>
      </c>
      <c r="I42" s="24">
        <f>SUMIFS('Saldos Iniciales'!$D:$D,'Saldos Iniciales'!$A:$A,"Cross Security Trust")+SUMIFS(Movimientos!$K$1:$K$806,Movimientos!$C$1:$C$806,"Cross Security Trust",Movimientos!$B$1:$B$806,"&lt;="&amp;$B42)</f>
        <v>88090.37</v>
      </c>
      <c r="J42" s="24">
        <f>SUMIFS('Saldos Iniciales'!$D:$D,'Saldos Iniciales'!$A:$A,"Electrama")+SUMIFS(Movimientos!$K$1:$K$806,Movimientos!$C$1:$C$806,"Electrama",Movimientos!$B$1:$B$806,"&lt;="&amp;$B42)</f>
        <v>511.15999999999985</v>
      </c>
      <c r="K42" s="24">
        <f>SUMIFS('Saldos Iniciales'!$D:$D,'Saldos Iniciales'!$A:$A,"Sacred Valley Capital")+SUMIFS(Movimientos!$K$1:$K$806,Movimientos!$C$1:$C$806,"Sacred Valley Capital",Movimientos!$B$1:$B$806,"&lt;="&amp;$B42)</f>
        <v>84.35</v>
      </c>
      <c r="L42" s="24">
        <f>SUMIFS('Saldos Iniciales'!$D:$D,'Saldos Iniciales'!$A:$A,"YWC Capital")+SUMIFS(Movimientos!$K$1:$K$806,Movimientos!$C$1:$C$806,"YWC Capital",Movimientos!$B$1:$B$806,"&lt;="&amp;$B42)</f>
        <v>2237.77</v>
      </c>
      <c r="M42" s="24">
        <f>SUMIFS('Saldos Iniciales'!$D:$D,'Saldos Iniciales'!$A:$A,"Soweto")+SUMIFS(Movimientos!$K$1:$K$806,Movimientos!$C$1:$C$806,"Soweto",Movimientos!$B$1:$B$806,"&lt;="&amp;$B42)</f>
        <v>3349.94</v>
      </c>
      <c r="N42" s="24">
        <f>SUMIFS('Saldos Iniciales'!$D:$D,'Saldos Iniciales'!$A:$A,"Green Stone Trust")+SUMIFS(Movimientos!$K$1:$K$806,Movimientos!$C$1:$C$806,"Green Stone Trust",Movimientos!$B$1:$B$806,"&lt;="&amp;$B42)</f>
        <v>1968.99</v>
      </c>
      <c r="O42" s="24">
        <f>SUMIFS('Saldos Iniciales'!$D:$D,'Saldos Iniciales'!$A:$A,"EC Auto")+SUMIFS(Movimientos!$K$1:$K$806,Movimientos!$C$1:$C$806,"EC Auto",Movimientos!$B$1:$B$806,"&lt;="&amp;$B42)</f>
        <v>382.69000000000005</v>
      </c>
      <c r="P42" s="24">
        <f>SUMIFS('Saldos Iniciales'!$D:$D,'Saldos Iniciales'!$A:$A,"Arbor Capital Properties")+SUMIFS(Movimientos!$K$1:$K$806,Movimientos!$C$1:$C$806,"Arbor Capital Properties",Movimientos!$B$1:$B$806,"&lt;="&amp;$B42)</f>
        <v>1428.08</v>
      </c>
      <c r="Q42" s="24">
        <f>SUMIFS('Saldos Iniciales'!$D:$D,'Saldos Iniciales'!$A:$A,"2515 Overbrook")+SUMIFS(Movimientos!$K$1:$K$806,Movimientos!$C$1:$C$806,"2515 Overbrook",Movimientos!$B$1:$B$806,"&lt;="&amp;$B42)</f>
        <v>25789.969999999961</v>
      </c>
      <c r="R42" s="24">
        <f>SUMIFS('Saldos Iniciales'!$D:$D,'Saldos Iniciales'!$A:$A,"112 Florida Ave")+SUMIFS(Movimientos!$K$1:$K$806,Movimientos!$C$1:$C$806,"112 Florida Ave",Movimientos!$B$1:$B$806,"&lt;="&amp;$B42)</f>
        <v>5321.4300000000021</v>
      </c>
      <c r="S42" s="24">
        <f>SUMIFS('Saldos Iniciales'!$D:$D,'Saldos Iniciales'!$A:$A,"3628 Thomas Ave")+SUMIFS(Movimientos!$K$1:$K$806,Movimientos!$C$1:$C$806,"3628 Thomas Ave",Movimientos!$B$1:$B$806,"&lt;="&amp;$B42)</f>
        <v>24743.98</v>
      </c>
      <c r="T42" s="24">
        <f>SUMIFS('Saldos Iniciales'!$D:$D,'Saldos Iniciales'!$A:$A,"Green Harbor Trust")+SUMIFS(Movimientos!$K$1:$K$806,Movimientos!$C$1:$C$806,"Green Harbor Trust",Movimientos!$B$1:$B$806,"&lt;="&amp;$B42)</f>
        <v>345</v>
      </c>
      <c r="U42" s="24">
        <f>SUMIFS('Saldos Iniciales'!$D:$D,'Saldos Iniciales'!$A:$A,"Go Blue")+SUMIFS(Movimientos!$K$1:$K$806,Movimientos!$C$1:$C$806,"Go Blue",Movimientos!$B$1:$B$806,"&lt;="&amp;$B42)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Group")+SUMIFS(Movimientos!$K$1:$K$806,Movimientos!$C$1:$C$806,"CFT Group",Movimientos!$B$1:$B$806,"&lt;="&amp;$B43)</f>
        <v>1837784.84</v>
      </c>
      <c r="D43" s="24">
        <f>SUMIFS('Saldos Iniciales'!$D:$D,'Saldos Iniciales'!$A:$A,"M1B")+SUMIFS(Movimientos!$K$1:$K$806,Movimientos!$C$1:$C$806,"M1B",Movimientos!$B$1:$B$806,"&lt;="&amp;$B43)</f>
        <v>69376.390000000174</v>
      </c>
      <c r="E43" s="24">
        <f>SUMIFS('Saldos Iniciales'!$D:$D,'Saldos Iniciales'!$A:$A,"Durand")+SUMIFS(Movimientos!$K$1:$K$806,Movimientos!$C$1:$C$806,"Durand",Movimientos!$B$1:$B$806,"&lt;="&amp;$B43)</f>
        <v>1669.89</v>
      </c>
      <c r="F43" s="24">
        <f>SUMIFS('Saldos Iniciales'!$D:$D,'Saldos Iniciales'!$A:$A,"A&amp;M Imports")+SUMIFS(Movimientos!$K$1:$K$806,Movimientos!$C$1:$C$806,"A&amp;M Imports",Movimientos!$B$1:$B$806,"&lt;="&amp;$B43)</f>
        <v>564626.20999999985</v>
      </c>
      <c r="G43" s="24">
        <f>SUMIFS('Saldos Iniciales'!$D:$D,'Saldos Iniciales'!$A:$A,"SSP Capital")+SUMIFS(Movimientos!$K$1:$K$806,Movimientos!$C$1:$C$806,"SSP Capital",Movimientos!$B$1:$B$806,"&lt;="&amp;$B43)</f>
        <v>794731.82999999926</v>
      </c>
      <c r="H43" s="24">
        <f>SUMIFS('Saldos Iniciales'!$D:$D,'Saldos Iniciales'!$A:$A,"Cross Family Trust")+SUMIFS(Movimientos!$K$1:$K$806,Movimientos!$C$1:$C$806,"Cross Family Trust",Movimientos!$B$1:$B$806,"&lt;="&amp;$B43)</f>
        <v>116496.38</v>
      </c>
      <c r="I43" s="24">
        <f>SUMIFS('Saldos Iniciales'!$D:$D,'Saldos Iniciales'!$A:$A,"Cross Security Trust")+SUMIFS(Movimientos!$K$1:$K$806,Movimientos!$C$1:$C$806,"Cross Security Trust",Movimientos!$B$1:$B$806,"&lt;="&amp;$B43)</f>
        <v>88090.37</v>
      </c>
      <c r="J43" s="24">
        <f>SUMIFS('Saldos Iniciales'!$D:$D,'Saldos Iniciales'!$A:$A,"Electrama")+SUMIFS(Movimientos!$K$1:$K$806,Movimientos!$C$1:$C$806,"Electrama",Movimientos!$B$1:$B$806,"&lt;="&amp;$B43)</f>
        <v>511.15999999999985</v>
      </c>
      <c r="K43" s="24">
        <f>SUMIFS('Saldos Iniciales'!$D:$D,'Saldos Iniciales'!$A:$A,"Sacred Valley Capital")+SUMIFS(Movimientos!$K$1:$K$806,Movimientos!$C$1:$C$806,"Sacred Valley Capital",Movimientos!$B$1:$B$806,"&lt;="&amp;$B43)</f>
        <v>84.35</v>
      </c>
      <c r="L43" s="24">
        <f>SUMIFS('Saldos Iniciales'!$D:$D,'Saldos Iniciales'!$A:$A,"YWC Capital")+SUMIFS(Movimientos!$K$1:$K$806,Movimientos!$C$1:$C$806,"YWC Capital",Movimientos!$B$1:$B$806,"&lt;="&amp;$B43)</f>
        <v>2237.77</v>
      </c>
      <c r="M43" s="24">
        <f>SUMIFS('Saldos Iniciales'!$D:$D,'Saldos Iniciales'!$A:$A,"Soweto")+SUMIFS(Movimientos!$K$1:$K$806,Movimientos!$C$1:$C$806,"Soweto",Movimientos!$B$1:$B$806,"&lt;="&amp;$B43)</f>
        <v>3349.94</v>
      </c>
      <c r="N43" s="24">
        <f>SUMIFS('Saldos Iniciales'!$D:$D,'Saldos Iniciales'!$A:$A,"Green Stone Trust")+SUMIFS(Movimientos!$K$1:$K$806,Movimientos!$C$1:$C$806,"Green Stone Trust",Movimientos!$B$1:$B$806,"&lt;="&amp;$B43)</f>
        <v>1968.99</v>
      </c>
      <c r="O43" s="24">
        <f>SUMIFS('Saldos Iniciales'!$D:$D,'Saldos Iniciales'!$A:$A,"EC Auto")+SUMIFS(Movimientos!$K$1:$K$806,Movimientos!$C$1:$C$806,"EC Auto",Movimientos!$B$1:$B$806,"&lt;="&amp;$B43)</f>
        <v>382.69000000000005</v>
      </c>
      <c r="P43" s="24">
        <f>SUMIFS('Saldos Iniciales'!$D:$D,'Saldos Iniciales'!$A:$A,"Arbor Capital Properties")+SUMIFS(Movimientos!$K$1:$K$806,Movimientos!$C$1:$C$806,"Arbor Capital Properties",Movimientos!$B$1:$B$806,"&lt;="&amp;$B43)</f>
        <v>1428.08</v>
      </c>
      <c r="Q43" s="24">
        <f>SUMIFS('Saldos Iniciales'!$D:$D,'Saldos Iniciales'!$A:$A,"2515 Overbrook")+SUMIFS(Movimientos!$K$1:$K$806,Movimientos!$C$1:$C$806,"2515 Overbrook",Movimientos!$B$1:$B$806,"&lt;="&amp;$B43)</f>
        <v>25789.969999999961</v>
      </c>
      <c r="R43" s="24">
        <f>SUMIFS('Saldos Iniciales'!$D:$D,'Saldos Iniciales'!$A:$A,"112 Florida Ave")+SUMIFS(Movimientos!$K$1:$K$806,Movimientos!$C$1:$C$806,"112 Florida Ave",Movimientos!$B$1:$B$806,"&lt;="&amp;$B43)</f>
        <v>5321.4300000000021</v>
      </c>
      <c r="S43" s="24">
        <f>SUMIFS('Saldos Iniciales'!$D:$D,'Saldos Iniciales'!$A:$A,"3628 Thomas Ave")+SUMIFS(Movimientos!$K$1:$K$806,Movimientos!$C$1:$C$806,"3628 Thomas Ave",Movimientos!$B$1:$B$806,"&lt;="&amp;$B43)</f>
        <v>24743.98</v>
      </c>
      <c r="T43" s="24">
        <f>SUMIFS('Saldos Iniciales'!$D:$D,'Saldos Iniciales'!$A:$A,"Green Harbor Trust")+SUMIFS(Movimientos!$K$1:$K$806,Movimientos!$C$1:$C$806,"Green Harbor Trust",Movimientos!$B$1:$B$806,"&lt;="&amp;$B43)</f>
        <v>345</v>
      </c>
      <c r="U43" s="24">
        <f>SUMIFS('Saldos Iniciales'!$D:$D,'Saldos Iniciales'!$A:$A,"Go Blue")+SUMIFS(Movimientos!$K$1:$K$806,Movimientos!$C$1:$C$806,"Go Blue",Movimientos!$B$1:$B$806,"&lt;="&amp;$B43)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Group")+SUMIFS(Movimientos!$K$1:$K$806,Movimientos!$C$1:$C$806,"CFT Group",Movimientos!$B$1:$B$806,"&lt;="&amp;$B44)</f>
        <v>1837784.84</v>
      </c>
      <c r="D44" s="24">
        <f>SUMIFS('Saldos Iniciales'!$D:$D,'Saldos Iniciales'!$A:$A,"M1B")+SUMIFS(Movimientos!$K$1:$K$806,Movimientos!$C$1:$C$806,"M1B",Movimientos!$B$1:$B$806,"&lt;="&amp;$B44)</f>
        <v>69376.390000000174</v>
      </c>
      <c r="E44" s="24">
        <f>SUMIFS('Saldos Iniciales'!$D:$D,'Saldos Iniciales'!$A:$A,"Durand")+SUMIFS(Movimientos!$K$1:$K$806,Movimientos!$C$1:$C$806,"Durand",Movimientos!$B$1:$B$806,"&lt;="&amp;$B44)</f>
        <v>1669.89</v>
      </c>
      <c r="F44" s="24">
        <f>SUMIFS('Saldos Iniciales'!$D:$D,'Saldos Iniciales'!$A:$A,"A&amp;M Imports")+SUMIFS(Movimientos!$K$1:$K$806,Movimientos!$C$1:$C$806,"A&amp;M Imports",Movimientos!$B$1:$B$806,"&lt;="&amp;$B44)</f>
        <v>564626.20999999985</v>
      </c>
      <c r="G44" s="24">
        <f>SUMIFS('Saldos Iniciales'!$D:$D,'Saldos Iniciales'!$A:$A,"SSP Capital")+SUMIFS(Movimientos!$K$1:$K$806,Movimientos!$C$1:$C$806,"SSP Capital",Movimientos!$B$1:$B$806,"&lt;="&amp;$B44)</f>
        <v>3763348.8299999996</v>
      </c>
      <c r="H44" s="24">
        <f>SUMIFS('Saldos Iniciales'!$D:$D,'Saldos Iniciales'!$A:$A,"Cross Family Trust")+SUMIFS(Movimientos!$K$1:$K$806,Movimientos!$C$1:$C$806,"Cross Family Trust",Movimientos!$B$1:$B$806,"&lt;="&amp;$B44)</f>
        <v>116496.38</v>
      </c>
      <c r="I44" s="24">
        <f>SUMIFS('Saldos Iniciales'!$D:$D,'Saldos Iniciales'!$A:$A,"Cross Security Trust")+SUMIFS(Movimientos!$K$1:$K$806,Movimientos!$C$1:$C$806,"Cross Security Trust",Movimientos!$B$1:$B$806,"&lt;="&amp;$B44)</f>
        <v>88090.37</v>
      </c>
      <c r="J44" s="24">
        <f>SUMIFS('Saldos Iniciales'!$D:$D,'Saldos Iniciales'!$A:$A,"Electrama")+SUMIFS(Movimientos!$K$1:$K$806,Movimientos!$C$1:$C$806,"Electrama",Movimientos!$B$1:$B$806,"&lt;="&amp;$B44)</f>
        <v>511.15999999999985</v>
      </c>
      <c r="K44" s="24">
        <f>SUMIFS('Saldos Iniciales'!$D:$D,'Saldos Iniciales'!$A:$A,"Sacred Valley Capital")+SUMIFS(Movimientos!$K$1:$K$806,Movimientos!$C$1:$C$806,"Sacred Valley Capital",Movimientos!$B$1:$B$806,"&lt;="&amp;$B44)</f>
        <v>84.35</v>
      </c>
      <c r="L44" s="24">
        <f>SUMIFS('Saldos Iniciales'!$D:$D,'Saldos Iniciales'!$A:$A,"YWC Capital")+SUMIFS(Movimientos!$K$1:$K$806,Movimientos!$C$1:$C$806,"YWC Capital",Movimientos!$B$1:$B$806,"&lt;="&amp;$B44)</f>
        <v>2237.77</v>
      </c>
      <c r="M44" s="24">
        <f>SUMIFS('Saldos Iniciales'!$D:$D,'Saldos Iniciales'!$A:$A,"Soweto")+SUMIFS(Movimientos!$K$1:$K$806,Movimientos!$C$1:$C$806,"Soweto",Movimientos!$B$1:$B$806,"&lt;="&amp;$B44)</f>
        <v>3349.94</v>
      </c>
      <c r="N44" s="24">
        <f>SUMIFS('Saldos Iniciales'!$D:$D,'Saldos Iniciales'!$A:$A,"Green Stone Trust")+SUMIFS(Movimientos!$K$1:$K$806,Movimientos!$C$1:$C$806,"Green Stone Trust",Movimientos!$B$1:$B$806,"&lt;="&amp;$B44)</f>
        <v>1968.99</v>
      </c>
      <c r="O44" s="24">
        <f>SUMIFS('Saldos Iniciales'!$D:$D,'Saldos Iniciales'!$A:$A,"EC Auto")+SUMIFS(Movimientos!$K$1:$K$806,Movimientos!$C$1:$C$806,"EC Auto",Movimientos!$B$1:$B$806,"&lt;="&amp;$B44)</f>
        <v>382.69000000000005</v>
      </c>
      <c r="P44" s="24">
        <f>SUMIFS('Saldos Iniciales'!$D:$D,'Saldos Iniciales'!$A:$A,"Arbor Capital Properties")+SUMIFS(Movimientos!$K$1:$K$806,Movimientos!$C$1:$C$806,"Arbor Capital Properties",Movimientos!$B$1:$B$806,"&lt;="&amp;$B44)</f>
        <v>1428.08</v>
      </c>
      <c r="Q44" s="24">
        <f>SUMIFS('Saldos Iniciales'!$D:$D,'Saldos Iniciales'!$A:$A,"2515 Overbrook")+SUMIFS(Movimientos!$K$1:$K$806,Movimientos!$C$1:$C$806,"2515 Overbrook",Movimientos!$B$1:$B$806,"&lt;="&amp;$B44)</f>
        <v>27789.969999999961</v>
      </c>
      <c r="R44" s="24">
        <f>SUMIFS('Saldos Iniciales'!$D:$D,'Saldos Iniciales'!$A:$A,"112 Florida Ave")+SUMIFS(Movimientos!$K$1:$K$806,Movimientos!$C$1:$C$806,"112 Florida Ave",Movimientos!$B$1:$B$806,"&lt;="&amp;$B44)</f>
        <v>5321.4300000000021</v>
      </c>
      <c r="S44" s="24">
        <f>SUMIFS('Saldos Iniciales'!$D:$D,'Saldos Iniciales'!$A:$A,"3628 Thomas Ave")+SUMIFS(Movimientos!$K$1:$K$806,Movimientos!$C$1:$C$806,"3628 Thomas Ave",Movimientos!$B$1:$B$806,"&lt;="&amp;$B44)</f>
        <v>24484.85</v>
      </c>
      <c r="T44" s="24">
        <f>SUMIFS('Saldos Iniciales'!$D:$D,'Saldos Iniciales'!$A:$A,"Green Harbor Trust")+SUMIFS(Movimientos!$K$1:$K$806,Movimientos!$C$1:$C$806,"Green Harbor Trust",Movimientos!$B$1:$B$806,"&lt;="&amp;$B44)</f>
        <v>345</v>
      </c>
      <c r="U44" s="24">
        <f>SUMIFS('Saldos Iniciales'!$D:$D,'Saldos Iniciales'!$A:$A,"Go Blue")+SUMIFS(Movimientos!$K$1:$K$806,Movimientos!$C$1:$C$806,"Go Blue",Movimientos!$B$1:$B$806,"&lt;="&amp;$B44)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Group")+SUMIFS(Movimientos!$K$1:$K$806,Movimientos!$C$1:$C$806,"CFT Group",Movimientos!$B$1:$B$806,"&lt;="&amp;$B45)</f>
        <v>1837784.84</v>
      </c>
      <c r="D45" s="24">
        <f>SUMIFS('Saldos Iniciales'!$D:$D,'Saldos Iniciales'!$A:$A,"M1B")+SUMIFS(Movimientos!$K$1:$K$806,Movimientos!$C$1:$C$806,"M1B",Movimientos!$B$1:$B$806,"&lt;="&amp;$B45)</f>
        <v>69376.390000000174</v>
      </c>
      <c r="E45" s="24">
        <f>SUMIFS('Saldos Iniciales'!$D:$D,'Saldos Iniciales'!$A:$A,"Durand")+SUMIFS(Movimientos!$K$1:$K$806,Movimientos!$C$1:$C$806,"Durand",Movimientos!$B$1:$B$806,"&lt;="&amp;$B45)</f>
        <v>1669.89</v>
      </c>
      <c r="F45" s="24">
        <f>SUMIFS('Saldos Iniciales'!$D:$D,'Saldos Iniciales'!$A:$A,"A&amp;M Imports")+SUMIFS(Movimientos!$K$1:$K$806,Movimientos!$C$1:$C$806,"A&amp;M Imports",Movimientos!$B$1:$B$806,"&lt;="&amp;$B45)</f>
        <v>564626.20999999985</v>
      </c>
      <c r="G45" s="24">
        <f>SUMIFS('Saldos Iniciales'!$D:$D,'Saldos Iniciales'!$A:$A,"SSP Capital")+SUMIFS(Movimientos!$K$1:$K$806,Movimientos!$C$1:$C$806,"SSP Capital",Movimientos!$B$1:$B$806,"&lt;="&amp;$B45)</f>
        <v>3763348.8299999996</v>
      </c>
      <c r="H45" s="24">
        <f>SUMIFS('Saldos Iniciales'!$D:$D,'Saldos Iniciales'!$A:$A,"Cross Family Trust")+SUMIFS(Movimientos!$K$1:$K$806,Movimientos!$C$1:$C$806,"Cross Family Trust",Movimientos!$B$1:$B$806,"&lt;="&amp;$B45)</f>
        <v>116496.38</v>
      </c>
      <c r="I45" s="24">
        <f>SUMIFS('Saldos Iniciales'!$D:$D,'Saldos Iniciales'!$A:$A,"Cross Security Trust")+SUMIFS(Movimientos!$K$1:$K$806,Movimientos!$C$1:$C$806,"Cross Security Trust",Movimientos!$B$1:$B$806,"&lt;="&amp;$B45)</f>
        <v>88090.37</v>
      </c>
      <c r="J45" s="24">
        <f>SUMIFS('Saldos Iniciales'!$D:$D,'Saldos Iniciales'!$A:$A,"Electrama")+SUMIFS(Movimientos!$K$1:$K$806,Movimientos!$C$1:$C$806,"Electrama",Movimientos!$B$1:$B$806,"&lt;="&amp;$B45)</f>
        <v>511.15999999999985</v>
      </c>
      <c r="K45" s="24">
        <f>SUMIFS('Saldos Iniciales'!$D:$D,'Saldos Iniciales'!$A:$A,"Sacred Valley Capital")+SUMIFS(Movimientos!$K$1:$K$806,Movimientos!$C$1:$C$806,"Sacred Valley Capital",Movimientos!$B$1:$B$806,"&lt;="&amp;$B45)</f>
        <v>84.35</v>
      </c>
      <c r="L45" s="24">
        <f>SUMIFS('Saldos Iniciales'!$D:$D,'Saldos Iniciales'!$A:$A,"YWC Capital")+SUMIFS(Movimientos!$K$1:$K$806,Movimientos!$C$1:$C$806,"YWC Capital",Movimientos!$B$1:$B$806,"&lt;="&amp;$B45)</f>
        <v>2237.77</v>
      </c>
      <c r="M45" s="24">
        <f>SUMIFS('Saldos Iniciales'!$D:$D,'Saldos Iniciales'!$A:$A,"Soweto")+SUMIFS(Movimientos!$K$1:$K$806,Movimientos!$C$1:$C$806,"Soweto",Movimientos!$B$1:$B$806,"&lt;="&amp;$B45)</f>
        <v>3349.94</v>
      </c>
      <c r="N45" s="24">
        <f>SUMIFS('Saldos Iniciales'!$D:$D,'Saldos Iniciales'!$A:$A,"Green Stone Trust")+SUMIFS(Movimientos!$K$1:$K$806,Movimientos!$C$1:$C$806,"Green Stone Trust",Movimientos!$B$1:$B$806,"&lt;="&amp;$B45)</f>
        <v>1968.99</v>
      </c>
      <c r="O45" s="24">
        <f>SUMIFS('Saldos Iniciales'!$D:$D,'Saldos Iniciales'!$A:$A,"EC Auto")+SUMIFS(Movimientos!$K$1:$K$806,Movimientos!$C$1:$C$806,"EC Auto",Movimientos!$B$1:$B$806,"&lt;="&amp;$B45)</f>
        <v>382.69000000000005</v>
      </c>
      <c r="P45" s="24">
        <f>SUMIFS('Saldos Iniciales'!$D:$D,'Saldos Iniciales'!$A:$A,"Arbor Capital Properties")+SUMIFS(Movimientos!$K$1:$K$806,Movimientos!$C$1:$C$806,"Arbor Capital Properties",Movimientos!$B$1:$B$806,"&lt;="&amp;$B45)</f>
        <v>1428.08</v>
      </c>
      <c r="Q45" s="24">
        <f>SUMIFS('Saldos Iniciales'!$D:$D,'Saldos Iniciales'!$A:$A,"2515 Overbrook")+SUMIFS(Movimientos!$K$1:$K$806,Movimientos!$C$1:$C$806,"2515 Overbrook",Movimientos!$B$1:$B$806,"&lt;="&amp;$B45)</f>
        <v>27789.969999999961</v>
      </c>
      <c r="R45" s="24">
        <f>SUMIFS('Saldos Iniciales'!$D:$D,'Saldos Iniciales'!$A:$A,"112 Florida Ave")+SUMIFS(Movimientos!$K$1:$K$806,Movimientos!$C$1:$C$806,"112 Florida Ave",Movimientos!$B$1:$B$806,"&lt;="&amp;$B45)</f>
        <v>5321.4300000000021</v>
      </c>
      <c r="S45" s="24">
        <f>SUMIFS('Saldos Iniciales'!$D:$D,'Saldos Iniciales'!$A:$A,"3628 Thomas Ave")+SUMIFS(Movimientos!$K$1:$K$806,Movimientos!$C$1:$C$806,"3628 Thomas Ave",Movimientos!$B$1:$B$806,"&lt;="&amp;$B45)</f>
        <v>24484.85</v>
      </c>
      <c r="T45" s="24">
        <f>SUMIFS('Saldos Iniciales'!$D:$D,'Saldos Iniciales'!$A:$A,"Green Harbor Trust")+SUMIFS(Movimientos!$K$1:$K$806,Movimientos!$C$1:$C$806,"Green Harbor Trust",Movimientos!$B$1:$B$806,"&lt;="&amp;$B45)</f>
        <v>345</v>
      </c>
      <c r="U45" s="24">
        <f>SUMIFS('Saldos Iniciales'!$D:$D,'Saldos Iniciales'!$A:$A,"Go Blue")+SUMIFS(Movimientos!$K$1:$K$806,Movimientos!$C$1:$C$806,"Go Blue",Movimientos!$B$1:$B$806,"&lt;="&amp;$B45)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Group")+SUMIFS(Movimientos!$K$1:$K$806,Movimientos!$C$1:$C$806,"CFT Group",Movimientos!$B$1:$B$806,"&lt;="&amp;$B46)</f>
        <v>1837784.84</v>
      </c>
      <c r="D46" s="24">
        <f>SUMIFS('Saldos Iniciales'!$D:$D,'Saldos Iniciales'!$A:$A,"M1B")+SUMIFS(Movimientos!$K$1:$K$806,Movimientos!$C$1:$C$806,"M1B",Movimientos!$B$1:$B$806,"&lt;="&amp;$B46)</f>
        <v>69376.390000000174</v>
      </c>
      <c r="E46" s="24">
        <f>SUMIFS('Saldos Iniciales'!$D:$D,'Saldos Iniciales'!$A:$A,"Durand")+SUMIFS(Movimientos!$K$1:$K$806,Movimientos!$C$1:$C$806,"Durand",Movimientos!$B$1:$B$806,"&lt;="&amp;$B46)</f>
        <v>1669.89</v>
      </c>
      <c r="F46" s="24">
        <f>SUMIFS('Saldos Iniciales'!$D:$D,'Saldos Iniciales'!$A:$A,"A&amp;M Imports")+SUMIFS(Movimientos!$K$1:$K$806,Movimientos!$C$1:$C$806,"A&amp;M Imports",Movimientos!$B$1:$B$806,"&lt;="&amp;$B46)</f>
        <v>564626.20999999985</v>
      </c>
      <c r="G46" s="24">
        <f>SUMIFS('Saldos Iniciales'!$D:$D,'Saldos Iniciales'!$A:$A,"SSP Capital")+SUMIFS(Movimientos!$K$1:$K$806,Movimientos!$C$1:$C$806,"SSP Capital",Movimientos!$B$1:$B$806,"&lt;="&amp;$B46)</f>
        <v>3763348.8299999996</v>
      </c>
      <c r="H46" s="24">
        <f>SUMIFS('Saldos Iniciales'!$D:$D,'Saldos Iniciales'!$A:$A,"Cross Family Trust")+SUMIFS(Movimientos!$K$1:$K$806,Movimientos!$C$1:$C$806,"Cross Family Trust",Movimientos!$B$1:$B$806,"&lt;="&amp;$B46)</f>
        <v>116496.38</v>
      </c>
      <c r="I46" s="24">
        <f>SUMIFS('Saldos Iniciales'!$D:$D,'Saldos Iniciales'!$A:$A,"Cross Security Trust")+SUMIFS(Movimientos!$K$1:$K$806,Movimientos!$C$1:$C$806,"Cross Security Trust",Movimientos!$B$1:$B$806,"&lt;="&amp;$B46)</f>
        <v>88090.37</v>
      </c>
      <c r="J46" s="24">
        <f>SUMIFS('Saldos Iniciales'!$D:$D,'Saldos Iniciales'!$A:$A,"Electrama")+SUMIFS(Movimientos!$K$1:$K$806,Movimientos!$C$1:$C$806,"Electrama",Movimientos!$B$1:$B$806,"&lt;="&amp;$B46)</f>
        <v>511.15999999999985</v>
      </c>
      <c r="K46" s="24">
        <f>SUMIFS('Saldos Iniciales'!$D:$D,'Saldos Iniciales'!$A:$A,"Sacred Valley Capital")+SUMIFS(Movimientos!$K$1:$K$806,Movimientos!$C$1:$C$806,"Sacred Valley Capital",Movimientos!$B$1:$B$806,"&lt;="&amp;$B46)</f>
        <v>84.35</v>
      </c>
      <c r="L46" s="24">
        <f>SUMIFS('Saldos Iniciales'!$D:$D,'Saldos Iniciales'!$A:$A,"YWC Capital")+SUMIFS(Movimientos!$K$1:$K$806,Movimientos!$C$1:$C$806,"YWC Capital",Movimientos!$B$1:$B$806,"&lt;="&amp;$B46)</f>
        <v>2237.77</v>
      </c>
      <c r="M46" s="24">
        <f>SUMIFS('Saldos Iniciales'!$D:$D,'Saldos Iniciales'!$A:$A,"Soweto")+SUMIFS(Movimientos!$K$1:$K$806,Movimientos!$C$1:$C$806,"Soweto",Movimientos!$B$1:$B$806,"&lt;="&amp;$B46)</f>
        <v>3349.94</v>
      </c>
      <c r="N46" s="24">
        <f>SUMIFS('Saldos Iniciales'!$D:$D,'Saldos Iniciales'!$A:$A,"Green Stone Trust")+SUMIFS(Movimientos!$K$1:$K$806,Movimientos!$C$1:$C$806,"Green Stone Trust",Movimientos!$B$1:$B$806,"&lt;="&amp;$B46)</f>
        <v>1968.99</v>
      </c>
      <c r="O46" s="24">
        <f>SUMIFS('Saldos Iniciales'!$D:$D,'Saldos Iniciales'!$A:$A,"EC Auto")+SUMIFS(Movimientos!$K$1:$K$806,Movimientos!$C$1:$C$806,"EC Auto",Movimientos!$B$1:$B$806,"&lt;="&amp;$B46)</f>
        <v>382.69000000000005</v>
      </c>
      <c r="P46" s="24">
        <f>SUMIFS('Saldos Iniciales'!$D:$D,'Saldos Iniciales'!$A:$A,"Arbor Capital Properties")+SUMIFS(Movimientos!$K$1:$K$806,Movimientos!$C$1:$C$806,"Arbor Capital Properties",Movimientos!$B$1:$B$806,"&lt;="&amp;$B46)</f>
        <v>1428.08</v>
      </c>
      <c r="Q46" s="24">
        <f>SUMIFS('Saldos Iniciales'!$D:$D,'Saldos Iniciales'!$A:$A,"2515 Overbrook")+SUMIFS(Movimientos!$K$1:$K$806,Movimientos!$C$1:$C$806,"2515 Overbrook",Movimientos!$B$1:$B$806,"&lt;="&amp;$B46)</f>
        <v>27789.969999999961</v>
      </c>
      <c r="R46" s="24">
        <f>SUMIFS('Saldos Iniciales'!$D:$D,'Saldos Iniciales'!$A:$A,"112 Florida Ave")+SUMIFS(Movimientos!$K$1:$K$806,Movimientos!$C$1:$C$806,"112 Florida Ave",Movimientos!$B$1:$B$806,"&lt;="&amp;$B46)</f>
        <v>5321.4300000000021</v>
      </c>
      <c r="S46" s="24">
        <f>SUMIFS('Saldos Iniciales'!$D:$D,'Saldos Iniciales'!$A:$A,"3628 Thomas Ave")+SUMIFS(Movimientos!$K$1:$K$806,Movimientos!$C$1:$C$806,"3628 Thomas Ave",Movimientos!$B$1:$B$806,"&lt;="&amp;$B46)</f>
        <v>24484.85</v>
      </c>
      <c r="T46" s="24">
        <f>SUMIFS('Saldos Iniciales'!$D:$D,'Saldos Iniciales'!$A:$A,"Green Harbor Trust")+SUMIFS(Movimientos!$K$1:$K$806,Movimientos!$C$1:$C$806,"Green Harbor Trust",Movimientos!$B$1:$B$806,"&lt;="&amp;$B46)</f>
        <v>345</v>
      </c>
      <c r="U46" s="24">
        <f>SUMIFS('Saldos Iniciales'!$D:$D,'Saldos Iniciales'!$A:$A,"Go Blue")+SUMIFS(Movimientos!$K$1:$K$806,Movimientos!$C$1:$C$806,"Go Blue",Movimientos!$B$1:$B$806,"&lt;="&amp;$B46)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Group")+SUMIFS(Movimientos!$K$1:$K$806,Movimientos!$C$1:$C$806,"CFT Group",Movimientos!$B$1:$B$806,"&lt;="&amp;$B47)</f>
        <v>985975.94000000029</v>
      </c>
      <c r="D47" s="24">
        <f>SUMIFS('Saldos Iniciales'!$D:$D,'Saldos Iniciales'!$A:$A,"M1B")+SUMIFS(Movimientos!$K$1:$K$806,Movimientos!$C$1:$C$806,"M1B",Movimientos!$B$1:$B$806,"&lt;="&amp;$B47)</f>
        <v>69376.390000000174</v>
      </c>
      <c r="E47" s="24">
        <f>SUMIFS('Saldos Iniciales'!$D:$D,'Saldos Iniciales'!$A:$A,"Durand")+SUMIFS(Movimientos!$K$1:$K$806,Movimientos!$C$1:$C$806,"Durand",Movimientos!$B$1:$B$806,"&lt;="&amp;$B47)</f>
        <v>1669.89</v>
      </c>
      <c r="F47" s="24">
        <f>SUMIFS('Saldos Iniciales'!$D:$D,'Saldos Iniciales'!$A:$A,"A&amp;M Imports")+SUMIFS(Movimientos!$K$1:$K$806,Movimientos!$C$1:$C$806,"A&amp;M Imports",Movimientos!$B$1:$B$806,"&lt;="&amp;$B47)</f>
        <v>503904.80999999982</v>
      </c>
      <c r="G47" s="24">
        <f>SUMIFS('Saldos Iniciales'!$D:$D,'Saldos Iniciales'!$A:$A,"SSP Capital")+SUMIFS(Movimientos!$K$1:$K$806,Movimientos!$C$1:$C$806,"SSP Capital",Movimientos!$B$1:$B$806,"&lt;="&amp;$B47)</f>
        <v>3331737.2399999998</v>
      </c>
      <c r="H47" s="24">
        <f>SUMIFS('Saldos Iniciales'!$D:$D,'Saldos Iniciales'!$A:$A,"Cross Family Trust")+SUMIFS(Movimientos!$K$1:$K$806,Movimientos!$C$1:$C$806,"Cross Family Trust",Movimientos!$B$1:$B$806,"&lt;="&amp;$B47)</f>
        <v>116496.38</v>
      </c>
      <c r="I47" s="24">
        <f>SUMIFS('Saldos Iniciales'!$D:$D,'Saldos Iniciales'!$A:$A,"Cross Security Trust")+SUMIFS(Movimientos!$K$1:$K$806,Movimientos!$C$1:$C$806,"Cross Security Trust",Movimientos!$B$1:$B$806,"&lt;="&amp;$B47)</f>
        <v>88090.37</v>
      </c>
      <c r="J47" s="24">
        <f>SUMIFS('Saldos Iniciales'!$D:$D,'Saldos Iniciales'!$A:$A,"Electrama")+SUMIFS(Movimientos!$K$1:$K$806,Movimientos!$C$1:$C$806,"Electrama",Movimientos!$B$1:$B$806,"&lt;="&amp;$B47)</f>
        <v>511.15999999999985</v>
      </c>
      <c r="K47" s="24">
        <f>SUMIFS('Saldos Iniciales'!$D:$D,'Saldos Iniciales'!$A:$A,"Sacred Valley Capital")+SUMIFS(Movimientos!$K$1:$K$806,Movimientos!$C$1:$C$806,"Sacred Valley Capital",Movimientos!$B$1:$B$806,"&lt;="&amp;$B47)</f>
        <v>84.35</v>
      </c>
      <c r="L47" s="24">
        <f>SUMIFS('Saldos Iniciales'!$D:$D,'Saldos Iniciales'!$A:$A,"YWC Capital")+SUMIFS(Movimientos!$K$1:$K$806,Movimientos!$C$1:$C$806,"YWC Capital",Movimientos!$B$1:$B$806,"&lt;="&amp;$B47)</f>
        <v>2237.77</v>
      </c>
      <c r="M47" s="24">
        <f>SUMIFS('Saldos Iniciales'!$D:$D,'Saldos Iniciales'!$A:$A,"Soweto")+SUMIFS(Movimientos!$K$1:$K$806,Movimientos!$C$1:$C$806,"Soweto",Movimientos!$B$1:$B$806,"&lt;="&amp;$B47)</f>
        <v>3349.94</v>
      </c>
      <c r="N47" s="24">
        <f>SUMIFS('Saldos Iniciales'!$D:$D,'Saldos Iniciales'!$A:$A,"Green Stone Trust")+SUMIFS(Movimientos!$K$1:$K$806,Movimientos!$C$1:$C$806,"Green Stone Trust",Movimientos!$B$1:$B$806,"&lt;="&amp;$B47)</f>
        <v>1968.99</v>
      </c>
      <c r="O47" s="24">
        <f>SUMIFS('Saldos Iniciales'!$D:$D,'Saldos Iniciales'!$A:$A,"EC Auto")+SUMIFS(Movimientos!$K$1:$K$806,Movimientos!$C$1:$C$806,"EC Auto",Movimientos!$B$1:$B$806,"&lt;="&amp;$B47)</f>
        <v>382.69000000000005</v>
      </c>
      <c r="P47" s="24">
        <f>SUMIFS('Saldos Iniciales'!$D:$D,'Saldos Iniciales'!$A:$A,"Arbor Capital Properties")+SUMIFS(Movimientos!$K$1:$K$806,Movimientos!$C$1:$C$806,"Arbor Capital Properties",Movimientos!$B$1:$B$806,"&lt;="&amp;$B47)</f>
        <v>1428.08</v>
      </c>
      <c r="Q47" s="24">
        <f>SUMIFS('Saldos Iniciales'!$D:$D,'Saldos Iniciales'!$A:$A,"2515 Overbrook")+SUMIFS(Movimientos!$K$1:$K$806,Movimientos!$C$1:$C$806,"2515 Overbrook",Movimientos!$B$1:$B$806,"&lt;="&amp;$B47)</f>
        <v>29789.969999999961</v>
      </c>
      <c r="R47" s="24">
        <f>SUMIFS('Saldos Iniciales'!$D:$D,'Saldos Iniciales'!$A:$A,"112 Florida Ave")+SUMIFS(Movimientos!$K$1:$K$806,Movimientos!$C$1:$C$806,"112 Florida Ave",Movimientos!$B$1:$B$806,"&lt;="&amp;$B47)</f>
        <v>5321.4300000000021</v>
      </c>
      <c r="S47" s="24">
        <f>SUMIFS('Saldos Iniciales'!$D:$D,'Saldos Iniciales'!$A:$A,"3628 Thomas Ave")+SUMIFS(Movimientos!$K$1:$K$806,Movimientos!$C$1:$C$806,"3628 Thomas Ave",Movimientos!$B$1:$B$806,"&lt;="&amp;$B47)</f>
        <v>20484.849999999999</v>
      </c>
      <c r="T47" s="24">
        <f>SUMIFS('Saldos Iniciales'!$D:$D,'Saldos Iniciales'!$A:$A,"Green Harbor Trust")+SUMIFS(Movimientos!$K$1:$K$806,Movimientos!$C$1:$C$806,"Green Harbor Trust",Movimientos!$B$1:$B$806,"&lt;="&amp;$B47)</f>
        <v>345</v>
      </c>
      <c r="U47" s="24">
        <f>SUMIFS('Saldos Iniciales'!$D:$D,'Saldos Iniciales'!$A:$A,"Go Blue")+SUMIFS(Movimientos!$K$1:$K$806,Movimientos!$C$1:$C$806,"Go Blue",Movimientos!$B$1:$B$806,"&lt;="&amp;$B47)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Group")+SUMIFS(Movimientos!$K$1:$K$806,Movimientos!$C$1:$C$806,"CFT Group",Movimientos!$B$1:$B$806,"&lt;="&amp;$B48)</f>
        <v>1086358.7500000002</v>
      </c>
      <c r="D48" s="24">
        <f>SUMIFS('Saldos Iniciales'!$D:$D,'Saldos Iniciales'!$A:$A,"M1B")+SUMIFS(Movimientos!$K$1:$K$806,Movimientos!$C$1:$C$806,"M1B",Movimientos!$B$1:$B$806,"&lt;="&amp;$B48)</f>
        <v>69376.390000000174</v>
      </c>
      <c r="E48" s="24">
        <f>SUMIFS('Saldos Iniciales'!$D:$D,'Saldos Iniciales'!$A:$A,"Durand")+SUMIFS(Movimientos!$K$1:$K$806,Movimientos!$C$1:$C$806,"Durand",Movimientos!$B$1:$B$806,"&lt;="&amp;$B48)</f>
        <v>1669.89</v>
      </c>
      <c r="F48" s="24">
        <f>SUMIFS('Saldos Iniciales'!$D:$D,'Saldos Iniciales'!$A:$A,"A&amp;M Imports")+SUMIFS(Movimientos!$K$1:$K$806,Movimientos!$C$1:$C$806,"A&amp;M Imports",Movimientos!$B$1:$B$806,"&lt;="&amp;$B48)</f>
        <v>503904.80999999982</v>
      </c>
      <c r="G48" s="24">
        <f>SUMIFS('Saldos Iniciales'!$D:$D,'Saldos Iniciales'!$A:$A,"SSP Capital")+SUMIFS(Movimientos!$K$1:$K$806,Movimientos!$C$1:$C$806,"SSP Capital",Movimientos!$B$1:$B$806,"&lt;="&amp;$B48)</f>
        <v>3329246.88</v>
      </c>
      <c r="H48" s="24">
        <f>SUMIFS('Saldos Iniciales'!$D:$D,'Saldos Iniciales'!$A:$A,"Cross Family Trust")+SUMIFS(Movimientos!$K$1:$K$806,Movimientos!$C$1:$C$806,"Cross Family Trust",Movimientos!$B$1:$B$806,"&lt;="&amp;$B48)</f>
        <v>116496.38</v>
      </c>
      <c r="I48" s="24">
        <f>SUMIFS('Saldos Iniciales'!$D:$D,'Saldos Iniciales'!$A:$A,"Cross Security Trust")+SUMIFS(Movimientos!$K$1:$K$806,Movimientos!$C$1:$C$806,"Cross Security Trust",Movimientos!$B$1:$B$806,"&lt;="&amp;$B48)</f>
        <v>88090.37</v>
      </c>
      <c r="J48" s="24">
        <f>SUMIFS('Saldos Iniciales'!$D:$D,'Saldos Iniciales'!$A:$A,"Electrama")+SUMIFS(Movimientos!$K$1:$K$806,Movimientos!$C$1:$C$806,"Electrama",Movimientos!$B$1:$B$806,"&lt;="&amp;$B48)</f>
        <v>511.15999999999985</v>
      </c>
      <c r="K48" s="24">
        <f>SUMIFS('Saldos Iniciales'!$D:$D,'Saldos Iniciales'!$A:$A,"Sacred Valley Capital")+SUMIFS(Movimientos!$K$1:$K$806,Movimientos!$C$1:$C$806,"Sacred Valley Capital",Movimientos!$B$1:$B$806,"&lt;="&amp;$B48)</f>
        <v>84.35</v>
      </c>
      <c r="L48" s="24">
        <f>SUMIFS('Saldos Iniciales'!$D:$D,'Saldos Iniciales'!$A:$A,"YWC Capital")+SUMIFS(Movimientos!$K$1:$K$806,Movimientos!$C$1:$C$806,"YWC Capital",Movimientos!$B$1:$B$806,"&lt;="&amp;$B48)</f>
        <v>2237.77</v>
      </c>
      <c r="M48" s="24">
        <f>SUMIFS('Saldos Iniciales'!$D:$D,'Saldos Iniciales'!$A:$A,"Soweto")+SUMIFS(Movimientos!$K$1:$K$806,Movimientos!$C$1:$C$806,"Soweto",Movimientos!$B$1:$B$806,"&lt;="&amp;$B48)</f>
        <v>3349.94</v>
      </c>
      <c r="N48" s="24">
        <f>SUMIFS('Saldos Iniciales'!$D:$D,'Saldos Iniciales'!$A:$A,"Green Stone Trust")+SUMIFS(Movimientos!$K$1:$K$806,Movimientos!$C$1:$C$806,"Green Stone Trust",Movimientos!$B$1:$B$806,"&lt;="&amp;$B48)</f>
        <v>1968.99</v>
      </c>
      <c r="O48" s="24">
        <f>SUMIFS('Saldos Iniciales'!$D:$D,'Saldos Iniciales'!$A:$A,"EC Auto")+SUMIFS(Movimientos!$K$1:$K$806,Movimientos!$C$1:$C$806,"EC Auto",Movimientos!$B$1:$B$806,"&lt;="&amp;$B48)</f>
        <v>382.69000000000005</v>
      </c>
      <c r="P48" s="24">
        <f>SUMIFS('Saldos Iniciales'!$D:$D,'Saldos Iniciales'!$A:$A,"Arbor Capital Properties")+SUMIFS(Movimientos!$K$1:$K$806,Movimientos!$C$1:$C$806,"Arbor Capital Properties",Movimientos!$B$1:$B$806,"&lt;="&amp;$B48)</f>
        <v>1428.08</v>
      </c>
      <c r="Q48" s="24">
        <f>SUMIFS('Saldos Iniciales'!$D:$D,'Saldos Iniciales'!$A:$A,"2515 Overbrook")+SUMIFS(Movimientos!$K$1:$K$806,Movimientos!$C$1:$C$806,"2515 Overbrook",Movimientos!$B$1:$B$806,"&lt;="&amp;$B48)</f>
        <v>29789.969999999961</v>
      </c>
      <c r="R48" s="24">
        <f>SUMIFS('Saldos Iniciales'!$D:$D,'Saldos Iniciales'!$A:$A,"112 Florida Ave")+SUMIFS(Movimientos!$K$1:$K$806,Movimientos!$C$1:$C$806,"112 Florida Ave",Movimientos!$B$1:$B$806,"&lt;="&amp;$B48)</f>
        <v>20321.43</v>
      </c>
      <c r="S48" s="24">
        <f>SUMIFS('Saldos Iniciales'!$D:$D,'Saldos Iniciales'!$A:$A,"3628 Thomas Ave")+SUMIFS(Movimientos!$K$1:$K$806,Movimientos!$C$1:$C$806,"3628 Thomas Ave",Movimientos!$B$1:$B$806,"&lt;="&amp;$B48)</f>
        <v>19811.349999999999</v>
      </c>
      <c r="T48" s="24">
        <f>SUMIFS('Saldos Iniciales'!$D:$D,'Saldos Iniciales'!$A:$A,"Green Harbor Trust")+SUMIFS(Movimientos!$K$1:$K$806,Movimientos!$C$1:$C$806,"Green Harbor Trust",Movimientos!$B$1:$B$806,"&lt;="&amp;$B48)</f>
        <v>345</v>
      </c>
      <c r="U48" s="24">
        <f>SUMIFS('Saldos Iniciales'!$D:$D,'Saldos Iniciales'!$A:$A,"Go Blue")+SUMIFS(Movimientos!$K$1:$K$806,Movimientos!$C$1:$C$806,"Go Blue",Movimientos!$B$1:$B$806,"&lt;="&amp;$B48)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Group")+SUMIFS(Movimientos!$K$1:$K$806,Movimientos!$C$1:$C$806,"CFT Group",Movimientos!$B$1:$B$806,"&lt;="&amp;$B49)</f>
        <v>1098358.7500000002</v>
      </c>
      <c r="D49" s="24">
        <f>SUMIFS('Saldos Iniciales'!$D:$D,'Saldos Iniciales'!$A:$A,"M1B")+SUMIFS(Movimientos!$K$1:$K$806,Movimientos!$C$1:$C$806,"M1B",Movimientos!$B$1:$B$806,"&lt;="&amp;$B49)</f>
        <v>69376.390000000174</v>
      </c>
      <c r="E49" s="24">
        <f>SUMIFS('Saldos Iniciales'!$D:$D,'Saldos Iniciales'!$A:$A,"Durand")+SUMIFS(Movimientos!$K$1:$K$806,Movimientos!$C$1:$C$806,"Durand",Movimientos!$B$1:$B$806,"&lt;="&amp;$B49)</f>
        <v>1669.89</v>
      </c>
      <c r="F49" s="24">
        <f>SUMIFS('Saldos Iniciales'!$D:$D,'Saldos Iniciales'!$A:$A,"A&amp;M Imports")+SUMIFS(Movimientos!$K$1:$K$806,Movimientos!$C$1:$C$806,"A&amp;M Imports",Movimientos!$B$1:$B$806,"&lt;="&amp;$B49)</f>
        <v>503904.80999999982</v>
      </c>
      <c r="G49" s="24">
        <f>SUMIFS('Saldos Iniciales'!$D:$D,'Saldos Iniciales'!$A:$A,"SSP Capital")+SUMIFS(Movimientos!$K$1:$K$806,Movimientos!$C$1:$C$806,"SSP Capital",Movimientos!$B$1:$B$806,"&lt;="&amp;$B49)</f>
        <v>3326863.3899999997</v>
      </c>
      <c r="H49" s="24">
        <f>SUMIFS('Saldos Iniciales'!$D:$D,'Saldos Iniciales'!$A:$A,"Cross Family Trust")+SUMIFS(Movimientos!$K$1:$K$806,Movimientos!$C$1:$C$806,"Cross Family Trust",Movimientos!$B$1:$B$806,"&lt;="&amp;$B49)</f>
        <v>116496.38</v>
      </c>
      <c r="I49" s="24">
        <f>SUMIFS('Saldos Iniciales'!$D:$D,'Saldos Iniciales'!$A:$A,"Cross Security Trust")+SUMIFS(Movimientos!$K$1:$K$806,Movimientos!$C$1:$C$806,"Cross Security Trust",Movimientos!$B$1:$B$806,"&lt;="&amp;$B49)</f>
        <v>88090.37</v>
      </c>
      <c r="J49" s="24">
        <f>SUMIFS('Saldos Iniciales'!$D:$D,'Saldos Iniciales'!$A:$A,"Electrama")+SUMIFS(Movimientos!$K$1:$K$806,Movimientos!$C$1:$C$806,"Electrama",Movimientos!$B$1:$B$806,"&lt;="&amp;$B49)</f>
        <v>511.15999999999985</v>
      </c>
      <c r="K49" s="24">
        <f>SUMIFS('Saldos Iniciales'!$D:$D,'Saldos Iniciales'!$A:$A,"Sacred Valley Capital")+SUMIFS(Movimientos!$K$1:$K$806,Movimientos!$C$1:$C$806,"Sacred Valley Capital",Movimientos!$B$1:$B$806,"&lt;="&amp;$B49)</f>
        <v>84.35</v>
      </c>
      <c r="L49" s="24">
        <f>SUMIFS('Saldos Iniciales'!$D:$D,'Saldos Iniciales'!$A:$A,"YWC Capital")+SUMIFS(Movimientos!$K$1:$K$806,Movimientos!$C$1:$C$806,"YWC Capital",Movimientos!$B$1:$B$806,"&lt;="&amp;$B49)</f>
        <v>2237.77</v>
      </c>
      <c r="M49" s="24">
        <f>SUMIFS('Saldos Iniciales'!$D:$D,'Saldos Iniciales'!$A:$A,"Soweto")+SUMIFS(Movimientos!$K$1:$K$806,Movimientos!$C$1:$C$806,"Soweto",Movimientos!$B$1:$B$806,"&lt;="&amp;$B49)</f>
        <v>3349.94</v>
      </c>
      <c r="N49" s="24">
        <f>SUMIFS('Saldos Iniciales'!$D:$D,'Saldos Iniciales'!$A:$A,"Green Stone Trust")+SUMIFS(Movimientos!$K$1:$K$806,Movimientos!$C$1:$C$806,"Green Stone Trust",Movimientos!$B$1:$B$806,"&lt;="&amp;$B49)</f>
        <v>1968.99</v>
      </c>
      <c r="O49" s="24">
        <f>SUMIFS('Saldos Iniciales'!$D:$D,'Saldos Iniciales'!$A:$A,"EC Auto")+SUMIFS(Movimientos!$K$1:$K$806,Movimientos!$C$1:$C$806,"EC Auto",Movimientos!$B$1:$B$806,"&lt;="&amp;$B49)</f>
        <v>382.69000000000005</v>
      </c>
      <c r="P49" s="24">
        <f>SUMIFS('Saldos Iniciales'!$D:$D,'Saldos Iniciales'!$A:$A,"Arbor Capital Properties")+SUMIFS(Movimientos!$K$1:$K$806,Movimientos!$C$1:$C$806,"Arbor Capital Properties",Movimientos!$B$1:$B$806,"&lt;="&amp;$B49)</f>
        <v>1428.08</v>
      </c>
      <c r="Q49" s="24">
        <f>SUMIFS('Saldos Iniciales'!$D:$D,'Saldos Iniciales'!$A:$A,"2515 Overbrook")+SUMIFS(Movimientos!$K$1:$K$806,Movimientos!$C$1:$C$806,"2515 Overbrook",Movimientos!$B$1:$B$806,"&lt;="&amp;$B49)</f>
        <v>29789.969999999961</v>
      </c>
      <c r="R49" s="24">
        <f>SUMIFS('Saldos Iniciales'!$D:$D,'Saldos Iniciales'!$A:$A,"112 Florida Ave")+SUMIFS(Movimientos!$K$1:$K$806,Movimientos!$C$1:$C$806,"112 Florida Ave",Movimientos!$B$1:$B$806,"&lt;="&amp;$B49)</f>
        <v>20321.43</v>
      </c>
      <c r="S49" s="24">
        <f>SUMIFS('Saldos Iniciales'!$D:$D,'Saldos Iniciales'!$A:$A,"3628 Thomas Ave")+SUMIFS(Movimientos!$K$1:$K$806,Movimientos!$C$1:$C$806,"3628 Thomas Ave",Movimientos!$B$1:$B$806,"&lt;="&amp;$B49)</f>
        <v>16681.349999999999</v>
      </c>
      <c r="T49" s="24">
        <f>SUMIFS('Saldos Iniciales'!$D:$D,'Saldos Iniciales'!$A:$A,"Green Harbor Trust")+SUMIFS(Movimientos!$K$1:$K$806,Movimientos!$C$1:$C$806,"Green Harbor Trust",Movimientos!$B$1:$B$806,"&lt;="&amp;$B49)</f>
        <v>345</v>
      </c>
      <c r="U49" s="24">
        <f>SUMIFS('Saldos Iniciales'!$D:$D,'Saldos Iniciales'!$A:$A,"Go Blue")+SUMIFS(Movimientos!$K$1:$K$806,Movimientos!$C$1:$C$806,"Go Blue",Movimientos!$B$1:$B$806,"&lt;="&amp;$B49)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Group")+SUMIFS(Movimientos!$K$1:$K$806,Movimientos!$C$1:$C$806,"CFT Group",Movimientos!$B$1:$B$806,"&lt;="&amp;$B50)</f>
        <v>1098358.7500000002</v>
      </c>
      <c r="D50" s="24">
        <f>SUMIFS('Saldos Iniciales'!$D:$D,'Saldos Iniciales'!$A:$A,"M1B")+SUMIFS(Movimientos!$K$1:$K$806,Movimientos!$C$1:$C$806,"M1B",Movimientos!$B$1:$B$806,"&lt;="&amp;$B50)</f>
        <v>69376.390000000174</v>
      </c>
      <c r="E50" s="24">
        <f>SUMIFS('Saldos Iniciales'!$D:$D,'Saldos Iniciales'!$A:$A,"Durand")+SUMIFS(Movimientos!$K$1:$K$806,Movimientos!$C$1:$C$806,"Durand",Movimientos!$B$1:$B$806,"&lt;="&amp;$B50)</f>
        <v>1669.89</v>
      </c>
      <c r="F50" s="24">
        <f>SUMIFS('Saldos Iniciales'!$D:$D,'Saldos Iniciales'!$A:$A,"A&amp;M Imports")+SUMIFS(Movimientos!$K$1:$K$806,Movimientos!$C$1:$C$806,"A&amp;M Imports",Movimientos!$B$1:$B$806,"&lt;="&amp;$B50)</f>
        <v>503904.80999999982</v>
      </c>
      <c r="G50" s="24">
        <f>SUMIFS('Saldos Iniciales'!$D:$D,'Saldos Iniciales'!$A:$A,"SSP Capital")+SUMIFS(Movimientos!$K$1:$K$806,Movimientos!$C$1:$C$806,"SSP Capital",Movimientos!$B$1:$B$806,"&lt;="&amp;$B50)</f>
        <v>3326696.7299999995</v>
      </c>
      <c r="H50" s="24">
        <f>SUMIFS('Saldos Iniciales'!$D:$D,'Saldos Iniciales'!$A:$A,"Cross Family Trust")+SUMIFS(Movimientos!$K$1:$K$806,Movimientos!$C$1:$C$806,"Cross Family Trust",Movimientos!$B$1:$B$806,"&lt;="&amp;$B50)</f>
        <v>116496.38</v>
      </c>
      <c r="I50" s="24">
        <f>SUMIFS('Saldos Iniciales'!$D:$D,'Saldos Iniciales'!$A:$A,"Cross Security Trust")+SUMIFS(Movimientos!$K$1:$K$806,Movimientos!$C$1:$C$806,"Cross Security Trust",Movimientos!$B$1:$B$806,"&lt;="&amp;$B50)</f>
        <v>88090.37</v>
      </c>
      <c r="J50" s="24">
        <f>SUMIFS('Saldos Iniciales'!$D:$D,'Saldos Iniciales'!$A:$A,"Electrama")+SUMIFS(Movimientos!$K$1:$K$806,Movimientos!$C$1:$C$806,"Electrama",Movimientos!$B$1:$B$806,"&lt;="&amp;$B50)</f>
        <v>511.15999999999985</v>
      </c>
      <c r="K50" s="24">
        <f>SUMIFS('Saldos Iniciales'!$D:$D,'Saldos Iniciales'!$A:$A,"Sacred Valley Capital")+SUMIFS(Movimientos!$K$1:$K$806,Movimientos!$C$1:$C$806,"Sacred Valley Capital",Movimientos!$B$1:$B$806,"&lt;="&amp;$B50)</f>
        <v>84.35</v>
      </c>
      <c r="L50" s="24">
        <f>SUMIFS('Saldos Iniciales'!$D:$D,'Saldos Iniciales'!$A:$A,"YWC Capital")+SUMIFS(Movimientos!$K$1:$K$806,Movimientos!$C$1:$C$806,"YWC Capital",Movimientos!$B$1:$B$806,"&lt;="&amp;$B50)</f>
        <v>2237.77</v>
      </c>
      <c r="M50" s="24">
        <f>SUMIFS('Saldos Iniciales'!$D:$D,'Saldos Iniciales'!$A:$A,"Soweto")+SUMIFS(Movimientos!$K$1:$K$806,Movimientos!$C$1:$C$806,"Soweto",Movimientos!$B$1:$B$806,"&lt;="&amp;$B50)</f>
        <v>3349.94</v>
      </c>
      <c r="N50" s="24">
        <f>SUMIFS('Saldos Iniciales'!$D:$D,'Saldos Iniciales'!$A:$A,"Green Stone Trust")+SUMIFS(Movimientos!$K$1:$K$806,Movimientos!$C$1:$C$806,"Green Stone Trust",Movimientos!$B$1:$B$806,"&lt;="&amp;$B50)</f>
        <v>1968.99</v>
      </c>
      <c r="O50" s="24">
        <f>SUMIFS('Saldos Iniciales'!$D:$D,'Saldos Iniciales'!$A:$A,"EC Auto")+SUMIFS(Movimientos!$K$1:$K$806,Movimientos!$C$1:$C$806,"EC Auto",Movimientos!$B$1:$B$806,"&lt;="&amp;$B50)</f>
        <v>382.69000000000005</v>
      </c>
      <c r="P50" s="24">
        <f>SUMIFS('Saldos Iniciales'!$D:$D,'Saldos Iniciales'!$A:$A,"Arbor Capital Properties")+SUMIFS(Movimientos!$K$1:$K$806,Movimientos!$C$1:$C$806,"Arbor Capital Properties",Movimientos!$B$1:$B$806,"&lt;="&amp;$B50)</f>
        <v>1428.08</v>
      </c>
      <c r="Q50" s="24">
        <f>SUMIFS('Saldos Iniciales'!$D:$D,'Saldos Iniciales'!$A:$A,"2515 Overbrook")+SUMIFS(Movimientos!$K$1:$K$806,Movimientos!$C$1:$C$806,"2515 Overbrook",Movimientos!$B$1:$B$806,"&lt;="&amp;$B50)</f>
        <v>29789.969999999961</v>
      </c>
      <c r="R50" s="24">
        <f>SUMIFS('Saldos Iniciales'!$D:$D,'Saldos Iniciales'!$A:$A,"112 Florida Ave")+SUMIFS(Movimientos!$K$1:$K$806,Movimientos!$C$1:$C$806,"112 Florida Ave",Movimientos!$B$1:$B$806,"&lt;="&amp;$B50)</f>
        <v>20321.43</v>
      </c>
      <c r="S50" s="24">
        <f>SUMIFS('Saldos Iniciales'!$D:$D,'Saldos Iniciales'!$A:$A,"3628 Thomas Ave")+SUMIFS(Movimientos!$K$1:$K$806,Movimientos!$C$1:$C$806,"3628 Thomas Ave",Movimientos!$B$1:$B$806,"&lt;="&amp;$B50)</f>
        <v>16681.349999999999</v>
      </c>
      <c r="T50" s="24">
        <f>SUMIFS('Saldos Iniciales'!$D:$D,'Saldos Iniciales'!$A:$A,"Green Harbor Trust")+SUMIFS(Movimientos!$K$1:$K$806,Movimientos!$C$1:$C$806,"Green Harbor Trust",Movimientos!$B$1:$B$806,"&lt;="&amp;$B50)</f>
        <v>345</v>
      </c>
      <c r="U50" s="24">
        <f>SUMIFS('Saldos Iniciales'!$D:$D,'Saldos Iniciales'!$A:$A,"Go Blue")+SUMIFS(Movimientos!$K$1:$K$806,Movimientos!$C$1:$C$806,"Go Blue",Movimientos!$B$1:$B$806,"&lt;="&amp;$B50)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Group")+SUMIFS(Movimientos!$K$1:$K$806,Movimientos!$C$1:$C$806,"CFT Group",Movimientos!$B$1:$B$806,"&lt;="&amp;$B51)</f>
        <v>1098358.7500000002</v>
      </c>
      <c r="D51" s="24">
        <f>SUMIFS('Saldos Iniciales'!$D:$D,'Saldos Iniciales'!$A:$A,"M1B")+SUMIFS(Movimientos!$K$1:$K$806,Movimientos!$C$1:$C$806,"M1B",Movimientos!$B$1:$B$806,"&lt;="&amp;$B51)</f>
        <v>69376.390000000174</v>
      </c>
      <c r="E51" s="24">
        <f>SUMIFS('Saldos Iniciales'!$D:$D,'Saldos Iniciales'!$A:$A,"Durand")+SUMIFS(Movimientos!$K$1:$K$806,Movimientos!$C$1:$C$806,"Durand",Movimientos!$B$1:$B$806,"&lt;="&amp;$B51)</f>
        <v>1669.89</v>
      </c>
      <c r="F51" s="24">
        <f>SUMIFS('Saldos Iniciales'!$D:$D,'Saldos Iniciales'!$A:$A,"A&amp;M Imports")+SUMIFS(Movimientos!$K$1:$K$806,Movimientos!$C$1:$C$806,"A&amp;M Imports",Movimientos!$B$1:$B$806,"&lt;="&amp;$B51)</f>
        <v>503904.80999999982</v>
      </c>
      <c r="G51" s="24">
        <f>SUMIFS('Saldos Iniciales'!$D:$D,'Saldos Iniciales'!$A:$A,"SSP Capital")+SUMIFS(Movimientos!$K$1:$K$806,Movimientos!$C$1:$C$806,"SSP Capital",Movimientos!$B$1:$B$806,"&lt;="&amp;$B51)</f>
        <v>3326696.7299999995</v>
      </c>
      <c r="H51" s="24">
        <f>SUMIFS('Saldos Iniciales'!$D:$D,'Saldos Iniciales'!$A:$A,"Cross Family Trust")+SUMIFS(Movimientos!$K$1:$K$806,Movimientos!$C$1:$C$806,"Cross Family Trust",Movimientos!$B$1:$B$806,"&lt;="&amp;$B51)</f>
        <v>116496.38</v>
      </c>
      <c r="I51" s="24">
        <f>SUMIFS('Saldos Iniciales'!$D:$D,'Saldos Iniciales'!$A:$A,"Cross Security Trust")+SUMIFS(Movimientos!$K$1:$K$806,Movimientos!$C$1:$C$806,"Cross Security Trust",Movimientos!$B$1:$B$806,"&lt;="&amp;$B51)</f>
        <v>88090.37</v>
      </c>
      <c r="J51" s="24">
        <f>SUMIFS('Saldos Iniciales'!$D:$D,'Saldos Iniciales'!$A:$A,"Electrama")+SUMIFS(Movimientos!$K$1:$K$806,Movimientos!$C$1:$C$806,"Electrama",Movimientos!$B$1:$B$806,"&lt;="&amp;$B51)</f>
        <v>511.15999999999985</v>
      </c>
      <c r="K51" s="24">
        <f>SUMIFS('Saldos Iniciales'!$D:$D,'Saldos Iniciales'!$A:$A,"Sacred Valley Capital")+SUMIFS(Movimientos!$K$1:$K$806,Movimientos!$C$1:$C$806,"Sacred Valley Capital",Movimientos!$B$1:$B$806,"&lt;="&amp;$B51)</f>
        <v>84.35</v>
      </c>
      <c r="L51" s="24">
        <f>SUMIFS('Saldos Iniciales'!$D:$D,'Saldos Iniciales'!$A:$A,"YWC Capital")+SUMIFS(Movimientos!$K$1:$K$806,Movimientos!$C$1:$C$806,"YWC Capital",Movimientos!$B$1:$B$806,"&lt;="&amp;$B51)</f>
        <v>2237.77</v>
      </c>
      <c r="M51" s="24">
        <f>SUMIFS('Saldos Iniciales'!$D:$D,'Saldos Iniciales'!$A:$A,"Soweto")+SUMIFS(Movimientos!$K$1:$K$806,Movimientos!$C$1:$C$806,"Soweto",Movimientos!$B$1:$B$806,"&lt;="&amp;$B51)</f>
        <v>3349.94</v>
      </c>
      <c r="N51" s="24">
        <f>SUMIFS('Saldos Iniciales'!$D:$D,'Saldos Iniciales'!$A:$A,"Green Stone Trust")+SUMIFS(Movimientos!$K$1:$K$806,Movimientos!$C$1:$C$806,"Green Stone Trust",Movimientos!$B$1:$B$806,"&lt;="&amp;$B51)</f>
        <v>1968.99</v>
      </c>
      <c r="O51" s="24">
        <f>SUMIFS('Saldos Iniciales'!$D:$D,'Saldos Iniciales'!$A:$A,"EC Auto")+SUMIFS(Movimientos!$K$1:$K$806,Movimientos!$C$1:$C$806,"EC Auto",Movimientos!$B$1:$B$806,"&lt;="&amp;$B51)</f>
        <v>382.69000000000005</v>
      </c>
      <c r="P51" s="24">
        <f>SUMIFS('Saldos Iniciales'!$D:$D,'Saldos Iniciales'!$A:$A,"Arbor Capital Properties")+SUMIFS(Movimientos!$K$1:$K$806,Movimientos!$C$1:$C$806,"Arbor Capital Properties",Movimientos!$B$1:$B$806,"&lt;="&amp;$B51)</f>
        <v>1428.08</v>
      </c>
      <c r="Q51" s="24">
        <f>SUMIFS('Saldos Iniciales'!$D:$D,'Saldos Iniciales'!$A:$A,"2515 Overbrook")+SUMIFS(Movimientos!$K$1:$K$806,Movimientos!$C$1:$C$806,"2515 Overbrook",Movimientos!$B$1:$B$806,"&lt;="&amp;$B51)</f>
        <v>29789.969999999961</v>
      </c>
      <c r="R51" s="24">
        <f>SUMIFS('Saldos Iniciales'!$D:$D,'Saldos Iniciales'!$A:$A,"112 Florida Ave")+SUMIFS(Movimientos!$K$1:$K$806,Movimientos!$C$1:$C$806,"112 Florida Ave",Movimientos!$B$1:$B$806,"&lt;="&amp;$B51)</f>
        <v>20321.43</v>
      </c>
      <c r="S51" s="24">
        <f>SUMIFS('Saldos Iniciales'!$D:$D,'Saldos Iniciales'!$A:$A,"3628 Thomas Ave")+SUMIFS(Movimientos!$K$1:$K$806,Movimientos!$C$1:$C$806,"3628 Thomas Ave",Movimientos!$B$1:$B$806,"&lt;="&amp;$B51)</f>
        <v>16681.349999999999</v>
      </c>
      <c r="T51" s="24">
        <f>SUMIFS('Saldos Iniciales'!$D:$D,'Saldos Iniciales'!$A:$A,"Green Harbor Trust")+SUMIFS(Movimientos!$K$1:$K$806,Movimientos!$C$1:$C$806,"Green Harbor Trust",Movimientos!$B$1:$B$806,"&lt;="&amp;$B51)</f>
        <v>345</v>
      </c>
      <c r="U51" s="24">
        <f>SUMIFS('Saldos Iniciales'!$D:$D,'Saldos Iniciales'!$A:$A,"Go Blue")+SUMIFS(Movimientos!$K$1:$K$806,Movimientos!$C$1:$C$806,"Go Blue",Movimientos!$B$1:$B$806,"&lt;="&amp;$B51)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Group")+SUMIFS(Movimientos!$K$1:$K$806,Movimientos!$C$1:$C$806,"CFT Group",Movimientos!$B$1:$B$806,"&lt;="&amp;$B52)</f>
        <v>1098358.7500000002</v>
      </c>
      <c r="D52" s="24">
        <f>SUMIFS('Saldos Iniciales'!$D:$D,'Saldos Iniciales'!$A:$A,"M1B")+SUMIFS(Movimientos!$K$1:$K$806,Movimientos!$C$1:$C$806,"M1B",Movimientos!$B$1:$B$806,"&lt;="&amp;$B52)</f>
        <v>69376.390000000174</v>
      </c>
      <c r="E52" s="24">
        <f>SUMIFS('Saldos Iniciales'!$D:$D,'Saldos Iniciales'!$A:$A,"Durand")+SUMIFS(Movimientos!$K$1:$K$806,Movimientos!$C$1:$C$806,"Durand",Movimientos!$B$1:$B$806,"&lt;="&amp;$B52)</f>
        <v>1669.89</v>
      </c>
      <c r="F52" s="24">
        <f>SUMIFS('Saldos Iniciales'!$D:$D,'Saldos Iniciales'!$A:$A,"A&amp;M Imports")+SUMIFS(Movimientos!$K$1:$K$806,Movimientos!$C$1:$C$806,"A&amp;M Imports",Movimientos!$B$1:$B$806,"&lt;="&amp;$B52)</f>
        <v>503904.80999999982</v>
      </c>
      <c r="G52" s="24">
        <f>SUMIFS('Saldos Iniciales'!$D:$D,'Saldos Iniciales'!$A:$A,"SSP Capital")+SUMIFS(Movimientos!$K$1:$K$806,Movimientos!$C$1:$C$806,"SSP Capital",Movimientos!$B$1:$B$806,"&lt;="&amp;$B52)</f>
        <v>3326696.7299999995</v>
      </c>
      <c r="H52" s="24">
        <f>SUMIFS('Saldos Iniciales'!$D:$D,'Saldos Iniciales'!$A:$A,"Cross Family Trust")+SUMIFS(Movimientos!$K$1:$K$806,Movimientos!$C$1:$C$806,"Cross Family Trust",Movimientos!$B$1:$B$806,"&lt;="&amp;$B52)</f>
        <v>116496.38</v>
      </c>
      <c r="I52" s="24">
        <f>SUMIFS('Saldos Iniciales'!$D:$D,'Saldos Iniciales'!$A:$A,"Cross Security Trust")+SUMIFS(Movimientos!$K$1:$K$806,Movimientos!$C$1:$C$806,"Cross Security Trust",Movimientos!$B$1:$B$806,"&lt;="&amp;$B52)</f>
        <v>88090.37</v>
      </c>
      <c r="J52" s="24">
        <f>SUMIFS('Saldos Iniciales'!$D:$D,'Saldos Iniciales'!$A:$A,"Electrama")+SUMIFS(Movimientos!$K$1:$K$806,Movimientos!$C$1:$C$806,"Electrama",Movimientos!$B$1:$B$806,"&lt;="&amp;$B52)</f>
        <v>511.15999999999985</v>
      </c>
      <c r="K52" s="24">
        <f>SUMIFS('Saldos Iniciales'!$D:$D,'Saldos Iniciales'!$A:$A,"Sacred Valley Capital")+SUMIFS(Movimientos!$K$1:$K$806,Movimientos!$C$1:$C$806,"Sacred Valley Capital",Movimientos!$B$1:$B$806,"&lt;="&amp;$B52)</f>
        <v>84.35</v>
      </c>
      <c r="L52" s="24">
        <f>SUMIFS('Saldos Iniciales'!$D:$D,'Saldos Iniciales'!$A:$A,"YWC Capital")+SUMIFS(Movimientos!$K$1:$K$806,Movimientos!$C$1:$C$806,"YWC Capital",Movimientos!$B$1:$B$806,"&lt;="&amp;$B52)</f>
        <v>2237.77</v>
      </c>
      <c r="M52" s="24">
        <f>SUMIFS('Saldos Iniciales'!$D:$D,'Saldos Iniciales'!$A:$A,"Soweto")+SUMIFS(Movimientos!$K$1:$K$806,Movimientos!$C$1:$C$806,"Soweto",Movimientos!$B$1:$B$806,"&lt;="&amp;$B52)</f>
        <v>3349.94</v>
      </c>
      <c r="N52" s="24">
        <f>SUMIFS('Saldos Iniciales'!$D:$D,'Saldos Iniciales'!$A:$A,"Green Stone Trust")+SUMIFS(Movimientos!$K$1:$K$806,Movimientos!$C$1:$C$806,"Green Stone Trust",Movimientos!$B$1:$B$806,"&lt;="&amp;$B52)</f>
        <v>1968.99</v>
      </c>
      <c r="O52" s="24">
        <f>SUMIFS('Saldos Iniciales'!$D:$D,'Saldos Iniciales'!$A:$A,"EC Auto")+SUMIFS(Movimientos!$K$1:$K$806,Movimientos!$C$1:$C$806,"EC Auto",Movimientos!$B$1:$B$806,"&lt;="&amp;$B52)</f>
        <v>382.69000000000005</v>
      </c>
      <c r="P52" s="24">
        <f>SUMIFS('Saldos Iniciales'!$D:$D,'Saldos Iniciales'!$A:$A,"Arbor Capital Properties")+SUMIFS(Movimientos!$K$1:$K$806,Movimientos!$C$1:$C$806,"Arbor Capital Properties",Movimientos!$B$1:$B$806,"&lt;="&amp;$B52)</f>
        <v>1428.08</v>
      </c>
      <c r="Q52" s="24">
        <f>SUMIFS('Saldos Iniciales'!$D:$D,'Saldos Iniciales'!$A:$A,"2515 Overbrook")+SUMIFS(Movimientos!$K$1:$K$806,Movimientos!$C$1:$C$806,"2515 Overbrook",Movimientos!$B$1:$B$806,"&lt;="&amp;$B52)</f>
        <v>29789.969999999961</v>
      </c>
      <c r="R52" s="24">
        <f>SUMIFS('Saldos Iniciales'!$D:$D,'Saldos Iniciales'!$A:$A,"112 Florida Ave")+SUMIFS(Movimientos!$K$1:$K$806,Movimientos!$C$1:$C$806,"112 Florida Ave",Movimientos!$B$1:$B$806,"&lt;="&amp;$B52)</f>
        <v>20321.43</v>
      </c>
      <c r="S52" s="24">
        <f>SUMIFS('Saldos Iniciales'!$D:$D,'Saldos Iniciales'!$A:$A,"3628 Thomas Ave")+SUMIFS(Movimientos!$K$1:$K$806,Movimientos!$C$1:$C$806,"3628 Thomas Ave",Movimientos!$B$1:$B$806,"&lt;="&amp;$B52)</f>
        <v>16681.349999999999</v>
      </c>
      <c r="T52" s="24">
        <f>SUMIFS('Saldos Iniciales'!$D:$D,'Saldos Iniciales'!$A:$A,"Green Harbor Trust")+SUMIFS(Movimientos!$K$1:$K$806,Movimientos!$C$1:$C$806,"Green Harbor Trust",Movimientos!$B$1:$B$806,"&lt;="&amp;$B52)</f>
        <v>345</v>
      </c>
      <c r="U52" s="24">
        <f>SUMIFS('Saldos Iniciales'!$D:$D,'Saldos Iniciales'!$A:$A,"Go Blue")+SUMIFS(Movimientos!$K$1:$K$806,Movimientos!$C$1:$C$806,"Go Blue",Movimientos!$B$1:$B$806,"&lt;="&amp;$B52)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Group")+SUMIFS(Movimientos!$K$1:$K$806,Movimientos!$C$1:$C$806,"CFT Group",Movimientos!$B$1:$B$806,"&lt;="&amp;$B53)</f>
        <v>1098358.7500000002</v>
      </c>
      <c r="D53" s="24">
        <f>SUMIFS('Saldos Iniciales'!$D:$D,'Saldos Iniciales'!$A:$A,"M1B")+SUMIFS(Movimientos!$K$1:$K$806,Movimientos!$C$1:$C$806,"M1B",Movimientos!$B$1:$B$806,"&lt;="&amp;$B53)</f>
        <v>69376.390000000174</v>
      </c>
      <c r="E53" s="24">
        <f>SUMIFS('Saldos Iniciales'!$D:$D,'Saldos Iniciales'!$A:$A,"Durand")+SUMIFS(Movimientos!$K$1:$K$806,Movimientos!$C$1:$C$806,"Durand",Movimientos!$B$1:$B$806,"&lt;="&amp;$B53)</f>
        <v>1669.89</v>
      </c>
      <c r="F53" s="24">
        <f>SUMIFS('Saldos Iniciales'!$D:$D,'Saldos Iniciales'!$A:$A,"A&amp;M Imports")+SUMIFS(Movimientos!$K$1:$K$806,Movimientos!$C$1:$C$806,"A&amp;M Imports",Movimientos!$B$1:$B$806,"&lt;="&amp;$B53)</f>
        <v>503904.80999999982</v>
      </c>
      <c r="G53" s="24">
        <f>SUMIFS('Saldos Iniciales'!$D:$D,'Saldos Iniciales'!$A:$A,"SSP Capital")+SUMIFS(Movimientos!$K$1:$K$806,Movimientos!$C$1:$C$806,"SSP Capital",Movimientos!$B$1:$B$806,"&lt;="&amp;$B53)</f>
        <v>3326696.7299999995</v>
      </c>
      <c r="H53" s="24">
        <f>SUMIFS('Saldos Iniciales'!$D:$D,'Saldos Iniciales'!$A:$A,"Cross Family Trust")+SUMIFS(Movimientos!$K$1:$K$806,Movimientos!$C$1:$C$806,"Cross Family Trust",Movimientos!$B$1:$B$806,"&lt;="&amp;$B53)</f>
        <v>116496.38</v>
      </c>
      <c r="I53" s="24">
        <f>SUMIFS('Saldos Iniciales'!$D:$D,'Saldos Iniciales'!$A:$A,"Cross Security Trust")+SUMIFS(Movimientos!$K$1:$K$806,Movimientos!$C$1:$C$806,"Cross Security Trust",Movimientos!$B$1:$B$806,"&lt;="&amp;$B53)</f>
        <v>88090.37</v>
      </c>
      <c r="J53" s="24">
        <f>SUMIFS('Saldos Iniciales'!$D:$D,'Saldos Iniciales'!$A:$A,"Electrama")+SUMIFS(Movimientos!$K$1:$K$806,Movimientos!$C$1:$C$806,"Electrama",Movimientos!$B$1:$B$806,"&lt;="&amp;$B53)</f>
        <v>511.15999999999985</v>
      </c>
      <c r="K53" s="24">
        <f>SUMIFS('Saldos Iniciales'!$D:$D,'Saldos Iniciales'!$A:$A,"Sacred Valley Capital")+SUMIFS(Movimientos!$K$1:$K$806,Movimientos!$C$1:$C$806,"Sacred Valley Capital",Movimientos!$B$1:$B$806,"&lt;="&amp;$B53)</f>
        <v>84.35</v>
      </c>
      <c r="L53" s="24">
        <f>SUMIFS('Saldos Iniciales'!$D:$D,'Saldos Iniciales'!$A:$A,"YWC Capital")+SUMIFS(Movimientos!$K$1:$K$806,Movimientos!$C$1:$C$806,"YWC Capital",Movimientos!$B$1:$B$806,"&lt;="&amp;$B53)</f>
        <v>2237.77</v>
      </c>
      <c r="M53" s="24">
        <f>SUMIFS('Saldos Iniciales'!$D:$D,'Saldos Iniciales'!$A:$A,"Soweto")+SUMIFS(Movimientos!$K$1:$K$806,Movimientos!$C$1:$C$806,"Soweto",Movimientos!$B$1:$B$806,"&lt;="&amp;$B53)</f>
        <v>3349.94</v>
      </c>
      <c r="N53" s="24">
        <f>SUMIFS('Saldos Iniciales'!$D:$D,'Saldos Iniciales'!$A:$A,"Green Stone Trust")+SUMIFS(Movimientos!$K$1:$K$806,Movimientos!$C$1:$C$806,"Green Stone Trust",Movimientos!$B$1:$B$806,"&lt;="&amp;$B53)</f>
        <v>1968.99</v>
      </c>
      <c r="O53" s="24">
        <f>SUMIFS('Saldos Iniciales'!$D:$D,'Saldos Iniciales'!$A:$A,"EC Auto")+SUMIFS(Movimientos!$K$1:$K$806,Movimientos!$C$1:$C$806,"EC Auto",Movimientos!$B$1:$B$806,"&lt;="&amp;$B53)</f>
        <v>382.69000000000005</v>
      </c>
      <c r="P53" s="24">
        <f>SUMIFS('Saldos Iniciales'!$D:$D,'Saldos Iniciales'!$A:$A,"Arbor Capital Properties")+SUMIFS(Movimientos!$K$1:$K$806,Movimientos!$C$1:$C$806,"Arbor Capital Properties",Movimientos!$B$1:$B$806,"&lt;="&amp;$B53)</f>
        <v>1428.08</v>
      </c>
      <c r="Q53" s="24">
        <f>SUMIFS('Saldos Iniciales'!$D:$D,'Saldos Iniciales'!$A:$A,"2515 Overbrook")+SUMIFS(Movimientos!$K$1:$K$806,Movimientos!$C$1:$C$806,"2515 Overbrook",Movimientos!$B$1:$B$806,"&lt;="&amp;$B53)</f>
        <v>29789.969999999961</v>
      </c>
      <c r="R53" s="24">
        <f>SUMIFS('Saldos Iniciales'!$D:$D,'Saldos Iniciales'!$A:$A,"112 Florida Ave")+SUMIFS(Movimientos!$K$1:$K$806,Movimientos!$C$1:$C$806,"112 Florida Ave",Movimientos!$B$1:$B$806,"&lt;="&amp;$B53)</f>
        <v>20321.43</v>
      </c>
      <c r="S53" s="24">
        <f>SUMIFS('Saldos Iniciales'!$D:$D,'Saldos Iniciales'!$A:$A,"3628 Thomas Ave")+SUMIFS(Movimientos!$K$1:$K$806,Movimientos!$C$1:$C$806,"3628 Thomas Ave",Movimientos!$B$1:$B$806,"&lt;="&amp;$B53)</f>
        <v>16681.349999999999</v>
      </c>
      <c r="T53" s="24">
        <f>SUMIFS('Saldos Iniciales'!$D:$D,'Saldos Iniciales'!$A:$A,"Green Harbor Trust")+SUMIFS(Movimientos!$K$1:$K$806,Movimientos!$C$1:$C$806,"Green Harbor Trust",Movimientos!$B$1:$B$806,"&lt;="&amp;$B53)</f>
        <v>345</v>
      </c>
      <c r="U53" s="24">
        <f>SUMIFS('Saldos Iniciales'!$D:$D,'Saldos Iniciales'!$A:$A,"Go Blue")+SUMIFS(Movimientos!$K$1:$K$806,Movimientos!$C$1:$C$806,"Go Blue",Movimientos!$B$1:$B$806,"&lt;="&amp;$B53)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Group")+SUMIFS(Movimientos!$K$1:$K$806,Movimientos!$C$1:$C$806,"CFT Group",Movimientos!$B$1:$B$806,"&lt;="&amp;$B54)</f>
        <v>7613332.1400000006</v>
      </c>
      <c r="D54" s="24">
        <f>SUMIFS('Saldos Iniciales'!$D:$D,'Saldos Iniciales'!$A:$A,"M1B")+SUMIFS(Movimientos!$K$1:$K$806,Movimientos!$C$1:$C$806,"M1B",Movimientos!$B$1:$B$806,"&lt;="&amp;$B54)</f>
        <v>69376.390000000174</v>
      </c>
      <c r="E54" s="24">
        <f>SUMIFS('Saldos Iniciales'!$D:$D,'Saldos Iniciales'!$A:$A,"Durand")+SUMIFS(Movimientos!$K$1:$K$806,Movimientos!$C$1:$C$806,"Durand",Movimientos!$B$1:$B$806,"&lt;="&amp;$B54)</f>
        <v>1669.89</v>
      </c>
      <c r="F54" s="24">
        <f>SUMIFS('Saldos Iniciales'!$D:$D,'Saldos Iniciales'!$A:$A,"A&amp;M Imports")+SUMIFS(Movimientos!$K$1:$K$806,Movimientos!$C$1:$C$806,"A&amp;M Imports",Movimientos!$B$1:$B$806,"&lt;="&amp;$B54)</f>
        <v>503904.80999999982</v>
      </c>
      <c r="G54" s="24">
        <f>SUMIFS('Saldos Iniciales'!$D:$D,'Saldos Iniciales'!$A:$A,"SSP Capital")+SUMIFS(Movimientos!$K$1:$K$806,Movimientos!$C$1:$C$806,"SSP Capital",Movimientos!$B$1:$B$806,"&lt;="&amp;$B54)</f>
        <v>3325868.6899999995</v>
      </c>
      <c r="H54" s="24">
        <f>SUMIFS('Saldos Iniciales'!$D:$D,'Saldos Iniciales'!$A:$A,"Cross Family Trust")+SUMIFS(Movimientos!$K$1:$K$806,Movimientos!$C$1:$C$806,"Cross Family Trust",Movimientos!$B$1:$B$806,"&lt;="&amp;$B54)</f>
        <v>116496.38</v>
      </c>
      <c r="I54" s="24">
        <f>SUMIFS('Saldos Iniciales'!$D:$D,'Saldos Iniciales'!$A:$A,"Cross Security Trust")+SUMIFS(Movimientos!$K$1:$K$806,Movimientos!$C$1:$C$806,"Cross Security Trust",Movimientos!$B$1:$B$806,"&lt;="&amp;$B54)</f>
        <v>88090.37</v>
      </c>
      <c r="J54" s="24">
        <f>SUMIFS('Saldos Iniciales'!$D:$D,'Saldos Iniciales'!$A:$A,"Electrama")+SUMIFS(Movimientos!$K$1:$K$806,Movimientos!$C$1:$C$806,"Electrama",Movimientos!$B$1:$B$806,"&lt;="&amp;$B54)</f>
        <v>511.15999999999985</v>
      </c>
      <c r="K54" s="24">
        <f>SUMIFS('Saldos Iniciales'!$D:$D,'Saldos Iniciales'!$A:$A,"Sacred Valley Capital")+SUMIFS(Movimientos!$K$1:$K$806,Movimientos!$C$1:$C$806,"Sacred Valley Capital",Movimientos!$B$1:$B$806,"&lt;="&amp;$B54)</f>
        <v>84.35</v>
      </c>
      <c r="L54" s="24">
        <f>SUMIFS('Saldos Iniciales'!$D:$D,'Saldos Iniciales'!$A:$A,"YWC Capital")+SUMIFS(Movimientos!$K$1:$K$806,Movimientos!$C$1:$C$806,"YWC Capital",Movimientos!$B$1:$B$806,"&lt;="&amp;$B54)</f>
        <v>2237.77</v>
      </c>
      <c r="M54" s="24">
        <f>SUMIFS('Saldos Iniciales'!$D:$D,'Saldos Iniciales'!$A:$A,"Soweto")+SUMIFS(Movimientos!$K$1:$K$806,Movimientos!$C$1:$C$806,"Soweto",Movimientos!$B$1:$B$806,"&lt;="&amp;$B54)</f>
        <v>3349.94</v>
      </c>
      <c r="N54" s="24">
        <f>SUMIFS('Saldos Iniciales'!$D:$D,'Saldos Iniciales'!$A:$A,"Green Stone Trust")+SUMIFS(Movimientos!$K$1:$K$806,Movimientos!$C$1:$C$806,"Green Stone Trust",Movimientos!$B$1:$B$806,"&lt;="&amp;$B54)</f>
        <v>1968.99</v>
      </c>
      <c r="O54" s="24">
        <f>SUMIFS('Saldos Iniciales'!$D:$D,'Saldos Iniciales'!$A:$A,"EC Auto")+SUMIFS(Movimientos!$K$1:$K$806,Movimientos!$C$1:$C$806,"EC Auto",Movimientos!$B$1:$B$806,"&lt;="&amp;$B54)</f>
        <v>382.69000000000005</v>
      </c>
      <c r="P54" s="24">
        <f>SUMIFS('Saldos Iniciales'!$D:$D,'Saldos Iniciales'!$A:$A,"Arbor Capital Properties")+SUMIFS(Movimientos!$K$1:$K$806,Movimientos!$C$1:$C$806,"Arbor Capital Properties",Movimientos!$B$1:$B$806,"&lt;="&amp;$B54)</f>
        <v>1428.08</v>
      </c>
      <c r="Q54" s="24">
        <f>SUMIFS('Saldos Iniciales'!$D:$D,'Saldos Iniciales'!$A:$A,"2515 Overbrook")+SUMIFS(Movimientos!$K$1:$K$806,Movimientos!$C$1:$C$806,"2515 Overbrook",Movimientos!$B$1:$B$806,"&lt;="&amp;$B54)</f>
        <v>31039.969999999961</v>
      </c>
      <c r="R54" s="24">
        <f>SUMIFS('Saldos Iniciales'!$D:$D,'Saldos Iniciales'!$A:$A,"112 Florida Ave")+SUMIFS(Movimientos!$K$1:$K$806,Movimientos!$C$1:$C$806,"112 Florida Ave",Movimientos!$B$1:$B$806,"&lt;="&amp;$B54)</f>
        <v>20321.43</v>
      </c>
      <c r="S54" s="24">
        <f>SUMIFS('Saldos Iniciales'!$D:$D,'Saldos Iniciales'!$A:$A,"3628 Thomas Ave")+SUMIFS(Movimientos!$K$1:$K$806,Movimientos!$C$1:$C$806,"3628 Thomas Ave",Movimientos!$B$1:$B$806,"&lt;="&amp;$B54)</f>
        <v>16681.349999999999</v>
      </c>
      <c r="T54" s="24">
        <f>SUMIFS('Saldos Iniciales'!$D:$D,'Saldos Iniciales'!$A:$A,"Green Harbor Trust")+SUMIFS(Movimientos!$K$1:$K$806,Movimientos!$C$1:$C$806,"Green Harbor Trust",Movimientos!$B$1:$B$806,"&lt;="&amp;$B54)</f>
        <v>345</v>
      </c>
      <c r="U54" s="24">
        <f>SUMIFS('Saldos Iniciales'!$D:$D,'Saldos Iniciales'!$A:$A,"Go Blue")+SUMIFS(Movimientos!$K$1:$K$806,Movimientos!$C$1:$C$806,"Go Blue",Movimientos!$B$1:$B$806,"&lt;="&amp;$B54)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Group")+SUMIFS(Movimientos!$K$1:$K$806,Movimientos!$C$1:$C$806,"CFT Group",Movimientos!$B$1:$B$806,"&lt;="&amp;$B55)</f>
        <v>7675741.5900000008</v>
      </c>
      <c r="D55" s="24">
        <f>SUMIFS('Saldos Iniciales'!$D:$D,'Saldos Iniciales'!$A:$A,"M1B")+SUMIFS(Movimientos!$K$1:$K$806,Movimientos!$C$1:$C$806,"M1B",Movimientos!$B$1:$B$806,"&lt;="&amp;$B55)</f>
        <v>69376.390000000174</v>
      </c>
      <c r="E55" s="24">
        <f>SUMIFS('Saldos Iniciales'!$D:$D,'Saldos Iniciales'!$A:$A,"Durand")+SUMIFS(Movimientos!$K$1:$K$806,Movimientos!$C$1:$C$806,"Durand",Movimientos!$B$1:$B$806,"&lt;="&amp;$B55)</f>
        <v>1669.89</v>
      </c>
      <c r="F55" s="24">
        <f>SUMIFS('Saldos Iniciales'!$D:$D,'Saldos Iniciales'!$A:$A,"A&amp;M Imports")+SUMIFS(Movimientos!$K$1:$K$806,Movimientos!$C$1:$C$806,"A&amp;M Imports",Movimientos!$B$1:$B$806,"&lt;="&amp;$B55)</f>
        <v>503904.80999999982</v>
      </c>
      <c r="G55" s="24">
        <f>SUMIFS('Saldos Iniciales'!$D:$D,'Saldos Iniciales'!$A:$A,"SSP Capital")+SUMIFS(Movimientos!$K$1:$K$806,Movimientos!$C$1:$C$806,"SSP Capital",Movimientos!$B$1:$B$806,"&lt;="&amp;$B55)</f>
        <v>3325868.6899999995</v>
      </c>
      <c r="H55" s="24">
        <f>SUMIFS('Saldos Iniciales'!$D:$D,'Saldos Iniciales'!$A:$A,"Cross Family Trust")+SUMIFS(Movimientos!$K$1:$K$806,Movimientos!$C$1:$C$806,"Cross Family Trust",Movimientos!$B$1:$B$806,"&lt;="&amp;$B55)</f>
        <v>116496.38</v>
      </c>
      <c r="I55" s="24">
        <f>SUMIFS('Saldos Iniciales'!$D:$D,'Saldos Iniciales'!$A:$A,"Cross Security Trust")+SUMIFS(Movimientos!$K$1:$K$806,Movimientos!$C$1:$C$806,"Cross Security Trust",Movimientos!$B$1:$B$806,"&lt;="&amp;$B55)</f>
        <v>88090.37</v>
      </c>
      <c r="J55" s="24">
        <f>SUMIFS('Saldos Iniciales'!$D:$D,'Saldos Iniciales'!$A:$A,"Electrama")+SUMIFS(Movimientos!$K$1:$K$806,Movimientos!$C$1:$C$806,"Electrama",Movimientos!$B$1:$B$806,"&lt;="&amp;$B55)</f>
        <v>511.15999999999985</v>
      </c>
      <c r="K55" s="24">
        <f>SUMIFS('Saldos Iniciales'!$D:$D,'Saldos Iniciales'!$A:$A,"Sacred Valley Capital")+SUMIFS(Movimientos!$K$1:$K$806,Movimientos!$C$1:$C$806,"Sacred Valley Capital",Movimientos!$B$1:$B$806,"&lt;="&amp;$B55)</f>
        <v>84.35</v>
      </c>
      <c r="L55" s="24">
        <f>SUMIFS('Saldos Iniciales'!$D:$D,'Saldos Iniciales'!$A:$A,"YWC Capital")+SUMIFS(Movimientos!$K$1:$K$806,Movimientos!$C$1:$C$806,"YWC Capital",Movimientos!$B$1:$B$806,"&lt;="&amp;$B55)</f>
        <v>2237.77</v>
      </c>
      <c r="M55" s="24">
        <f>SUMIFS('Saldos Iniciales'!$D:$D,'Saldos Iniciales'!$A:$A,"Soweto")+SUMIFS(Movimientos!$K$1:$K$806,Movimientos!$C$1:$C$806,"Soweto",Movimientos!$B$1:$B$806,"&lt;="&amp;$B55)</f>
        <v>3349.94</v>
      </c>
      <c r="N55" s="24">
        <f>SUMIFS('Saldos Iniciales'!$D:$D,'Saldos Iniciales'!$A:$A,"Green Stone Trust")+SUMIFS(Movimientos!$K$1:$K$806,Movimientos!$C$1:$C$806,"Green Stone Trust",Movimientos!$B$1:$B$806,"&lt;="&amp;$B55)</f>
        <v>1968.99</v>
      </c>
      <c r="O55" s="24">
        <f>SUMIFS('Saldos Iniciales'!$D:$D,'Saldos Iniciales'!$A:$A,"EC Auto")+SUMIFS(Movimientos!$K$1:$K$806,Movimientos!$C$1:$C$806,"EC Auto",Movimientos!$B$1:$B$806,"&lt;="&amp;$B55)</f>
        <v>382.69000000000005</v>
      </c>
      <c r="P55" s="24">
        <f>SUMIFS('Saldos Iniciales'!$D:$D,'Saldos Iniciales'!$A:$A,"Arbor Capital Properties")+SUMIFS(Movimientos!$K$1:$K$806,Movimientos!$C$1:$C$806,"Arbor Capital Properties",Movimientos!$B$1:$B$806,"&lt;="&amp;$B55)</f>
        <v>1428.08</v>
      </c>
      <c r="Q55" s="24">
        <f>SUMIFS('Saldos Iniciales'!$D:$D,'Saldos Iniciales'!$A:$A,"2515 Overbrook")+SUMIFS(Movimientos!$K$1:$K$806,Movimientos!$C$1:$C$806,"2515 Overbrook",Movimientos!$B$1:$B$806,"&lt;="&amp;$B55)</f>
        <v>31039.969999999961</v>
      </c>
      <c r="R55" s="24">
        <f>SUMIFS('Saldos Iniciales'!$D:$D,'Saldos Iniciales'!$A:$A,"112 Florida Ave")+SUMIFS(Movimientos!$K$1:$K$806,Movimientos!$C$1:$C$806,"112 Florida Ave",Movimientos!$B$1:$B$806,"&lt;="&amp;$B55)</f>
        <v>20321.43</v>
      </c>
      <c r="S55" s="24">
        <f>SUMIFS('Saldos Iniciales'!$D:$D,'Saldos Iniciales'!$A:$A,"3628 Thomas Ave")+SUMIFS(Movimientos!$K$1:$K$806,Movimientos!$C$1:$C$806,"3628 Thomas Ave",Movimientos!$B$1:$B$806,"&lt;="&amp;$B55)</f>
        <v>16681.349999999999</v>
      </c>
      <c r="T55" s="24">
        <f>SUMIFS('Saldos Iniciales'!$D:$D,'Saldos Iniciales'!$A:$A,"Green Harbor Trust")+SUMIFS(Movimientos!$K$1:$K$806,Movimientos!$C$1:$C$806,"Green Harbor Trust",Movimientos!$B$1:$B$806,"&lt;="&amp;$B55)</f>
        <v>345</v>
      </c>
      <c r="U55" s="24">
        <f>SUMIFS('Saldos Iniciales'!$D:$D,'Saldos Iniciales'!$A:$A,"Go Blue")+SUMIFS(Movimientos!$K$1:$K$806,Movimientos!$C$1:$C$806,"Go Blue",Movimientos!$B$1:$B$806,"&lt;="&amp;$B55)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Group")+SUMIFS(Movimientos!$K$1:$K$806,Movimientos!$C$1:$C$806,"CFT Group",Movimientos!$B$1:$B$806,"&lt;="&amp;$B56)</f>
        <v>7742810.7100000009</v>
      </c>
      <c r="D56" s="24">
        <f>SUMIFS('Saldos Iniciales'!$D:$D,'Saldos Iniciales'!$A:$A,"M1B")+SUMIFS(Movimientos!$K$1:$K$806,Movimientos!$C$1:$C$806,"M1B",Movimientos!$B$1:$B$806,"&lt;="&amp;$B56)</f>
        <v>72386.190000000177</v>
      </c>
      <c r="E56" s="24">
        <f>SUMIFS('Saldos Iniciales'!$D:$D,'Saldos Iniciales'!$A:$A,"Durand")+SUMIFS(Movimientos!$K$1:$K$806,Movimientos!$C$1:$C$806,"Durand",Movimientos!$B$1:$B$806,"&lt;="&amp;$B56)</f>
        <v>1669.89</v>
      </c>
      <c r="F56" s="24">
        <f>SUMIFS('Saldos Iniciales'!$D:$D,'Saldos Iniciales'!$A:$A,"A&amp;M Imports")+SUMIFS(Movimientos!$K$1:$K$806,Movimientos!$C$1:$C$806,"A&amp;M Imports",Movimientos!$B$1:$B$806,"&lt;="&amp;$B56)</f>
        <v>532766.72999999986</v>
      </c>
      <c r="G56" s="24">
        <f>SUMIFS('Saldos Iniciales'!$D:$D,'Saldos Iniciales'!$A:$A,"SSP Capital")+SUMIFS(Movimientos!$K$1:$K$806,Movimientos!$C$1:$C$806,"SSP Capital",Movimientos!$B$1:$B$806,"&lt;="&amp;$B56)</f>
        <v>3325868.6899999995</v>
      </c>
      <c r="H56" s="24">
        <f>SUMIFS('Saldos Iniciales'!$D:$D,'Saldos Iniciales'!$A:$A,"Cross Family Trust")+SUMIFS(Movimientos!$K$1:$K$806,Movimientos!$C$1:$C$806,"Cross Family Trust",Movimientos!$B$1:$B$806,"&lt;="&amp;$B56)</f>
        <v>116496.38</v>
      </c>
      <c r="I56" s="24">
        <f>SUMIFS('Saldos Iniciales'!$D:$D,'Saldos Iniciales'!$A:$A,"Cross Security Trust")+SUMIFS(Movimientos!$K$1:$K$806,Movimientos!$C$1:$C$806,"Cross Security Trust",Movimientos!$B$1:$B$806,"&lt;="&amp;$B56)</f>
        <v>88090.37</v>
      </c>
      <c r="J56" s="24">
        <f>SUMIFS('Saldos Iniciales'!$D:$D,'Saldos Iniciales'!$A:$A,"Electrama")+SUMIFS(Movimientos!$K$1:$K$806,Movimientos!$C$1:$C$806,"Electrama",Movimientos!$B$1:$B$806,"&lt;="&amp;$B56)</f>
        <v>511.15999999999985</v>
      </c>
      <c r="K56" s="24">
        <f>SUMIFS('Saldos Iniciales'!$D:$D,'Saldos Iniciales'!$A:$A,"Sacred Valley Capital")+SUMIFS(Movimientos!$K$1:$K$806,Movimientos!$C$1:$C$806,"Sacred Valley Capital",Movimientos!$B$1:$B$806,"&lt;="&amp;$B56)</f>
        <v>84.35</v>
      </c>
      <c r="L56" s="24">
        <f>SUMIFS('Saldos Iniciales'!$D:$D,'Saldos Iniciales'!$A:$A,"YWC Capital")+SUMIFS(Movimientos!$K$1:$K$806,Movimientos!$C$1:$C$806,"YWC Capital",Movimientos!$B$1:$B$806,"&lt;="&amp;$B56)</f>
        <v>2237.77</v>
      </c>
      <c r="M56" s="24">
        <f>SUMIFS('Saldos Iniciales'!$D:$D,'Saldos Iniciales'!$A:$A,"Soweto")+SUMIFS(Movimientos!$K$1:$K$806,Movimientos!$C$1:$C$806,"Soweto",Movimientos!$B$1:$B$806,"&lt;="&amp;$B56)</f>
        <v>3349.94</v>
      </c>
      <c r="N56" s="24">
        <f>SUMIFS('Saldos Iniciales'!$D:$D,'Saldos Iniciales'!$A:$A,"Green Stone Trust")+SUMIFS(Movimientos!$K$1:$K$806,Movimientos!$C$1:$C$806,"Green Stone Trust",Movimientos!$B$1:$B$806,"&lt;="&amp;$B56)</f>
        <v>1968.99</v>
      </c>
      <c r="O56" s="24">
        <f>SUMIFS('Saldos Iniciales'!$D:$D,'Saldos Iniciales'!$A:$A,"EC Auto")+SUMIFS(Movimientos!$K$1:$K$806,Movimientos!$C$1:$C$806,"EC Auto",Movimientos!$B$1:$B$806,"&lt;="&amp;$B56)</f>
        <v>382.69000000000005</v>
      </c>
      <c r="P56" s="24">
        <f>SUMIFS('Saldos Iniciales'!$D:$D,'Saldos Iniciales'!$A:$A,"Arbor Capital Properties")+SUMIFS(Movimientos!$K$1:$K$806,Movimientos!$C$1:$C$806,"Arbor Capital Properties",Movimientos!$B$1:$B$806,"&lt;="&amp;$B56)</f>
        <v>1428.08</v>
      </c>
      <c r="Q56" s="24">
        <f>SUMIFS('Saldos Iniciales'!$D:$D,'Saldos Iniciales'!$A:$A,"2515 Overbrook")+SUMIFS(Movimientos!$K$1:$K$806,Movimientos!$C$1:$C$806,"2515 Overbrook",Movimientos!$B$1:$B$806,"&lt;="&amp;$B56)</f>
        <v>31039.969999999961</v>
      </c>
      <c r="R56" s="24">
        <f>SUMIFS('Saldos Iniciales'!$D:$D,'Saldos Iniciales'!$A:$A,"112 Florida Ave")+SUMIFS(Movimientos!$K$1:$K$806,Movimientos!$C$1:$C$806,"112 Florida Ave",Movimientos!$B$1:$B$806,"&lt;="&amp;$B56)</f>
        <v>20321.43</v>
      </c>
      <c r="S56" s="24">
        <f>SUMIFS('Saldos Iniciales'!$D:$D,'Saldos Iniciales'!$A:$A,"3628 Thomas Ave")+SUMIFS(Movimientos!$K$1:$K$806,Movimientos!$C$1:$C$806,"3628 Thomas Ave",Movimientos!$B$1:$B$806,"&lt;="&amp;$B56)</f>
        <v>16681.349999999999</v>
      </c>
      <c r="T56" s="24">
        <f>SUMIFS('Saldos Iniciales'!$D:$D,'Saldos Iniciales'!$A:$A,"Green Harbor Trust")+SUMIFS(Movimientos!$K$1:$K$806,Movimientos!$C$1:$C$806,"Green Harbor Trust",Movimientos!$B$1:$B$806,"&lt;="&amp;$B56)</f>
        <v>345</v>
      </c>
      <c r="U56" s="24">
        <f>SUMIFS('Saldos Iniciales'!$D:$D,'Saldos Iniciales'!$A:$A,"Go Blue")+SUMIFS(Movimientos!$K$1:$K$806,Movimientos!$C$1:$C$806,"Go Blue",Movimientos!$B$1:$B$806,"&lt;="&amp;$B56)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Group")+SUMIFS(Movimientos!$K$1:$K$806,Movimientos!$C$1:$C$806,"CFT Group",Movimientos!$B$1:$B$806,"&lt;="&amp;$B57)</f>
        <v>6298935.7100000009</v>
      </c>
      <c r="D57" s="24">
        <f>SUMIFS('Saldos Iniciales'!$D:$D,'Saldos Iniciales'!$A:$A,"M1B")+SUMIFS(Movimientos!$K$1:$K$806,Movimientos!$C$1:$C$806,"M1B",Movimientos!$B$1:$B$806,"&lt;="&amp;$B57)</f>
        <v>72386.190000000177</v>
      </c>
      <c r="E57" s="24">
        <f>SUMIFS('Saldos Iniciales'!$D:$D,'Saldos Iniciales'!$A:$A,"Durand")+SUMIFS(Movimientos!$K$1:$K$806,Movimientos!$C$1:$C$806,"Durand",Movimientos!$B$1:$B$806,"&lt;="&amp;$B57)</f>
        <v>1669.89</v>
      </c>
      <c r="F57" s="24">
        <f>SUMIFS('Saldos Iniciales'!$D:$D,'Saldos Iniciales'!$A:$A,"A&amp;M Imports")+SUMIFS(Movimientos!$K$1:$K$806,Movimientos!$C$1:$C$806,"A&amp;M Imports",Movimientos!$B$1:$B$806,"&lt;="&amp;$B57)</f>
        <v>472766.72999999986</v>
      </c>
      <c r="G57" s="24">
        <f>SUMIFS('Saldos Iniciales'!$D:$D,'Saldos Iniciales'!$A:$A,"SSP Capital")+SUMIFS(Movimientos!$K$1:$K$806,Movimientos!$C$1:$C$806,"SSP Capital",Movimientos!$B$1:$B$806,"&lt;="&amp;$B57)</f>
        <v>1933152.7099999995</v>
      </c>
      <c r="H57" s="24">
        <f>SUMIFS('Saldos Iniciales'!$D:$D,'Saldos Iniciales'!$A:$A,"Cross Family Trust")+SUMIFS(Movimientos!$K$1:$K$806,Movimientos!$C$1:$C$806,"Cross Family Trust",Movimientos!$B$1:$B$806,"&lt;="&amp;$B57)</f>
        <v>1996496.38</v>
      </c>
      <c r="I57" s="24">
        <f>SUMIFS('Saldos Iniciales'!$D:$D,'Saldos Iniciales'!$A:$A,"Cross Security Trust")+SUMIFS(Movimientos!$K$1:$K$806,Movimientos!$C$1:$C$806,"Cross Security Trust",Movimientos!$B$1:$B$806,"&lt;="&amp;$B57)</f>
        <v>88090.37</v>
      </c>
      <c r="J57" s="24">
        <f>SUMIFS('Saldos Iniciales'!$D:$D,'Saldos Iniciales'!$A:$A,"Electrama")+SUMIFS(Movimientos!$K$1:$K$806,Movimientos!$C$1:$C$806,"Electrama",Movimientos!$B$1:$B$806,"&lt;="&amp;$B57)</f>
        <v>511.15999999999985</v>
      </c>
      <c r="K57" s="24">
        <f>SUMIFS('Saldos Iniciales'!$D:$D,'Saldos Iniciales'!$A:$A,"Sacred Valley Capital")+SUMIFS(Movimientos!$K$1:$K$806,Movimientos!$C$1:$C$806,"Sacred Valley Capital",Movimientos!$B$1:$B$806,"&lt;="&amp;$B57)</f>
        <v>84.35</v>
      </c>
      <c r="L57" s="24">
        <f>SUMIFS('Saldos Iniciales'!$D:$D,'Saldos Iniciales'!$A:$A,"YWC Capital")+SUMIFS(Movimientos!$K$1:$K$806,Movimientos!$C$1:$C$806,"YWC Capital",Movimientos!$B$1:$B$806,"&lt;="&amp;$B57)</f>
        <v>2237.77</v>
      </c>
      <c r="M57" s="24">
        <f>SUMIFS('Saldos Iniciales'!$D:$D,'Saldos Iniciales'!$A:$A,"Soweto")+SUMIFS(Movimientos!$K$1:$K$806,Movimientos!$C$1:$C$806,"Soweto",Movimientos!$B$1:$B$806,"&lt;="&amp;$B57)</f>
        <v>3349.94</v>
      </c>
      <c r="N57" s="24">
        <f>SUMIFS('Saldos Iniciales'!$D:$D,'Saldos Iniciales'!$A:$A,"Green Stone Trust")+SUMIFS(Movimientos!$K$1:$K$806,Movimientos!$C$1:$C$806,"Green Stone Trust",Movimientos!$B$1:$B$806,"&lt;="&amp;$B57)</f>
        <v>1968.99</v>
      </c>
      <c r="O57" s="24">
        <f>SUMIFS('Saldos Iniciales'!$D:$D,'Saldos Iniciales'!$A:$A,"EC Auto")+SUMIFS(Movimientos!$K$1:$K$806,Movimientos!$C$1:$C$806,"EC Auto",Movimientos!$B$1:$B$806,"&lt;="&amp;$B57)</f>
        <v>382.69000000000005</v>
      </c>
      <c r="P57" s="24">
        <f>SUMIFS('Saldos Iniciales'!$D:$D,'Saldos Iniciales'!$A:$A,"Arbor Capital Properties")+SUMIFS(Movimientos!$K$1:$K$806,Movimientos!$C$1:$C$806,"Arbor Capital Properties",Movimientos!$B$1:$B$806,"&lt;="&amp;$B57)</f>
        <v>1428.08</v>
      </c>
      <c r="Q57" s="24">
        <f>SUMIFS('Saldos Iniciales'!$D:$D,'Saldos Iniciales'!$A:$A,"2515 Overbrook")+SUMIFS(Movimientos!$K$1:$K$806,Movimientos!$C$1:$C$806,"2515 Overbrook",Movimientos!$B$1:$B$806,"&lt;="&amp;$B57)</f>
        <v>31039.969999999961</v>
      </c>
      <c r="R57" s="24">
        <f>SUMIFS('Saldos Iniciales'!$D:$D,'Saldos Iniciales'!$A:$A,"112 Florida Ave")+SUMIFS(Movimientos!$K$1:$K$806,Movimientos!$C$1:$C$806,"112 Florida Ave",Movimientos!$B$1:$B$806,"&lt;="&amp;$B57)</f>
        <v>20321.43</v>
      </c>
      <c r="S57" s="24">
        <f>SUMIFS('Saldos Iniciales'!$D:$D,'Saldos Iniciales'!$A:$A,"3628 Thomas Ave")+SUMIFS(Movimientos!$K$1:$K$806,Movimientos!$C$1:$C$806,"3628 Thomas Ave",Movimientos!$B$1:$B$806,"&lt;="&amp;$B57)</f>
        <v>28473.599999999999</v>
      </c>
      <c r="T57" s="24">
        <f>SUMIFS('Saldos Iniciales'!$D:$D,'Saldos Iniciales'!$A:$A,"Green Harbor Trust")+SUMIFS(Movimientos!$K$1:$K$806,Movimientos!$C$1:$C$806,"Green Harbor Trust",Movimientos!$B$1:$B$806,"&lt;="&amp;$B57)</f>
        <v>345</v>
      </c>
      <c r="U57" s="24">
        <f>SUMIFS('Saldos Iniciales'!$D:$D,'Saldos Iniciales'!$A:$A,"Go Blue")+SUMIFS(Movimientos!$K$1:$K$806,Movimientos!$C$1:$C$806,"Go Blue",Movimientos!$B$1:$B$806,"&lt;="&amp;$B57)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Group")+SUMIFS(Movimientos!$K$1:$K$806,Movimientos!$C$1:$C$806,"CFT Group",Movimientos!$B$1:$B$806,"&lt;="&amp;$B58)</f>
        <v>6288055.7100000009</v>
      </c>
      <c r="D58" s="24">
        <f>SUMIFS('Saldos Iniciales'!$D:$D,'Saldos Iniciales'!$A:$A,"M1B")+SUMIFS(Movimientos!$K$1:$K$806,Movimientos!$C$1:$C$806,"M1B",Movimientos!$B$1:$B$806,"&lt;="&amp;$B58)</f>
        <v>72386.190000000177</v>
      </c>
      <c r="E58" s="24">
        <f>SUMIFS('Saldos Iniciales'!$D:$D,'Saldos Iniciales'!$A:$A,"Durand")+SUMIFS(Movimientos!$K$1:$K$806,Movimientos!$C$1:$C$806,"Durand",Movimientos!$B$1:$B$806,"&lt;="&amp;$B58)</f>
        <v>1669.89</v>
      </c>
      <c r="F58" s="24">
        <f>SUMIFS('Saldos Iniciales'!$D:$D,'Saldos Iniciales'!$A:$A,"A&amp;M Imports")+SUMIFS(Movimientos!$K$1:$K$806,Movimientos!$C$1:$C$806,"A&amp;M Imports",Movimientos!$B$1:$B$806,"&lt;="&amp;$B58)</f>
        <v>472766.72999999986</v>
      </c>
      <c r="G58" s="24">
        <f>SUMIFS('Saldos Iniciales'!$D:$D,'Saldos Iniciales'!$A:$A,"SSP Capital")+SUMIFS(Movimientos!$K$1:$K$806,Movimientos!$C$1:$C$806,"SSP Capital",Movimientos!$B$1:$B$806,"&lt;="&amp;$B58)</f>
        <v>1932389.7199999993</v>
      </c>
      <c r="H58" s="24">
        <f>SUMIFS('Saldos Iniciales'!$D:$D,'Saldos Iniciales'!$A:$A,"Cross Family Trust")+SUMIFS(Movimientos!$K$1:$K$806,Movimientos!$C$1:$C$806,"Cross Family Trust",Movimientos!$B$1:$B$806,"&lt;="&amp;$B58)</f>
        <v>1396496.38</v>
      </c>
      <c r="I58" s="24">
        <f>SUMIFS('Saldos Iniciales'!$D:$D,'Saldos Iniciales'!$A:$A,"Cross Security Trust")+SUMIFS(Movimientos!$K$1:$K$806,Movimientos!$C$1:$C$806,"Cross Security Trust",Movimientos!$B$1:$B$806,"&lt;="&amp;$B58)</f>
        <v>88090.37</v>
      </c>
      <c r="J58" s="24">
        <f>SUMIFS('Saldos Iniciales'!$D:$D,'Saldos Iniciales'!$A:$A,"Electrama")+SUMIFS(Movimientos!$K$1:$K$806,Movimientos!$C$1:$C$806,"Electrama",Movimientos!$B$1:$B$806,"&lt;="&amp;$B58)</f>
        <v>511.15999999999985</v>
      </c>
      <c r="K58" s="24">
        <f>SUMIFS('Saldos Iniciales'!$D:$D,'Saldos Iniciales'!$A:$A,"Sacred Valley Capital")+SUMIFS(Movimientos!$K$1:$K$806,Movimientos!$C$1:$C$806,"Sacred Valley Capital",Movimientos!$B$1:$B$806,"&lt;="&amp;$B58)</f>
        <v>84.35</v>
      </c>
      <c r="L58" s="24">
        <f>SUMIFS('Saldos Iniciales'!$D:$D,'Saldos Iniciales'!$A:$A,"YWC Capital")+SUMIFS(Movimientos!$K$1:$K$806,Movimientos!$C$1:$C$806,"YWC Capital",Movimientos!$B$1:$B$806,"&lt;="&amp;$B58)</f>
        <v>2237.77</v>
      </c>
      <c r="M58" s="24">
        <f>SUMIFS('Saldos Iniciales'!$D:$D,'Saldos Iniciales'!$A:$A,"Soweto")+SUMIFS(Movimientos!$K$1:$K$806,Movimientos!$C$1:$C$806,"Soweto",Movimientos!$B$1:$B$806,"&lt;="&amp;$B58)</f>
        <v>3349.94</v>
      </c>
      <c r="N58" s="24">
        <f>SUMIFS('Saldos Iniciales'!$D:$D,'Saldos Iniciales'!$A:$A,"Green Stone Trust")+SUMIFS(Movimientos!$K$1:$K$806,Movimientos!$C$1:$C$806,"Green Stone Trust",Movimientos!$B$1:$B$806,"&lt;="&amp;$B58)</f>
        <v>1968.99</v>
      </c>
      <c r="O58" s="24">
        <f>SUMIFS('Saldos Iniciales'!$D:$D,'Saldos Iniciales'!$A:$A,"EC Auto")+SUMIFS(Movimientos!$K$1:$K$806,Movimientos!$C$1:$C$806,"EC Auto",Movimientos!$B$1:$B$806,"&lt;="&amp;$B58)</f>
        <v>382.69000000000005</v>
      </c>
      <c r="P58" s="24">
        <f>SUMIFS('Saldos Iniciales'!$D:$D,'Saldos Iniciales'!$A:$A,"Arbor Capital Properties")+SUMIFS(Movimientos!$K$1:$K$806,Movimientos!$C$1:$C$806,"Arbor Capital Properties",Movimientos!$B$1:$B$806,"&lt;="&amp;$B58)</f>
        <v>1428.08</v>
      </c>
      <c r="Q58" s="24">
        <f>SUMIFS('Saldos Iniciales'!$D:$D,'Saldos Iniciales'!$A:$A,"2515 Overbrook")+SUMIFS(Movimientos!$K$1:$K$806,Movimientos!$C$1:$C$806,"2515 Overbrook",Movimientos!$B$1:$B$806,"&lt;="&amp;$B58)</f>
        <v>31039.969999999961</v>
      </c>
      <c r="R58" s="24">
        <f>SUMIFS('Saldos Iniciales'!$D:$D,'Saldos Iniciales'!$A:$A,"112 Florida Ave")+SUMIFS(Movimientos!$K$1:$K$806,Movimientos!$C$1:$C$806,"112 Florida Ave",Movimientos!$B$1:$B$806,"&lt;="&amp;$B58)</f>
        <v>20321.43</v>
      </c>
      <c r="S58" s="24">
        <f>SUMIFS('Saldos Iniciales'!$D:$D,'Saldos Iniciales'!$A:$A,"3628 Thomas Ave")+SUMIFS(Movimientos!$K$1:$K$806,Movimientos!$C$1:$C$806,"3628 Thomas Ave",Movimientos!$B$1:$B$806,"&lt;="&amp;$B58)</f>
        <v>28458.6</v>
      </c>
      <c r="T58" s="24">
        <f>SUMIFS('Saldos Iniciales'!$D:$D,'Saldos Iniciales'!$A:$A,"Green Harbor Trust")+SUMIFS(Movimientos!$K$1:$K$806,Movimientos!$C$1:$C$806,"Green Harbor Trust",Movimientos!$B$1:$B$806,"&lt;="&amp;$B58)</f>
        <v>345</v>
      </c>
      <c r="U58" s="24">
        <f>SUMIFS('Saldos Iniciales'!$D:$D,'Saldos Iniciales'!$A:$A,"Go Blue")+SUMIFS(Movimientos!$K$1:$K$806,Movimientos!$C$1:$C$806,"Go Blue",Movimientos!$B$1:$B$806,"&lt;="&amp;$B58)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Group")+SUMIFS(Movimientos!$K$1:$K$806,Movimientos!$C$1:$C$806,"CFT Group",Movimientos!$B$1:$B$806,"&lt;="&amp;$B59)</f>
        <v>6288055.7100000009</v>
      </c>
      <c r="D59" s="24">
        <f>SUMIFS('Saldos Iniciales'!$D:$D,'Saldos Iniciales'!$A:$A,"M1B")+SUMIFS(Movimientos!$K$1:$K$806,Movimientos!$C$1:$C$806,"M1B",Movimientos!$B$1:$B$806,"&lt;="&amp;$B59)</f>
        <v>72386.190000000177</v>
      </c>
      <c r="E59" s="24">
        <f>SUMIFS('Saldos Iniciales'!$D:$D,'Saldos Iniciales'!$A:$A,"Durand")+SUMIFS(Movimientos!$K$1:$K$806,Movimientos!$C$1:$C$806,"Durand",Movimientos!$B$1:$B$806,"&lt;="&amp;$B59)</f>
        <v>1669.89</v>
      </c>
      <c r="F59" s="24">
        <f>SUMIFS('Saldos Iniciales'!$D:$D,'Saldos Iniciales'!$A:$A,"A&amp;M Imports")+SUMIFS(Movimientos!$K$1:$K$806,Movimientos!$C$1:$C$806,"A&amp;M Imports",Movimientos!$B$1:$B$806,"&lt;="&amp;$B59)</f>
        <v>472766.72999999986</v>
      </c>
      <c r="G59" s="24">
        <f>SUMIFS('Saldos Iniciales'!$D:$D,'Saldos Iniciales'!$A:$A,"SSP Capital")+SUMIFS(Movimientos!$K$1:$K$806,Movimientos!$C$1:$C$806,"SSP Capital",Movimientos!$B$1:$B$806,"&lt;="&amp;$B59)</f>
        <v>1932389.7199999993</v>
      </c>
      <c r="H59" s="24">
        <f>SUMIFS('Saldos Iniciales'!$D:$D,'Saldos Iniciales'!$A:$A,"Cross Family Trust")+SUMIFS(Movimientos!$K$1:$K$806,Movimientos!$C$1:$C$806,"Cross Family Trust",Movimientos!$B$1:$B$806,"&lt;="&amp;$B59)</f>
        <v>1396496.38</v>
      </c>
      <c r="I59" s="24">
        <f>SUMIFS('Saldos Iniciales'!$D:$D,'Saldos Iniciales'!$A:$A,"Cross Security Trust")+SUMIFS(Movimientos!$K$1:$K$806,Movimientos!$C$1:$C$806,"Cross Security Trust",Movimientos!$B$1:$B$806,"&lt;="&amp;$B59)</f>
        <v>88090.37</v>
      </c>
      <c r="J59" s="24">
        <f>SUMIFS('Saldos Iniciales'!$D:$D,'Saldos Iniciales'!$A:$A,"Electrama")+SUMIFS(Movimientos!$K$1:$K$806,Movimientos!$C$1:$C$806,"Electrama",Movimientos!$B$1:$B$806,"&lt;="&amp;$B59)</f>
        <v>511.15999999999985</v>
      </c>
      <c r="K59" s="24">
        <f>SUMIFS('Saldos Iniciales'!$D:$D,'Saldos Iniciales'!$A:$A,"Sacred Valley Capital")+SUMIFS(Movimientos!$K$1:$K$806,Movimientos!$C$1:$C$806,"Sacred Valley Capital",Movimientos!$B$1:$B$806,"&lt;="&amp;$B59)</f>
        <v>84.35</v>
      </c>
      <c r="L59" s="24">
        <f>SUMIFS('Saldos Iniciales'!$D:$D,'Saldos Iniciales'!$A:$A,"YWC Capital")+SUMIFS(Movimientos!$K$1:$K$806,Movimientos!$C$1:$C$806,"YWC Capital",Movimientos!$B$1:$B$806,"&lt;="&amp;$B59)</f>
        <v>2237.77</v>
      </c>
      <c r="M59" s="24">
        <f>SUMIFS('Saldos Iniciales'!$D:$D,'Saldos Iniciales'!$A:$A,"Soweto")+SUMIFS(Movimientos!$K$1:$K$806,Movimientos!$C$1:$C$806,"Soweto",Movimientos!$B$1:$B$806,"&lt;="&amp;$B59)</f>
        <v>3349.94</v>
      </c>
      <c r="N59" s="24">
        <f>SUMIFS('Saldos Iniciales'!$D:$D,'Saldos Iniciales'!$A:$A,"Green Stone Trust")+SUMIFS(Movimientos!$K$1:$K$806,Movimientos!$C$1:$C$806,"Green Stone Trust",Movimientos!$B$1:$B$806,"&lt;="&amp;$B59)</f>
        <v>1968.99</v>
      </c>
      <c r="O59" s="24">
        <f>SUMIFS('Saldos Iniciales'!$D:$D,'Saldos Iniciales'!$A:$A,"EC Auto")+SUMIFS(Movimientos!$K$1:$K$806,Movimientos!$C$1:$C$806,"EC Auto",Movimientos!$B$1:$B$806,"&lt;="&amp;$B59)</f>
        <v>382.69000000000005</v>
      </c>
      <c r="P59" s="24">
        <f>SUMIFS('Saldos Iniciales'!$D:$D,'Saldos Iniciales'!$A:$A,"Arbor Capital Properties")+SUMIFS(Movimientos!$K$1:$K$806,Movimientos!$C$1:$C$806,"Arbor Capital Properties",Movimientos!$B$1:$B$806,"&lt;="&amp;$B59)</f>
        <v>1428.08</v>
      </c>
      <c r="Q59" s="24">
        <f>SUMIFS('Saldos Iniciales'!$D:$D,'Saldos Iniciales'!$A:$A,"2515 Overbrook")+SUMIFS(Movimientos!$K$1:$K$806,Movimientos!$C$1:$C$806,"2515 Overbrook",Movimientos!$B$1:$B$806,"&lt;="&amp;$B59)</f>
        <v>31039.969999999961</v>
      </c>
      <c r="R59" s="24">
        <f>SUMIFS('Saldos Iniciales'!$D:$D,'Saldos Iniciales'!$A:$A,"112 Florida Ave")+SUMIFS(Movimientos!$K$1:$K$806,Movimientos!$C$1:$C$806,"112 Florida Ave",Movimientos!$B$1:$B$806,"&lt;="&amp;$B59)</f>
        <v>20321.43</v>
      </c>
      <c r="S59" s="24">
        <f>SUMIFS('Saldos Iniciales'!$D:$D,'Saldos Iniciales'!$A:$A,"3628 Thomas Ave")+SUMIFS(Movimientos!$K$1:$K$806,Movimientos!$C$1:$C$806,"3628 Thomas Ave",Movimientos!$B$1:$B$806,"&lt;="&amp;$B59)</f>
        <v>28458.6</v>
      </c>
      <c r="T59" s="24">
        <f>SUMIFS('Saldos Iniciales'!$D:$D,'Saldos Iniciales'!$A:$A,"Green Harbor Trust")+SUMIFS(Movimientos!$K$1:$K$806,Movimientos!$C$1:$C$806,"Green Harbor Trust",Movimientos!$B$1:$B$806,"&lt;="&amp;$B59)</f>
        <v>345</v>
      </c>
      <c r="U59" s="24">
        <f>SUMIFS('Saldos Iniciales'!$D:$D,'Saldos Iniciales'!$A:$A,"Go Blue")+SUMIFS(Movimientos!$K$1:$K$806,Movimientos!$C$1:$C$806,"Go Blue",Movimientos!$B$1:$B$806,"&lt;="&amp;$B59)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3" si="12">+A59+1</f>
        <v>59</v>
      </c>
      <c r="B60" s="23">
        <v>46201</v>
      </c>
      <c r="C60" s="24">
        <f>SUMIFS('Saldos Iniciales'!$D:$D,'Saldos Iniciales'!$A:$A,"CFT Group")+SUMIFS(Movimientos!$K$1:$K$806,Movimientos!$C$1:$C$806,"CFT Group",Movimientos!$B$1:$B$806,"&lt;="&amp;$B60)</f>
        <v>6288055.7100000009</v>
      </c>
      <c r="D60" s="24">
        <f>SUMIFS('Saldos Iniciales'!$D:$D,'Saldos Iniciales'!$A:$A,"M1B")+SUMIFS(Movimientos!$K$1:$K$806,Movimientos!$C$1:$C$806,"M1B",Movimientos!$B$1:$B$806,"&lt;="&amp;$B60)</f>
        <v>72386.190000000177</v>
      </c>
      <c r="E60" s="24">
        <f>SUMIFS('Saldos Iniciales'!$D:$D,'Saldos Iniciales'!$A:$A,"Durand")+SUMIFS(Movimientos!$K$1:$K$806,Movimientos!$C$1:$C$806,"Durand",Movimientos!$B$1:$B$806,"&lt;="&amp;$B60)</f>
        <v>1669.89</v>
      </c>
      <c r="F60" s="24">
        <f>SUMIFS('Saldos Iniciales'!$D:$D,'Saldos Iniciales'!$A:$A,"A&amp;M Imports")+SUMIFS(Movimientos!$K$1:$K$806,Movimientos!$C$1:$C$806,"A&amp;M Imports",Movimientos!$B$1:$B$806,"&lt;="&amp;$B60)</f>
        <v>472766.72999999986</v>
      </c>
      <c r="G60" s="24">
        <f>SUMIFS('Saldos Iniciales'!$D:$D,'Saldos Iniciales'!$A:$A,"SSP Capital")+SUMIFS(Movimientos!$K$1:$K$806,Movimientos!$C$1:$C$806,"SSP Capital",Movimientos!$B$1:$B$806,"&lt;="&amp;$B60)</f>
        <v>1932389.7199999993</v>
      </c>
      <c r="H60" s="24">
        <f>SUMIFS('Saldos Iniciales'!$D:$D,'Saldos Iniciales'!$A:$A,"Cross Family Trust")+SUMIFS(Movimientos!$K$1:$K$806,Movimientos!$C$1:$C$806,"Cross Family Trust",Movimientos!$B$1:$B$806,"&lt;="&amp;$B60)</f>
        <v>1396496.38</v>
      </c>
      <c r="I60" s="24">
        <f>SUMIFS('Saldos Iniciales'!$D:$D,'Saldos Iniciales'!$A:$A,"Cross Security Trust")+SUMIFS(Movimientos!$K$1:$K$806,Movimientos!$C$1:$C$806,"Cross Security Trust",Movimientos!$B$1:$B$806,"&lt;="&amp;$B60)</f>
        <v>88090.37</v>
      </c>
      <c r="J60" s="24">
        <f>SUMIFS('Saldos Iniciales'!$D:$D,'Saldos Iniciales'!$A:$A,"Electrama")+SUMIFS(Movimientos!$K$1:$K$806,Movimientos!$C$1:$C$806,"Electrama",Movimientos!$B$1:$B$806,"&lt;="&amp;$B60)</f>
        <v>511.15999999999985</v>
      </c>
      <c r="K60" s="24">
        <f>SUMIFS('Saldos Iniciales'!$D:$D,'Saldos Iniciales'!$A:$A,"Sacred Valley Capital")+SUMIFS(Movimientos!$K$1:$K$806,Movimientos!$C$1:$C$806,"Sacred Valley Capital",Movimientos!$B$1:$B$806,"&lt;="&amp;$B60)</f>
        <v>84.35</v>
      </c>
      <c r="L60" s="24">
        <f>SUMIFS('Saldos Iniciales'!$D:$D,'Saldos Iniciales'!$A:$A,"YWC Capital")+SUMIFS(Movimientos!$K$1:$K$806,Movimientos!$C$1:$C$806,"YWC Capital",Movimientos!$B$1:$B$806,"&lt;="&amp;$B60)</f>
        <v>2237.77</v>
      </c>
      <c r="M60" s="24">
        <f>SUMIFS('Saldos Iniciales'!$D:$D,'Saldos Iniciales'!$A:$A,"Soweto")+SUMIFS(Movimientos!$K$1:$K$806,Movimientos!$C$1:$C$806,"Soweto",Movimientos!$B$1:$B$806,"&lt;="&amp;$B60)</f>
        <v>3349.94</v>
      </c>
      <c r="N60" s="24">
        <f>SUMIFS('Saldos Iniciales'!$D:$D,'Saldos Iniciales'!$A:$A,"Green Stone Trust")+SUMIFS(Movimientos!$K$1:$K$806,Movimientos!$C$1:$C$806,"Green Stone Trust",Movimientos!$B$1:$B$806,"&lt;="&amp;$B60)</f>
        <v>1968.99</v>
      </c>
      <c r="O60" s="24">
        <f>SUMIFS('Saldos Iniciales'!$D:$D,'Saldos Iniciales'!$A:$A,"EC Auto")+SUMIFS(Movimientos!$K$1:$K$806,Movimientos!$C$1:$C$806,"EC Auto",Movimientos!$B$1:$B$806,"&lt;="&amp;$B60)</f>
        <v>382.69000000000005</v>
      </c>
      <c r="P60" s="24">
        <f>SUMIFS('Saldos Iniciales'!$D:$D,'Saldos Iniciales'!$A:$A,"Arbor Capital Properties")+SUMIFS(Movimientos!$K$1:$K$806,Movimientos!$C$1:$C$806,"Arbor Capital Properties",Movimientos!$B$1:$B$806,"&lt;="&amp;$B60)</f>
        <v>1428.08</v>
      </c>
      <c r="Q60" s="24">
        <f>SUMIFS('Saldos Iniciales'!$D:$D,'Saldos Iniciales'!$A:$A,"2515 Overbrook")+SUMIFS(Movimientos!$K$1:$K$806,Movimientos!$C$1:$C$806,"2515 Overbrook",Movimientos!$B$1:$B$806,"&lt;="&amp;$B60)</f>
        <v>31039.969999999961</v>
      </c>
      <c r="R60" s="24">
        <f>SUMIFS('Saldos Iniciales'!$D:$D,'Saldos Iniciales'!$A:$A,"112 Florida Ave")+SUMIFS(Movimientos!$K$1:$K$806,Movimientos!$C$1:$C$806,"112 Florida Ave",Movimientos!$B$1:$B$806,"&lt;="&amp;$B60)</f>
        <v>20321.43</v>
      </c>
      <c r="S60" s="24">
        <f>SUMIFS('Saldos Iniciales'!$D:$D,'Saldos Iniciales'!$A:$A,"3628 Thomas Ave")+SUMIFS(Movimientos!$K$1:$K$806,Movimientos!$C$1:$C$806,"3628 Thomas Ave",Movimientos!$B$1:$B$806,"&lt;="&amp;$B60)</f>
        <v>28458.6</v>
      </c>
      <c r="T60" s="24">
        <f>SUMIFS('Saldos Iniciales'!$D:$D,'Saldos Iniciales'!$A:$A,"Green Harbor Trust")+SUMIFS(Movimientos!$K$1:$K$806,Movimientos!$C$1:$C$806,"Green Harbor Trust",Movimientos!$B$1:$B$806,"&lt;="&amp;$B60)</f>
        <v>345</v>
      </c>
      <c r="U60" s="24">
        <f>SUMIFS('Saldos Iniciales'!$D:$D,'Saldos Iniciales'!$A:$A,"Go Blue")+SUMIFS(Movimientos!$K$1:$K$806,Movimientos!$C$1:$C$806,"Go Blue",Movimientos!$B$1:$B$806,"&lt;="&amp;$B60)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Group")+SUMIFS(Movimientos!$K$1:$K$806,Movimientos!$C$1:$C$806,"CFT Group",Movimientos!$B$1:$B$806,"&lt;="&amp;$B61)</f>
        <v>6299174.8100000015</v>
      </c>
      <c r="D61" s="24">
        <f>SUMIFS('Saldos Iniciales'!$D:$D,'Saldos Iniciales'!$A:$A,"M1B")+SUMIFS(Movimientos!$K$1:$K$806,Movimientos!$C$1:$C$806,"M1B",Movimientos!$B$1:$B$806,"&lt;="&amp;$B61)</f>
        <v>72386.190000000177</v>
      </c>
      <c r="E61" s="24">
        <f>SUMIFS('Saldos Iniciales'!$D:$D,'Saldos Iniciales'!$A:$A,"Durand")+SUMIFS(Movimientos!$K$1:$K$806,Movimientos!$C$1:$C$806,"Durand",Movimientos!$B$1:$B$806,"&lt;="&amp;$B61)</f>
        <v>1669.89</v>
      </c>
      <c r="F61" s="24">
        <f>SUMIFS('Saldos Iniciales'!$D:$D,'Saldos Iniciales'!$A:$A,"A&amp;M Imports")+SUMIFS(Movimientos!$K$1:$K$806,Movimientos!$C$1:$C$806,"A&amp;M Imports",Movimientos!$B$1:$B$806,"&lt;="&amp;$B61)</f>
        <v>489745.62999999989</v>
      </c>
      <c r="G61" s="24">
        <f>SUMIFS('Saldos Iniciales'!$D:$D,'Saldos Iniciales'!$A:$A,"SSP Capital")+SUMIFS(Movimientos!$K$1:$K$806,Movimientos!$C$1:$C$806,"SSP Capital",Movimientos!$B$1:$B$806,"&lt;="&amp;$B61)</f>
        <v>1768167.9199999995</v>
      </c>
      <c r="H61" s="24">
        <f>SUMIFS('Saldos Iniciales'!$D:$D,'Saldos Iniciales'!$A:$A,"Cross Family Trust")+SUMIFS(Movimientos!$K$1:$K$806,Movimientos!$C$1:$C$806,"Cross Family Trust",Movimientos!$B$1:$B$806,"&lt;="&amp;$B61)</f>
        <v>396496.38</v>
      </c>
      <c r="I61" s="24">
        <f>SUMIFS('Saldos Iniciales'!$D:$D,'Saldos Iniciales'!$A:$A,"Cross Security Trust")+SUMIFS(Movimientos!$K$1:$K$806,Movimientos!$C$1:$C$806,"Cross Security Trust",Movimientos!$B$1:$B$806,"&lt;="&amp;$B61)</f>
        <v>88090.37</v>
      </c>
      <c r="J61" s="24">
        <f>SUMIFS('Saldos Iniciales'!$D:$D,'Saldos Iniciales'!$A:$A,"Electrama")+SUMIFS(Movimientos!$K$1:$K$806,Movimientos!$C$1:$C$806,"Electrama",Movimientos!$B$1:$B$806,"&lt;="&amp;$B61)</f>
        <v>511.15999999999985</v>
      </c>
      <c r="K61" s="24">
        <f>SUMIFS('Saldos Iniciales'!$D:$D,'Saldos Iniciales'!$A:$A,"Sacred Valley Capital")+SUMIFS(Movimientos!$K$1:$K$806,Movimientos!$C$1:$C$806,"Sacred Valley Capital",Movimientos!$B$1:$B$806,"&lt;="&amp;$B61)</f>
        <v>84.35</v>
      </c>
      <c r="L61" s="24">
        <f>SUMIFS('Saldos Iniciales'!$D:$D,'Saldos Iniciales'!$A:$A,"YWC Capital")+SUMIFS(Movimientos!$K$1:$K$806,Movimientos!$C$1:$C$806,"YWC Capital",Movimientos!$B$1:$B$806,"&lt;="&amp;$B61)</f>
        <v>2237.77</v>
      </c>
      <c r="M61" s="24">
        <f>SUMIFS('Saldos Iniciales'!$D:$D,'Saldos Iniciales'!$A:$A,"Soweto")+SUMIFS(Movimientos!$K$1:$K$806,Movimientos!$C$1:$C$806,"Soweto",Movimientos!$B$1:$B$806,"&lt;="&amp;$B61)</f>
        <v>3349.94</v>
      </c>
      <c r="N61" s="24">
        <f>SUMIFS('Saldos Iniciales'!$D:$D,'Saldos Iniciales'!$A:$A,"Green Stone Trust")+SUMIFS(Movimientos!$K$1:$K$806,Movimientos!$C$1:$C$806,"Green Stone Trust",Movimientos!$B$1:$B$806,"&lt;="&amp;$B61)</f>
        <v>1968.99</v>
      </c>
      <c r="O61" s="24">
        <f>SUMIFS('Saldos Iniciales'!$D:$D,'Saldos Iniciales'!$A:$A,"EC Auto")+SUMIFS(Movimientos!$K$1:$K$806,Movimientos!$C$1:$C$806,"EC Auto",Movimientos!$B$1:$B$806,"&lt;="&amp;$B61)</f>
        <v>382.69000000000005</v>
      </c>
      <c r="P61" s="24">
        <f>SUMIFS('Saldos Iniciales'!$D:$D,'Saldos Iniciales'!$A:$A,"Arbor Capital Properties")+SUMIFS(Movimientos!$K$1:$K$806,Movimientos!$C$1:$C$806,"Arbor Capital Properties",Movimientos!$B$1:$B$806,"&lt;="&amp;$B61)</f>
        <v>1428.08</v>
      </c>
      <c r="Q61" s="24">
        <f>SUMIFS('Saldos Iniciales'!$D:$D,'Saldos Iniciales'!$A:$A,"2515 Overbrook")+SUMIFS(Movimientos!$K$1:$K$806,Movimientos!$C$1:$C$806,"2515 Overbrook",Movimientos!$B$1:$B$806,"&lt;="&amp;$B61)</f>
        <v>31039.969999999961</v>
      </c>
      <c r="R61" s="24">
        <f>SUMIFS('Saldos Iniciales'!$D:$D,'Saldos Iniciales'!$A:$A,"112 Florida Ave")+SUMIFS(Movimientos!$K$1:$K$806,Movimientos!$C$1:$C$806,"112 Florida Ave",Movimientos!$B$1:$B$806,"&lt;="&amp;$B61)</f>
        <v>20321.43</v>
      </c>
      <c r="S61" s="24">
        <f>SUMIFS('Saldos Iniciales'!$D:$D,'Saldos Iniciales'!$A:$A,"3628 Thomas Ave")+SUMIFS(Movimientos!$K$1:$K$806,Movimientos!$C$1:$C$806,"3628 Thomas Ave",Movimientos!$B$1:$B$806,"&lt;="&amp;$B61)</f>
        <v>28458.6</v>
      </c>
      <c r="T61" s="24">
        <f>SUMIFS('Saldos Iniciales'!$D:$D,'Saldos Iniciales'!$A:$A,"Green Harbor Trust")+SUMIFS(Movimientos!$K$1:$K$806,Movimientos!$C$1:$C$806,"Green Harbor Trust",Movimientos!$B$1:$B$806,"&lt;="&amp;$B61)</f>
        <v>345</v>
      </c>
      <c r="U61" s="24">
        <f>SUMIFS('Saldos Iniciales'!$D:$D,'Saldos Iniciales'!$A:$A,"Go Blue")+SUMIFS(Movimientos!$K$1:$K$806,Movimientos!$C$1:$C$806,"Go Blue",Movimientos!$B$1:$B$806,"&lt;="&amp;$B61)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Group")+SUMIFS(Movimientos!$K$1:$K$806,Movimientos!$C$1:$C$806,"CFT Group",Movimientos!$B$1:$B$806,"&lt;="&amp;$B62)</f>
        <v>6295585.7500000009</v>
      </c>
      <c r="D62" s="24">
        <f>SUMIFS('Saldos Iniciales'!$D:$D,'Saldos Iniciales'!$A:$A,"M1B")+SUMIFS(Movimientos!$K$1:$K$806,Movimientos!$C$1:$C$806,"M1B",Movimientos!$B$1:$B$806,"&lt;="&amp;$B62)</f>
        <v>79139.680000000168</v>
      </c>
      <c r="E62" s="24">
        <f>SUMIFS('Saldos Iniciales'!$D:$D,'Saldos Iniciales'!$A:$A,"Durand")+SUMIFS(Movimientos!$K$1:$K$806,Movimientos!$C$1:$C$806,"Durand",Movimientos!$B$1:$B$806,"&lt;="&amp;$B62)</f>
        <v>1669.89</v>
      </c>
      <c r="F62" s="24">
        <f>SUMIFS('Saldos Iniciales'!$D:$D,'Saldos Iniciales'!$A:$A,"A&amp;M Imports")+SUMIFS(Movimientos!$K$1:$K$806,Movimientos!$C$1:$C$806,"A&amp;M Imports",Movimientos!$B$1:$B$806,"&lt;="&amp;$B62)</f>
        <v>489745.62999999989</v>
      </c>
      <c r="G62" s="24">
        <f>SUMIFS('Saldos Iniciales'!$D:$D,'Saldos Iniciales'!$A:$A,"SSP Capital")+SUMIFS(Movimientos!$K$1:$K$806,Movimientos!$C$1:$C$806,"SSP Capital",Movimientos!$B$1:$B$806,"&lt;="&amp;$B62)</f>
        <v>1696284.7299999995</v>
      </c>
      <c r="H62" s="24">
        <f>SUMIFS('Saldos Iniciales'!$D:$D,'Saldos Iniciales'!$A:$A,"Cross Family Trust")+SUMIFS(Movimientos!$K$1:$K$806,Movimientos!$C$1:$C$806,"Cross Family Trust",Movimientos!$B$1:$B$806,"&lt;="&amp;$B62)</f>
        <v>390496.38</v>
      </c>
      <c r="I62" s="24">
        <f>SUMIFS('Saldos Iniciales'!$D:$D,'Saldos Iniciales'!$A:$A,"Cross Security Trust")+SUMIFS(Movimientos!$K$1:$K$806,Movimientos!$C$1:$C$806,"Cross Security Trust",Movimientos!$B$1:$B$806,"&lt;="&amp;$B62)</f>
        <v>88090.37</v>
      </c>
      <c r="J62" s="24">
        <f>SUMIFS('Saldos Iniciales'!$D:$D,'Saldos Iniciales'!$A:$A,"Electrama")+SUMIFS(Movimientos!$K$1:$K$806,Movimientos!$C$1:$C$806,"Electrama",Movimientos!$B$1:$B$806,"&lt;="&amp;$B62)</f>
        <v>511.15999999999985</v>
      </c>
      <c r="K62" s="24">
        <f>SUMIFS('Saldos Iniciales'!$D:$D,'Saldos Iniciales'!$A:$A,"Sacred Valley Capital")+SUMIFS(Movimientos!$K$1:$K$806,Movimientos!$C$1:$C$806,"Sacred Valley Capital",Movimientos!$B$1:$B$806,"&lt;="&amp;$B62)</f>
        <v>84.35</v>
      </c>
      <c r="L62" s="24">
        <f>SUMIFS('Saldos Iniciales'!$D:$D,'Saldos Iniciales'!$A:$A,"YWC Capital")+SUMIFS(Movimientos!$K$1:$K$806,Movimientos!$C$1:$C$806,"YWC Capital",Movimientos!$B$1:$B$806,"&lt;="&amp;$B62)</f>
        <v>2237.77</v>
      </c>
      <c r="M62" s="24">
        <f>SUMIFS('Saldos Iniciales'!$D:$D,'Saldos Iniciales'!$A:$A,"Soweto")+SUMIFS(Movimientos!$K$1:$K$806,Movimientos!$C$1:$C$806,"Soweto",Movimientos!$B$1:$B$806,"&lt;="&amp;$B62)</f>
        <v>3349.94</v>
      </c>
      <c r="N62" s="24">
        <f>SUMIFS('Saldos Iniciales'!$D:$D,'Saldos Iniciales'!$A:$A,"Green Stone Trust")+SUMIFS(Movimientos!$K$1:$K$806,Movimientos!$C$1:$C$806,"Green Stone Trust",Movimientos!$B$1:$B$806,"&lt;="&amp;$B62)</f>
        <v>1968.99</v>
      </c>
      <c r="O62" s="24">
        <f>SUMIFS('Saldos Iniciales'!$D:$D,'Saldos Iniciales'!$A:$A,"EC Auto")+SUMIFS(Movimientos!$K$1:$K$806,Movimientos!$C$1:$C$806,"EC Auto",Movimientos!$B$1:$B$806,"&lt;="&amp;$B62)</f>
        <v>382.69000000000005</v>
      </c>
      <c r="P62" s="24">
        <f>SUMIFS('Saldos Iniciales'!$D:$D,'Saldos Iniciales'!$A:$A,"Arbor Capital Properties")+SUMIFS(Movimientos!$K$1:$K$806,Movimientos!$C$1:$C$806,"Arbor Capital Properties",Movimientos!$B$1:$B$806,"&lt;="&amp;$B62)</f>
        <v>1428.08</v>
      </c>
      <c r="Q62" s="24">
        <f>SUMIFS('Saldos Iniciales'!$D:$D,'Saldos Iniciales'!$A:$A,"2515 Overbrook")+SUMIFS(Movimientos!$K$1:$K$806,Movimientos!$C$1:$C$806,"2515 Overbrook",Movimientos!$B$1:$B$806,"&lt;="&amp;$B62)</f>
        <v>31039.969999999961</v>
      </c>
      <c r="R62" s="24">
        <f>SUMIFS('Saldos Iniciales'!$D:$D,'Saldos Iniciales'!$A:$A,"112 Florida Ave")+SUMIFS(Movimientos!$K$1:$K$806,Movimientos!$C$1:$C$806,"112 Florida Ave",Movimientos!$B$1:$B$806,"&lt;="&amp;$B62)</f>
        <v>20321.43</v>
      </c>
      <c r="S62" s="24">
        <f>SUMIFS('Saldos Iniciales'!$D:$D,'Saldos Iniciales'!$A:$A,"3628 Thomas Ave")+SUMIFS(Movimientos!$K$1:$K$806,Movimientos!$C$1:$C$806,"3628 Thomas Ave",Movimientos!$B$1:$B$806,"&lt;="&amp;$B62)</f>
        <v>28458.6</v>
      </c>
      <c r="T62" s="24">
        <f>SUMIFS('Saldos Iniciales'!$D:$D,'Saldos Iniciales'!$A:$A,"Green Harbor Trust")+SUMIFS(Movimientos!$K$1:$K$806,Movimientos!$C$1:$C$806,"Green Harbor Trust",Movimientos!$B$1:$B$806,"&lt;="&amp;$B62)</f>
        <v>345</v>
      </c>
      <c r="U62" s="24">
        <f>SUMIFS('Saldos Iniciales'!$D:$D,'Saldos Iniciales'!$A:$A,"Go Blue")+SUMIFS(Movimientos!$K$1:$K$806,Movimientos!$C$1:$C$806,"Go Blue",Movimientos!$B$1:$B$806,"&lt;="&amp;$B62)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Group")+SUMIFS(Movimientos!$K$1:$K$806,Movimientos!$C$1:$C$806,"CFT Group",Movimientos!$B$1:$B$806,"&lt;="&amp;$B63)</f>
        <v>6295585.7500000009</v>
      </c>
      <c r="D63" s="24">
        <f>SUMIFS('Saldos Iniciales'!$D:$D,'Saldos Iniciales'!$A:$A,"M1B")+SUMIFS(Movimientos!$K$1:$K$806,Movimientos!$C$1:$C$806,"M1B",Movimientos!$B$1:$B$806,"&lt;="&amp;$B63)</f>
        <v>79139.680000000168</v>
      </c>
      <c r="E63" s="24">
        <f>SUMIFS('Saldos Iniciales'!$D:$D,'Saldos Iniciales'!$A:$A,"Durand")+SUMIFS(Movimientos!$K$1:$K$806,Movimientos!$C$1:$C$806,"Durand",Movimientos!$B$1:$B$806,"&lt;="&amp;$B63)</f>
        <v>1669.89</v>
      </c>
      <c r="F63" s="24">
        <f>SUMIFS('Saldos Iniciales'!$D:$D,'Saldos Iniciales'!$A:$A,"A&amp;M Imports")+SUMIFS(Movimientos!$K$1:$K$806,Movimientos!$C$1:$C$806,"A&amp;M Imports",Movimientos!$B$1:$B$806,"&lt;="&amp;$B63)</f>
        <v>507936.37999999989</v>
      </c>
      <c r="G63" s="24">
        <f>SUMIFS('Saldos Iniciales'!$D:$D,'Saldos Iniciales'!$A:$A,"SSP Capital")+SUMIFS(Movimientos!$K$1:$K$806,Movimientos!$C$1:$C$806,"SSP Capital",Movimientos!$B$1:$B$806,"&lt;="&amp;$B63)</f>
        <v>1696284.7299999995</v>
      </c>
      <c r="H63" s="24">
        <f>SUMIFS('Saldos Iniciales'!$D:$D,'Saldos Iniciales'!$A:$A,"Cross Family Trust")+SUMIFS(Movimientos!$K$1:$K$806,Movimientos!$C$1:$C$806,"Cross Family Trust",Movimientos!$B$1:$B$806,"&lt;="&amp;$B63)</f>
        <v>390496.38</v>
      </c>
      <c r="I63" s="24">
        <f>SUMIFS('Saldos Iniciales'!$D:$D,'Saldos Iniciales'!$A:$A,"Cross Security Trust")+SUMIFS(Movimientos!$K$1:$K$806,Movimientos!$C$1:$C$806,"Cross Security Trust",Movimientos!$B$1:$B$806,"&lt;="&amp;$B63)</f>
        <v>88090.37</v>
      </c>
      <c r="J63" s="24">
        <f>SUMIFS('Saldos Iniciales'!$D:$D,'Saldos Iniciales'!$A:$A,"Electrama")+SUMIFS(Movimientos!$K$1:$K$806,Movimientos!$C$1:$C$806,"Electrama",Movimientos!$B$1:$B$806,"&lt;="&amp;$B63)</f>
        <v>511.15999999999985</v>
      </c>
      <c r="K63" s="24">
        <f>SUMIFS('Saldos Iniciales'!$D:$D,'Saldos Iniciales'!$A:$A,"Sacred Valley Capital")+SUMIFS(Movimientos!$K$1:$K$806,Movimientos!$C$1:$C$806,"Sacred Valley Capital",Movimientos!$B$1:$B$806,"&lt;="&amp;$B63)</f>
        <v>54.400000000000006</v>
      </c>
      <c r="L63" s="24">
        <f>SUMIFS('Saldos Iniciales'!$D:$D,'Saldos Iniciales'!$A:$A,"YWC Capital")+SUMIFS(Movimientos!$K$1:$K$806,Movimientos!$C$1:$C$806,"YWC Capital",Movimientos!$B$1:$B$806,"&lt;="&amp;$B63)</f>
        <v>2207.8200000000002</v>
      </c>
      <c r="M63" s="24">
        <f>SUMIFS('Saldos Iniciales'!$D:$D,'Saldos Iniciales'!$A:$A,"Soweto")+SUMIFS(Movimientos!$K$1:$K$806,Movimientos!$C$1:$C$806,"Soweto",Movimientos!$B$1:$B$806,"&lt;="&amp;$B63)</f>
        <v>3349.94</v>
      </c>
      <c r="N63" s="24">
        <f>SUMIFS('Saldos Iniciales'!$D:$D,'Saldos Iniciales'!$A:$A,"Green Stone Trust")+SUMIFS(Movimientos!$K$1:$K$806,Movimientos!$C$1:$C$806,"Green Stone Trust",Movimientos!$B$1:$B$806,"&lt;="&amp;$B63)</f>
        <v>1968.99</v>
      </c>
      <c r="O63" s="24">
        <f>SUMIFS('Saldos Iniciales'!$D:$D,'Saldos Iniciales'!$A:$A,"EC Auto")+SUMIFS(Movimientos!$K$1:$K$806,Movimientos!$C$1:$C$806,"EC Auto",Movimientos!$B$1:$B$806,"&lt;="&amp;$B63)</f>
        <v>382.69000000000005</v>
      </c>
      <c r="P63" s="24">
        <f>SUMIFS('Saldos Iniciales'!$D:$D,'Saldos Iniciales'!$A:$A,"Arbor Capital Properties")+SUMIFS(Movimientos!$K$1:$K$806,Movimientos!$C$1:$C$806,"Arbor Capital Properties",Movimientos!$B$1:$B$806,"&lt;="&amp;$B63)</f>
        <v>1412.08</v>
      </c>
      <c r="Q63" s="24">
        <f>SUMIFS('Saldos Iniciales'!$D:$D,'Saldos Iniciales'!$A:$A,"2515 Overbrook")+SUMIFS(Movimientos!$K$1:$K$806,Movimientos!$C$1:$C$806,"2515 Overbrook",Movimientos!$B$1:$B$806,"&lt;="&amp;$B63)</f>
        <v>22496.639999999959</v>
      </c>
      <c r="R63" s="24">
        <f>SUMIFS('Saldos Iniciales'!$D:$D,'Saldos Iniciales'!$A:$A,"112 Florida Ave")+SUMIFS(Movimientos!$K$1:$K$806,Movimientos!$C$1:$C$806,"112 Florida Ave",Movimientos!$B$1:$B$806,"&lt;="&amp;$B63)</f>
        <v>10522.800000000003</v>
      </c>
      <c r="S63" s="24">
        <f>SUMIFS('Saldos Iniciales'!$D:$D,'Saldos Iniciales'!$A:$A,"3628 Thomas Ave")+SUMIFS(Movimientos!$K$1:$K$806,Movimientos!$C$1:$C$806,"3628 Thomas Ave",Movimientos!$B$1:$B$806,"&lt;="&amp;$B63)</f>
        <v>19685.559999999998</v>
      </c>
      <c r="T63" s="24">
        <f>SUMIFS('Saldos Iniciales'!$D:$D,'Saldos Iniciales'!$A:$A,"Green Harbor Trust")+SUMIFS(Movimientos!$K$1:$K$806,Movimientos!$C$1:$C$806,"Green Harbor Trust",Movimientos!$B$1:$B$806,"&lt;="&amp;$B63)</f>
        <v>345</v>
      </c>
      <c r="U63" s="24">
        <f>SUMIFS('Saldos Iniciales'!$D:$D,'Saldos Iniciales'!$A:$A,"Go Blue")+SUMIFS(Movimientos!$K$1:$K$806,Movimientos!$C$1:$C$806,"Go Blue",Movimientos!$B$1:$B$806,"&lt;="&amp;$B63)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Group")+SUMIFS(Movimientos!$K$1:$K$806,Movimientos!$C$1:$C$806,"CFT Group",Movimientos!$B$1:$B$806,"&lt;="&amp;$B64)</f>
        <v>5592585.7500000009</v>
      </c>
      <c r="D64" s="24">
        <f>SUMIFS('Saldos Iniciales'!$D:$D,'Saldos Iniciales'!$A:$A,"M1B")+SUMIFS(Movimientos!$K$1:$K$806,Movimientos!$C$1:$C$806,"M1B",Movimientos!$B$1:$B$806,"&lt;="&amp;$B64)</f>
        <v>79139.680000000168</v>
      </c>
      <c r="E64" s="24">
        <f>SUMIFS('Saldos Iniciales'!$D:$D,'Saldos Iniciales'!$A:$A,"Durand")+SUMIFS(Movimientos!$K$1:$K$806,Movimientos!$C$1:$C$806,"Durand",Movimientos!$B$1:$B$806,"&lt;="&amp;$B64)</f>
        <v>1669.89</v>
      </c>
      <c r="F64" s="24">
        <f>SUMIFS('Saldos Iniciales'!$D:$D,'Saldos Iniciales'!$A:$A,"A&amp;M Imports")+SUMIFS(Movimientos!$K$1:$K$806,Movimientos!$C$1:$C$806,"A&amp;M Imports",Movimientos!$B$1:$B$806,"&lt;="&amp;$B64)</f>
        <v>350475.62999999989</v>
      </c>
      <c r="G64" s="24">
        <f>SUMIFS('Saldos Iniciales'!$D:$D,'Saldos Iniciales'!$A:$A,"SSP Capital")+SUMIFS(Movimientos!$K$1:$K$806,Movimientos!$C$1:$C$806,"SSP Capital",Movimientos!$B$1:$B$806,"&lt;="&amp;$B64)</f>
        <v>1761564.8799999994</v>
      </c>
      <c r="H64" s="24">
        <f>SUMIFS('Saldos Iniciales'!$D:$D,'Saldos Iniciales'!$A:$A,"Cross Family Trust")+SUMIFS(Movimientos!$K$1:$K$806,Movimientos!$C$1:$C$806,"Cross Family Trust",Movimientos!$B$1:$B$806,"&lt;="&amp;$B64)</f>
        <v>220496.38</v>
      </c>
      <c r="I64" s="24">
        <f>SUMIFS('Saldos Iniciales'!$D:$D,'Saldos Iniciales'!$A:$A,"Cross Security Trust")+SUMIFS(Movimientos!$K$1:$K$806,Movimientos!$C$1:$C$806,"Cross Security Trust",Movimientos!$B$1:$B$806,"&lt;="&amp;$B64)</f>
        <v>88090.37</v>
      </c>
      <c r="J64" s="24">
        <f>SUMIFS('Saldos Iniciales'!$D:$D,'Saldos Iniciales'!$A:$A,"Electrama")+SUMIFS(Movimientos!$K$1:$K$806,Movimientos!$C$1:$C$806,"Electrama",Movimientos!$B$1:$B$806,"&lt;="&amp;$B64)</f>
        <v>511.15999999999985</v>
      </c>
      <c r="K64" s="24">
        <f>SUMIFS('Saldos Iniciales'!$D:$D,'Saldos Iniciales'!$A:$A,"Sacred Valley Capital")+SUMIFS(Movimientos!$K$1:$K$806,Movimientos!$C$1:$C$806,"Sacred Valley Capital",Movimientos!$B$1:$B$806,"&lt;="&amp;$B64)</f>
        <v>54.400000000000006</v>
      </c>
      <c r="L64" s="24">
        <f>SUMIFS('Saldos Iniciales'!$D:$D,'Saldos Iniciales'!$A:$A,"YWC Capital")+SUMIFS(Movimientos!$K$1:$K$806,Movimientos!$C$1:$C$806,"YWC Capital",Movimientos!$B$1:$B$806,"&lt;="&amp;$B64)</f>
        <v>2207.8200000000002</v>
      </c>
      <c r="M64" s="24">
        <f>SUMIFS('Saldos Iniciales'!$D:$D,'Saldos Iniciales'!$A:$A,"Soweto")+SUMIFS(Movimientos!$K$1:$K$806,Movimientos!$C$1:$C$806,"Soweto",Movimientos!$B$1:$B$806,"&lt;="&amp;$B64)</f>
        <v>3349.94</v>
      </c>
      <c r="N64" s="24">
        <f>SUMIFS('Saldos Iniciales'!$D:$D,'Saldos Iniciales'!$A:$A,"Green Stone Trust")+SUMIFS(Movimientos!$K$1:$K$806,Movimientos!$C$1:$C$806,"Green Stone Trust",Movimientos!$B$1:$B$806,"&lt;="&amp;$B64)</f>
        <v>1968.99</v>
      </c>
      <c r="O64" s="24">
        <f>SUMIFS('Saldos Iniciales'!$D:$D,'Saldos Iniciales'!$A:$A,"EC Auto")+SUMIFS(Movimientos!$K$1:$K$806,Movimientos!$C$1:$C$806,"EC Auto",Movimientos!$B$1:$B$806,"&lt;="&amp;$B64)</f>
        <v>382.69000000000005</v>
      </c>
      <c r="P64" s="24">
        <f>SUMIFS('Saldos Iniciales'!$D:$D,'Saldos Iniciales'!$A:$A,"Arbor Capital Properties")+SUMIFS(Movimientos!$K$1:$K$806,Movimientos!$C$1:$C$806,"Arbor Capital Properties",Movimientos!$B$1:$B$806,"&lt;="&amp;$B64)</f>
        <v>1412.08</v>
      </c>
      <c r="Q64" s="24">
        <f>SUMIFS('Saldos Iniciales'!$D:$D,'Saldos Iniciales'!$A:$A,"2515 Overbrook")+SUMIFS(Movimientos!$K$1:$K$806,Movimientos!$C$1:$C$806,"2515 Overbrook",Movimientos!$B$1:$B$806,"&lt;="&amp;$B64)</f>
        <v>22496.639999999959</v>
      </c>
      <c r="R64" s="24">
        <f>SUMIFS('Saldos Iniciales'!$D:$D,'Saldos Iniciales'!$A:$A,"112 Florida Ave")+SUMIFS(Movimientos!$K$1:$K$806,Movimientos!$C$1:$C$806,"112 Florida Ave",Movimientos!$B$1:$B$806,"&lt;="&amp;$B64)</f>
        <v>10522.800000000003</v>
      </c>
      <c r="S64" s="24">
        <f>SUMIFS('Saldos Iniciales'!$D:$D,'Saldos Iniciales'!$A:$A,"3628 Thomas Ave")+SUMIFS(Movimientos!$K$1:$K$806,Movimientos!$C$1:$C$806,"3628 Thomas Ave",Movimientos!$B$1:$B$806,"&lt;="&amp;$B64)</f>
        <v>24085.559999999998</v>
      </c>
      <c r="T64" s="24">
        <f>SUMIFS('Saldos Iniciales'!$D:$D,'Saldos Iniciales'!$A:$A,"Green Harbor Trust")+SUMIFS(Movimientos!$K$1:$K$806,Movimientos!$C$1:$C$806,"Green Harbor Trust",Movimientos!$B$1:$B$806,"&lt;="&amp;$B64)</f>
        <v>345</v>
      </c>
      <c r="U64" s="24">
        <f>SUMIFS('Saldos Iniciales'!$D:$D,'Saldos Iniciales'!$A:$A,"Go Blue")+SUMIFS(Movimientos!$K$1:$K$806,Movimientos!$C$1:$C$806,"Go Blue",Movimientos!$B$1:$B$806,"&lt;="&amp;$B64)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Group")+SUMIFS(Movimientos!$K$1:$K$806,Movimientos!$C$1:$C$806,"CFT Group",Movimientos!$B$1:$B$806,"&lt;="&amp;$B65)</f>
        <v>5592585.7500000009</v>
      </c>
      <c r="D65" s="24">
        <f>SUMIFS('Saldos Iniciales'!$D:$D,'Saldos Iniciales'!$A:$A,"M1B")+SUMIFS(Movimientos!$K$1:$K$806,Movimientos!$C$1:$C$806,"M1B",Movimientos!$B$1:$B$806,"&lt;="&amp;$B65)</f>
        <v>79139.680000000168</v>
      </c>
      <c r="E65" s="24">
        <f>SUMIFS('Saldos Iniciales'!$D:$D,'Saldos Iniciales'!$A:$A,"Durand")+SUMIFS(Movimientos!$K$1:$K$806,Movimientos!$C$1:$C$806,"Durand",Movimientos!$B$1:$B$806,"&lt;="&amp;$B65)</f>
        <v>1669.89</v>
      </c>
      <c r="F65" s="24">
        <f>SUMIFS('Saldos Iniciales'!$D:$D,'Saldos Iniciales'!$A:$A,"A&amp;M Imports")+SUMIFS(Movimientos!$K$1:$K$806,Movimientos!$C$1:$C$806,"A&amp;M Imports",Movimientos!$B$1:$B$806,"&lt;="&amp;$B65)</f>
        <v>350475.62999999989</v>
      </c>
      <c r="G65" s="24">
        <f>SUMIFS('Saldos Iniciales'!$D:$D,'Saldos Iniciales'!$A:$A,"SSP Capital")+SUMIFS(Movimientos!$K$1:$K$806,Movimientos!$C$1:$C$806,"SSP Capital",Movimientos!$B$1:$B$806,"&lt;="&amp;$B65)</f>
        <v>1761564.8799999994</v>
      </c>
      <c r="H65" s="24">
        <f>SUMIFS('Saldos Iniciales'!$D:$D,'Saldos Iniciales'!$A:$A,"Cross Family Trust")+SUMIFS(Movimientos!$K$1:$K$806,Movimientos!$C$1:$C$806,"Cross Family Trust",Movimientos!$B$1:$B$806,"&lt;="&amp;$B65)</f>
        <v>220496.38</v>
      </c>
      <c r="I65" s="24">
        <f>SUMIFS('Saldos Iniciales'!$D:$D,'Saldos Iniciales'!$A:$A,"Cross Security Trust")+SUMIFS(Movimientos!$K$1:$K$806,Movimientos!$C$1:$C$806,"Cross Security Trust",Movimientos!$B$1:$B$806,"&lt;="&amp;$B65)</f>
        <v>88090.37</v>
      </c>
      <c r="J65" s="24">
        <f>SUMIFS('Saldos Iniciales'!$D:$D,'Saldos Iniciales'!$A:$A,"Electrama")+SUMIFS(Movimientos!$K$1:$K$806,Movimientos!$C$1:$C$806,"Electrama",Movimientos!$B$1:$B$806,"&lt;="&amp;$B65)</f>
        <v>471.15999999999985</v>
      </c>
      <c r="K65" s="24">
        <f>SUMIFS('Saldos Iniciales'!$D:$D,'Saldos Iniciales'!$A:$A,"Sacred Valley Capital")+SUMIFS(Movimientos!$K$1:$K$806,Movimientos!$C$1:$C$806,"Sacred Valley Capital",Movimientos!$B$1:$B$806,"&lt;="&amp;$B65)</f>
        <v>54.400000000000006</v>
      </c>
      <c r="L65" s="24">
        <f>SUMIFS('Saldos Iniciales'!$D:$D,'Saldos Iniciales'!$A:$A,"YWC Capital")+SUMIFS(Movimientos!$K$1:$K$806,Movimientos!$C$1:$C$806,"YWC Capital",Movimientos!$B$1:$B$806,"&lt;="&amp;$B65)</f>
        <v>2207.8200000000002</v>
      </c>
      <c r="M65" s="24">
        <f>SUMIFS('Saldos Iniciales'!$D:$D,'Saldos Iniciales'!$A:$A,"Soweto")+SUMIFS(Movimientos!$K$1:$K$806,Movimientos!$C$1:$C$806,"Soweto",Movimientos!$B$1:$B$806,"&lt;="&amp;$B65)</f>
        <v>3349.94</v>
      </c>
      <c r="N65" s="24">
        <f>SUMIFS('Saldos Iniciales'!$D:$D,'Saldos Iniciales'!$A:$A,"Green Stone Trust")+SUMIFS(Movimientos!$K$1:$K$806,Movimientos!$C$1:$C$806,"Green Stone Trust",Movimientos!$B$1:$B$806,"&lt;="&amp;$B65)</f>
        <v>1968.99</v>
      </c>
      <c r="O65" s="24">
        <f>SUMIFS('Saldos Iniciales'!$D:$D,'Saldos Iniciales'!$A:$A,"EC Auto")+SUMIFS(Movimientos!$K$1:$K$806,Movimientos!$C$1:$C$806,"EC Auto",Movimientos!$B$1:$B$806,"&lt;="&amp;$B65)</f>
        <v>382.69000000000005</v>
      </c>
      <c r="P65" s="24">
        <f>SUMIFS('Saldos Iniciales'!$D:$D,'Saldos Iniciales'!$A:$A,"Arbor Capital Properties")+SUMIFS(Movimientos!$K$1:$K$806,Movimientos!$C$1:$C$806,"Arbor Capital Properties",Movimientos!$B$1:$B$806,"&lt;="&amp;$B65)</f>
        <v>1412.08</v>
      </c>
      <c r="Q65" s="24">
        <f>SUMIFS('Saldos Iniciales'!$D:$D,'Saldos Iniciales'!$A:$A,"2515 Overbrook")+SUMIFS(Movimientos!$K$1:$K$806,Movimientos!$C$1:$C$806,"2515 Overbrook",Movimientos!$B$1:$B$806,"&lt;="&amp;$B65)</f>
        <v>22496.639999999959</v>
      </c>
      <c r="R65" s="24">
        <f>SUMIFS('Saldos Iniciales'!$D:$D,'Saldos Iniciales'!$A:$A,"112 Florida Ave")+SUMIFS(Movimientos!$K$1:$K$806,Movimientos!$C$1:$C$806,"112 Florida Ave",Movimientos!$B$1:$B$806,"&lt;="&amp;$B65)</f>
        <v>10522.800000000003</v>
      </c>
      <c r="S65" s="24">
        <f>SUMIFS('Saldos Iniciales'!$D:$D,'Saldos Iniciales'!$A:$A,"3628 Thomas Ave")+SUMIFS(Movimientos!$K$1:$K$806,Movimientos!$C$1:$C$806,"3628 Thomas Ave",Movimientos!$B$1:$B$806,"&lt;="&amp;$B65)</f>
        <v>24085.559999999998</v>
      </c>
      <c r="T65" s="24">
        <f>SUMIFS('Saldos Iniciales'!$D:$D,'Saldos Iniciales'!$A:$A,"Green Harbor Trust")+SUMIFS(Movimientos!$K$1:$K$806,Movimientos!$C$1:$C$806,"Green Harbor Trust",Movimientos!$B$1:$B$806,"&lt;="&amp;$B65)</f>
        <v>345</v>
      </c>
      <c r="U65" s="24">
        <f>SUMIFS('Saldos Iniciales'!$D:$D,'Saldos Iniciales'!$A:$A,"Go Blue")+SUMIFS(Movimientos!$K$1:$K$806,Movimientos!$C$1:$C$806,"Go Blue",Movimientos!$B$1:$B$806,"&lt;="&amp;$B65)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Group")+SUMIFS(Movimientos!$K$1:$K$806,Movimientos!$C$1:$C$806,"CFT Group",Movimientos!$B$1:$B$806,"&lt;="&amp;$B66)</f>
        <v>5592585.7500000009</v>
      </c>
      <c r="D66" s="24">
        <f>SUMIFS('Saldos Iniciales'!$D:$D,'Saldos Iniciales'!$A:$A,"M1B")+SUMIFS(Movimientos!$K$1:$K$806,Movimientos!$C$1:$C$806,"M1B",Movimientos!$B$1:$B$806,"&lt;="&amp;$B66)</f>
        <v>79139.680000000168</v>
      </c>
      <c r="E66" s="24">
        <f>SUMIFS('Saldos Iniciales'!$D:$D,'Saldos Iniciales'!$A:$A,"Durand")+SUMIFS(Movimientos!$K$1:$K$806,Movimientos!$C$1:$C$806,"Durand",Movimientos!$B$1:$B$806,"&lt;="&amp;$B66)</f>
        <v>1669.89</v>
      </c>
      <c r="F66" s="24">
        <f>SUMIFS('Saldos Iniciales'!$D:$D,'Saldos Iniciales'!$A:$A,"A&amp;M Imports")+SUMIFS(Movimientos!$K$1:$K$806,Movimientos!$C$1:$C$806,"A&amp;M Imports",Movimientos!$B$1:$B$806,"&lt;="&amp;$B66)</f>
        <v>350475.62999999989</v>
      </c>
      <c r="G66" s="24">
        <f>SUMIFS('Saldos Iniciales'!$D:$D,'Saldos Iniciales'!$A:$A,"SSP Capital")+SUMIFS(Movimientos!$K$1:$K$806,Movimientos!$C$1:$C$806,"SSP Capital",Movimientos!$B$1:$B$806,"&lt;="&amp;$B66)</f>
        <v>1761564.8799999994</v>
      </c>
      <c r="H66" s="24">
        <f>SUMIFS('Saldos Iniciales'!$D:$D,'Saldos Iniciales'!$A:$A,"Cross Family Trust")+SUMIFS(Movimientos!$K$1:$K$806,Movimientos!$C$1:$C$806,"Cross Family Trust",Movimientos!$B$1:$B$806,"&lt;="&amp;$B66)</f>
        <v>220496.38</v>
      </c>
      <c r="I66" s="24">
        <f>SUMIFS('Saldos Iniciales'!$D:$D,'Saldos Iniciales'!$A:$A,"Cross Security Trust")+SUMIFS(Movimientos!$K$1:$K$806,Movimientos!$C$1:$C$806,"Cross Security Trust",Movimientos!$B$1:$B$806,"&lt;="&amp;$B66)</f>
        <v>88090.37</v>
      </c>
      <c r="J66" s="24">
        <f>SUMIFS('Saldos Iniciales'!$D:$D,'Saldos Iniciales'!$A:$A,"Electrama")+SUMIFS(Movimientos!$K$1:$K$806,Movimientos!$C$1:$C$806,"Electrama",Movimientos!$B$1:$B$806,"&lt;="&amp;$B66)</f>
        <v>471.15999999999985</v>
      </c>
      <c r="K66" s="24">
        <f>SUMIFS('Saldos Iniciales'!$D:$D,'Saldos Iniciales'!$A:$A,"Sacred Valley Capital")+SUMIFS(Movimientos!$K$1:$K$806,Movimientos!$C$1:$C$806,"Sacred Valley Capital",Movimientos!$B$1:$B$806,"&lt;="&amp;$B66)</f>
        <v>54.400000000000006</v>
      </c>
      <c r="L66" s="24">
        <f>SUMIFS('Saldos Iniciales'!$D:$D,'Saldos Iniciales'!$A:$A,"YWC Capital")+SUMIFS(Movimientos!$K$1:$K$806,Movimientos!$C$1:$C$806,"YWC Capital",Movimientos!$B$1:$B$806,"&lt;="&amp;$B66)</f>
        <v>2207.8200000000002</v>
      </c>
      <c r="M66" s="24">
        <f>SUMIFS('Saldos Iniciales'!$D:$D,'Saldos Iniciales'!$A:$A,"Soweto")+SUMIFS(Movimientos!$K$1:$K$806,Movimientos!$C$1:$C$806,"Soweto",Movimientos!$B$1:$B$806,"&lt;="&amp;$B66)</f>
        <v>3349.94</v>
      </c>
      <c r="N66" s="24">
        <f>SUMIFS('Saldos Iniciales'!$D:$D,'Saldos Iniciales'!$A:$A,"Green Stone Trust")+SUMIFS(Movimientos!$K$1:$K$806,Movimientos!$C$1:$C$806,"Green Stone Trust",Movimientos!$B$1:$B$806,"&lt;="&amp;$B66)</f>
        <v>1968.99</v>
      </c>
      <c r="O66" s="24">
        <f>SUMIFS('Saldos Iniciales'!$D:$D,'Saldos Iniciales'!$A:$A,"EC Auto")+SUMIFS(Movimientos!$K$1:$K$806,Movimientos!$C$1:$C$806,"EC Auto",Movimientos!$B$1:$B$806,"&lt;="&amp;$B66)</f>
        <v>382.69000000000005</v>
      </c>
      <c r="P66" s="24">
        <f>SUMIFS('Saldos Iniciales'!$D:$D,'Saldos Iniciales'!$A:$A,"Arbor Capital Properties")+SUMIFS(Movimientos!$K$1:$K$806,Movimientos!$C$1:$C$806,"Arbor Capital Properties",Movimientos!$B$1:$B$806,"&lt;="&amp;$B66)</f>
        <v>1412.08</v>
      </c>
      <c r="Q66" s="24">
        <f>SUMIFS('Saldos Iniciales'!$D:$D,'Saldos Iniciales'!$A:$A,"2515 Overbrook")+SUMIFS(Movimientos!$K$1:$K$806,Movimientos!$C$1:$C$806,"2515 Overbrook",Movimientos!$B$1:$B$806,"&lt;="&amp;$B66)</f>
        <v>22496.639999999959</v>
      </c>
      <c r="R66" s="24">
        <f>SUMIFS('Saldos Iniciales'!$D:$D,'Saldos Iniciales'!$A:$A,"112 Florida Ave")+SUMIFS(Movimientos!$K$1:$K$806,Movimientos!$C$1:$C$806,"112 Florida Ave",Movimientos!$B$1:$B$806,"&lt;="&amp;$B66)</f>
        <v>10522.800000000003</v>
      </c>
      <c r="S66" s="24">
        <f>SUMIFS('Saldos Iniciales'!$D:$D,'Saldos Iniciales'!$A:$A,"3628 Thomas Ave")+SUMIFS(Movimientos!$K$1:$K$806,Movimientos!$C$1:$C$806,"3628 Thomas Ave",Movimientos!$B$1:$B$806,"&lt;="&amp;$B66)</f>
        <v>24085.559999999998</v>
      </c>
      <c r="T66" s="24">
        <f>SUMIFS('Saldos Iniciales'!$D:$D,'Saldos Iniciales'!$A:$A,"Green Harbor Trust")+SUMIFS(Movimientos!$K$1:$K$806,Movimientos!$C$1:$C$806,"Green Harbor Trust",Movimientos!$B$1:$B$806,"&lt;="&amp;$B66)</f>
        <v>345</v>
      </c>
      <c r="U66" s="24">
        <f>SUMIFS('Saldos Iniciales'!$D:$D,'Saldos Iniciales'!$A:$A,"Go Blue")+SUMIFS(Movimientos!$K$1:$K$806,Movimientos!$C$1:$C$806,"Go Blue",Movimientos!$B$1:$B$806,"&lt;="&amp;$B66)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Group")+SUMIFS(Movimientos!$K$1:$K$806,Movimientos!$C$1:$C$806,"CFT Group",Movimientos!$B$1:$B$806,"&lt;="&amp;$B67)</f>
        <v>5592585.7500000009</v>
      </c>
      <c r="D67" s="24">
        <f>SUMIFS('Saldos Iniciales'!$D:$D,'Saldos Iniciales'!$A:$A,"M1B")+SUMIFS(Movimientos!$K$1:$K$806,Movimientos!$C$1:$C$806,"M1B",Movimientos!$B$1:$B$806,"&lt;="&amp;$B67)</f>
        <v>79139.680000000168</v>
      </c>
      <c r="E67" s="24">
        <f>SUMIFS('Saldos Iniciales'!$D:$D,'Saldos Iniciales'!$A:$A,"Durand")+SUMIFS(Movimientos!$K$1:$K$806,Movimientos!$C$1:$C$806,"Durand",Movimientos!$B$1:$B$806,"&lt;="&amp;$B67)</f>
        <v>1669.89</v>
      </c>
      <c r="F67" s="24">
        <f>SUMIFS('Saldos Iniciales'!$D:$D,'Saldos Iniciales'!$A:$A,"A&amp;M Imports")+SUMIFS(Movimientos!$K$1:$K$806,Movimientos!$C$1:$C$806,"A&amp;M Imports",Movimientos!$B$1:$B$806,"&lt;="&amp;$B67)</f>
        <v>350475.62999999989</v>
      </c>
      <c r="G67" s="24">
        <f>SUMIFS('Saldos Iniciales'!$D:$D,'Saldos Iniciales'!$A:$A,"SSP Capital")+SUMIFS(Movimientos!$K$1:$K$806,Movimientos!$C$1:$C$806,"SSP Capital",Movimientos!$B$1:$B$806,"&lt;="&amp;$B67)</f>
        <v>1761564.8799999994</v>
      </c>
      <c r="H67" s="24">
        <f>SUMIFS('Saldos Iniciales'!$D:$D,'Saldos Iniciales'!$A:$A,"Cross Family Trust")+SUMIFS(Movimientos!$K$1:$K$806,Movimientos!$C$1:$C$806,"Cross Family Trust",Movimientos!$B$1:$B$806,"&lt;="&amp;$B67)</f>
        <v>220496.38</v>
      </c>
      <c r="I67" s="24">
        <f>SUMIFS('Saldos Iniciales'!$D:$D,'Saldos Iniciales'!$A:$A,"Cross Security Trust")+SUMIFS(Movimientos!$K$1:$K$806,Movimientos!$C$1:$C$806,"Cross Security Trust",Movimientos!$B$1:$B$806,"&lt;="&amp;$B67)</f>
        <v>88090.37</v>
      </c>
      <c r="J67" s="24">
        <f>SUMIFS('Saldos Iniciales'!$D:$D,'Saldos Iniciales'!$A:$A,"Electrama")+SUMIFS(Movimientos!$K$1:$K$806,Movimientos!$C$1:$C$806,"Electrama",Movimientos!$B$1:$B$806,"&lt;="&amp;$B67)</f>
        <v>471.15999999999985</v>
      </c>
      <c r="K67" s="24">
        <f>SUMIFS('Saldos Iniciales'!$D:$D,'Saldos Iniciales'!$A:$A,"Sacred Valley Capital")+SUMIFS(Movimientos!$K$1:$K$806,Movimientos!$C$1:$C$806,"Sacred Valley Capital",Movimientos!$B$1:$B$806,"&lt;="&amp;$B67)</f>
        <v>54.400000000000006</v>
      </c>
      <c r="L67" s="24">
        <f>SUMIFS('Saldos Iniciales'!$D:$D,'Saldos Iniciales'!$A:$A,"YWC Capital")+SUMIFS(Movimientos!$K$1:$K$806,Movimientos!$C$1:$C$806,"YWC Capital",Movimientos!$B$1:$B$806,"&lt;="&amp;$B67)</f>
        <v>2207.8200000000002</v>
      </c>
      <c r="M67" s="24">
        <f>SUMIFS('Saldos Iniciales'!$D:$D,'Saldos Iniciales'!$A:$A,"Soweto")+SUMIFS(Movimientos!$K$1:$K$806,Movimientos!$C$1:$C$806,"Soweto",Movimientos!$B$1:$B$806,"&lt;="&amp;$B67)</f>
        <v>3349.94</v>
      </c>
      <c r="N67" s="24">
        <f>SUMIFS('Saldos Iniciales'!$D:$D,'Saldos Iniciales'!$A:$A,"Green Stone Trust")+SUMIFS(Movimientos!$K$1:$K$806,Movimientos!$C$1:$C$806,"Green Stone Trust",Movimientos!$B$1:$B$806,"&lt;="&amp;$B67)</f>
        <v>1968.99</v>
      </c>
      <c r="O67" s="24">
        <f>SUMIFS('Saldos Iniciales'!$D:$D,'Saldos Iniciales'!$A:$A,"EC Auto")+SUMIFS(Movimientos!$K$1:$K$806,Movimientos!$C$1:$C$806,"EC Auto",Movimientos!$B$1:$B$806,"&lt;="&amp;$B67)</f>
        <v>382.69000000000005</v>
      </c>
      <c r="P67" s="24">
        <f>SUMIFS('Saldos Iniciales'!$D:$D,'Saldos Iniciales'!$A:$A,"Arbor Capital Properties")+SUMIFS(Movimientos!$K$1:$K$806,Movimientos!$C$1:$C$806,"Arbor Capital Properties",Movimientos!$B$1:$B$806,"&lt;="&amp;$B67)</f>
        <v>1412.08</v>
      </c>
      <c r="Q67" s="24">
        <f>SUMIFS('Saldos Iniciales'!$D:$D,'Saldos Iniciales'!$A:$A,"2515 Overbrook")+SUMIFS(Movimientos!$K$1:$K$806,Movimientos!$C$1:$C$806,"2515 Overbrook",Movimientos!$B$1:$B$806,"&lt;="&amp;$B67)</f>
        <v>22496.639999999959</v>
      </c>
      <c r="R67" s="24">
        <f>SUMIFS('Saldos Iniciales'!$D:$D,'Saldos Iniciales'!$A:$A,"112 Florida Ave")+SUMIFS(Movimientos!$K$1:$K$806,Movimientos!$C$1:$C$806,"112 Florida Ave",Movimientos!$B$1:$B$806,"&lt;="&amp;$B67)</f>
        <v>10522.800000000003</v>
      </c>
      <c r="S67" s="24">
        <f>SUMIFS('Saldos Iniciales'!$D:$D,'Saldos Iniciales'!$A:$A,"3628 Thomas Ave")+SUMIFS(Movimientos!$K$1:$K$806,Movimientos!$C$1:$C$806,"3628 Thomas Ave",Movimientos!$B$1:$B$806,"&lt;="&amp;$B67)</f>
        <v>24085.559999999998</v>
      </c>
      <c r="T67" s="24">
        <f>SUMIFS('Saldos Iniciales'!$D:$D,'Saldos Iniciales'!$A:$A,"Green Harbor Trust")+SUMIFS(Movimientos!$K$1:$K$806,Movimientos!$C$1:$C$806,"Green Harbor Trust",Movimientos!$B$1:$B$806,"&lt;="&amp;$B67)</f>
        <v>345</v>
      </c>
      <c r="U67" s="24">
        <f>SUMIFS('Saldos Iniciales'!$D:$D,'Saldos Iniciales'!$A:$A,"Go Blue")+SUMIFS(Movimientos!$K$1:$K$806,Movimientos!$C$1:$C$806,"Go Blue",Movimientos!$B$1:$B$806,"&lt;="&amp;$B67)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Group")+SUMIFS(Movimientos!$K$1:$K$806,Movimientos!$C$1:$C$806,"CFT Group",Movimientos!$B$1:$B$806,"&lt;="&amp;$B68)</f>
        <v>5592585.7500000009</v>
      </c>
      <c r="D68" s="24">
        <f>SUMIFS('Saldos Iniciales'!$D:$D,'Saldos Iniciales'!$A:$A,"M1B")+SUMIFS(Movimientos!$K$1:$K$806,Movimientos!$C$1:$C$806,"M1B",Movimientos!$B$1:$B$806,"&lt;="&amp;$B68)</f>
        <v>79139.680000000168</v>
      </c>
      <c r="E68" s="24">
        <f>SUMIFS('Saldos Iniciales'!$D:$D,'Saldos Iniciales'!$A:$A,"Durand")+SUMIFS(Movimientos!$K$1:$K$806,Movimientos!$C$1:$C$806,"Durand",Movimientos!$B$1:$B$806,"&lt;="&amp;$B68)</f>
        <v>1669.89</v>
      </c>
      <c r="F68" s="24">
        <f>SUMIFS('Saldos Iniciales'!$D:$D,'Saldos Iniciales'!$A:$A,"A&amp;M Imports")+SUMIFS(Movimientos!$K$1:$K$806,Movimientos!$C$1:$C$806,"A&amp;M Imports",Movimientos!$B$1:$B$806,"&lt;="&amp;$B68)</f>
        <v>350475.62999999989</v>
      </c>
      <c r="G68" s="24">
        <f>SUMIFS('Saldos Iniciales'!$D:$D,'Saldos Iniciales'!$A:$A,"SSP Capital")+SUMIFS(Movimientos!$K$1:$K$806,Movimientos!$C$1:$C$806,"SSP Capital",Movimientos!$B$1:$B$806,"&lt;="&amp;$B68)</f>
        <v>1761026.4599999995</v>
      </c>
      <c r="H68" s="24">
        <f>SUMIFS('Saldos Iniciales'!$D:$D,'Saldos Iniciales'!$A:$A,"Cross Family Trust")+SUMIFS(Movimientos!$K$1:$K$806,Movimientos!$C$1:$C$806,"Cross Family Trust",Movimientos!$B$1:$B$806,"&lt;="&amp;$B68)</f>
        <v>220496.38</v>
      </c>
      <c r="I68" s="24">
        <f>SUMIFS('Saldos Iniciales'!$D:$D,'Saldos Iniciales'!$A:$A,"Cross Security Trust")+SUMIFS(Movimientos!$K$1:$K$806,Movimientos!$C$1:$C$806,"Cross Security Trust",Movimientos!$B$1:$B$806,"&lt;="&amp;$B68)</f>
        <v>88090.37</v>
      </c>
      <c r="J68" s="24">
        <f>SUMIFS('Saldos Iniciales'!$D:$D,'Saldos Iniciales'!$A:$A,"Electrama")+SUMIFS(Movimientos!$K$1:$K$806,Movimientos!$C$1:$C$806,"Electrama",Movimientos!$B$1:$B$806,"&lt;="&amp;$B68)</f>
        <v>471.15999999999985</v>
      </c>
      <c r="K68" s="24">
        <f>SUMIFS('Saldos Iniciales'!$D:$D,'Saldos Iniciales'!$A:$A,"Sacred Valley Capital")+SUMIFS(Movimientos!$K$1:$K$806,Movimientos!$C$1:$C$806,"Sacred Valley Capital",Movimientos!$B$1:$B$806,"&lt;="&amp;$B68)</f>
        <v>54.400000000000006</v>
      </c>
      <c r="L68" s="24">
        <f>SUMIFS('Saldos Iniciales'!$D:$D,'Saldos Iniciales'!$A:$A,"YWC Capital")+SUMIFS(Movimientos!$K$1:$K$806,Movimientos!$C$1:$C$806,"YWC Capital",Movimientos!$B$1:$B$806,"&lt;="&amp;$B68)</f>
        <v>2207.8200000000002</v>
      </c>
      <c r="M68" s="24">
        <f>SUMIFS('Saldos Iniciales'!$D:$D,'Saldos Iniciales'!$A:$A,"Soweto")+SUMIFS(Movimientos!$K$1:$K$806,Movimientos!$C$1:$C$806,"Soweto",Movimientos!$B$1:$B$806,"&lt;="&amp;$B68)</f>
        <v>3349.94</v>
      </c>
      <c r="N68" s="24">
        <f>SUMIFS('Saldos Iniciales'!$D:$D,'Saldos Iniciales'!$A:$A,"Green Stone Trust")+SUMIFS(Movimientos!$K$1:$K$806,Movimientos!$C$1:$C$806,"Green Stone Trust",Movimientos!$B$1:$B$806,"&lt;="&amp;$B68)</f>
        <v>1968.99</v>
      </c>
      <c r="O68" s="24">
        <f>SUMIFS('Saldos Iniciales'!$D:$D,'Saldos Iniciales'!$A:$A,"EC Auto")+SUMIFS(Movimientos!$K$1:$K$806,Movimientos!$C$1:$C$806,"EC Auto",Movimientos!$B$1:$B$806,"&lt;="&amp;$B68)</f>
        <v>382.69000000000005</v>
      </c>
      <c r="P68" s="24">
        <f>SUMIFS('Saldos Iniciales'!$D:$D,'Saldos Iniciales'!$A:$A,"Arbor Capital Properties")+SUMIFS(Movimientos!$K$1:$K$806,Movimientos!$C$1:$C$806,"Arbor Capital Properties",Movimientos!$B$1:$B$806,"&lt;="&amp;$B68)</f>
        <v>1412.08</v>
      </c>
      <c r="Q68" s="24">
        <f>SUMIFS('Saldos Iniciales'!$D:$D,'Saldos Iniciales'!$A:$A,"2515 Overbrook")+SUMIFS(Movimientos!$K$1:$K$806,Movimientos!$C$1:$C$806,"2515 Overbrook",Movimientos!$B$1:$B$806,"&lt;="&amp;$B68)</f>
        <v>22496.639999999959</v>
      </c>
      <c r="R68" s="24">
        <f>SUMIFS('Saldos Iniciales'!$D:$D,'Saldos Iniciales'!$A:$A,"112 Florida Ave")+SUMIFS(Movimientos!$K$1:$K$806,Movimientos!$C$1:$C$806,"112 Florida Ave",Movimientos!$B$1:$B$806,"&lt;="&amp;$B68)</f>
        <v>10522.800000000003</v>
      </c>
      <c r="S68" s="24">
        <f>SUMIFS('Saldos Iniciales'!$D:$D,'Saldos Iniciales'!$A:$A,"3628 Thomas Ave")+SUMIFS(Movimientos!$K$1:$K$806,Movimientos!$C$1:$C$806,"3628 Thomas Ave",Movimientos!$B$1:$B$806,"&lt;="&amp;$B68)</f>
        <v>24085.559999999998</v>
      </c>
      <c r="T68" s="24">
        <f>SUMIFS('Saldos Iniciales'!$D:$D,'Saldos Iniciales'!$A:$A,"Green Harbor Trust")+SUMIFS(Movimientos!$K$1:$K$806,Movimientos!$C$1:$C$806,"Green Harbor Trust",Movimientos!$B$1:$B$806,"&lt;="&amp;$B68)</f>
        <v>345</v>
      </c>
      <c r="U68" s="24">
        <f>SUMIFS('Saldos Iniciales'!$D:$D,'Saldos Iniciales'!$A:$A,"Go Blue")+SUMIFS(Movimientos!$K$1:$K$806,Movimientos!$C$1:$C$806,"Go Blue",Movimientos!$B$1:$B$806,"&lt;="&amp;$B68)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Group")+SUMIFS(Movimientos!$K$1:$K$806,Movimientos!$C$1:$C$806,"CFT Group",Movimientos!$B$1:$B$806,"&lt;="&amp;$B69)</f>
        <v>5592585.7500000009</v>
      </c>
      <c r="D69" s="24">
        <f>SUMIFS('Saldos Iniciales'!$D:$D,'Saldos Iniciales'!$A:$A,"M1B")+SUMIFS(Movimientos!$K$1:$K$806,Movimientos!$C$1:$C$806,"M1B",Movimientos!$B$1:$B$806,"&lt;="&amp;$B69)</f>
        <v>79139.680000000168</v>
      </c>
      <c r="E69" s="24">
        <f>SUMIFS('Saldos Iniciales'!$D:$D,'Saldos Iniciales'!$A:$A,"Durand")+SUMIFS(Movimientos!$K$1:$K$806,Movimientos!$C$1:$C$806,"Durand",Movimientos!$B$1:$B$806,"&lt;="&amp;$B69)</f>
        <v>1669.89</v>
      </c>
      <c r="F69" s="24">
        <f>SUMIFS('Saldos Iniciales'!$D:$D,'Saldos Iniciales'!$A:$A,"A&amp;M Imports")+SUMIFS(Movimientos!$K$1:$K$806,Movimientos!$C$1:$C$806,"A&amp;M Imports",Movimientos!$B$1:$B$806,"&lt;="&amp;$B69)</f>
        <v>350475.62999999989</v>
      </c>
      <c r="G69" s="24">
        <f>SUMIFS('Saldos Iniciales'!$D:$D,'Saldos Iniciales'!$A:$A,"SSP Capital")+SUMIFS(Movimientos!$K$1:$K$806,Movimientos!$C$1:$C$806,"SSP Capital",Movimientos!$B$1:$B$806,"&lt;="&amp;$B69)</f>
        <v>1761026.4599999995</v>
      </c>
      <c r="H69" s="24">
        <f>SUMIFS('Saldos Iniciales'!$D:$D,'Saldos Iniciales'!$A:$A,"Cross Family Trust")+SUMIFS(Movimientos!$K$1:$K$806,Movimientos!$C$1:$C$806,"Cross Family Trust",Movimientos!$B$1:$B$806,"&lt;="&amp;$B69)</f>
        <v>220496.38</v>
      </c>
      <c r="I69" s="24">
        <f>SUMIFS('Saldos Iniciales'!$D:$D,'Saldos Iniciales'!$A:$A,"Cross Security Trust")+SUMIFS(Movimientos!$K$1:$K$806,Movimientos!$C$1:$C$806,"Cross Security Trust",Movimientos!$B$1:$B$806,"&lt;="&amp;$B69)</f>
        <v>88090.37</v>
      </c>
      <c r="J69" s="24">
        <f>SUMIFS('Saldos Iniciales'!$D:$D,'Saldos Iniciales'!$A:$A,"Electrama")+SUMIFS(Movimientos!$K$1:$K$806,Movimientos!$C$1:$C$806,"Electrama",Movimientos!$B$1:$B$806,"&lt;="&amp;$B69)</f>
        <v>471.15999999999985</v>
      </c>
      <c r="K69" s="24">
        <f>SUMIFS('Saldos Iniciales'!$D:$D,'Saldos Iniciales'!$A:$A,"Sacred Valley Capital")+SUMIFS(Movimientos!$K$1:$K$806,Movimientos!$C$1:$C$806,"Sacred Valley Capital",Movimientos!$B$1:$B$806,"&lt;="&amp;$B69)</f>
        <v>54.400000000000006</v>
      </c>
      <c r="L69" s="24">
        <f>SUMIFS('Saldos Iniciales'!$D:$D,'Saldos Iniciales'!$A:$A,"YWC Capital")+SUMIFS(Movimientos!$K$1:$K$806,Movimientos!$C$1:$C$806,"YWC Capital",Movimientos!$B$1:$B$806,"&lt;="&amp;$B69)</f>
        <v>2207.8200000000002</v>
      </c>
      <c r="M69" s="24">
        <f>SUMIFS('Saldos Iniciales'!$D:$D,'Saldos Iniciales'!$A:$A,"Soweto")+SUMIFS(Movimientos!$K$1:$K$806,Movimientos!$C$1:$C$806,"Soweto",Movimientos!$B$1:$B$806,"&lt;="&amp;$B69)</f>
        <v>3349.94</v>
      </c>
      <c r="N69" s="24">
        <f>SUMIFS('Saldos Iniciales'!$D:$D,'Saldos Iniciales'!$A:$A,"Green Stone Trust")+SUMIFS(Movimientos!$K$1:$K$806,Movimientos!$C$1:$C$806,"Green Stone Trust",Movimientos!$B$1:$B$806,"&lt;="&amp;$B69)</f>
        <v>1968.99</v>
      </c>
      <c r="O69" s="24">
        <f>SUMIFS('Saldos Iniciales'!$D:$D,'Saldos Iniciales'!$A:$A,"EC Auto")+SUMIFS(Movimientos!$K$1:$K$806,Movimientos!$C$1:$C$806,"EC Auto",Movimientos!$B$1:$B$806,"&lt;="&amp;$B69)</f>
        <v>382.69000000000005</v>
      </c>
      <c r="P69" s="24">
        <f>SUMIFS('Saldos Iniciales'!$D:$D,'Saldos Iniciales'!$A:$A,"Arbor Capital Properties")+SUMIFS(Movimientos!$K$1:$K$806,Movimientos!$C$1:$C$806,"Arbor Capital Properties",Movimientos!$B$1:$B$806,"&lt;="&amp;$B69)</f>
        <v>1412.08</v>
      </c>
      <c r="Q69" s="24">
        <f>SUMIFS('Saldos Iniciales'!$D:$D,'Saldos Iniciales'!$A:$A,"2515 Overbrook")+SUMIFS(Movimientos!$K$1:$K$806,Movimientos!$C$1:$C$806,"2515 Overbrook",Movimientos!$B$1:$B$806,"&lt;="&amp;$B69)</f>
        <v>22496.639999999959</v>
      </c>
      <c r="R69" s="24">
        <f>SUMIFS('Saldos Iniciales'!$D:$D,'Saldos Iniciales'!$A:$A,"112 Florida Ave")+SUMIFS(Movimientos!$K$1:$K$806,Movimientos!$C$1:$C$806,"112 Florida Ave",Movimientos!$B$1:$B$806,"&lt;="&amp;$B69)</f>
        <v>10522.800000000003</v>
      </c>
      <c r="S69" s="24">
        <f>SUMIFS('Saldos Iniciales'!$D:$D,'Saldos Iniciales'!$A:$A,"3628 Thomas Ave")+SUMIFS(Movimientos!$K$1:$K$806,Movimientos!$C$1:$C$806,"3628 Thomas Ave",Movimientos!$B$1:$B$806,"&lt;="&amp;$B69)</f>
        <v>24085.559999999998</v>
      </c>
      <c r="T69" s="24">
        <f>SUMIFS('Saldos Iniciales'!$D:$D,'Saldos Iniciales'!$A:$A,"Green Harbor Trust")+SUMIFS(Movimientos!$K$1:$K$806,Movimientos!$C$1:$C$806,"Green Harbor Trust",Movimientos!$B$1:$B$806,"&lt;="&amp;$B69)</f>
        <v>345</v>
      </c>
      <c r="U69" s="24">
        <f>SUMIFS('Saldos Iniciales'!$D:$D,'Saldos Iniciales'!$A:$A,"Go Blue")+SUMIFS(Movimientos!$K$1:$K$806,Movimientos!$C$1:$C$806,"Go Blue",Movimientos!$B$1:$B$806,"&lt;="&amp;$B69)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Group")+SUMIFS(Movimientos!$K$1:$K$806,Movimientos!$C$1:$C$806,"CFT Group",Movimientos!$B$1:$B$806,"&lt;="&amp;$B70)</f>
        <v>5592585.7500000009</v>
      </c>
      <c r="D70" s="24">
        <f>SUMIFS('Saldos Iniciales'!$D:$D,'Saldos Iniciales'!$A:$A,"M1B")+SUMIFS(Movimientos!$K$1:$K$806,Movimientos!$C$1:$C$806,"M1B",Movimientos!$B$1:$B$806,"&lt;="&amp;$B70)</f>
        <v>79139.680000000168</v>
      </c>
      <c r="E70" s="24">
        <f>SUMIFS('Saldos Iniciales'!$D:$D,'Saldos Iniciales'!$A:$A,"Durand")+SUMIFS(Movimientos!$K$1:$K$806,Movimientos!$C$1:$C$806,"Durand",Movimientos!$B$1:$B$806,"&lt;="&amp;$B70)</f>
        <v>1669.89</v>
      </c>
      <c r="F70" s="24">
        <f>SUMIFS('Saldos Iniciales'!$D:$D,'Saldos Iniciales'!$A:$A,"A&amp;M Imports")+SUMIFS(Movimientos!$K$1:$K$806,Movimientos!$C$1:$C$806,"A&amp;M Imports",Movimientos!$B$1:$B$806,"&lt;="&amp;$B70)</f>
        <v>350475.62999999989</v>
      </c>
      <c r="G70" s="24">
        <f>SUMIFS('Saldos Iniciales'!$D:$D,'Saldos Iniciales'!$A:$A,"SSP Capital")+SUMIFS(Movimientos!$K$1:$K$806,Movimientos!$C$1:$C$806,"SSP Capital",Movimientos!$B$1:$B$806,"&lt;="&amp;$B70)</f>
        <v>1751695.8399999994</v>
      </c>
      <c r="H70" s="24">
        <f>SUMIFS('Saldos Iniciales'!$D:$D,'Saldos Iniciales'!$A:$A,"Cross Family Trust")+SUMIFS(Movimientos!$K$1:$K$806,Movimientos!$C$1:$C$806,"Cross Family Trust",Movimientos!$B$1:$B$806,"&lt;="&amp;$B70)</f>
        <v>220496.38</v>
      </c>
      <c r="I70" s="24">
        <f>SUMIFS('Saldos Iniciales'!$D:$D,'Saldos Iniciales'!$A:$A,"Cross Security Trust")+SUMIFS(Movimientos!$K$1:$K$806,Movimientos!$C$1:$C$806,"Cross Security Trust",Movimientos!$B$1:$B$806,"&lt;="&amp;$B70)</f>
        <v>88090.37</v>
      </c>
      <c r="J70" s="24">
        <f>SUMIFS('Saldos Iniciales'!$D:$D,'Saldos Iniciales'!$A:$A,"Electrama")+SUMIFS(Movimientos!$K$1:$K$806,Movimientos!$C$1:$C$806,"Electrama",Movimientos!$B$1:$B$806,"&lt;="&amp;$B70)</f>
        <v>471.15999999999985</v>
      </c>
      <c r="K70" s="24">
        <f>SUMIFS('Saldos Iniciales'!$D:$D,'Saldos Iniciales'!$A:$A,"Sacred Valley Capital")+SUMIFS(Movimientos!$K$1:$K$806,Movimientos!$C$1:$C$806,"Sacred Valley Capital",Movimientos!$B$1:$B$806,"&lt;="&amp;$B70)</f>
        <v>54.400000000000006</v>
      </c>
      <c r="L70" s="24">
        <f>SUMIFS('Saldos Iniciales'!$D:$D,'Saldos Iniciales'!$A:$A,"YWC Capital")+SUMIFS(Movimientos!$K$1:$K$806,Movimientos!$C$1:$C$806,"YWC Capital",Movimientos!$B$1:$B$806,"&lt;="&amp;$B70)</f>
        <v>2207.8200000000002</v>
      </c>
      <c r="M70" s="24">
        <f>SUMIFS('Saldos Iniciales'!$D:$D,'Saldos Iniciales'!$A:$A,"Soweto")+SUMIFS(Movimientos!$K$1:$K$806,Movimientos!$C$1:$C$806,"Soweto",Movimientos!$B$1:$B$806,"&lt;="&amp;$B70)</f>
        <v>3334.94</v>
      </c>
      <c r="N70" s="24">
        <f>SUMIFS('Saldos Iniciales'!$D:$D,'Saldos Iniciales'!$A:$A,"Green Stone Trust")+SUMIFS(Movimientos!$K$1:$K$806,Movimientos!$C$1:$C$806,"Green Stone Trust",Movimientos!$B$1:$B$806,"&lt;="&amp;$B70)</f>
        <v>1968.99</v>
      </c>
      <c r="O70" s="24">
        <f>SUMIFS('Saldos Iniciales'!$D:$D,'Saldos Iniciales'!$A:$A,"EC Auto")+SUMIFS(Movimientos!$K$1:$K$806,Movimientos!$C$1:$C$806,"EC Auto",Movimientos!$B$1:$B$806,"&lt;="&amp;$B70)</f>
        <v>382.69000000000005</v>
      </c>
      <c r="P70" s="24">
        <f>SUMIFS('Saldos Iniciales'!$D:$D,'Saldos Iniciales'!$A:$A,"Arbor Capital Properties")+SUMIFS(Movimientos!$K$1:$K$806,Movimientos!$C$1:$C$806,"Arbor Capital Properties",Movimientos!$B$1:$B$806,"&lt;="&amp;$B70)</f>
        <v>1412.08</v>
      </c>
      <c r="Q70" s="24">
        <f>SUMIFS('Saldos Iniciales'!$D:$D,'Saldos Iniciales'!$A:$A,"2515 Overbrook")+SUMIFS(Movimientos!$K$1:$K$806,Movimientos!$C$1:$C$806,"2515 Overbrook",Movimientos!$B$1:$B$806,"&lt;="&amp;$B70)</f>
        <v>22496.639999999959</v>
      </c>
      <c r="R70" s="24">
        <f>SUMIFS('Saldos Iniciales'!$D:$D,'Saldos Iniciales'!$A:$A,"112 Florida Ave")+SUMIFS(Movimientos!$K$1:$K$806,Movimientos!$C$1:$C$806,"112 Florida Ave",Movimientos!$B$1:$B$806,"&lt;="&amp;$B70)</f>
        <v>6522.8000000000029</v>
      </c>
      <c r="S70" s="24">
        <f>SUMIFS('Saldos Iniciales'!$D:$D,'Saldos Iniciales'!$A:$A,"3628 Thomas Ave")+SUMIFS(Movimientos!$K$1:$K$806,Movimientos!$C$1:$C$806,"3628 Thomas Ave",Movimientos!$B$1:$B$806,"&lt;="&amp;$B70)</f>
        <v>24085.559999999998</v>
      </c>
      <c r="T70" s="24">
        <f>SUMIFS('Saldos Iniciales'!$D:$D,'Saldos Iniciales'!$A:$A,"Green Harbor Trust")+SUMIFS(Movimientos!$K$1:$K$806,Movimientos!$C$1:$C$806,"Green Harbor Trust",Movimientos!$B$1:$B$806,"&lt;="&amp;$B70)</f>
        <v>345</v>
      </c>
      <c r="U70" s="24">
        <f>SUMIFS('Saldos Iniciales'!$D:$D,'Saldos Iniciales'!$A:$A,"Go Blue")+SUMIFS(Movimientos!$K$1:$K$806,Movimientos!$C$1:$C$806,"Go Blue",Movimientos!$B$1:$B$806,"&lt;="&amp;$B70)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Group")+SUMIFS(Movimientos!$K$1:$K$806,Movimientos!$C$1:$C$806,"CFT Group",Movimientos!$B$1:$B$806,"&lt;="&amp;$B71)</f>
        <v>4377944.080000001</v>
      </c>
      <c r="D71" s="24">
        <f>SUMIFS('Saldos Iniciales'!$D:$D,'Saldos Iniciales'!$A:$A,"M1B")+SUMIFS(Movimientos!$K$1:$K$806,Movimientos!$C$1:$C$806,"M1B",Movimientos!$B$1:$B$806,"&lt;="&amp;$B71)</f>
        <v>73157.680000000168</v>
      </c>
      <c r="E71" s="24">
        <f>SUMIFS('Saldos Iniciales'!$D:$D,'Saldos Iniciales'!$A:$A,"Durand")+SUMIFS(Movimientos!$K$1:$K$806,Movimientos!$C$1:$C$806,"Durand",Movimientos!$B$1:$B$806,"&lt;="&amp;$B71)</f>
        <v>1669.89</v>
      </c>
      <c r="F71" s="24">
        <f>SUMIFS('Saldos Iniciales'!$D:$D,'Saldos Iniciales'!$A:$A,"A&amp;M Imports")+SUMIFS(Movimientos!$K$1:$K$806,Movimientos!$C$1:$C$806,"A&amp;M Imports",Movimientos!$B$1:$B$806,"&lt;="&amp;$B71)</f>
        <v>290475.62999999989</v>
      </c>
      <c r="G71" s="24">
        <f>SUMIFS('Saldos Iniciales'!$D:$D,'Saldos Iniciales'!$A:$A,"SSP Capital")+SUMIFS(Movimientos!$K$1:$K$806,Movimientos!$C$1:$C$806,"SSP Capital",Movimientos!$B$1:$B$806,"&lt;="&amp;$B71)</f>
        <v>2119592.9399999995</v>
      </c>
      <c r="H71" s="24">
        <f>SUMIFS('Saldos Iniciales'!$D:$D,'Saldos Iniciales'!$A:$A,"Cross Family Trust")+SUMIFS(Movimientos!$K$1:$K$806,Movimientos!$C$1:$C$806,"Cross Family Trust",Movimientos!$B$1:$B$806,"&lt;="&amp;$B71)</f>
        <v>200496.38</v>
      </c>
      <c r="I71" s="24">
        <f>SUMIFS('Saldos Iniciales'!$D:$D,'Saldos Iniciales'!$A:$A,"Cross Security Trust")+SUMIFS(Movimientos!$K$1:$K$806,Movimientos!$C$1:$C$806,"Cross Security Trust",Movimientos!$B$1:$B$806,"&lt;="&amp;$B71)</f>
        <v>88090.37</v>
      </c>
      <c r="J71" s="24">
        <f>SUMIFS('Saldos Iniciales'!$D:$D,'Saldos Iniciales'!$A:$A,"Electrama")+SUMIFS(Movimientos!$K$1:$K$806,Movimientos!$C$1:$C$806,"Electrama",Movimientos!$B$1:$B$806,"&lt;="&amp;$B71)</f>
        <v>15130.45</v>
      </c>
      <c r="K71" s="24">
        <f>SUMIFS('Saldos Iniciales'!$D:$D,'Saldos Iniciales'!$A:$A,"Sacred Valley Capital")+SUMIFS(Movimientos!$K$1:$K$806,Movimientos!$C$1:$C$806,"Sacred Valley Capital",Movimientos!$B$1:$B$806,"&lt;="&amp;$B71)</f>
        <v>54.400000000000006</v>
      </c>
      <c r="L71" s="24">
        <f>SUMIFS('Saldos Iniciales'!$D:$D,'Saldos Iniciales'!$A:$A,"YWC Capital")+SUMIFS(Movimientos!$K$1:$K$806,Movimientos!$C$1:$C$806,"YWC Capital",Movimientos!$B$1:$B$806,"&lt;="&amp;$B71)</f>
        <v>2207.8200000000002</v>
      </c>
      <c r="M71" s="24">
        <f>SUMIFS('Saldos Iniciales'!$D:$D,'Saldos Iniciales'!$A:$A,"Soweto")+SUMIFS(Movimientos!$K$1:$K$806,Movimientos!$C$1:$C$806,"Soweto",Movimientos!$B$1:$B$806,"&lt;="&amp;$B71)</f>
        <v>1454604.72</v>
      </c>
      <c r="N71" s="24">
        <f>SUMIFS('Saldos Iniciales'!$D:$D,'Saldos Iniciales'!$A:$A,"Green Stone Trust")+SUMIFS(Movimientos!$K$1:$K$806,Movimientos!$C$1:$C$806,"Green Stone Trust",Movimientos!$B$1:$B$806,"&lt;="&amp;$B71)</f>
        <v>1968.99</v>
      </c>
      <c r="O71" s="24">
        <f>SUMIFS('Saldos Iniciales'!$D:$D,'Saldos Iniciales'!$A:$A,"EC Auto")+SUMIFS(Movimientos!$K$1:$K$806,Movimientos!$C$1:$C$806,"EC Auto",Movimientos!$B$1:$B$806,"&lt;="&amp;$B71)</f>
        <v>382.69000000000005</v>
      </c>
      <c r="P71" s="24">
        <f>SUMIFS('Saldos Iniciales'!$D:$D,'Saldos Iniciales'!$A:$A,"Arbor Capital Properties")+SUMIFS(Movimientos!$K$1:$K$806,Movimientos!$C$1:$C$806,"Arbor Capital Properties",Movimientos!$B$1:$B$806,"&lt;="&amp;$B71)</f>
        <v>1412.08</v>
      </c>
      <c r="Q71" s="24">
        <f>SUMIFS('Saldos Iniciales'!$D:$D,'Saldos Iniciales'!$A:$A,"2515 Overbrook")+SUMIFS(Movimientos!$K$1:$K$806,Movimientos!$C$1:$C$806,"2515 Overbrook",Movimientos!$B$1:$B$806,"&lt;="&amp;$B71)</f>
        <v>22496.639999999959</v>
      </c>
      <c r="R71" s="24">
        <f>SUMIFS('Saldos Iniciales'!$D:$D,'Saldos Iniciales'!$A:$A,"112 Florida Ave")+SUMIFS(Movimientos!$K$1:$K$806,Movimientos!$C$1:$C$806,"112 Florida Ave",Movimientos!$B$1:$B$806,"&lt;="&amp;$B71)</f>
        <v>6522.8000000000029</v>
      </c>
      <c r="S71" s="24">
        <f>SUMIFS('Saldos Iniciales'!$D:$D,'Saldos Iniciales'!$A:$A,"3628 Thomas Ave")+SUMIFS(Movimientos!$K$1:$K$806,Movimientos!$C$1:$C$806,"3628 Thomas Ave",Movimientos!$B$1:$B$806,"&lt;="&amp;$B71)</f>
        <v>24085.559999999998</v>
      </c>
      <c r="T71" s="24">
        <f>SUMIFS('Saldos Iniciales'!$D:$D,'Saldos Iniciales'!$A:$A,"Green Harbor Trust")+SUMIFS(Movimientos!$K$1:$K$806,Movimientos!$C$1:$C$806,"Green Harbor Trust",Movimientos!$B$1:$B$806,"&lt;="&amp;$B71)</f>
        <v>345</v>
      </c>
      <c r="U71" s="24">
        <f>SUMIFS('Saldos Iniciales'!$D:$D,'Saldos Iniciales'!$A:$A,"Go Blue")+SUMIFS(Movimientos!$K$1:$K$806,Movimientos!$C$1:$C$806,"Go Blue",Movimientos!$B$1:$B$806,"&lt;="&amp;$B71)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Group")+SUMIFS(Movimientos!$K$1:$K$806,Movimientos!$C$1:$C$806,"CFT Group",Movimientos!$B$1:$B$806,"&lt;="&amp;$B72)</f>
        <v>4163755.7500000005</v>
      </c>
      <c r="D72" s="24">
        <f>SUMIFS('Saldos Iniciales'!$D:$D,'Saldos Iniciales'!$A:$A,"M1B")+SUMIFS(Movimientos!$K$1:$K$806,Movimientos!$C$1:$C$806,"M1B",Movimientos!$B$1:$B$806,"&lt;="&amp;$B72)</f>
        <v>73157.680000000168</v>
      </c>
      <c r="E72" s="24">
        <f>SUMIFS('Saldos Iniciales'!$D:$D,'Saldos Iniciales'!$A:$A,"Durand")+SUMIFS(Movimientos!$K$1:$K$806,Movimientos!$C$1:$C$806,"Durand",Movimientos!$B$1:$B$806,"&lt;="&amp;$B72)</f>
        <v>1669.89</v>
      </c>
      <c r="F72" s="24">
        <f>SUMIFS('Saldos Iniciales'!$D:$D,'Saldos Iniciales'!$A:$A,"A&amp;M Imports")+SUMIFS(Movimientos!$K$1:$K$806,Movimientos!$C$1:$C$806,"A&amp;M Imports",Movimientos!$B$1:$B$806,"&lt;="&amp;$B72)</f>
        <v>290141.62999999989</v>
      </c>
      <c r="G72" s="24">
        <f>SUMIFS('Saldos Iniciales'!$D:$D,'Saldos Iniciales'!$A:$A,"SSP Capital")+SUMIFS(Movimientos!$K$1:$K$806,Movimientos!$C$1:$C$806,"SSP Capital",Movimientos!$B$1:$B$806,"&lt;="&amp;$B72)</f>
        <v>1921752.2699999993</v>
      </c>
      <c r="H72" s="24">
        <f>SUMIFS('Saldos Iniciales'!$D:$D,'Saldos Iniciales'!$A:$A,"Cross Family Trust")+SUMIFS(Movimientos!$K$1:$K$806,Movimientos!$C$1:$C$806,"Cross Family Trust",Movimientos!$B$1:$B$806,"&lt;="&amp;$B72)</f>
        <v>200496.38</v>
      </c>
      <c r="I72" s="24">
        <f>SUMIFS('Saldos Iniciales'!$D:$D,'Saldos Iniciales'!$A:$A,"Cross Security Trust")+SUMIFS(Movimientos!$K$1:$K$806,Movimientos!$C$1:$C$806,"Cross Security Trust",Movimientos!$B$1:$B$806,"&lt;="&amp;$B72)</f>
        <v>88090.37</v>
      </c>
      <c r="J72" s="24">
        <f>SUMIFS('Saldos Iniciales'!$D:$D,'Saldos Iniciales'!$A:$A,"Electrama")+SUMIFS(Movimientos!$K$1:$K$806,Movimientos!$C$1:$C$806,"Electrama",Movimientos!$B$1:$B$806,"&lt;="&amp;$B72)</f>
        <v>14580.45</v>
      </c>
      <c r="K72" s="24">
        <f>SUMIFS('Saldos Iniciales'!$D:$D,'Saldos Iniciales'!$A:$A,"Sacred Valley Capital")+SUMIFS(Movimientos!$K$1:$K$806,Movimientos!$C$1:$C$806,"Sacred Valley Capital",Movimientos!$B$1:$B$806,"&lt;="&amp;$B72)</f>
        <v>54.400000000000006</v>
      </c>
      <c r="L72" s="24">
        <f>SUMIFS('Saldos Iniciales'!$D:$D,'Saldos Iniciales'!$A:$A,"YWC Capital")+SUMIFS(Movimientos!$K$1:$K$806,Movimientos!$C$1:$C$806,"YWC Capital",Movimientos!$B$1:$B$806,"&lt;="&amp;$B72)</f>
        <v>2207.8200000000002</v>
      </c>
      <c r="M72" s="24">
        <f>SUMIFS('Saldos Iniciales'!$D:$D,'Saldos Iniciales'!$A:$A,"Soweto")+SUMIFS(Movimientos!$K$1:$K$806,Movimientos!$C$1:$C$806,"Soweto",Movimientos!$B$1:$B$806,"&lt;="&amp;$B72)</f>
        <v>1454589.72</v>
      </c>
      <c r="N72" s="24">
        <f>SUMIFS('Saldos Iniciales'!$D:$D,'Saldos Iniciales'!$A:$A,"Green Stone Trust")+SUMIFS(Movimientos!$K$1:$K$806,Movimientos!$C$1:$C$806,"Green Stone Trust",Movimientos!$B$1:$B$806,"&lt;="&amp;$B72)</f>
        <v>1968.99</v>
      </c>
      <c r="O72" s="24">
        <f>SUMIFS('Saldos Iniciales'!$D:$D,'Saldos Iniciales'!$A:$A,"EC Auto")+SUMIFS(Movimientos!$K$1:$K$806,Movimientos!$C$1:$C$806,"EC Auto",Movimientos!$B$1:$B$806,"&lt;="&amp;$B72)</f>
        <v>382.69000000000005</v>
      </c>
      <c r="P72" s="24">
        <f>SUMIFS('Saldos Iniciales'!$D:$D,'Saldos Iniciales'!$A:$A,"Arbor Capital Properties")+SUMIFS(Movimientos!$K$1:$K$806,Movimientos!$C$1:$C$806,"Arbor Capital Properties",Movimientos!$B$1:$B$806,"&lt;="&amp;$B72)</f>
        <v>1412.08</v>
      </c>
      <c r="Q72" s="24">
        <f>SUMIFS('Saldos Iniciales'!$D:$D,'Saldos Iniciales'!$A:$A,"2515 Overbrook")+SUMIFS(Movimientos!$K$1:$K$806,Movimientos!$C$1:$C$806,"2515 Overbrook",Movimientos!$B$1:$B$806,"&lt;="&amp;$B72)</f>
        <v>22496.639999999959</v>
      </c>
      <c r="R72" s="24">
        <f>SUMIFS('Saldos Iniciales'!$D:$D,'Saldos Iniciales'!$A:$A,"112 Florida Ave")+SUMIFS(Movimientos!$K$1:$K$806,Movimientos!$C$1:$C$806,"112 Florida Ave",Movimientos!$B$1:$B$806,"&lt;="&amp;$B72)</f>
        <v>6522.8000000000029</v>
      </c>
      <c r="S72" s="24">
        <f>SUMIFS('Saldos Iniciales'!$D:$D,'Saldos Iniciales'!$A:$A,"3628 Thomas Ave")+SUMIFS(Movimientos!$K$1:$K$806,Movimientos!$C$1:$C$806,"3628 Thomas Ave",Movimientos!$B$1:$B$806,"&lt;="&amp;$B72)</f>
        <v>24085.559999999998</v>
      </c>
      <c r="T72" s="24">
        <f>SUMIFS('Saldos Iniciales'!$D:$D,'Saldos Iniciales'!$A:$A,"Green Harbor Trust")+SUMIFS(Movimientos!$K$1:$K$806,Movimientos!$C$1:$C$806,"Green Harbor Trust",Movimientos!$B$1:$B$806,"&lt;="&amp;$B72)</f>
        <v>345</v>
      </c>
      <c r="U72" s="24">
        <f>SUMIFS('Saldos Iniciales'!$D:$D,'Saldos Iniciales'!$A:$A,"Go Blue")+SUMIFS(Movimientos!$K$1:$K$806,Movimientos!$C$1:$C$806,"Go Blue",Movimientos!$B$1:$B$806,"&lt;="&amp;$B72)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Group")+SUMIFS(Movimientos!$K$1:$K$806,Movimientos!$C$1:$C$806,"CFT Group",Movimientos!$B$1:$B$806,"&lt;="&amp;$B73)</f>
        <v>4163755.7500000005</v>
      </c>
      <c r="D73" s="24">
        <f>SUMIFS('Saldos Iniciales'!$D:$D,'Saldos Iniciales'!$A:$A,"M1B")+SUMIFS(Movimientos!$K$1:$K$806,Movimientos!$C$1:$C$806,"M1B",Movimientos!$B$1:$B$806,"&lt;="&amp;$B73)</f>
        <v>73157.680000000168</v>
      </c>
      <c r="E73" s="24">
        <f>SUMIFS('Saldos Iniciales'!$D:$D,'Saldos Iniciales'!$A:$A,"Durand")+SUMIFS(Movimientos!$K$1:$K$806,Movimientos!$C$1:$C$806,"Durand",Movimientos!$B$1:$B$806,"&lt;="&amp;$B73)</f>
        <v>1669.89</v>
      </c>
      <c r="F73" s="24">
        <f>SUMIFS('Saldos Iniciales'!$D:$D,'Saldos Iniciales'!$A:$A,"A&amp;M Imports")+SUMIFS(Movimientos!$K$1:$K$806,Movimientos!$C$1:$C$806,"A&amp;M Imports",Movimientos!$B$1:$B$806,"&lt;="&amp;$B73)</f>
        <v>290141.62999999989</v>
      </c>
      <c r="G73" s="24">
        <f>SUMIFS('Saldos Iniciales'!$D:$D,'Saldos Iniciales'!$A:$A,"SSP Capital")+SUMIFS(Movimientos!$K$1:$K$806,Movimientos!$C$1:$C$806,"SSP Capital",Movimientos!$B$1:$B$806,"&lt;="&amp;$B73)</f>
        <v>1921752.2699999993</v>
      </c>
      <c r="H73" s="24">
        <f>SUMIFS('Saldos Iniciales'!$D:$D,'Saldos Iniciales'!$A:$A,"Cross Family Trust")+SUMIFS(Movimientos!$K$1:$K$806,Movimientos!$C$1:$C$806,"Cross Family Trust",Movimientos!$B$1:$B$806,"&lt;="&amp;$B73)</f>
        <v>200496.38</v>
      </c>
      <c r="I73" s="24">
        <f>SUMIFS('Saldos Iniciales'!$D:$D,'Saldos Iniciales'!$A:$A,"Cross Security Trust")+SUMIFS(Movimientos!$K$1:$K$806,Movimientos!$C$1:$C$806,"Cross Security Trust",Movimientos!$B$1:$B$806,"&lt;="&amp;$B73)</f>
        <v>88090.37</v>
      </c>
      <c r="J73" s="24">
        <f>SUMIFS('Saldos Iniciales'!$D:$D,'Saldos Iniciales'!$A:$A,"Electrama")+SUMIFS(Movimientos!$K$1:$K$806,Movimientos!$C$1:$C$806,"Electrama",Movimientos!$B$1:$B$806,"&lt;="&amp;$B73)</f>
        <v>14580.45</v>
      </c>
      <c r="K73" s="24">
        <f>SUMIFS('Saldos Iniciales'!$D:$D,'Saldos Iniciales'!$A:$A,"Sacred Valley Capital")+SUMIFS(Movimientos!$K$1:$K$806,Movimientos!$C$1:$C$806,"Sacred Valley Capital",Movimientos!$B$1:$B$806,"&lt;="&amp;$B73)</f>
        <v>54.400000000000006</v>
      </c>
      <c r="L73" s="24">
        <f>SUMIFS('Saldos Iniciales'!$D:$D,'Saldos Iniciales'!$A:$A,"YWC Capital")+SUMIFS(Movimientos!$K$1:$K$806,Movimientos!$C$1:$C$806,"YWC Capital",Movimientos!$B$1:$B$806,"&lt;="&amp;$B73)</f>
        <v>2207.8200000000002</v>
      </c>
      <c r="M73" s="24">
        <f>SUMIFS('Saldos Iniciales'!$D:$D,'Saldos Iniciales'!$A:$A,"Soweto")+SUMIFS(Movimientos!$K$1:$K$806,Movimientos!$C$1:$C$806,"Soweto",Movimientos!$B$1:$B$806,"&lt;="&amp;$B73)</f>
        <v>1454589.72</v>
      </c>
      <c r="N73" s="24">
        <f>SUMIFS('Saldos Iniciales'!$D:$D,'Saldos Iniciales'!$A:$A,"Green Stone Trust")+SUMIFS(Movimientos!$K$1:$K$806,Movimientos!$C$1:$C$806,"Green Stone Trust",Movimientos!$B$1:$B$806,"&lt;="&amp;$B73)</f>
        <v>1968.99</v>
      </c>
      <c r="O73" s="24">
        <f>SUMIFS('Saldos Iniciales'!$D:$D,'Saldos Iniciales'!$A:$A,"EC Auto")+SUMIFS(Movimientos!$K$1:$K$806,Movimientos!$C$1:$C$806,"EC Auto",Movimientos!$B$1:$B$806,"&lt;="&amp;$B73)</f>
        <v>382.69000000000005</v>
      </c>
      <c r="P73" s="24">
        <f>SUMIFS('Saldos Iniciales'!$D:$D,'Saldos Iniciales'!$A:$A,"Arbor Capital Properties")+SUMIFS(Movimientos!$K$1:$K$806,Movimientos!$C$1:$C$806,"Arbor Capital Properties",Movimientos!$B$1:$B$806,"&lt;="&amp;$B73)</f>
        <v>1412.08</v>
      </c>
      <c r="Q73" s="24">
        <f>SUMIFS('Saldos Iniciales'!$D:$D,'Saldos Iniciales'!$A:$A,"2515 Overbrook")+SUMIFS(Movimientos!$K$1:$K$806,Movimientos!$C$1:$C$806,"2515 Overbrook",Movimientos!$B$1:$B$806,"&lt;="&amp;$B73)</f>
        <v>22496.639999999959</v>
      </c>
      <c r="R73" s="24">
        <f>SUMIFS('Saldos Iniciales'!$D:$D,'Saldos Iniciales'!$A:$A,"112 Florida Ave")+SUMIFS(Movimientos!$K$1:$K$806,Movimientos!$C$1:$C$806,"112 Florida Ave",Movimientos!$B$1:$B$806,"&lt;="&amp;$B73)</f>
        <v>6522.8000000000029</v>
      </c>
      <c r="S73" s="24">
        <f>SUMIFS('Saldos Iniciales'!$D:$D,'Saldos Iniciales'!$A:$A,"3628 Thomas Ave")+SUMIFS(Movimientos!$K$1:$K$806,Movimientos!$C$1:$C$806,"3628 Thomas Ave",Movimientos!$B$1:$B$806,"&lt;="&amp;$B73)</f>
        <v>24085.559999999998</v>
      </c>
      <c r="T73" s="24">
        <f>SUMIFS('Saldos Iniciales'!$D:$D,'Saldos Iniciales'!$A:$A,"Green Harbor Trust")+SUMIFS(Movimientos!$K$1:$K$806,Movimientos!$C$1:$C$806,"Green Harbor Trust",Movimientos!$B$1:$B$806,"&lt;="&amp;$B73)</f>
        <v>345</v>
      </c>
      <c r="U73" s="24">
        <f>SUMIFS('Saldos Iniciales'!$D:$D,'Saldos Iniciales'!$A:$A,"Go Blue")+SUMIFS(Movimientos!$K$1:$K$806,Movimientos!$C$1:$C$806,"Go Blue",Movimientos!$B$1:$B$806,"&lt;="&amp;$B73)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Group")+SUMIFS(Movimientos!$K$1:$K$806,Movimientos!$C$1:$C$806,"CFT Group",Movimientos!$B$1:$B$806,"&lt;="&amp;$B74)</f>
        <v>4163755.7500000005</v>
      </c>
      <c r="D74" s="24">
        <f>SUMIFS('Saldos Iniciales'!$D:$D,'Saldos Iniciales'!$A:$A,"M1B")+SUMIFS(Movimientos!$K$1:$K$806,Movimientos!$C$1:$C$806,"M1B",Movimientos!$B$1:$B$806,"&lt;="&amp;$B74)</f>
        <v>73157.680000000168</v>
      </c>
      <c r="E74" s="24">
        <f>SUMIFS('Saldos Iniciales'!$D:$D,'Saldos Iniciales'!$A:$A,"Durand")+SUMIFS(Movimientos!$K$1:$K$806,Movimientos!$C$1:$C$806,"Durand",Movimientos!$B$1:$B$806,"&lt;="&amp;$B74)</f>
        <v>1669.89</v>
      </c>
      <c r="F74" s="24">
        <f>SUMIFS('Saldos Iniciales'!$D:$D,'Saldos Iniciales'!$A:$A,"A&amp;M Imports")+SUMIFS(Movimientos!$K$1:$K$806,Movimientos!$C$1:$C$806,"A&amp;M Imports",Movimientos!$B$1:$B$806,"&lt;="&amp;$B74)</f>
        <v>290141.62999999989</v>
      </c>
      <c r="G74" s="24">
        <f>SUMIFS('Saldos Iniciales'!$D:$D,'Saldos Iniciales'!$A:$A,"SSP Capital")+SUMIFS(Movimientos!$K$1:$K$806,Movimientos!$C$1:$C$806,"SSP Capital",Movimientos!$B$1:$B$806,"&lt;="&amp;$B74)</f>
        <v>1921752.2699999993</v>
      </c>
      <c r="H74" s="24">
        <f>SUMIFS('Saldos Iniciales'!$D:$D,'Saldos Iniciales'!$A:$A,"Cross Family Trust")+SUMIFS(Movimientos!$K$1:$K$806,Movimientos!$C$1:$C$806,"Cross Family Trust",Movimientos!$B$1:$B$806,"&lt;="&amp;$B74)</f>
        <v>200496.38</v>
      </c>
      <c r="I74" s="24">
        <f>SUMIFS('Saldos Iniciales'!$D:$D,'Saldos Iniciales'!$A:$A,"Cross Security Trust")+SUMIFS(Movimientos!$K$1:$K$806,Movimientos!$C$1:$C$806,"Cross Security Trust",Movimientos!$B$1:$B$806,"&lt;="&amp;$B74)</f>
        <v>88090.37</v>
      </c>
      <c r="J74" s="24">
        <f>SUMIFS('Saldos Iniciales'!$D:$D,'Saldos Iniciales'!$A:$A,"Electrama")+SUMIFS(Movimientos!$K$1:$K$806,Movimientos!$C$1:$C$806,"Electrama",Movimientos!$B$1:$B$806,"&lt;="&amp;$B74)</f>
        <v>14580.45</v>
      </c>
      <c r="K74" s="24">
        <f>SUMIFS('Saldos Iniciales'!$D:$D,'Saldos Iniciales'!$A:$A,"Sacred Valley Capital")+SUMIFS(Movimientos!$K$1:$K$806,Movimientos!$C$1:$C$806,"Sacred Valley Capital",Movimientos!$B$1:$B$806,"&lt;="&amp;$B74)</f>
        <v>54.400000000000006</v>
      </c>
      <c r="L74" s="24">
        <f>SUMIFS('Saldos Iniciales'!$D:$D,'Saldos Iniciales'!$A:$A,"YWC Capital")+SUMIFS(Movimientos!$K$1:$K$806,Movimientos!$C$1:$C$806,"YWC Capital",Movimientos!$B$1:$B$806,"&lt;="&amp;$B74)</f>
        <v>2207.8200000000002</v>
      </c>
      <c r="M74" s="24">
        <f>SUMIFS('Saldos Iniciales'!$D:$D,'Saldos Iniciales'!$A:$A,"Soweto")+SUMIFS(Movimientos!$K$1:$K$806,Movimientos!$C$1:$C$806,"Soweto",Movimientos!$B$1:$B$806,"&lt;="&amp;$B74)</f>
        <v>1454589.72</v>
      </c>
      <c r="N74" s="24">
        <f>SUMIFS('Saldos Iniciales'!$D:$D,'Saldos Iniciales'!$A:$A,"Green Stone Trust")+SUMIFS(Movimientos!$K$1:$K$806,Movimientos!$C$1:$C$806,"Green Stone Trust",Movimientos!$B$1:$B$806,"&lt;="&amp;$B74)</f>
        <v>1968.99</v>
      </c>
      <c r="O74" s="24">
        <f>SUMIFS('Saldos Iniciales'!$D:$D,'Saldos Iniciales'!$A:$A,"EC Auto")+SUMIFS(Movimientos!$K$1:$K$806,Movimientos!$C$1:$C$806,"EC Auto",Movimientos!$B$1:$B$806,"&lt;="&amp;$B74)</f>
        <v>382.69000000000005</v>
      </c>
      <c r="P74" s="24">
        <f>SUMIFS('Saldos Iniciales'!$D:$D,'Saldos Iniciales'!$A:$A,"Arbor Capital Properties")+SUMIFS(Movimientos!$K$1:$K$806,Movimientos!$C$1:$C$806,"Arbor Capital Properties",Movimientos!$B$1:$B$806,"&lt;="&amp;$B74)</f>
        <v>1412.08</v>
      </c>
      <c r="Q74" s="24">
        <f>SUMIFS('Saldos Iniciales'!$D:$D,'Saldos Iniciales'!$A:$A,"2515 Overbrook")+SUMIFS(Movimientos!$K$1:$K$806,Movimientos!$C$1:$C$806,"2515 Overbrook",Movimientos!$B$1:$B$806,"&lt;="&amp;$B74)</f>
        <v>22496.639999999959</v>
      </c>
      <c r="R74" s="24">
        <f>SUMIFS('Saldos Iniciales'!$D:$D,'Saldos Iniciales'!$A:$A,"112 Florida Ave")+SUMIFS(Movimientos!$K$1:$K$806,Movimientos!$C$1:$C$806,"112 Florida Ave",Movimientos!$B$1:$B$806,"&lt;="&amp;$B74)</f>
        <v>6522.8000000000029</v>
      </c>
      <c r="S74" s="24">
        <f>SUMIFS('Saldos Iniciales'!$D:$D,'Saldos Iniciales'!$A:$A,"3628 Thomas Ave")+SUMIFS(Movimientos!$K$1:$K$806,Movimientos!$C$1:$C$806,"3628 Thomas Ave",Movimientos!$B$1:$B$806,"&lt;="&amp;$B74)</f>
        <v>24085.559999999998</v>
      </c>
      <c r="T74" s="24">
        <f>SUMIFS('Saldos Iniciales'!$D:$D,'Saldos Iniciales'!$A:$A,"Green Harbor Trust")+SUMIFS(Movimientos!$K$1:$K$806,Movimientos!$C$1:$C$806,"Green Harbor Trust",Movimientos!$B$1:$B$806,"&lt;="&amp;$B74)</f>
        <v>345</v>
      </c>
      <c r="U74" s="24">
        <f>SUMIFS('Saldos Iniciales'!$D:$D,'Saldos Iniciales'!$A:$A,"Go Blue")+SUMIFS(Movimientos!$K$1:$K$806,Movimientos!$C$1:$C$806,"Go Blue",Movimientos!$B$1:$B$806,"&lt;="&amp;$B74)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Group")+SUMIFS(Movimientos!$K$1:$K$806,Movimientos!$C$1:$C$806,"CFT Group",Movimientos!$B$1:$B$806,"&lt;="&amp;$B75)</f>
        <v>4163755.7500000005</v>
      </c>
      <c r="D75" s="24">
        <f>SUMIFS('Saldos Iniciales'!$D:$D,'Saldos Iniciales'!$A:$A,"M1B")+SUMIFS(Movimientos!$K$1:$K$806,Movimientos!$C$1:$C$806,"M1B",Movimientos!$B$1:$B$806,"&lt;="&amp;$B75)</f>
        <v>73157.680000000168</v>
      </c>
      <c r="E75" s="24">
        <f>SUMIFS('Saldos Iniciales'!$D:$D,'Saldos Iniciales'!$A:$A,"Durand")+SUMIFS(Movimientos!$K$1:$K$806,Movimientos!$C$1:$C$806,"Durand",Movimientos!$B$1:$B$806,"&lt;="&amp;$B75)</f>
        <v>1669.89</v>
      </c>
      <c r="F75" s="24">
        <f>SUMIFS('Saldos Iniciales'!$D:$D,'Saldos Iniciales'!$A:$A,"A&amp;M Imports")+SUMIFS(Movimientos!$K$1:$K$806,Movimientos!$C$1:$C$806,"A&amp;M Imports",Movimientos!$B$1:$B$806,"&lt;="&amp;$B75)</f>
        <v>290141.62999999989</v>
      </c>
      <c r="G75" s="24">
        <f>SUMIFS('Saldos Iniciales'!$D:$D,'Saldos Iniciales'!$A:$A,"SSP Capital")+SUMIFS(Movimientos!$K$1:$K$806,Movimientos!$C$1:$C$806,"SSP Capital",Movimientos!$B$1:$B$806,"&lt;="&amp;$B75)</f>
        <v>1921752.2699999993</v>
      </c>
      <c r="H75" s="24">
        <f>SUMIFS('Saldos Iniciales'!$D:$D,'Saldos Iniciales'!$A:$A,"Cross Family Trust")+SUMIFS(Movimientos!$K$1:$K$806,Movimientos!$C$1:$C$806,"Cross Family Trust",Movimientos!$B$1:$B$806,"&lt;="&amp;$B75)</f>
        <v>200496.38</v>
      </c>
      <c r="I75" s="24">
        <f>SUMIFS('Saldos Iniciales'!$D:$D,'Saldos Iniciales'!$A:$A,"Cross Security Trust")+SUMIFS(Movimientos!$K$1:$K$806,Movimientos!$C$1:$C$806,"Cross Security Trust",Movimientos!$B$1:$B$806,"&lt;="&amp;$B75)</f>
        <v>88090.37</v>
      </c>
      <c r="J75" s="24">
        <f>SUMIFS('Saldos Iniciales'!$D:$D,'Saldos Iniciales'!$A:$A,"Electrama")+SUMIFS(Movimientos!$K$1:$K$806,Movimientos!$C$1:$C$806,"Electrama",Movimientos!$B$1:$B$806,"&lt;="&amp;$B75)</f>
        <v>14580.45</v>
      </c>
      <c r="K75" s="24">
        <f>SUMIFS('Saldos Iniciales'!$D:$D,'Saldos Iniciales'!$A:$A,"Sacred Valley Capital")+SUMIFS(Movimientos!$K$1:$K$806,Movimientos!$C$1:$C$806,"Sacred Valley Capital",Movimientos!$B$1:$B$806,"&lt;="&amp;$B75)</f>
        <v>54.400000000000006</v>
      </c>
      <c r="L75" s="24">
        <f>SUMIFS('Saldos Iniciales'!$D:$D,'Saldos Iniciales'!$A:$A,"YWC Capital")+SUMIFS(Movimientos!$K$1:$K$806,Movimientos!$C$1:$C$806,"YWC Capital",Movimientos!$B$1:$B$806,"&lt;="&amp;$B75)</f>
        <v>2207.8200000000002</v>
      </c>
      <c r="M75" s="24">
        <f>SUMIFS('Saldos Iniciales'!$D:$D,'Saldos Iniciales'!$A:$A,"Soweto")+SUMIFS(Movimientos!$K$1:$K$806,Movimientos!$C$1:$C$806,"Soweto",Movimientos!$B$1:$B$806,"&lt;="&amp;$B75)</f>
        <v>1454589.72</v>
      </c>
      <c r="N75" s="24">
        <f>SUMIFS('Saldos Iniciales'!$D:$D,'Saldos Iniciales'!$A:$A,"Green Stone Trust")+SUMIFS(Movimientos!$K$1:$K$806,Movimientos!$C$1:$C$806,"Green Stone Trust",Movimientos!$B$1:$B$806,"&lt;="&amp;$B75)</f>
        <v>1968.99</v>
      </c>
      <c r="O75" s="24">
        <f>SUMIFS('Saldos Iniciales'!$D:$D,'Saldos Iniciales'!$A:$A,"EC Auto")+SUMIFS(Movimientos!$K$1:$K$806,Movimientos!$C$1:$C$806,"EC Auto",Movimientos!$B$1:$B$806,"&lt;="&amp;$B75)</f>
        <v>901.34</v>
      </c>
      <c r="P75" s="24">
        <f>SUMIFS('Saldos Iniciales'!$D:$D,'Saldos Iniciales'!$A:$A,"Arbor Capital Properties")+SUMIFS(Movimientos!$K$1:$K$806,Movimientos!$C$1:$C$806,"Arbor Capital Properties",Movimientos!$B$1:$B$806,"&lt;="&amp;$B75)</f>
        <v>1412.08</v>
      </c>
      <c r="Q75" s="24">
        <f>SUMIFS('Saldos Iniciales'!$D:$D,'Saldos Iniciales'!$A:$A,"2515 Overbrook")+SUMIFS(Movimientos!$K$1:$K$806,Movimientos!$C$1:$C$806,"2515 Overbrook",Movimientos!$B$1:$B$806,"&lt;="&amp;$B75)</f>
        <v>22496.639999999959</v>
      </c>
      <c r="R75" s="24">
        <f>SUMIFS('Saldos Iniciales'!$D:$D,'Saldos Iniciales'!$A:$A,"112 Florida Ave")+SUMIFS(Movimientos!$K$1:$K$806,Movimientos!$C$1:$C$806,"112 Florida Ave",Movimientos!$B$1:$B$806,"&lt;="&amp;$B75)</f>
        <v>6522.8000000000029</v>
      </c>
      <c r="S75" s="24">
        <f>SUMIFS('Saldos Iniciales'!$D:$D,'Saldos Iniciales'!$A:$A,"3628 Thomas Ave")+SUMIFS(Movimientos!$K$1:$K$806,Movimientos!$C$1:$C$806,"3628 Thomas Ave",Movimientos!$B$1:$B$806,"&lt;="&amp;$B75)</f>
        <v>24085.559999999998</v>
      </c>
      <c r="T75" s="24">
        <f>SUMIFS('Saldos Iniciales'!$D:$D,'Saldos Iniciales'!$A:$A,"Green Harbor Trust")+SUMIFS(Movimientos!$K$1:$K$806,Movimientos!$C$1:$C$806,"Green Harbor Trust",Movimientos!$B$1:$B$806,"&lt;="&amp;$B75)</f>
        <v>345</v>
      </c>
      <c r="U75" s="24">
        <f>SUMIFS('Saldos Iniciales'!$D:$D,'Saldos Iniciales'!$A:$A,"Go Blue")+SUMIFS(Movimientos!$K$1:$K$806,Movimientos!$C$1:$C$806,"Go Blue",Movimientos!$B$1:$B$806,"&lt;="&amp;$B75)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Group")+SUMIFS(Movimientos!$K$1:$K$806,Movimientos!$C$1:$C$806,"CFT Group",Movimientos!$B$1:$B$806,"&lt;="&amp;$B76)</f>
        <v>3363755.7500000005</v>
      </c>
      <c r="D76" s="24">
        <f>SUMIFS('Saldos Iniciales'!$D:$D,'Saldos Iniciales'!$A:$A,"M1B")+SUMIFS(Movimientos!$K$1:$K$806,Movimientos!$C$1:$C$806,"M1B",Movimientos!$B$1:$B$806,"&lt;="&amp;$B76)</f>
        <v>73157.680000000168</v>
      </c>
      <c r="E76" s="24">
        <f>SUMIFS('Saldos Iniciales'!$D:$D,'Saldos Iniciales'!$A:$A,"Durand")+SUMIFS(Movimientos!$K$1:$K$806,Movimientos!$C$1:$C$806,"Durand",Movimientos!$B$1:$B$806,"&lt;="&amp;$B76)</f>
        <v>1669.89</v>
      </c>
      <c r="F76" s="24">
        <f>SUMIFS('Saldos Iniciales'!$D:$D,'Saldos Iniciales'!$A:$A,"A&amp;M Imports")+SUMIFS(Movimientos!$K$1:$K$806,Movimientos!$C$1:$C$806,"A&amp;M Imports",Movimientos!$B$1:$B$806,"&lt;="&amp;$B76)</f>
        <v>1090141.6299999999</v>
      </c>
      <c r="G76" s="24">
        <f>SUMIFS('Saldos Iniciales'!$D:$D,'Saldos Iniciales'!$A:$A,"SSP Capital")+SUMIFS(Movimientos!$K$1:$K$806,Movimientos!$C$1:$C$806,"SSP Capital",Movimientos!$B$1:$B$806,"&lt;="&amp;$B76)</f>
        <v>1856542.8899999992</v>
      </c>
      <c r="H76" s="24">
        <f>SUMIFS('Saldos Iniciales'!$D:$D,'Saldos Iniciales'!$A:$A,"Cross Family Trust")+SUMIFS(Movimientos!$K$1:$K$806,Movimientos!$C$1:$C$806,"Cross Family Trust",Movimientos!$B$1:$B$806,"&lt;="&amp;$B76)</f>
        <v>200496.38</v>
      </c>
      <c r="I76" s="24">
        <f>SUMIFS('Saldos Iniciales'!$D:$D,'Saldos Iniciales'!$A:$A,"Cross Security Trust")+SUMIFS(Movimientos!$K$1:$K$806,Movimientos!$C$1:$C$806,"Cross Security Trust",Movimientos!$B$1:$B$806,"&lt;="&amp;$B76)</f>
        <v>88090.37</v>
      </c>
      <c r="J76" s="24">
        <f>SUMIFS('Saldos Iniciales'!$D:$D,'Saldos Iniciales'!$A:$A,"Electrama")+SUMIFS(Movimientos!$K$1:$K$806,Movimientos!$C$1:$C$806,"Electrama",Movimientos!$B$1:$B$806,"&lt;="&amp;$B76)</f>
        <v>14580.45</v>
      </c>
      <c r="K76" s="24">
        <f>SUMIFS('Saldos Iniciales'!$D:$D,'Saldos Iniciales'!$A:$A,"Sacred Valley Capital")+SUMIFS(Movimientos!$K$1:$K$806,Movimientos!$C$1:$C$806,"Sacred Valley Capital",Movimientos!$B$1:$B$806,"&lt;="&amp;$B76)</f>
        <v>54.400000000000006</v>
      </c>
      <c r="L76" s="24">
        <f>SUMIFS('Saldos Iniciales'!$D:$D,'Saldos Iniciales'!$A:$A,"YWC Capital")+SUMIFS(Movimientos!$K$1:$K$806,Movimientos!$C$1:$C$806,"YWC Capital",Movimientos!$B$1:$B$806,"&lt;="&amp;$B76)</f>
        <v>2207.8200000000002</v>
      </c>
      <c r="M76" s="24">
        <f>SUMIFS('Saldos Iniciales'!$D:$D,'Saldos Iniciales'!$A:$A,"Soweto")+SUMIFS(Movimientos!$K$1:$K$806,Movimientos!$C$1:$C$806,"Soweto",Movimientos!$B$1:$B$806,"&lt;="&amp;$B76)</f>
        <v>1454589.72</v>
      </c>
      <c r="N76" s="24">
        <f>SUMIFS('Saldos Iniciales'!$D:$D,'Saldos Iniciales'!$A:$A,"Green Stone Trust")+SUMIFS(Movimientos!$K$1:$K$806,Movimientos!$C$1:$C$806,"Green Stone Trust",Movimientos!$B$1:$B$806,"&lt;="&amp;$B76)</f>
        <v>1968.99</v>
      </c>
      <c r="O76" s="24">
        <f>SUMIFS('Saldos Iniciales'!$D:$D,'Saldos Iniciales'!$A:$A,"EC Auto")+SUMIFS(Movimientos!$K$1:$K$806,Movimientos!$C$1:$C$806,"EC Auto",Movimientos!$B$1:$B$806,"&lt;="&amp;$B76)</f>
        <v>901.34</v>
      </c>
      <c r="P76" s="24">
        <f>SUMIFS('Saldos Iniciales'!$D:$D,'Saldos Iniciales'!$A:$A,"Arbor Capital Properties")+SUMIFS(Movimientos!$K$1:$K$806,Movimientos!$C$1:$C$806,"Arbor Capital Properties",Movimientos!$B$1:$B$806,"&lt;="&amp;$B76)</f>
        <v>1412.08</v>
      </c>
      <c r="Q76" s="24">
        <f>SUMIFS('Saldos Iniciales'!$D:$D,'Saldos Iniciales'!$A:$A,"2515 Overbrook")+SUMIFS(Movimientos!$K$1:$K$806,Movimientos!$C$1:$C$806,"2515 Overbrook",Movimientos!$B$1:$B$806,"&lt;="&amp;$B76)</f>
        <v>22347.56999999996</v>
      </c>
      <c r="R76" s="24">
        <f>SUMIFS('Saldos Iniciales'!$D:$D,'Saldos Iniciales'!$A:$A,"112 Florida Ave")+SUMIFS(Movimientos!$K$1:$K$806,Movimientos!$C$1:$C$806,"112 Florida Ave",Movimientos!$B$1:$B$806,"&lt;="&amp;$B76)</f>
        <v>6522.8000000000029</v>
      </c>
      <c r="S76" s="24">
        <f>SUMIFS('Saldos Iniciales'!$D:$D,'Saldos Iniciales'!$A:$A,"3628 Thomas Ave")+SUMIFS(Movimientos!$K$1:$K$806,Movimientos!$C$1:$C$806,"3628 Thomas Ave",Movimientos!$B$1:$B$806,"&lt;="&amp;$B76)</f>
        <v>24085.559999999998</v>
      </c>
      <c r="T76" s="24">
        <f>SUMIFS('Saldos Iniciales'!$D:$D,'Saldos Iniciales'!$A:$A,"Green Harbor Trust")+SUMIFS(Movimientos!$K$1:$K$806,Movimientos!$C$1:$C$806,"Green Harbor Trust",Movimientos!$B$1:$B$806,"&lt;="&amp;$B76)</f>
        <v>345</v>
      </c>
      <c r="U76" s="24">
        <f>SUMIFS('Saldos Iniciales'!$D:$D,'Saldos Iniciales'!$A:$A,"Go Blue")+SUMIFS(Movimientos!$K$1:$K$806,Movimientos!$C$1:$C$806,"Go Blue",Movimientos!$B$1:$B$806,"&lt;="&amp;$B76)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Group")+SUMIFS(Movimientos!$K$1:$K$806,Movimientos!$C$1:$C$806,"CFT Group",Movimientos!$B$1:$B$806,"&lt;="&amp;$B77)</f>
        <v>3363755.7500000005</v>
      </c>
      <c r="D77" s="24">
        <f>SUMIFS('Saldos Iniciales'!$D:$D,'Saldos Iniciales'!$A:$A,"M1B")+SUMIFS(Movimientos!$K$1:$K$806,Movimientos!$C$1:$C$806,"M1B",Movimientos!$B$1:$B$806,"&lt;="&amp;$B77)</f>
        <v>73157.680000000168</v>
      </c>
      <c r="E77" s="24">
        <f>SUMIFS('Saldos Iniciales'!$D:$D,'Saldos Iniciales'!$A:$A,"Durand")+SUMIFS(Movimientos!$K$1:$K$806,Movimientos!$C$1:$C$806,"Durand",Movimientos!$B$1:$B$806,"&lt;="&amp;$B77)</f>
        <v>1669.89</v>
      </c>
      <c r="F77" s="24">
        <f>SUMIFS('Saldos Iniciales'!$D:$D,'Saldos Iniciales'!$A:$A,"A&amp;M Imports")+SUMIFS(Movimientos!$K$1:$K$806,Movimientos!$C$1:$C$806,"A&amp;M Imports",Movimientos!$B$1:$B$806,"&lt;="&amp;$B77)</f>
        <v>1089804.7499999998</v>
      </c>
      <c r="G77" s="24">
        <f>SUMIFS('Saldos Iniciales'!$D:$D,'Saldos Iniciales'!$A:$A,"SSP Capital")+SUMIFS(Movimientos!$K$1:$K$806,Movimientos!$C$1:$C$806,"SSP Capital",Movimientos!$B$1:$B$806,"&lt;="&amp;$B77)</f>
        <v>1856513.4499999993</v>
      </c>
      <c r="H77" s="24">
        <f>SUMIFS('Saldos Iniciales'!$D:$D,'Saldos Iniciales'!$A:$A,"Cross Family Trust")+SUMIFS(Movimientos!$K$1:$K$806,Movimientos!$C$1:$C$806,"Cross Family Trust",Movimientos!$B$1:$B$806,"&lt;="&amp;$B77)</f>
        <v>200496.38</v>
      </c>
      <c r="I77" s="24">
        <f>SUMIFS('Saldos Iniciales'!$D:$D,'Saldos Iniciales'!$A:$A,"Cross Security Trust")+SUMIFS(Movimientos!$K$1:$K$806,Movimientos!$C$1:$C$806,"Cross Security Trust",Movimientos!$B$1:$B$806,"&lt;="&amp;$B77)</f>
        <v>88090.37</v>
      </c>
      <c r="J77" s="24">
        <f>SUMIFS('Saldos Iniciales'!$D:$D,'Saldos Iniciales'!$A:$A,"Electrama")+SUMIFS(Movimientos!$K$1:$K$806,Movimientos!$C$1:$C$806,"Electrama",Movimientos!$B$1:$B$806,"&lt;="&amp;$B77)</f>
        <v>14580.45</v>
      </c>
      <c r="K77" s="24">
        <f>SUMIFS('Saldos Iniciales'!$D:$D,'Saldos Iniciales'!$A:$A,"Sacred Valley Capital")+SUMIFS(Movimientos!$K$1:$K$806,Movimientos!$C$1:$C$806,"Sacred Valley Capital",Movimientos!$B$1:$B$806,"&lt;="&amp;$B77)</f>
        <v>54.400000000000006</v>
      </c>
      <c r="L77" s="24">
        <f>SUMIFS('Saldos Iniciales'!$D:$D,'Saldos Iniciales'!$A:$A,"YWC Capital")+SUMIFS(Movimientos!$K$1:$K$806,Movimientos!$C$1:$C$806,"YWC Capital",Movimientos!$B$1:$B$806,"&lt;="&amp;$B77)</f>
        <v>2207.8200000000002</v>
      </c>
      <c r="M77" s="24">
        <f>SUMIFS('Saldos Iniciales'!$D:$D,'Saldos Iniciales'!$A:$A,"Soweto")+SUMIFS(Movimientos!$K$1:$K$806,Movimientos!$C$1:$C$806,"Soweto",Movimientos!$B$1:$B$806,"&lt;="&amp;$B77)</f>
        <v>1454589.72</v>
      </c>
      <c r="N77" s="24">
        <f>SUMIFS('Saldos Iniciales'!$D:$D,'Saldos Iniciales'!$A:$A,"Green Stone Trust")+SUMIFS(Movimientos!$K$1:$K$806,Movimientos!$C$1:$C$806,"Green Stone Trust",Movimientos!$B$1:$B$806,"&lt;="&amp;$B77)</f>
        <v>1968.99</v>
      </c>
      <c r="O77" s="24">
        <f>SUMIFS('Saldos Iniciales'!$D:$D,'Saldos Iniciales'!$A:$A,"EC Auto")+SUMIFS(Movimientos!$K$1:$K$806,Movimientos!$C$1:$C$806,"EC Auto",Movimientos!$B$1:$B$806,"&lt;="&amp;$B77)</f>
        <v>901.34</v>
      </c>
      <c r="P77" s="24">
        <f>SUMIFS('Saldos Iniciales'!$D:$D,'Saldos Iniciales'!$A:$A,"Arbor Capital Properties")+SUMIFS(Movimientos!$K$1:$K$806,Movimientos!$C$1:$C$806,"Arbor Capital Properties",Movimientos!$B$1:$B$806,"&lt;="&amp;$B77)</f>
        <v>1412.08</v>
      </c>
      <c r="Q77" s="24">
        <f>SUMIFS('Saldos Iniciales'!$D:$D,'Saldos Iniciales'!$A:$A,"2515 Overbrook")+SUMIFS(Movimientos!$K$1:$K$806,Movimientos!$C$1:$C$806,"2515 Overbrook",Movimientos!$B$1:$B$806,"&lt;="&amp;$B77)</f>
        <v>22347.56999999996</v>
      </c>
      <c r="R77" s="24">
        <f>SUMIFS('Saldos Iniciales'!$D:$D,'Saldos Iniciales'!$A:$A,"112 Florida Ave")+SUMIFS(Movimientos!$K$1:$K$806,Movimientos!$C$1:$C$806,"112 Florida Ave",Movimientos!$B$1:$B$806,"&lt;="&amp;$B77)</f>
        <v>6522.8000000000029</v>
      </c>
      <c r="S77" s="24">
        <f>SUMIFS('Saldos Iniciales'!$D:$D,'Saldos Iniciales'!$A:$A,"3628 Thomas Ave")+SUMIFS(Movimientos!$K$1:$K$806,Movimientos!$C$1:$C$806,"3628 Thomas Ave",Movimientos!$B$1:$B$806,"&lt;="&amp;$B77)</f>
        <v>24085.559999999998</v>
      </c>
      <c r="T77" s="24">
        <f>SUMIFS('Saldos Iniciales'!$D:$D,'Saldos Iniciales'!$A:$A,"Green Harbor Trust")+SUMIFS(Movimientos!$K$1:$K$806,Movimientos!$C$1:$C$806,"Green Harbor Trust",Movimientos!$B$1:$B$806,"&lt;="&amp;$B77)</f>
        <v>345</v>
      </c>
      <c r="U77" s="24">
        <f>SUMIFS('Saldos Iniciales'!$D:$D,'Saldos Iniciales'!$A:$A,"Go Blue")+SUMIFS(Movimientos!$K$1:$K$806,Movimientos!$C$1:$C$806,"Go Blue",Movimientos!$B$1:$B$806,"&lt;="&amp;$B77)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Group")+SUMIFS(Movimientos!$K$1:$K$806,Movimientos!$C$1:$C$806,"CFT Group",Movimientos!$B$1:$B$806,"&lt;="&amp;$B78)</f>
        <v>3110339.0700000008</v>
      </c>
      <c r="D78" s="24">
        <f>SUMIFS('Saldos Iniciales'!$D:$D,'Saldos Iniciales'!$A:$A,"M1B")+SUMIFS(Movimientos!$K$1:$K$806,Movimientos!$C$1:$C$806,"M1B",Movimientos!$B$1:$B$806,"&lt;="&amp;$B78)</f>
        <v>73157.680000000168</v>
      </c>
      <c r="E78" s="24">
        <f>SUMIFS('Saldos Iniciales'!$D:$D,'Saldos Iniciales'!$A:$A,"Durand")+SUMIFS(Movimientos!$K$1:$K$806,Movimientos!$C$1:$C$806,"Durand",Movimientos!$B$1:$B$806,"&lt;="&amp;$B78)</f>
        <v>1669.89</v>
      </c>
      <c r="F78" s="24">
        <f>SUMIFS('Saldos Iniciales'!$D:$D,'Saldos Iniciales'!$A:$A,"A&amp;M Imports")+SUMIFS(Movimientos!$K$1:$K$806,Movimientos!$C$1:$C$806,"A&amp;M Imports",Movimientos!$B$1:$B$806,"&lt;="&amp;$B78)</f>
        <v>1029804.7499999998</v>
      </c>
      <c r="G78" s="24">
        <f>SUMIFS('Saldos Iniciales'!$D:$D,'Saldos Iniciales'!$A:$A,"SSP Capital")+SUMIFS(Movimientos!$K$1:$K$806,Movimientos!$C$1:$C$806,"SSP Capital",Movimientos!$B$1:$B$806,"&lt;="&amp;$B78)</f>
        <v>1678189.7499999995</v>
      </c>
      <c r="H78" s="24">
        <f>SUMIFS('Saldos Iniciales'!$D:$D,'Saldos Iniciales'!$A:$A,"Cross Family Trust")+SUMIFS(Movimientos!$K$1:$K$806,Movimientos!$C$1:$C$806,"Cross Family Trust",Movimientos!$B$1:$B$806,"&lt;="&amp;$B78)</f>
        <v>200496.38</v>
      </c>
      <c r="I78" s="24">
        <f>SUMIFS('Saldos Iniciales'!$D:$D,'Saldos Iniciales'!$A:$A,"Cross Security Trust")+SUMIFS(Movimientos!$K$1:$K$806,Movimientos!$C$1:$C$806,"Cross Security Trust",Movimientos!$B$1:$B$806,"&lt;="&amp;$B78)</f>
        <v>88090.37</v>
      </c>
      <c r="J78" s="24">
        <f>SUMIFS('Saldos Iniciales'!$D:$D,'Saldos Iniciales'!$A:$A,"Electrama")+SUMIFS(Movimientos!$K$1:$K$806,Movimientos!$C$1:$C$806,"Electrama",Movimientos!$B$1:$B$806,"&lt;="&amp;$B78)</f>
        <v>14580.45</v>
      </c>
      <c r="K78" s="24">
        <f>SUMIFS('Saldos Iniciales'!$D:$D,'Saldos Iniciales'!$A:$A,"Sacred Valley Capital")+SUMIFS(Movimientos!$K$1:$K$806,Movimientos!$C$1:$C$806,"Sacred Valley Capital",Movimientos!$B$1:$B$806,"&lt;="&amp;$B78)</f>
        <v>54.400000000000006</v>
      </c>
      <c r="L78" s="24">
        <f>SUMIFS('Saldos Iniciales'!$D:$D,'Saldos Iniciales'!$A:$A,"YWC Capital")+SUMIFS(Movimientos!$K$1:$K$806,Movimientos!$C$1:$C$806,"YWC Capital",Movimientos!$B$1:$B$806,"&lt;="&amp;$B78)</f>
        <v>2207.8200000000002</v>
      </c>
      <c r="M78" s="24">
        <f>SUMIFS('Saldos Iniciales'!$D:$D,'Saldos Iniciales'!$A:$A,"Soweto")+SUMIFS(Movimientos!$K$1:$K$806,Movimientos!$C$1:$C$806,"Soweto",Movimientos!$B$1:$B$806,"&lt;="&amp;$B78)</f>
        <v>1454589.72</v>
      </c>
      <c r="N78" s="24">
        <f>SUMIFS('Saldos Iniciales'!$D:$D,'Saldos Iniciales'!$A:$A,"Green Stone Trust")+SUMIFS(Movimientos!$K$1:$K$806,Movimientos!$C$1:$C$806,"Green Stone Trust",Movimientos!$B$1:$B$806,"&lt;="&amp;$B78)</f>
        <v>1968.99</v>
      </c>
      <c r="O78" s="24">
        <f>SUMIFS('Saldos Iniciales'!$D:$D,'Saldos Iniciales'!$A:$A,"EC Auto")+SUMIFS(Movimientos!$K$1:$K$806,Movimientos!$C$1:$C$806,"EC Auto",Movimientos!$B$1:$B$806,"&lt;="&amp;$B78)</f>
        <v>901.34</v>
      </c>
      <c r="P78" s="24">
        <f>SUMIFS('Saldos Iniciales'!$D:$D,'Saldos Iniciales'!$A:$A,"Arbor Capital Properties")+SUMIFS(Movimientos!$K$1:$K$806,Movimientos!$C$1:$C$806,"Arbor Capital Properties",Movimientos!$B$1:$B$806,"&lt;="&amp;$B78)</f>
        <v>1412.08</v>
      </c>
      <c r="Q78" s="24">
        <f>SUMIFS('Saldos Iniciales'!$D:$D,'Saldos Iniciales'!$A:$A,"2515 Overbrook")+SUMIFS(Movimientos!$K$1:$K$806,Movimientos!$C$1:$C$806,"2515 Overbrook",Movimientos!$B$1:$B$806,"&lt;="&amp;$B78)</f>
        <v>22347.56999999996</v>
      </c>
      <c r="R78" s="24">
        <f>SUMIFS('Saldos Iniciales'!$D:$D,'Saldos Iniciales'!$A:$A,"112 Florida Ave")+SUMIFS(Movimientos!$K$1:$K$806,Movimientos!$C$1:$C$806,"112 Florida Ave",Movimientos!$B$1:$B$806,"&lt;="&amp;$B78)</f>
        <v>3522.8000000000029</v>
      </c>
      <c r="S78" s="24">
        <f>SUMIFS('Saldos Iniciales'!$D:$D,'Saldos Iniciales'!$A:$A,"3628 Thomas Ave")+SUMIFS(Movimientos!$K$1:$K$806,Movimientos!$C$1:$C$806,"3628 Thomas Ave",Movimientos!$B$1:$B$806,"&lt;="&amp;$B78)</f>
        <v>24085.559999999998</v>
      </c>
      <c r="T78" s="24">
        <f>SUMIFS('Saldos Iniciales'!$D:$D,'Saldos Iniciales'!$A:$A,"Green Harbor Trust")+SUMIFS(Movimientos!$K$1:$K$806,Movimientos!$C$1:$C$806,"Green Harbor Trust",Movimientos!$B$1:$B$806,"&lt;="&amp;$B78)</f>
        <v>345</v>
      </c>
      <c r="U78" s="24">
        <f>SUMIFS('Saldos Iniciales'!$D:$D,'Saldos Iniciales'!$A:$A,"Go Blue")+SUMIFS(Movimientos!$K$1:$K$806,Movimientos!$C$1:$C$806,"Go Blue",Movimientos!$B$1:$B$806,"&lt;="&amp;$B78)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Group")+SUMIFS(Movimientos!$K$1:$K$806,Movimientos!$C$1:$C$806,"CFT Group",Movimientos!$B$1:$B$806,"&lt;="&amp;$B79)</f>
        <v>3110339.0700000008</v>
      </c>
      <c r="D79" s="24">
        <f>SUMIFS('Saldos Iniciales'!$D:$D,'Saldos Iniciales'!$A:$A,"M1B")+SUMIFS(Movimientos!$K$1:$K$806,Movimientos!$C$1:$C$806,"M1B",Movimientos!$B$1:$B$806,"&lt;="&amp;$B79)</f>
        <v>73157.680000000168</v>
      </c>
      <c r="E79" s="24">
        <f>SUMIFS('Saldos Iniciales'!$D:$D,'Saldos Iniciales'!$A:$A,"Durand")+SUMIFS(Movimientos!$K$1:$K$806,Movimientos!$C$1:$C$806,"Durand",Movimientos!$B$1:$B$806,"&lt;="&amp;$B79)</f>
        <v>1669.89</v>
      </c>
      <c r="F79" s="24">
        <f>SUMIFS('Saldos Iniciales'!$D:$D,'Saldos Iniciales'!$A:$A,"A&amp;M Imports")+SUMIFS(Movimientos!$K$1:$K$806,Movimientos!$C$1:$C$806,"A&amp;M Imports",Movimientos!$B$1:$B$806,"&lt;="&amp;$B79)</f>
        <v>1029804.7499999998</v>
      </c>
      <c r="G79" s="24">
        <f>SUMIFS('Saldos Iniciales'!$D:$D,'Saldos Iniciales'!$A:$A,"SSP Capital")+SUMIFS(Movimientos!$K$1:$K$806,Movimientos!$C$1:$C$806,"SSP Capital",Movimientos!$B$1:$B$806,"&lt;="&amp;$B79)</f>
        <v>1748189.7499999995</v>
      </c>
      <c r="H79" s="24">
        <f>SUMIFS('Saldos Iniciales'!$D:$D,'Saldos Iniciales'!$A:$A,"Cross Family Trust")+SUMIFS(Movimientos!$K$1:$K$806,Movimientos!$C$1:$C$806,"Cross Family Trust",Movimientos!$B$1:$B$806,"&lt;="&amp;$B79)</f>
        <v>200496.38</v>
      </c>
      <c r="I79" s="24">
        <f>SUMIFS('Saldos Iniciales'!$D:$D,'Saldos Iniciales'!$A:$A,"Cross Security Trust")+SUMIFS(Movimientos!$K$1:$K$806,Movimientos!$C$1:$C$806,"Cross Security Trust",Movimientos!$B$1:$B$806,"&lt;="&amp;$B79)</f>
        <v>88090.37</v>
      </c>
      <c r="J79" s="24">
        <f>SUMIFS('Saldos Iniciales'!$D:$D,'Saldos Iniciales'!$A:$A,"Electrama")+SUMIFS(Movimientos!$K$1:$K$806,Movimientos!$C$1:$C$806,"Electrama",Movimientos!$B$1:$B$806,"&lt;="&amp;$B79)</f>
        <v>14580.45</v>
      </c>
      <c r="K79" s="24">
        <f>SUMIFS('Saldos Iniciales'!$D:$D,'Saldos Iniciales'!$A:$A,"Sacred Valley Capital")+SUMIFS(Movimientos!$K$1:$K$806,Movimientos!$C$1:$C$806,"Sacred Valley Capital",Movimientos!$B$1:$B$806,"&lt;="&amp;$B79)</f>
        <v>54.400000000000006</v>
      </c>
      <c r="L79" s="24">
        <f>SUMIFS('Saldos Iniciales'!$D:$D,'Saldos Iniciales'!$A:$A,"YWC Capital")+SUMIFS(Movimientos!$K$1:$K$806,Movimientos!$C$1:$C$806,"YWC Capital",Movimientos!$B$1:$B$806,"&lt;="&amp;$B79)</f>
        <v>2207.8200000000002</v>
      </c>
      <c r="M79" s="24">
        <f>SUMIFS('Saldos Iniciales'!$D:$D,'Saldos Iniciales'!$A:$A,"Soweto")+SUMIFS(Movimientos!$K$1:$K$806,Movimientos!$C$1:$C$806,"Soweto",Movimientos!$B$1:$B$806,"&lt;="&amp;$B79)</f>
        <v>1454589.72</v>
      </c>
      <c r="N79" s="24">
        <f>SUMIFS('Saldos Iniciales'!$D:$D,'Saldos Iniciales'!$A:$A,"Green Stone Trust")+SUMIFS(Movimientos!$K$1:$K$806,Movimientos!$C$1:$C$806,"Green Stone Trust",Movimientos!$B$1:$B$806,"&lt;="&amp;$B79)</f>
        <v>1968.99</v>
      </c>
      <c r="O79" s="24">
        <f>SUMIFS('Saldos Iniciales'!$D:$D,'Saldos Iniciales'!$A:$A,"EC Auto")+SUMIFS(Movimientos!$K$1:$K$806,Movimientos!$C$1:$C$806,"EC Auto",Movimientos!$B$1:$B$806,"&lt;="&amp;$B79)</f>
        <v>901.34</v>
      </c>
      <c r="P79" s="24">
        <f>SUMIFS('Saldos Iniciales'!$D:$D,'Saldos Iniciales'!$A:$A,"Arbor Capital Properties")+SUMIFS(Movimientos!$K$1:$K$806,Movimientos!$C$1:$C$806,"Arbor Capital Properties",Movimientos!$B$1:$B$806,"&lt;="&amp;$B79)</f>
        <v>1412.08</v>
      </c>
      <c r="Q79" s="24">
        <f>SUMIFS('Saldos Iniciales'!$D:$D,'Saldos Iniciales'!$A:$A,"2515 Overbrook")+SUMIFS(Movimientos!$K$1:$K$806,Movimientos!$C$1:$C$806,"2515 Overbrook",Movimientos!$B$1:$B$806,"&lt;="&amp;$B79)</f>
        <v>22347.56999999996</v>
      </c>
      <c r="R79" s="24">
        <f>SUMIFS('Saldos Iniciales'!$D:$D,'Saldos Iniciales'!$A:$A,"112 Florida Ave")+SUMIFS(Movimientos!$K$1:$K$806,Movimientos!$C$1:$C$806,"112 Florida Ave",Movimientos!$B$1:$B$806,"&lt;="&amp;$B79)</f>
        <v>3522.8000000000029</v>
      </c>
      <c r="S79" s="24">
        <f>SUMIFS('Saldos Iniciales'!$D:$D,'Saldos Iniciales'!$A:$A,"3628 Thomas Ave")+SUMIFS(Movimientos!$K$1:$K$806,Movimientos!$C$1:$C$806,"3628 Thomas Ave",Movimientos!$B$1:$B$806,"&lt;="&amp;$B79)</f>
        <v>24085.559999999998</v>
      </c>
      <c r="T79" s="24">
        <f>SUMIFS('Saldos Iniciales'!$D:$D,'Saldos Iniciales'!$A:$A,"Green Harbor Trust")+SUMIFS(Movimientos!$K$1:$K$806,Movimientos!$C$1:$C$806,"Green Harbor Trust",Movimientos!$B$1:$B$806,"&lt;="&amp;$B79)</f>
        <v>345</v>
      </c>
      <c r="U79" s="24">
        <f>SUMIFS('Saldos Iniciales'!$D:$D,'Saldos Iniciales'!$A:$A,"Go Blue")+SUMIFS(Movimientos!$K$1:$K$806,Movimientos!$C$1:$C$806,"Go Blue",Movimientos!$B$1:$B$806,"&lt;="&amp;$B79)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Group")+SUMIFS(Movimientos!$K$1:$K$806,Movimientos!$C$1:$C$806,"CFT Group",Movimientos!$B$1:$B$806,"&lt;="&amp;$B80)</f>
        <v>3110339.0700000008</v>
      </c>
      <c r="D80" s="24">
        <f>SUMIFS('Saldos Iniciales'!$D:$D,'Saldos Iniciales'!$A:$A,"M1B")+SUMIFS(Movimientos!$K$1:$K$806,Movimientos!$C$1:$C$806,"M1B",Movimientos!$B$1:$B$806,"&lt;="&amp;$B80)</f>
        <v>73157.680000000168</v>
      </c>
      <c r="E80" s="24">
        <f>SUMIFS('Saldos Iniciales'!$D:$D,'Saldos Iniciales'!$A:$A,"Durand")+SUMIFS(Movimientos!$K$1:$K$806,Movimientos!$C$1:$C$806,"Durand",Movimientos!$B$1:$B$806,"&lt;="&amp;$B80)</f>
        <v>1669.89</v>
      </c>
      <c r="F80" s="24">
        <f>SUMIFS('Saldos Iniciales'!$D:$D,'Saldos Iniciales'!$A:$A,"A&amp;M Imports")+SUMIFS(Movimientos!$K$1:$K$806,Movimientos!$C$1:$C$806,"A&amp;M Imports",Movimientos!$B$1:$B$806,"&lt;="&amp;$B80)</f>
        <v>1029804.7499999998</v>
      </c>
      <c r="G80" s="24">
        <f>SUMIFS('Saldos Iniciales'!$D:$D,'Saldos Iniciales'!$A:$A,"SSP Capital")+SUMIFS(Movimientos!$K$1:$K$806,Movimientos!$C$1:$C$806,"SSP Capital",Movimientos!$B$1:$B$806,"&lt;="&amp;$B80)</f>
        <v>1748189.7499999995</v>
      </c>
      <c r="H80" s="24">
        <f>SUMIFS('Saldos Iniciales'!$D:$D,'Saldos Iniciales'!$A:$A,"Cross Family Trust")+SUMIFS(Movimientos!$K$1:$K$806,Movimientos!$C$1:$C$806,"Cross Family Trust",Movimientos!$B$1:$B$806,"&lt;="&amp;$B80)</f>
        <v>200496.38</v>
      </c>
      <c r="I80" s="24">
        <f>SUMIFS('Saldos Iniciales'!$D:$D,'Saldos Iniciales'!$A:$A,"Cross Security Trust")+SUMIFS(Movimientos!$K$1:$K$806,Movimientos!$C$1:$C$806,"Cross Security Trust",Movimientos!$B$1:$B$806,"&lt;="&amp;$B80)</f>
        <v>88090.37</v>
      </c>
      <c r="J80" s="24">
        <f>SUMIFS('Saldos Iniciales'!$D:$D,'Saldos Iniciales'!$A:$A,"Electrama")+SUMIFS(Movimientos!$K$1:$K$806,Movimientos!$C$1:$C$806,"Electrama",Movimientos!$B$1:$B$806,"&lt;="&amp;$B80)</f>
        <v>14580.45</v>
      </c>
      <c r="K80" s="24">
        <f>SUMIFS('Saldos Iniciales'!$D:$D,'Saldos Iniciales'!$A:$A,"Sacred Valley Capital")+SUMIFS(Movimientos!$K$1:$K$806,Movimientos!$C$1:$C$806,"Sacred Valley Capital",Movimientos!$B$1:$B$806,"&lt;="&amp;$B80)</f>
        <v>54.400000000000006</v>
      </c>
      <c r="L80" s="24">
        <f>SUMIFS('Saldos Iniciales'!$D:$D,'Saldos Iniciales'!$A:$A,"YWC Capital")+SUMIFS(Movimientos!$K$1:$K$806,Movimientos!$C$1:$C$806,"YWC Capital",Movimientos!$B$1:$B$806,"&lt;="&amp;$B80)</f>
        <v>2207.8200000000002</v>
      </c>
      <c r="M80" s="24">
        <f>SUMIFS('Saldos Iniciales'!$D:$D,'Saldos Iniciales'!$A:$A,"Soweto")+SUMIFS(Movimientos!$K$1:$K$806,Movimientos!$C$1:$C$806,"Soweto",Movimientos!$B$1:$B$806,"&lt;="&amp;$B80)</f>
        <v>1454589.72</v>
      </c>
      <c r="N80" s="24">
        <f>SUMIFS('Saldos Iniciales'!$D:$D,'Saldos Iniciales'!$A:$A,"Green Stone Trust")+SUMIFS(Movimientos!$K$1:$K$806,Movimientos!$C$1:$C$806,"Green Stone Trust",Movimientos!$B$1:$B$806,"&lt;="&amp;$B80)</f>
        <v>1968.99</v>
      </c>
      <c r="O80" s="24">
        <f>SUMIFS('Saldos Iniciales'!$D:$D,'Saldos Iniciales'!$A:$A,"EC Auto")+SUMIFS(Movimientos!$K$1:$K$806,Movimientos!$C$1:$C$806,"EC Auto",Movimientos!$B$1:$B$806,"&lt;="&amp;$B80)</f>
        <v>901.34</v>
      </c>
      <c r="P80" s="24">
        <f>SUMIFS('Saldos Iniciales'!$D:$D,'Saldos Iniciales'!$A:$A,"Arbor Capital Properties")+SUMIFS(Movimientos!$K$1:$K$806,Movimientos!$C$1:$C$806,"Arbor Capital Properties",Movimientos!$B$1:$B$806,"&lt;="&amp;$B80)</f>
        <v>1412.08</v>
      </c>
      <c r="Q80" s="24">
        <f>SUMIFS('Saldos Iniciales'!$D:$D,'Saldos Iniciales'!$A:$A,"2515 Overbrook")+SUMIFS(Movimientos!$K$1:$K$806,Movimientos!$C$1:$C$806,"2515 Overbrook",Movimientos!$B$1:$B$806,"&lt;="&amp;$B80)</f>
        <v>22347.56999999996</v>
      </c>
      <c r="R80" s="24">
        <f>SUMIFS('Saldos Iniciales'!$D:$D,'Saldos Iniciales'!$A:$A,"112 Florida Ave")+SUMIFS(Movimientos!$K$1:$K$806,Movimientos!$C$1:$C$806,"112 Florida Ave",Movimientos!$B$1:$B$806,"&lt;="&amp;$B80)</f>
        <v>3522.8000000000029</v>
      </c>
      <c r="S80" s="24">
        <f>SUMIFS('Saldos Iniciales'!$D:$D,'Saldos Iniciales'!$A:$A,"3628 Thomas Ave")+SUMIFS(Movimientos!$K$1:$K$806,Movimientos!$C$1:$C$806,"3628 Thomas Ave",Movimientos!$B$1:$B$806,"&lt;="&amp;$B80)</f>
        <v>24085.559999999998</v>
      </c>
      <c r="T80" s="24">
        <f>SUMIFS('Saldos Iniciales'!$D:$D,'Saldos Iniciales'!$A:$A,"Green Harbor Trust")+SUMIFS(Movimientos!$K$1:$K$806,Movimientos!$C$1:$C$806,"Green Harbor Trust",Movimientos!$B$1:$B$806,"&lt;="&amp;$B80)</f>
        <v>345</v>
      </c>
      <c r="U80" s="24">
        <f>SUMIFS('Saldos Iniciales'!$D:$D,'Saldos Iniciales'!$A:$A,"Go Blue")+SUMIFS(Movimientos!$K$1:$K$806,Movimientos!$C$1:$C$806,"Go Blue",Movimientos!$B$1:$B$806,"&lt;="&amp;$B80)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Group")+SUMIFS(Movimientos!$K$1:$K$806,Movimientos!$C$1:$C$806,"CFT Group",Movimientos!$B$1:$B$806,"&lt;="&amp;$B81)</f>
        <v>3110339.0700000008</v>
      </c>
      <c r="D81" s="24">
        <f>SUMIFS('Saldos Iniciales'!$D:$D,'Saldos Iniciales'!$A:$A,"M1B")+SUMIFS(Movimientos!$K$1:$K$806,Movimientos!$C$1:$C$806,"M1B",Movimientos!$B$1:$B$806,"&lt;="&amp;$B81)</f>
        <v>73157.680000000168</v>
      </c>
      <c r="E81" s="24">
        <f>SUMIFS('Saldos Iniciales'!$D:$D,'Saldos Iniciales'!$A:$A,"Durand")+SUMIFS(Movimientos!$K$1:$K$806,Movimientos!$C$1:$C$806,"Durand",Movimientos!$B$1:$B$806,"&lt;="&amp;$B81)</f>
        <v>1669.89</v>
      </c>
      <c r="F81" s="24">
        <f>SUMIFS('Saldos Iniciales'!$D:$D,'Saldos Iniciales'!$A:$A,"A&amp;M Imports")+SUMIFS(Movimientos!$K$1:$K$806,Movimientos!$C$1:$C$806,"A&amp;M Imports",Movimientos!$B$1:$B$806,"&lt;="&amp;$B81)</f>
        <v>1029804.7499999998</v>
      </c>
      <c r="G81" s="24">
        <f>SUMIFS('Saldos Iniciales'!$D:$D,'Saldos Iniciales'!$A:$A,"SSP Capital")+SUMIFS(Movimientos!$K$1:$K$806,Movimientos!$C$1:$C$806,"SSP Capital",Movimientos!$B$1:$B$806,"&lt;="&amp;$B81)</f>
        <v>1748189.7499999995</v>
      </c>
      <c r="H81" s="24">
        <f>SUMIFS('Saldos Iniciales'!$D:$D,'Saldos Iniciales'!$A:$A,"Cross Family Trust")+SUMIFS(Movimientos!$K$1:$K$806,Movimientos!$C$1:$C$806,"Cross Family Trust",Movimientos!$B$1:$B$806,"&lt;="&amp;$B81)</f>
        <v>200496.38</v>
      </c>
      <c r="I81" s="24">
        <f>SUMIFS('Saldos Iniciales'!$D:$D,'Saldos Iniciales'!$A:$A,"Cross Security Trust")+SUMIFS(Movimientos!$K$1:$K$806,Movimientos!$C$1:$C$806,"Cross Security Trust",Movimientos!$B$1:$B$806,"&lt;="&amp;$B81)</f>
        <v>88090.37</v>
      </c>
      <c r="J81" s="24">
        <f>SUMIFS('Saldos Iniciales'!$D:$D,'Saldos Iniciales'!$A:$A,"Electrama")+SUMIFS(Movimientos!$K$1:$K$806,Movimientos!$C$1:$C$806,"Electrama",Movimientos!$B$1:$B$806,"&lt;="&amp;$B81)</f>
        <v>14580.45</v>
      </c>
      <c r="K81" s="24">
        <f>SUMIFS('Saldos Iniciales'!$D:$D,'Saldos Iniciales'!$A:$A,"Sacred Valley Capital")+SUMIFS(Movimientos!$K$1:$K$806,Movimientos!$C$1:$C$806,"Sacred Valley Capital",Movimientos!$B$1:$B$806,"&lt;="&amp;$B81)</f>
        <v>54.400000000000006</v>
      </c>
      <c r="L81" s="24">
        <f>SUMIFS('Saldos Iniciales'!$D:$D,'Saldos Iniciales'!$A:$A,"YWC Capital")+SUMIFS(Movimientos!$K$1:$K$806,Movimientos!$C$1:$C$806,"YWC Capital",Movimientos!$B$1:$B$806,"&lt;="&amp;$B81)</f>
        <v>2207.8200000000002</v>
      </c>
      <c r="M81" s="24">
        <f>SUMIFS('Saldos Iniciales'!$D:$D,'Saldos Iniciales'!$A:$A,"Soweto")+SUMIFS(Movimientos!$K$1:$K$806,Movimientos!$C$1:$C$806,"Soweto",Movimientos!$B$1:$B$806,"&lt;="&amp;$B81)</f>
        <v>1454589.72</v>
      </c>
      <c r="N81" s="24">
        <f>SUMIFS('Saldos Iniciales'!$D:$D,'Saldos Iniciales'!$A:$A,"Green Stone Trust")+SUMIFS(Movimientos!$K$1:$K$806,Movimientos!$C$1:$C$806,"Green Stone Trust",Movimientos!$B$1:$B$806,"&lt;="&amp;$B81)</f>
        <v>1968.99</v>
      </c>
      <c r="O81" s="24">
        <f>SUMIFS('Saldos Iniciales'!$D:$D,'Saldos Iniciales'!$A:$A,"EC Auto")+SUMIFS(Movimientos!$K$1:$K$806,Movimientos!$C$1:$C$806,"EC Auto",Movimientos!$B$1:$B$806,"&lt;="&amp;$B81)</f>
        <v>901.34</v>
      </c>
      <c r="P81" s="24">
        <f>SUMIFS('Saldos Iniciales'!$D:$D,'Saldos Iniciales'!$A:$A,"Arbor Capital Properties")+SUMIFS(Movimientos!$K$1:$K$806,Movimientos!$C$1:$C$806,"Arbor Capital Properties",Movimientos!$B$1:$B$806,"&lt;="&amp;$B81)</f>
        <v>1412.08</v>
      </c>
      <c r="Q81" s="24">
        <f>SUMIFS('Saldos Iniciales'!$D:$D,'Saldos Iniciales'!$A:$A,"2515 Overbrook")+SUMIFS(Movimientos!$K$1:$K$806,Movimientos!$C$1:$C$806,"2515 Overbrook",Movimientos!$B$1:$B$806,"&lt;="&amp;$B81)</f>
        <v>22347.56999999996</v>
      </c>
      <c r="R81" s="24">
        <f>SUMIFS('Saldos Iniciales'!$D:$D,'Saldos Iniciales'!$A:$A,"112 Florida Ave")+SUMIFS(Movimientos!$K$1:$K$806,Movimientos!$C$1:$C$806,"112 Florida Ave",Movimientos!$B$1:$B$806,"&lt;="&amp;$B81)</f>
        <v>3522.8000000000029</v>
      </c>
      <c r="S81" s="24">
        <f>SUMIFS('Saldos Iniciales'!$D:$D,'Saldos Iniciales'!$A:$A,"3628 Thomas Ave")+SUMIFS(Movimientos!$K$1:$K$806,Movimientos!$C$1:$C$806,"3628 Thomas Ave",Movimientos!$B$1:$B$806,"&lt;="&amp;$B81)</f>
        <v>24085.559999999998</v>
      </c>
      <c r="T81" s="24">
        <f>SUMIFS('Saldos Iniciales'!$D:$D,'Saldos Iniciales'!$A:$A,"Green Harbor Trust")+SUMIFS(Movimientos!$K$1:$K$806,Movimientos!$C$1:$C$806,"Green Harbor Trust",Movimientos!$B$1:$B$806,"&lt;="&amp;$B81)</f>
        <v>345</v>
      </c>
      <c r="U81" s="24">
        <f>SUMIFS('Saldos Iniciales'!$D:$D,'Saldos Iniciales'!$A:$A,"Go Blue")+SUMIFS(Movimientos!$K$1:$K$806,Movimientos!$C$1:$C$806,"Go Blue",Movimientos!$B$1:$B$806,"&lt;="&amp;$B81)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Group")+SUMIFS(Movimientos!$K$1:$K$806,Movimientos!$C$1:$C$806,"CFT Group",Movimientos!$B$1:$B$806,"&lt;="&amp;$B82)</f>
        <v>3110339.0700000008</v>
      </c>
      <c r="D82" s="24">
        <f>SUMIFS('Saldos Iniciales'!$D:$D,'Saldos Iniciales'!$A:$A,"M1B")+SUMIFS(Movimientos!$K$1:$K$806,Movimientos!$C$1:$C$806,"M1B",Movimientos!$B$1:$B$806,"&lt;="&amp;$B82)</f>
        <v>73157.680000000168</v>
      </c>
      <c r="E82" s="24">
        <f>SUMIFS('Saldos Iniciales'!$D:$D,'Saldos Iniciales'!$A:$A,"Durand")+SUMIFS(Movimientos!$K$1:$K$806,Movimientos!$C$1:$C$806,"Durand",Movimientos!$B$1:$B$806,"&lt;="&amp;$B82)</f>
        <v>1669.89</v>
      </c>
      <c r="F82" s="24">
        <f>SUMIFS('Saldos Iniciales'!$D:$D,'Saldos Iniciales'!$A:$A,"A&amp;M Imports")+SUMIFS(Movimientos!$K$1:$K$806,Movimientos!$C$1:$C$806,"A&amp;M Imports",Movimientos!$B$1:$B$806,"&lt;="&amp;$B82)</f>
        <v>1029804.7499999998</v>
      </c>
      <c r="G82" s="24">
        <f>SUMIFS('Saldos Iniciales'!$D:$D,'Saldos Iniciales'!$A:$A,"SSP Capital")+SUMIFS(Movimientos!$K$1:$K$806,Movimientos!$C$1:$C$806,"SSP Capital",Movimientos!$B$1:$B$806,"&lt;="&amp;$B82)</f>
        <v>1744257.8699999994</v>
      </c>
      <c r="H82" s="24">
        <f>SUMIFS('Saldos Iniciales'!$D:$D,'Saldos Iniciales'!$A:$A,"Cross Family Trust")+SUMIFS(Movimientos!$K$1:$K$806,Movimientos!$C$1:$C$806,"Cross Family Trust",Movimientos!$B$1:$B$806,"&lt;="&amp;$B82)</f>
        <v>200496.38</v>
      </c>
      <c r="I82" s="24">
        <f>SUMIFS('Saldos Iniciales'!$D:$D,'Saldos Iniciales'!$A:$A,"Cross Security Trust")+SUMIFS(Movimientos!$K$1:$K$806,Movimientos!$C$1:$C$806,"Cross Security Trust",Movimientos!$B$1:$B$806,"&lt;="&amp;$B82)</f>
        <v>88090.37</v>
      </c>
      <c r="J82" s="24">
        <f>SUMIFS('Saldos Iniciales'!$D:$D,'Saldos Iniciales'!$A:$A,"Electrama")+SUMIFS(Movimientos!$K$1:$K$806,Movimientos!$C$1:$C$806,"Electrama",Movimientos!$B$1:$B$806,"&lt;="&amp;$B82)</f>
        <v>14580.45</v>
      </c>
      <c r="K82" s="24">
        <f>SUMIFS('Saldos Iniciales'!$D:$D,'Saldos Iniciales'!$A:$A,"Sacred Valley Capital")+SUMIFS(Movimientos!$K$1:$K$806,Movimientos!$C$1:$C$806,"Sacred Valley Capital",Movimientos!$B$1:$B$806,"&lt;="&amp;$B82)</f>
        <v>54.400000000000006</v>
      </c>
      <c r="L82" s="24">
        <f>SUMIFS('Saldos Iniciales'!$D:$D,'Saldos Iniciales'!$A:$A,"YWC Capital")+SUMIFS(Movimientos!$K$1:$K$806,Movimientos!$C$1:$C$806,"YWC Capital",Movimientos!$B$1:$B$806,"&lt;="&amp;$B82)</f>
        <v>2207.8200000000002</v>
      </c>
      <c r="M82" s="24">
        <f>SUMIFS('Saldos Iniciales'!$D:$D,'Saldos Iniciales'!$A:$A,"Soweto")+SUMIFS(Movimientos!$K$1:$K$806,Movimientos!$C$1:$C$806,"Soweto",Movimientos!$B$1:$B$806,"&lt;="&amp;$B82)</f>
        <v>1454589.72</v>
      </c>
      <c r="N82" s="24">
        <f>SUMIFS('Saldos Iniciales'!$D:$D,'Saldos Iniciales'!$A:$A,"Green Stone Trust")+SUMIFS(Movimientos!$K$1:$K$806,Movimientos!$C$1:$C$806,"Green Stone Trust",Movimientos!$B$1:$B$806,"&lt;="&amp;$B82)</f>
        <v>1968.99</v>
      </c>
      <c r="O82" s="24">
        <f>SUMIFS('Saldos Iniciales'!$D:$D,'Saldos Iniciales'!$A:$A,"EC Auto")+SUMIFS(Movimientos!$K$1:$K$806,Movimientos!$C$1:$C$806,"EC Auto",Movimientos!$B$1:$B$806,"&lt;="&amp;$B82)</f>
        <v>901.34</v>
      </c>
      <c r="P82" s="24">
        <f>SUMIFS('Saldos Iniciales'!$D:$D,'Saldos Iniciales'!$A:$A,"Arbor Capital Properties")+SUMIFS(Movimientos!$K$1:$K$806,Movimientos!$C$1:$C$806,"Arbor Capital Properties",Movimientos!$B$1:$B$806,"&lt;="&amp;$B82)</f>
        <v>1412.08</v>
      </c>
      <c r="Q82" s="24">
        <f>SUMIFS('Saldos Iniciales'!$D:$D,'Saldos Iniciales'!$A:$A,"2515 Overbrook")+SUMIFS(Movimientos!$K$1:$K$806,Movimientos!$C$1:$C$806,"2515 Overbrook",Movimientos!$B$1:$B$806,"&lt;="&amp;$B82)</f>
        <v>22347.56999999996</v>
      </c>
      <c r="R82" s="24">
        <f>SUMIFS('Saldos Iniciales'!$D:$D,'Saldos Iniciales'!$A:$A,"112 Florida Ave")+SUMIFS(Movimientos!$K$1:$K$806,Movimientos!$C$1:$C$806,"112 Florida Ave",Movimientos!$B$1:$B$806,"&lt;="&amp;$B82)</f>
        <v>3522.8000000000029</v>
      </c>
      <c r="S82" s="24">
        <f>SUMIFS('Saldos Iniciales'!$D:$D,'Saldos Iniciales'!$A:$A,"3628 Thomas Ave")+SUMIFS(Movimientos!$K$1:$K$806,Movimientos!$C$1:$C$806,"3628 Thomas Ave",Movimientos!$B$1:$B$806,"&lt;="&amp;$B82)</f>
        <v>24085.559999999998</v>
      </c>
      <c r="T82" s="24">
        <f>SUMIFS('Saldos Iniciales'!$D:$D,'Saldos Iniciales'!$A:$A,"Green Harbor Trust")+SUMIFS(Movimientos!$K$1:$K$806,Movimientos!$C$1:$C$806,"Green Harbor Trust",Movimientos!$B$1:$B$806,"&lt;="&amp;$B82)</f>
        <v>345</v>
      </c>
      <c r="U82" s="24">
        <f>SUMIFS('Saldos Iniciales'!$D:$D,'Saldos Iniciales'!$A:$A,"Go Blue")+SUMIFS(Movimientos!$K$1:$K$806,Movimientos!$C$1:$C$806,"Go Blue",Movimientos!$B$1:$B$806,"&lt;="&amp;$B82)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Group")+SUMIFS(Movimientos!$K$1:$K$806,Movimientos!$C$1:$C$806,"CFT Group",Movimientos!$B$1:$B$806,"&lt;="&amp;$B83)</f>
        <v>3110339.0700000008</v>
      </c>
      <c r="D83" s="24">
        <f>SUMIFS('Saldos Iniciales'!$D:$D,'Saldos Iniciales'!$A:$A,"M1B")+SUMIFS(Movimientos!$K$1:$K$806,Movimientos!$C$1:$C$806,"M1B",Movimientos!$B$1:$B$806,"&lt;="&amp;$B83)</f>
        <v>73157.680000000168</v>
      </c>
      <c r="E83" s="24">
        <f>SUMIFS('Saldos Iniciales'!$D:$D,'Saldos Iniciales'!$A:$A,"Durand")+SUMIFS(Movimientos!$K$1:$K$806,Movimientos!$C$1:$C$806,"Durand",Movimientos!$B$1:$B$806,"&lt;="&amp;$B83)</f>
        <v>1669.89</v>
      </c>
      <c r="F83" s="24">
        <f>SUMIFS('Saldos Iniciales'!$D:$D,'Saldos Iniciales'!$A:$A,"A&amp;M Imports")+SUMIFS(Movimientos!$K$1:$K$806,Movimientos!$C$1:$C$806,"A&amp;M Imports",Movimientos!$B$1:$B$806,"&lt;="&amp;$B83)</f>
        <v>1029804.7499999998</v>
      </c>
      <c r="G83" s="24">
        <f>SUMIFS('Saldos Iniciales'!$D:$D,'Saldos Iniciales'!$A:$A,"SSP Capital")+SUMIFS(Movimientos!$K$1:$K$806,Movimientos!$C$1:$C$806,"SSP Capital",Movimientos!$B$1:$B$806,"&lt;="&amp;$B83)</f>
        <v>1744257.8699999994</v>
      </c>
      <c r="H83" s="24">
        <f>SUMIFS('Saldos Iniciales'!$D:$D,'Saldos Iniciales'!$A:$A,"Cross Family Trust")+SUMIFS(Movimientos!$K$1:$K$806,Movimientos!$C$1:$C$806,"Cross Family Trust",Movimientos!$B$1:$B$806,"&lt;="&amp;$B83)</f>
        <v>200496.38</v>
      </c>
      <c r="I83" s="24">
        <f>SUMIFS('Saldos Iniciales'!$D:$D,'Saldos Iniciales'!$A:$A,"Cross Security Trust")+SUMIFS(Movimientos!$K$1:$K$806,Movimientos!$C$1:$C$806,"Cross Security Trust",Movimientos!$B$1:$B$806,"&lt;="&amp;$B83)</f>
        <v>88090.37</v>
      </c>
      <c r="J83" s="24">
        <f>SUMIFS('Saldos Iniciales'!$D:$D,'Saldos Iniciales'!$A:$A,"Electrama")+SUMIFS(Movimientos!$K$1:$K$806,Movimientos!$C$1:$C$806,"Electrama",Movimientos!$B$1:$B$806,"&lt;="&amp;$B83)</f>
        <v>14580.45</v>
      </c>
      <c r="K83" s="24">
        <f>SUMIFS('Saldos Iniciales'!$D:$D,'Saldos Iniciales'!$A:$A,"Sacred Valley Capital")+SUMIFS(Movimientos!$K$1:$K$806,Movimientos!$C$1:$C$806,"Sacred Valley Capital",Movimientos!$B$1:$B$806,"&lt;="&amp;$B83)</f>
        <v>54.400000000000006</v>
      </c>
      <c r="L83" s="24">
        <f>SUMIFS('Saldos Iniciales'!$D:$D,'Saldos Iniciales'!$A:$A,"YWC Capital")+SUMIFS(Movimientos!$K$1:$K$806,Movimientos!$C$1:$C$806,"YWC Capital",Movimientos!$B$1:$B$806,"&lt;="&amp;$B83)</f>
        <v>2207.8200000000002</v>
      </c>
      <c r="M83" s="24">
        <f>SUMIFS('Saldos Iniciales'!$D:$D,'Saldos Iniciales'!$A:$A,"Soweto")+SUMIFS(Movimientos!$K$1:$K$806,Movimientos!$C$1:$C$806,"Soweto",Movimientos!$B$1:$B$806,"&lt;="&amp;$B83)</f>
        <v>1454589.72</v>
      </c>
      <c r="N83" s="24">
        <f>SUMIFS('Saldos Iniciales'!$D:$D,'Saldos Iniciales'!$A:$A,"Green Stone Trust")+SUMIFS(Movimientos!$K$1:$K$806,Movimientos!$C$1:$C$806,"Green Stone Trust",Movimientos!$B$1:$B$806,"&lt;="&amp;$B83)</f>
        <v>1968.99</v>
      </c>
      <c r="O83" s="24">
        <f>SUMIFS('Saldos Iniciales'!$D:$D,'Saldos Iniciales'!$A:$A,"EC Auto")+SUMIFS(Movimientos!$K$1:$K$806,Movimientos!$C$1:$C$806,"EC Auto",Movimientos!$B$1:$B$806,"&lt;="&amp;$B83)</f>
        <v>901.34</v>
      </c>
      <c r="P83" s="24">
        <f>SUMIFS('Saldos Iniciales'!$D:$D,'Saldos Iniciales'!$A:$A,"Arbor Capital Properties")+SUMIFS(Movimientos!$K$1:$K$806,Movimientos!$C$1:$C$806,"Arbor Capital Properties",Movimientos!$B$1:$B$806,"&lt;="&amp;$B83)</f>
        <v>1412.08</v>
      </c>
      <c r="Q83" s="24">
        <f>SUMIFS('Saldos Iniciales'!$D:$D,'Saldos Iniciales'!$A:$A,"2515 Overbrook")+SUMIFS(Movimientos!$K$1:$K$806,Movimientos!$C$1:$C$806,"2515 Overbrook",Movimientos!$B$1:$B$806,"&lt;="&amp;$B83)</f>
        <v>22347.56999999996</v>
      </c>
      <c r="R83" s="24">
        <f>SUMIFS('Saldos Iniciales'!$D:$D,'Saldos Iniciales'!$A:$A,"112 Florida Ave")+SUMIFS(Movimientos!$K$1:$K$806,Movimientos!$C$1:$C$806,"112 Florida Ave",Movimientos!$B$1:$B$806,"&lt;="&amp;$B83)</f>
        <v>3522.8000000000029</v>
      </c>
      <c r="S83" s="24">
        <f>SUMIFS('Saldos Iniciales'!$D:$D,'Saldos Iniciales'!$A:$A,"3628 Thomas Ave")+SUMIFS(Movimientos!$K$1:$K$806,Movimientos!$C$1:$C$806,"3628 Thomas Ave",Movimientos!$B$1:$B$806,"&lt;="&amp;$B83)</f>
        <v>24085.559999999998</v>
      </c>
      <c r="T83" s="24">
        <f>SUMIFS('Saldos Iniciales'!$D:$D,'Saldos Iniciales'!$A:$A,"Green Harbor Trust")+SUMIFS(Movimientos!$K$1:$K$806,Movimientos!$C$1:$C$806,"Green Harbor Trust",Movimientos!$B$1:$B$806,"&lt;="&amp;$B83)</f>
        <v>345</v>
      </c>
      <c r="U83" s="24">
        <f>SUMIFS('Saldos Iniciales'!$D:$D,'Saldos Iniciales'!$A:$A,"Go Blue")+SUMIFS(Movimientos!$K$1:$K$806,Movimientos!$C$1:$C$806,"Go Blue",Movimientos!$B$1:$B$806,"&lt;="&amp;$B83)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Group")+SUMIFS(Movimientos!$K$1:$K$806,Movimientos!$C$1:$C$806,"CFT Group",Movimientos!$B$1:$B$806,"&lt;="&amp;$B84)</f>
        <v>2255755.7400000007</v>
      </c>
      <c r="D84" s="24">
        <f>SUMIFS('Saldos Iniciales'!$D:$D,'Saldos Iniciales'!$A:$A,"M1B")+SUMIFS(Movimientos!$K$1:$K$806,Movimientos!$C$1:$C$806,"M1B",Movimientos!$B$1:$B$806,"&lt;="&amp;$B84)</f>
        <v>73157.680000000168</v>
      </c>
      <c r="E84" s="24">
        <f>SUMIFS('Saldos Iniciales'!$D:$D,'Saldos Iniciales'!$A:$A,"Durand")+SUMIFS(Movimientos!$K$1:$K$806,Movimientos!$C$1:$C$806,"Durand",Movimientos!$B$1:$B$806,"&lt;="&amp;$B84)</f>
        <v>1669.89</v>
      </c>
      <c r="F84" s="24">
        <f>SUMIFS('Saldos Iniciales'!$D:$D,'Saldos Iniciales'!$A:$A,"A&amp;M Imports")+SUMIFS(Movimientos!$K$1:$K$806,Movimientos!$C$1:$C$806,"A&amp;M Imports",Movimientos!$B$1:$B$806,"&lt;="&amp;$B84)</f>
        <v>1002754.9899999998</v>
      </c>
      <c r="G84" s="24">
        <f>SUMIFS('Saldos Iniciales'!$D:$D,'Saldos Iniciales'!$A:$A,"SSP Capital")+SUMIFS(Movimientos!$K$1:$K$806,Movimientos!$C$1:$C$806,"SSP Capital",Movimientos!$B$1:$B$806,"&lt;="&amp;$B84)</f>
        <v>2022877.8699999996</v>
      </c>
      <c r="H84" s="24">
        <f>SUMIFS('Saldos Iniciales'!$D:$D,'Saldos Iniciales'!$A:$A,"Cross Family Trust")+SUMIFS(Movimientos!$K$1:$K$806,Movimientos!$C$1:$C$806,"Cross Family Trust",Movimientos!$B$1:$B$806,"&lt;="&amp;$B84)</f>
        <v>200496.38</v>
      </c>
      <c r="I84" s="24">
        <f>SUMIFS('Saldos Iniciales'!$D:$D,'Saldos Iniciales'!$A:$A,"Cross Security Trust")+SUMIFS(Movimientos!$K$1:$K$806,Movimientos!$C$1:$C$806,"Cross Security Trust",Movimientos!$B$1:$B$806,"&lt;="&amp;$B84)</f>
        <v>88090.37</v>
      </c>
      <c r="J84" s="24">
        <f>SUMIFS('Saldos Iniciales'!$D:$D,'Saldos Iniciales'!$A:$A,"Electrama")+SUMIFS(Movimientos!$K$1:$K$806,Movimientos!$C$1:$C$806,"Electrama",Movimientos!$B$1:$B$806,"&lt;="&amp;$B84)</f>
        <v>14580.45</v>
      </c>
      <c r="K84" s="24">
        <f>SUMIFS('Saldos Iniciales'!$D:$D,'Saldos Iniciales'!$A:$A,"Sacred Valley Capital")+SUMIFS(Movimientos!$K$1:$K$806,Movimientos!$C$1:$C$806,"Sacred Valley Capital",Movimientos!$B$1:$B$806,"&lt;="&amp;$B84)</f>
        <v>54.400000000000006</v>
      </c>
      <c r="L84" s="24">
        <f>SUMIFS('Saldos Iniciales'!$D:$D,'Saldos Iniciales'!$A:$A,"YWC Capital")+SUMIFS(Movimientos!$K$1:$K$806,Movimientos!$C$1:$C$806,"YWC Capital",Movimientos!$B$1:$B$806,"&lt;="&amp;$B84)</f>
        <v>2207.8200000000002</v>
      </c>
      <c r="M84" s="24">
        <f>SUMIFS('Saldos Iniciales'!$D:$D,'Saldos Iniciales'!$A:$A,"Soweto")+SUMIFS(Movimientos!$K$1:$K$806,Movimientos!$C$1:$C$806,"Soweto",Movimientos!$B$1:$B$806,"&lt;="&amp;$B84)</f>
        <v>1454589.72</v>
      </c>
      <c r="N84" s="24">
        <f>SUMIFS('Saldos Iniciales'!$D:$D,'Saldos Iniciales'!$A:$A,"Green Stone Trust")+SUMIFS(Movimientos!$K$1:$K$806,Movimientos!$C$1:$C$806,"Green Stone Trust",Movimientos!$B$1:$B$806,"&lt;="&amp;$B84)</f>
        <v>1968.99</v>
      </c>
      <c r="O84" s="24">
        <f>SUMIFS('Saldos Iniciales'!$D:$D,'Saldos Iniciales'!$A:$A,"EC Auto")+SUMIFS(Movimientos!$K$1:$K$806,Movimientos!$C$1:$C$806,"EC Auto",Movimientos!$B$1:$B$806,"&lt;="&amp;$B84)</f>
        <v>901.34</v>
      </c>
      <c r="P84" s="24">
        <f>SUMIFS('Saldos Iniciales'!$D:$D,'Saldos Iniciales'!$A:$A,"Arbor Capital Properties")+SUMIFS(Movimientos!$K$1:$K$806,Movimientos!$C$1:$C$806,"Arbor Capital Properties",Movimientos!$B$1:$B$806,"&lt;="&amp;$B84)</f>
        <v>1412.08</v>
      </c>
      <c r="Q84" s="24">
        <f>SUMIFS('Saldos Iniciales'!$D:$D,'Saldos Iniciales'!$A:$A,"2515 Overbrook")+SUMIFS(Movimientos!$K$1:$K$806,Movimientos!$C$1:$C$806,"2515 Overbrook",Movimientos!$B$1:$B$806,"&lt;="&amp;$B84)</f>
        <v>22347.56999999996</v>
      </c>
      <c r="R84" s="24">
        <f>SUMIFS('Saldos Iniciales'!$D:$D,'Saldos Iniciales'!$A:$A,"112 Florida Ave")+SUMIFS(Movimientos!$K$1:$K$806,Movimientos!$C$1:$C$806,"112 Florida Ave",Movimientos!$B$1:$B$806,"&lt;="&amp;$B84)</f>
        <v>3522.8000000000029</v>
      </c>
      <c r="S84" s="24">
        <f>SUMIFS('Saldos Iniciales'!$D:$D,'Saldos Iniciales'!$A:$A,"3628 Thomas Ave")+SUMIFS(Movimientos!$K$1:$K$806,Movimientos!$C$1:$C$806,"3628 Thomas Ave",Movimientos!$B$1:$B$806,"&lt;="&amp;$B84)</f>
        <v>24085.559999999998</v>
      </c>
      <c r="T84" s="24">
        <f>SUMIFS('Saldos Iniciales'!$D:$D,'Saldos Iniciales'!$A:$A,"Green Harbor Trust")+SUMIFS(Movimientos!$K$1:$K$806,Movimientos!$C$1:$C$806,"Green Harbor Trust",Movimientos!$B$1:$B$806,"&lt;="&amp;$B84)</f>
        <v>345</v>
      </c>
      <c r="U84" s="24">
        <f>SUMIFS('Saldos Iniciales'!$D:$D,'Saldos Iniciales'!$A:$A,"Go Blue")+SUMIFS(Movimientos!$K$1:$K$806,Movimientos!$C$1:$C$806,"Go Blue",Movimientos!$B$1:$B$806,"&lt;="&amp;$B84)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Group")+SUMIFS(Movimientos!$K$1:$K$806,Movimientos!$C$1:$C$806,"CFT Group",Movimientos!$B$1:$B$806,"&lt;="&amp;$B85)</f>
        <v>2255750.7400000007</v>
      </c>
      <c r="D85" s="24">
        <f>SUMIFS('Saldos Iniciales'!$D:$D,'Saldos Iniciales'!$A:$A,"M1B")+SUMIFS(Movimientos!$K$1:$K$806,Movimientos!$C$1:$C$806,"M1B",Movimientos!$B$1:$B$806,"&lt;="&amp;$B85)</f>
        <v>73157.680000000168</v>
      </c>
      <c r="E85" s="24">
        <f>SUMIFS('Saldos Iniciales'!$D:$D,'Saldos Iniciales'!$A:$A,"Durand")+SUMIFS(Movimientos!$K$1:$K$806,Movimientos!$C$1:$C$806,"Durand",Movimientos!$B$1:$B$806,"&lt;="&amp;$B85)</f>
        <v>1669.89</v>
      </c>
      <c r="F85" s="24">
        <f>SUMIFS('Saldos Iniciales'!$D:$D,'Saldos Iniciales'!$A:$A,"A&amp;M Imports")+SUMIFS(Movimientos!$K$1:$K$806,Movimientos!$C$1:$C$806,"A&amp;M Imports",Movimientos!$B$1:$B$806,"&lt;="&amp;$B85)</f>
        <v>1042744.6899999997</v>
      </c>
      <c r="G85" s="24">
        <f>SUMIFS('Saldos Iniciales'!$D:$D,'Saldos Iniciales'!$A:$A,"SSP Capital")+SUMIFS(Movimientos!$K$1:$K$806,Movimientos!$C$1:$C$806,"SSP Capital",Movimientos!$B$1:$B$806,"&lt;="&amp;$B85)</f>
        <v>2022877.8699999996</v>
      </c>
      <c r="H85" s="24">
        <f>SUMIFS('Saldos Iniciales'!$D:$D,'Saldos Iniciales'!$A:$A,"Cross Family Trust")+SUMIFS(Movimientos!$K$1:$K$806,Movimientos!$C$1:$C$806,"Cross Family Trust",Movimientos!$B$1:$B$806,"&lt;="&amp;$B85)</f>
        <v>200496.38</v>
      </c>
      <c r="I85" s="24">
        <f>SUMIFS('Saldos Iniciales'!$D:$D,'Saldos Iniciales'!$A:$A,"Cross Security Trust")+SUMIFS(Movimientos!$K$1:$K$806,Movimientos!$C$1:$C$806,"Cross Security Trust",Movimientos!$B$1:$B$806,"&lt;="&amp;$B85)</f>
        <v>88090.37</v>
      </c>
      <c r="J85" s="24">
        <f>SUMIFS('Saldos Iniciales'!$D:$D,'Saldos Iniciales'!$A:$A,"Electrama")+SUMIFS(Movimientos!$K$1:$K$806,Movimientos!$C$1:$C$806,"Electrama",Movimientos!$B$1:$B$806,"&lt;="&amp;$B85)</f>
        <v>14580.45</v>
      </c>
      <c r="K85" s="24">
        <f>SUMIFS('Saldos Iniciales'!$D:$D,'Saldos Iniciales'!$A:$A,"Sacred Valley Capital")+SUMIFS(Movimientos!$K$1:$K$806,Movimientos!$C$1:$C$806,"Sacred Valley Capital",Movimientos!$B$1:$B$806,"&lt;="&amp;$B85)</f>
        <v>54.400000000000006</v>
      </c>
      <c r="L85" s="24">
        <f>SUMIFS('Saldos Iniciales'!$D:$D,'Saldos Iniciales'!$A:$A,"YWC Capital")+SUMIFS(Movimientos!$K$1:$K$806,Movimientos!$C$1:$C$806,"YWC Capital",Movimientos!$B$1:$B$806,"&lt;="&amp;$B85)</f>
        <v>2207.8200000000002</v>
      </c>
      <c r="M85" s="24">
        <f>SUMIFS('Saldos Iniciales'!$D:$D,'Saldos Iniciales'!$A:$A,"Soweto")+SUMIFS(Movimientos!$K$1:$K$806,Movimientos!$C$1:$C$806,"Soweto",Movimientos!$B$1:$B$806,"&lt;="&amp;$B85)</f>
        <v>1454589.72</v>
      </c>
      <c r="N85" s="24">
        <f>SUMIFS('Saldos Iniciales'!$D:$D,'Saldos Iniciales'!$A:$A,"Green Stone Trust")+SUMIFS(Movimientos!$K$1:$K$806,Movimientos!$C$1:$C$806,"Green Stone Trust",Movimientos!$B$1:$B$806,"&lt;="&amp;$B85)</f>
        <v>1968.99</v>
      </c>
      <c r="O85" s="24">
        <f>SUMIFS('Saldos Iniciales'!$D:$D,'Saldos Iniciales'!$A:$A,"EC Auto")+SUMIFS(Movimientos!$K$1:$K$806,Movimientos!$C$1:$C$806,"EC Auto",Movimientos!$B$1:$B$806,"&lt;="&amp;$B85)</f>
        <v>901.34</v>
      </c>
      <c r="P85" s="24">
        <f>SUMIFS('Saldos Iniciales'!$D:$D,'Saldos Iniciales'!$A:$A,"Arbor Capital Properties")+SUMIFS(Movimientos!$K$1:$K$806,Movimientos!$C$1:$C$806,"Arbor Capital Properties",Movimientos!$B$1:$B$806,"&lt;="&amp;$B85)</f>
        <v>1412.08</v>
      </c>
      <c r="Q85" s="24">
        <f>SUMIFS('Saldos Iniciales'!$D:$D,'Saldos Iniciales'!$A:$A,"2515 Overbrook")+SUMIFS(Movimientos!$K$1:$K$806,Movimientos!$C$1:$C$806,"2515 Overbrook",Movimientos!$B$1:$B$806,"&lt;="&amp;$B85)</f>
        <v>22347.56999999996</v>
      </c>
      <c r="R85" s="24">
        <f>SUMIFS('Saldos Iniciales'!$D:$D,'Saldos Iniciales'!$A:$A,"112 Florida Ave")+SUMIFS(Movimientos!$K$1:$K$806,Movimientos!$C$1:$C$806,"112 Florida Ave",Movimientos!$B$1:$B$806,"&lt;="&amp;$B85)</f>
        <v>18522.800000000003</v>
      </c>
      <c r="S85" s="24">
        <f>SUMIFS('Saldos Iniciales'!$D:$D,'Saldos Iniciales'!$A:$A,"3628 Thomas Ave")+SUMIFS(Movimientos!$K$1:$K$806,Movimientos!$C$1:$C$806,"3628 Thomas Ave",Movimientos!$B$1:$B$806,"&lt;="&amp;$B85)</f>
        <v>24085.559999999998</v>
      </c>
      <c r="T85" s="24">
        <f>SUMIFS('Saldos Iniciales'!$D:$D,'Saldos Iniciales'!$A:$A,"Green Harbor Trust")+SUMIFS(Movimientos!$K$1:$K$806,Movimientos!$C$1:$C$806,"Green Harbor Trust",Movimientos!$B$1:$B$806,"&lt;="&amp;$B85)</f>
        <v>345</v>
      </c>
      <c r="U85" s="24">
        <f>SUMIFS('Saldos Iniciales'!$D:$D,'Saldos Iniciales'!$A:$A,"Go Blue")+SUMIFS(Movimientos!$K$1:$K$806,Movimientos!$C$1:$C$806,"Go Blue",Movimientos!$B$1:$B$806,"&lt;="&amp;$B85)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Group")+SUMIFS(Movimientos!$K$1:$K$806,Movimientos!$C$1:$C$806,"CFT Group",Movimientos!$B$1:$B$806,"&lt;="&amp;$B86)</f>
        <v>2255750.7400000007</v>
      </c>
      <c r="D86" s="24">
        <f>SUMIFS('Saldos Iniciales'!$D:$D,'Saldos Iniciales'!$A:$A,"M1B")+SUMIFS(Movimientos!$K$1:$K$806,Movimientos!$C$1:$C$806,"M1B",Movimientos!$B$1:$B$806,"&lt;="&amp;$B86)</f>
        <v>73157.680000000168</v>
      </c>
      <c r="E86" s="24">
        <f>SUMIFS('Saldos Iniciales'!$D:$D,'Saldos Iniciales'!$A:$A,"Durand")+SUMIFS(Movimientos!$K$1:$K$806,Movimientos!$C$1:$C$806,"Durand",Movimientos!$B$1:$B$806,"&lt;="&amp;$B86)</f>
        <v>1669.89</v>
      </c>
      <c r="F86" s="24">
        <f>SUMIFS('Saldos Iniciales'!$D:$D,'Saldos Iniciales'!$A:$A,"A&amp;M Imports")+SUMIFS(Movimientos!$K$1:$K$806,Movimientos!$C$1:$C$806,"A&amp;M Imports",Movimientos!$B$1:$B$806,"&lt;="&amp;$B86)</f>
        <v>1042744.6899999997</v>
      </c>
      <c r="G86" s="24">
        <f>SUMIFS('Saldos Iniciales'!$D:$D,'Saldos Iniciales'!$A:$A,"SSP Capital")+SUMIFS(Movimientos!$K$1:$K$806,Movimientos!$C$1:$C$806,"SSP Capital",Movimientos!$B$1:$B$806,"&lt;="&amp;$B86)</f>
        <v>2022877.8699999996</v>
      </c>
      <c r="H86" s="24">
        <f>SUMIFS('Saldos Iniciales'!$D:$D,'Saldos Iniciales'!$A:$A,"Cross Family Trust")+SUMIFS(Movimientos!$K$1:$K$806,Movimientos!$C$1:$C$806,"Cross Family Trust",Movimientos!$B$1:$B$806,"&lt;="&amp;$B86)</f>
        <v>200496.38</v>
      </c>
      <c r="I86" s="24">
        <f>SUMIFS('Saldos Iniciales'!$D:$D,'Saldos Iniciales'!$A:$A,"Cross Security Trust")+SUMIFS(Movimientos!$K$1:$K$806,Movimientos!$C$1:$C$806,"Cross Security Trust",Movimientos!$B$1:$B$806,"&lt;="&amp;$B86)</f>
        <v>88090.37</v>
      </c>
      <c r="J86" s="24">
        <f>SUMIFS('Saldos Iniciales'!$D:$D,'Saldos Iniciales'!$A:$A,"Electrama")+SUMIFS(Movimientos!$K$1:$K$806,Movimientos!$C$1:$C$806,"Electrama",Movimientos!$B$1:$B$806,"&lt;="&amp;$B86)</f>
        <v>14580.45</v>
      </c>
      <c r="K86" s="24">
        <f>SUMIFS('Saldos Iniciales'!$D:$D,'Saldos Iniciales'!$A:$A,"Sacred Valley Capital")+SUMIFS(Movimientos!$K$1:$K$806,Movimientos!$C$1:$C$806,"Sacred Valley Capital",Movimientos!$B$1:$B$806,"&lt;="&amp;$B86)</f>
        <v>54.400000000000006</v>
      </c>
      <c r="L86" s="24">
        <f>SUMIFS('Saldos Iniciales'!$D:$D,'Saldos Iniciales'!$A:$A,"YWC Capital")+SUMIFS(Movimientos!$K$1:$K$806,Movimientos!$C$1:$C$806,"YWC Capital",Movimientos!$B$1:$B$806,"&lt;="&amp;$B86)</f>
        <v>2207.8200000000002</v>
      </c>
      <c r="M86" s="24">
        <f>SUMIFS('Saldos Iniciales'!$D:$D,'Saldos Iniciales'!$A:$A,"Soweto")+SUMIFS(Movimientos!$K$1:$K$806,Movimientos!$C$1:$C$806,"Soweto",Movimientos!$B$1:$B$806,"&lt;="&amp;$B86)</f>
        <v>1454589.72</v>
      </c>
      <c r="N86" s="24">
        <f>SUMIFS('Saldos Iniciales'!$D:$D,'Saldos Iniciales'!$A:$A,"Green Stone Trust")+SUMIFS(Movimientos!$K$1:$K$806,Movimientos!$C$1:$C$806,"Green Stone Trust",Movimientos!$B$1:$B$806,"&lt;="&amp;$B86)</f>
        <v>1968.99</v>
      </c>
      <c r="O86" s="24">
        <f>SUMIFS('Saldos Iniciales'!$D:$D,'Saldos Iniciales'!$A:$A,"EC Auto")+SUMIFS(Movimientos!$K$1:$K$806,Movimientos!$C$1:$C$806,"EC Auto",Movimientos!$B$1:$B$806,"&lt;="&amp;$B86)</f>
        <v>901.34</v>
      </c>
      <c r="P86" s="24">
        <f>SUMIFS('Saldos Iniciales'!$D:$D,'Saldos Iniciales'!$A:$A,"Arbor Capital Properties")+SUMIFS(Movimientos!$K$1:$K$806,Movimientos!$C$1:$C$806,"Arbor Capital Properties",Movimientos!$B$1:$B$806,"&lt;="&amp;$B86)</f>
        <v>1412.08</v>
      </c>
      <c r="Q86" s="24">
        <f>SUMIFS('Saldos Iniciales'!$D:$D,'Saldos Iniciales'!$A:$A,"2515 Overbrook")+SUMIFS(Movimientos!$K$1:$K$806,Movimientos!$C$1:$C$806,"2515 Overbrook",Movimientos!$B$1:$B$806,"&lt;="&amp;$B86)</f>
        <v>22347.56999999996</v>
      </c>
      <c r="R86" s="24">
        <f>SUMIFS('Saldos Iniciales'!$D:$D,'Saldos Iniciales'!$A:$A,"112 Florida Ave")+SUMIFS(Movimientos!$K$1:$K$806,Movimientos!$C$1:$C$806,"112 Florida Ave",Movimientos!$B$1:$B$806,"&lt;="&amp;$B86)</f>
        <v>18522.800000000003</v>
      </c>
      <c r="S86" s="24">
        <f>SUMIFS('Saldos Iniciales'!$D:$D,'Saldos Iniciales'!$A:$A,"3628 Thomas Ave")+SUMIFS(Movimientos!$K$1:$K$806,Movimientos!$C$1:$C$806,"3628 Thomas Ave",Movimientos!$B$1:$B$806,"&lt;="&amp;$B86)</f>
        <v>24085.559999999998</v>
      </c>
      <c r="T86" s="24">
        <f>SUMIFS('Saldos Iniciales'!$D:$D,'Saldos Iniciales'!$A:$A,"Green Harbor Trust")+SUMIFS(Movimientos!$K$1:$K$806,Movimientos!$C$1:$C$806,"Green Harbor Trust",Movimientos!$B$1:$B$806,"&lt;="&amp;$B86)</f>
        <v>345</v>
      </c>
      <c r="U86" s="24">
        <f>SUMIFS('Saldos Iniciales'!$D:$D,'Saldos Iniciales'!$A:$A,"Go Blue")+SUMIFS(Movimientos!$K$1:$K$806,Movimientos!$C$1:$C$806,"Go Blue",Movimientos!$B$1:$B$806,"&lt;="&amp;$B86)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Group")+SUMIFS(Movimientos!$K$1:$K$806,Movimientos!$C$1:$C$806,"CFT Group",Movimientos!$B$1:$B$806,"&lt;="&amp;$B87)</f>
        <v>2255750.7400000007</v>
      </c>
      <c r="D87" s="24">
        <f>SUMIFS('Saldos Iniciales'!$D:$D,'Saldos Iniciales'!$A:$A,"M1B")+SUMIFS(Movimientos!$K$1:$K$806,Movimientos!$C$1:$C$806,"M1B",Movimientos!$B$1:$B$806,"&lt;="&amp;$B87)</f>
        <v>73157.680000000168</v>
      </c>
      <c r="E87" s="24">
        <f>SUMIFS('Saldos Iniciales'!$D:$D,'Saldos Iniciales'!$A:$A,"Durand")+SUMIFS(Movimientos!$K$1:$K$806,Movimientos!$C$1:$C$806,"Durand",Movimientos!$B$1:$B$806,"&lt;="&amp;$B87)</f>
        <v>1669.89</v>
      </c>
      <c r="F87" s="24">
        <f>SUMIFS('Saldos Iniciales'!$D:$D,'Saldos Iniciales'!$A:$A,"A&amp;M Imports")+SUMIFS(Movimientos!$K$1:$K$806,Movimientos!$C$1:$C$806,"A&amp;M Imports",Movimientos!$B$1:$B$806,"&lt;="&amp;$B87)</f>
        <v>1042744.6899999997</v>
      </c>
      <c r="G87" s="24">
        <f>SUMIFS('Saldos Iniciales'!$D:$D,'Saldos Iniciales'!$A:$A,"SSP Capital")+SUMIFS(Movimientos!$K$1:$K$806,Movimientos!$C$1:$C$806,"SSP Capital",Movimientos!$B$1:$B$806,"&lt;="&amp;$B87)</f>
        <v>2022877.8699999996</v>
      </c>
      <c r="H87" s="24">
        <f>SUMIFS('Saldos Iniciales'!$D:$D,'Saldos Iniciales'!$A:$A,"Cross Family Trust")+SUMIFS(Movimientos!$K$1:$K$806,Movimientos!$C$1:$C$806,"Cross Family Trust",Movimientos!$B$1:$B$806,"&lt;="&amp;$B87)</f>
        <v>200496.38</v>
      </c>
      <c r="I87" s="24">
        <f>SUMIFS('Saldos Iniciales'!$D:$D,'Saldos Iniciales'!$A:$A,"Cross Security Trust")+SUMIFS(Movimientos!$K$1:$K$806,Movimientos!$C$1:$C$806,"Cross Security Trust",Movimientos!$B$1:$B$806,"&lt;="&amp;$B87)</f>
        <v>88090.37</v>
      </c>
      <c r="J87" s="24">
        <f>SUMIFS('Saldos Iniciales'!$D:$D,'Saldos Iniciales'!$A:$A,"Electrama")+SUMIFS(Movimientos!$K$1:$K$806,Movimientos!$C$1:$C$806,"Electrama",Movimientos!$B$1:$B$806,"&lt;="&amp;$B87)</f>
        <v>14580.45</v>
      </c>
      <c r="K87" s="24">
        <f>SUMIFS('Saldos Iniciales'!$D:$D,'Saldos Iniciales'!$A:$A,"Sacred Valley Capital")+SUMIFS(Movimientos!$K$1:$K$806,Movimientos!$C$1:$C$806,"Sacred Valley Capital",Movimientos!$B$1:$B$806,"&lt;="&amp;$B87)</f>
        <v>54.400000000000006</v>
      </c>
      <c r="L87" s="24">
        <f>SUMIFS('Saldos Iniciales'!$D:$D,'Saldos Iniciales'!$A:$A,"YWC Capital")+SUMIFS(Movimientos!$K$1:$K$806,Movimientos!$C$1:$C$806,"YWC Capital",Movimientos!$B$1:$B$806,"&lt;="&amp;$B87)</f>
        <v>2207.8200000000002</v>
      </c>
      <c r="M87" s="24">
        <f>SUMIFS('Saldos Iniciales'!$D:$D,'Saldos Iniciales'!$A:$A,"Soweto")+SUMIFS(Movimientos!$K$1:$K$806,Movimientos!$C$1:$C$806,"Soweto",Movimientos!$B$1:$B$806,"&lt;="&amp;$B87)</f>
        <v>1454589.72</v>
      </c>
      <c r="N87" s="24">
        <f>SUMIFS('Saldos Iniciales'!$D:$D,'Saldos Iniciales'!$A:$A,"Green Stone Trust")+SUMIFS(Movimientos!$K$1:$K$806,Movimientos!$C$1:$C$806,"Green Stone Trust",Movimientos!$B$1:$B$806,"&lt;="&amp;$B87)</f>
        <v>1968.99</v>
      </c>
      <c r="O87" s="24">
        <f>SUMIFS('Saldos Iniciales'!$D:$D,'Saldos Iniciales'!$A:$A,"EC Auto")+SUMIFS(Movimientos!$K$1:$K$806,Movimientos!$C$1:$C$806,"EC Auto",Movimientos!$B$1:$B$806,"&lt;="&amp;$B87)</f>
        <v>901.34</v>
      </c>
      <c r="P87" s="24">
        <f>SUMIFS('Saldos Iniciales'!$D:$D,'Saldos Iniciales'!$A:$A,"Arbor Capital Properties")+SUMIFS(Movimientos!$K$1:$K$806,Movimientos!$C$1:$C$806,"Arbor Capital Properties",Movimientos!$B$1:$B$806,"&lt;="&amp;$B87)</f>
        <v>1412.08</v>
      </c>
      <c r="Q87" s="24">
        <f>SUMIFS('Saldos Iniciales'!$D:$D,'Saldos Iniciales'!$A:$A,"2515 Overbrook")+SUMIFS(Movimientos!$K$1:$K$806,Movimientos!$C$1:$C$806,"2515 Overbrook",Movimientos!$B$1:$B$806,"&lt;="&amp;$B87)</f>
        <v>22347.56999999996</v>
      </c>
      <c r="R87" s="24">
        <f>SUMIFS('Saldos Iniciales'!$D:$D,'Saldos Iniciales'!$A:$A,"112 Florida Ave")+SUMIFS(Movimientos!$K$1:$K$806,Movimientos!$C$1:$C$806,"112 Florida Ave",Movimientos!$B$1:$B$806,"&lt;="&amp;$B87)</f>
        <v>18522.800000000003</v>
      </c>
      <c r="S87" s="24">
        <f>SUMIFS('Saldos Iniciales'!$D:$D,'Saldos Iniciales'!$A:$A,"3628 Thomas Ave")+SUMIFS(Movimientos!$K$1:$K$806,Movimientos!$C$1:$C$806,"3628 Thomas Ave",Movimientos!$B$1:$B$806,"&lt;="&amp;$B87)</f>
        <v>24085.559999999998</v>
      </c>
      <c r="T87" s="24">
        <f>SUMIFS('Saldos Iniciales'!$D:$D,'Saldos Iniciales'!$A:$A,"Green Harbor Trust")+SUMIFS(Movimientos!$K$1:$K$806,Movimientos!$C$1:$C$806,"Green Harbor Trust",Movimientos!$B$1:$B$806,"&lt;="&amp;$B87)</f>
        <v>345</v>
      </c>
      <c r="U87" s="24">
        <f>SUMIFS('Saldos Iniciales'!$D:$D,'Saldos Iniciales'!$A:$A,"Go Blue")+SUMIFS(Movimientos!$K$1:$K$806,Movimientos!$C$1:$C$806,"Go Blue",Movimientos!$B$1:$B$806,"&lt;="&amp;$B87)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Group")+SUMIFS(Movimientos!$K$1:$K$806,Movimientos!$C$1:$C$806,"CFT Group",Movimientos!$B$1:$B$806,"&lt;="&amp;$B88)</f>
        <v>2255750.7400000007</v>
      </c>
      <c r="D88" s="24">
        <f>SUMIFS('Saldos Iniciales'!$D:$D,'Saldos Iniciales'!$A:$A,"M1B")+SUMIFS(Movimientos!$K$1:$K$806,Movimientos!$C$1:$C$806,"M1B",Movimientos!$B$1:$B$806,"&lt;="&amp;$B88)</f>
        <v>73157.680000000168</v>
      </c>
      <c r="E88" s="24">
        <f>SUMIFS('Saldos Iniciales'!$D:$D,'Saldos Iniciales'!$A:$A,"Durand")+SUMIFS(Movimientos!$K$1:$K$806,Movimientos!$C$1:$C$806,"Durand",Movimientos!$B$1:$B$806,"&lt;="&amp;$B88)</f>
        <v>1669.89</v>
      </c>
      <c r="F88" s="24">
        <f>SUMIFS('Saldos Iniciales'!$D:$D,'Saldos Iniciales'!$A:$A,"A&amp;M Imports")+SUMIFS(Movimientos!$K$1:$K$806,Movimientos!$C$1:$C$806,"A&amp;M Imports",Movimientos!$B$1:$B$806,"&lt;="&amp;$B88)</f>
        <v>1042744.6899999997</v>
      </c>
      <c r="G88" s="24">
        <f>SUMIFS('Saldos Iniciales'!$D:$D,'Saldos Iniciales'!$A:$A,"SSP Capital")+SUMIFS(Movimientos!$K$1:$K$806,Movimientos!$C$1:$C$806,"SSP Capital",Movimientos!$B$1:$B$806,"&lt;="&amp;$B88)</f>
        <v>2022877.8699999996</v>
      </c>
      <c r="H88" s="24">
        <f>SUMIFS('Saldos Iniciales'!$D:$D,'Saldos Iniciales'!$A:$A,"Cross Family Trust")+SUMIFS(Movimientos!$K$1:$K$806,Movimientos!$C$1:$C$806,"Cross Family Trust",Movimientos!$B$1:$B$806,"&lt;="&amp;$B88)</f>
        <v>200496.38</v>
      </c>
      <c r="I88" s="24">
        <f>SUMIFS('Saldos Iniciales'!$D:$D,'Saldos Iniciales'!$A:$A,"Cross Security Trust")+SUMIFS(Movimientos!$K$1:$K$806,Movimientos!$C$1:$C$806,"Cross Security Trust",Movimientos!$B$1:$B$806,"&lt;="&amp;$B88)</f>
        <v>88090.37</v>
      </c>
      <c r="J88" s="24">
        <f>SUMIFS('Saldos Iniciales'!$D:$D,'Saldos Iniciales'!$A:$A,"Electrama")+SUMIFS(Movimientos!$K$1:$K$806,Movimientos!$C$1:$C$806,"Electrama",Movimientos!$B$1:$B$806,"&lt;="&amp;$B88)</f>
        <v>14580.45</v>
      </c>
      <c r="K88" s="24">
        <f>SUMIFS('Saldos Iniciales'!$D:$D,'Saldos Iniciales'!$A:$A,"Sacred Valley Capital")+SUMIFS(Movimientos!$K$1:$K$806,Movimientos!$C$1:$C$806,"Sacred Valley Capital",Movimientos!$B$1:$B$806,"&lt;="&amp;$B88)</f>
        <v>54.400000000000006</v>
      </c>
      <c r="L88" s="24">
        <f>SUMIFS('Saldos Iniciales'!$D:$D,'Saldos Iniciales'!$A:$A,"YWC Capital")+SUMIFS(Movimientos!$K$1:$K$806,Movimientos!$C$1:$C$806,"YWC Capital",Movimientos!$B$1:$B$806,"&lt;="&amp;$B88)</f>
        <v>2207.8200000000002</v>
      </c>
      <c r="M88" s="24">
        <f>SUMIFS('Saldos Iniciales'!$D:$D,'Saldos Iniciales'!$A:$A,"Soweto")+SUMIFS(Movimientos!$K$1:$K$806,Movimientos!$C$1:$C$806,"Soweto",Movimientos!$B$1:$B$806,"&lt;="&amp;$B88)</f>
        <v>1454589.72</v>
      </c>
      <c r="N88" s="24">
        <f>SUMIFS('Saldos Iniciales'!$D:$D,'Saldos Iniciales'!$A:$A,"Green Stone Trust")+SUMIFS(Movimientos!$K$1:$K$806,Movimientos!$C$1:$C$806,"Green Stone Trust",Movimientos!$B$1:$B$806,"&lt;="&amp;$B88)</f>
        <v>1968.99</v>
      </c>
      <c r="O88" s="24">
        <f>SUMIFS('Saldos Iniciales'!$D:$D,'Saldos Iniciales'!$A:$A,"EC Auto")+SUMIFS(Movimientos!$K$1:$K$806,Movimientos!$C$1:$C$806,"EC Auto",Movimientos!$B$1:$B$806,"&lt;="&amp;$B88)</f>
        <v>901.34</v>
      </c>
      <c r="P88" s="24">
        <f>SUMIFS('Saldos Iniciales'!$D:$D,'Saldos Iniciales'!$A:$A,"Arbor Capital Properties")+SUMIFS(Movimientos!$K$1:$K$806,Movimientos!$C$1:$C$806,"Arbor Capital Properties",Movimientos!$B$1:$B$806,"&lt;="&amp;$B88)</f>
        <v>1412.08</v>
      </c>
      <c r="Q88" s="24">
        <f>SUMIFS('Saldos Iniciales'!$D:$D,'Saldos Iniciales'!$A:$A,"2515 Overbrook")+SUMIFS(Movimientos!$K$1:$K$806,Movimientos!$C$1:$C$806,"2515 Overbrook",Movimientos!$B$1:$B$806,"&lt;="&amp;$B88)</f>
        <v>22347.56999999996</v>
      </c>
      <c r="R88" s="24">
        <f>SUMIFS('Saldos Iniciales'!$D:$D,'Saldos Iniciales'!$A:$A,"112 Florida Ave")+SUMIFS(Movimientos!$K$1:$K$806,Movimientos!$C$1:$C$806,"112 Florida Ave",Movimientos!$B$1:$B$806,"&lt;="&amp;$B88)</f>
        <v>18522.800000000003</v>
      </c>
      <c r="S88" s="24">
        <f>SUMIFS('Saldos Iniciales'!$D:$D,'Saldos Iniciales'!$A:$A,"3628 Thomas Ave")+SUMIFS(Movimientos!$K$1:$K$806,Movimientos!$C$1:$C$806,"3628 Thomas Ave",Movimientos!$B$1:$B$806,"&lt;="&amp;$B88)</f>
        <v>24085.559999999998</v>
      </c>
      <c r="T88" s="24">
        <f>SUMIFS('Saldos Iniciales'!$D:$D,'Saldos Iniciales'!$A:$A,"Green Harbor Trust")+SUMIFS(Movimientos!$K$1:$K$806,Movimientos!$C$1:$C$806,"Green Harbor Trust",Movimientos!$B$1:$B$806,"&lt;="&amp;$B88)</f>
        <v>345</v>
      </c>
      <c r="U88" s="24">
        <f>SUMIFS('Saldos Iniciales'!$D:$D,'Saldos Iniciales'!$A:$A,"Go Blue")+SUMIFS(Movimientos!$K$1:$K$806,Movimientos!$C$1:$C$806,"Go Blue",Movimientos!$B$1:$B$806,"&lt;="&amp;$B88)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Group")+SUMIFS(Movimientos!$K$1:$K$806,Movimientos!$C$1:$C$806,"CFT Group",Movimientos!$B$1:$B$806,"&lt;="&amp;$B89)</f>
        <v>2255750.7400000007</v>
      </c>
      <c r="D89" s="24">
        <f>SUMIFS('Saldos Iniciales'!$D:$D,'Saldos Iniciales'!$A:$A,"M1B")+SUMIFS(Movimientos!$K$1:$K$806,Movimientos!$C$1:$C$806,"M1B",Movimientos!$B$1:$B$806,"&lt;="&amp;$B89)</f>
        <v>73157.680000000168</v>
      </c>
      <c r="E89" s="24">
        <f>SUMIFS('Saldos Iniciales'!$D:$D,'Saldos Iniciales'!$A:$A,"Durand")+SUMIFS(Movimientos!$K$1:$K$806,Movimientos!$C$1:$C$806,"Durand",Movimientos!$B$1:$B$806,"&lt;="&amp;$B89)</f>
        <v>1669.89</v>
      </c>
      <c r="F89" s="24">
        <f>SUMIFS('Saldos Iniciales'!$D:$D,'Saldos Iniciales'!$A:$A,"A&amp;M Imports")+SUMIFS(Movimientos!$K$1:$K$806,Movimientos!$C$1:$C$806,"A&amp;M Imports",Movimientos!$B$1:$B$806,"&lt;="&amp;$B89)</f>
        <v>1392744.6899999997</v>
      </c>
      <c r="G89" s="24">
        <f>SUMIFS('Saldos Iniciales'!$D:$D,'Saldos Iniciales'!$A:$A,"SSP Capital")+SUMIFS(Movimientos!$K$1:$K$806,Movimientos!$C$1:$C$806,"SSP Capital",Movimientos!$B$1:$B$806,"&lt;="&amp;$B89)</f>
        <v>2022877.8699999996</v>
      </c>
      <c r="H89" s="24">
        <f>SUMIFS('Saldos Iniciales'!$D:$D,'Saldos Iniciales'!$A:$A,"Cross Family Trust")+SUMIFS(Movimientos!$K$1:$K$806,Movimientos!$C$1:$C$806,"Cross Family Trust",Movimientos!$B$1:$B$806,"&lt;="&amp;$B89)</f>
        <v>190496.38</v>
      </c>
      <c r="I89" s="24">
        <f>SUMIFS('Saldos Iniciales'!$D:$D,'Saldos Iniciales'!$A:$A,"Cross Security Trust")+SUMIFS(Movimientos!$K$1:$K$806,Movimientos!$C$1:$C$806,"Cross Security Trust",Movimientos!$B$1:$B$806,"&lt;="&amp;$B89)</f>
        <v>88090.37</v>
      </c>
      <c r="J89" s="24">
        <f>SUMIFS('Saldos Iniciales'!$D:$D,'Saldos Iniciales'!$A:$A,"Electrama")+SUMIFS(Movimientos!$K$1:$K$806,Movimientos!$C$1:$C$806,"Electrama",Movimientos!$B$1:$B$806,"&lt;="&amp;$B89)</f>
        <v>14580.45</v>
      </c>
      <c r="K89" s="24">
        <f>SUMIFS('Saldos Iniciales'!$D:$D,'Saldos Iniciales'!$A:$A,"Sacred Valley Capital")+SUMIFS(Movimientos!$K$1:$K$806,Movimientos!$C$1:$C$806,"Sacred Valley Capital",Movimientos!$B$1:$B$806,"&lt;="&amp;$B89)</f>
        <v>54.400000000000006</v>
      </c>
      <c r="L89" s="24">
        <f>SUMIFS('Saldos Iniciales'!$D:$D,'Saldos Iniciales'!$A:$A,"YWC Capital")+SUMIFS(Movimientos!$K$1:$K$806,Movimientos!$C$1:$C$806,"YWC Capital",Movimientos!$B$1:$B$806,"&lt;="&amp;$B89)</f>
        <v>2207.8200000000002</v>
      </c>
      <c r="M89" s="24">
        <f>SUMIFS('Saldos Iniciales'!$D:$D,'Saldos Iniciales'!$A:$A,"Soweto")+SUMIFS(Movimientos!$K$1:$K$806,Movimientos!$C$1:$C$806,"Soweto",Movimientos!$B$1:$B$806,"&lt;="&amp;$B89)</f>
        <v>1454589.72</v>
      </c>
      <c r="N89" s="24">
        <f>SUMIFS('Saldos Iniciales'!$D:$D,'Saldos Iniciales'!$A:$A,"Green Stone Trust")+SUMIFS(Movimientos!$K$1:$K$806,Movimientos!$C$1:$C$806,"Green Stone Trust",Movimientos!$B$1:$B$806,"&lt;="&amp;$B89)</f>
        <v>1968.99</v>
      </c>
      <c r="O89" s="24">
        <f>SUMIFS('Saldos Iniciales'!$D:$D,'Saldos Iniciales'!$A:$A,"EC Auto")+SUMIFS(Movimientos!$K$1:$K$806,Movimientos!$C$1:$C$806,"EC Auto",Movimientos!$B$1:$B$806,"&lt;="&amp;$B89)</f>
        <v>901.34</v>
      </c>
      <c r="P89" s="24">
        <f>SUMIFS('Saldos Iniciales'!$D:$D,'Saldos Iniciales'!$A:$A,"Arbor Capital Properties")+SUMIFS(Movimientos!$K$1:$K$806,Movimientos!$C$1:$C$806,"Arbor Capital Properties",Movimientos!$B$1:$B$806,"&lt;="&amp;$B89)</f>
        <v>1412.08</v>
      </c>
      <c r="Q89" s="24">
        <f>SUMIFS('Saldos Iniciales'!$D:$D,'Saldos Iniciales'!$A:$A,"2515 Overbrook")+SUMIFS(Movimientos!$K$1:$K$806,Movimientos!$C$1:$C$806,"2515 Overbrook",Movimientos!$B$1:$B$806,"&lt;="&amp;$B89)</f>
        <v>22347.56999999996</v>
      </c>
      <c r="R89" s="24">
        <f>SUMIFS('Saldos Iniciales'!$D:$D,'Saldos Iniciales'!$A:$A,"112 Florida Ave")+SUMIFS(Movimientos!$K$1:$K$806,Movimientos!$C$1:$C$806,"112 Florida Ave",Movimientos!$B$1:$B$806,"&lt;="&amp;$B89)</f>
        <v>18522.800000000003</v>
      </c>
      <c r="S89" s="24">
        <f>SUMIFS('Saldos Iniciales'!$D:$D,'Saldos Iniciales'!$A:$A,"3628 Thomas Ave")+SUMIFS(Movimientos!$K$1:$K$806,Movimientos!$C$1:$C$806,"3628 Thomas Ave",Movimientos!$B$1:$B$806,"&lt;="&amp;$B89)</f>
        <v>24085.559999999998</v>
      </c>
      <c r="T89" s="24">
        <f>SUMIFS('Saldos Iniciales'!$D:$D,'Saldos Iniciales'!$A:$A,"Green Harbor Trust")+SUMIFS(Movimientos!$K$1:$K$806,Movimientos!$C$1:$C$806,"Green Harbor Trust",Movimientos!$B$1:$B$806,"&lt;="&amp;$B89)</f>
        <v>345</v>
      </c>
      <c r="U89" s="24">
        <f>SUMIFS('Saldos Iniciales'!$D:$D,'Saldos Iniciales'!$A:$A,"Go Blue")+SUMIFS(Movimientos!$K$1:$K$806,Movimientos!$C$1:$C$806,"Go Blue",Movimientos!$B$1:$B$806,"&lt;="&amp;$B89)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Group")+SUMIFS(Movimientos!$K$1:$K$806,Movimientos!$C$1:$C$806,"CFT Group",Movimientos!$B$1:$B$806,"&lt;="&amp;$B90)</f>
        <v>2255750.7400000007</v>
      </c>
      <c r="D90" s="24">
        <f>SUMIFS('Saldos Iniciales'!$D:$D,'Saldos Iniciales'!$A:$A,"M1B")+SUMIFS(Movimientos!$K$1:$K$806,Movimientos!$C$1:$C$806,"M1B",Movimientos!$B$1:$B$806,"&lt;="&amp;$B90)</f>
        <v>80574.12000000017</v>
      </c>
      <c r="E90" s="24">
        <f>SUMIFS('Saldos Iniciales'!$D:$D,'Saldos Iniciales'!$A:$A,"Durand")+SUMIFS(Movimientos!$K$1:$K$806,Movimientos!$C$1:$C$806,"Durand",Movimientos!$B$1:$B$806,"&lt;="&amp;$B90)</f>
        <v>1669.89</v>
      </c>
      <c r="F90" s="24">
        <f>SUMIFS('Saldos Iniciales'!$D:$D,'Saldos Iniciales'!$A:$A,"A&amp;M Imports")+SUMIFS(Movimientos!$K$1:$K$806,Movimientos!$C$1:$C$806,"A&amp;M Imports",Movimientos!$B$1:$B$806,"&lt;="&amp;$B90)</f>
        <v>1415636.7399999998</v>
      </c>
      <c r="G90" s="24">
        <f>SUMIFS('Saldos Iniciales'!$D:$D,'Saldos Iniciales'!$A:$A,"SSP Capital")+SUMIFS(Movimientos!$K$1:$K$806,Movimientos!$C$1:$C$806,"SSP Capital",Movimientos!$B$1:$B$806,"&lt;="&amp;$B90)</f>
        <v>1857997.0999999996</v>
      </c>
      <c r="H90" s="24">
        <f>SUMIFS('Saldos Iniciales'!$D:$D,'Saldos Iniciales'!$A:$A,"Cross Family Trust")+SUMIFS(Movimientos!$K$1:$K$806,Movimientos!$C$1:$C$806,"Cross Family Trust",Movimientos!$B$1:$B$806,"&lt;="&amp;$B90)</f>
        <v>190496.38</v>
      </c>
      <c r="I90" s="24">
        <f>SUMIFS('Saldos Iniciales'!$D:$D,'Saldos Iniciales'!$A:$A,"Cross Security Trust")+SUMIFS(Movimientos!$K$1:$K$806,Movimientos!$C$1:$C$806,"Cross Security Trust",Movimientos!$B$1:$B$806,"&lt;="&amp;$B90)</f>
        <v>88090.37</v>
      </c>
      <c r="J90" s="24">
        <f>SUMIFS('Saldos Iniciales'!$D:$D,'Saldos Iniciales'!$A:$A,"Electrama")+SUMIFS(Movimientos!$K$1:$K$806,Movimientos!$C$1:$C$806,"Electrama",Movimientos!$B$1:$B$806,"&lt;="&amp;$B90)</f>
        <v>14580.45</v>
      </c>
      <c r="K90" s="24">
        <f>SUMIFS('Saldos Iniciales'!$D:$D,'Saldos Iniciales'!$A:$A,"Sacred Valley Capital")+SUMIFS(Movimientos!$K$1:$K$806,Movimientos!$C$1:$C$806,"Sacred Valley Capital",Movimientos!$B$1:$B$806,"&lt;="&amp;$B90)</f>
        <v>54.400000000000006</v>
      </c>
      <c r="L90" s="24">
        <f>SUMIFS('Saldos Iniciales'!$D:$D,'Saldos Iniciales'!$A:$A,"YWC Capital")+SUMIFS(Movimientos!$K$1:$K$806,Movimientos!$C$1:$C$806,"YWC Capital",Movimientos!$B$1:$B$806,"&lt;="&amp;$B90)</f>
        <v>2207.8200000000002</v>
      </c>
      <c r="M90" s="24">
        <f>SUMIFS('Saldos Iniciales'!$D:$D,'Saldos Iniciales'!$A:$A,"Soweto")+SUMIFS(Movimientos!$K$1:$K$806,Movimientos!$C$1:$C$806,"Soweto",Movimientos!$B$1:$B$806,"&lt;="&amp;$B90)</f>
        <v>1454589.72</v>
      </c>
      <c r="N90" s="24">
        <f>SUMIFS('Saldos Iniciales'!$D:$D,'Saldos Iniciales'!$A:$A,"Green Stone Trust")+SUMIFS(Movimientos!$K$1:$K$806,Movimientos!$C$1:$C$806,"Green Stone Trust",Movimientos!$B$1:$B$806,"&lt;="&amp;$B90)</f>
        <v>1968.99</v>
      </c>
      <c r="O90" s="24">
        <f>SUMIFS('Saldos Iniciales'!$D:$D,'Saldos Iniciales'!$A:$A,"EC Auto")+SUMIFS(Movimientos!$K$1:$K$806,Movimientos!$C$1:$C$806,"EC Auto",Movimientos!$B$1:$B$806,"&lt;="&amp;$B90)</f>
        <v>901.34</v>
      </c>
      <c r="P90" s="24">
        <f>SUMIFS('Saldos Iniciales'!$D:$D,'Saldos Iniciales'!$A:$A,"Arbor Capital Properties")+SUMIFS(Movimientos!$K$1:$K$806,Movimientos!$C$1:$C$806,"Arbor Capital Properties",Movimientos!$B$1:$B$806,"&lt;="&amp;$B90)</f>
        <v>1412.08</v>
      </c>
      <c r="Q90" s="24">
        <f>SUMIFS('Saldos Iniciales'!$D:$D,'Saldos Iniciales'!$A:$A,"2515 Overbrook")+SUMIFS(Movimientos!$K$1:$K$806,Movimientos!$C$1:$C$806,"2515 Overbrook",Movimientos!$B$1:$B$806,"&lt;="&amp;$B90)</f>
        <v>22347.56999999996</v>
      </c>
      <c r="R90" s="24">
        <f>SUMIFS('Saldos Iniciales'!$D:$D,'Saldos Iniciales'!$A:$A,"112 Florida Ave")+SUMIFS(Movimientos!$K$1:$K$806,Movimientos!$C$1:$C$806,"112 Florida Ave",Movimientos!$B$1:$B$806,"&lt;="&amp;$B90)</f>
        <v>18522.800000000003</v>
      </c>
      <c r="S90" s="24">
        <f>SUMIFS('Saldos Iniciales'!$D:$D,'Saldos Iniciales'!$A:$A,"3628 Thomas Ave")+SUMIFS(Movimientos!$K$1:$K$806,Movimientos!$C$1:$C$806,"3628 Thomas Ave",Movimientos!$B$1:$B$806,"&lt;="&amp;$B90)</f>
        <v>24085.559999999998</v>
      </c>
      <c r="T90" s="24">
        <f>SUMIFS('Saldos Iniciales'!$D:$D,'Saldos Iniciales'!$A:$A,"Green Harbor Trust")+SUMIFS(Movimientos!$K$1:$K$806,Movimientos!$C$1:$C$806,"Green Harbor Trust",Movimientos!$B$1:$B$806,"&lt;="&amp;$B90)</f>
        <v>345</v>
      </c>
      <c r="U90" s="24">
        <f>SUMIFS('Saldos Iniciales'!$D:$D,'Saldos Iniciales'!$A:$A,"Go Blue")+SUMIFS(Movimientos!$K$1:$K$806,Movimientos!$C$1:$C$806,"Go Blue",Movimientos!$B$1:$B$806,"&lt;="&amp;$B90)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Group")+SUMIFS(Movimientos!$K$1:$K$806,Movimientos!$C$1:$C$806,"CFT Group",Movimientos!$B$1:$B$806,"&lt;="&amp;$B91)</f>
        <v>2270539.1300000008</v>
      </c>
      <c r="D91" s="24">
        <f>SUMIFS('Saldos Iniciales'!$D:$D,'Saldos Iniciales'!$A:$A,"M1B")+SUMIFS(Movimientos!$K$1:$K$806,Movimientos!$C$1:$C$806,"M1B",Movimientos!$B$1:$B$806,"&lt;="&amp;$B91)</f>
        <v>83211.250000000175</v>
      </c>
      <c r="E91" s="24">
        <f>SUMIFS('Saldos Iniciales'!$D:$D,'Saldos Iniciales'!$A:$A,"Durand")+SUMIFS(Movimientos!$K$1:$K$806,Movimientos!$C$1:$C$806,"Durand",Movimientos!$B$1:$B$806,"&lt;="&amp;$B91)</f>
        <v>1669.89</v>
      </c>
      <c r="F91" s="24">
        <f>SUMIFS('Saldos Iniciales'!$D:$D,'Saldos Iniciales'!$A:$A,"A&amp;M Imports")+SUMIFS(Movimientos!$K$1:$K$806,Movimientos!$C$1:$C$806,"A&amp;M Imports",Movimientos!$B$1:$B$806,"&lt;="&amp;$B91)</f>
        <v>1434634.5999999999</v>
      </c>
      <c r="G91" s="24">
        <f>SUMIFS('Saldos Iniciales'!$D:$D,'Saldos Iniciales'!$A:$A,"SSP Capital")+SUMIFS(Movimientos!$K$1:$K$806,Movimientos!$C$1:$C$806,"SSP Capital",Movimientos!$B$1:$B$806,"&lt;="&amp;$B91)</f>
        <v>1857997.0999999996</v>
      </c>
      <c r="H91" s="24">
        <f>SUMIFS('Saldos Iniciales'!$D:$D,'Saldos Iniciales'!$A:$A,"Cross Family Trust")+SUMIFS(Movimientos!$K$1:$K$806,Movimientos!$C$1:$C$806,"Cross Family Trust",Movimientos!$B$1:$B$806,"&lt;="&amp;$B91)</f>
        <v>190496.38</v>
      </c>
      <c r="I91" s="24">
        <f>SUMIFS('Saldos Iniciales'!$D:$D,'Saldos Iniciales'!$A:$A,"Cross Security Trust")+SUMIFS(Movimientos!$K$1:$K$806,Movimientos!$C$1:$C$806,"Cross Security Trust",Movimientos!$B$1:$B$806,"&lt;="&amp;$B91)</f>
        <v>88090.37</v>
      </c>
      <c r="J91" s="24">
        <f>SUMIFS('Saldos Iniciales'!$D:$D,'Saldos Iniciales'!$A:$A,"Electrama")+SUMIFS(Movimientos!$K$1:$K$806,Movimientos!$C$1:$C$806,"Electrama",Movimientos!$B$1:$B$806,"&lt;="&amp;$B91)</f>
        <v>14580.45</v>
      </c>
      <c r="K91" s="24">
        <f>SUMIFS('Saldos Iniciales'!$D:$D,'Saldos Iniciales'!$A:$A,"Sacred Valley Capital")+SUMIFS(Movimientos!$K$1:$K$806,Movimientos!$C$1:$C$806,"Sacred Valley Capital",Movimientos!$B$1:$B$806,"&lt;="&amp;$B91)</f>
        <v>54.400000000000006</v>
      </c>
      <c r="L91" s="24">
        <f>SUMIFS('Saldos Iniciales'!$D:$D,'Saldos Iniciales'!$A:$A,"YWC Capital")+SUMIFS(Movimientos!$K$1:$K$806,Movimientos!$C$1:$C$806,"YWC Capital",Movimientos!$B$1:$B$806,"&lt;="&amp;$B91)</f>
        <v>2207.8200000000002</v>
      </c>
      <c r="M91" s="24">
        <f>SUMIFS('Saldos Iniciales'!$D:$D,'Saldos Iniciales'!$A:$A,"Soweto")+SUMIFS(Movimientos!$K$1:$K$806,Movimientos!$C$1:$C$806,"Soweto",Movimientos!$B$1:$B$806,"&lt;="&amp;$B91)</f>
        <v>1454589.72</v>
      </c>
      <c r="N91" s="24">
        <f>SUMIFS('Saldos Iniciales'!$D:$D,'Saldos Iniciales'!$A:$A,"Green Stone Trust")+SUMIFS(Movimientos!$K$1:$K$806,Movimientos!$C$1:$C$806,"Green Stone Trust",Movimientos!$B$1:$B$806,"&lt;="&amp;$B91)</f>
        <v>1968.99</v>
      </c>
      <c r="O91" s="24">
        <f>SUMIFS('Saldos Iniciales'!$D:$D,'Saldos Iniciales'!$A:$A,"EC Auto")+SUMIFS(Movimientos!$K$1:$K$806,Movimientos!$C$1:$C$806,"EC Auto",Movimientos!$B$1:$B$806,"&lt;="&amp;$B91)</f>
        <v>901.34</v>
      </c>
      <c r="P91" s="24">
        <f>SUMIFS('Saldos Iniciales'!$D:$D,'Saldos Iniciales'!$A:$A,"Arbor Capital Properties")+SUMIFS(Movimientos!$K$1:$K$806,Movimientos!$C$1:$C$806,"Arbor Capital Properties",Movimientos!$B$1:$B$806,"&lt;="&amp;$B91)</f>
        <v>1412.08</v>
      </c>
      <c r="Q91" s="24">
        <f>SUMIFS('Saldos Iniciales'!$D:$D,'Saldos Iniciales'!$A:$A,"2515 Overbrook")+SUMIFS(Movimientos!$K$1:$K$806,Movimientos!$C$1:$C$806,"2515 Overbrook",Movimientos!$B$1:$B$806,"&lt;="&amp;$B91)</f>
        <v>22347.56999999996</v>
      </c>
      <c r="R91" s="24">
        <f>SUMIFS('Saldos Iniciales'!$D:$D,'Saldos Iniciales'!$A:$A,"112 Florida Ave")+SUMIFS(Movimientos!$K$1:$K$806,Movimientos!$C$1:$C$806,"112 Florida Ave",Movimientos!$B$1:$B$806,"&lt;="&amp;$B91)</f>
        <v>18522.800000000003</v>
      </c>
      <c r="S91" s="24">
        <f>SUMIFS('Saldos Iniciales'!$D:$D,'Saldos Iniciales'!$A:$A,"3628 Thomas Ave")+SUMIFS(Movimientos!$K$1:$K$806,Movimientos!$C$1:$C$806,"3628 Thomas Ave",Movimientos!$B$1:$B$806,"&lt;="&amp;$B91)</f>
        <v>24085.559999999998</v>
      </c>
      <c r="T91" s="24">
        <f>SUMIFS('Saldos Iniciales'!$D:$D,'Saldos Iniciales'!$A:$A,"Green Harbor Trust")+SUMIFS(Movimientos!$K$1:$K$806,Movimientos!$C$1:$C$806,"Green Harbor Trust",Movimientos!$B$1:$B$806,"&lt;="&amp;$B91)</f>
        <v>345</v>
      </c>
      <c r="U91" s="24">
        <f>SUMIFS('Saldos Iniciales'!$D:$D,'Saldos Iniciales'!$A:$A,"Go Blue")+SUMIFS(Movimientos!$K$1:$K$806,Movimientos!$C$1:$C$806,"Go Blue",Movimientos!$B$1:$B$806,"&lt;="&amp;$B91)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Group")+SUMIFS(Movimientos!$K$1:$K$806,Movimientos!$C$1:$C$806,"CFT Group",Movimientos!$B$1:$B$806,"&lt;="&amp;$B92)</f>
        <v>2470350.7000000002</v>
      </c>
      <c r="D92" s="24">
        <f>SUMIFS('Saldos Iniciales'!$D:$D,'Saldos Iniciales'!$A:$A,"M1B")+SUMIFS(Movimientos!$K$1:$K$806,Movimientos!$C$1:$C$806,"M1B",Movimientos!$B$1:$B$806,"&lt;="&amp;$B92)</f>
        <v>83211.250000000175</v>
      </c>
      <c r="E92" s="24">
        <f>SUMIFS('Saldos Iniciales'!$D:$D,'Saldos Iniciales'!$A:$A,"Durand")+SUMIFS(Movimientos!$K$1:$K$806,Movimientos!$C$1:$C$806,"Durand",Movimientos!$B$1:$B$806,"&lt;="&amp;$B92)</f>
        <v>1669.89</v>
      </c>
      <c r="F92" s="24">
        <f>SUMIFS('Saldos Iniciales'!$D:$D,'Saldos Iniciales'!$A:$A,"A&amp;M Imports")+SUMIFS(Movimientos!$K$1:$K$806,Movimientos!$C$1:$C$806,"A&amp;M Imports",Movimientos!$B$1:$B$806,"&lt;="&amp;$B92)</f>
        <v>1458426.0399999998</v>
      </c>
      <c r="G92" s="24">
        <f>SUMIFS('Saldos Iniciales'!$D:$D,'Saldos Iniciales'!$A:$A,"SSP Capital")+SUMIFS(Movimientos!$K$1:$K$806,Movimientos!$C$1:$C$806,"SSP Capital",Movimientos!$B$1:$B$806,"&lt;="&amp;$B92)</f>
        <v>1857993.8499999996</v>
      </c>
      <c r="H92" s="24">
        <f>SUMIFS('Saldos Iniciales'!$D:$D,'Saldos Iniciales'!$A:$A,"Cross Family Trust")+SUMIFS(Movimientos!$K$1:$K$806,Movimientos!$C$1:$C$806,"Cross Family Trust",Movimientos!$B$1:$B$806,"&lt;="&amp;$B92)</f>
        <v>190496.38</v>
      </c>
      <c r="I92" s="24">
        <f>SUMIFS('Saldos Iniciales'!$D:$D,'Saldos Iniciales'!$A:$A,"Cross Security Trust")+SUMIFS(Movimientos!$K$1:$K$806,Movimientos!$C$1:$C$806,"Cross Security Trust",Movimientos!$B$1:$B$806,"&lt;="&amp;$B92)</f>
        <v>88090.37</v>
      </c>
      <c r="J92" s="24">
        <f>SUMIFS('Saldos Iniciales'!$D:$D,'Saldos Iniciales'!$A:$A,"Electrama")+SUMIFS(Movimientos!$K$1:$K$806,Movimientos!$C$1:$C$806,"Electrama",Movimientos!$B$1:$B$806,"&lt;="&amp;$B92)</f>
        <v>14580.45</v>
      </c>
      <c r="K92" s="24">
        <f>SUMIFS('Saldos Iniciales'!$D:$D,'Saldos Iniciales'!$A:$A,"Sacred Valley Capital")+SUMIFS(Movimientos!$K$1:$K$806,Movimientos!$C$1:$C$806,"Sacred Valley Capital",Movimientos!$B$1:$B$806,"&lt;="&amp;$B92)</f>
        <v>54.400000000000006</v>
      </c>
      <c r="L92" s="24">
        <f>SUMIFS('Saldos Iniciales'!$D:$D,'Saldos Iniciales'!$A:$A,"YWC Capital")+SUMIFS(Movimientos!$K$1:$K$806,Movimientos!$C$1:$C$806,"YWC Capital",Movimientos!$B$1:$B$806,"&lt;="&amp;$B92)</f>
        <v>2207.8200000000002</v>
      </c>
      <c r="M92" s="24">
        <f>SUMIFS('Saldos Iniciales'!$D:$D,'Saldos Iniciales'!$A:$A,"Soweto")+SUMIFS(Movimientos!$K$1:$K$806,Movimientos!$C$1:$C$806,"Soweto",Movimientos!$B$1:$B$806,"&lt;="&amp;$B92)</f>
        <v>1454589.72</v>
      </c>
      <c r="N92" s="24">
        <f>SUMIFS('Saldos Iniciales'!$D:$D,'Saldos Iniciales'!$A:$A,"Green Stone Trust")+SUMIFS(Movimientos!$K$1:$K$806,Movimientos!$C$1:$C$806,"Green Stone Trust",Movimientos!$B$1:$B$806,"&lt;="&amp;$B92)</f>
        <v>1968.99</v>
      </c>
      <c r="O92" s="24">
        <f>SUMIFS('Saldos Iniciales'!$D:$D,'Saldos Iniciales'!$A:$A,"EC Auto")+SUMIFS(Movimientos!$K$1:$K$806,Movimientos!$C$1:$C$806,"EC Auto",Movimientos!$B$1:$B$806,"&lt;="&amp;$B92)</f>
        <v>901.34</v>
      </c>
      <c r="P92" s="24">
        <f>SUMIFS('Saldos Iniciales'!$D:$D,'Saldos Iniciales'!$A:$A,"Arbor Capital Properties")+SUMIFS(Movimientos!$K$1:$K$806,Movimientos!$C$1:$C$806,"Arbor Capital Properties",Movimientos!$B$1:$B$806,"&lt;="&amp;$B92)</f>
        <v>1412.08</v>
      </c>
      <c r="Q92" s="24">
        <f>SUMIFS('Saldos Iniciales'!$D:$D,'Saldos Iniciales'!$A:$A,"2515 Overbrook")+SUMIFS(Movimientos!$K$1:$K$806,Movimientos!$C$1:$C$806,"2515 Overbrook",Movimientos!$B$1:$B$806,"&lt;="&amp;$B92)</f>
        <v>22347.56999999996</v>
      </c>
      <c r="R92" s="24">
        <f>SUMIFS('Saldos Iniciales'!$D:$D,'Saldos Iniciales'!$A:$A,"112 Florida Ave")+SUMIFS(Movimientos!$K$1:$K$806,Movimientos!$C$1:$C$806,"112 Florida Ave",Movimientos!$B$1:$B$806,"&lt;="&amp;$B92)</f>
        <v>18522.800000000003</v>
      </c>
      <c r="S92" s="24">
        <f>SUMIFS('Saldos Iniciales'!$D:$D,'Saldos Iniciales'!$A:$A,"3628 Thomas Ave")+SUMIFS(Movimientos!$K$1:$K$806,Movimientos!$C$1:$C$806,"3628 Thomas Ave",Movimientos!$B$1:$B$806,"&lt;="&amp;$B92)</f>
        <v>24085.559999999998</v>
      </c>
      <c r="T92" s="24">
        <f>SUMIFS('Saldos Iniciales'!$D:$D,'Saldos Iniciales'!$A:$A,"Green Harbor Trust")+SUMIFS(Movimientos!$K$1:$K$806,Movimientos!$C$1:$C$806,"Green Harbor Trust",Movimientos!$B$1:$B$806,"&lt;="&amp;$B92)</f>
        <v>345</v>
      </c>
      <c r="U92" s="24">
        <f>SUMIFS('Saldos Iniciales'!$D:$D,'Saldos Iniciales'!$A:$A,"Go Blue")+SUMIFS(Movimientos!$K$1:$K$806,Movimientos!$C$1:$C$806,"Go Blue",Movimientos!$B$1:$B$806,"&lt;="&amp;$B92)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Group")+SUMIFS(Movimientos!$K$1:$K$806,Movimientos!$C$1:$C$806,"CFT Group",Movimientos!$B$1:$B$806,"&lt;="&amp;$B93)</f>
        <v>2468032.08</v>
      </c>
      <c r="D93" s="24">
        <f>SUMIFS('Saldos Iniciales'!$D:$D,'Saldos Iniciales'!$A:$A,"M1B")+SUMIFS(Movimientos!$K$1:$K$806,Movimientos!$C$1:$C$806,"M1B",Movimientos!$B$1:$B$806,"&lt;="&amp;$B93)</f>
        <v>83211.250000000175</v>
      </c>
      <c r="E93" s="24">
        <f>SUMIFS('Saldos Iniciales'!$D:$D,'Saldos Iniciales'!$A:$A,"Durand")+SUMIFS(Movimientos!$K$1:$K$806,Movimientos!$C$1:$C$806,"Durand",Movimientos!$B$1:$B$806,"&lt;="&amp;$B93)</f>
        <v>1669.89</v>
      </c>
      <c r="F93" s="24">
        <f>SUMIFS('Saldos Iniciales'!$D:$D,'Saldos Iniciales'!$A:$A,"A&amp;M Imports")+SUMIFS(Movimientos!$K$1:$K$806,Movimientos!$C$1:$C$806,"A&amp;M Imports",Movimientos!$B$1:$B$806,"&lt;="&amp;$B93)</f>
        <v>1458426.0399999998</v>
      </c>
      <c r="G93" s="24">
        <f>SUMIFS('Saldos Iniciales'!$D:$D,'Saldos Iniciales'!$A:$A,"SSP Capital")+SUMIFS(Movimientos!$K$1:$K$806,Movimientos!$C$1:$C$806,"SSP Capital",Movimientos!$B$1:$B$806,"&lt;="&amp;$B93)</f>
        <v>1514477.1199999996</v>
      </c>
      <c r="H93" s="24">
        <f>SUMIFS('Saldos Iniciales'!$D:$D,'Saldos Iniciales'!$A:$A,"Cross Family Trust")+SUMIFS(Movimientos!$K$1:$K$806,Movimientos!$C$1:$C$806,"Cross Family Trust",Movimientos!$B$1:$B$806,"&lt;="&amp;$B93)</f>
        <v>190496.38</v>
      </c>
      <c r="I93" s="24">
        <f>SUMIFS('Saldos Iniciales'!$D:$D,'Saldos Iniciales'!$A:$A,"Cross Security Trust")+SUMIFS(Movimientos!$K$1:$K$806,Movimientos!$C$1:$C$806,"Cross Security Trust",Movimientos!$B$1:$B$806,"&lt;="&amp;$B93)</f>
        <v>88090.37</v>
      </c>
      <c r="J93" s="24">
        <f>SUMIFS('Saldos Iniciales'!$D:$D,'Saldos Iniciales'!$A:$A,"Electrama")+SUMIFS(Movimientos!$K$1:$K$806,Movimientos!$C$1:$C$806,"Electrama",Movimientos!$B$1:$B$806,"&lt;="&amp;$B93)</f>
        <v>14580.45</v>
      </c>
      <c r="K93" s="24">
        <f>SUMIFS('Saldos Iniciales'!$D:$D,'Saldos Iniciales'!$A:$A,"Sacred Valley Capital")+SUMIFS(Movimientos!$K$1:$K$806,Movimientos!$C$1:$C$806,"Sacred Valley Capital",Movimientos!$B$1:$B$806,"&lt;="&amp;$B93)</f>
        <v>54.400000000000006</v>
      </c>
      <c r="L93" s="24">
        <f>SUMIFS('Saldos Iniciales'!$D:$D,'Saldos Iniciales'!$A:$A,"YWC Capital")+SUMIFS(Movimientos!$K$1:$K$806,Movimientos!$C$1:$C$806,"YWC Capital",Movimientos!$B$1:$B$806,"&lt;="&amp;$B93)</f>
        <v>2207.8200000000002</v>
      </c>
      <c r="M93" s="24">
        <f>SUMIFS('Saldos Iniciales'!$D:$D,'Saldos Iniciales'!$A:$A,"Soweto")+SUMIFS(Movimientos!$K$1:$K$806,Movimientos!$C$1:$C$806,"Soweto",Movimientos!$B$1:$B$806,"&lt;="&amp;$B93)</f>
        <v>1454589.72</v>
      </c>
      <c r="N93" s="24">
        <f>SUMIFS('Saldos Iniciales'!$D:$D,'Saldos Iniciales'!$A:$A,"Green Stone Trust")+SUMIFS(Movimientos!$K$1:$K$806,Movimientos!$C$1:$C$806,"Green Stone Trust",Movimientos!$B$1:$B$806,"&lt;="&amp;$B93)</f>
        <v>1968.99</v>
      </c>
      <c r="O93" s="24">
        <f>SUMIFS('Saldos Iniciales'!$D:$D,'Saldos Iniciales'!$A:$A,"EC Auto")+SUMIFS(Movimientos!$K$1:$K$806,Movimientos!$C$1:$C$806,"EC Auto",Movimientos!$B$1:$B$806,"&lt;="&amp;$B93)</f>
        <v>901.34</v>
      </c>
      <c r="P93" s="24">
        <f>SUMIFS('Saldos Iniciales'!$D:$D,'Saldos Iniciales'!$A:$A,"Arbor Capital Properties")+SUMIFS(Movimientos!$K$1:$K$806,Movimientos!$C$1:$C$806,"Arbor Capital Properties",Movimientos!$B$1:$B$806,"&lt;="&amp;$B93)</f>
        <v>1412.08</v>
      </c>
      <c r="Q93" s="24">
        <f>SUMIFS('Saldos Iniciales'!$D:$D,'Saldos Iniciales'!$A:$A,"2515 Overbrook")+SUMIFS(Movimientos!$K$1:$K$806,Movimientos!$C$1:$C$806,"2515 Overbrook",Movimientos!$B$1:$B$806,"&lt;="&amp;$B93)</f>
        <v>22347.56999999996</v>
      </c>
      <c r="R93" s="24">
        <f>SUMIFS('Saldos Iniciales'!$D:$D,'Saldos Iniciales'!$A:$A,"112 Florida Ave")+SUMIFS(Movimientos!$K$1:$K$806,Movimientos!$C$1:$C$806,"112 Florida Ave",Movimientos!$B$1:$B$806,"&lt;="&amp;$B93)</f>
        <v>18522.800000000003</v>
      </c>
      <c r="S93" s="24">
        <f>SUMIFS('Saldos Iniciales'!$D:$D,'Saldos Iniciales'!$A:$A,"3628 Thomas Ave")+SUMIFS(Movimientos!$K$1:$K$806,Movimientos!$C$1:$C$806,"3628 Thomas Ave",Movimientos!$B$1:$B$806,"&lt;="&amp;$B93)</f>
        <v>24085.559999999998</v>
      </c>
      <c r="T93" s="24">
        <f>SUMIFS('Saldos Iniciales'!$D:$D,'Saldos Iniciales'!$A:$A,"Green Harbor Trust")+SUMIFS(Movimientos!$K$1:$K$806,Movimientos!$C$1:$C$806,"Green Harbor Trust",Movimientos!$B$1:$B$806,"&lt;="&amp;$B93)</f>
        <v>345</v>
      </c>
      <c r="U93" s="24">
        <f>SUMIFS('Saldos Iniciales'!$D:$D,'Saldos Iniciales'!$A:$A,"Go Blue")+SUMIFS(Movimientos!$K$1:$K$806,Movimientos!$C$1:$C$806,"Go Blue",Movimientos!$B$1:$B$806,"&lt;="&amp;$B93)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Group")+SUMIFS(Movimientos!$K$1:$K$806,Movimientos!$C$1:$C$806,"CFT Group",Movimientos!$B$1:$B$806,"&lt;="&amp;$B94)</f>
        <v>2468032.08</v>
      </c>
      <c r="D94" s="24">
        <f>SUMIFS('Saldos Iniciales'!$D:$D,'Saldos Iniciales'!$A:$A,"M1B")+SUMIFS(Movimientos!$K$1:$K$806,Movimientos!$C$1:$C$806,"M1B",Movimientos!$B$1:$B$806,"&lt;="&amp;$B94)</f>
        <v>83211.250000000175</v>
      </c>
      <c r="E94" s="24">
        <f>SUMIFS('Saldos Iniciales'!$D:$D,'Saldos Iniciales'!$A:$A,"Durand")+SUMIFS(Movimientos!$K$1:$K$806,Movimientos!$C$1:$C$806,"Durand",Movimientos!$B$1:$B$806,"&lt;="&amp;$B94)</f>
        <v>1669.89</v>
      </c>
      <c r="F94" s="24">
        <f>SUMIFS('Saldos Iniciales'!$D:$D,'Saldos Iniciales'!$A:$A,"A&amp;M Imports")+SUMIFS(Movimientos!$K$1:$K$806,Movimientos!$C$1:$C$806,"A&amp;M Imports",Movimientos!$B$1:$B$806,"&lt;="&amp;$B94)</f>
        <v>1458426.0399999998</v>
      </c>
      <c r="G94" s="24">
        <f>SUMIFS('Saldos Iniciales'!$D:$D,'Saldos Iniciales'!$A:$A,"SSP Capital")+SUMIFS(Movimientos!$K$1:$K$806,Movimientos!$C$1:$C$806,"SSP Capital",Movimientos!$B$1:$B$806,"&lt;="&amp;$B94)</f>
        <v>1514477.1199999996</v>
      </c>
      <c r="H94" s="24">
        <f>SUMIFS('Saldos Iniciales'!$D:$D,'Saldos Iniciales'!$A:$A,"Cross Family Trust")+SUMIFS(Movimientos!$K$1:$K$806,Movimientos!$C$1:$C$806,"Cross Family Trust",Movimientos!$B$1:$B$806,"&lt;="&amp;$B94)</f>
        <v>190496.38</v>
      </c>
      <c r="I94" s="24">
        <f>SUMIFS('Saldos Iniciales'!$D:$D,'Saldos Iniciales'!$A:$A,"Cross Security Trust")+SUMIFS(Movimientos!$K$1:$K$806,Movimientos!$C$1:$C$806,"Cross Security Trust",Movimientos!$B$1:$B$806,"&lt;="&amp;$B94)</f>
        <v>88090.37</v>
      </c>
      <c r="J94" s="24">
        <f>SUMIFS('Saldos Iniciales'!$D:$D,'Saldos Iniciales'!$A:$A,"Electrama")+SUMIFS(Movimientos!$K$1:$K$806,Movimientos!$C$1:$C$806,"Electrama",Movimientos!$B$1:$B$806,"&lt;="&amp;$B94)</f>
        <v>14580.45</v>
      </c>
      <c r="K94" s="24">
        <f>SUMIFS('Saldos Iniciales'!$D:$D,'Saldos Iniciales'!$A:$A,"Sacred Valley Capital")+SUMIFS(Movimientos!$K$1:$K$806,Movimientos!$C$1:$C$806,"Sacred Valley Capital",Movimientos!$B$1:$B$806,"&lt;="&amp;$B94)</f>
        <v>54.400000000000006</v>
      </c>
      <c r="L94" s="24">
        <f>SUMIFS('Saldos Iniciales'!$D:$D,'Saldos Iniciales'!$A:$A,"YWC Capital")+SUMIFS(Movimientos!$K$1:$K$806,Movimientos!$C$1:$C$806,"YWC Capital",Movimientos!$B$1:$B$806,"&lt;="&amp;$B94)</f>
        <v>2207.8200000000002</v>
      </c>
      <c r="M94" s="24">
        <f>SUMIFS('Saldos Iniciales'!$D:$D,'Saldos Iniciales'!$A:$A,"Soweto")+SUMIFS(Movimientos!$K$1:$K$806,Movimientos!$C$1:$C$806,"Soweto",Movimientos!$B$1:$B$806,"&lt;="&amp;$B94)</f>
        <v>1454589.72</v>
      </c>
      <c r="N94" s="24">
        <f>SUMIFS('Saldos Iniciales'!$D:$D,'Saldos Iniciales'!$A:$A,"Green Stone Trust")+SUMIFS(Movimientos!$K$1:$K$806,Movimientos!$C$1:$C$806,"Green Stone Trust",Movimientos!$B$1:$B$806,"&lt;="&amp;$B94)</f>
        <v>1968.99</v>
      </c>
      <c r="O94" s="24">
        <f>SUMIFS('Saldos Iniciales'!$D:$D,'Saldos Iniciales'!$A:$A,"EC Auto")+SUMIFS(Movimientos!$K$1:$K$806,Movimientos!$C$1:$C$806,"EC Auto",Movimientos!$B$1:$B$806,"&lt;="&amp;$B94)</f>
        <v>901.34</v>
      </c>
      <c r="P94" s="24">
        <f>SUMIFS('Saldos Iniciales'!$D:$D,'Saldos Iniciales'!$A:$A,"Arbor Capital Properties")+SUMIFS(Movimientos!$K$1:$K$806,Movimientos!$C$1:$C$806,"Arbor Capital Properties",Movimientos!$B$1:$B$806,"&lt;="&amp;$B94)</f>
        <v>1412.08</v>
      </c>
      <c r="Q94" s="24">
        <f>SUMIFS('Saldos Iniciales'!$D:$D,'Saldos Iniciales'!$A:$A,"2515 Overbrook")+SUMIFS(Movimientos!$K$1:$K$806,Movimientos!$C$1:$C$806,"2515 Overbrook",Movimientos!$B$1:$B$806,"&lt;="&amp;$B94)</f>
        <v>22347.56999999996</v>
      </c>
      <c r="R94" s="24">
        <f>SUMIFS('Saldos Iniciales'!$D:$D,'Saldos Iniciales'!$A:$A,"112 Florida Ave")+SUMIFS(Movimientos!$K$1:$K$806,Movimientos!$C$1:$C$806,"112 Florida Ave",Movimientos!$B$1:$B$806,"&lt;="&amp;$B94)</f>
        <v>18522.800000000003</v>
      </c>
      <c r="S94" s="24">
        <f>SUMIFS('Saldos Iniciales'!$D:$D,'Saldos Iniciales'!$A:$A,"3628 Thomas Ave")+SUMIFS(Movimientos!$K$1:$K$806,Movimientos!$C$1:$C$806,"3628 Thomas Ave",Movimientos!$B$1:$B$806,"&lt;="&amp;$B94)</f>
        <v>24085.559999999998</v>
      </c>
      <c r="T94" s="24">
        <f>SUMIFS('Saldos Iniciales'!$D:$D,'Saldos Iniciales'!$A:$A,"Green Harbor Trust")+SUMIFS(Movimientos!$K$1:$K$806,Movimientos!$C$1:$C$806,"Green Harbor Trust",Movimientos!$B$1:$B$806,"&lt;="&amp;$B94)</f>
        <v>345</v>
      </c>
      <c r="U94" s="24">
        <f>SUMIFS('Saldos Iniciales'!$D:$D,'Saldos Iniciales'!$A:$A,"Go Blue")+SUMIFS(Movimientos!$K$1:$K$806,Movimientos!$C$1:$C$806,"Go Blue",Movimientos!$B$1:$B$806,"&lt;="&amp;$B94)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Group")+SUMIFS(Movimientos!$K$1:$K$806,Movimientos!$C$1:$C$806,"CFT Group",Movimientos!$B$1:$B$806,"&lt;="&amp;$B95)</f>
        <v>2468032.08</v>
      </c>
      <c r="D95" s="24">
        <f>SUMIFS('Saldos Iniciales'!$D:$D,'Saldos Iniciales'!$A:$A,"M1B")+SUMIFS(Movimientos!$K$1:$K$806,Movimientos!$C$1:$C$806,"M1B",Movimientos!$B$1:$B$806,"&lt;="&amp;$B95)</f>
        <v>83211.250000000175</v>
      </c>
      <c r="E95" s="24">
        <f>SUMIFS('Saldos Iniciales'!$D:$D,'Saldos Iniciales'!$A:$A,"Durand")+SUMIFS(Movimientos!$K$1:$K$806,Movimientos!$C$1:$C$806,"Durand",Movimientos!$B$1:$B$806,"&lt;="&amp;$B95)</f>
        <v>1669.89</v>
      </c>
      <c r="F95" s="24">
        <f>SUMIFS('Saldos Iniciales'!$D:$D,'Saldos Iniciales'!$A:$A,"A&amp;M Imports")+SUMIFS(Movimientos!$K$1:$K$806,Movimientos!$C$1:$C$806,"A&amp;M Imports",Movimientos!$B$1:$B$806,"&lt;="&amp;$B95)</f>
        <v>1458426.0399999998</v>
      </c>
      <c r="G95" s="24">
        <f>SUMIFS('Saldos Iniciales'!$D:$D,'Saldos Iniciales'!$A:$A,"SSP Capital")+SUMIFS(Movimientos!$K$1:$K$806,Movimientos!$C$1:$C$806,"SSP Capital",Movimientos!$B$1:$B$806,"&lt;="&amp;$B95)</f>
        <v>1514477.1199999996</v>
      </c>
      <c r="H95" s="24">
        <f>SUMIFS('Saldos Iniciales'!$D:$D,'Saldos Iniciales'!$A:$A,"Cross Family Trust")+SUMIFS(Movimientos!$K$1:$K$806,Movimientos!$C$1:$C$806,"Cross Family Trust",Movimientos!$B$1:$B$806,"&lt;="&amp;$B95)</f>
        <v>190496.38</v>
      </c>
      <c r="I95" s="24">
        <f>SUMIFS('Saldos Iniciales'!$D:$D,'Saldos Iniciales'!$A:$A,"Cross Security Trust")+SUMIFS(Movimientos!$K$1:$K$806,Movimientos!$C$1:$C$806,"Cross Security Trust",Movimientos!$B$1:$B$806,"&lt;="&amp;$B95)</f>
        <v>88090.37</v>
      </c>
      <c r="J95" s="24">
        <f>SUMIFS('Saldos Iniciales'!$D:$D,'Saldos Iniciales'!$A:$A,"Electrama")+SUMIFS(Movimientos!$K$1:$K$806,Movimientos!$C$1:$C$806,"Electrama",Movimientos!$B$1:$B$806,"&lt;="&amp;$B95)</f>
        <v>14580.45</v>
      </c>
      <c r="K95" s="24">
        <f>SUMIFS('Saldos Iniciales'!$D:$D,'Saldos Iniciales'!$A:$A,"Sacred Valley Capital")+SUMIFS(Movimientos!$K$1:$K$806,Movimientos!$C$1:$C$806,"Sacred Valley Capital",Movimientos!$B$1:$B$806,"&lt;="&amp;$B95)</f>
        <v>54.400000000000006</v>
      </c>
      <c r="L95" s="24">
        <f>SUMIFS('Saldos Iniciales'!$D:$D,'Saldos Iniciales'!$A:$A,"YWC Capital")+SUMIFS(Movimientos!$K$1:$K$806,Movimientos!$C$1:$C$806,"YWC Capital",Movimientos!$B$1:$B$806,"&lt;="&amp;$B95)</f>
        <v>2207.8200000000002</v>
      </c>
      <c r="M95" s="24">
        <f>SUMIFS('Saldos Iniciales'!$D:$D,'Saldos Iniciales'!$A:$A,"Soweto")+SUMIFS(Movimientos!$K$1:$K$806,Movimientos!$C$1:$C$806,"Soweto",Movimientos!$B$1:$B$806,"&lt;="&amp;$B95)</f>
        <v>1454589.72</v>
      </c>
      <c r="N95" s="24">
        <f>SUMIFS('Saldos Iniciales'!$D:$D,'Saldos Iniciales'!$A:$A,"Green Stone Trust")+SUMIFS(Movimientos!$K$1:$K$806,Movimientos!$C$1:$C$806,"Green Stone Trust",Movimientos!$B$1:$B$806,"&lt;="&amp;$B95)</f>
        <v>1968.99</v>
      </c>
      <c r="O95" s="24">
        <f>SUMIFS('Saldos Iniciales'!$D:$D,'Saldos Iniciales'!$A:$A,"EC Auto")+SUMIFS(Movimientos!$K$1:$K$806,Movimientos!$C$1:$C$806,"EC Auto",Movimientos!$B$1:$B$806,"&lt;="&amp;$B95)</f>
        <v>901.34</v>
      </c>
      <c r="P95" s="24">
        <f>SUMIFS('Saldos Iniciales'!$D:$D,'Saldos Iniciales'!$A:$A,"Arbor Capital Properties")+SUMIFS(Movimientos!$K$1:$K$806,Movimientos!$C$1:$C$806,"Arbor Capital Properties",Movimientos!$B$1:$B$806,"&lt;="&amp;$B95)</f>
        <v>1412.08</v>
      </c>
      <c r="Q95" s="24">
        <f>SUMIFS('Saldos Iniciales'!$D:$D,'Saldos Iniciales'!$A:$A,"2515 Overbrook")+SUMIFS(Movimientos!$K$1:$K$806,Movimientos!$C$1:$C$806,"2515 Overbrook",Movimientos!$B$1:$B$806,"&lt;="&amp;$B95)</f>
        <v>22347.56999999996</v>
      </c>
      <c r="R95" s="24">
        <f>SUMIFS('Saldos Iniciales'!$D:$D,'Saldos Iniciales'!$A:$A,"112 Florida Ave")+SUMIFS(Movimientos!$K$1:$K$806,Movimientos!$C$1:$C$806,"112 Florida Ave",Movimientos!$B$1:$B$806,"&lt;="&amp;$B95)</f>
        <v>18522.800000000003</v>
      </c>
      <c r="S95" s="24">
        <f>SUMIFS('Saldos Iniciales'!$D:$D,'Saldos Iniciales'!$A:$A,"3628 Thomas Ave")+SUMIFS(Movimientos!$K$1:$K$806,Movimientos!$C$1:$C$806,"3628 Thomas Ave",Movimientos!$B$1:$B$806,"&lt;="&amp;$B95)</f>
        <v>24085.559999999998</v>
      </c>
      <c r="T95" s="24">
        <f>SUMIFS('Saldos Iniciales'!$D:$D,'Saldos Iniciales'!$A:$A,"Green Harbor Trust")+SUMIFS(Movimientos!$K$1:$K$806,Movimientos!$C$1:$C$806,"Green Harbor Trust",Movimientos!$B$1:$B$806,"&lt;="&amp;$B95)</f>
        <v>345</v>
      </c>
      <c r="U95" s="24">
        <f>SUMIFS('Saldos Iniciales'!$D:$D,'Saldos Iniciales'!$A:$A,"Go Blue")+SUMIFS(Movimientos!$K$1:$K$806,Movimientos!$C$1:$C$806,"Go Blue",Movimientos!$B$1:$B$806,"&lt;="&amp;$B95)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Group")+SUMIFS(Movimientos!$K$1:$K$806,Movimientos!$C$1:$C$806,"CFT Group",Movimientos!$B$1:$B$806,"&lt;="&amp;$B96)</f>
        <v>2468032.08</v>
      </c>
      <c r="D96" s="24">
        <f>SUMIFS('Saldos Iniciales'!$D:$D,'Saldos Iniciales'!$A:$A,"M1B")+SUMIFS(Movimientos!$K$1:$K$806,Movimientos!$C$1:$C$806,"M1B",Movimientos!$B$1:$B$806,"&lt;="&amp;$B96)</f>
        <v>83211.250000000175</v>
      </c>
      <c r="E96" s="24">
        <f>SUMIFS('Saldos Iniciales'!$D:$D,'Saldos Iniciales'!$A:$A,"Durand")+SUMIFS(Movimientos!$K$1:$K$806,Movimientos!$C$1:$C$806,"Durand",Movimientos!$B$1:$B$806,"&lt;="&amp;$B96)</f>
        <v>1669.89</v>
      </c>
      <c r="F96" s="24">
        <f>SUMIFS('Saldos Iniciales'!$D:$D,'Saldos Iniciales'!$A:$A,"A&amp;M Imports")+SUMIFS(Movimientos!$K$1:$K$806,Movimientos!$C$1:$C$806,"A&amp;M Imports",Movimientos!$B$1:$B$806,"&lt;="&amp;$B96)</f>
        <v>1458426.0399999998</v>
      </c>
      <c r="G96" s="24">
        <f>SUMIFS('Saldos Iniciales'!$D:$D,'Saldos Iniciales'!$A:$A,"SSP Capital")+SUMIFS(Movimientos!$K$1:$K$806,Movimientos!$C$1:$C$806,"SSP Capital",Movimientos!$B$1:$B$806,"&lt;="&amp;$B96)</f>
        <v>1514477.1199999996</v>
      </c>
      <c r="H96" s="24">
        <f>SUMIFS('Saldos Iniciales'!$D:$D,'Saldos Iniciales'!$A:$A,"Cross Family Trust")+SUMIFS(Movimientos!$K$1:$K$806,Movimientos!$C$1:$C$806,"Cross Family Trust",Movimientos!$B$1:$B$806,"&lt;="&amp;$B96)</f>
        <v>190496.38</v>
      </c>
      <c r="I96" s="24">
        <f>SUMIFS('Saldos Iniciales'!$D:$D,'Saldos Iniciales'!$A:$A,"Cross Security Trust")+SUMIFS(Movimientos!$K$1:$K$806,Movimientos!$C$1:$C$806,"Cross Security Trust",Movimientos!$B$1:$B$806,"&lt;="&amp;$B96)</f>
        <v>88090.37</v>
      </c>
      <c r="J96" s="24">
        <f>SUMIFS('Saldos Iniciales'!$D:$D,'Saldos Iniciales'!$A:$A,"Electrama")+SUMIFS(Movimientos!$K$1:$K$806,Movimientos!$C$1:$C$806,"Electrama",Movimientos!$B$1:$B$806,"&lt;="&amp;$B96)</f>
        <v>14580.45</v>
      </c>
      <c r="K96" s="24">
        <f>SUMIFS('Saldos Iniciales'!$D:$D,'Saldos Iniciales'!$A:$A,"Sacred Valley Capital")+SUMIFS(Movimientos!$K$1:$K$806,Movimientos!$C$1:$C$806,"Sacred Valley Capital",Movimientos!$B$1:$B$806,"&lt;="&amp;$B96)</f>
        <v>24.450000000000003</v>
      </c>
      <c r="L96" s="24">
        <f>SUMIFS('Saldos Iniciales'!$D:$D,'Saldos Iniciales'!$A:$A,"YWC Capital")+SUMIFS(Movimientos!$K$1:$K$806,Movimientos!$C$1:$C$806,"YWC Capital",Movimientos!$B$1:$B$806,"&lt;="&amp;$B96)</f>
        <v>2177.87</v>
      </c>
      <c r="M96" s="24">
        <f>SUMIFS('Saldos Iniciales'!$D:$D,'Saldos Iniciales'!$A:$A,"Soweto")+SUMIFS(Movimientos!$K$1:$K$806,Movimientos!$C$1:$C$806,"Soweto",Movimientos!$B$1:$B$806,"&lt;="&amp;$B96)</f>
        <v>1454589.72</v>
      </c>
      <c r="N96" s="24">
        <f>SUMIFS('Saldos Iniciales'!$D:$D,'Saldos Iniciales'!$A:$A,"Green Stone Trust")+SUMIFS(Movimientos!$K$1:$K$806,Movimientos!$C$1:$C$806,"Green Stone Trust",Movimientos!$B$1:$B$806,"&lt;="&amp;$B96)</f>
        <v>1968.99</v>
      </c>
      <c r="O96" s="24">
        <f>SUMIFS('Saldos Iniciales'!$D:$D,'Saldos Iniciales'!$A:$A,"EC Auto")+SUMIFS(Movimientos!$K$1:$K$806,Movimientos!$C$1:$C$806,"EC Auto",Movimientos!$B$1:$B$806,"&lt;="&amp;$B96)</f>
        <v>901.34</v>
      </c>
      <c r="P96" s="24">
        <f>SUMIFS('Saldos Iniciales'!$D:$D,'Saldos Iniciales'!$A:$A,"Arbor Capital Properties")+SUMIFS(Movimientos!$K$1:$K$806,Movimientos!$C$1:$C$806,"Arbor Capital Properties",Movimientos!$B$1:$B$806,"&lt;="&amp;$B96)</f>
        <v>1396.08</v>
      </c>
      <c r="Q96" s="24">
        <f>SUMIFS('Saldos Iniciales'!$D:$D,'Saldos Iniciales'!$A:$A,"2515 Overbrook")+SUMIFS(Movimientos!$K$1:$K$806,Movimientos!$C$1:$C$806,"2515 Overbrook",Movimientos!$B$1:$B$806,"&lt;="&amp;$B96)</f>
        <v>13804.239999999962</v>
      </c>
      <c r="R96" s="24">
        <f>SUMIFS('Saldos Iniciales'!$D:$D,'Saldos Iniciales'!$A:$A,"112 Florida Ave")+SUMIFS(Movimientos!$K$1:$K$806,Movimientos!$C$1:$C$806,"112 Florida Ave",Movimientos!$B$1:$B$806,"&lt;="&amp;$B96)</f>
        <v>8724.1700000000037</v>
      </c>
      <c r="S96" s="24">
        <f>SUMIFS('Saldos Iniciales'!$D:$D,'Saldos Iniciales'!$A:$A,"3628 Thomas Ave")+SUMIFS(Movimientos!$K$1:$K$806,Movimientos!$C$1:$C$806,"3628 Thomas Ave",Movimientos!$B$1:$B$806,"&lt;="&amp;$B96)</f>
        <v>10706.099999999997</v>
      </c>
      <c r="T96" s="24">
        <f>SUMIFS('Saldos Iniciales'!$D:$D,'Saldos Iniciales'!$A:$A,"Green Harbor Trust")+SUMIFS(Movimientos!$K$1:$K$806,Movimientos!$C$1:$C$806,"Green Harbor Trust",Movimientos!$B$1:$B$806,"&lt;="&amp;$B96)</f>
        <v>345</v>
      </c>
      <c r="U96" s="24">
        <f>SUMIFS('Saldos Iniciales'!$D:$D,'Saldos Iniciales'!$A:$A,"Go Blue")+SUMIFS(Movimientos!$K$1:$K$806,Movimientos!$C$1:$C$806,"Go Blue",Movimientos!$B$1:$B$806,"&lt;="&amp;$B96)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Group")+SUMIFS(Movimientos!$K$1:$K$806,Movimientos!$C$1:$C$806,"CFT Group",Movimientos!$B$1:$B$806,"&lt;="&amp;$B97)</f>
        <v>2468032.08</v>
      </c>
      <c r="D97" s="24">
        <f>SUMIFS('Saldos Iniciales'!$D:$D,'Saldos Iniciales'!$A:$A,"M1B")+SUMIFS(Movimientos!$K$1:$K$806,Movimientos!$C$1:$C$806,"M1B",Movimientos!$B$1:$B$806,"&lt;="&amp;$B97)</f>
        <v>83211.250000000175</v>
      </c>
      <c r="E97" s="24">
        <f>SUMIFS('Saldos Iniciales'!$D:$D,'Saldos Iniciales'!$A:$A,"Durand")+SUMIFS(Movimientos!$K$1:$K$806,Movimientos!$C$1:$C$806,"Durand",Movimientos!$B$1:$B$806,"&lt;="&amp;$B97)</f>
        <v>1669.89</v>
      </c>
      <c r="F97" s="24">
        <f>SUMIFS('Saldos Iniciales'!$D:$D,'Saldos Iniciales'!$A:$A,"A&amp;M Imports")+SUMIFS(Movimientos!$K$1:$K$806,Movimientos!$C$1:$C$806,"A&amp;M Imports",Movimientos!$B$1:$B$806,"&lt;="&amp;$B97)</f>
        <v>1458426.0399999998</v>
      </c>
      <c r="G97" s="24">
        <f>SUMIFS('Saldos Iniciales'!$D:$D,'Saldos Iniciales'!$A:$A,"SSP Capital")+SUMIFS(Movimientos!$K$1:$K$806,Movimientos!$C$1:$C$806,"SSP Capital",Movimientos!$B$1:$B$806,"&lt;="&amp;$B97)</f>
        <v>1513867.4199999995</v>
      </c>
      <c r="H97" s="24">
        <f>SUMIFS('Saldos Iniciales'!$D:$D,'Saldos Iniciales'!$A:$A,"Cross Family Trust")+SUMIFS(Movimientos!$K$1:$K$806,Movimientos!$C$1:$C$806,"Cross Family Trust",Movimientos!$B$1:$B$806,"&lt;="&amp;$B97)</f>
        <v>184496.38</v>
      </c>
      <c r="I97" s="24">
        <f>SUMIFS('Saldos Iniciales'!$D:$D,'Saldos Iniciales'!$A:$A,"Cross Security Trust")+SUMIFS(Movimientos!$K$1:$K$806,Movimientos!$C$1:$C$806,"Cross Security Trust",Movimientos!$B$1:$B$806,"&lt;="&amp;$B97)</f>
        <v>88090.37</v>
      </c>
      <c r="J97" s="24">
        <f>SUMIFS('Saldos Iniciales'!$D:$D,'Saldos Iniciales'!$A:$A,"Electrama")+SUMIFS(Movimientos!$K$1:$K$806,Movimientos!$C$1:$C$806,"Electrama",Movimientos!$B$1:$B$806,"&lt;="&amp;$B97)</f>
        <v>14580.45</v>
      </c>
      <c r="K97" s="24">
        <f>SUMIFS('Saldos Iniciales'!$D:$D,'Saldos Iniciales'!$A:$A,"Sacred Valley Capital")+SUMIFS(Movimientos!$K$1:$K$806,Movimientos!$C$1:$C$806,"Sacred Valley Capital",Movimientos!$B$1:$B$806,"&lt;="&amp;$B97)</f>
        <v>24.450000000000003</v>
      </c>
      <c r="L97" s="24">
        <f>SUMIFS('Saldos Iniciales'!$D:$D,'Saldos Iniciales'!$A:$A,"YWC Capital")+SUMIFS(Movimientos!$K$1:$K$806,Movimientos!$C$1:$C$806,"YWC Capital",Movimientos!$B$1:$B$806,"&lt;="&amp;$B97)</f>
        <v>2177.87</v>
      </c>
      <c r="M97" s="24">
        <f>SUMIFS('Saldos Iniciales'!$D:$D,'Saldos Iniciales'!$A:$A,"Soweto")+SUMIFS(Movimientos!$K$1:$K$806,Movimientos!$C$1:$C$806,"Soweto",Movimientos!$B$1:$B$806,"&lt;="&amp;$B97)</f>
        <v>1454589.72</v>
      </c>
      <c r="N97" s="24">
        <f>SUMIFS('Saldos Iniciales'!$D:$D,'Saldos Iniciales'!$A:$A,"Green Stone Trust")+SUMIFS(Movimientos!$K$1:$K$806,Movimientos!$C$1:$C$806,"Green Stone Trust",Movimientos!$B$1:$B$806,"&lt;="&amp;$B97)</f>
        <v>1968.99</v>
      </c>
      <c r="O97" s="24">
        <f>SUMIFS('Saldos Iniciales'!$D:$D,'Saldos Iniciales'!$A:$A,"EC Auto")+SUMIFS(Movimientos!$K$1:$K$806,Movimientos!$C$1:$C$806,"EC Auto",Movimientos!$B$1:$B$806,"&lt;="&amp;$B97)</f>
        <v>901.34</v>
      </c>
      <c r="P97" s="24">
        <f>SUMIFS('Saldos Iniciales'!$D:$D,'Saldos Iniciales'!$A:$A,"Arbor Capital Properties")+SUMIFS(Movimientos!$K$1:$K$806,Movimientos!$C$1:$C$806,"Arbor Capital Properties",Movimientos!$B$1:$B$806,"&lt;="&amp;$B97)</f>
        <v>1396.08</v>
      </c>
      <c r="Q97" s="24">
        <f>SUMIFS('Saldos Iniciales'!$D:$D,'Saldos Iniciales'!$A:$A,"2515 Overbrook")+SUMIFS(Movimientos!$K$1:$K$806,Movimientos!$C$1:$C$806,"2515 Overbrook",Movimientos!$B$1:$B$806,"&lt;="&amp;$B97)</f>
        <v>13804.239999999962</v>
      </c>
      <c r="R97" s="24">
        <f>SUMIFS('Saldos Iniciales'!$D:$D,'Saldos Iniciales'!$A:$A,"112 Florida Ave")+SUMIFS(Movimientos!$K$1:$K$806,Movimientos!$C$1:$C$806,"112 Florida Ave",Movimientos!$B$1:$B$806,"&lt;="&amp;$B97)</f>
        <v>8724.1700000000037</v>
      </c>
      <c r="S97" s="24">
        <f>SUMIFS('Saldos Iniciales'!$D:$D,'Saldos Iniciales'!$A:$A,"3628 Thomas Ave")+SUMIFS(Movimientos!$K$1:$K$806,Movimientos!$C$1:$C$806,"3628 Thomas Ave",Movimientos!$B$1:$B$806,"&lt;="&amp;$B97)</f>
        <v>10706.099999999997</v>
      </c>
      <c r="T97" s="24">
        <f>SUMIFS('Saldos Iniciales'!$D:$D,'Saldos Iniciales'!$A:$A,"Green Harbor Trust")+SUMIFS(Movimientos!$K$1:$K$806,Movimientos!$C$1:$C$806,"Green Harbor Trust",Movimientos!$B$1:$B$806,"&lt;="&amp;$B97)</f>
        <v>345</v>
      </c>
      <c r="U97" s="24">
        <f>SUMIFS('Saldos Iniciales'!$D:$D,'Saldos Iniciales'!$A:$A,"Go Blue")+SUMIFS(Movimientos!$K$1:$K$806,Movimientos!$C$1:$C$806,"Go Blue",Movimientos!$B$1:$B$806,"&lt;="&amp;$B97)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Group")+SUMIFS(Movimientos!$K$1:$K$806,Movimientos!$C$1:$C$806,"CFT Group",Movimientos!$B$1:$B$806,"&lt;="&amp;$B98)</f>
        <v>2468032.08</v>
      </c>
      <c r="D98" s="24">
        <f>SUMIFS('Saldos Iniciales'!$D:$D,'Saldos Iniciales'!$A:$A,"M1B")+SUMIFS(Movimientos!$K$1:$K$806,Movimientos!$C$1:$C$806,"M1B",Movimientos!$B$1:$B$806,"&lt;="&amp;$B98)</f>
        <v>83211.250000000175</v>
      </c>
      <c r="E98" s="24">
        <f>SUMIFS('Saldos Iniciales'!$D:$D,'Saldos Iniciales'!$A:$A,"Durand")+SUMIFS(Movimientos!$K$1:$K$806,Movimientos!$C$1:$C$806,"Durand",Movimientos!$B$1:$B$806,"&lt;="&amp;$B98)</f>
        <v>1669.89</v>
      </c>
      <c r="F98" s="24">
        <f>SUMIFS('Saldos Iniciales'!$D:$D,'Saldos Iniciales'!$A:$A,"A&amp;M Imports")+SUMIFS(Movimientos!$K$1:$K$806,Movimientos!$C$1:$C$806,"A&amp;M Imports",Movimientos!$B$1:$B$806,"&lt;="&amp;$B98)</f>
        <v>1452426.0399999998</v>
      </c>
      <c r="G98" s="24">
        <f>SUMIFS('Saldos Iniciales'!$D:$D,'Saldos Iniciales'!$A:$A,"SSP Capital")+SUMIFS(Movimientos!$K$1:$K$806,Movimientos!$C$1:$C$806,"SSP Capital",Movimientos!$B$1:$B$806,"&lt;="&amp;$B98)</f>
        <v>1512187.6399999997</v>
      </c>
      <c r="H98" s="24">
        <f>SUMIFS('Saldos Iniciales'!$D:$D,'Saldos Iniciales'!$A:$A,"Cross Family Trust")+SUMIFS(Movimientos!$K$1:$K$806,Movimientos!$C$1:$C$806,"Cross Family Trust",Movimientos!$B$1:$B$806,"&lt;="&amp;$B98)</f>
        <v>184496.38</v>
      </c>
      <c r="I98" s="24">
        <f>SUMIFS('Saldos Iniciales'!$D:$D,'Saldos Iniciales'!$A:$A,"Cross Security Trust")+SUMIFS(Movimientos!$K$1:$K$806,Movimientos!$C$1:$C$806,"Cross Security Trust",Movimientos!$B$1:$B$806,"&lt;="&amp;$B98)</f>
        <v>88090.37</v>
      </c>
      <c r="J98" s="24">
        <f>SUMIFS('Saldos Iniciales'!$D:$D,'Saldos Iniciales'!$A:$A,"Electrama")+SUMIFS(Movimientos!$K$1:$K$806,Movimientos!$C$1:$C$806,"Electrama",Movimientos!$B$1:$B$806,"&lt;="&amp;$B98)</f>
        <v>14580.45</v>
      </c>
      <c r="K98" s="24">
        <f>SUMIFS('Saldos Iniciales'!$D:$D,'Saldos Iniciales'!$A:$A,"Sacred Valley Capital")+SUMIFS(Movimientos!$K$1:$K$806,Movimientos!$C$1:$C$806,"Sacred Valley Capital",Movimientos!$B$1:$B$806,"&lt;="&amp;$B98)</f>
        <v>24.450000000000003</v>
      </c>
      <c r="L98" s="24">
        <f>SUMIFS('Saldos Iniciales'!$D:$D,'Saldos Iniciales'!$A:$A,"YWC Capital")+SUMIFS(Movimientos!$K$1:$K$806,Movimientos!$C$1:$C$806,"YWC Capital",Movimientos!$B$1:$B$806,"&lt;="&amp;$B98)</f>
        <v>2177.87</v>
      </c>
      <c r="M98" s="24">
        <f>SUMIFS('Saldos Iniciales'!$D:$D,'Saldos Iniciales'!$A:$A,"Soweto")+SUMIFS(Movimientos!$K$1:$K$806,Movimientos!$C$1:$C$806,"Soweto",Movimientos!$B$1:$B$806,"&lt;="&amp;$B98)</f>
        <v>1454589.72</v>
      </c>
      <c r="N98" s="24">
        <f>SUMIFS('Saldos Iniciales'!$D:$D,'Saldos Iniciales'!$A:$A,"Green Stone Trust")+SUMIFS(Movimientos!$K$1:$K$806,Movimientos!$C$1:$C$806,"Green Stone Trust",Movimientos!$B$1:$B$806,"&lt;="&amp;$B98)</f>
        <v>1968.99</v>
      </c>
      <c r="O98" s="24">
        <f>SUMIFS('Saldos Iniciales'!$D:$D,'Saldos Iniciales'!$A:$A,"EC Auto")+SUMIFS(Movimientos!$K$1:$K$806,Movimientos!$C$1:$C$806,"EC Auto",Movimientos!$B$1:$B$806,"&lt;="&amp;$B98)</f>
        <v>901.34</v>
      </c>
      <c r="P98" s="24">
        <f>SUMIFS('Saldos Iniciales'!$D:$D,'Saldos Iniciales'!$A:$A,"Arbor Capital Properties")+SUMIFS(Movimientos!$K$1:$K$806,Movimientos!$C$1:$C$806,"Arbor Capital Properties",Movimientos!$B$1:$B$806,"&lt;="&amp;$B98)</f>
        <v>1396.08</v>
      </c>
      <c r="Q98" s="24">
        <f>SUMIFS('Saldos Iniciales'!$D:$D,'Saldos Iniciales'!$A:$A,"2515 Overbrook")+SUMIFS(Movimientos!$K$1:$K$806,Movimientos!$C$1:$C$806,"2515 Overbrook",Movimientos!$B$1:$B$806,"&lt;="&amp;$B98)</f>
        <v>13804.239999999962</v>
      </c>
      <c r="R98" s="24">
        <f>SUMIFS('Saldos Iniciales'!$D:$D,'Saldos Iniciales'!$A:$A,"112 Florida Ave")+SUMIFS(Movimientos!$K$1:$K$806,Movimientos!$C$1:$C$806,"112 Florida Ave",Movimientos!$B$1:$B$806,"&lt;="&amp;$B98)</f>
        <v>8724.1700000000037</v>
      </c>
      <c r="S98" s="24">
        <f>SUMIFS('Saldos Iniciales'!$D:$D,'Saldos Iniciales'!$A:$A,"3628 Thomas Ave")+SUMIFS(Movimientos!$K$1:$K$806,Movimientos!$C$1:$C$806,"3628 Thomas Ave",Movimientos!$B$1:$B$806,"&lt;="&amp;$B98)</f>
        <v>10706.099999999997</v>
      </c>
      <c r="T98" s="24">
        <f>SUMIFS('Saldos Iniciales'!$D:$D,'Saldos Iniciales'!$A:$A,"Green Harbor Trust")+SUMIFS(Movimientos!$K$1:$K$806,Movimientos!$C$1:$C$806,"Green Harbor Trust",Movimientos!$B$1:$B$806,"&lt;="&amp;$B98)</f>
        <v>345</v>
      </c>
      <c r="U98" s="24">
        <f>SUMIFS('Saldos Iniciales'!$D:$D,'Saldos Iniciales'!$A:$A,"Go Blue")+SUMIFS(Movimientos!$K$1:$K$806,Movimientos!$C$1:$C$806,"Go Blue",Movimientos!$B$1:$B$806,"&lt;="&amp;$B98)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Group")+SUMIFS(Movimientos!$K$1:$K$806,Movimientos!$C$1:$C$806,"CFT Group",Movimientos!$B$1:$B$806,"&lt;="&amp;$B99)</f>
        <v>1153390.4100000001</v>
      </c>
      <c r="D99" s="24">
        <f>SUMIFS('Saldos Iniciales'!$D:$D,'Saldos Iniciales'!$A:$A,"M1B")+SUMIFS(Movimientos!$K$1:$K$806,Movimientos!$C$1:$C$806,"M1B",Movimientos!$B$1:$B$806,"&lt;="&amp;$B99)</f>
        <v>83211.250000000175</v>
      </c>
      <c r="E99" s="24">
        <f>SUMIFS('Saldos Iniciales'!$D:$D,'Saldos Iniciales'!$A:$A,"Durand")+SUMIFS(Movimientos!$K$1:$K$806,Movimientos!$C$1:$C$806,"Durand",Movimientos!$B$1:$B$806,"&lt;="&amp;$B99)</f>
        <v>1669.89</v>
      </c>
      <c r="F99" s="24">
        <f>SUMIFS('Saldos Iniciales'!$D:$D,'Saldos Iniciales'!$A:$A,"A&amp;M Imports")+SUMIFS(Movimientos!$K$1:$K$806,Movimientos!$C$1:$C$806,"A&amp;M Imports",Movimientos!$B$1:$B$806,"&lt;="&amp;$B99)</f>
        <v>1349451.94</v>
      </c>
      <c r="G99" s="24">
        <f>SUMIFS('Saldos Iniciales'!$D:$D,'Saldos Iniciales'!$A:$A,"SSP Capital")+SUMIFS(Movimientos!$K$1:$K$806,Movimientos!$C$1:$C$806,"SSP Capital",Movimientos!$B$1:$B$806,"&lt;="&amp;$B99)</f>
        <v>2102073.7899999996</v>
      </c>
      <c r="H99" s="24">
        <f>SUMIFS('Saldos Iniciales'!$D:$D,'Saldos Iniciales'!$A:$A,"Cross Family Trust")+SUMIFS(Movimientos!$K$1:$K$806,Movimientos!$C$1:$C$806,"Cross Family Trust",Movimientos!$B$1:$B$806,"&lt;="&amp;$B99)</f>
        <v>171496.38</v>
      </c>
      <c r="I99" s="24">
        <f>SUMIFS('Saldos Iniciales'!$D:$D,'Saldos Iniciales'!$A:$A,"Cross Security Trust")+SUMIFS(Movimientos!$K$1:$K$806,Movimientos!$C$1:$C$806,"Cross Security Trust",Movimientos!$B$1:$B$806,"&lt;="&amp;$B99)</f>
        <v>88090.37</v>
      </c>
      <c r="J99" s="24">
        <f>SUMIFS('Saldos Iniciales'!$D:$D,'Saldos Iniciales'!$A:$A,"Electrama")+SUMIFS(Movimientos!$K$1:$K$806,Movimientos!$C$1:$C$806,"Electrama",Movimientos!$B$1:$B$806,"&lt;="&amp;$B99)</f>
        <v>14580.45</v>
      </c>
      <c r="K99" s="24">
        <f>SUMIFS('Saldos Iniciales'!$D:$D,'Saldos Iniciales'!$A:$A,"Sacred Valley Capital")+SUMIFS(Movimientos!$K$1:$K$806,Movimientos!$C$1:$C$806,"Sacred Valley Capital",Movimientos!$B$1:$B$806,"&lt;="&amp;$B99)</f>
        <v>24.450000000000003</v>
      </c>
      <c r="L99" s="24">
        <f>SUMIFS('Saldos Iniciales'!$D:$D,'Saldos Iniciales'!$A:$A,"YWC Capital")+SUMIFS(Movimientos!$K$1:$K$806,Movimientos!$C$1:$C$806,"YWC Capital",Movimientos!$B$1:$B$806,"&lt;="&amp;$B99)</f>
        <v>2177.87</v>
      </c>
      <c r="M99" s="24">
        <f>SUMIFS('Saldos Iniciales'!$D:$D,'Saldos Iniciales'!$A:$A,"Soweto")+SUMIFS(Movimientos!$K$1:$K$806,Movimientos!$C$1:$C$806,"Soweto",Movimientos!$B$1:$B$806,"&lt;="&amp;$B99)</f>
        <v>1454589.72</v>
      </c>
      <c r="N99" s="24">
        <f>SUMIFS('Saldos Iniciales'!$D:$D,'Saldos Iniciales'!$A:$A,"Green Stone Trust")+SUMIFS(Movimientos!$K$1:$K$806,Movimientos!$C$1:$C$806,"Green Stone Trust",Movimientos!$B$1:$B$806,"&lt;="&amp;$B99)</f>
        <v>1968.99</v>
      </c>
      <c r="O99" s="24">
        <f>SUMIFS('Saldos Iniciales'!$D:$D,'Saldos Iniciales'!$A:$A,"EC Auto")+SUMIFS(Movimientos!$K$1:$K$806,Movimientos!$C$1:$C$806,"EC Auto",Movimientos!$B$1:$B$806,"&lt;="&amp;$B99)</f>
        <v>901.34</v>
      </c>
      <c r="P99" s="24">
        <f>SUMIFS('Saldos Iniciales'!$D:$D,'Saldos Iniciales'!$A:$A,"Arbor Capital Properties")+SUMIFS(Movimientos!$K$1:$K$806,Movimientos!$C$1:$C$806,"Arbor Capital Properties",Movimientos!$B$1:$B$806,"&lt;="&amp;$B99)</f>
        <v>1396.08</v>
      </c>
      <c r="Q99" s="24">
        <f>SUMIFS('Saldos Iniciales'!$D:$D,'Saldos Iniciales'!$A:$A,"2515 Overbrook")+SUMIFS(Movimientos!$K$1:$K$806,Movimientos!$C$1:$C$806,"2515 Overbrook",Movimientos!$B$1:$B$806,"&lt;="&amp;$B99)</f>
        <v>13804.239999999962</v>
      </c>
      <c r="R99" s="24">
        <f>SUMIFS('Saldos Iniciales'!$D:$D,'Saldos Iniciales'!$A:$A,"112 Florida Ave")+SUMIFS(Movimientos!$K$1:$K$806,Movimientos!$C$1:$C$806,"112 Florida Ave",Movimientos!$B$1:$B$806,"&lt;="&amp;$B99)</f>
        <v>8724.1700000000037</v>
      </c>
      <c r="S99" s="24">
        <f>SUMIFS('Saldos Iniciales'!$D:$D,'Saldos Iniciales'!$A:$A,"3628 Thomas Ave")+SUMIFS(Movimientos!$K$1:$K$806,Movimientos!$C$1:$C$806,"3628 Thomas Ave",Movimientos!$B$1:$B$806,"&lt;="&amp;$B99)</f>
        <v>10706.099999999997</v>
      </c>
      <c r="T99" s="24">
        <f>SUMIFS('Saldos Iniciales'!$D:$D,'Saldos Iniciales'!$A:$A,"Green Harbor Trust")+SUMIFS(Movimientos!$K$1:$K$806,Movimientos!$C$1:$C$806,"Green Harbor Trust",Movimientos!$B$1:$B$806,"&lt;="&amp;$B99)</f>
        <v>345</v>
      </c>
      <c r="U99" s="24">
        <f>SUMIFS('Saldos Iniciales'!$D:$D,'Saldos Iniciales'!$A:$A,"Go Blue")+SUMIFS(Movimientos!$K$1:$K$806,Movimientos!$C$1:$C$806,"Go Blue",Movimientos!$B$1:$B$806,"&lt;="&amp;$B99)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Group")+SUMIFS(Movimientos!$K$1:$K$806,Movimientos!$C$1:$C$806,"CFT Group",Movimientos!$B$1:$B$806,"&lt;="&amp;$B100)</f>
        <v>1153390.4100000001</v>
      </c>
      <c r="D100" s="24">
        <f>SUMIFS('Saldos Iniciales'!$D:$D,'Saldos Iniciales'!$A:$A,"M1B")+SUMIFS(Movimientos!$K$1:$K$806,Movimientos!$C$1:$C$806,"M1B",Movimientos!$B$1:$B$806,"&lt;="&amp;$B100)</f>
        <v>83211.250000000175</v>
      </c>
      <c r="E100" s="24">
        <f>SUMIFS('Saldos Iniciales'!$D:$D,'Saldos Iniciales'!$A:$A,"Durand")+SUMIFS(Movimientos!$K$1:$K$806,Movimientos!$C$1:$C$806,"Durand",Movimientos!$B$1:$B$806,"&lt;="&amp;$B100)</f>
        <v>1669.89</v>
      </c>
      <c r="F100" s="24">
        <f>SUMIFS('Saldos Iniciales'!$D:$D,'Saldos Iniciales'!$A:$A,"A&amp;M Imports")+SUMIFS(Movimientos!$K$1:$K$806,Movimientos!$C$1:$C$806,"A&amp;M Imports",Movimientos!$B$1:$B$806,"&lt;="&amp;$B100)</f>
        <v>1349451.94</v>
      </c>
      <c r="G100" s="24">
        <f>SUMIFS('Saldos Iniciales'!$D:$D,'Saldos Iniciales'!$A:$A,"SSP Capital")+SUMIFS(Movimientos!$K$1:$K$806,Movimientos!$C$1:$C$806,"SSP Capital",Movimientos!$B$1:$B$806,"&lt;="&amp;$B100)</f>
        <v>2102073.7899999996</v>
      </c>
      <c r="H100" s="24">
        <f>SUMIFS('Saldos Iniciales'!$D:$D,'Saldos Iniciales'!$A:$A,"Cross Family Trust")+SUMIFS(Movimientos!$K$1:$K$806,Movimientos!$C$1:$C$806,"Cross Family Trust",Movimientos!$B$1:$B$806,"&lt;="&amp;$B100)</f>
        <v>171496.38</v>
      </c>
      <c r="I100" s="24">
        <f>SUMIFS('Saldos Iniciales'!$D:$D,'Saldos Iniciales'!$A:$A,"Cross Security Trust")+SUMIFS(Movimientos!$K$1:$K$806,Movimientos!$C$1:$C$806,"Cross Security Trust",Movimientos!$B$1:$B$806,"&lt;="&amp;$B100)</f>
        <v>88090.37</v>
      </c>
      <c r="J100" s="24">
        <f>SUMIFS('Saldos Iniciales'!$D:$D,'Saldos Iniciales'!$A:$A,"Electrama")+SUMIFS(Movimientos!$K$1:$K$806,Movimientos!$C$1:$C$806,"Electrama",Movimientos!$B$1:$B$806,"&lt;="&amp;$B100)</f>
        <v>14580.45</v>
      </c>
      <c r="K100" s="24">
        <f>SUMIFS('Saldos Iniciales'!$D:$D,'Saldos Iniciales'!$A:$A,"Sacred Valley Capital")+SUMIFS(Movimientos!$K$1:$K$806,Movimientos!$C$1:$C$806,"Sacred Valley Capital",Movimientos!$B$1:$B$806,"&lt;="&amp;$B100)</f>
        <v>24.450000000000003</v>
      </c>
      <c r="L100" s="24">
        <f>SUMIFS('Saldos Iniciales'!$D:$D,'Saldos Iniciales'!$A:$A,"YWC Capital")+SUMIFS(Movimientos!$K$1:$K$806,Movimientos!$C$1:$C$806,"YWC Capital",Movimientos!$B$1:$B$806,"&lt;="&amp;$B100)</f>
        <v>2177.87</v>
      </c>
      <c r="M100" s="24">
        <f>SUMIFS('Saldos Iniciales'!$D:$D,'Saldos Iniciales'!$A:$A,"Soweto")+SUMIFS(Movimientos!$K$1:$K$806,Movimientos!$C$1:$C$806,"Soweto",Movimientos!$B$1:$B$806,"&lt;="&amp;$B100)</f>
        <v>1454589.72</v>
      </c>
      <c r="N100" s="24">
        <f>SUMIFS('Saldos Iniciales'!$D:$D,'Saldos Iniciales'!$A:$A,"Green Stone Trust")+SUMIFS(Movimientos!$K$1:$K$806,Movimientos!$C$1:$C$806,"Green Stone Trust",Movimientos!$B$1:$B$806,"&lt;="&amp;$B100)</f>
        <v>1968.99</v>
      </c>
      <c r="O100" s="24">
        <f>SUMIFS('Saldos Iniciales'!$D:$D,'Saldos Iniciales'!$A:$A,"EC Auto")+SUMIFS(Movimientos!$K$1:$K$806,Movimientos!$C$1:$C$806,"EC Auto",Movimientos!$B$1:$B$806,"&lt;="&amp;$B100)</f>
        <v>901.34</v>
      </c>
      <c r="P100" s="24">
        <f>SUMIFS('Saldos Iniciales'!$D:$D,'Saldos Iniciales'!$A:$A,"Arbor Capital Properties")+SUMIFS(Movimientos!$K$1:$K$806,Movimientos!$C$1:$C$806,"Arbor Capital Properties",Movimientos!$B$1:$B$806,"&lt;="&amp;$B100)</f>
        <v>1396.08</v>
      </c>
      <c r="Q100" s="24">
        <f>SUMIFS('Saldos Iniciales'!$D:$D,'Saldos Iniciales'!$A:$A,"2515 Overbrook")+SUMIFS(Movimientos!$K$1:$K$806,Movimientos!$C$1:$C$806,"2515 Overbrook",Movimientos!$B$1:$B$806,"&lt;="&amp;$B100)</f>
        <v>11259.639999999961</v>
      </c>
      <c r="R100" s="24">
        <f>SUMIFS('Saldos Iniciales'!$D:$D,'Saldos Iniciales'!$A:$A,"112 Florida Ave")+SUMIFS(Movimientos!$K$1:$K$806,Movimientos!$C$1:$C$806,"112 Florida Ave",Movimientos!$B$1:$B$806,"&lt;="&amp;$B100)</f>
        <v>8724.1700000000037</v>
      </c>
      <c r="S100" s="24">
        <f>SUMIFS('Saldos Iniciales'!$D:$D,'Saldos Iniciales'!$A:$A,"3628 Thomas Ave")+SUMIFS(Movimientos!$K$1:$K$806,Movimientos!$C$1:$C$806,"3628 Thomas Ave",Movimientos!$B$1:$B$806,"&lt;="&amp;$B100)</f>
        <v>15706.099999999997</v>
      </c>
      <c r="T100" s="24">
        <f>SUMIFS('Saldos Iniciales'!$D:$D,'Saldos Iniciales'!$A:$A,"Green Harbor Trust")+SUMIFS(Movimientos!$K$1:$K$806,Movimientos!$C$1:$C$806,"Green Harbor Trust",Movimientos!$B$1:$B$806,"&lt;="&amp;$B100)</f>
        <v>345</v>
      </c>
      <c r="U100" s="24">
        <f>SUMIFS('Saldos Iniciales'!$D:$D,'Saldos Iniciales'!$A:$A,"Go Blue")+SUMIFS(Movimientos!$K$1:$K$806,Movimientos!$C$1:$C$806,"Go Blue",Movimientos!$B$1:$B$806,"&lt;="&amp;$B100)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Group")+SUMIFS(Movimientos!$K$1:$K$806,Movimientos!$C$1:$C$806,"CFT Group",Movimientos!$B$1:$B$806,"&lt;="&amp;$B101)</f>
        <v>1153390.4100000001</v>
      </c>
      <c r="D101" s="24">
        <f>SUMIFS('Saldos Iniciales'!$D:$D,'Saldos Iniciales'!$A:$A,"M1B")+SUMIFS(Movimientos!$K$1:$K$806,Movimientos!$C$1:$C$806,"M1B",Movimientos!$B$1:$B$806,"&lt;="&amp;$B101)</f>
        <v>83211.250000000175</v>
      </c>
      <c r="E101" s="24">
        <f>SUMIFS('Saldos Iniciales'!$D:$D,'Saldos Iniciales'!$A:$A,"Durand")+SUMIFS(Movimientos!$K$1:$K$806,Movimientos!$C$1:$C$806,"Durand",Movimientos!$B$1:$B$806,"&lt;="&amp;$B101)</f>
        <v>1669.89</v>
      </c>
      <c r="F101" s="24">
        <f>SUMIFS('Saldos Iniciales'!$D:$D,'Saldos Iniciales'!$A:$A,"A&amp;M Imports")+SUMIFS(Movimientos!$K$1:$K$806,Movimientos!$C$1:$C$806,"A&amp;M Imports",Movimientos!$B$1:$B$806,"&lt;="&amp;$B101)</f>
        <v>1349451.94</v>
      </c>
      <c r="G101" s="24">
        <f>SUMIFS('Saldos Iniciales'!$D:$D,'Saldos Iniciales'!$A:$A,"SSP Capital")+SUMIFS(Movimientos!$K$1:$K$806,Movimientos!$C$1:$C$806,"SSP Capital",Movimientos!$B$1:$B$806,"&lt;="&amp;$B101)</f>
        <v>2102073.7899999996</v>
      </c>
      <c r="H101" s="24">
        <f>SUMIFS('Saldos Iniciales'!$D:$D,'Saldos Iniciales'!$A:$A,"Cross Family Trust")+SUMIFS(Movimientos!$K$1:$K$806,Movimientos!$C$1:$C$806,"Cross Family Trust",Movimientos!$B$1:$B$806,"&lt;="&amp;$B101)</f>
        <v>171496.38</v>
      </c>
      <c r="I101" s="24">
        <f>SUMIFS('Saldos Iniciales'!$D:$D,'Saldos Iniciales'!$A:$A,"Cross Security Trust")+SUMIFS(Movimientos!$K$1:$K$806,Movimientos!$C$1:$C$806,"Cross Security Trust",Movimientos!$B$1:$B$806,"&lt;="&amp;$B101)</f>
        <v>88090.37</v>
      </c>
      <c r="J101" s="24">
        <f>SUMIFS('Saldos Iniciales'!$D:$D,'Saldos Iniciales'!$A:$A,"Electrama")+SUMIFS(Movimientos!$K$1:$K$806,Movimientos!$C$1:$C$806,"Electrama",Movimientos!$B$1:$B$806,"&lt;="&amp;$B101)</f>
        <v>14580.45</v>
      </c>
      <c r="K101" s="24">
        <f>SUMIFS('Saldos Iniciales'!$D:$D,'Saldos Iniciales'!$A:$A,"Sacred Valley Capital")+SUMIFS(Movimientos!$K$1:$K$806,Movimientos!$C$1:$C$806,"Sacred Valley Capital",Movimientos!$B$1:$B$806,"&lt;="&amp;$B101)</f>
        <v>24.450000000000003</v>
      </c>
      <c r="L101" s="24">
        <f>SUMIFS('Saldos Iniciales'!$D:$D,'Saldos Iniciales'!$A:$A,"YWC Capital")+SUMIFS(Movimientos!$K$1:$K$806,Movimientos!$C$1:$C$806,"YWC Capital",Movimientos!$B$1:$B$806,"&lt;="&amp;$B101)</f>
        <v>2177.87</v>
      </c>
      <c r="M101" s="24">
        <f>SUMIFS('Saldos Iniciales'!$D:$D,'Saldos Iniciales'!$A:$A,"Soweto")+SUMIFS(Movimientos!$K$1:$K$806,Movimientos!$C$1:$C$806,"Soweto",Movimientos!$B$1:$B$806,"&lt;="&amp;$B101)</f>
        <v>1454589.72</v>
      </c>
      <c r="N101" s="24">
        <f>SUMIFS('Saldos Iniciales'!$D:$D,'Saldos Iniciales'!$A:$A,"Green Stone Trust")+SUMIFS(Movimientos!$K$1:$K$806,Movimientos!$C$1:$C$806,"Green Stone Trust",Movimientos!$B$1:$B$806,"&lt;="&amp;$B101)</f>
        <v>1968.99</v>
      </c>
      <c r="O101" s="24">
        <f>SUMIFS('Saldos Iniciales'!$D:$D,'Saldos Iniciales'!$A:$A,"EC Auto")+SUMIFS(Movimientos!$K$1:$K$806,Movimientos!$C$1:$C$806,"EC Auto",Movimientos!$B$1:$B$806,"&lt;="&amp;$B101)</f>
        <v>901.34</v>
      </c>
      <c r="P101" s="24">
        <f>SUMIFS('Saldos Iniciales'!$D:$D,'Saldos Iniciales'!$A:$A,"Arbor Capital Properties")+SUMIFS(Movimientos!$K$1:$K$806,Movimientos!$C$1:$C$806,"Arbor Capital Properties",Movimientos!$B$1:$B$806,"&lt;="&amp;$B101)</f>
        <v>1396.08</v>
      </c>
      <c r="Q101" s="24">
        <f>SUMIFS('Saldos Iniciales'!$D:$D,'Saldos Iniciales'!$A:$A,"2515 Overbrook")+SUMIFS(Movimientos!$K$1:$K$806,Movimientos!$C$1:$C$806,"2515 Overbrook",Movimientos!$B$1:$B$806,"&lt;="&amp;$B101)</f>
        <v>11259.639999999961</v>
      </c>
      <c r="R101" s="24">
        <f>SUMIFS('Saldos Iniciales'!$D:$D,'Saldos Iniciales'!$A:$A,"112 Florida Ave")+SUMIFS(Movimientos!$K$1:$K$806,Movimientos!$C$1:$C$806,"112 Florida Ave",Movimientos!$B$1:$B$806,"&lt;="&amp;$B101)</f>
        <v>8724.1700000000037</v>
      </c>
      <c r="S101" s="24">
        <f>SUMIFS('Saldos Iniciales'!$D:$D,'Saldos Iniciales'!$A:$A,"3628 Thomas Ave")+SUMIFS(Movimientos!$K$1:$K$806,Movimientos!$C$1:$C$806,"3628 Thomas Ave",Movimientos!$B$1:$B$806,"&lt;="&amp;$B101)</f>
        <v>15706.099999999997</v>
      </c>
      <c r="T101" s="24">
        <f>SUMIFS('Saldos Iniciales'!$D:$D,'Saldos Iniciales'!$A:$A,"Green Harbor Trust")+SUMIFS(Movimientos!$K$1:$K$806,Movimientos!$C$1:$C$806,"Green Harbor Trust",Movimientos!$B$1:$B$806,"&lt;="&amp;$B101)</f>
        <v>345</v>
      </c>
      <c r="U101" s="24">
        <f>SUMIFS('Saldos Iniciales'!$D:$D,'Saldos Iniciales'!$A:$A,"Go Blue")+SUMIFS(Movimientos!$K$1:$K$806,Movimientos!$C$1:$C$806,"Go Blue",Movimientos!$B$1:$B$806,"&lt;="&amp;$B101)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Group")+SUMIFS(Movimientos!$K$1:$K$806,Movimientos!$C$1:$C$806,"CFT Group",Movimientos!$B$1:$B$806,"&lt;="&amp;$B102)</f>
        <v>1153390.4100000001</v>
      </c>
      <c r="D102" s="24">
        <f>SUMIFS('Saldos Iniciales'!$D:$D,'Saldos Iniciales'!$A:$A,"M1B")+SUMIFS(Movimientos!$K$1:$K$806,Movimientos!$C$1:$C$806,"M1B",Movimientos!$B$1:$B$806,"&lt;="&amp;$B102)</f>
        <v>83211.250000000175</v>
      </c>
      <c r="E102" s="24">
        <f>SUMIFS('Saldos Iniciales'!$D:$D,'Saldos Iniciales'!$A:$A,"Durand")+SUMIFS(Movimientos!$K$1:$K$806,Movimientos!$C$1:$C$806,"Durand",Movimientos!$B$1:$B$806,"&lt;="&amp;$B102)</f>
        <v>1669.89</v>
      </c>
      <c r="F102" s="24">
        <f>SUMIFS('Saldos Iniciales'!$D:$D,'Saldos Iniciales'!$A:$A,"A&amp;M Imports")+SUMIFS(Movimientos!$K$1:$K$806,Movimientos!$C$1:$C$806,"A&amp;M Imports",Movimientos!$B$1:$B$806,"&lt;="&amp;$B102)</f>
        <v>1349451.94</v>
      </c>
      <c r="G102" s="24">
        <f>SUMIFS('Saldos Iniciales'!$D:$D,'Saldos Iniciales'!$A:$A,"SSP Capital")+SUMIFS(Movimientos!$K$1:$K$806,Movimientos!$C$1:$C$806,"SSP Capital",Movimientos!$B$1:$B$806,"&lt;="&amp;$B102)</f>
        <v>2102073.7899999996</v>
      </c>
      <c r="H102" s="24">
        <f>SUMIFS('Saldos Iniciales'!$D:$D,'Saldos Iniciales'!$A:$A,"Cross Family Trust")+SUMIFS(Movimientos!$K$1:$K$806,Movimientos!$C$1:$C$806,"Cross Family Trust",Movimientos!$B$1:$B$806,"&lt;="&amp;$B102)</f>
        <v>171496.38</v>
      </c>
      <c r="I102" s="24">
        <f>SUMIFS('Saldos Iniciales'!$D:$D,'Saldos Iniciales'!$A:$A,"Cross Security Trust")+SUMIFS(Movimientos!$K$1:$K$806,Movimientos!$C$1:$C$806,"Cross Security Trust",Movimientos!$B$1:$B$806,"&lt;="&amp;$B102)</f>
        <v>88090.37</v>
      </c>
      <c r="J102" s="24">
        <f>SUMIFS('Saldos Iniciales'!$D:$D,'Saldos Iniciales'!$A:$A,"Electrama")+SUMIFS(Movimientos!$K$1:$K$806,Movimientos!$C$1:$C$806,"Electrama",Movimientos!$B$1:$B$806,"&lt;="&amp;$B102)</f>
        <v>14580.45</v>
      </c>
      <c r="K102" s="24">
        <f>SUMIFS('Saldos Iniciales'!$D:$D,'Saldos Iniciales'!$A:$A,"Sacred Valley Capital")+SUMIFS(Movimientos!$K$1:$K$806,Movimientos!$C$1:$C$806,"Sacred Valley Capital",Movimientos!$B$1:$B$806,"&lt;="&amp;$B102)</f>
        <v>24.450000000000003</v>
      </c>
      <c r="L102" s="24">
        <f>SUMIFS('Saldos Iniciales'!$D:$D,'Saldos Iniciales'!$A:$A,"YWC Capital")+SUMIFS(Movimientos!$K$1:$K$806,Movimientos!$C$1:$C$806,"YWC Capital",Movimientos!$B$1:$B$806,"&lt;="&amp;$B102)</f>
        <v>2177.87</v>
      </c>
      <c r="M102" s="24">
        <f>SUMIFS('Saldos Iniciales'!$D:$D,'Saldos Iniciales'!$A:$A,"Soweto")+SUMIFS(Movimientos!$K$1:$K$806,Movimientos!$C$1:$C$806,"Soweto",Movimientos!$B$1:$B$806,"&lt;="&amp;$B102)</f>
        <v>1454589.72</v>
      </c>
      <c r="N102" s="24">
        <f>SUMIFS('Saldos Iniciales'!$D:$D,'Saldos Iniciales'!$A:$A,"Green Stone Trust")+SUMIFS(Movimientos!$K$1:$K$806,Movimientos!$C$1:$C$806,"Green Stone Trust",Movimientos!$B$1:$B$806,"&lt;="&amp;$B102)</f>
        <v>1968.99</v>
      </c>
      <c r="O102" s="24">
        <f>SUMIFS('Saldos Iniciales'!$D:$D,'Saldos Iniciales'!$A:$A,"EC Auto")+SUMIFS(Movimientos!$K$1:$K$806,Movimientos!$C$1:$C$806,"EC Auto",Movimientos!$B$1:$B$806,"&lt;="&amp;$B102)</f>
        <v>901.34</v>
      </c>
      <c r="P102" s="24">
        <f>SUMIFS('Saldos Iniciales'!$D:$D,'Saldos Iniciales'!$A:$A,"Arbor Capital Properties")+SUMIFS(Movimientos!$K$1:$K$806,Movimientos!$C$1:$C$806,"Arbor Capital Properties",Movimientos!$B$1:$B$806,"&lt;="&amp;$B102)</f>
        <v>1396.08</v>
      </c>
      <c r="Q102" s="24">
        <f>SUMIFS('Saldos Iniciales'!$D:$D,'Saldos Iniciales'!$A:$A,"2515 Overbrook")+SUMIFS(Movimientos!$K$1:$K$806,Movimientos!$C$1:$C$806,"2515 Overbrook",Movimientos!$B$1:$B$806,"&lt;="&amp;$B102)</f>
        <v>11259.639999999961</v>
      </c>
      <c r="R102" s="24">
        <f>SUMIFS('Saldos Iniciales'!$D:$D,'Saldos Iniciales'!$A:$A,"112 Florida Ave")+SUMIFS(Movimientos!$K$1:$K$806,Movimientos!$C$1:$C$806,"112 Florida Ave",Movimientos!$B$1:$B$806,"&lt;="&amp;$B102)</f>
        <v>8724.1700000000037</v>
      </c>
      <c r="S102" s="24">
        <f>SUMIFS('Saldos Iniciales'!$D:$D,'Saldos Iniciales'!$A:$A,"3628 Thomas Ave")+SUMIFS(Movimientos!$K$1:$K$806,Movimientos!$C$1:$C$806,"3628 Thomas Ave",Movimientos!$B$1:$B$806,"&lt;="&amp;$B102)</f>
        <v>15706.099999999997</v>
      </c>
      <c r="T102" s="24">
        <f>SUMIFS('Saldos Iniciales'!$D:$D,'Saldos Iniciales'!$A:$A,"Green Harbor Trust")+SUMIFS(Movimientos!$K$1:$K$806,Movimientos!$C$1:$C$806,"Green Harbor Trust",Movimientos!$B$1:$B$806,"&lt;="&amp;$B102)</f>
        <v>345</v>
      </c>
      <c r="U102" s="24">
        <f>SUMIFS('Saldos Iniciales'!$D:$D,'Saldos Iniciales'!$A:$A,"Go Blue")+SUMIFS(Movimientos!$K$1:$K$806,Movimientos!$C$1:$C$806,"Go Blue",Movimientos!$B$1:$B$806,"&lt;="&amp;$B102)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Group")+SUMIFS(Movimientos!$K$1:$K$806,Movimientos!$C$1:$C$806,"CFT Group",Movimientos!$B$1:$B$806,"&lt;="&amp;$B103)</f>
        <v>1260076.9800000002</v>
      </c>
      <c r="D103" s="24">
        <f>SUMIFS('Saldos Iniciales'!$D:$D,'Saldos Iniciales'!$A:$A,"M1B")+SUMIFS(Movimientos!$K$1:$K$806,Movimientos!$C$1:$C$806,"M1B",Movimientos!$B$1:$B$806,"&lt;="&amp;$B103)</f>
        <v>83211.250000000175</v>
      </c>
      <c r="E103" s="24">
        <f>SUMIFS('Saldos Iniciales'!$D:$D,'Saldos Iniciales'!$A:$A,"Durand")+SUMIFS(Movimientos!$K$1:$K$806,Movimientos!$C$1:$C$806,"Durand",Movimientos!$B$1:$B$806,"&lt;="&amp;$B103)</f>
        <v>1669.89</v>
      </c>
      <c r="F103" s="24">
        <f>SUMIFS('Saldos Iniciales'!$D:$D,'Saldos Iniciales'!$A:$A,"A&amp;M Imports")+SUMIFS(Movimientos!$K$1:$K$806,Movimientos!$C$1:$C$806,"A&amp;M Imports",Movimientos!$B$1:$B$806,"&lt;="&amp;$B103)</f>
        <v>1349451.94</v>
      </c>
      <c r="G103" s="24">
        <f>SUMIFS('Saldos Iniciales'!$D:$D,'Saldos Iniciales'!$A:$A,"SSP Capital")+SUMIFS(Movimientos!$K$1:$K$806,Movimientos!$C$1:$C$806,"SSP Capital",Movimientos!$B$1:$B$806,"&lt;="&amp;$B103)</f>
        <v>2098801.8999999994</v>
      </c>
      <c r="H103" s="24">
        <f>SUMIFS('Saldos Iniciales'!$D:$D,'Saldos Iniciales'!$A:$A,"Cross Family Trust")+SUMIFS(Movimientos!$K$1:$K$806,Movimientos!$C$1:$C$806,"Cross Family Trust",Movimientos!$B$1:$B$806,"&lt;="&amp;$B103)</f>
        <v>171496.38</v>
      </c>
      <c r="I103" s="24">
        <f>SUMIFS('Saldos Iniciales'!$D:$D,'Saldos Iniciales'!$A:$A,"Cross Security Trust")+SUMIFS(Movimientos!$K$1:$K$806,Movimientos!$C$1:$C$806,"Cross Security Trust",Movimientos!$B$1:$B$806,"&lt;="&amp;$B103)</f>
        <v>88090.37</v>
      </c>
      <c r="J103" s="24">
        <f>SUMIFS('Saldos Iniciales'!$D:$D,'Saldos Iniciales'!$A:$A,"Electrama")+SUMIFS(Movimientos!$K$1:$K$806,Movimientos!$C$1:$C$806,"Electrama",Movimientos!$B$1:$B$806,"&lt;="&amp;$B103)</f>
        <v>14580.45</v>
      </c>
      <c r="K103" s="24">
        <f>SUMIFS('Saldos Iniciales'!$D:$D,'Saldos Iniciales'!$A:$A,"Sacred Valley Capital")+SUMIFS(Movimientos!$K$1:$K$806,Movimientos!$C$1:$C$806,"Sacred Valley Capital",Movimientos!$B$1:$B$806,"&lt;="&amp;$B103)</f>
        <v>24.450000000000003</v>
      </c>
      <c r="L103" s="24">
        <f>SUMIFS('Saldos Iniciales'!$D:$D,'Saldos Iniciales'!$A:$A,"YWC Capital")+SUMIFS(Movimientos!$K$1:$K$806,Movimientos!$C$1:$C$806,"YWC Capital",Movimientos!$B$1:$B$806,"&lt;="&amp;$B103)</f>
        <v>2177.87</v>
      </c>
      <c r="M103" s="24">
        <f>SUMIFS('Saldos Iniciales'!$D:$D,'Saldos Iniciales'!$A:$A,"Soweto")+SUMIFS(Movimientos!$K$1:$K$806,Movimientos!$C$1:$C$806,"Soweto",Movimientos!$B$1:$B$806,"&lt;="&amp;$B103)</f>
        <v>1454589.72</v>
      </c>
      <c r="N103" s="24">
        <f>SUMIFS('Saldos Iniciales'!$D:$D,'Saldos Iniciales'!$A:$A,"Green Stone Trust")+SUMIFS(Movimientos!$K$1:$K$806,Movimientos!$C$1:$C$806,"Green Stone Trust",Movimientos!$B$1:$B$806,"&lt;="&amp;$B103)</f>
        <v>1968.99</v>
      </c>
      <c r="O103" s="24">
        <f>SUMIFS('Saldos Iniciales'!$D:$D,'Saldos Iniciales'!$A:$A,"EC Auto")+SUMIFS(Movimientos!$K$1:$K$806,Movimientos!$C$1:$C$806,"EC Auto",Movimientos!$B$1:$B$806,"&lt;="&amp;$B103)</f>
        <v>901.34</v>
      </c>
      <c r="P103" s="24">
        <f>SUMIFS('Saldos Iniciales'!$D:$D,'Saldos Iniciales'!$A:$A,"Arbor Capital Properties")+SUMIFS(Movimientos!$K$1:$K$806,Movimientos!$C$1:$C$806,"Arbor Capital Properties",Movimientos!$B$1:$B$806,"&lt;="&amp;$B103)</f>
        <v>1396.08</v>
      </c>
      <c r="Q103" s="24">
        <f>SUMIFS('Saldos Iniciales'!$D:$D,'Saldos Iniciales'!$A:$A,"2515 Overbrook")+SUMIFS(Movimientos!$K$1:$K$806,Movimientos!$C$1:$C$806,"2515 Overbrook",Movimientos!$B$1:$B$806,"&lt;="&amp;$B103)</f>
        <v>3700.7099999999591</v>
      </c>
      <c r="R103" s="24">
        <f>SUMIFS('Saldos Iniciales'!$D:$D,'Saldos Iniciales'!$A:$A,"112 Florida Ave")+SUMIFS(Movimientos!$K$1:$K$806,Movimientos!$C$1:$C$806,"112 Florida Ave",Movimientos!$B$1:$B$806,"&lt;="&amp;$B103)</f>
        <v>8724.1700000000037</v>
      </c>
      <c r="S103" s="24">
        <f>SUMIFS('Saldos Iniciales'!$D:$D,'Saldos Iniciales'!$A:$A,"3628 Thomas Ave")+SUMIFS(Movimientos!$K$1:$K$806,Movimientos!$C$1:$C$806,"3628 Thomas Ave",Movimientos!$B$1:$B$806,"&lt;="&amp;$B103)</f>
        <v>15706.099999999997</v>
      </c>
      <c r="T103" s="24">
        <f>SUMIFS('Saldos Iniciales'!$D:$D,'Saldos Iniciales'!$A:$A,"Green Harbor Trust")+SUMIFS(Movimientos!$K$1:$K$806,Movimientos!$C$1:$C$806,"Green Harbor Trust",Movimientos!$B$1:$B$806,"&lt;="&amp;$B103)</f>
        <v>345</v>
      </c>
      <c r="U103" s="24">
        <f>SUMIFS('Saldos Iniciales'!$D:$D,'Saldos Iniciales'!$A:$A,"Go Blue")+SUMIFS(Movimientos!$K$1:$K$806,Movimientos!$C$1:$C$806,"Go Blue",Movimientos!$B$1:$B$806,"&lt;="&amp;$B103)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Group")+SUMIFS(Movimientos!$K$1:$K$806,Movimientos!$C$1:$C$806,"CFT Group",Movimientos!$B$1:$B$806,"&lt;="&amp;$B104)</f>
        <v>1260076.9800000002</v>
      </c>
      <c r="D104" s="24">
        <f>SUMIFS('Saldos Iniciales'!$D:$D,'Saldos Iniciales'!$A:$A,"M1B")+SUMIFS(Movimientos!$K$1:$K$806,Movimientos!$C$1:$C$806,"M1B",Movimientos!$B$1:$B$806,"&lt;="&amp;$B104)</f>
        <v>83211.250000000175</v>
      </c>
      <c r="E104" s="24">
        <f>SUMIFS('Saldos Iniciales'!$D:$D,'Saldos Iniciales'!$A:$A,"Durand")+SUMIFS(Movimientos!$K$1:$K$806,Movimientos!$C$1:$C$806,"Durand",Movimientos!$B$1:$B$806,"&lt;="&amp;$B104)</f>
        <v>1669.89</v>
      </c>
      <c r="F104" s="24">
        <f>SUMIFS('Saldos Iniciales'!$D:$D,'Saldos Iniciales'!$A:$A,"A&amp;M Imports")+SUMIFS(Movimientos!$K$1:$K$806,Movimientos!$C$1:$C$806,"A&amp;M Imports",Movimientos!$B$1:$B$806,"&lt;="&amp;$B104)</f>
        <v>1349451.94</v>
      </c>
      <c r="G104" s="24">
        <f>SUMIFS('Saldos Iniciales'!$D:$D,'Saldos Iniciales'!$A:$A,"SSP Capital")+SUMIFS(Movimientos!$K$1:$K$806,Movimientos!$C$1:$C$806,"SSP Capital",Movimientos!$B$1:$B$806,"&lt;="&amp;$B104)</f>
        <v>1622920.8199999996</v>
      </c>
      <c r="H104" s="24">
        <f>SUMIFS('Saldos Iniciales'!$D:$D,'Saldos Iniciales'!$A:$A,"Cross Family Trust")+SUMIFS(Movimientos!$K$1:$K$806,Movimientos!$C$1:$C$806,"Cross Family Trust",Movimientos!$B$1:$B$806,"&lt;="&amp;$B104)</f>
        <v>171496.38</v>
      </c>
      <c r="I104" s="24">
        <f>SUMIFS('Saldos Iniciales'!$D:$D,'Saldos Iniciales'!$A:$A,"Cross Security Trust")+SUMIFS(Movimientos!$K$1:$K$806,Movimientos!$C$1:$C$806,"Cross Security Trust",Movimientos!$B$1:$B$806,"&lt;="&amp;$B104)</f>
        <v>88090.37</v>
      </c>
      <c r="J104" s="24">
        <f>SUMIFS('Saldos Iniciales'!$D:$D,'Saldos Iniciales'!$A:$A,"Electrama")+SUMIFS(Movimientos!$K$1:$K$806,Movimientos!$C$1:$C$806,"Electrama",Movimientos!$B$1:$B$806,"&lt;="&amp;$B104)</f>
        <v>14580.45</v>
      </c>
      <c r="K104" s="24">
        <f>SUMIFS('Saldos Iniciales'!$D:$D,'Saldos Iniciales'!$A:$A,"Sacred Valley Capital")+SUMIFS(Movimientos!$K$1:$K$806,Movimientos!$C$1:$C$806,"Sacred Valley Capital",Movimientos!$B$1:$B$806,"&lt;="&amp;$B104)</f>
        <v>24.450000000000003</v>
      </c>
      <c r="L104" s="24">
        <f>SUMIFS('Saldos Iniciales'!$D:$D,'Saldos Iniciales'!$A:$A,"YWC Capital")+SUMIFS(Movimientos!$K$1:$K$806,Movimientos!$C$1:$C$806,"YWC Capital",Movimientos!$B$1:$B$806,"&lt;="&amp;$B104)</f>
        <v>2177.87</v>
      </c>
      <c r="M104" s="24">
        <f>SUMIFS('Saldos Iniciales'!$D:$D,'Saldos Iniciales'!$A:$A,"Soweto")+SUMIFS(Movimientos!$K$1:$K$806,Movimientos!$C$1:$C$806,"Soweto",Movimientos!$B$1:$B$806,"&lt;="&amp;$B104)</f>
        <v>1454589.72</v>
      </c>
      <c r="N104" s="24">
        <f>SUMIFS('Saldos Iniciales'!$D:$D,'Saldos Iniciales'!$A:$A,"Green Stone Trust")+SUMIFS(Movimientos!$K$1:$K$806,Movimientos!$C$1:$C$806,"Green Stone Trust",Movimientos!$B$1:$B$806,"&lt;="&amp;$B104)</f>
        <v>1968.99</v>
      </c>
      <c r="O104" s="24">
        <f>SUMIFS('Saldos Iniciales'!$D:$D,'Saldos Iniciales'!$A:$A,"EC Auto")+SUMIFS(Movimientos!$K$1:$K$806,Movimientos!$C$1:$C$806,"EC Auto",Movimientos!$B$1:$B$806,"&lt;="&amp;$B104)</f>
        <v>901.34</v>
      </c>
      <c r="P104" s="24">
        <f>SUMIFS('Saldos Iniciales'!$D:$D,'Saldos Iniciales'!$A:$A,"Arbor Capital Properties")+SUMIFS(Movimientos!$K$1:$K$806,Movimientos!$C$1:$C$806,"Arbor Capital Properties",Movimientos!$B$1:$B$806,"&lt;="&amp;$B104)</f>
        <v>1396.08</v>
      </c>
      <c r="Q104" s="24">
        <f>SUMIFS('Saldos Iniciales'!$D:$D,'Saldos Iniciales'!$A:$A,"2515 Overbrook")+SUMIFS(Movimientos!$K$1:$K$806,Movimientos!$C$1:$C$806,"2515 Overbrook",Movimientos!$B$1:$B$806,"&lt;="&amp;$B104)</f>
        <v>3700.7099999999591</v>
      </c>
      <c r="R104" s="24">
        <f>SUMIFS('Saldos Iniciales'!$D:$D,'Saldos Iniciales'!$A:$A,"112 Florida Ave")+SUMIFS(Movimientos!$K$1:$K$806,Movimientos!$C$1:$C$806,"112 Florida Ave",Movimientos!$B$1:$B$806,"&lt;="&amp;$B104)</f>
        <v>8724.1700000000037</v>
      </c>
      <c r="S104" s="24">
        <f>SUMIFS('Saldos Iniciales'!$D:$D,'Saldos Iniciales'!$A:$A,"3628 Thomas Ave")+SUMIFS(Movimientos!$K$1:$K$806,Movimientos!$C$1:$C$806,"3628 Thomas Ave",Movimientos!$B$1:$B$806,"&lt;="&amp;$B104)</f>
        <v>15042.439999999997</v>
      </c>
      <c r="T104" s="24">
        <f>SUMIFS('Saldos Iniciales'!$D:$D,'Saldos Iniciales'!$A:$A,"Green Harbor Trust")+SUMIFS(Movimientos!$K$1:$K$806,Movimientos!$C$1:$C$806,"Green Harbor Trust",Movimientos!$B$1:$B$806,"&lt;="&amp;$B104)</f>
        <v>345</v>
      </c>
      <c r="U104" s="24">
        <f>SUMIFS('Saldos Iniciales'!$D:$D,'Saldos Iniciales'!$A:$A,"Go Blue")+SUMIFS(Movimientos!$K$1:$K$806,Movimientos!$C$1:$C$806,"Go Blue",Movimientos!$B$1:$B$806,"&lt;="&amp;$B104)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Group")+SUMIFS(Movimientos!$K$1:$K$806,Movimientos!$C$1:$C$806,"CFT Group",Movimientos!$B$1:$B$806,"&lt;="&amp;$B105)</f>
        <v>1260076.9800000002</v>
      </c>
      <c r="D105" s="24">
        <f>SUMIFS('Saldos Iniciales'!$D:$D,'Saldos Iniciales'!$A:$A,"M1B")+SUMIFS(Movimientos!$K$1:$K$806,Movimientos!$C$1:$C$806,"M1B",Movimientos!$B$1:$B$806,"&lt;="&amp;$B105)</f>
        <v>83211.250000000175</v>
      </c>
      <c r="E105" s="24">
        <f>SUMIFS('Saldos Iniciales'!$D:$D,'Saldos Iniciales'!$A:$A,"Durand")+SUMIFS(Movimientos!$K$1:$K$806,Movimientos!$C$1:$C$806,"Durand",Movimientos!$B$1:$B$806,"&lt;="&amp;$B105)</f>
        <v>1669.89</v>
      </c>
      <c r="F105" s="24">
        <f>SUMIFS('Saldos Iniciales'!$D:$D,'Saldos Iniciales'!$A:$A,"A&amp;M Imports")+SUMIFS(Movimientos!$K$1:$K$806,Movimientos!$C$1:$C$806,"A&amp;M Imports",Movimientos!$B$1:$B$806,"&lt;="&amp;$B105)</f>
        <v>1349451.94</v>
      </c>
      <c r="G105" s="24">
        <f>SUMIFS('Saldos Iniciales'!$D:$D,'Saldos Iniciales'!$A:$A,"SSP Capital")+SUMIFS(Movimientos!$K$1:$K$806,Movimientos!$C$1:$C$806,"SSP Capital",Movimientos!$B$1:$B$806,"&lt;="&amp;$B105)</f>
        <v>1622914.8199999996</v>
      </c>
      <c r="H105" s="24">
        <f>SUMIFS('Saldos Iniciales'!$D:$D,'Saldos Iniciales'!$A:$A,"Cross Family Trust")+SUMIFS(Movimientos!$K$1:$K$806,Movimientos!$C$1:$C$806,"Cross Family Trust",Movimientos!$B$1:$B$806,"&lt;="&amp;$B105)</f>
        <v>731496.38</v>
      </c>
      <c r="I105" s="24">
        <f>SUMIFS('Saldos Iniciales'!$D:$D,'Saldos Iniciales'!$A:$A,"Cross Security Trust")+SUMIFS(Movimientos!$K$1:$K$806,Movimientos!$C$1:$C$806,"Cross Security Trust",Movimientos!$B$1:$B$806,"&lt;="&amp;$B105)</f>
        <v>158090.37</v>
      </c>
      <c r="J105" s="24">
        <f>SUMIFS('Saldos Iniciales'!$D:$D,'Saldos Iniciales'!$A:$A,"Electrama")+SUMIFS(Movimientos!$K$1:$K$806,Movimientos!$C$1:$C$806,"Electrama",Movimientos!$B$1:$B$806,"&lt;="&amp;$B105)</f>
        <v>14580.45</v>
      </c>
      <c r="K105" s="24">
        <f>SUMIFS('Saldos Iniciales'!$D:$D,'Saldos Iniciales'!$A:$A,"Sacred Valley Capital")+SUMIFS(Movimientos!$K$1:$K$806,Movimientos!$C$1:$C$806,"Sacred Valley Capital",Movimientos!$B$1:$B$806,"&lt;="&amp;$B105)</f>
        <v>24.450000000000003</v>
      </c>
      <c r="L105" s="24">
        <f>SUMIFS('Saldos Iniciales'!$D:$D,'Saldos Iniciales'!$A:$A,"YWC Capital")+SUMIFS(Movimientos!$K$1:$K$806,Movimientos!$C$1:$C$806,"YWC Capital",Movimientos!$B$1:$B$806,"&lt;="&amp;$B105)</f>
        <v>2177.87</v>
      </c>
      <c r="M105" s="24">
        <f>SUMIFS('Saldos Iniciales'!$D:$D,'Saldos Iniciales'!$A:$A,"Soweto")+SUMIFS(Movimientos!$K$1:$K$806,Movimientos!$C$1:$C$806,"Soweto",Movimientos!$B$1:$B$806,"&lt;="&amp;$B105)</f>
        <v>754589.72</v>
      </c>
      <c r="N105" s="24">
        <f>SUMIFS('Saldos Iniciales'!$D:$D,'Saldos Iniciales'!$A:$A,"Green Stone Trust")+SUMIFS(Movimientos!$K$1:$K$806,Movimientos!$C$1:$C$806,"Green Stone Trust",Movimientos!$B$1:$B$806,"&lt;="&amp;$B105)</f>
        <v>1968.99</v>
      </c>
      <c r="O105" s="24">
        <f>SUMIFS('Saldos Iniciales'!$D:$D,'Saldos Iniciales'!$A:$A,"EC Auto")+SUMIFS(Movimientos!$K$1:$K$806,Movimientos!$C$1:$C$806,"EC Auto",Movimientos!$B$1:$B$806,"&lt;="&amp;$B105)</f>
        <v>901.34</v>
      </c>
      <c r="P105" s="24">
        <f>SUMIFS('Saldos Iniciales'!$D:$D,'Saldos Iniciales'!$A:$A,"Arbor Capital Properties")+SUMIFS(Movimientos!$K$1:$K$806,Movimientos!$C$1:$C$806,"Arbor Capital Properties",Movimientos!$B$1:$B$806,"&lt;="&amp;$B105)</f>
        <v>1396.08</v>
      </c>
      <c r="Q105" s="24">
        <f>SUMIFS('Saldos Iniciales'!$D:$D,'Saldos Iniciales'!$A:$A,"2515 Overbrook")+SUMIFS(Movimientos!$K$1:$K$806,Movimientos!$C$1:$C$806,"2515 Overbrook",Movimientos!$B$1:$B$806,"&lt;="&amp;$B105)</f>
        <v>3700.7099999999591</v>
      </c>
      <c r="R105" s="24">
        <f>SUMIFS('Saldos Iniciales'!$D:$D,'Saldos Iniciales'!$A:$A,"112 Florida Ave")+SUMIFS(Movimientos!$K$1:$K$806,Movimientos!$C$1:$C$806,"112 Florida Ave",Movimientos!$B$1:$B$806,"&lt;="&amp;$B105)</f>
        <v>8724.1700000000037</v>
      </c>
      <c r="S105" s="24">
        <f>SUMIFS('Saldos Iniciales'!$D:$D,'Saldos Iniciales'!$A:$A,"3628 Thomas Ave")+SUMIFS(Movimientos!$K$1:$K$806,Movimientos!$C$1:$C$806,"3628 Thomas Ave",Movimientos!$B$1:$B$806,"&lt;="&amp;$B105)</f>
        <v>14936.039999999997</v>
      </c>
      <c r="T105" s="24">
        <f>SUMIFS('Saldos Iniciales'!$D:$D,'Saldos Iniciales'!$A:$A,"Green Harbor Trust")+SUMIFS(Movimientos!$K$1:$K$806,Movimientos!$C$1:$C$806,"Green Harbor Trust",Movimientos!$B$1:$B$806,"&lt;="&amp;$B105)</f>
        <v>345</v>
      </c>
      <c r="U105" s="24">
        <f>SUMIFS('Saldos Iniciales'!$D:$D,'Saldos Iniciales'!$A:$A,"Go Blue")+SUMIFS(Movimientos!$K$1:$K$806,Movimientos!$C$1:$C$806,"Go Blue",Movimientos!$B$1:$B$806,"&lt;="&amp;$B105)</f>
        <v>12470.040000000003</v>
      </c>
      <c r="V105" s="25">
        <f t="shared" si="24"/>
        <v>6022726.4900000002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Group")+SUMIFS(Movimientos!$K$1:$K$806,Movimientos!$C$1:$C$806,"CFT Group",Movimientos!$B$1:$B$806,"&lt;="&amp;$B106)</f>
        <v>1041242.3800000005</v>
      </c>
      <c r="D106" s="24">
        <f>SUMIFS('Saldos Iniciales'!$D:$D,'Saldos Iniciales'!$A:$A,"M1B")+SUMIFS(Movimientos!$K$1:$K$806,Movimientos!$C$1:$C$806,"M1B",Movimientos!$B$1:$B$806,"&lt;="&amp;$B106)</f>
        <v>83211.250000000175</v>
      </c>
      <c r="E106" s="24">
        <f>SUMIFS('Saldos Iniciales'!$D:$D,'Saldos Iniciales'!$A:$A,"Durand")+SUMIFS(Movimientos!$K$1:$K$806,Movimientos!$C$1:$C$806,"Durand",Movimientos!$B$1:$B$806,"&lt;="&amp;$B106)</f>
        <v>1669.89</v>
      </c>
      <c r="F106" s="24">
        <f>SUMIFS('Saldos Iniciales'!$D:$D,'Saldos Iniciales'!$A:$A,"A&amp;M Imports")+SUMIFS(Movimientos!$K$1:$K$806,Movimientos!$C$1:$C$806,"A&amp;M Imports",Movimientos!$B$1:$B$806,"&lt;="&amp;$B106)</f>
        <v>1289451.94</v>
      </c>
      <c r="G106" s="24">
        <f>SUMIFS('Saldos Iniciales'!$D:$D,'Saldos Iniciales'!$A:$A,"SSP Capital")+SUMIFS(Movimientos!$K$1:$K$806,Movimientos!$C$1:$C$806,"SSP Capital",Movimientos!$B$1:$B$806,"&lt;="&amp;$B106)</f>
        <v>1418917.5899999996</v>
      </c>
      <c r="H106" s="24">
        <f>SUMIFS('Saldos Iniciales'!$D:$D,'Saldos Iniciales'!$A:$A,"Cross Family Trust")+SUMIFS(Movimientos!$K$1:$K$806,Movimientos!$C$1:$C$806,"Cross Family Trust",Movimientos!$B$1:$B$806,"&lt;="&amp;$B106)</f>
        <v>221496.38</v>
      </c>
      <c r="I106" s="24">
        <f>SUMIFS('Saldos Iniciales'!$D:$D,'Saldos Iniciales'!$A:$A,"Cross Security Trust")+SUMIFS(Movimientos!$K$1:$K$806,Movimientos!$C$1:$C$806,"Cross Security Trust",Movimientos!$B$1:$B$806,"&lt;="&amp;$B106)</f>
        <v>158090.37</v>
      </c>
      <c r="J106" s="24">
        <f>SUMIFS('Saldos Iniciales'!$D:$D,'Saldos Iniciales'!$A:$A,"Electrama")+SUMIFS(Movimientos!$K$1:$K$806,Movimientos!$C$1:$C$806,"Electrama",Movimientos!$B$1:$B$806,"&lt;="&amp;$B106)</f>
        <v>14580.45</v>
      </c>
      <c r="K106" s="24">
        <f>SUMIFS('Saldos Iniciales'!$D:$D,'Saldos Iniciales'!$A:$A,"Sacred Valley Capital")+SUMIFS(Movimientos!$K$1:$K$806,Movimientos!$C$1:$C$806,"Sacred Valley Capital",Movimientos!$B$1:$B$806,"&lt;="&amp;$B106)</f>
        <v>24.450000000000003</v>
      </c>
      <c r="L106" s="24">
        <f>SUMIFS('Saldos Iniciales'!$D:$D,'Saldos Iniciales'!$A:$A,"YWC Capital")+SUMIFS(Movimientos!$K$1:$K$806,Movimientos!$C$1:$C$806,"YWC Capital",Movimientos!$B$1:$B$806,"&lt;="&amp;$B106)</f>
        <v>2177.87</v>
      </c>
      <c r="M106" s="24">
        <f>SUMIFS('Saldos Iniciales'!$D:$D,'Saldos Iniciales'!$A:$A,"Soweto")+SUMIFS(Movimientos!$K$1:$K$806,Movimientos!$C$1:$C$806,"Soweto",Movimientos!$B$1:$B$806,"&lt;="&amp;$B106)</f>
        <v>754589.72</v>
      </c>
      <c r="N106" s="24">
        <f>SUMIFS('Saldos Iniciales'!$D:$D,'Saldos Iniciales'!$A:$A,"Green Stone Trust")+SUMIFS(Movimientos!$K$1:$K$806,Movimientos!$C$1:$C$806,"Green Stone Trust",Movimientos!$B$1:$B$806,"&lt;="&amp;$B106)</f>
        <v>1968.99</v>
      </c>
      <c r="O106" s="24">
        <f>SUMIFS('Saldos Iniciales'!$D:$D,'Saldos Iniciales'!$A:$A,"EC Auto")+SUMIFS(Movimientos!$K$1:$K$806,Movimientos!$C$1:$C$806,"EC Auto",Movimientos!$B$1:$B$806,"&lt;="&amp;$B106)</f>
        <v>901.34</v>
      </c>
      <c r="P106" s="24">
        <f>SUMIFS('Saldos Iniciales'!$D:$D,'Saldos Iniciales'!$A:$A,"Arbor Capital Properties")+SUMIFS(Movimientos!$K$1:$K$806,Movimientos!$C$1:$C$806,"Arbor Capital Properties",Movimientos!$B$1:$B$806,"&lt;="&amp;$B106)</f>
        <v>1396.08</v>
      </c>
      <c r="Q106" s="24">
        <f>SUMIFS('Saldos Iniciales'!$D:$D,'Saldos Iniciales'!$A:$A,"2515 Overbrook")+SUMIFS(Movimientos!$K$1:$K$806,Movimientos!$C$1:$C$806,"2515 Overbrook",Movimientos!$B$1:$B$806,"&lt;="&amp;$B106)</f>
        <v>13700.709999999959</v>
      </c>
      <c r="R106" s="24">
        <f>SUMIFS('Saldos Iniciales'!$D:$D,'Saldos Iniciales'!$A:$A,"112 Florida Ave")+SUMIFS(Movimientos!$K$1:$K$806,Movimientos!$C$1:$C$806,"112 Florida Ave",Movimientos!$B$1:$B$806,"&lt;="&amp;$B106)</f>
        <v>8724.1700000000037</v>
      </c>
      <c r="S106" s="24">
        <f>SUMIFS('Saldos Iniciales'!$D:$D,'Saldos Iniciales'!$A:$A,"3628 Thomas Ave")+SUMIFS(Movimientos!$K$1:$K$806,Movimientos!$C$1:$C$806,"3628 Thomas Ave",Movimientos!$B$1:$B$806,"&lt;="&amp;$B106)</f>
        <v>14936.039999999997</v>
      </c>
      <c r="T106" s="24">
        <f>SUMIFS('Saldos Iniciales'!$D:$D,'Saldos Iniciales'!$A:$A,"Green Harbor Trust")+SUMIFS(Movimientos!$K$1:$K$806,Movimientos!$C$1:$C$806,"Green Harbor Trust",Movimientos!$B$1:$B$806,"&lt;="&amp;$B106)</f>
        <v>345</v>
      </c>
      <c r="U106" s="24">
        <f>SUMIFS('Saldos Iniciales'!$D:$D,'Saldos Iniciales'!$A:$A,"Go Blue")+SUMIFS(Movimientos!$K$1:$K$806,Movimientos!$C$1:$C$806,"Go Blue",Movimientos!$B$1:$B$806,"&lt;="&amp;$B106)</f>
        <v>14740.900000000001</v>
      </c>
      <c r="V106" s="25">
        <f t="shared" ref="V106:V107" si="25">SUM(C106:U106)</f>
        <v>5042165.5200000005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Group")+SUMIFS(Movimientos!$K$1:$K$806,Movimientos!$C$1:$C$806,"CFT Group",Movimientos!$B$1:$B$806,"&lt;="&amp;$B107)</f>
        <v>941242.38000000047</v>
      </c>
      <c r="D107" s="24">
        <f>SUMIFS('Saldos Iniciales'!$D:$D,'Saldos Iniciales'!$A:$A,"M1B")+SUMIFS(Movimientos!$K$1:$K$806,Movimientos!$C$1:$C$806,"M1B",Movimientos!$B$1:$B$806,"&lt;="&amp;$B107)</f>
        <v>83211.250000000175</v>
      </c>
      <c r="E107" s="24">
        <f>SUMIFS('Saldos Iniciales'!$D:$D,'Saldos Iniciales'!$A:$A,"Durand")+SUMIFS(Movimientos!$K$1:$K$806,Movimientos!$C$1:$C$806,"Durand",Movimientos!$B$1:$B$806,"&lt;="&amp;$B107)</f>
        <v>1669.89</v>
      </c>
      <c r="F107" s="24">
        <f>SUMIFS('Saldos Iniciales'!$D:$D,'Saldos Iniciales'!$A:$A,"A&amp;M Imports")+SUMIFS(Movimientos!$K$1:$K$806,Movimientos!$C$1:$C$806,"A&amp;M Imports",Movimientos!$B$1:$B$806,"&lt;="&amp;$B107)</f>
        <v>1289451.94</v>
      </c>
      <c r="G107" s="24">
        <f>SUMIFS('Saldos Iniciales'!$D:$D,'Saldos Iniciales'!$A:$A,"SSP Capital")+SUMIFS(Movimientos!$K$1:$K$806,Movimientos!$C$1:$C$806,"SSP Capital",Movimientos!$B$1:$B$806,"&lt;="&amp;$B107)</f>
        <v>1418917.5899999996</v>
      </c>
      <c r="H107" s="24">
        <f>SUMIFS('Saldos Iniciales'!$D:$D,'Saldos Iniciales'!$A:$A,"Cross Family Trust")+SUMIFS(Movimientos!$K$1:$K$806,Movimientos!$C$1:$C$806,"Cross Family Trust",Movimientos!$B$1:$B$806,"&lt;="&amp;$B107)</f>
        <v>221496.38</v>
      </c>
      <c r="I107" s="24">
        <f>SUMIFS('Saldos Iniciales'!$D:$D,'Saldos Iniciales'!$A:$A,"Cross Security Trust")+SUMIFS(Movimientos!$K$1:$K$806,Movimientos!$C$1:$C$806,"Cross Security Trust",Movimientos!$B$1:$B$806,"&lt;="&amp;$B107)</f>
        <v>158090.37</v>
      </c>
      <c r="J107" s="24">
        <f>SUMIFS('Saldos Iniciales'!$D:$D,'Saldos Iniciales'!$A:$A,"Electrama")+SUMIFS(Movimientos!$K$1:$K$806,Movimientos!$C$1:$C$806,"Electrama",Movimientos!$B$1:$B$806,"&lt;="&amp;$B107)</f>
        <v>14580.45</v>
      </c>
      <c r="K107" s="24">
        <f>SUMIFS('Saldos Iniciales'!$D:$D,'Saldos Iniciales'!$A:$A,"Sacred Valley Capital")+SUMIFS(Movimientos!$K$1:$K$806,Movimientos!$C$1:$C$806,"Sacred Valley Capital",Movimientos!$B$1:$B$806,"&lt;="&amp;$B107)</f>
        <v>24.450000000000003</v>
      </c>
      <c r="L107" s="24">
        <f>SUMIFS('Saldos Iniciales'!$D:$D,'Saldos Iniciales'!$A:$A,"YWC Capital")+SUMIFS(Movimientos!$K$1:$K$806,Movimientos!$C$1:$C$806,"YWC Capital",Movimientos!$B$1:$B$806,"&lt;="&amp;$B107)</f>
        <v>2177.87</v>
      </c>
      <c r="M107" s="24">
        <f>SUMIFS('Saldos Iniciales'!$D:$D,'Saldos Iniciales'!$A:$A,"Soweto")+SUMIFS(Movimientos!$K$1:$K$806,Movimientos!$C$1:$C$806,"Soweto",Movimientos!$B$1:$B$806,"&lt;="&amp;$B107)</f>
        <v>754589.72</v>
      </c>
      <c r="N107" s="24">
        <f>SUMIFS('Saldos Iniciales'!$D:$D,'Saldos Iniciales'!$A:$A,"Green Stone Trust")+SUMIFS(Movimientos!$K$1:$K$806,Movimientos!$C$1:$C$806,"Green Stone Trust",Movimientos!$B$1:$B$806,"&lt;="&amp;$B107)</f>
        <v>1968.99</v>
      </c>
      <c r="O107" s="24">
        <f>SUMIFS('Saldos Iniciales'!$D:$D,'Saldos Iniciales'!$A:$A,"EC Auto")+SUMIFS(Movimientos!$K$1:$K$806,Movimientos!$C$1:$C$806,"EC Auto",Movimientos!$B$1:$B$806,"&lt;="&amp;$B107)</f>
        <v>901.34</v>
      </c>
      <c r="P107" s="24">
        <f>SUMIFS('Saldos Iniciales'!$D:$D,'Saldos Iniciales'!$A:$A,"Arbor Capital Properties")+SUMIFS(Movimientos!$K$1:$K$806,Movimientos!$C$1:$C$806,"Arbor Capital Properties",Movimientos!$B$1:$B$806,"&lt;="&amp;$B107)</f>
        <v>1396.08</v>
      </c>
      <c r="Q107" s="24">
        <f>SUMIFS('Saldos Iniciales'!$D:$D,'Saldos Iniciales'!$A:$A,"2515 Overbrook")+SUMIFS(Movimientos!$K$1:$K$806,Movimientos!$C$1:$C$806,"2515 Overbrook",Movimientos!$B$1:$B$806,"&lt;="&amp;$B107)</f>
        <v>13685.709999999959</v>
      </c>
      <c r="R107" s="24">
        <f>SUMIFS('Saldos Iniciales'!$D:$D,'Saldos Iniciales'!$A:$A,"112 Florida Ave")+SUMIFS(Movimientos!$K$1:$K$806,Movimientos!$C$1:$C$806,"112 Florida Ave",Movimientos!$B$1:$B$806,"&lt;="&amp;$B107)</f>
        <v>8724.1700000000037</v>
      </c>
      <c r="S107" s="24">
        <f>SUMIFS('Saldos Iniciales'!$D:$D,'Saldos Iniciales'!$A:$A,"3628 Thomas Ave")+SUMIFS(Movimientos!$K$1:$K$806,Movimientos!$C$1:$C$806,"3628 Thomas Ave",Movimientos!$B$1:$B$806,"&lt;="&amp;$B107)</f>
        <v>14936.039999999997</v>
      </c>
      <c r="T107" s="24">
        <f>SUMIFS('Saldos Iniciales'!$D:$D,'Saldos Iniciales'!$A:$A,"Green Harbor Trust")+SUMIFS(Movimientos!$K$1:$K$806,Movimientos!$C$1:$C$806,"Green Harbor Trust",Movimientos!$B$1:$B$806,"&lt;="&amp;$B107)</f>
        <v>345</v>
      </c>
      <c r="U107" s="24">
        <f>SUMIFS('Saldos Iniciales'!$D:$D,'Saldos Iniciales'!$A:$A,"Go Blue")+SUMIFS(Movimientos!$K$1:$K$806,Movimientos!$C$1:$C$806,"Go Blue",Movimientos!$B$1:$B$806,"&lt;="&amp;$B107)</f>
        <v>14740.900000000001</v>
      </c>
      <c r="V107" s="25">
        <f t="shared" si="25"/>
        <v>4942150.5200000005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Group")+SUMIFS(Movimientos!$K$1:$K$806,Movimientos!$C$1:$C$806,"CFT Group",Movimientos!$B$1:$B$806,"&lt;="&amp;$B108)</f>
        <v>941242.38000000047</v>
      </c>
      <c r="D108" s="24">
        <f>SUMIFS('Saldos Iniciales'!$D:$D,'Saldos Iniciales'!$A:$A,"M1B")+SUMIFS(Movimientos!$K$1:$K$806,Movimientos!$C$1:$C$806,"M1B",Movimientos!$B$1:$B$806,"&lt;="&amp;$B108)</f>
        <v>83211.250000000175</v>
      </c>
      <c r="E108" s="24">
        <f>SUMIFS('Saldos Iniciales'!$D:$D,'Saldos Iniciales'!$A:$A,"Durand")+SUMIFS(Movimientos!$K$1:$K$806,Movimientos!$C$1:$C$806,"Durand",Movimientos!$B$1:$B$806,"&lt;="&amp;$B108)</f>
        <v>1669.89</v>
      </c>
      <c r="F108" s="24">
        <f>SUMIFS('Saldos Iniciales'!$D:$D,'Saldos Iniciales'!$A:$A,"A&amp;M Imports")+SUMIFS(Movimientos!$K$1:$K$806,Movimientos!$C$1:$C$806,"A&amp;M Imports",Movimientos!$B$1:$B$806,"&lt;="&amp;$B108)</f>
        <v>1289451.94</v>
      </c>
      <c r="G108" s="24">
        <f>SUMIFS('Saldos Iniciales'!$D:$D,'Saldos Iniciales'!$A:$A,"SSP Capital")+SUMIFS(Movimientos!$K$1:$K$806,Movimientos!$C$1:$C$806,"SSP Capital",Movimientos!$B$1:$B$806,"&lt;="&amp;$B108)</f>
        <v>1418917.5899999996</v>
      </c>
      <c r="H108" s="24">
        <f>SUMIFS('Saldos Iniciales'!$D:$D,'Saldos Iniciales'!$A:$A,"Cross Family Trust")+SUMIFS(Movimientos!$K$1:$K$806,Movimientos!$C$1:$C$806,"Cross Family Trust",Movimientos!$B$1:$B$806,"&lt;="&amp;$B108)</f>
        <v>221496.38</v>
      </c>
      <c r="I108" s="24">
        <f>SUMIFS('Saldos Iniciales'!$D:$D,'Saldos Iniciales'!$A:$A,"Cross Security Trust")+SUMIFS(Movimientos!$K$1:$K$806,Movimientos!$C$1:$C$806,"Cross Security Trust",Movimientos!$B$1:$B$806,"&lt;="&amp;$B108)</f>
        <v>158090.37</v>
      </c>
      <c r="J108" s="24">
        <f>SUMIFS('Saldos Iniciales'!$D:$D,'Saldos Iniciales'!$A:$A,"Electrama")+SUMIFS(Movimientos!$K$1:$K$806,Movimientos!$C$1:$C$806,"Electrama",Movimientos!$B$1:$B$806,"&lt;="&amp;$B108)</f>
        <v>14580.45</v>
      </c>
      <c r="K108" s="24">
        <f>SUMIFS('Saldos Iniciales'!$D:$D,'Saldos Iniciales'!$A:$A,"Sacred Valley Capital")+SUMIFS(Movimientos!$K$1:$K$806,Movimientos!$C$1:$C$806,"Sacred Valley Capital",Movimientos!$B$1:$B$806,"&lt;="&amp;$B108)</f>
        <v>24.450000000000003</v>
      </c>
      <c r="L108" s="24">
        <f>SUMIFS('Saldos Iniciales'!$D:$D,'Saldos Iniciales'!$A:$A,"YWC Capital")+SUMIFS(Movimientos!$K$1:$K$806,Movimientos!$C$1:$C$806,"YWC Capital",Movimientos!$B$1:$B$806,"&lt;="&amp;$B108)</f>
        <v>2177.87</v>
      </c>
      <c r="M108" s="24">
        <f>SUMIFS('Saldos Iniciales'!$D:$D,'Saldos Iniciales'!$A:$A,"Soweto")+SUMIFS(Movimientos!$K$1:$K$806,Movimientos!$C$1:$C$806,"Soweto",Movimientos!$B$1:$B$806,"&lt;="&amp;$B108)</f>
        <v>754589.72</v>
      </c>
      <c r="N108" s="24">
        <f>SUMIFS('Saldos Iniciales'!$D:$D,'Saldos Iniciales'!$A:$A,"Green Stone Trust")+SUMIFS(Movimientos!$K$1:$K$806,Movimientos!$C$1:$C$806,"Green Stone Trust",Movimientos!$B$1:$B$806,"&lt;="&amp;$B108)</f>
        <v>1968.99</v>
      </c>
      <c r="O108" s="24">
        <f>SUMIFS('Saldos Iniciales'!$D:$D,'Saldos Iniciales'!$A:$A,"EC Auto")+SUMIFS(Movimientos!$K$1:$K$806,Movimientos!$C$1:$C$806,"EC Auto",Movimientos!$B$1:$B$806,"&lt;="&amp;$B108)</f>
        <v>901.34</v>
      </c>
      <c r="P108" s="24">
        <f>SUMIFS('Saldos Iniciales'!$D:$D,'Saldos Iniciales'!$A:$A,"Arbor Capital Properties")+SUMIFS(Movimientos!$K$1:$K$806,Movimientos!$C$1:$C$806,"Arbor Capital Properties",Movimientos!$B$1:$B$806,"&lt;="&amp;$B108)</f>
        <v>1396.08</v>
      </c>
      <c r="Q108" s="24">
        <f>SUMIFS('Saldos Iniciales'!$D:$D,'Saldos Iniciales'!$A:$A,"2515 Overbrook")+SUMIFS(Movimientos!$K$1:$K$806,Movimientos!$C$1:$C$806,"2515 Overbrook",Movimientos!$B$1:$B$806,"&lt;="&amp;$B108)</f>
        <v>13685.709999999959</v>
      </c>
      <c r="R108" s="24">
        <f>SUMIFS('Saldos Iniciales'!$D:$D,'Saldos Iniciales'!$A:$A,"112 Florida Ave")+SUMIFS(Movimientos!$K$1:$K$806,Movimientos!$C$1:$C$806,"112 Florida Ave",Movimientos!$B$1:$B$806,"&lt;="&amp;$B108)</f>
        <v>8724.1700000000037</v>
      </c>
      <c r="S108" s="24">
        <f>SUMIFS('Saldos Iniciales'!$D:$D,'Saldos Iniciales'!$A:$A,"3628 Thomas Ave")+SUMIFS(Movimientos!$K$1:$K$806,Movimientos!$C$1:$C$806,"3628 Thomas Ave",Movimientos!$B$1:$B$806,"&lt;="&amp;$B108)</f>
        <v>14936.039999999997</v>
      </c>
      <c r="T108" s="24">
        <f>SUMIFS('Saldos Iniciales'!$D:$D,'Saldos Iniciales'!$A:$A,"Green Harbor Trust")+SUMIFS(Movimientos!$K$1:$K$806,Movimientos!$C$1:$C$806,"Green Harbor Trust",Movimientos!$B$1:$B$806,"&lt;="&amp;$B108)</f>
        <v>345</v>
      </c>
      <c r="U108" s="24">
        <f>SUMIFS('Saldos Iniciales'!$D:$D,'Saldos Iniciales'!$A:$A,"Go Blue")+SUMIFS(Movimientos!$K$1:$K$806,Movimientos!$C$1:$C$806,"Go Blue",Movimientos!$B$1:$B$806,"&lt;="&amp;$B108)</f>
        <v>14740.900000000001</v>
      </c>
      <c r="V108" s="25">
        <f t="shared" ref="V108:V113" si="26">SUM(C108:U108)</f>
        <v>4942150.5200000005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Group")+SUMIFS(Movimientos!$K$1:$K$806,Movimientos!$C$1:$C$806,"CFT Group",Movimientos!$B$1:$B$806,"&lt;="&amp;$B109)</f>
        <v>941242.38000000047</v>
      </c>
      <c r="D109" s="24">
        <f>SUMIFS('Saldos Iniciales'!$D:$D,'Saldos Iniciales'!$A:$A,"M1B")+SUMIFS(Movimientos!$K$1:$K$806,Movimientos!$C$1:$C$806,"M1B",Movimientos!$B$1:$B$806,"&lt;="&amp;$B109)</f>
        <v>83211.250000000175</v>
      </c>
      <c r="E109" s="24">
        <f>SUMIFS('Saldos Iniciales'!$D:$D,'Saldos Iniciales'!$A:$A,"Durand")+SUMIFS(Movimientos!$K$1:$K$806,Movimientos!$C$1:$C$806,"Durand",Movimientos!$B$1:$B$806,"&lt;="&amp;$B109)</f>
        <v>1669.89</v>
      </c>
      <c r="F109" s="24">
        <f>SUMIFS('Saldos Iniciales'!$D:$D,'Saldos Iniciales'!$A:$A,"A&amp;M Imports")+SUMIFS(Movimientos!$K$1:$K$806,Movimientos!$C$1:$C$806,"A&amp;M Imports",Movimientos!$B$1:$B$806,"&lt;="&amp;$B109)</f>
        <v>1289451.94</v>
      </c>
      <c r="G109" s="24">
        <f>SUMIFS('Saldos Iniciales'!$D:$D,'Saldos Iniciales'!$A:$A,"SSP Capital")+SUMIFS(Movimientos!$K$1:$K$806,Movimientos!$C$1:$C$806,"SSP Capital",Movimientos!$B$1:$B$806,"&lt;="&amp;$B109)</f>
        <v>1418917.5899999996</v>
      </c>
      <c r="H109" s="24">
        <f>SUMIFS('Saldos Iniciales'!$D:$D,'Saldos Iniciales'!$A:$A,"Cross Family Trust")+SUMIFS(Movimientos!$K$1:$K$806,Movimientos!$C$1:$C$806,"Cross Family Trust",Movimientos!$B$1:$B$806,"&lt;="&amp;$B109)</f>
        <v>221496.38</v>
      </c>
      <c r="I109" s="24">
        <f>SUMIFS('Saldos Iniciales'!$D:$D,'Saldos Iniciales'!$A:$A,"Cross Security Trust")+SUMIFS(Movimientos!$K$1:$K$806,Movimientos!$C$1:$C$806,"Cross Security Trust",Movimientos!$B$1:$B$806,"&lt;="&amp;$B109)</f>
        <v>158090.37</v>
      </c>
      <c r="J109" s="24">
        <f>SUMIFS('Saldos Iniciales'!$D:$D,'Saldos Iniciales'!$A:$A,"Electrama")+SUMIFS(Movimientos!$K$1:$K$806,Movimientos!$C$1:$C$806,"Electrama",Movimientos!$B$1:$B$806,"&lt;="&amp;$B109)</f>
        <v>14580.45</v>
      </c>
      <c r="K109" s="24">
        <f>SUMIFS('Saldos Iniciales'!$D:$D,'Saldos Iniciales'!$A:$A,"Sacred Valley Capital")+SUMIFS(Movimientos!$K$1:$K$806,Movimientos!$C$1:$C$806,"Sacred Valley Capital",Movimientos!$B$1:$B$806,"&lt;="&amp;$B109)</f>
        <v>24.450000000000003</v>
      </c>
      <c r="L109" s="24">
        <f>SUMIFS('Saldos Iniciales'!$D:$D,'Saldos Iniciales'!$A:$A,"YWC Capital")+SUMIFS(Movimientos!$K$1:$K$806,Movimientos!$C$1:$C$806,"YWC Capital",Movimientos!$B$1:$B$806,"&lt;="&amp;$B109)</f>
        <v>2177.87</v>
      </c>
      <c r="M109" s="24">
        <f>SUMIFS('Saldos Iniciales'!$D:$D,'Saldos Iniciales'!$A:$A,"Soweto")+SUMIFS(Movimientos!$K$1:$K$806,Movimientos!$C$1:$C$806,"Soweto",Movimientos!$B$1:$B$806,"&lt;="&amp;$B109)</f>
        <v>754589.72</v>
      </c>
      <c r="N109" s="24">
        <f>SUMIFS('Saldos Iniciales'!$D:$D,'Saldos Iniciales'!$A:$A,"Green Stone Trust")+SUMIFS(Movimientos!$K$1:$K$806,Movimientos!$C$1:$C$806,"Green Stone Trust",Movimientos!$B$1:$B$806,"&lt;="&amp;$B109)</f>
        <v>1968.99</v>
      </c>
      <c r="O109" s="24">
        <f>SUMIFS('Saldos Iniciales'!$D:$D,'Saldos Iniciales'!$A:$A,"EC Auto")+SUMIFS(Movimientos!$K$1:$K$806,Movimientos!$C$1:$C$806,"EC Auto",Movimientos!$B$1:$B$806,"&lt;="&amp;$B109)</f>
        <v>901.34</v>
      </c>
      <c r="P109" s="24">
        <f>SUMIFS('Saldos Iniciales'!$D:$D,'Saldos Iniciales'!$A:$A,"Arbor Capital Properties")+SUMIFS(Movimientos!$K$1:$K$806,Movimientos!$C$1:$C$806,"Arbor Capital Properties",Movimientos!$B$1:$B$806,"&lt;="&amp;$B109)</f>
        <v>1396.08</v>
      </c>
      <c r="Q109" s="24">
        <f>SUMIFS('Saldos Iniciales'!$D:$D,'Saldos Iniciales'!$A:$A,"2515 Overbrook")+SUMIFS(Movimientos!$K$1:$K$806,Movimientos!$C$1:$C$806,"2515 Overbrook",Movimientos!$B$1:$B$806,"&lt;="&amp;$B109)</f>
        <v>13685.709999999959</v>
      </c>
      <c r="R109" s="24">
        <f>SUMIFS('Saldos Iniciales'!$D:$D,'Saldos Iniciales'!$A:$A,"112 Florida Ave")+SUMIFS(Movimientos!$K$1:$K$806,Movimientos!$C$1:$C$806,"112 Florida Ave",Movimientos!$B$1:$B$806,"&lt;="&amp;$B109)</f>
        <v>8724.1700000000037</v>
      </c>
      <c r="S109" s="24">
        <f>SUMIFS('Saldos Iniciales'!$D:$D,'Saldos Iniciales'!$A:$A,"3628 Thomas Ave")+SUMIFS(Movimientos!$K$1:$K$806,Movimientos!$C$1:$C$806,"3628 Thomas Ave",Movimientos!$B$1:$B$806,"&lt;="&amp;$B109)</f>
        <v>14936.039999999997</v>
      </c>
      <c r="T109" s="24">
        <f>SUMIFS('Saldos Iniciales'!$D:$D,'Saldos Iniciales'!$A:$A,"Green Harbor Trust")+SUMIFS(Movimientos!$K$1:$K$806,Movimientos!$C$1:$C$806,"Green Harbor Trust",Movimientos!$B$1:$B$806,"&lt;="&amp;$B109)</f>
        <v>345</v>
      </c>
      <c r="U109" s="24">
        <f>SUMIFS('Saldos Iniciales'!$D:$D,'Saldos Iniciales'!$A:$A,"Go Blue")+SUMIFS(Movimientos!$K$1:$K$806,Movimientos!$C$1:$C$806,"Go Blue",Movimientos!$B$1:$B$806,"&lt;="&amp;$B109)</f>
        <v>14740.900000000001</v>
      </c>
      <c r="V109" s="25">
        <f t="shared" si="26"/>
        <v>4942150.5200000005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Group")+SUMIFS(Movimientos!$K$1:$K$806,Movimientos!$C$1:$C$806,"CFT Group",Movimientos!$B$1:$B$806,"&lt;="&amp;$B110)</f>
        <v>941242.38000000047</v>
      </c>
      <c r="D110" s="24">
        <f>SUMIFS('Saldos Iniciales'!$D:$D,'Saldos Iniciales'!$A:$A,"M1B")+SUMIFS(Movimientos!$K$1:$K$806,Movimientos!$C$1:$C$806,"M1B",Movimientos!$B$1:$B$806,"&lt;="&amp;$B110)</f>
        <v>83211.250000000175</v>
      </c>
      <c r="E110" s="24">
        <f>SUMIFS('Saldos Iniciales'!$D:$D,'Saldos Iniciales'!$A:$A,"Durand")+SUMIFS(Movimientos!$K$1:$K$806,Movimientos!$C$1:$C$806,"Durand",Movimientos!$B$1:$B$806,"&lt;="&amp;$B110)</f>
        <v>1669.89</v>
      </c>
      <c r="F110" s="24">
        <f>SUMIFS('Saldos Iniciales'!$D:$D,'Saldos Iniciales'!$A:$A,"A&amp;M Imports")+SUMIFS(Movimientos!$K$1:$K$806,Movimientos!$C$1:$C$806,"A&amp;M Imports",Movimientos!$B$1:$B$806,"&lt;="&amp;$B110)</f>
        <v>1289031.3399999999</v>
      </c>
      <c r="G110" s="24">
        <f>SUMIFS('Saldos Iniciales'!$D:$D,'Saldos Iniciales'!$A:$A,"SSP Capital")+SUMIFS(Movimientos!$K$1:$K$806,Movimientos!$C$1:$C$806,"SSP Capital",Movimientos!$B$1:$B$806,"&lt;="&amp;$B110)</f>
        <v>1384086.4999999995</v>
      </c>
      <c r="H110" s="24">
        <f>SUMIFS('Saldos Iniciales'!$D:$D,'Saldos Iniciales'!$A:$A,"Cross Family Trust")+SUMIFS(Movimientos!$K$1:$K$806,Movimientos!$C$1:$C$806,"Cross Family Trust",Movimientos!$B$1:$B$806,"&lt;="&amp;$B110)</f>
        <v>221496.38</v>
      </c>
      <c r="I110" s="24">
        <f>SUMIFS('Saldos Iniciales'!$D:$D,'Saldos Iniciales'!$A:$A,"Cross Security Trust")+SUMIFS(Movimientos!$K$1:$K$806,Movimientos!$C$1:$C$806,"Cross Security Trust",Movimientos!$B$1:$B$806,"&lt;="&amp;$B110)</f>
        <v>158090.37</v>
      </c>
      <c r="J110" s="24">
        <f>SUMIFS('Saldos Iniciales'!$D:$D,'Saldos Iniciales'!$A:$A,"Electrama")+SUMIFS(Movimientos!$K$1:$K$806,Movimientos!$C$1:$C$806,"Electrama",Movimientos!$B$1:$B$806,"&lt;="&amp;$B110)</f>
        <v>14580.45</v>
      </c>
      <c r="K110" s="24">
        <f>SUMIFS('Saldos Iniciales'!$D:$D,'Saldos Iniciales'!$A:$A,"Sacred Valley Capital")+SUMIFS(Movimientos!$K$1:$K$806,Movimientos!$C$1:$C$806,"Sacred Valley Capital",Movimientos!$B$1:$B$806,"&lt;="&amp;$B110)</f>
        <v>24.450000000000003</v>
      </c>
      <c r="L110" s="24">
        <f>SUMIFS('Saldos Iniciales'!$D:$D,'Saldos Iniciales'!$A:$A,"YWC Capital")+SUMIFS(Movimientos!$K$1:$K$806,Movimientos!$C$1:$C$806,"YWC Capital",Movimientos!$B$1:$B$806,"&lt;="&amp;$B110)</f>
        <v>2177.87</v>
      </c>
      <c r="M110" s="24">
        <f>SUMIFS('Saldos Iniciales'!$D:$D,'Saldos Iniciales'!$A:$A,"Soweto")+SUMIFS(Movimientos!$K$1:$K$806,Movimientos!$C$1:$C$806,"Soweto",Movimientos!$B$1:$B$806,"&lt;="&amp;$B110)</f>
        <v>754589.72</v>
      </c>
      <c r="N110" s="24">
        <f>SUMIFS('Saldos Iniciales'!$D:$D,'Saldos Iniciales'!$A:$A,"Green Stone Trust")+SUMIFS(Movimientos!$K$1:$K$806,Movimientos!$C$1:$C$806,"Green Stone Trust",Movimientos!$B$1:$B$806,"&lt;="&amp;$B110)</f>
        <v>1968.99</v>
      </c>
      <c r="O110" s="24">
        <f>SUMIFS('Saldos Iniciales'!$D:$D,'Saldos Iniciales'!$A:$A,"EC Auto")+SUMIFS(Movimientos!$K$1:$K$806,Movimientos!$C$1:$C$806,"EC Auto",Movimientos!$B$1:$B$806,"&lt;="&amp;$B110)</f>
        <v>901.34</v>
      </c>
      <c r="P110" s="24">
        <f>SUMIFS('Saldos Iniciales'!$D:$D,'Saldos Iniciales'!$A:$A,"Arbor Capital Properties")+SUMIFS(Movimientos!$K$1:$K$806,Movimientos!$C$1:$C$806,"Arbor Capital Properties",Movimientos!$B$1:$B$806,"&lt;="&amp;$B110)</f>
        <v>1396.08</v>
      </c>
      <c r="Q110" s="24">
        <f>SUMIFS('Saldos Iniciales'!$D:$D,'Saldos Iniciales'!$A:$A,"2515 Overbrook")+SUMIFS(Movimientos!$K$1:$K$806,Movimientos!$C$1:$C$806,"2515 Overbrook",Movimientos!$B$1:$B$806,"&lt;="&amp;$B110)</f>
        <v>13685.709999999959</v>
      </c>
      <c r="R110" s="24">
        <f>SUMIFS('Saldos Iniciales'!$D:$D,'Saldos Iniciales'!$A:$A,"112 Florida Ave")+SUMIFS(Movimientos!$K$1:$K$806,Movimientos!$C$1:$C$806,"112 Florida Ave",Movimientos!$B$1:$B$806,"&lt;="&amp;$B110)</f>
        <v>8724.1700000000037</v>
      </c>
      <c r="S110" s="24">
        <f>SUMIFS('Saldos Iniciales'!$D:$D,'Saldos Iniciales'!$A:$A,"3628 Thomas Ave")+SUMIFS(Movimientos!$K$1:$K$806,Movimientos!$C$1:$C$806,"3628 Thomas Ave",Movimientos!$B$1:$B$806,"&lt;="&amp;$B110)</f>
        <v>14936.039999999997</v>
      </c>
      <c r="T110" s="24">
        <f>SUMIFS('Saldos Iniciales'!$D:$D,'Saldos Iniciales'!$A:$A,"Green Harbor Trust")+SUMIFS(Movimientos!$K$1:$K$806,Movimientos!$C$1:$C$806,"Green Harbor Trust",Movimientos!$B$1:$B$806,"&lt;="&amp;$B110)</f>
        <v>345</v>
      </c>
      <c r="U110" s="24">
        <f>SUMIFS('Saldos Iniciales'!$D:$D,'Saldos Iniciales'!$A:$A,"Go Blue")+SUMIFS(Movimientos!$K$1:$K$806,Movimientos!$C$1:$C$806,"Go Blue",Movimientos!$B$1:$B$806,"&lt;="&amp;$B110)</f>
        <v>14565.900000000001</v>
      </c>
      <c r="V110" s="25">
        <f t="shared" si="26"/>
        <v>4906723.830000001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Group")+SUMIFS(Movimientos!$K$1:$K$806,Movimientos!$C$1:$C$806,"CFT Group",Movimientos!$B$1:$B$806,"&lt;="&amp;$B111)</f>
        <v>1047104.1600000005</v>
      </c>
      <c r="D111" s="24">
        <f>SUMIFS('Saldos Iniciales'!$D:$D,'Saldos Iniciales'!$A:$A,"M1B")+SUMIFS(Movimientos!$K$1:$K$806,Movimientos!$C$1:$C$806,"M1B",Movimientos!$B$1:$B$806,"&lt;="&amp;$B111)</f>
        <v>83211.250000000175</v>
      </c>
      <c r="E111" s="24">
        <f>SUMIFS('Saldos Iniciales'!$D:$D,'Saldos Iniciales'!$A:$A,"Durand")+SUMIFS(Movimientos!$K$1:$K$806,Movimientos!$C$1:$C$806,"Durand",Movimientos!$B$1:$B$806,"&lt;="&amp;$B111)</f>
        <v>1669.89</v>
      </c>
      <c r="F111" s="24">
        <f>SUMIFS('Saldos Iniciales'!$D:$D,'Saldos Iniciales'!$A:$A,"A&amp;M Imports")+SUMIFS(Movimientos!$K$1:$K$806,Movimientos!$C$1:$C$806,"A&amp;M Imports",Movimientos!$B$1:$B$806,"&lt;="&amp;$B111)</f>
        <v>1289031.3399999999</v>
      </c>
      <c r="G111" s="24">
        <f>SUMIFS('Saldos Iniciales'!$D:$D,'Saldos Iniciales'!$A:$A,"SSP Capital")+SUMIFS(Movimientos!$K$1:$K$806,Movimientos!$C$1:$C$806,"SSP Capital",Movimientos!$B$1:$B$806,"&lt;="&amp;$B111)</f>
        <v>1381596.1399999997</v>
      </c>
      <c r="H111" s="24">
        <f>SUMIFS('Saldos Iniciales'!$D:$D,'Saldos Iniciales'!$A:$A,"Cross Family Trust")+SUMIFS(Movimientos!$K$1:$K$806,Movimientos!$C$1:$C$806,"Cross Family Trust",Movimientos!$B$1:$B$806,"&lt;="&amp;$B111)</f>
        <v>221496.38</v>
      </c>
      <c r="I111" s="24">
        <f>SUMIFS('Saldos Iniciales'!$D:$D,'Saldos Iniciales'!$A:$A,"Cross Security Trust")+SUMIFS(Movimientos!$K$1:$K$806,Movimientos!$C$1:$C$806,"Cross Security Trust",Movimientos!$B$1:$B$806,"&lt;="&amp;$B111)</f>
        <v>158090.37</v>
      </c>
      <c r="J111" s="24">
        <f>SUMIFS('Saldos Iniciales'!$D:$D,'Saldos Iniciales'!$A:$A,"Electrama")+SUMIFS(Movimientos!$K$1:$K$806,Movimientos!$C$1:$C$806,"Electrama",Movimientos!$B$1:$B$806,"&lt;="&amp;$B111)</f>
        <v>14580.45</v>
      </c>
      <c r="K111" s="24">
        <f>SUMIFS('Saldos Iniciales'!$D:$D,'Saldos Iniciales'!$A:$A,"Sacred Valley Capital")+SUMIFS(Movimientos!$K$1:$K$806,Movimientos!$C$1:$C$806,"Sacred Valley Capital",Movimientos!$B$1:$B$806,"&lt;="&amp;$B111)</f>
        <v>24.450000000000003</v>
      </c>
      <c r="L111" s="24">
        <f>SUMIFS('Saldos Iniciales'!$D:$D,'Saldos Iniciales'!$A:$A,"YWC Capital")+SUMIFS(Movimientos!$K$1:$K$806,Movimientos!$C$1:$C$806,"YWC Capital",Movimientos!$B$1:$B$806,"&lt;="&amp;$B111)</f>
        <v>2177.87</v>
      </c>
      <c r="M111" s="24">
        <f>SUMIFS('Saldos Iniciales'!$D:$D,'Saldos Iniciales'!$A:$A,"Soweto")+SUMIFS(Movimientos!$K$1:$K$806,Movimientos!$C$1:$C$806,"Soweto",Movimientos!$B$1:$B$806,"&lt;="&amp;$B111)</f>
        <v>754589.72</v>
      </c>
      <c r="N111" s="24">
        <f>SUMIFS('Saldos Iniciales'!$D:$D,'Saldos Iniciales'!$A:$A,"Green Stone Trust")+SUMIFS(Movimientos!$K$1:$K$806,Movimientos!$C$1:$C$806,"Green Stone Trust",Movimientos!$B$1:$B$806,"&lt;="&amp;$B111)</f>
        <v>1968.99</v>
      </c>
      <c r="O111" s="24">
        <f>SUMIFS('Saldos Iniciales'!$D:$D,'Saldos Iniciales'!$A:$A,"EC Auto")+SUMIFS(Movimientos!$K$1:$K$806,Movimientos!$C$1:$C$806,"EC Auto",Movimientos!$B$1:$B$806,"&lt;="&amp;$B111)</f>
        <v>901.34</v>
      </c>
      <c r="P111" s="24">
        <f>SUMIFS('Saldos Iniciales'!$D:$D,'Saldos Iniciales'!$A:$A,"Arbor Capital Properties")+SUMIFS(Movimientos!$K$1:$K$806,Movimientos!$C$1:$C$806,"Arbor Capital Properties",Movimientos!$B$1:$B$806,"&lt;="&amp;$B111)</f>
        <v>1396.08</v>
      </c>
      <c r="Q111" s="24">
        <f>SUMIFS('Saldos Iniciales'!$D:$D,'Saldos Iniciales'!$A:$A,"2515 Overbrook")+SUMIFS(Movimientos!$K$1:$K$806,Movimientos!$C$1:$C$806,"2515 Overbrook",Movimientos!$B$1:$B$806,"&lt;="&amp;$B111)</f>
        <v>13685.709999999959</v>
      </c>
      <c r="R111" s="24">
        <f>SUMIFS('Saldos Iniciales'!$D:$D,'Saldos Iniciales'!$A:$A,"112 Florida Ave")+SUMIFS(Movimientos!$K$1:$K$806,Movimientos!$C$1:$C$806,"112 Florida Ave",Movimientos!$B$1:$B$806,"&lt;="&amp;$B111)</f>
        <v>8724.1700000000037</v>
      </c>
      <c r="S111" s="24">
        <f>SUMIFS('Saldos Iniciales'!$D:$D,'Saldos Iniciales'!$A:$A,"3628 Thomas Ave")+SUMIFS(Movimientos!$K$1:$K$806,Movimientos!$C$1:$C$806,"3628 Thomas Ave",Movimientos!$B$1:$B$806,"&lt;="&amp;$B111)</f>
        <v>14936.039999999997</v>
      </c>
      <c r="T111" s="24">
        <f>SUMIFS('Saldos Iniciales'!$D:$D,'Saldos Iniciales'!$A:$A,"Green Harbor Trust")+SUMIFS(Movimientos!$K$1:$K$806,Movimientos!$C$1:$C$806,"Green Harbor Trust",Movimientos!$B$1:$B$806,"&lt;="&amp;$B111)</f>
        <v>345</v>
      </c>
      <c r="U111" s="24">
        <f>SUMIFS('Saldos Iniciales'!$D:$D,'Saldos Iniciales'!$A:$A,"Go Blue")+SUMIFS(Movimientos!$K$1:$K$806,Movimientos!$C$1:$C$806,"Go Blue",Movimientos!$B$1:$B$806,"&lt;="&amp;$B111)</f>
        <v>14565.900000000001</v>
      </c>
      <c r="V111" s="25">
        <f t="shared" si="26"/>
        <v>5010095.2500000009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Group")+SUMIFS(Movimientos!$K$1:$K$806,Movimientos!$C$1:$C$806,"CFT Group",Movimientos!$B$1:$B$806,"&lt;="&amp;$B112)</f>
        <v>1047104.1600000005</v>
      </c>
      <c r="D112" s="24">
        <f>SUMIFS('Saldos Iniciales'!$D:$D,'Saldos Iniciales'!$A:$A,"M1B")+SUMIFS(Movimientos!$K$1:$K$806,Movimientos!$C$1:$C$806,"M1B",Movimientos!$B$1:$B$806,"&lt;="&amp;$B112)</f>
        <v>83211.250000000175</v>
      </c>
      <c r="E112" s="24">
        <f>SUMIFS('Saldos Iniciales'!$D:$D,'Saldos Iniciales'!$A:$A,"Durand")+SUMIFS(Movimientos!$K$1:$K$806,Movimientos!$C$1:$C$806,"Durand",Movimientos!$B$1:$B$806,"&lt;="&amp;$B112)</f>
        <v>1669.89</v>
      </c>
      <c r="F112" s="24">
        <f>SUMIFS('Saldos Iniciales'!$D:$D,'Saldos Iniciales'!$A:$A,"A&amp;M Imports")+SUMIFS(Movimientos!$K$1:$K$806,Movimientos!$C$1:$C$806,"A&amp;M Imports",Movimientos!$B$1:$B$806,"&lt;="&amp;$B112)</f>
        <v>1289031.3399999999</v>
      </c>
      <c r="G112" s="24">
        <f>SUMIFS('Saldos Iniciales'!$D:$D,'Saldos Iniciales'!$A:$A,"SSP Capital")+SUMIFS(Movimientos!$K$1:$K$806,Movimientos!$C$1:$C$806,"SSP Capital",Movimientos!$B$1:$B$806,"&lt;="&amp;$B112)</f>
        <v>1880692.4399999997</v>
      </c>
      <c r="H112" s="24">
        <f>SUMIFS('Saldos Iniciales'!$D:$D,'Saldos Iniciales'!$A:$A,"Cross Family Trust")+SUMIFS(Movimientos!$K$1:$K$806,Movimientos!$C$1:$C$806,"Cross Family Trust",Movimientos!$B$1:$B$806,"&lt;="&amp;$B112)</f>
        <v>221496.38</v>
      </c>
      <c r="I112" s="24">
        <f>SUMIFS('Saldos Iniciales'!$D:$D,'Saldos Iniciales'!$A:$A,"Cross Security Trust")+SUMIFS(Movimientos!$K$1:$K$806,Movimientos!$C$1:$C$806,"Cross Security Trust",Movimientos!$B$1:$B$806,"&lt;="&amp;$B112)</f>
        <v>158090.37</v>
      </c>
      <c r="J112" s="24">
        <f>SUMIFS('Saldos Iniciales'!$D:$D,'Saldos Iniciales'!$A:$A,"Electrama")+SUMIFS(Movimientos!$K$1:$K$806,Movimientos!$C$1:$C$806,"Electrama",Movimientos!$B$1:$B$806,"&lt;="&amp;$B112)</f>
        <v>14580.45</v>
      </c>
      <c r="K112" s="24">
        <f>SUMIFS('Saldos Iniciales'!$D:$D,'Saldos Iniciales'!$A:$A,"Sacred Valley Capital")+SUMIFS(Movimientos!$K$1:$K$806,Movimientos!$C$1:$C$806,"Sacred Valley Capital",Movimientos!$B$1:$B$806,"&lt;="&amp;$B112)</f>
        <v>24.450000000000003</v>
      </c>
      <c r="L112" s="24">
        <f>SUMIFS('Saldos Iniciales'!$D:$D,'Saldos Iniciales'!$A:$A,"YWC Capital")+SUMIFS(Movimientos!$K$1:$K$806,Movimientos!$C$1:$C$806,"YWC Capital",Movimientos!$B$1:$B$806,"&lt;="&amp;$B112)</f>
        <v>2177.87</v>
      </c>
      <c r="M112" s="24">
        <f>SUMIFS('Saldos Iniciales'!$D:$D,'Saldos Iniciales'!$A:$A,"Soweto")+SUMIFS(Movimientos!$K$1:$K$806,Movimientos!$C$1:$C$806,"Soweto",Movimientos!$B$1:$B$806,"&lt;="&amp;$B112)</f>
        <v>754589.72</v>
      </c>
      <c r="N112" s="24">
        <f>SUMIFS('Saldos Iniciales'!$D:$D,'Saldos Iniciales'!$A:$A,"Green Stone Trust")+SUMIFS(Movimientos!$K$1:$K$806,Movimientos!$C$1:$C$806,"Green Stone Trust",Movimientos!$B$1:$B$806,"&lt;="&amp;$B112)</f>
        <v>1968.99</v>
      </c>
      <c r="O112" s="24">
        <f>SUMIFS('Saldos Iniciales'!$D:$D,'Saldos Iniciales'!$A:$A,"EC Auto")+SUMIFS(Movimientos!$K$1:$K$806,Movimientos!$C$1:$C$806,"EC Auto",Movimientos!$B$1:$B$806,"&lt;="&amp;$B112)</f>
        <v>901.34</v>
      </c>
      <c r="P112" s="24">
        <f>SUMIFS('Saldos Iniciales'!$D:$D,'Saldos Iniciales'!$A:$A,"Arbor Capital Properties")+SUMIFS(Movimientos!$K$1:$K$806,Movimientos!$C$1:$C$806,"Arbor Capital Properties",Movimientos!$B$1:$B$806,"&lt;="&amp;$B112)</f>
        <v>1396.08</v>
      </c>
      <c r="Q112" s="24">
        <f>SUMIFS('Saldos Iniciales'!$D:$D,'Saldos Iniciales'!$A:$A,"2515 Overbrook")+SUMIFS(Movimientos!$K$1:$K$806,Movimientos!$C$1:$C$806,"2515 Overbrook",Movimientos!$B$1:$B$806,"&lt;="&amp;$B112)</f>
        <v>13685.709999999959</v>
      </c>
      <c r="R112" s="24">
        <f>SUMIFS('Saldos Iniciales'!$D:$D,'Saldos Iniciales'!$A:$A,"112 Florida Ave")+SUMIFS(Movimientos!$K$1:$K$806,Movimientos!$C$1:$C$806,"112 Florida Ave",Movimientos!$B$1:$B$806,"&lt;="&amp;$B112)</f>
        <v>8724.1700000000037</v>
      </c>
      <c r="S112" s="24">
        <f>SUMIFS('Saldos Iniciales'!$D:$D,'Saldos Iniciales'!$A:$A,"3628 Thomas Ave")+SUMIFS(Movimientos!$K$1:$K$806,Movimientos!$C$1:$C$806,"3628 Thomas Ave",Movimientos!$B$1:$B$806,"&lt;="&amp;$B112)</f>
        <v>14936.039999999997</v>
      </c>
      <c r="T112" s="24">
        <f>SUMIFS('Saldos Iniciales'!$D:$D,'Saldos Iniciales'!$A:$A,"Green Harbor Trust")+SUMIFS(Movimientos!$K$1:$K$806,Movimientos!$C$1:$C$806,"Green Harbor Trust",Movimientos!$B$1:$B$806,"&lt;="&amp;$B112)</f>
        <v>345</v>
      </c>
      <c r="U112" s="24">
        <f>SUMIFS('Saldos Iniciales'!$D:$D,'Saldos Iniciales'!$A:$A,"Go Blue")+SUMIFS(Movimientos!$K$1:$K$806,Movimientos!$C$1:$C$806,"Go Blue",Movimientos!$B$1:$B$806,"&lt;="&amp;$B112)</f>
        <v>14565.900000000001</v>
      </c>
      <c r="V112" s="25">
        <f t="shared" si="26"/>
        <v>5509191.5500000007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Group")+SUMIFS(Movimientos!$K$1:$K$806,Movimientos!$C$1:$C$806,"CFT Group",Movimientos!$B$1:$B$806,"&lt;="&amp;$B113)</f>
        <v>702229.1600000005</v>
      </c>
      <c r="D113" s="24">
        <f>SUMIFS('Saldos Iniciales'!$D:$D,'Saldos Iniciales'!$A:$A,"M1B")+SUMIFS(Movimientos!$K$1:$K$806,Movimientos!$C$1:$C$806,"M1B",Movimientos!$B$1:$B$806,"&lt;="&amp;$B113)</f>
        <v>83211.250000000175</v>
      </c>
      <c r="E113" s="24">
        <f>SUMIFS('Saldos Iniciales'!$D:$D,'Saldos Iniciales'!$A:$A,"Durand")+SUMIFS(Movimientos!$K$1:$K$806,Movimientos!$C$1:$C$806,"Durand",Movimientos!$B$1:$B$806,"&lt;="&amp;$B113)</f>
        <v>1669.89</v>
      </c>
      <c r="F113" s="24">
        <f>SUMIFS('Saldos Iniciales'!$D:$D,'Saldos Iniciales'!$A:$A,"A&amp;M Imports")+SUMIFS(Movimientos!$K$1:$K$806,Movimientos!$C$1:$C$806,"A&amp;M Imports",Movimientos!$B$1:$B$806,"&lt;="&amp;$B113)</f>
        <v>1229031.3399999999</v>
      </c>
      <c r="G113" s="24">
        <f>SUMIFS('Saldos Iniciales'!$D:$D,'Saldos Iniciales'!$A:$A,"SSP Capital")+SUMIFS(Movimientos!$K$1:$K$806,Movimientos!$C$1:$C$806,"SSP Capital",Movimientos!$B$1:$B$806,"&lt;="&amp;$B113)</f>
        <v>1744161.5299999998</v>
      </c>
      <c r="H113" s="24">
        <f>SUMIFS('Saldos Iniciales'!$D:$D,'Saldos Iniciales'!$A:$A,"Cross Family Trust")+SUMIFS(Movimientos!$K$1:$K$806,Movimientos!$C$1:$C$806,"Cross Family Trust",Movimientos!$B$1:$B$806,"&lt;="&amp;$B113)</f>
        <v>221496.38</v>
      </c>
      <c r="I113" s="24">
        <f>SUMIFS('Saldos Iniciales'!$D:$D,'Saldos Iniciales'!$A:$A,"Cross Security Trust")+SUMIFS(Movimientos!$K$1:$K$806,Movimientos!$C$1:$C$806,"Cross Security Trust",Movimientos!$B$1:$B$806,"&lt;="&amp;$B113)</f>
        <v>158090.37</v>
      </c>
      <c r="J113" s="24">
        <f>SUMIFS('Saldos Iniciales'!$D:$D,'Saldos Iniciales'!$A:$A,"Electrama")+SUMIFS(Movimientos!$K$1:$K$806,Movimientos!$C$1:$C$806,"Electrama",Movimientos!$B$1:$B$806,"&lt;="&amp;$B113)</f>
        <v>14580.45</v>
      </c>
      <c r="K113" s="24">
        <f>SUMIFS('Saldos Iniciales'!$D:$D,'Saldos Iniciales'!$A:$A,"Sacred Valley Capital")+SUMIFS(Movimientos!$K$1:$K$806,Movimientos!$C$1:$C$806,"Sacred Valley Capital",Movimientos!$B$1:$B$806,"&lt;="&amp;$B113)</f>
        <v>24.450000000000003</v>
      </c>
      <c r="L113" s="24">
        <f>SUMIFS('Saldos Iniciales'!$D:$D,'Saldos Iniciales'!$A:$A,"YWC Capital")+SUMIFS(Movimientos!$K$1:$K$806,Movimientos!$C$1:$C$806,"YWC Capital",Movimientos!$B$1:$B$806,"&lt;="&amp;$B113)</f>
        <v>2177.87</v>
      </c>
      <c r="M113" s="24">
        <f>SUMIFS('Saldos Iniciales'!$D:$D,'Saldos Iniciales'!$A:$A,"Soweto")+SUMIFS(Movimientos!$K$1:$K$806,Movimientos!$C$1:$C$806,"Soweto",Movimientos!$B$1:$B$806,"&lt;="&amp;$B113)</f>
        <v>754589.72</v>
      </c>
      <c r="N113" s="24">
        <f>SUMIFS('Saldos Iniciales'!$D:$D,'Saldos Iniciales'!$A:$A,"Green Stone Trust")+SUMIFS(Movimientos!$K$1:$K$806,Movimientos!$C$1:$C$806,"Green Stone Trust",Movimientos!$B$1:$B$806,"&lt;="&amp;$B113)</f>
        <v>1968.99</v>
      </c>
      <c r="O113" s="24">
        <f>SUMIFS('Saldos Iniciales'!$D:$D,'Saldos Iniciales'!$A:$A,"EC Auto")+SUMIFS(Movimientos!$K$1:$K$806,Movimientos!$C$1:$C$806,"EC Auto",Movimientos!$B$1:$B$806,"&lt;="&amp;$B113)</f>
        <v>901.34</v>
      </c>
      <c r="P113" s="24">
        <f>SUMIFS('Saldos Iniciales'!$D:$D,'Saldos Iniciales'!$A:$A,"Arbor Capital Properties")+SUMIFS(Movimientos!$K$1:$K$806,Movimientos!$C$1:$C$806,"Arbor Capital Properties",Movimientos!$B$1:$B$806,"&lt;="&amp;$B113)</f>
        <v>1396.08</v>
      </c>
      <c r="Q113" s="24">
        <f>SUMIFS('Saldos Iniciales'!$D:$D,'Saldos Iniciales'!$A:$A,"2515 Overbrook")+SUMIFS(Movimientos!$K$1:$K$806,Movimientos!$C$1:$C$806,"2515 Overbrook",Movimientos!$B$1:$B$806,"&lt;="&amp;$B113)</f>
        <v>13685.709999999959</v>
      </c>
      <c r="R113" s="24">
        <f>SUMIFS('Saldos Iniciales'!$D:$D,'Saldos Iniciales'!$A:$A,"112 Florida Ave")+SUMIFS(Movimientos!$K$1:$K$806,Movimientos!$C$1:$C$806,"112 Florida Ave",Movimientos!$B$1:$B$806,"&lt;="&amp;$B113)</f>
        <v>8724.1700000000037</v>
      </c>
      <c r="S113" s="24">
        <f>SUMIFS('Saldos Iniciales'!$D:$D,'Saldos Iniciales'!$A:$A,"3628 Thomas Ave")+SUMIFS(Movimientos!$K$1:$K$806,Movimientos!$C$1:$C$806,"3628 Thomas Ave",Movimientos!$B$1:$B$806,"&lt;="&amp;$B113)</f>
        <v>14936.039999999997</v>
      </c>
      <c r="T113" s="24">
        <f>SUMIFS('Saldos Iniciales'!$D:$D,'Saldos Iniciales'!$A:$A,"Green Harbor Trust")+SUMIFS(Movimientos!$K$1:$K$806,Movimientos!$C$1:$C$806,"Green Harbor Trust",Movimientos!$B$1:$B$806,"&lt;="&amp;$B113)</f>
        <v>345</v>
      </c>
      <c r="U113" s="24">
        <f>SUMIFS('Saldos Iniciales'!$D:$D,'Saldos Iniciales'!$A:$A,"Go Blue")+SUMIFS(Movimientos!$K$1:$K$806,Movimientos!$C$1:$C$806,"Go Blue",Movimientos!$B$1:$B$806,"&lt;="&amp;$B113)</f>
        <v>12741.780000000002</v>
      </c>
      <c r="V113" s="25">
        <f t="shared" si="26"/>
        <v>4965961.5200000014</v>
      </c>
    </row>
  </sheetData>
  <conditionalFormatting sqref="C2:V113">
    <cfRule type="cellIs" dxfId="4" priority="1" operator="lessThan">
      <formula>0</formula>
    </cfRule>
  </conditionalFormatting>
  <conditionalFormatting sqref="V2:V113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129"/>
  <sheetViews>
    <sheetView tabSelected="1" zoomScale="80" zoomScaleNormal="80" workbookViewId="0">
      <pane ySplit="1" topLeftCell="A2106" activePane="bottomLeft" state="frozen"/>
      <selection pane="bottomLeft" activeCell="B2119" sqref="B2119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24085.559999999998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24085.559999999998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24085.559999999998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24085.559999999998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24085.559999999998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24085.559999999998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24085.559999999998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24085.559999999998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24085.559999999998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24085.559999999998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24085.559999999998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24085.559999999998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24085.559999999998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24085.559999999998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24085.559999999998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24085.559999999998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24085.559999999998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24085.559999999998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24085.559999999998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24085.559999999998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24085.559999999998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24085.559999999998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24085.559999999998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24085.559999999998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24085.559999999998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24085.559999999998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24085.559999999998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24085.559999999998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24085.559999999998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24085.559999999998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24085.559999999998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24085.559999999998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  <row r="1788" spans="1:4" x14ac:dyDescent="0.3">
      <c r="A1788" s="81" t="s">
        <v>17</v>
      </c>
      <c r="B1788" s="81"/>
      <c r="C1788" s="16">
        <v>46237</v>
      </c>
      <c r="D1788">
        <v>2468032.08</v>
      </c>
    </row>
    <row r="1789" spans="1:4" x14ac:dyDescent="0.3">
      <c r="A1789" s="81" t="s">
        <v>18</v>
      </c>
      <c r="B1789" s="81"/>
      <c r="C1789" s="16">
        <v>46237</v>
      </c>
      <c r="D1789">
        <v>83211.250000000175</v>
      </c>
    </row>
    <row r="1790" spans="1:4" x14ac:dyDescent="0.3">
      <c r="A1790" s="81" t="s">
        <v>19</v>
      </c>
      <c r="B1790" s="81"/>
      <c r="C1790" s="16">
        <v>46237</v>
      </c>
      <c r="D1790">
        <v>1669.89</v>
      </c>
    </row>
    <row r="1791" spans="1:4" x14ac:dyDescent="0.3">
      <c r="A1791" s="81" t="s">
        <v>20</v>
      </c>
      <c r="B1791" s="81"/>
      <c r="C1791" s="16">
        <v>46237</v>
      </c>
      <c r="D1791">
        <v>1458426.0399999998</v>
      </c>
    </row>
    <row r="1792" spans="1:4" x14ac:dyDescent="0.3">
      <c r="A1792" s="81" t="s">
        <v>21</v>
      </c>
      <c r="B1792" s="81"/>
      <c r="C1792" s="16">
        <v>46237</v>
      </c>
      <c r="D1792">
        <v>1514477.1199999996</v>
      </c>
    </row>
    <row r="1793" spans="1:4" x14ac:dyDescent="0.3">
      <c r="A1793" s="81" t="s">
        <v>22</v>
      </c>
      <c r="B1793" s="81"/>
      <c r="C1793" s="16">
        <v>46237</v>
      </c>
      <c r="D1793">
        <v>190496.38</v>
      </c>
    </row>
    <row r="1794" spans="1:4" x14ac:dyDescent="0.3">
      <c r="A1794" s="81" t="s">
        <v>23</v>
      </c>
      <c r="B1794" s="81"/>
      <c r="C1794" s="16">
        <v>46237</v>
      </c>
      <c r="D1794">
        <v>88090.37</v>
      </c>
    </row>
    <row r="1795" spans="1:4" x14ac:dyDescent="0.3">
      <c r="A1795" s="81" t="s">
        <v>24</v>
      </c>
      <c r="B1795" s="81"/>
      <c r="C1795" s="16">
        <v>46237</v>
      </c>
      <c r="D1795">
        <v>14580.45</v>
      </c>
    </row>
    <row r="1796" spans="1:4" x14ac:dyDescent="0.3">
      <c r="A1796" s="81" t="s">
        <v>25</v>
      </c>
      <c r="B1796" s="81"/>
      <c r="C1796" s="16">
        <v>46237</v>
      </c>
      <c r="D1796">
        <v>24.450000000000003</v>
      </c>
    </row>
    <row r="1797" spans="1:4" x14ac:dyDescent="0.3">
      <c r="A1797" s="81" t="s">
        <v>26</v>
      </c>
      <c r="B1797" s="81"/>
      <c r="C1797" s="16">
        <v>46237</v>
      </c>
      <c r="D1797">
        <v>2177.87</v>
      </c>
    </row>
    <row r="1798" spans="1:4" x14ac:dyDescent="0.3">
      <c r="A1798" s="81" t="s">
        <v>27</v>
      </c>
      <c r="B1798" s="81"/>
      <c r="C1798" s="16">
        <v>46237</v>
      </c>
      <c r="D1798">
        <v>1454589.72</v>
      </c>
    </row>
    <row r="1799" spans="1:4" x14ac:dyDescent="0.3">
      <c r="A1799" s="81" t="s">
        <v>28</v>
      </c>
      <c r="B1799" s="81"/>
      <c r="C1799" s="16">
        <v>46237</v>
      </c>
      <c r="D1799">
        <v>1968.99</v>
      </c>
    </row>
    <row r="1800" spans="1:4" x14ac:dyDescent="0.3">
      <c r="A1800" s="81" t="s">
        <v>29</v>
      </c>
      <c r="B1800" s="81"/>
      <c r="C1800" s="16">
        <v>46237</v>
      </c>
      <c r="D1800">
        <v>901.34</v>
      </c>
    </row>
    <row r="1801" spans="1:4" x14ac:dyDescent="0.3">
      <c r="A1801" s="81" t="s">
        <v>30</v>
      </c>
      <c r="B1801" s="81"/>
      <c r="C1801" s="16">
        <v>46237</v>
      </c>
      <c r="D1801">
        <v>1396.08</v>
      </c>
    </row>
    <row r="1802" spans="1:4" x14ac:dyDescent="0.3">
      <c r="A1802" s="81" t="s">
        <v>31</v>
      </c>
      <c r="B1802" s="81"/>
      <c r="C1802" s="16">
        <v>46237</v>
      </c>
      <c r="D1802">
        <v>13804.239999999962</v>
      </c>
    </row>
    <row r="1803" spans="1:4" x14ac:dyDescent="0.3">
      <c r="A1803" s="81" t="s">
        <v>32</v>
      </c>
      <c r="B1803" s="81"/>
      <c r="C1803" s="16">
        <v>46237</v>
      </c>
      <c r="D1803">
        <v>8724.1700000000037</v>
      </c>
    </row>
    <row r="1804" spans="1:4" x14ac:dyDescent="0.3">
      <c r="A1804" s="81" t="s">
        <v>33</v>
      </c>
      <c r="B1804" s="81"/>
      <c r="C1804" s="16">
        <v>46237</v>
      </c>
      <c r="D1804">
        <v>10706.099999999997</v>
      </c>
    </row>
    <row r="1805" spans="1:4" x14ac:dyDescent="0.3">
      <c r="A1805" s="81" t="s">
        <v>34</v>
      </c>
      <c r="B1805" s="81"/>
      <c r="C1805" s="16">
        <v>46237</v>
      </c>
      <c r="D1805">
        <v>345</v>
      </c>
    </row>
    <row r="1806" spans="1:4" x14ac:dyDescent="0.3">
      <c r="A1806" s="81" t="s">
        <v>35</v>
      </c>
      <c r="B1806" s="81"/>
      <c r="C1806" s="16">
        <v>46237</v>
      </c>
      <c r="D1806">
        <v>8270.3500000000022</v>
      </c>
    </row>
    <row r="1807" spans="1:4" x14ac:dyDescent="0.3">
      <c r="A1807" s="81" t="s">
        <v>17</v>
      </c>
      <c r="B1807" s="81"/>
      <c r="C1807" s="16">
        <v>46238</v>
      </c>
      <c r="D1807">
        <v>2468032.08</v>
      </c>
    </row>
    <row r="1808" spans="1:4" x14ac:dyDescent="0.3">
      <c r="A1808" s="81" t="s">
        <v>18</v>
      </c>
      <c r="B1808" s="81"/>
      <c r="C1808" s="16">
        <v>46238</v>
      </c>
      <c r="D1808">
        <v>83211.250000000175</v>
      </c>
    </row>
    <row r="1809" spans="1:4" x14ac:dyDescent="0.3">
      <c r="A1809" s="81" t="s">
        <v>19</v>
      </c>
      <c r="B1809" s="81"/>
      <c r="C1809" s="16">
        <v>46238</v>
      </c>
      <c r="D1809">
        <v>1669.89</v>
      </c>
    </row>
    <row r="1810" spans="1:4" x14ac:dyDescent="0.3">
      <c r="A1810" s="81" t="s">
        <v>20</v>
      </c>
      <c r="B1810" s="81"/>
      <c r="C1810" s="16">
        <v>46238</v>
      </c>
      <c r="D1810">
        <v>1458426.0399999998</v>
      </c>
    </row>
    <row r="1811" spans="1:4" x14ac:dyDescent="0.3">
      <c r="A1811" s="81" t="s">
        <v>21</v>
      </c>
      <c r="B1811" s="81"/>
      <c r="C1811" s="16">
        <v>46238</v>
      </c>
      <c r="D1811">
        <v>1513867.4199999995</v>
      </c>
    </row>
    <row r="1812" spans="1:4" x14ac:dyDescent="0.3">
      <c r="A1812" s="81" t="s">
        <v>22</v>
      </c>
      <c r="B1812" s="81"/>
      <c r="C1812" s="16">
        <v>46238</v>
      </c>
      <c r="D1812">
        <v>184496.38</v>
      </c>
    </row>
    <row r="1813" spans="1:4" x14ac:dyDescent="0.3">
      <c r="A1813" s="81" t="s">
        <v>23</v>
      </c>
      <c r="B1813" s="81"/>
      <c r="C1813" s="16">
        <v>46238</v>
      </c>
      <c r="D1813">
        <v>88090.37</v>
      </c>
    </row>
    <row r="1814" spans="1:4" x14ac:dyDescent="0.3">
      <c r="A1814" s="81" t="s">
        <v>24</v>
      </c>
      <c r="B1814" s="81"/>
      <c r="C1814" s="16">
        <v>46238</v>
      </c>
      <c r="D1814">
        <v>14580.45</v>
      </c>
    </row>
    <row r="1815" spans="1:4" x14ac:dyDescent="0.3">
      <c r="A1815" s="81" t="s">
        <v>25</v>
      </c>
      <c r="B1815" s="81"/>
      <c r="C1815" s="16">
        <v>46238</v>
      </c>
      <c r="D1815">
        <v>24.450000000000003</v>
      </c>
    </row>
    <row r="1816" spans="1:4" x14ac:dyDescent="0.3">
      <c r="A1816" s="81" t="s">
        <v>26</v>
      </c>
      <c r="B1816" s="81"/>
      <c r="C1816" s="16">
        <v>46238</v>
      </c>
      <c r="D1816">
        <v>2177.87</v>
      </c>
    </row>
    <row r="1817" spans="1:4" x14ac:dyDescent="0.3">
      <c r="A1817" s="81" t="s">
        <v>27</v>
      </c>
      <c r="B1817" s="81"/>
      <c r="C1817" s="16">
        <v>46238</v>
      </c>
      <c r="D1817">
        <v>1454589.72</v>
      </c>
    </row>
    <row r="1818" spans="1:4" x14ac:dyDescent="0.3">
      <c r="A1818" s="81" t="s">
        <v>28</v>
      </c>
      <c r="B1818" s="81"/>
      <c r="C1818" s="16">
        <v>46238</v>
      </c>
      <c r="D1818">
        <v>1968.99</v>
      </c>
    </row>
    <row r="1819" spans="1:4" x14ac:dyDescent="0.3">
      <c r="A1819" s="81" t="s">
        <v>29</v>
      </c>
      <c r="B1819" s="81"/>
      <c r="C1819" s="16">
        <v>46238</v>
      </c>
      <c r="D1819">
        <v>901.34</v>
      </c>
    </row>
    <row r="1820" spans="1:4" x14ac:dyDescent="0.3">
      <c r="A1820" s="81" t="s">
        <v>30</v>
      </c>
      <c r="B1820" s="81"/>
      <c r="C1820" s="16">
        <v>46238</v>
      </c>
      <c r="D1820">
        <v>1396.08</v>
      </c>
    </row>
    <row r="1821" spans="1:4" x14ac:dyDescent="0.3">
      <c r="A1821" s="81" t="s">
        <v>31</v>
      </c>
      <c r="B1821" s="81"/>
      <c r="C1821" s="16">
        <v>46238</v>
      </c>
      <c r="D1821">
        <v>13804.239999999962</v>
      </c>
    </row>
    <row r="1822" spans="1:4" x14ac:dyDescent="0.3">
      <c r="A1822" s="81" t="s">
        <v>32</v>
      </c>
      <c r="B1822" s="81"/>
      <c r="C1822" s="16">
        <v>46238</v>
      </c>
      <c r="D1822">
        <v>8724.1700000000037</v>
      </c>
    </row>
    <row r="1823" spans="1:4" x14ac:dyDescent="0.3">
      <c r="A1823" s="81" t="s">
        <v>33</v>
      </c>
      <c r="B1823" s="81"/>
      <c r="C1823" s="16">
        <v>46238</v>
      </c>
      <c r="D1823">
        <v>10706.099999999997</v>
      </c>
    </row>
    <row r="1824" spans="1:4" x14ac:dyDescent="0.3">
      <c r="A1824" s="81" t="s">
        <v>34</v>
      </c>
      <c r="B1824" s="81"/>
      <c r="C1824" s="16">
        <v>46238</v>
      </c>
      <c r="D1824">
        <v>345</v>
      </c>
    </row>
    <row r="1825" spans="1:4" x14ac:dyDescent="0.3">
      <c r="A1825" s="81" t="s">
        <v>35</v>
      </c>
      <c r="B1825" s="81"/>
      <c r="C1825" s="16">
        <v>46238</v>
      </c>
      <c r="D1825">
        <v>7879.4200000000019</v>
      </c>
    </row>
    <row r="1826" spans="1:4" x14ac:dyDescent="0.3">
      <c r="A1826" s="81" t="s">
        <v>17</v>
      </c>
      <c r="B1826" s="81"/>
      <c r="C1826" s="16">
        <v>46239</v>
      </c>
      <c r="D1826">
        <v>2468032.08</v>
      </c>
    </row>
    <row r="1827" spans="1:4" x14ac:dyDescent="0.3">
      <c r="A1827" s="81" t="s">
        <v>18</v>
      </c>
      <c r="B1827" s="81"/>
      <c r="C1827" s="16">
        <v>46239</v>
      </c>
      <c r="D1827">
        <v>83211.250000000175</v>
      </c>
    </row>
    <row r="1828" spans="1:4" x14ac:dyDescent="0.3">
      <c r="A1828" s="81" t="s">
        <v>19</v>
      </c>
      <c r="B1828" s="81"/>
      <c r="C1828" s="16">
        <v>46239</v>
      </c>
      <c r="D1828">
        <v>1669.89</v>
      </c>
    </row>
    <row r="1829" spans="1:4" x14ac:dyDescent="0.3">
      <c r="A1829" s="81" t="s">
        <v>20</v>
      </c>
      <c r="B1829" s="81"/>
      <c r="C1829" s="16">
        <v>46239</v>
      </c>
      <c r="D1829">
        <v>1452426.0399999998</v>
      </c>
    </row>
    <row r="1830" spans="1:4" x14ac:dyDescent="0.3">
      <c r="A1830" s="81" t="s">
        <v>21</v>
      </c>
      <c r="B1830" s="81"/>
      <c r="C1830" s="16">
        <v>46239</v>
      </c>
      <c r="D1830">
        <v>1512187.6399999997</v>
      </c>
    </row>
    <row r="1831" spans="1:4" x14ac:dyDescent="0.3">
      <c r="A1831" s="81" t="s">
        <v>22</v>
      </c>
      <c r="B1831" s="81"/>
      <c r="C1831" s="16">
        <v>46239</v>
      </c>
      <c r="D1831">
        <v>184496.38</v>
      </c>
    </row>
    <row r="1832" spans="1:4" x14ac:dyDescent="0.3">
      <c r="A1832" s="81" t="s">
        <v>23</v>
      </c>
      <c r="B1832" s="81"/>
      <c r="C1832" s="16">
        <v>46239</v>
      </c>
      <c r="D1832">
        <v>88090.37</v>
      </c>
    </row>
    <row r="1833" spans="1:4" x14ac:dyDescent="0.3">
      <c r="A1833" s="81" t="s">
        <v>24</v>
      </c>
      <c r="B1833" s="81"/>
      <c r="C1833" s="16">
        <v>46239</v>
      </c>
      <c r="D1833">
        <v>14580.45</v>
      </c>
    </row>
    <row r="1834" spans="1:4" x14ac:dyDescent="0.3">
      <c r="A1834" s="81" t="s">
        <v>25</v>
      </c>
      <c r="B1834" s="81"/>
      <c r="C1834" s="16">
        <v>46239</v>
      </c>
      <c r="D1834">
        <v>24.450000000000003</v>
      </c>
    </row>
    <row r="1835" spans="1:4" x14ac:dyDescent="0.3">
      <c r="A1835" s="81" t="s">
        <v>26</v>
      </c>
      <c r="B1835" s="81"/>
      <c r="C1835" s="16">
        <v>46239</v>
      </c>
      <c r="D1835">
        <v>2177.87</v>
      </c>
    </row>
    <row r="1836" spans="1:4" x14ac:dyDescent="0.3">
      <c r="A1836" s="81" t="s">
        <v>27</v>
      </c>
      <c r="B1836" s="81"/>
      <c r="C1836" s="16">
        <v>46239</v>
      </c>
      <c r="D1836">
        <v>1454589.72</v>
      </c>
    </row>
    <row r="1837" spans="1:4" x14ac:dyDescent="0.3">
      <c r="A1837" s="81" t="s">
        <v>28</v>
      </c>
      <c r="B1837" s="81"/>
      <c r="C1837" s="16">
        <v>46239</v>
      </c>
      <c r="D1837">
        <v>1968.99</v>
      </c>
    </row>
    <row r="1838" spans="1:4" x14ac:dyDescent="0.3">
      <c r="A1838" s="81" t="s">
        <v>29</v>
      </c>
      <c r="B1838" s="81"/>
      <c r="C1838" s="16">
        <v>46239</v>
      </c>
      <c r="D1838">
        <v>901.34</v>
      </c>
    </row>
    <row r="1839" spans="1:4" x14ac:dyDescent="0.3">
      <c r="A1839" s="81" t="s">
        <v>30</v>
      </c>
      <c r="B1839" s="81"/>
      <c r="C1839" s="16">
        <v>46239</v>
      </c>
      <c r="D1839">
        <v>1396.08</v>
      </c>
    </row>
    <row r="1840" spans="1:4" x14ac:dyDescent="0.3">
      <c r="A1840" s="81" t="s">
        <v>31</v>
      </c>
      <c r="B1840" s="81"/>
      <c r="C1840" s="16">
        <v>46239</v>
      </c>
      <c r="D1840">
        <v>13804.239999999962</v>
      </c>
    </row>
    <row r="1841" spans="1:4" x14ac:dyDescent="0.3">
      <c r="A1841" s="81" t="s">
        <v>32</v>
      </c>
      <c r="B1841" s="81"/>
      <c r="C1841" s="16">
        <v>46239</v>
      </c>
      <c r="D1841">
        <v>8724.1700000000037</v>
      </c>
    </row>
    <row r="1842" spans="1:4" x14ac:dyDescent="0.3">
      <c r="A1842" s="81" t="s">
        <v>33</v>
      </c>
      <c r="B1842" s="81"/>
      <c r="C1842" s="16">
        <v>46239</v>
      </c>
      <c r="D1842">
        <v>10706.099999999997</v>
      </c>
    </row>
    <row r="1843" spans="1:4" x14ac:dyDescent="0.3">
      <c r="A1843" s="81" t="s">
        <v>34</v>
      </c>
      <c r="B1843" s="81"/>
      <c r="C1843" s="16">
        <v>46239</v>
      </c>
      <c r="D1843">
        <v>345</v>
      </c>
    </row>
    <row r="1844" spans="1:4" x14ac:dyDescent="0.3">
      <c r="A1844" s="81" t="s">
        <v>35</v>
      </c>
      <c r="B1844" s="81"/>
      <c r="C1844" s="16">
        <v>46239</v>
      </c>
      <c r="D1844">
        <v>7879.4200000000019</v>
      </c>
    </row>
    <row r="1845" spans="1:4" x14ac:dyDescent="0.3">
      <c r="A1845" s="81" t="s">
        <v>17</v>
      </c>
      <c r="B1845" s="81"/>
      <c r="C1845" s="16">
        <v>46240</v>
      </c>
      <c r="D1845">
        <v>1153390.4100000001</v>
      </c>
    </row>
    <row r="1846" spans="1:4" x14ac:dyDescent="0.3">
      <c r="A1846" s="81" t="s">
        <v>18</v>
      </c>
      <c r="B1846" s="81"/>
      <c r="C1846" s="16">
        <v>46240</v>
      </c>
      <c r="D1846">
        <v>83211.250000000175</v>
      </c>
    </row>
    <row r="1847" spans="1:4" x14ac:dyDescent="0.3">
      <c r="A1847" s="81" t="s">
        <v>19</v>
      </c>
      <c r="B1847" s="81"/>
      <c r="C1847" s="16">
        <v>46240</v>
      </c>
      <c r="D1847">
        <v>1669.89</v>
      </c>
    </row>
    <row r="1848" spans="1:4" x14ac:dyDescent="0.3">
      <c r="A1848" s="81" t="s">
        <v>20</v>
      </c>
      <c r="B1848" s="81"/>
      <c r="C1848" s="16">
        <v>46240</v>
      </c>
      <c r="D1848">
        <v>1349451.94</v>
      </c>
    </row>
    <row r="1849" spans="1:4" x14ac:dyDescent="0.3">
      <c r="A1849" s="81" t="s">
        <v>21</v>
      </c>
      <c r="B1849" s="81"/>
      <c r="C1849" s="16">
        <v>46240</v>
      </c>
      <c r="D1849">
        <v>2102073.7899999996</v>
      </c>
    </row>
    <row r="1850" spans="1:4" x14ac:dyDescent="0.3">
      <c r="A1850" s="81" t="s">
        <v>22</v>
      </c>
      <c r="B1850" s="81"/>
      <c r="C1850" s="16">
        <v>46240</v>
      </c>
      <c r="D1850">
        <v>171496.38</v>
      </c>
    </row>
    <row r="1851" spans="1:4" x14ac:dyDescent="0.3">
      <c r="A1851" s="81" t="s">
        <v>23</v>
      </c>
      <c r="B1851" s="81"/>
      <c r="C1851" s="16">
        <v>46240</v>
      </c>
      <c r="D1851">
        <v>88090.37</v>
      </c>
    </row>
    <row r="1852" spans="1:4" x14ac:dyDescent="0.3">
      <c r="A1852" s="81" t="s">
        <v>24</v>
      </c>
      <c r="B1852" s="81"/>
      <c r="C1852" s="16">
        <v>46240</v>
      </c>
      <c r="D1852">
        <v>14580.45</v>
      </c>
    </row>
    <row r="1853" spans="1:4" x14ac:dyDescent="0.3">
      <c r="A1853" s="81" t="s">
        <v>25</v>
      </c>
      <c r="B1853" s="81"/>
      <c r="C1853" s="16">
        <v>46240</v>
      </c>
      <c r="D1853">
        <v>24.450000000000003</v>
      </c>
    </row>
    <row r="1854" spans="1:4" x14ac:dyDescent="0.3">
      <c r="A1854" s="81" t="s">
        <v>26</v>
      </c>
      <c r="B1854" s="81"/>
      <c r="C1854" s="16">
        <v>46240</v>
      </c>
      <c r="D1854">
        <v>2177.87</v>
      </c>
    </row>
    <row r="1855" spans="1:4" x14ac:dyDescent="0.3">
      <c r="A1855" s="81" t="s">
        <v>27</v>
      </c>
      <c r="B1855" s="81"/>
      <c r="C1855" s="16">
        <v>46240</v>
      </c>
      <c r="D1855">
        <v>1454589.72</v>
      </c>
    </row>
    <row r="1856" spans="1:4" x14ac:dyDescent="0.3">
      <c r="A1856" s="81" t="s">
        <v>28</v>
      </c>
      <c r="B1856" s="81"/>
      <c r="C1856" s="16">
        <v>46240</v>
      </c>
      <c r="D1856">
        <v>1968.99</v>
      </c>
    </row>
    <row r="1857" spans="1:4" x14ac:dyDescent="0.3">
      <c r="A1857" s="81" t="s">
        <v>29</v>
      </c>
      <c r="B1857" s="81"/>
      <c r="C1857" s="16">
        <v>46240</v>
      </c>
      <c r="D1857">
        <v>901.34</v>
      </c>
    </row>
    <row r="1858" spans="1:4" x14ac:dyDescent="0.3">
      <c r="A1858" s="81" t="s">
        <v>30</v>
      </c>
      <c r="B1858" s="81"/>
      <c r="C1858" s="16">
        <v>46240</v>
      </c>
      <c r="D1858">
        <v>1396.08</v>
      </c>
    </row>
    <row r="1859" spans="1:4" x14ac:dyDescent="0.3">
      <c r="A1859" s="81" t="s">
        <v>31</v>
      </c>
      <c r="B1859" s="81"/>
      <c r="C1859" s="16">
        <v>46240</v>
      </c>
      <c r="D1859">
        <v>13804.239999999962</v>
      </c>
    </row>
    <row r="1860" spans="1:4" x14ac:dyDescent="0.3">
      <c r="A1860" s="81" t="s">
        <v>32</v>
      </c>
      <c r="B1860" s="81"/>
      <c r="C1860" s="16">
        <v>46240</v>
      </c>
      <c r="D1860">
        <v>8724.1700000000037</v>
      </c>
    </row>
    <row r="1861" spans="1:4" x14ac:dyDescent="0.3">
      <c r="A1861" s="81" t="s">
        <v>33</v>
      </c>
      <c r="B1861" s="81"/>
      <c r="C1861" s="16">
        <v>46240</v>
      </c>
      <c r="D1861">
        <v>10706.099999999997</v>
      </c>
    </row>
    <row r="1862" spans="1:4" x14ac:dyDescent="0.3">
      <c r="A1862" s="81" t="s">
        <v>34</v>
      </c>
      <c r="B1862" s="81"/>
      <c r="C1862" s="16">
        <v>46240</v>
      </c>
      <c r="D1862">
        <v>345</v>
      </c>
    </row>
    <row r="1863" spans="1:4" x14ac:dyDescent="0.3">
      <c r="A1863" s="81" t="s">
        <v>35</v>
      </c>
      <c r="B1863" s="81"/>
      <c r="C1863" s="16">
        <v>46240</v>
      </c>
      <c r="D1863">
        <v>12470.040000000003</v>
      </c>
    </row>
    <row r="1864" spans="1:4" x14ac:dyDescent="0.3">
      <c r="A1864" s="81" t="s">
        <v>17</v>
      </c>
      <c r="B1864" s="81"/>
      <c r="C1864" s="16">
        <v>46241</v>
      </c>
      <c r="D1864">
        <v>1153390.4100000001</v>
      </c>
    </row>
    <row r="1865" spans="1:4" x14ac:dyDescent="0.3">
      <c r="A1865" s="81" t="s">
        <v>18</v>
      </c>
      <c r="B1865" s="81"/>
      <c r="C1865" s="16">
        <v>46241</v>
      </c>
      <c r="D1865">
        <v>83211.250000000175</v>
      </c>
    </row>
    <row r="1866" spans="1:4" x14ac:dyDescent="0.3">
      <c r="A1866" s="81" t="s">
        <v>19</v>
      </c>
      <c r="B1866" s="81"/>
      <c r="C1866" s="16">
        <v>46241</v>
      </c>
      <c r="D1866">
        <v>1669.89</v>
      </c>
    </row>
    <row r="1867" spans="1:4" x14ac:dyDescent="0.3">
      <c r="A1867" s="81" t="s">
        <v>20</v>
      </c>
      <c r="B1867" s="81"/>
      <c r="C1867" s="16">
        <v>46241</v>
      </c>
      <c r="D1867">
        <v>1349451.94</v>
      </c>
    </row>
    <row r="1868" spans="1:4" x14ac:dyDescent="0.3">
      <c r="A1868" s="81" t="s">
        <v>21</v>
      </c>
      <c r="B1868" s="81"/>
      <c r="C1868" s="16">
        <v>46241</v>
      </c>
      <c r="D1868">
        <v>2102073.7899999996</v>
      </c>
    </row>
    <row r="1869" spans="1:4" x14ac:dyDescent="0.3">
      <c r="A1869" s="81" t="s">
        <v>22</v>
      </c>
      <c r="B1869" s="81"/>
      <c r="C1869" s="16">
        <v>46241</v>
      </c>
      <c r="D1869">
        <v>171496.38</v>
      </c>
    </row>
    <row r="1870" spans="1:4" x14ac:dyDescent="0.3">
      <c r="A1870" s="81" t="s">
        <v>23</v>
      </c>
      <c r="B1870" s="81"/>
      <c r="C1870" s="16">
        <v>46241</v>
      </c>
      <c r="D1870">
        <v>88090.37</v>
      </c>
    </row>
    <row r="1871" spans="1:4" x14ac:dyDescent="0.3">
      <c r="A1871" s="81" t="s">
        <v>24</v>
      </c>
      <c r="B1871" s="81"/>
      <c r="C1871" s="16">
        <v>46241</v>
      </c>
      <c r="D1871">
        <v>14580.45</v>
      </c>
    </row>
    <row r="1872" spans="1:4" x14ac:dyDescent="0.3">
      <c r="A1872" s="81" t="s">
        <v>25</v>
      </c>
      <c r="B1872" s="81"/>
      <c r="C1872" s="16">
        <v>46241</v>
      </c>
      <c r="D1872">
        <v>24.450000000000003</v>
      </c>
    </row>
    <row r="1873" spans="1:4" x14ac:dyDescent="0.3">
      <c r="A1873" s="81" t="s">
        <v>26</v>
      </c>
      <c r="B1873" s="81"/>
      <c r="C1873" s="16">
        <v>46241</v>
      </c>
      <c r="D1873">
        <v>2177.87</v>
      </c>
    </row>
    <row r="1874" spans="1:4" x14ac:dyDescent="0.3">
      <c r="A1874" s="81" t="s">
        <v>27</v>
      </c>
      <c r="B1874" s="81"/>
      <c r="C1874" s="16">
        <v>46241</v>
      </c>
      <c r="D1874">
        <v>1454589.72</v>
      </c>
    </row>
    <row r="1875" spans="1:4" x14ac:dyDescent="0.3">
      <c r="A1875" s="81" t="s">
        <v>28</v>
      </c>
      <c r="B1875" s="81"/>
      <c r="C1875" s="16">
        <v>46241</v>
      </c>
      <c r="D1875">
        <v>1968.99</v>
      </c>
    </row>
    <row r="1876" spans="1:4" x14ac:dyDescent="0.3">
      <c r="A1876" s="81" t="s">
        <v>29</v>
      </c>
      <c r="B1876" s="81"/>
      <c r="C1876" s="16">
        <v>46241</v>
      </c>
      <c r="D1876">
        <v>901.34</v>
      </c>
    </row>
    <row r="1877" spans="1:4" x14ac:dyDescent="0.3">
      <c r="A1877" s="81" t="s">
        <v>30</v>
      </c>
      <c r="B1877" s="81"/>
      <c r="C1877" s="16">
        <v>46241</v>
      </c>
      <c r="D1877">
        <v>1396.08</v>
      </c>
    </row>
    <row r="1878" spans="1:4" x14ac:dyDescent="0.3">
      <c r="A1878" s="81" t="s">
        <v>31</v>
      </c>
      <c r="B1878" s="81"/>
      <c r="C1878" s="16">
        <v>46241</v>
      </c>
      <c r="D1878">
        <v>11259.639999999961</v>
      </c>
    </row>
    <row r="1879" spans="1:4" x14ac:dyDescent="0.3">
      <c r="A1879" s="81" t="s">
        <v>32</v>
      </c>
      <c r="B1879" s="81"/>
      <c r="C1879" s="16">
        <v>46241</v>
      </c>
      <c r="D1879">
        <v>8724.1700000000037</v>
      </c>
    </row>
    <row r="1880" spans="1:4" x14ac:dyDescent="0.3">
      <c r="A1880" s="81" t="s">
        <v>33</v>
      </c>
      <c r="B1880" s="81"/>
      <c r="C1880" s="16">
        <v>46241</v>
      </c>
      <c r="D1880">
        <v>15706.099999999997</v>
      </c>
    </row>
    <row r="1881" spans="1:4" x14ac:dyDescent="0.3">
      <c r="A1881" s="81" t="s">
        <v>34</v>
      </c>
      <c r="B1881" s="81"/>
      <c r="C1881" s="16">
        <v>46241</v>
      </c>
      <c r="D1881">
        <v>345</v>
      </c>
    </row>
    <row r="1882" spans="1:4" x14ac:dyDescent="0.3">
      <c r="A1882" s="81" t="s">
        <v>35</v>
      </c>
      <c r="B1882" s="81"/>
      <c r="C1882" s="16">
        <v>46241</v>
      </c>
      <c r="D1882">
        <v>12470.040000000003</v>
      </c>
    </row>
    <row r="1883" spans="1:4" x14ac:dyDescent="0.3">
      <c r="A1883" s="81" t="s">
        <v>17</v>
      </c>
      <c r="B1883" s="81"/>
      <c r="C1883" s="16">
        <v>46242</v>
      </c>
      <c r="D1883">
        <v>1153390.4100000001</v>
      </c>
    </row>
    <row r="1884" spans="1:4" x14ac:dyDescent="0.3">
      <c r="A1884" s="81" t="s">
        <v>18</v>
      </c>
      <c r="B1884" s="81"/>
      <c r="C1884" s="16">
        <v>46242</v>
      </c>
      <c r="D1884">
        <v>83211.250000000175</v>
      </c>
    </row>
    <row r="1885" spans="1:4" x14ac:dyDescent="0.3">
      <c r="A1885" s="81" t="s">
        <v>19</v>
      </c>
      <c r="B1885" s="81"/>
      <c r="C1885" s="16">
        <v>46242</v>
      </c>
      <c r="D1885">
        <v>1669.89</v>
      </c>
    </row>
    <row r="1886" spans="1:4" x14ac:dyDescent="0.3">
      <c r="A1886" s="81" t="s">
        <v>20</v>
      </c>
      <c r="B1886" s="81"/>
      <c r="C1886" s="16">
        <v>46242</v>
      </c>
      <c r="D1886">
        <v>1349451.94</v>
      </c>
    </row>
    <row r="1887" spans="1:4" x14ac:dyDescent="0.3">
      <c r="A1887" s="81" t="s">
        <v>21</v>
      </c>
      <c r="B1887" s="81"/>
      <c r="C1887" s="16">
        <v>46242</v>
      </c>
      <c r="D1887">
        <v>2102073.7899999996</v>
      </c>
    </row>
    <row r="1888" spans="1:4" x14ac:dyDescent="0.3">
      <c r="A1888" s="81" t="s">
        <v>22</v>
      </c>
      <c r="B1888" s="81"/>
      <c r="C1888" s="16">
        <v>46242</v>
      </c>
      <c r="D1888">
        <v>171496.38</v>
      </c>
    </row>
    <row r="1889" spans="1:4" x14ac:dyDescent="0.3">
      <c r="A1889" s="81" t="s">
        <v>23</v>
      </c>
      <c r="B1889" s="81"/>
      <c r="C1889" s="16">
        <v>46242</v>
      </c>
      <c r="D1889">
        <v>88090.37</v>
      </c>
    </row>
    <row r="1890" spans="1:4" x14ac:dyDescent="0.3">
      <c r="A1890" s="81" t="s">
        <v>24</v>
      </c>
      <c r="B1890" s="81"/>
      <c r="C1890" s="16">
        <v>46242</v>
      </c>
      <c r="D1890">
        <v>14580.45</v>
      </c>
    </row>
    <row r="1891" spans="1:4" x14ac:dyDescent="0.3">
      <c r="A1891" s="81" t="s">
        <v>25</v>
      </c>
      <c r="B1891" s="81"/>
      <c r="C1891" s="16">
        <v>46242</v>
      </c>
      <c r="D1891">
        <v>24.450000000000003</v>
      </c>
    </row>
    <row r="1892" spans="1:4" x14ac:dyDescent="0.3">
      <c r="A1892" s="81" t="s">
        <v>26</v>
      </c>
      <c r="B1892" s="81"/>
      <c r="C1892" s="16">
        <v>46242</v>
      </c>
      <c r="D1892">
        <v>2177.87</v>
      </c>
    </row>
    <row r="1893" spans="1:4" x14ac:dyDescent="0.3">
      <c r="A1893" s="81" t="s">
        <v>27</v>
      </c>
      <c r="B1893" s="81"/>
      <c r="C1893" s="16">
        <v>46242</v>
      </c>
      <c r="D1893">
        <v>1454589.72</v>
      </c>
    </row>
    <row r="1894" spans="1:4" x14ac:dyDescent="0.3">
      <c r="A1894" s="81" t="s">
        <v>28</v>
      </c>
      <c r="B1894" s="81"/>
      <c r="C1894" s="16">
        <v>46242</v>
      </c>
      <c r="D1894">
        <v>1968.99</v>
      </c>
    </row>
    <row r="1895" spans="1:4" x14ac:dyDescent="0.3">
      <c r="A1895" s="81" t="s">
        <v>29</v>
      </c>
      <c r="B1895" s="81"/>
      <c r="C1895" s="16">
        <v>46242</v>
      </c>
      <c r="D1895">
        <v>901.34</v>
      </c>
    </row>
    <row r="1896" spans="1:4" x14ac:dyDescent="0.3">
      <c r="A1896" s="81" t="s">
        <v>30</v>
      </c>
      <c r="B1896" s="81"/>
      <c r="C1896" s="16">
        <v>46242</v>
      </c>
      <c r="D1896">
        <v>1396.08</v>
      </c>
    </row>
    <row r="1897" spans="1:4" x14ac:dyDescent="0.3">
      <c r="A1897" s="81" t="s">
        <v>31</v>
      </c>
      <c r="B1897" s="81"/>
      <c r="C1897" s="16">
        <v>46242</v>
      </c>
      <c r="D1897">
        <v>11259.639999999961</v>
      </c>
    </row>
    <row r="1898" spans="1:4" x14ac:dyDescent="0.3">
      <c r="A1898" s="81" t="s">
        <v>32</v>
      </c>
      <c r="B1898" s="81"/>
      <c r="C1898" s="16">
        <v>46242</v>
      </c>
      <c r="D1898">
        <v>8724.1700000000037</v>
      </c>
    </row>
    <row r="1899" spans="1:4" x14ac:dyDescent="0.3">
      <c r="A1899" s="81" t="s">
        <v>33</v>
      </c>
      <c r="B1899" s="81"/>
      <c r="C1899" s="16">
        <v>46242</v>
      </c>
      <c r="D1899">
        <v>15706.099999999997</v>
      </c>
    </row>
    <row r="1900" spans="1:4" x14ac:dyDescent="0.3">
      <c r="A1900" s="81" t="s">
        <v>34</v>
      </c>
      <c r="B1900" s="81"/>
      <c r="C1900" s="16">
        <v>46242</v>
      </c>
      <c r="D1900">
        <v>345</v>
      </c>
    </row>
    <row r="1901" spans="1:4" x14ac:dyDescent="0.3">
      <c r="A1901" s="81" t="s">
        <v>35</v>
      </c>
      <c r="B1901" s="81"/>
      <c r="C1901" s="16">
        <v>46242</v>
      </c>
      <c r="D1901">
        <v>12470.040000000003</v>
      </c>
    </row>
    <row r="1902" spans="1:4" x14ac:dyDescent="0.3">
      <c r="A1902" s="81" t="s">
        <v>17</v>
      </c>
      <c r="B1902" s="81"/>
      <c r="C1902" s="16">
        <v>46243</v>
      </c>
      <c r="D1902">
        <v>1153390.4100000001</v>
      </c>
    </row>
    <row r="1903" spans="1:4" x14ac:dyDescent="0.3">
      <c r="A1903" s="81" t="s">
        <v>18</v>
      </c>
      <c r="B1903" s="81"/>
      <c r="C1903" s="16">
        <v>46243</v>
      </c>
      <c r="D1903">
        <v>83211.250000000175</v>
      </c>
    </row>
    <row r="1904" spans="1:4" x14ac:dyDescent="0.3">
      <c r="A1904" s="81" t="s">
        <v>19</v>
      </c>
      <c r="B1904" s="81"/>
      <c r="C1904" s="16">
        <v>46243</v>
      </c>
      <c r="D1904">
        <v>1669.89</v>
      </c>
    </row>
    <row r="1905" spans="1:4" x14ac:dyDescent="0.3">
      <c r="A1905" s="81" t="s">
        <v>20</v>
      </c>
      <c r="B1905" s="81"/>
      <c r="C1905" s="16">
        <v>46243</v>
      </c>
      <c r="D1905">
        <v>1349451.94</v>
      </c>
    </row>
    <row r="1906" spans="1:4" x14ac:dyDescent="0.3">
      <c r="A1906" s="81" t="s">
        <v>21</v>
      </c>
      <c r="B1906" s="81"/>
      <c r="C1906" s="16">
        <v>46243</v>
      </c>
      <c r="D1906">
        <v>2102073.7899999996</v>
      </c>
    </row>
    <row r="1907" spans="1:4" x14ac:dyDescent="0.3">
      <c r="A1907" s="81" t="s">
        <v>22</v>
      </c>
      <c r="B1907" s="81"/>
      <c r="C1907" s="16">
        <v>46243</v>
      </c>
      <c r="D1907">
        <v>171496.38</v>
      </c>
    </row>
    <row r="1908" spans="1:4" x14ac:dyDescent="0.3">
      <c r="A1908" s="81" t="s">
        <v>23</v>
      </c>
      <c r="B1908" s="81"/>
      <c r="C1908" s="16">
        <v>46243</v>
      </c>
      <c r="D1908">
        <v>88090.37</v>
      </c>
    </row>
    <row r="1909" spans="1:4" x14ac:dyDescent="0.3">
      <c r="A1909" s="81" t="s">
        <v>24</v>
      </c>
      <c r="B1909" s="81"/>
      <c r="C1909" s="16">
        <v>46243</v>
      </c>
      <c r="D1909">
        <v>14580.45</v>
      </c>
    </row>
    <row r="1910" spans="1:4" x14ac:dyDescent="0.3">
      <c r="A1910" s="81" t="s">
        <v>25</v>
      </c>
      <c r="B1910" s="81"/>
      <c r="C1910" s="16">
        <v>46243</v>
      </c>
      <c r="D1910">
        <v>24.450000000000003</v>
      </c>
    </row>
    <row r="1911" spans="1:4" x14ac:dyDescent="0.3">
      <c r="A1911" s="81" t="s">
        <v>26</v>
      </c>
      <c r="B1911" s="81"/>
      <c r="C1911" s="16">
        <v>46243</v>
      </c>
      <c r="D1911">
        <v>2177.87</v>
      </c>
    </row>
    <row r="1912" spans="1:4" x14ac:dyDescent="0.3">
      <c r="A1912" s="81" t="s">
        <v>27</v>
      </c>
      <c r="B1912" s="81"/>
      <c r="C1912" s="16">
        <v>46243</v>
      </c>
      <c r="D1912">
        <v>1454589.72</v>
      </c>
    </row>
    <row r="1913" spans="1:4" x14ac:dyDescent="0.3">
      <c r="A1913" s="81" t="s">
        <v>28</v>
      </c>
      <c r="B1913" s="81"/>
      <c r="C1913" s="16">
        <v>46243</v>
      </c>
      <c r="D1913">
        <v>1968.99</v>
      </c>
    </row>
    <row r="1914" spans="1:4" x14ac:dyDescent="0.3">
      <c r="A1914" s="81" t="s">
        <v>29</v>
      </c>
      <c r="B1914" s="81"/>
      <c r="C1914" s="16">
        <v>46243</v>
      </c>
      <c r="D1914">
        <v>901.34</v>
      </c>
    </row>
    <row r="1915" spans="1:4" x14ac:dyDescent="0.3">
      <c r="A1915" s="81" t="s">
        <v>30</v>
      </c>
      <c r="B1915" s="81"/>
      <c r="C1915" s="16">
        <v>46243</v>
      </c>
      <c r="D1915">
        <v>1396.08</v>
      </c>
    </row>
    <row r="1916" spans="1:4" x14ac:dyDescent="0.3">
      <c r="A1916" s="81" t="s">
        <v>31</v>
      </c>
      <c r="B1916" s="81"/>
      <c r="C1916" s="16">
        <v>46243</v>
      </c>
      <c r="D1916">
        <v>11259.639999999961</v>
      </c>
    </row>
    <row r="1917" spans="1:4" x14ac:dyDescent="0.3">
      <c r="A1917" s="81" t="s">
        <v>32</v>
      </c>
      <c r="B1917" s="81"/>
      <c r="C1917" s="16">
        <v>46243</v>
      </c>
      <c r="D1917">
        <v>8724.1700000000037</v>
      </c>
    </row>
    <row r="1918" spans="1:4" x14ac:dyDescent="0.3">
      <c r="A1918" s="81" t="s">
        <v>33</v>
      </c>
      <c r="B1918" s="81"/>
      <c r="C1918" s="16">
        <v>46243</v>
      </c>
      <c r="D1918">
        <v>15706.099999999997</v>
      </c>
    </row>
    <row r="1919" spans="1:4" x14ac:dyDescent="0.3">
      <c r="A1919" s="81" t="s">
        <v>34</v>
      </c>
      <c r="B1919" s="81"/>
      <c r="C1919" s="16">
        <v>46243</v>
      </c>
      <c r="D1919">
        <v>345</v>
      </c>
    </row>
    <row r="1920" spans="1:4" x14ac:dyDescent="0.3">
      <c r="A1920" s="81" t="s">
        <v>35</v>
      </c>
      <c r="B1920" s="81"/>
      <c r="C1920" s="16">
        <v>46243</v>
      </c>
      <c r="D1920">
        <v>12470.040000000003</v>
      </c>
    </row>
    <row r="1921" spans="1:4" x14ac:dyDescent="0.3">
      <c r="A1921" s="81" t="s">
        <v>17</v>
      </c>
      <c r="B1921" s="81"/>
      <c r="C1921" s="16">
        <v>46244</v>
      </c>
      <c r="D1921">
        <v>1260076.9800000002</v>
      </c>
    </row>
    <row r="1922" spans="1:4" x14ac:dyDescent="0.3">
      <c r="A1922" s="81" t="s">
        <v>18</v>
      </c>
      <c r="B1922" s="81"/>
      <c r="C1922" s="16">
        <v>46244</v>
      </c>
      <c r="D1922">
        <v>83211.250000000175</v>
      </c>
    </row>
    <row r="1923" spans="1:4" x14ac:dyDescent="0.3">
      <c r="A1923" s="81" t="s">
        <v>19</v>
      </c>
      <c r="B1923" s="81"/>
      <c r="C1923" s="16">
        <v>46244</v>
      </c>
      <c r="D1923">
        <v>1669.89</v>
      </c>
    </row>
    <row r="1924" spans="1:4" x14ac:dyDescent="0.3">
      <c r="A1924" s="81" t="s">
        <v>20</v>
      </c>
      <c r="B1924" s="81"/>
      <c r="C1924" s="16">
        <v>46244</v>
      </c>
      <c r="D1924">
        <v>1349451.94</v>
      </c>
    </row>
    <row r="1925" spans="1:4" x14ac:dyDescent="0.3">
      <c r="A1925" s="81" t="s">
        <v>21</v>
      </c>
      <c r="B1925" s="81"/>
      <c r="C1925" s="16">
        <v>46244</v>
      </c>
      <c r="D1925">
        <v>2098801.8999999994</v>
      </c>
    </row>
    <row r="1926" spans="1:4" x14ac:dyDescent="0.3">
      <c r="A1926" s="81" t="s">
        <v>22</v>
      </c>
      <c r="B1926" s="81"/>
      <c r="C1926" s="16">
        <v>46244</v>
      </c>
      <c r="D1926">
        <v>171496.38</v>
      </c>
    </row>
    <row r="1927" spans="1:4" x14ac:dyDescent="0.3">
      <c r="A1927" s="81" t="s">
        <v>23</v>
      </c>
      <c r="B1927" s="81"/>
      <c r="C1927" s="16">
        <v>46244</v>
      </c>
      <c r="D1927">
        <v>88090.37</v>
      </c>
    </row>
    <row r="1928" spans="1:4" x14ac:dyDescent="0.3">
      <c r="A1928" s="81" t="s">
        <v>24</v>
      </c>
      <c r="B1928" s="81"/>
      <c r="C1928" s="16">
        <v>46244</v>
      </c>
      <c r="D1928">
        <v>14580.45</v>
      </c>
    </row>
    <row r="1929" spans="1:4" x14ac:dyDescent="0.3">
      <c r="A1929" s="81" t="s">
        <v>25</v>
      </c>
      <c r="B1929" s="81"/>
      <c r="C1929" s="16">
        <v>46244</v>
      </c>
      <c r="D1929">
        <v>24.450000000000003</v>
      </c>
    </row>
    <row r="1930" spans="1:4" x14ac:dyDescent="0.3">
      <c r="A1930" s="81" t="s">
        <v>26</v>
      </c>
      <c r="B1930" s="81"/>
      <c r="C1930" s="16">
        <v>46244</v>
      </c>
      <c r="D1930">
        <v>2177.87</v>
      </c>
    </row>
    <row r="1931" spans="1:4" x14ac:dyDescent="0.3">
      <c r="A1931" s="81" t="s">
        <v>27</v>
      </c>
      <c r="B1931" s="81"/>
      <c r="C1931" s="16">
        <v>46244</v>
      </c>
      <c r="D1931">
        <v>1454589.72</v>
      </c>
    </row>
    <row r="1932" spans="1:4" x14ac:dyDescent="0.3">
      <c r="A1932" s="81" t="s">
        <v>28</v>
      </c>
      <c r="B1932" s="81"/>
      <c r="C1932" s="16">
        <v>46244</v>
      </c>
      <c r="D1932">
        <v>1968.99</v>
      </c>
    </row>
    <row r="1933" spans="1:4" x14ac:dyDescent="0.3">
      <c r="A1933" s="81" t="s">
        <v>29</v>
      </c>
      <c r="B1933" s="81"/>
      <c r="C1933" s="16">
        <v>46244</v>
      </c>
      <c r="D1933">
        <v>901.34</v>
      </c>
    </row>
    <row r="1934" spans="1:4" x14ac:dyDescent="0.3">
      <c r="A1934" s="81" t="s">
        <v>30</v>
      </c>
      <c r="B1934" s="81"/>
      <c r="C1934" s="16">
        <v>46244</v>
      </c>
      <c r="D1934">
        <v>1396.08</v>
      </c>
    </row>
    <row r="1935" spans="1:4" x14ac:dyDescent="0.3">
      <c r="A1935" s="81" t="s">
        <v>31</v>
      </c>
      <c r="B1935" s="81"/>
      <c r="C1935" s="16">
        <v>46244</v>
      </c>
      <c r="D1935">
        <v>3700.7099999999591</v>
      </c>
    </row>
    <row r="1936" spans="1:4" x14ac:dyDescent="0.3">
      <c r="A1936" s="81" t="s">
        <v>32</v>
      </c>
      <c r="B1936" s="81"/>
      <c r="C1936" s="16">
        <v>46244</v>
      </c>
      <c r="D1936">
        <v>8724.1700000000037</v>
      </c>
    </row>
    <row r="1937" spans="1:4" x14ac:dyDescent="0.3">
      <c r="A1937" s="81" t="s">
        <v>33</v>
      </c>
      <c r="B1937" s="81"/>
      <c r="C1937" s="16">
        <v>46244</v>
      </c>
      <c r="D1937">
        <v>15706.099999999997</v>
      </c>
    </row>
    <row r="1938" spans="1:4" x14ac:dyDescent="0.3">
      <c r="A1938" s="81" t="s">
        <v>34</v>
      </c>
      <c r="B1938" s="81"/>
      <c r="C1938" s="16">
        <v>46244</v>
      </c>
      <c r="D1938">
        <v>345</v>
      </c>
    </row>
    <row r="1939" spans="1:4" x14ac:dyDescent="0.3">
      <c r="A1939" s="81" t="s">
        <v>35</v>
      </c>
      <c r="B1939" s="81"/>
      <c r="C1939" s="16">
        <v>46244</v>
      </c>
      <c r="D1939">
        <v>12470.040000000003</v>
      </c>
    </row>
    <row r="1940" spans="1:4" x14ac:dyDescent="0.3">
      <c r="A1940" s="81" t="s">
        <v>17</v>
      </c>
      <c r="B1940" s="81"/>
      <c r="C1940" s="16">
        <v>46245</v>
      </c>
      <c r="D1940">
        <v>1260076.9800000002</v>
      </c>
    </row>
    <row r="1941" spans="1:4" x14ac:dyDescent="0.3">
      <c r="A1941" s="81" t="s">
        <v>18</v>
      </c>
      <c r="B1941" s="81"/>
      <c r="C1941" s="16">
        <v>46245</v>
      </c>
      <c r="D1941">
        <v>83211.250000000175</v>
      </c>
    </row>
    <row r="1942" spans="1:4" x14ac:dyDescent="0.3">
      <c r="A1942" s="81" t="s">
        <v>19</v>
      </c>
      <c r="B1942" s="81"/>
      <c r="C1942" s="16">
        <v>46245</v>
      </c>
      <c r="D1942">
        <v>1669.89</v>
      </c>
    </row>
    <row r="1943" spans="1:4" x14ac:dyDescent="0.3">
      <c r="A1943" s="81" t="s">
        <v>20</v>
      </c>
      <c r="B1943" s="81"/>
      <c r="C1943" s="16">
        <v>46245</v>
      </c>
      <c r="D1943">
        <v>1349451.94</v>
      </c>
    </row>
    <row r="1944" spans="1:4" x14ac:dyDescent="0.3">
      <c r="A1944" s="81" t="s">
        <v>21</v>
      </c>
      <c r="B1944" s="81"/>
      <c r="C1944" s="16">
        <v>46245</v>
      </c>
      <c r="D1944">
        <v>1622920.8199999996</v>
      </c>
    </row>
    <row r="1945" spans="1:4" x14ac:dyDescent="0.3">
      <c r="A1945" s="81" t="s">
        <v>22</v>
      </c>
      <c r="B1945" s="81"/>
      <c r="C1945" s="16">
        <v>46245</v>
      </c>
      <c r="D1945">
        <v>171496.38</v>
      </c>
    </row>
    <row r="1946" spans="1:4" x14ac:dyDescent="0.3">
      <c r="A1946" s="81" t="s">
        <v>23</v>
      </c>
      <c r="B1946" s="81"/>
      <c r="C1946" s="16">
        <v>46245</v>
      </c>
      <c r="D1946">
        <v>88090.37</v>
      </c>
    </row>
    <row r="1947" spans="1:4" x14ac:dyDescent="0.3">
      <c r="A1947" s="81" t="s">
        <v>24</v>
      </c>
      <c r="B1947" s="81"/>
      <c r="C1947" s="16">
        <v>46245</v>
      </c>
      <c r="D1947">
        <v>14580.45</v>
      </c>
    </row>
    <row r="1948" spans="1:4" x14ac:dyDescent="0.3">
      <c r="A1948" s="81" t="s">
        <v>25</v>
      </c>
      <c r="B1948" s="81"/>
      <c r="C1948" s="16">
        <v>46245</v>
      </c>
      <c r="D1948">
        <v>24.450000000000003</v>
      </c>
    </row>
    <row r="1949" spans="1:4" x14ac:dyDescent="0.3">
      <c r="A1949" s="81" t="s">
        <v>26</v>
      </c>
      <c r="B1949" s="81"/>
      <c r="C1949" s="16">
        <v>46245</v>
      </c>
      <c r="D1949">
        <v>2177.87</v>
      </c>
    </row>
    <row r="1950" spans="1:4" x14ac:dyDescent="0.3">
      <c r="A1950" s="81" t="s">
        <v>27</v>
      </c>
      <c r="B1950" s="81"/>
      <c r="C1950" s="16">
        <v>46245</v>
      </c>
      <c r="D1950">
        <v>1454589.72</v>
      </c>
    </row>
    <row r="1951" spans="1:4" x14ac:dyDescent="0.3">
      <c r="A1951" s="81" t="s">
        <v>28</v>
      </c>
      <c r="B1951" s="81"/>
      <c r="C1951" s="16">
        <v>46245</v>
      </c>
      <c r="D1951">
        <v>1968.99</v>
      </c>
    </row>
    <row r="1952" spans="1:4" x14ac:dyDescent="0.3">
      <c r="A1952" s="81" t="s">
        <v>29</v>
      </c>
      <c r="B1952" s="81"/>
      <c r="C1952" s="16">
        <v>46245</v>
      </c>
      <c r="D1952">
        <v>901.34</v>
      </c>
    </row>
    <row r="1953" spans="1:4" x14ac:dyDescent="0.3">
      <c r="A1953" s="81" t="s">
        <v>30</v>
      </c>
      <c r="B1953" s="81"/>
      <c r="C1953" s="16">
        <v>46245</v>
      </c>
      <c r="D1953">
        <v>1396.08</v>
      </c>
    </row>
    <row r="1954" spans="1:4" x14ac:dyDescent="0.3">
      <c r="A1954" s="81" t="s">
        <v>31</v>
      </c>
      <c r="B1954" s="81"/>
      <c r="C1954" s="16">
        <v>46245</v>
      </c>
      <c r="D1954">
        <v>3700.7099999999591</v>
      </c>
    </row>
    <row r="1955" spans="1:4" x14ac:dyDescent="0.3">
      <c r="A1955" s="81" t="s">
        <v>32</v>
      </c>
      <c r="B1955" s="81"/>
      <c r="C1955" s="16">
        <v>46245</v>
      </c>
      <c r="D1955">
        <v>8724.1700000000037</v>
      </c>
    </row>
    <row r="1956" spans="1:4" x14ac:dyDescent="0.3">
      <c r="A1956" s="81" t="s">
        <v>33</v>
      </c>
      <c r="B1956" s="81"/>
      <c r="C1956" s="16">
        <v>46245</v>
      </c>
      <c r="D1956">
        <v>15042.439999999997</v>
      </c>
    </row>
    <row r="1957" spans="1:4" x14ac:dyDescent="0.3">
      <c r="A1957" s="81" t="s">
        <v>34</v>
      </c>
      <c r="B1957" s="81"/>
      <c r="C1957" s="16">
        <v>46245</v>
      </c>
      <c r="D1957">
        <v>345</v>
      </c>
    </row>
    <row r="1958" spans="1:4" x14ac:dyDescent="0.3">
      <c r="A1958" s="81" t="s">
        <v>35</v>
      </c>
      <c r="B1958" s="81"/>
      <c r="C1958" s="16">
        <v>46245</v>
      </c>
      <c r="D1958">
        <v>12470.040000000003</v>
      </c>
    </row>
    <row r="1959" spans="1:4" x14ac:dyDescent="0.3">
      <c r="A1959" s="81" t="s">
        <v>17</v>
      </c>
      <c r="B1959" s="81"/>
      <c r="C1959" s="16">
        <v>46246</v>
      </c>
      <c r="D1959">
        <v>1260076.9800000002</v>
      </c>
    </row>
    <row r="1960" spans="1:4" x14ac:dyDescent="0.3">
      <c r="A1960" s="81" t="s">
        <v>18</v>
      </c>
      <c r="B1960" s="81"/>
      <c r="C1960" s="16">
        <v>46246</v>
      </c>
      <c r="D1960">
        <v>83211.250000000175</v>
      </c>
    </row>
    <row r="1961" spans="1:4" x14ac:dyDescent="0.3">
      <c r="A1961" s="81" t="s">
        <v>19</v>
      </c>
      <c r="B1961" s="81"/>
      <c r="C1961" s="16">
        <v>46246</v>
      </c>
      <c r="D1961">
        <v>1669.89</v>
      </c>
    </row>
    <row r="1962" spans="1:4" x14ac:dyDescent="0.3">
      <c r="A1962" s="81" t="s">
        <v>20</v>
      </c>
      <c r="B1962" s="81"/>
      <c r="C1962" s="16">
        <v>46246</v>
      </c>
      <c r="D1962">
        <v>1349451.94</v>
      </c>
    </row>
    <row r="1963" spans="1:4" x14ac:dyDescent="0.3">
      <c r="A1963" s="81" t="s">
        <v>21</v>
      </c>
      <c r="B1963" s="81"/>
      <c r="C1963" s="16">
        <v>46246</v>
      </c>
      <c r="D1963">
        <v>1622914.8199999996</v>
      </c>
    </row>
    <row r="1964" spans="1:4" x14ac:dyDescent="0.3">
      <c r="A1964" s="81" t="s">
        <v>22</v>
      </c>
      <c r="B1964" s="81"/>
      <c r="C1964" s="16">
        <v>46246</v>
      </c>
      <c r="D1964">
        <v>731496.38</v>
      </c>
    </row>
    <row r="1965" spans="1:4" x14ac:dyDescent="0.3">
      <c r="A1965" s="81" t="s">
        <v>23</v>
      </c>
      <c r="B1965" s="81"/>
      <c r="C1965" s="16">
        <v>46246</v>
      </c>
      <c r="D1965">
        <v>158090.37</v>
      </c>
    </row>
    <row r="1966" spans="1:4" x14ac:dyDescent="0.3">
      <c r="A1966" s="81" t="s">
        <v>24</v>
      </c>
      <c r="B1966" s="81"/>
      <c r="C1966" s="16">
        <v>46246</v>
      </c>
      <c r="D1966">
        <v>14580.45</v>
      </c>
    </row>
    <row r="1967" spans="1:4" x14ac:dyDescent="0.3">
      <c r="A1967" s="81" t="s">
        <v>25</v>
      </c>
      <c r="B1967" s="81"/>
      <c r="C1967" s="16">
        <v>46246</v>
      </c>
      <c r="D1967">
        <v>24.450000000000003</v>
      </c>
    </row>
    <row r="1968" spans="1:4" x14ac:dyDescent="0.3">
      <c r="A1968" s="81" t="s">
        <v>26</v>
      </c>
      <c r="B1968" s="81"/>
      <c r="C1968" s="16">
        <v>46246</v>
      </c>
      <c r="D1968">
        <v>2177.87</v>
      </c>
    </row>
    <row r="1969" spans="1:4" x14ac:dyDescent="0.3">
      <c r="A1969" s="81" t="s">
        <v>27</v>
      </c>
      <c r="B1969" s="81"/>
      <c r="C1969" s="16">
        <v>46246</v>
      </c>
      <c r="D1969">
        <v>754589.72</v>
      </c>
    </row>
    <row r="1970" spans="1:4" x14ac:dyDescent="0.3">
      <c r="A1970" s="81" t="s">
        <v>28</v>
      </c>
      <c r="B1970" s="81"/>
      <c r="C1970" s="16">
        <v>46246</v>
      </c>
      <c r="D1970">
        <v>1968.99</v>
      </c>
    </row>
    <row r="1971" spans="1:4" x14ac:dyDescent="0.3">
      <c r="A1971" s="81" t="s">
        <v>29</v>
      </c>
      <c r="B1971" s="81"/>
      <c r="C1971" s="16">
        <v>46246</v>
      </c>
      <c r="D1971">
        <v>901.34</v>
      </c>
    </row>
    <row r="1972" spans="1:4" x14ac:dyDescent="0.3">
      <c r="A1972" s="81" t="s">
        <v>30</v>
      </c>
      <c r="B1972" s="81"/>
      <c r="C1972" s="16">
        <v>46246</v>
      </c>
      <c r="D1972">
        <v>1396.08</v>
      </c>
    </row>
    <row r="1973" spans="1:4" x14ac:dyDescent="0.3">
      <c r="A1973" s="81" t="s">
        <v>31</v>
      </c>
      <c r="B1973" s="81"/>
      <c r="C1973" s="16">
        <v>46246</v>
      </c>
      <c r="D1973">
        <v>3700.7099999999591</v>
      </c>
    </row>
    <row r="1974" spans="1:4" x14ac:dyDescent="0.3">
      <c r="A1974" s="81" t="s">
        <v>32</v>
      </c>
      <c r="B1974" s="81"/>
      <c r="C1974" s="16">
        <v>46246</v>
      </c>
      <c r="D1974">
        <v>8724.1700000000037</v>
      </c>
    </row>
    <row r="1975" spans="1:4" x14ac:dyDescent="0.3">
      <c r="A1975" s="81" t="s">
        <v>33</v>
      </c>
      <c r="B1975" s="81"/>
      <c r="C1975" s="16">
        <v>46246</v>
      </c>
      <c r="D1975">
        <v>14936.039999999997</v>
      </c>
    </row>
    <row r="1976" spans="1:4" x14ac:dyDescent="0.3">
      <c r="A1976" s="81" t="s">
        <v>34</v>
      </c>
      <c r="B1976" s="81"/>
      <c r="C1976" s="16">
        <v>46246</v>
      </c>
      <c r="D1976">
        <v>345</v>
      </c>
    </row>
    <row r="1977" spans="1:4" x14ac:dyDescent="0.3">
      <c r="A1977" s="81" t="s">
        <v>35</v>
      </c>
      <c r="B1977" s="81"/>
      <c r="C1977" s="16">
        <v>46246</v>
      </c>
      <c r="D1977">
        <v>12470.040000000003</v>
      </c>
    </row>
    <row r="1978" spans="1:4" x14ac:dyDescent="0.3">
      <c r="A1978" s="81" t="s">
        <v>17</v>
      </c>
      <c r="B1978" s="81"/>
      <c r="C1978" s="16">
        <v>46247</v>
      </c>
      <c r="D1978">
        <v>1041242.3800000005</v>
      </c>
    </row>
    <row r="1979" spans="1:4" x14ac:dyDescent="0.3">
      <c r="A1979" s="81" t="s">
        <v>18</v>
      </c>
      <c r="B1979" s="81"/>
      <c r="C1979" s="16">
        <v>46247</v>
      </c>
      <c r="D1979">
        <v>83211.250000000175</v>
      </c>
    </row>
    <row r="1980" spans="1:4" x14ac:dyDescent="0.3">
      <c r="A1980" s="81" t="s">
        <v>19</v>
      </c>
      <c r="B1980" s="81"/>
      <c r="C1980" s="16">
        <v>46247</v>
      </c>
      <c r="D1980">
        <v>1669.89</v>
      </c>
    </row>
    <row r="1981" spans="1:4" x14ac:dyDescent="0.3">
      <c r="A1981" s="81" t="s">
        <v>20</v>
      </c>
      <c r="B1981" s="81"/>
      <c r="C1981" s="16">
        <v>46247</v>
      </c>
      <c r="D1981">
        <v>1289451.94</v>
      </c>
    </row>
    <row r="1982" spans="1:4" x14ac:dyDescent="0.3">
      <c r="A1982" s="81" t="s">
        <v>21</v>
      </c>
      <c r="B1982" s="81"/>
      <c r="C1982" s="16">
        <v>46247</v>
      </c>
      <c r="D1982">
        <v>1418917.5899999996</v>
      </c>
    </row>
    <row r="1983" spans="1:4" x14ac:dyDescent="0.3">
      <c r="A1983" s="81" t="s">
        <v>22</v>
      </c>
      <c r="B1983" s="81"/>
      <c r="C1983" s="16">
        <v>46247</v>
      </c>
      <c r="D1983">
        <v>221496.38</v>
      </c>
    </row>
    <row r="1984" spans="1:4" x14ac:dyDescent="0.3">
      <c r="A1984" s="81" t="s">
        <v>23</v>
      </c>
      <c r="B1984" s="81"/>
      <c r="C1984" s="16">
        <v>46247</v>
      </c>
      <c r="D1984">
        <v>158090.37</v>
      </c>
    </row>
    <row r="1985" spans="1:4" x14ac:dyDescent="0.3">
      <c r="A1985" s="81" t="s">
        <v>24</v>
      </c>
      <c r="B1985" s="81"/>
      <c r="C1985" s="16">
        <v>46247</v>
      </c>
      <c r="D1985">
        <v>14580.45</v>
      </c>
    </row>
    <row r="1986" spans="1:4" x14ac:dyDescent="0.3">
      <c r="A1986" s="81" t="s">
        <v>25</v>
      </c>
      <c r="B1986" s="81"/>
      <c r="C1986" s="16">
        <v>46247</v>
      </c>
      <c r="D1986">
        <v>24.450000000000003</v>
      </c>
    </row>
    <row r="1987" spans="1:4" x14ac:dyDescent="0.3">
      <c r="A1987" s="81" t="s">
        <v>26</v>
      </c>
      <c r="B1987" s="81"/>
      <c r="C1987" s="16">
        <v>46247</v>
      </c>
      <c r="D1987">
        <v>2177.87</v>
      </c>
    </row>
    <row r="1988" spans="1:4" x14ac:dyDescent="0.3">
      <c r="A1988" s="81" t="s">
        <v>27</v>
      </c>
      <c r="B1988" s="81"/>
      <c r="C1988" s="16">
        <v>46247</v>
      </c>
      <c r="D1988">
        <v>754589.72</v>
      </c>
    </row>
    <row r="1989" spans="1:4" x14ac:dyDescent="0.3">
      <c r="A1989" s="81" t="s">
        <v>28</v>
      </c>
      <c r="B1989" s="81"/>
      <c r="C1989" s="16">
        <v>46247</v>
      </c>
      <c r="D1989">
        <v>1968.99</v>
      </c>
    </row>
    <row r="1990" spans="1:4" x14ac:dyDescent="0.3">
      <c r="A1990" s="81" t="s">
        <v>29</v>
      </c>
      <c r="B1990" s="81"/>
      <c r="C1990" s="16">
        <v>46247</v>
      </c>
      <c r="D1990">
        <v>901.34</v>
      </c>
    </row>
    <row r="1991" spans="1:4" x14ac:dyDescent="0.3">
      <c r="A1991" s="81" t="s">
        <v>30</v>
      </c>
      <c r="B1991" s="81"/>
      <c r="C1991" s="16">
        <v>46247</v>
      </c>
      <c r="D1991">
        <v>1396.08</v>
      </c>
    </row>
    <row r="1992" spans="1:4" x14ac:dyDescent="0.3">
      <c r="A1992" s="81" t="s">
        <v>31</v>
      </c>
      <c r="B1992" s="81"/>
      <c r="C1992" s="16">
        <v>46247</v>
      </c>
      <c r="D1992">
        <v>13700.709999999959</v>
      </c>
    </row>
    <row r="1993" spans="1:4" x14ac:dyDescent="0.3">
      <c r="A1993" s="81" t="s">
        <v>32</v>
      </c>
      <c r="B1993" s="81"/>
      <c r="C1993" s="16">
        <v>46247</v>
      </c>
      <c r="D1993">
        <v>8724.1700000000037</v>
      </c>
    </row>
    <row r="1994" spans="1:4" x14ac:dyDescent="0.3">
      <c r="A1994" s="81" t="s">
        <v>33</v>
      </c>
      <c r="B1994" s="81"/>
      <c r="C1994" s="16">
        <v>46247</v>
      </c>
      <c r="D1994">
        <v>14936.039999999997</v>
      </c>
    </row>
    <row r="1995" spans="1:4" x14ac:dyDescent="0.3">
      <c r="A1995" s="81" t="s">
        <v>34</v>
      </c>
      <c r="B1995" s="81"/>
      <c r="C1995" s="16">
        <v>46247</v>
      </c>
      <c r="D1995">
        <v>345</v>
      </c>
    </row>
    <row r="1996" spans="1:4" x14ac:dyDescent="0.3">
      <c r="A1996" s="81" t="s">
        <v>35</v>
      </c>
      <c r="B1996" s="81"/>
      <c r="C1996" s="16">
        <v>46247</v>
      </c>
      <c r="D1996">
        <v>14740.900000000001</v>
      </c>
    </row>
    <row r="1997" spans="1:4" x14ac:dyDescent="0.3">
      <c r="A1997" s="81" t="s">
        <v>17</v>
      </c>
      <c r="B1997" s="81"/>
      <c r="C1997" s="16">
        <v>46248</v>
      </c>
      <c r="D1997">
        <v>941242.38000000047</v>
      </c>
    </row>
    <row r="1998" spans="1:4" x14ac:dyDescent="0.3">
      <c r="A1998" s="81" t="s">
        <v>18</v>
      </c>
      <c r="B1998" s="81"/>
      <c r="C1998" s="16">
        <v>46248</v>
      </c>
      <c r="D1998">
        <v>83211.250000000175</v>
      </c>
    </row>
    <row r="1999" spans="1:4" x14ac:dyDescent="0.3">
      <c r="A1999" s="81" t="s">
        <v>19</v>
      </c>
      <c r="B1999" s="81"/>
      <c r="C1999" s="16">
        <v>46248</v>
      </c>
      <c r="D1999">
        <v>1669.89</v>
      </c>
    </row>
    <row r="2000" spans="1:4" x14ac:dyDescent="0.3">
      <c r="A2000" s="81" t="s">
        <v>20</v>
      </c>
      <c r="B2000" s="81"/>
      <c r="C2000" s="16">
        <v>46248</v>
      </c>
      <c r="D2000">
        <v>1289451.94</v>
      </c>
    </row>
    <row r="2001" spans="1:4" x14ac:dyDescent="0.3">
      <c r="A2001" s="81" t="s">
        <v>21</v>
      </c>
      <c r="B2001" s="81"/>
      <c r="C2001" s="16">
        <v>46248</v>
      </c>
      <c r="D2001">
        <v>1418917.5899999996</v>
      </c>
    </row>
    <row r="2002" spans="1:4" x14ac:dyDescent="0.3">
      <c r="A2002" s="81" t="s">
        <v>22</v>
      </c>
      <c r="B2002" s="81"/>
      <c r="C2002" s="16">
        <v>46248</v>
      </c>
      <c r="D2002">
        <v>221496.38</v>
      </c>
    </row>
    <row r="2003" spans="1:4" x14ac:dyDescent="0.3">
      <c r="A2003" s="81" t="s">
        <v>23</v>
      </c>
      <c r="B2003" s="81"/>
      <c r="C2003" s="16">
        <v>46248</v>
      </c>
      <c r="D2003">
        <v>158090.37</v>
      </c>
    </row>
    <row r="2004" spans="1:4" x14ac:dyDescent="0.3">
      <c r="A2004" s="81" t="s">
        <v>24</v>
      </c>
      <c r="B2004" s="81"/>
      <c r="C2004" s="16">
        <v>46248</v>
      </c>
      <c r="D2004">
        <v>14580.45</v>
      </c>
    </row>
    <row r="2005" spans="1:4" x14ac:dyDescent="0.3">
      <c r="A2005" s="81" t="s">
        <v>25</v>
      </c>
      <c r="B2005" s="81"/>
      <c r="C2005" s="16">
        <v>46248</v>
      </c>
      <c r="D2005">
        <v>24.450000000000003</v>
      </c>
    </row>
    <row r="2006" spans="1:4" x14ac:dyDescent="0.3">
      <c r="A2006" s="81" t="s">
        <v>26</v>
      </c>
      <c r="B2006" s="81"/>
      <c r="C2006" s="16">
        <v>46248</v>
      </c>
      <c r="D2006">
        <v>2177.87</v>
      </c>
    </row>
    <row r="2007" spans="1:4" x14ac:dyDescent="0.3">
      <c r="A2007" s="81" t="s">
        <v>27</v>
      </c>
      <c r="B2007" s="81"/>
      <c r="C2007" s="16">
        <v>46248</v>
      </c>
      <c r="D2007">
        <v>754589.72</v>
      </c>
    </row>
    <row r="2008" spans="1:4" x14ac:dyDescent="0.3">
      <c r="A2008" s="81" t="s">
        <v>28</v>
      </c>
      <c r="B2008" s="81"/>
      <c r="C2008" s="16">
        <v>46248</v>
      </c>
      <c r="D2008">
        <v>1968.99</v>
      </c>
    </row>
    <row r="2009" spans="1:4" x14ac:dyDescent="0.3">
      <c r="A2009" s="81" t="s">
        <v>29</v>
      </c>
      <c r="B2009" s="81"/>
      <c r="C2009" s="16">
        <v>46248</v>
      </c>
      <c r="D2009">
        <v>901.34</v>
      </c>
    </row>
    <row r="2010" spans="1:4" x14ac:dyDescent="0.3">
      <c r="A2010" s="81" t="s">
        <v>30</v>
      </c>
      <c r="B2010" s="81"/>
      <c r="C2010" s="16">
        <v>46248</v>
      </c>
      <c r="D2010">
        <v>1396.08</v>
      </c>
    </row>
    <row r="2011" spans="1:4" x14ac:dyDescent="0.3">
      <c r="A2011" s="81" t="s">
        <v>31</v>
      </c>
      <c r="B2011" s="81"/>
      <c r="C2011" s="16">
        <v>46248</v>
      </c>
      <c r="D2011">
        <v>13685.709999999959</v>
      </c>
    </row>
    <row r="2012" spans="1:4" x14ac:dyDescent="0.3">
      <c r="A2012" s="81" t="s">
        <v>32</v>
      </c>
      <c r="B2012" s="81"/>
      <c r="C2012" s="16">
        <v>46248</v>
      </c>
      <c r="D2012">
        <v>8724.1700000000037</v>
      </c>
    </row>
    <row r="2013" spans="1:4" x14ac:dyDescent="0.3">
      <c r="A2013" s="81" t="s">
        <v>33</v>
      </c>
      <c r="B2013" s="81"/>
      <c r="C2013" s="16">
        <v>46248</v>
      </c>
      <c r="D2013">
        <v>14936.039999999997</v>
      </c>
    </row>
    <row r="2014" spans="1:4" x14ac:dyDescent="0.3">
      <c r="A2014" s="81" t="s">
        <v>34</v>
      </c>
      <c r="B2014" s="81"/>
      <c r="C2014" s="16">
        <v>46248</v>
      </c>
      <c r="D2014">
        <v>345</v>
      </c>
    </row>
    <row r="2015" spans="1:4" x14ac:dyDescent="0.3">
      <c r="A2015" s="81" t="s">
        <v>35</v>
      </c>
      <c r="B2015" s="81"/>
      <c r="C2015" s="16">
        <v>46248</v>
      </c>
      <c r="D2015">
        <v>14740.900000000001</v>
      </c>
    </row>
    <row r="2016" spans="1:4" x14ac:dyDescent="0.3">
      <c r="A2016" s="81" t="s">
        <v>17</v>
      </c>
      <c r="B2016" s="81"/>
      <c r="C2016" s="16">
        <v>46249</v>
      </c>
      <c r="D2016">
        <v>941242.38000000047</v>
      </c>
    </row>
    <row r="2017" spans="1:4" x14ac:dyDescent="0.3">
      <c r="A2017" s="81" t="s">
        <v>18</v>
      </c>
      <c r="B2017" s="81"/>
      <c r="C2017" s="16">
        <v>46249</v>
      </c>
      <c r="D2017">
        <v>83211.250000000175</v>
      </c>
    </row>
    <row r="2018" spans="1:4" x14ac:dyDescent="0.3">
      <c r="A2018" s="81" t="s">
        <v>19</v>
      </c>
      <c r="B2018" s="81"/>
      <c r="C2018" s="16">
        <v>46249</v>
      </c>
      <c r="D2018">
        <v>1669.89</v>
      </c>
    </row>
    <row r="2019" spans="1:4" x14ac:dyDescent="0.3">
      <c r="A2019" s="81" t="s">
        <v>20</v>
      </c>
      <c r="B2019" s="81"/>
      <c r="C2019" s="16">
        <v>46249</v>
      </c>
      <c r="D2019">
        <v>1289451.94</v>
      </c>
    </row>
    <row r="2020" spans="1:4" x14ac:dyDescent="0.3">
      <c r="A2020" s="81" t="s">
        <v>21</v>
      </c>
      <c r="B2020" s="81"/>
      <c r="C2020" s="16">
        <v>46249</v>
      </c>
      <c r="D2020">
        <v>1418917.5899999996</v>
      </c>
    </row>
    <row r="2021" spans="1:4" x14ac:dyDescent="0.3">
      <c r="A2021" s="81" t="s">
        <v>22</v>
      </c>
      <c r="B2021" s="81"/>
      <c r="C2021" s="16">
        <v>46249</v>
      </c>
      <c r="D2021">
        <v>221496.38</v>
      </c>
    </row>
    <row r="2022" spans="1:4" x14ac:dyDescent="0.3">
      <c r="A2022" s="81" t="s">
        <v>23</v>
      </c>
      <c r="B2022" s="81"/>
      <c r="C2022" s="16">
        <v>46249</v>
      </c>
      <c r="D2022">
        <v>158090.37</v>
      </c>
    </row>
    <row r="2023" spans="1:4" x14ac:dyDescent="0.3">
      <c r="A2023" s="81" t="s">
        <v>24</v>
      </c>
      <c r="B2023" s="81"/>
      <c r="C2023" s="16">
        <v>46249</v>
      </c>
      <c r="D2023">
        <v>14580.45</v>
      </c>
    </row>
    <row r="2024" spans="1:4" x14ac:dyDescent="0.3">
      <c r="A2024" s="81" t="s">
        <v>25</v>
      </c>
      <c r="B2024" s="81"/>
      <c r="C2024" s="16">
        <v>46249</v>
      </c>
      <c r="D2024">
        <v>24.450000000000003</v>
      </c>
    </row>
    <row r="2025" spans="1:4" x14ac:dyDescent="0.3">
      <c r="A2025" s="81" t="s">
        <v>26</v>
      </c>
      <c r="B2025" s="81"/>
      <c r="C2025" s="16">
        <v>46249</v>
      </c>
      <c r="D2025">
        <v>2177.87</v>
      </c>
    </row>
    <row r="2026" spans="1:4" x14ac:dyDescent="0.3">
      <c r="A2026" s="81" t="s">
        <v>27</v>
      </c>
      <c r="B2026" s="81"/>
      <c r="C2026" s="16">
        <v>46249</v>
      </c>
      <c r="D2026">
        <v>754589.72</v>
      </c>
    </row>
    <row r="2027" spans="1:4" x14ac:dyDescent="0.3">
      <c r="A2027" s="81" t="s">
        <v>28</v>
      </c>
      <c r="B2027" s="81"/>
      <c r="C2027" s="16">
        <v>46249</v>
      </c>
      <c r="D2027">
        <v>1968.99</v>
      </c>
    </row>
    <row r="2028" spans="1:4" x14ac:dyDescent="0.3">
      <c r="A2028" s="81" t="s">
        <v>29</v>
      </c>
      <c r="B2028" s="81"/>
      <c r="C2028" s="16">
        <v>46249</v>
      </c>
      <c r="D2028">
        <v>901.34</v>
      </c>
    </row>
    <row r="2029" spans="1:4" x14ac:dyDescent="0.3">
      <c r="A2029" s="81" t="s">
        <v>30</v>
      </c>
      <c r="B2029" s="81"/>
      <c r="C2029" s="16">
        <v>46249</v>
      </c>
      <c r="D2029">
        <v>1396.08</v>
      </c>
    </row>
    <row r="2030" spans="1:4" x14ac:dyDescent="0.3">
      <c r="A2030" s="81" t="s">
        <v>31</v>
      </c>
      <c r="B2030" s="81"/>
      <c r="C2030" s="16">
        <v>46249</v>
      </c>
      <c r="D2030">
        <v>13685.709999999959</v>
      </c>
    </row>
    <row r="2031" spans="1:4" x14ac:dyDescent="0.3">
      <c r="A2031" s="81" t="s">
        <v>32</v>
      </c>
      <c r="B2031" s="81"/>
      <c r="C2031" s="16">
        <v>46249</v>
      </c>
      <c r="D2031">
        <v>8724.1700000000037</v>
      </c>
    </row>
    <row r="2032" spans="1:4" x14ac:dyDescent="0.3">
      <c r="A2032" s="81" t="s">
        <v>33</v>
      </c>
      <c r="B2032" s="81"/>
      <c r="C2032" s="16">
        <v>46249</v>
      </c>
      <c r="D2032">
        <v>14936.039999999997</v>
      </c>
    </row>
    <row r="2033" spans="1:4" x14ac:dyDescent="0.3">
      <c r="A2033" s="81" t="s">
        <v>34</v>
      </c>
      <c r="B2033" s="81"/>
      <c r="C2033" s="16">
        <v>46249</v>
      </c>
      <c r="D2033">
        <v>345</v>
      </c>
    </row>
    <row r="2034" spans="1:4" x14ac:dyDescent="0.3">
      <c r="A2034" s="81" t="s">
        <v>35</v>
      </c>
      <c r="B2034" s="81"/>
      <c r="C2034" s="16">
        <v>46249</v>
      </c>
      <c r="D2034">
        <v>14740.900000000001</v>
      </c>
    </row>
    <row r="2035" spans="1:4" x14ac:dyDescent="0.3">
      <c r="A2035" s="81" t="s">
        <v>17</v>
      </c>
      <c r="B2035" s="81"/>
      <c r="C2035" s="16">
        <v>46250</v>
      </c>
      <c r="D2035">
        <v>941242.38000000047</v>
      </c>
    </row>
    <row r="2036" spans="1:4" x14ac:dyDescent="0.3">
      <c r="A2036" s="81" t="s">
        <v>18</v>
      </c>
      <c r="B2036" s="81"/>
      <c r="C2036" s="16">
        <v>46250</v>
      </c>
      <c r="D2036">
        <v>83211.250000000175</v>
      </c>
    </row>
    <row r="2037" spans="1:4" x14ac:dyDescent="0.3">
      <c r="A2037" s="81" t="s">
        <v>19</v>
      </c>
      <c r="B2037" s="81"/>
      <c r="C2037" s="16">
        <v>46250</v>
      </c>
      <c r="D2037">
        <v>1669.89</v>
      </c>
    </row>
    <row r="2038" spans="1:4" x14ac:dyDescent="0.3">
      <c r="A2038" s="81" t="s">
        <v>20</v>
      </c>
      <c r="B2038" s="81"/>
      <c r="C2038" s="16">
        <v>46250</v>
      </c>
      <c r="D2038">
        <v>1289451.94</v>
      </c>
    </row>
    <row r="2039" spans="1:4" x14ac:dyDescent="0.3">
      <c r="A2039" s="81" t="s">
        <v>21</v>
      </c>
      <c r="B2039" s="81"/>
      <c r="C2039" s="16">
        <v>46250</v>
      </c>
      <c r="D2039">
        <v>1418917.5899999996</v>
      </c>
    </row>
    <row r="2040" spans="1:4" x14ac:dyDescent="0.3">
      <c r="A2040" s="81" t="s">
        <v>22</v>
      </c>
      <c r="B2040" s="81"/>
      <c r="C2040" s="16">
        <v>46250</v>
      </c>
      <c r="D2040">
        <v>221496.38</v>
      </c>
    </row>
    <row r="2041" spans="1:4" x14ac:dyDescent="0.3">
      <c r="A2041" s="81" t="s">
        <v>23</v>
      </c>
      <c r="B2041" s="81"/>
      <c r="C2041" s="16">
        <v>46250</v>
      </c>
      <c r="D2041">
        <v>158090.37</v>
      </c>
    </row>
    <row r="2042" spans="1:4" x14ac:dyDescent="0.3">
      <c r="A2042" s="81" t="s">
        <v>24</v>
      </c>
      <c r="B2042" s="81"/>
      <c r="C2042" s="16">
        <v>46250</v>
      </c>
      <c r="D2042">
        <v>14580.45</v>
      </c>
    </row>
    <row r="2043" spans="1:4" x14ac:dyDescent="0.3">
      <c r="A2043" s="81" t="s">
        <v>25</v>
      </c>
      <c r="B2043" s="81"/>
      <c r="C2043" s="16">
        <v>46250</v>
      </c>
      <c r="D2043">
        <v>24.450000000000003</v>
      </c>
    </row>
    <row r="2044" spans="1:4" x14ac:dyDescent="0.3">
      <c r="A2044" s="81" t="s">
        <v>26</v>
      </c>
      <c r="B2044" s="81"/>
      <c r="C2044" s="16">
        <v>46250</v>
      </c>
      <c r="D2044">
        <v>2177.87</v>
      </c>
    </row>
    <row r="2045" spans="1:4" x14ac:dyDescent="0.3">
      <c r="A2045" s="81" t="s">
        <v>27</v>
      </c>
      <c r="B2045" s="81"/>
      <c r="C2045" s="16">
        <v>46250</v>
      </c>
      <c r="D2045">
        <v>754589.72</v>
      </c>
    </row>
    <row r="2046" spans="1:4" x14ac:dyDescent="0.3">
      <c r="A2046" s="81" t="s">
        <v>28</v>
      </c>
      <c r="B2046" s="81"/>
      <c r="C2046" s="16">
        <v>46250</v>
      </c>
      <c r="D2046">
        <v>1968.99</v>
      </c>
    </row>
    <row r="2047" spans="1:4" x14ac:dyDescent="0.3">
      <c r="A2047" s="81" t="s">
        <v>29</v>
      </c>
      <c r="B2047" s="81"/>
      <c r="C2047" s="16">
        <v>46250</v>
      </c>
      <c r="D2047">
        <v>901.34</v>
      </c>
    </row>
    <row r="2048" spans="1:4" x14ac:dyDescent="0.3">
      <c r="A2048" s="81" t="s">
        <v>30</v>
      </c>
      <c r="B2048" s="81"/>
      <c r="C2048" s="16">
        <v>46250</v>
      </c>
      <c r="D2048">
        <v>1396.08</v>
      </c>
    </row>
    <row r="2049" spans="1:4" x14ac:dyDescent="0.3">
      <c r="A2049" s="81" t="s">
        <v>31</v>
      </c>
      <c r="B2049" s="81"/>
      <c r="C2049" s="16">
        <v>46250</v>
      </c>
      <c r="D2049">
        <v>13685.709999999959</v>
      </c>
    </row>
    <row r="2050" spans="1:4" x14ac:dyDescent="0.3">
      <c r="A2050" s="81" t="s">
        <v>32</v>
      </c>
      <c r="B2050" s="81"/>
      <c r="C2050" s="16">
        <v>46250</v>
      </c>
      <c r="D2050">
        <v>8724.1700000000037</v>
      </c>
    </row>
    <row r="2051" spans="1:4" x14ac:dyDescent="0.3">
      <c r="A2051" s="81" t="s">
        <v>33</v>
      </c>
      <c r="B2051" s="81"/>
      <c r="C2051" s="16">
        <v>46250</v>
      </c>
      <c r="D2051">
        <v>14936.039999999997</v>
      </c>
    </row>
    <row r="2052" spans="1:4" x14ac:dyDescent="0.3">
      <c r="A2052" s="81" t="s">
        <v>34</v>
      </c>
      <c r="B2052" s="81"/>
      <c r="C2052" s="16">
        <v>46250</v>
      </c>
      <c r="D2052">
        <v>345</v>
      </c>
    </row>
    <row r="2053" spans="1:4" x14ac:dyDescent="0.3">
      <c r="A2053" s="81" t="s">
        <v>35</v>
      </c>
      <c r="B2053" s="81"/>
      <c r="C2053" s="16">
        <v>46250</v>
      </c>
      <c r="D2053">
        <v>14740.900000000001</v>
      </c>
    </row>
    <row r="2054" spans="1:4" x14ac:dyDescent="0.3">
      <c r="A2054" s="81" t="s">
        <v>17</v>
      </c>
      <c r="B2054" s="81"/>
      <c r="C2054" s="16">
        <v>46251</v>
      </c>
      <c r="D2054">
        <v>941242.38000000047</v>
      </c>
    </row>
    <row r="2055" spans="1:4" x14ac:dyDescent="0.3">
      <c r="A2055" s="81" t="s">
        <v>18</v>
      </c>
      <c r="B2055" s="81"/>
      <c r="C2055" s="16">
        <v>46251</v>
      </c>
      <c r="D2055">
        <v>83211.250000000175</v>
      </c>
    </row>
    <row r="2056" spans="1:4" x14ac:dyDescent="0.3">
      <c r="A2056" s="81" t="s">
        <v>19</v>
      </c>
      <c r="B2056" s="81"/>
      <c r="C2056" s="16">
        <v>46251</v>
      </c>
      <c r="D2056">
        <v>1669.89</v>
      </c>
    </row>
    <row r="2057" spans="1:4" x14ac:dyDescent="0.3">
      <c r="A2057" s="81" t="s">
        <v>20</v>
      </c>
      <c r="B2057" s="81"/>
      <c r="C2057" s="16">
        <v>46251</v>
      </c>
      <c r="D2057">
        <v>1289031.3399999999</v>
      </c>
    </row>
    <row r="2058" spans="1:4" x14ac:dyDescent="0.3">
      <c r="A2058" s="81" t="s">
        <v>21</v>
      </c>
      <c r="B2058" s="81"/>
      <c r="C2058" s="16">
        <v>46251</v>
      </c>
      <c r="D2058">
        <v>1384086.4999999995</v>
      </c>
    </row>
    <row r="2059" spans="1:4" x14ac:dyDescent="0.3">
      <c r="A2059" s="81" t="s">
        <v>22</v>
      </c>
      <c r="B2059" s="81"/>
      <c r="C2059" s="16">
        <v>46251</v>
      </c>
      <c r="D2059">
        <v>221496.38</v>
      </c>
    </row>
    <row r="2060" spans="1:4" x14ac:dyDescent="0.3">
      <c r="A2060" s="81" t="s">
        <v>23</v>
      </c>
      <c r="B2060" s="81"/>
      <c r="C2060" s="16">
        <v>46251</v>
      </c>
      <c r="D2060">
        <v>158090.37</v>
      </c>
    </row>
    <row r="2061" spans="1:4" x14ac:dyDescent="0.3">
      <c r="A2061" s="81" t="s">
        <v>24</v>
      </c>
      <c r="B2061" s="81"/>
      <c r="C2061" s="16">
        <v>46251</v>
      </c>
      <c r="D2061">
        <v>14580.45</v>
      </c>
    </row>
    <row r="2062" spans="1:4" x14ac:dyDescent="0.3">
      <c r="A2062" s="81" t="s">
        <v>25</v>
      </c>
      <c r="B2062" s="81"/>
      <c r="C2062" s="16">
        <v>46251</v>
      </c>
      <c r="D2062">
        <v>24.450000000000003</v>
      </c>
    </row>
    <row r="2063" spans="1:4" x14ac:dyDescent="0.3">
      <c r="A2063" s="81" t="s">
        <v>26</v>
      </c>
      <c r="B2063" s="81"/>
      <c r="C2063" s="16">
        <v>46251</v>
      </c>
      <c r="D2063">
        <v>2177.87</v>
      </c>
    </row>
    <row r="2064" spans="1:4" x14ac:dyDescent="0.3">
      <c r="A2064" s="81" t="s">
        <v>27</v>
      </c>
      <c r="B2064" s="81"/>
      <c r="C2064" s="16">
        <v>46251</v>
      </c>
      <c r="D2064">
        <v>754589.72</v>
      </c>
    </row>
    <row r="2065" spans="1:4" x14ac:dyDescent="0.3">
      <c r="A2065" s="81" t="s">
        <v>28</v>
      </c>
      <c r="B2065" s="81"/>
      <c r="C2065" s="16">
        <v>46251</v>
      </c>
      <c r="D2065">
        <v>1968.99</v>
      </c>
    </row>
    <row r="2066" spans="1:4" x14ac:dyDescent="0.3">
      <c r="A2066" s="81" t="s">
        <v>29</v>
      </c>
      <c r="B2066" s="81"/>
      <c r="C2066" s="16">
        <v>46251</v>
      </c>
      <c r="D2066">
        <v>901.34</v>
      </c>
    </row>
    <row r="2067" spans="1:4" x14ac:dyDescent="0.3">
      <c r="A2067" s="81" t="s">
        <v>30</v>
      </c>
      <c r="B2067" s="81"/>
      <c r="C2067" s="16">
        <v>46251</v>
      </c>
      <c r="D2067">
        <v>1396.08</v>
      </c>
    </row>
    <row r="2068" spans="1:4" x14ac:dyDescent="0.3">
      <c r="A2068" s="81" t="s">
        <v>31</v>
      </c>
      <c r="B2068" s="81"/>
      <c r="C2068" s="16">
        <v>46251</v>
      </c>
      <c r="D2068">
        <v>13685.709999999959</v>
      </c>
    </row>
    <row r="2069" spans="1:4" x14ac:dyDescent="0.3">
      <c r="A2069" s="81" t="s">
        <v>32</v>
      </c>
      <c r="B2069" s="81"/>
      <c r="C2069" s="16">
        <v>46251</v>
      </c>
      <c r="D2069">
        <v>8724.1700000000037</v>
      </c>
    </row>
    <row r="2070" spans="1:4" x14ac:dyDescent="0.3">
      <c r="A2070" s="81" t="s">
        <v>33</v>
      </c>
      <c r="B2070" s="81"/>
      <c r="C2070" s="16">
        <v>46251</v>
      </c>
      <c r="D2070">
        <v>14936.039999999997</v>
      </c>
    </row>
    <row r="2071" spans="1:4" x14ac:dyDescent="0.3">
      <c r="A2071" s="81" t="s">
        <v>34</v>
      </c>
      <c r="B2071" s="81"/>
      <c r="C2071" s="16">
        <v>46251</v>
      </c>
      <c r="D2071">
        <v>345</v>
      </c>
    </row>
    <row r="2072" spans="1:4" x14ac:dyDescent="0.3">
      <c r="A2072" s="81" t="s">
        <v>35</v>
      </c>
      <c r="B2072" s="81"/>
      <c r="C2072" s="16">
        <v>46251</v>
      </c>
      <c r="D2072">
        <v>14565.900000000001</v>
      </c>
    </row>
    <row r="2073" spans="1:4" x14ac:dyDescent="0.3">
      <c r="A2073" s="81" t="s">
        <v>17</v>
      </c>
      <c r="B2073" s="81"/>
      <c r="C2073" s="16">
        <v>46252</v>
      </c>
      <c r="D2073">
        <v>1047104.1600000005</v>
      </c>
    </row>
    <row r="2074" spans="1:4" x14ac:dyDescent="0.3">
      <c r="A2074" s="81" t="s">
        <v>18</v>
      </c>
      <c r="B2074" s="81"/>
      <c r="C2074" s="16">
        <v>46252</v>
      </c>
      <c r="D2074">
        <v>83211.250000000175</v>
      </c>
    </row>
    <row r="2075" spans="1:4" x14ac:dyDescent="0.3">
      <c r="A2075" s="81" t="s">
        <v>19</v>
      </c>
      <c r="B2075" s="81"/>
      <c r="C2075" s="16">
        <v>46252</v>
      </c>
      <c r="D2075">
        <v>1669.89</v>
      </c>
    </row>
    <row r="2076" spans="1:4" x14ac:dyDescent="0.3">
      <c r="A2076" s="81" t="s">
        <v>20</v>
      </c>
      <c r="B2076" s="81"/>
      <c r="C2076" s="16">
        <v>46252</v>
      </c>
      <c r="D2076">
        <v>1289031.3399999999</v>
      </c>
    </row>
    <row r="2077" spans="1:4" x14ac:dyDescent="0.3">
      <c r="A2077" s="81" t="s">
        <v>21</v>
      </c>
      <c r="B2077" s="81"/>
      <c r="C2077" s="16">
        <v>46252</v>
      </c>
      <c r="D2077">
        <v>1381596.1399999997</v>
      </c>
    </row>
    <row r="2078" spans="1:4" x14ac:dyDescent="0.3">
      <c r="A2078" s="81" t="s">
        <v>22</v>
      </c>
      <c r="B2078" s="81"/>
      <c r="C2078" s="16">
        <v>46252</v>
      </c>
      <c r="D2078">
        <v>221496.38</v>
      </c>
    </row>
    <row r="2079" spans="1:4" x14ac:dyDescent="0.3">
      <c r="A2079" s="81" t="s">
        <v>23</v>
      </c>
      <c r="B2079" s="81"/>
      <c r="C2079" s="16">
        <v>46252</v>
      </c>
      <c r="D2079">
        <v>158090.37</v>
      </c>
    </row>
    <row r="2080" spans="1:4" x14ac:dyDescent="0.3">
      <c r="A2080" s="81" t="s">
        <v>24</v>
      </c>
      <c r="B2080" s="81"/>
      <c r="C2080" s="16">
        <v>46252</v>
      </c>
      <c r="D2080">
        <v>14580.45</v>
      </c>
    </row>
    <row r="2081" spans="1:4" x14ac:dyDescent="0.3">
      <c r="A2081" s="81" t="s">
        <v>25</v>
      </c>
      <c r="B2081" s="81"/>
      <c r="C2081" s="16">
        <v>46252</v>
      </c>
      <c r="D2081">
        <v>24.450000000000003</v>
      </c>
    </row>
    <row r="2082" spans="1:4" x14ac:dyDescent="0.3">
      <c r="A2082" s="81" t="s">
        <v>26</v>
      </c>
      <c r="B2082" s="81"/>
      <c r="C2082" s="16">
        <v>46252</v>
      </c>
      <c r="D2082">
        <v>2177.87</v>
      </c>
    </row>
    <row r="2083" spans="1:4" x14ac:dyDescent="0.3">
      <c r="A2083" s="81" t="s">
        <v>27</v>
      </c>
      <c r="B2083" s="81"/>
      <c r="C2083" s="16">
        <v>46252</v>
      </c>
      <c r="D2083">
        <v>754589.72</v>
      </c>
    </row>
    <row r="2084" spans="1:4" x14ac:dyDescent="0.3">
      <c r="A2084" s="81" t="s">
        <v>28</v>
      </c>
      <c r="B2084" s="81"/>
      <c r="C2084" s="16">
        <v>46252</v>
      </c>
      <c r="D2084">
        <v>1968.99</v>
      </c>
    </row>
    <row r="2085" spans="1:4" x14ac:dyDescent="0.3">
      <c r="A2085" s="81" t="s">
        <v>29</v>
      </c>
      <c r="B2085" s="81"/>
      <c r="C2085" s="16">
        <v>46252</v>
      </c>
      <c r="D2085">
        <v>901.34</v>
      </c>
    </row>
    <row r="2086" spans="1:4" x14ac:dyDescent="0.3">
      <c r="A2086" s="81" t="s">
        <v>30</v>
      </c>
      <c r="B2086" s="81"/>
      <c r="C2086" s="16">
        <v>46252</v>
      </c>
      <c r="D2086">
        <v>1396.08</v>
      </c>
    </row>
    <row r="2087" spans="1:4" x14ac:dyDescent="0.3">
      <c r="A2087" s="81" t="s">
        <v>31</v>
      </c>
      <c r="B2087" s="81"/>
      <c r="C2087" s="16">
        <v>46252</v>
      </c>
      <c r="D2087">
        <v>13685.709999999959</v>
      </c>
    </row>
    <row r="2088" spans="1:4" x14ac:dyDescent="0.3">
      <c r="A2088" s="81" t="s">
        <v>32</v>
      </c>
      <c r="B2088" s="81"/>
      <c r="C2088" s="16">
        <v>46252</v>
      </c>
      <c r="D2088">
        <v>8724.1700000000037</v>
      </c>
    </row>
    <row r="2089" spans="1:4" x14ac:dyDescent="0.3">
      <c r="A2089" s="81" t="s">
        <v>33</v>
      </c>
      <c r="B2089" s="81"/>
      <c r="C2089" s="16">
        <v>46252</v>
      </c>
      <c r="D2089">
        <v>14936.039999999997</v>
      </c>
    </row>
    <row r="2090" spans="1:4" x14ac:dyDescent="0.3">
      <c r="A2090" s="81" t="s">
        <v>34</v>
      </c>
      <c r="B2090" s="81"/>
      <c r="C2090" s="16">
        <v>46252</v>
      </c>
      <c r="D2090">
        <v>345</v>
      </c>
    </row>
    <row r="2091" spans="1:4" x14ac:dyDescent="0.3">
      <c r="A2091" s="81" t="s">
        <v>35</v>
      </c>
      <c r="B2091" s="81"/>
      <c r="C2091" s="16">
        <v>46252</v>
      </c>
      <c r="D2091">
        <v>14565.900000000001</v>
      </c>
    </row>
    <row r="2092" spans="1:4" x14ac:dyDescent="0.3">
      <c r="A2092" s="81" t="s">
        <v>17</v>
      </c>
      <c r="B2092" s="81"/>
      <c r="C2092" s="16">
        <v>46253</v>
      </c>
      <c r="D2092">
        <v>1047104.1600000005</v>
      </c>
    </row>
    <row r="2093" spans="1:4" x14ac:dyDescent="0.3">
      <c r="A2093" s="81" t="s">
        <v>18</v>
      </c>
      <c r="B2093" s="81"/>
      <c r="C2093" s="16">
        <v>46253</v>
      </c>
      <c r="D2093">
        <v>83211.250000000175</v>
      </c>
    </row>
    <row r="2094" spans="1:4" x14ac:dyDescent="0.3">
      <c r="A2094" s="81" t="s">
        <v>19</v>
      </c>
      <c r="B2094" s="81"/>
      <c r="C2094" s="16">
        <v>46253</v>
      </c>
      <c r="D2094">
        <v>1669.89</v>
      </c>
    </row>
    <row r="2095" spans="1:4" x14ac:dyDescent="0.3">
      <c r="A2095" s="81" t="s">
        <v>20</v>
      </c>
      <c r="B2095" s="81"/>
      <c r="C2095" s="16">
        <v>46253</v>
      </c>
      <c r="D2095">
        <v>1289031.3399999999</v>
      </c>
    </row>
    <row r="2096" spans="1:4" x14ac:dyDescent="0.3">
      <c r="A2096" s="81" t="s">
        <v>21</v>
      </c>
      <c r="B2096" s="81"/>
      <c r="C2096" s="16">
        <v>46253</v>
      </c>
      <c r="D2096">
        <v>1880692.4399999997</v>
      </c>
    </row>
    <row r="2097" spans="1:4" x14ac:dyDescent="0.3">
      <c r="A2097" s="81" t="s">
        <v>22</v>
      </c>
      <c r="B2097" s="81"/>
      <c r="C2097" s="16">
        <v>46253</v>
      </c>
      <c r="D2097">
        <v>221496.38</v>
      </c>
    </row>
    <row r="2098" spans="1:4" x14ac:dyDescent="0.3">
      <c r="A2098" s="81" t="s">
        <v>23</v>
      </c>
      <c r="B2098" s="81"/>
      <c r="C2098" s="16">
        <v>46253</v>
      </c>
      <c r="D2098">
        <v>158090.37</v>
      </c>
    </row>
    <row r="2099" spans="1:4" x14ac:dyDescent="0.3">
      <c r="A2099" s="81" t="s">
        <v>24</v>
      </c>
      <c r="B2099" s="81"/>
      <c r="C2099" s="16">
        <v>46253</v>
      </c>
      <c r="D2099">
        <v>14580.45</v>
      </c>
    </row>
    <row r="2100" spans="1:4" x14ac:dyDescent="0.3">
      <c r="A2100" s="81" t="s">
        <v>25</v>
      </c>
      <c r="B2100" s="81"/>
      <c r="C2100" s="16">
        <v>46253</v>
      </c>
      <c r="D2100">
        <v>24.450000000000003</v>
      </c>
    </row>
    <row r="2101" spans="1:4" x14ac:dyDescent="0.3">
      <c r="A2101" s="81" t="s">
        <v>26</v>
      </c>
      <c r="B2101" s="81"/>
      <c r="C2101" s="16">
        <v>46253</v>
      </c>
      <c r="D2101">
        <v>2177.87</v>
      </c>
    </row>
    <row r="2102" spans="1:4" x14ac:dyDescent="0.3">
      <c r="A2102" s="81" t="s">
        <v>27</v>
      </c>
      <c r="B2102" s="81"/>
      <c r="C2102" s="16">
        <v>46253</v>
      </c>
      <c r="D2102">
        <v>754589.72</v>
      </c>
    </row>
    <row r="2103" spans="1:4" x14ac:dyDescent="0.3">
      <c r="A2103" s="81" t="s">
        <v>28</v>
      </c>
      <c r="B2103" s="81"/>
      <c r="C2103" s="16">
        <v>46253</v>
      </c>
      <c r="D2103">
        <v>1968.99</v>
      </c>
    </row>
    <row r="2104" spans="1:4" x14ac:dyDescent="0.3">
      <c r="A2104" s="81" t="s">
        <v>29</v>
      </c>
      <c r="B2104" s="81"/>
      <c r="C2104" s="16">
        <v>46253</v>
      </c>
      <c r="D2104">
        <v>901.34</v>
      </c>
    </row>
    <row r="2105" spans="1:4" x14ac:dyDescent="0.3">
      <c r="A2105" s="81" t="s">
        <v>30</v>
      </c>
      <c r="B2105" s="81"/>
      <c r="C2105" s="16">
        <v>46253</v>
      </c>
      <c r="D2105">
        <v>1396.08</v>
      </c>
    </row>
    <row r="2106" spans="1:4" x14ac:dyDescent="0.3">
      <c r="A2106" s="81" t="s">
        <v>31</v>
      </c>
      <c r="B2106" s="81"/>
      <c r="C2106" s="16">
        <v>46253</v>
      </c>
      <c r="D2106">
        <v>13685.709999999959</v>
      </c>
    </row>
    <row r="2107" spans="1:4" x14ac:dyDescent="0.3">
      <c r="A2107" s="81" t="s">
        <v>32</v>
      </c>
      <c r="B2107" s="81"/>
      <c r="C2107" s="16">
        <v>46253</v>
      </c>
      <c r="D2107">
        <v>8724.1700000000037</v>
      </c>
    </row>
    <row r="2108" spans="1:4" x14ac:dyDescent="0.3">
      <c r="A2108" s="81" t="s">
        <v>33</v>
      </c>
      <c r="B2108" s="81"/>
      <c r="C2108" s="16">
        <v>46253</v>
      </c>
      <c r="D2108">
        <v>14936.039999999997</v>
      </c>
    </row>
    <row r="2109" spans="1:4" x14ac:dyDescent="0.3">
      <c r="A2109" s="81" t="s">
        <v>34</v>
      </c>
      <c r="B2109" s="81"/>
      <c r="C2109" s="16">
        <v>46253</v>
      </c>
      <c r="D2109">
        <v>345</v>
      </c>
    </row>
    <row r="2110" spans="1:4" x14ac:dyDescent="0.3">
      <c r="A2110" s="81" t="s">
        <v>35</v>
      </c>
      <c r="B2110" s="81"/>
      <c r="C2110" s="16">
        <v>46253</v>
      </c>
      <c r="D2110">
        <v>14565.900000000001</v>
      </c>
    </row>
    <row r="2111" spans="1:4" x14ac:dyDescent="0.3">
      <c r="A2111" s="81" t="s">
        <v>17</v>
      </c>
      <c r="B2111" s="81"/>
      <c r="C2111" s="16">
        <v>46254</v>
      </c>
      <c r="D2111">
        <v>702229.1600000005</v>
      </c>
    </row>
    <row r="2112" spans="1:4" x14ac:dyDescent="0.3">
      <c r="A2112" s="81" t="s">
        <v>18</v>
      </c>
      <c r="B2112" s="81"/>
      <c r="C2112" s="16">
        <v>46254</v>
      </c>
      <c r="D2112">
        <v>83211.250000000175</v>
      </c>
    </row>
    <row r="2113" spans="1:4" x14ac:dyDescent="0.3">
      <c r="A2113" s="81" t="s">
        <v>19</v>
      </c>
      <c r="B2113" s="81"/>
      <c r="C2113" s="16">
        <v>46254</v>
      </c>
      <c r="D2113">
        <v>1669.89</v>
      </c>
    </row>
    <row r="2114" spans="1:4" x14ac:dyDescent="0.3">
      <c r="A2114" s="81" t="s">
        <v>20</v>
      </c>
      <c r="B2114" s="81"/>
      <c r="C2114" s="16">
        <v>46254</v>
      </c>
      <c r="D2114">
        <v>1229031.3399999999</v>
      </c>
    </row>
    <row r="2115" spans="1:4" x14ac:dyDescent="0.3">
      <c r="A2115" s="81" t="s">
        <v>21</v>
      </c>
      <c r="B2115" s="81"/>
      <c r="C2115" s="16">
        <v>46254</v>
      </c>
      <c r="D2115">
        <v>1744161.5299999998</v>
      </c>
    </row>
    <row r="2116" spans="1:4" x14ac:dyDescent="0.3">
      <c r="A2116" s="81" t="s">
        <v>22</v>
      </c>
      <c r="B2116" s="81"/>
      <c r="C2116" s="16">
        <v>46254</v>
      </c>
      <c r="D2116">
        <v>221496.38</v>
      </c>
    </row>
    <row r="2117" spans="1:4" x14ac:dyDescent="0.3">
      <c r="A2117" s="81" t="s">
        <v>23</v>
      </c>
      <c r="B2117" s="81"/>
      <c r="C2117" s="16">
        <v>46254</v>
      </c>
      <c r="D2117">
        <v>158090.37</v>
      </c>
    </row>
    <row r="2118" spans="1:4" x14ac:dyDescent="0.3">
      <c r="A2118" s="81" t="s">
        <v>24</v>
      </c>
      <c r="B2118" s="81"/>
      <c r="C2118" s="16">
        <v>46254</v>
      </c>
      <c r="D2118">
        <v>14580.45</v>
      </c>
    </row>
    <row r="2119" spans="1:4" x14ac:dyDescent="0.3">
      <c r="A2119" s="81" t="s">
        <v>25</v>
      </c>
      <c r="B2119" s="81"/>
      <c r="C2119" s="16">
        <v>46254</v>
      </c>
      <c r="D2119">
        <v>24.450000000000003</v>
      </c>
    </row>
    <row r="2120" spans="1:4" x14ac:dyDescent="0.3">
      <c r="A2120" s="81" t="s">
        <v>26</v>
      </c>
      <c r="B2120" s="81"/>
      <c r="C2120" s="16">
        <v>46254</v>
      </c>
      <c r="D2120">
        <v>2177.87</v>
      </c>
    </row>
    <row r="2121" spans="1:4" x14ac:dyDescent="0.3">
      <c r="A2121" s="81" t="s">
        <v>27</v>
      </c>
      <c r="B2121" s="81"/>
      <c r="C2121" s="16">
        <v>46254</v>
      </c>
      <c r="D2121">
        <v>754589.72</v>
      </c>
    </row>
    <row r="2122" spans="1:4" x14ac:dyDescent="0.3">
      <c r="A2122" s="81" t="s">
        <v>28</v>
      </c>
      <c r="B2122" s="81"/>
      <c r="C2122" s="16">
        <v>46254</v>
      </c>
      <c r="D2122">
        <v>1968.99</v>
      </c>
    </row>
    <row r="2123" spans="1:4" x14ac:dyDescent="0.3">
      <c r="A2123" s="81" t="s">
        <v>29</v>
      </c>
      <c r="B2123" s="81"/>
      <c r="C2123" s="16">
        <v>46254</v>
      </c>
      <c r="D2123">
        <v>901.34</v>
      </c>
    </row>
    <row r="2124" spans="1:4" x14ac:dyDescent="0.3">
      <c r="A2124" s="81" t="s">
        <v>30</v>
      </c>
      <c r="B2124" s="81"/>
      <c r="C2124" s="16">
        <v>46254</v>
      </c>
      <c r="D2124">
        <v>1396.08</v>
      </c>
    </row>
    <row r="2125" spans="1:4" x14ac:dyDescent="0.3">
      <c r="A2125" s="81" t="s">
        <v>31</v>
      </c>
      <c r="B2125" s="81"/>
      <c r="C2125" s="16">
        <v>46254</v>
      </c>
      <c r="D2125">
        <v>13685.709999999959</v>
      </c>
    </row>
    <row r="2126" spans="1:4" x14ac:dyDescent="0.3">
      <c r="A2126" s="81" t="s">
        <v>32</v>
      </c>
      <c r="B2126" s="81"/>
      <c r="C2126" s="16">
        <v>46254</v>
      </c>
      <c r="D2126">
        <v>8724.1700000000037</v>
      </c>
    </row>
    <row r="2127" spans="1:4" x14ac:dyDescent="0.3">
      <c r="A2127" s="81" t="s">
        <v>33</v>
      </c>
      <c r="B2127" s="81"/>
      <c r="C2127" s="16">
        <v>46254</v>
      </c>
      <c r="D2127">
        <v>14936.039999999997</v>
      </c>
    </row>
    <row r="2128" spans="1:4" x14ac:dyDescent="0.3">
      <c r="A2128" s="81" t="s">
        <v>34</v>
      </c>
      <c r="B2128" s="81"/>
      <c r="C2128" s="16">
        <v>46254</v>
      </c>
      <c r="D2128">
        <v>345</v>
      </c>
    </row>
    <row r="2129" spans="1:4" x14ac:dyDescent="0.3">
      <c r="A2129" s="81" t="s">
        <v>35</v>
      </c>
      <c r="B2129" s="81"/>
      <c r="C2129" s="16">
        <v>46254</v>
      </c>
      <c r="D2129">
        <v>12741.780000000002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2026-08-21T14:50:56Z</dcterms:modified>
  <dc:language>en-US</dc:language>
</cp:coreProperties>
</file>