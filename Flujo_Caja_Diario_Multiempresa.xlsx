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sspcapital-my.sharepoint.com/personal/pramirez_sspcap_com/Documents/Z_PARA COMPARTIR/Z_TESORERIA CORP/2. FLUJOS DIARIOS/2026/Reporteria Bi/"/>
    </mc:Choice>
  </mc:AlternateContent>
  <xr:revisionPtr revIDLastSave="6768" documentId="8_{BBC9EA4E-7F3B-475F-B61B-890F681C3A1C}" xr6:coauthVersionLast="47" xr6:coauthVersionMax="47" xr10:uidLastSave="{9E6E964F-124D-47BD-8B86-FC98DD688BC5}"/>
  <bookViews>
    <workbookView xWindow="-108" yWindow="-108" windowWidth="23256" windowHeight="12576" tabRatio="597" firstSheet="2" activeTab="2" xr2:uid="{00000000-000D-0000-FFFF-FFFF00000000}"/>
  </bookViews>
  <sheets>
    <sheet name="Saldos Iniciales" sheetId="2" r:id="rId1"/>
    <sheet name="Listas" sheetId="4" r:id="rId2"/>
    <sheet name="Movimientos" sheetId="1" r:id="rId3"/>
    <sheet name="SaldoBanco" sheetId="7" r:id="rId4"/>
    <sheet name="Control de Saldos" sheetId="3" r:id="rId5"/>
    <sheet name="Saldos Diarios" sheetId="6" r:id="rId6"/>
    <sheet name="Lista diaria" sheetId="9" r:id="rId7"/>
  </sheets>
  <definedNames>
    <definedName name="_xlnm._FilterDatabase" localSheetId="4" hidden="1">'Control de Saldos'!$A$1:$C$34</definedName>
    <definedName name="_xlnm._FilterDatabase" localSheetId="1" hidden="1">Listas!$A$1:$G$52</definedName>
    <definedName name="_xlnm._FilterDatabase" localSheetId="0" hidden="1">'Saldos Iniciales'!$A$1:$D$34</definedName>
    <definedName name="DatosExternos_1" localSheetId="6" hidden="1">'Lista diaria'!$A$1:$D$1160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62" i="6" l="1"/>
  <c r="D62" i="6"/>
  <c r="E62" i="6"/>
  <c r="F62" i="6"/>
  <c r="G62" i="6"/>
  <c r="H62" i="6"/>
  <c r="I62" i="6"/>
  <c r="J62" i="6"/>
  <c r="K62" i="6"/>
  <c r="L62" i="6"/>
  <c r="M62" i="6"/>
  <c r="N62" i="6"/>
  <c r="O62" i="6"/>
  <c r="P62" i="6"/>
  <c r="Q62" i="6"/>
  <c r="R62" i="6"/>
  <c r="S62" i="6"/>
  <c r="T62" i="6"/>
  <c r="U62" i="6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K425" i="1"/>
  <c r="N425" i="1"/>
  <c r="O425" i="1"/>
  <c r="P425" i="1"/>
  <c r="K426" i="1"/>
  <c r="N426" i="1"/>
  <c r="P426" i="1" s="1"/>
  <c r="O426" i="1"/>
  <c r="K427" i="1"/>
  <c r="N427" i="1"/>
  <c r="O427" i="1"/>
  <c r="P427" i="1"/>
  <c r="K428" i="1"/>
  <c r="N428" i="1"/>
  <c r="O428" i="1"/>
  <c r="P428" i="1" s="1"/>
  <c r="K429" i="1"/>
  <c r="N429" i="1"/>
  <c r="O429" i="1"/>
  <c r="P429" i="1" s="1"/>
  <c r="K430" i="1"/>
  <c r="N430" i="1"/>
  <c r="O430" i="1"/>
  <c r="P430" i="1" s="1"/>
  <c r="K431" i="1"/>
  <c r="N431" i="1"/>
  <c r="O431" i="1"/>
  <c r="P431" i="1" s="1"/>
  <c r="K432" i="1"/>
  <c r="N432" i="1"/>
  <c r="O432" i="1"/>
  <c r="P432" i="1" s="1"/>
  <c r="C425" i="1"/>
  <c r="C426" i="1"/>
  <c r="C427" i="1"/>
  <c r="C428" i="1"/>
  <c r="C429" i="1"/>
  <c r="C430" i="1"/>
  <c r="C431" i="1"/>
  <c r="C432" i="1"/>
  <c r="E425" i="1"/>
  <c r="E426" i="1"/>
  <c r="E427" i="1"/>
  <c r="E428" i="1"/>
  <c r="E429" i="1"/>
  <c r="E430" i="1"/>
  <c r="E431" i="1"/>
  <c r="E432" i="1"/>
  <c r="H425" i="1"/>
  <c r="H426" i="1"/>
  <c r="H427" i="1"/>
  <c r="H428" i="1"/>
  <c r="H429" i="1"/>
  <c r="H430" i="1"/>
  <c r="H431" i="1"/>
  <c r="H432" i="1"/>
  <c r="K407" i="1"/>
  <c r="N407" i="1"/>
  <c r="O407" i="1"/>
  <c r="P407" i="1" s="1"/>
  <c r="K408" i="1"/>
  <c r="N408" i="1"/>
  <c r="O408" i="1"/>
  <c r="P408" i="1" s="1"/>
  <c r="K409" i="1"/>
  <c r="N409" i="1"/>
  <c r="O409" i="1"/>
  <c r="P409" i="1" s="1"/>
  <c r="K418" i="1"/>
  <c r="N418" i="1"/>
  <c r="P418" i="1" s="1"/>
  <c r="O418" i="1"/>
  <c r="K410" i="1"/>
  <c r="N410" i="1"/>
  <c r="O410" i="1"/>
  <c r="P410" i="1" s="1"/>
  <c r="K411" i="1"/>
  <c r="N411" i="1"/>
  <c r="O411" i="1"/>
  <c r="P411" i="1" s="1"/>
  <c r="K419" i="1"/>
  <c r="N419" i="1"/>
  <c r="P419" i="1" s="1"/>
  <c r="O419" i="1"/>
  <c r="K420" i="1"/>
  <c r="N420" i="1"/>
  <c r="P420" i="1" s="1"/>
  <c r="O420" i="1"/>
  <c r="K412" i="1"/>
  <c r="N412" i="1"/>
  <c r="O412" i="1"/>
  <c r="P412" i="1" s="1"/>
  <c r="K413" i="1"/>
  <c r="N413" i="1"/>
  <c r="O413" i="1"/>
  <c r="P413" i="1" s="1"/>
  <c r="K414" i="1"/>
  <c r="N414" i="1"/>
  <c r="O414" i="1"/>
  <c r="P414" i="1" s="1"/>
  <c r="K421" i="1"/>
  <c r="N421" i="1"/>
  <c r="O421" i="1"/>
  <c r="P421" i="1" s="1"/>
  <c r="K422" i="1"/>
  <c r="N422" i="1"/>
  <c r="O422" i="1"/>
  <c r="P422" i="1" s="1"/>
  <c r="K415" i="1"/>
  <c r="N415" i="1"/>
  <c r="O415" i="1"/>
  <c r="P415" i="1" s="1"/>
  <c r="K416" i="1"/>
  <c r="N416" i="1"/>
  <c r="O416" i="1"/>
  <c r="P416" i="1" s="1"/>
  <c r="K417" i="1"/>
  <c r="N417" i="1"/>
  <c r="O417" i="1"/>
  <c r="P417" i="1" s="1"/>
  <c r="K423" i="1"/>
  <c r="N423" i="1"/>
  <c r="O423" i="1"/>
  <c r="P423" i="1" s="1"/>
  <c r="K424" i="1"/>
  <c r="N424" i="1"/>
  <c r="O424" i="1"/>
  <c r="P424" i="1" s="1"/>
  <c r="C407" i="1"/>
  <c r="C408" i="1"/>
  <c r="C409" i="1"/>
  <c r="C418" i="1"/>
  <c r="C410" i="1"/>
  <c r="C411" i="1"/>
  <c r="C419" i="1"/>
  <c r="C420" i="1"/>
  <c r="C412" i="1"/>
  <c r="C413" i="1"/>
  <c r="C414" i="1"/>
  <c r="C421" i="1"/>
  <c r="C422" i="1"/>
  <c r="C415" i="1"/>
  <c r="C416" i="1"/>
  <c r="C417" i="1"/>
  <c r="C423" i="1"/>
  <c r="C424" i="1"/>
  <c r="E407" i="1"/>
  <c r="E408" i="1"/>
  <c r="E409" i="1"/>
  <c r="E418" i="1"/>
  <c r="E410" i="1"/>
  <c r="E411" i="1"/>
  <c r="E419" i="1"/>
  <c r="E420" i="1"/>
  <c r="E412" i="1"/>
  <c r="E413" i="1"/>
  <c r="E414" i="1"/>
  <c r="E421" i="1"/>
  <c r="E422" i="1"/>
  <c r="E415" i="1"/>
  <c r="E416" i="1"/>
  <c r="E417" i="1"/>
  <c r="E423" i="1"/>
  <c r="E424" i="1"/>
  <c r="H407" i="1"/>
  <c r="H408" i="1"/>
  <c r="H409" i="1"/>
  <c r="H418" i="1"/>
  <c r="H410" i="1"/>
  <c r="H411" i="1"/>
  <c r="H419" i="1"/>
  <c r="H420" i="1"/>
  <c r="H412" i="1"/>
  <c r="H413" i="1"/>
  <c r="H414" i="1"/>
  <c r="H421" i="1"/>
  <c r="H422" i="1"/>
  <c r="H415" i="1"/>
  <c r="H416" i="1"/>
  <c r="H417" i="1"/>
  <c r="H423" i="1"/>
  <c r="H424" i="1"/>
  <c r="K373" i="1"/>
  <c r="N373" i="1"/>
  <c r="O373" i="1"/>
  <c r="P373" i="1" s="1"/>
  <c r="K374" i="1"/>
  <c r="N374" i="1"/>
  <c r="O374" i="1"/>
  <c r="P374" i="1" s="1"/>
  <c r="K375" i="1"/>
  <c r="N375" i="1"/>
  <c r="O375" i="1"/>
  <c r="P375" i="1" s="1"/>
  <c r="K376" i="1"/>
  <c r="N376" i="1"/>
  <c r="P376" i="1" s="1"/>
  <c r="O376" i="1"/>
  <c r="K377" i="1"/>
  <c r="N377" i="1"/>
  <c r="O377" i="1"/>
  <c r="P377" i="1" s="1"/>
  <c r="K378" i="1"/>
  <c r="N378" i="1"/>
  <c r="O378" i="1"/>
  <c r="P378" i="1"/>
  <c r="K379" i="1"/>
  <c r="N379" i="1"/>
  <c r="P379" i="1" s="1"/>
  <c r="O379" i="1"/>
  <c r="K380" i="1"/>
  <c r="N380" i="1"/>
  <c r="P380" i="1" s="1"/>
  <c r="O380" i="1"/>
  <c r="K381" i="1"/>
  <c r="N381" i="1"/>
  <c r="O381" i="1"/>
  <c r="P381" i="1" s="1"/>
  <c r="K382" i="1"/>
  <c r="N382" i="1"/>
  <c r="O382" i="1"/>
  <c r="P382" i="1" s="1"/>
  <c r="K383" i="1"/>
  <c r="N383" i="1"/>
  <c r="O383" i="1"/>
  <c r="P383" i="1" s="1"/>
  <c r="K384" i="1"/>
  <c r="N384" i="1"/>
  <c r="O384" i="1"/>
  <c r="P384" i="1" s="1"/>
  <c r="K385" i="1"/>
  <c r="N385" i="1"/>
  <c r="P385" i="1" s="1"/>
  <c r="O385" i="1"/>
  <c r="K386" i="1"/>
  <c r="N386" i="1"/>
  <c r="P386" i="1" s="1"/>
  <c r="O386" i="1"/>
  <c r="K387" i="1"/>
  <c r="N387" i="1"/>
  <c r="O387" i="1"/>
  <c r="P387" i="1" s="1"/>
  <c r="K388" i="1"/>
  <c r="N388" i="1"/>
  <c r="O388" i="1"/>
  <c r="P388" i="1" s="1"/>
  <c r="K389" i="1"/>
  <c r="N389" i="1"/>
  <c r="P389" i="1" s="1"/>
  <c r="O389" i="1"/>
  <c r="K390" i="1"/>
  <c r="N390" i="1"/>
  <c r="O390" i="1"/>
  <c r="P390" i="1" s="1"/>
  <c r="K391" i="1"/>
  <c r="N391" i="1"/>
  <c r="O391" i="1"/>
  <c r="P391" i="1" s="1"/>
  <c r="K392" i="1"/>
  <c r="N392" i="1"/>
  <c r="O392" i="1"/>
  <c r="P392" i="1" s="1"/>
  <c r="K393" i="1"/>
  <c r="N393" i="1"/>
  <c r="O393" i="1"/>
  <c r="P393" i="1" s="1"/>
  <c r="K394" i="1"/>
  <c r="N394" i="1"/>
  <c r="O394" i="1"/>
  <c r="P394" i="1" s="1"/>
  <c r="K395" i="1"/>
  <c r="N395" i="1"/>
  <c r="O395" i="1"/>
  <c r="P395" i="1" s="1"/>
  <c r="K396" i="1"/>
  <c r="N396" i="1"/>
  <c r="O396" i="1"/>
  <c r="P396" i="1" s="1"/>
  <c r="K397" i="1"/>
  <c r="N397" i="1"/>
  <c r="O397" i="1"/>
  <c r="P397" i="1" s="1"/>
  <c r="K398" i="1"/>
  <c r="N398" i="1"/>
  <c r="O398" i="1"/>
  <c r="P398" i="1" s="1"/>
  <c r="K399" i="1"/>
  <c r="N399" i="1"/>
  <c r="O399" i="1"/>
  <c r="P399" i="1" s="1"/>
  <c r="K400" i="1"/>
  <c r="N400" i="1"/>
  <c r="O400" i="1"/>
  <c r="P400" i="1" s="1"/>
  <c r="K401" i="1"/>
  <c r="N401" i="1"/>
  <c r="O401" i="1"/>
  <c r="P401" i="1" s="1"/>
  <c r="K402" i="1"/>
  <c r="N402" i="1"/>
  <c r="O402" i="1"/>
  <c r="P402" i="1" s="1"/>
  <c r="K403" i="1"/>
  <c r="N403" i="1"/>
  <c r="O403" i="1"/>
  <c r="P403" i="1" s="1"/>
  <c r="K404" i="1"/>
  <c r="N404" i="1"/>
  <c r="O404" i="1"/>
  <c r="P404" i="1" s="1"/>
  <c r="K405" i="1"/>
  <c r="N405" i="1"/>
  <c r="O405" i="1"/>
  <c r="P405" i="1" s="1"/>
  <c r="K406" i="1"/>
  <c r="N406" i="1"/>
  <c r="O406" i="1"/>
  <c r="P406" i="1" s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H373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V62" i="6" l="1"/>
  <c r="I367" i="1"/>
  <c r="I368" i="1"/>
  <c r="I369" i="1"/>
  <c r="I370" i="1"/>
  <c r="I371" i="1"/>
  <c r="I372" i="1"/>
  <c r="K368" i="1"/>
  <c r="N368" i="1"/>
  <c r="P368" i="1" s="1"/>
  <c r="O368" i="1"/>
  <c r="K369" i="1"/>
  <c r="N369" i="1"/>
  <c r="P369" i="1" s="1"/>
  <c r="O369" i="1"/>
  <c r="K370" i="1"/>
  <c r="N370" i="1"/>
  <c r="P370" i="1" s="1"/>
  <c r="O370" i="1"/>
  <c r="K371" i="1"/>
  <c r="N371" i="1"/>
  <c r="P371" i="1" s="1"/>
  <c r="O371" i="1"/>
  <c r="K372" i="1"/>
  <c r="N372" i="1"/>
  <c r="P372" i="1" s="1"/>
  <c r="O372" i="1"/>
  <c r="C368" i="1"/>
  <c r="C369" i="1"/>
  <c r="C370" i="1"/>
  <c r="C371" i="1"/>
  <c r="C372" i="1"/>
  <c r="E368" i="1"/>
  <c r="E369" i="1"/>
  <c r="E370" i="1"/>
  <c r="E371" i="1"/>
  <c r="E372" i="1"/>
  <c r="H368" i="1"/>
  <c r="H369" i="1"/>
  <c r="H370" i="1"/>
  <c r="H371" i="1"/>
  <c r="H372" i="1"/>
  <c r="I364" i="1" l="1"/>
  <c r="K364" i="1"/>
  <c r="N364" i="1"/>
  <c r="O364" i="1"/>
  <c r="P364" i="1" s="1"/>
  <c r="C364" i="1"/>
  <c r="E364" i="1"/>
  <c r="H364" i="1"/>
  <c r="K359" i="1"/>
  <c r="K357" i="1"/>
  <c r="K358" i="1"/>
  <c r="K365" i="1"/>
  <c r="K366" i="1"/>
  <c r="K367" i="1"/>
  <c r="I359" i="1"/>
  <c r="I360" i="1"/>
  <c r="I361" i="1"/>
  <c r="I362" i="1"/>
  <c r="I363" i="1"/>
  <c r="I365" i="1"/>
  <c r="I366" i="1"/>
  <c r="C365" i="1"/>
  <c r="C366" i="1"/>
  <c r="C367" i="1"/>
  <c r="E365" i="1"/>
  <c r="E366" i="1"/>
  <c r="E367" i="1"/>
  <c r="H365" i="1"/>
  <c r="H366" i="1"/>
  <c r="H367" i="1"/>
  <c r="N365" i="1"/>
  <c r="N366" i="1"/>
  <c r="N367" i="1"/>
  <c r="O365" i="1"/>
  <c r="P365" i="1" s="1"/>
  <c r="O366" i="1"/>
  <c r="P366" i="1" s="1"/>
  <c r="O367" i="1"/>
  <c r="P367" i="1" s="1"/>
  <c r="I239" i="1"/>
  <c r="C239" i="1"/>
  <c r="E239" i="1"/>
  <c r="H239" i="1"/>
  <c r="N239" i="1"/>
  <c r="O239" i="1"/>
  <c r="P239" i="1" s="1"/>
  <c r="K363" i="1"/>
  <c r="K362" i="1"/>
  <c r="K361" i="1"/>
  <c r="K360" i="1"/>
  <c r="C363" i="1"/>
  <c r="C362" i="1"/>
  <c r="C361" i="1"/>
  <c r="C360" i="1"/>
  <c r="C359" i="1"/>
  <c r="E359" i="1"/>
  <c r="E360" i="1"/>
  <c r="E361" i="1"/>
  <c r="E362" i="1"/>
  <c r="E363" i="1"/>
  <c r="H359" i="1"/>
  <c r="H360" i="1"/>
  <c r="H361" i="1"/>
  <c r="H362" i="1"/>
  <c r="H363" i="1"/>
  <c r="N359" i="1"/>
  <c r="N360" i="1"/>
  <c r="N361" i="1"/>
  <c r="N362" i="1"/>
  <c r="N363" i="1"/>
  <c r="P363" i="1" s="1"/>
  <c r="O359" i="1"/>
  <c r="P359" i="1" s="1"/>
  <c r="O360" i="1"/>
  <c r="P360" i="1" s="1"/>
  <c r="O361" i="1"/>
  <c r="O362" i="1"/>
  <c r="O363" i="1"/>
  <c r="E354" i="1"/>
  <c r="E355" i="1"/>
  <c r="E356" i="1"/>
  <c r="E357" i="1"/>
  <c r="E266" i="1"/>
  <c r="E358" i="1"/>
  <c r="N3" i="1"/>
  <c r="P3" i="1" s="1"/>
  <c r="O3" i="1"/>
  <c r="N4" i="1"/>
  <c r="O4" i="1"/>
  <c r="P4" i="1" s="1"/>
  <c r="N5" i="1"/>
  <c r="O5" i="1"/>
  <c r="P5" i="1" s="1"/>
  <c r="N6" i="1"/>
  <c r="O6" i="1"/>
  <c r="P6" i="1" s="1"/>
  <c r="N7" i="1"/>
  <c r="P7" i="1" s="1"/>
  <c r="O7" i="1"/>
  <c r="N8" i="1"/>
  <c r="O8" i="1"/>
  <c r="P8" i="1" s="1"/>
  <c r="N9" i="1"/>
  <c r="O9" i="1"/>
  <c r="P9" i="1" s="1"/>
  <c r="N10" i="1"/>
  <c r="O10" i="1"/>
  <c r="P10" i="1" s="1"/>
  <c r="N11" i="1"/>
  <c r="P11" i="1" s="1"/>
  <c r="O11" i="1"/>
  <c r="N12" i="1"/>
  <c r="O12" i="1"/>
  <c r="P12" i="1" s="1"/>
  <c r="N13" i="1"/>
  <c r="P13" i="1" s="1"/>
  <c r="O13" i="1"/>
  <c r="N14" i="1"/>
  <c r="O14" i="1"/>
  <c r="P14" i="1" s="1"/>
  <c r="N15" i="1"/>
  <c r="P15" i="1" s="1"/>
  <c r="O15" i="1"/>
  <c r="N16" i="1"/>
  <c r="O16" i="1"/>
  <c r="P16" i="1" s="1"/>
  <c r="N17" i="1"/>
  <c r="O17" i="1"/>
  <c r="P17" i="1" s="1"/>
  <c r="N18" i="1"/>
  <c r="O18" i="1"/>
  <c r="P18" i="1" s="1"/>
  <c r="N19" i="1"/>
  <c r="O19" i="1"/>
  <c r="P19" i="1" s="1"/>
  <c r="N20" i="1"/>
  <c r="P20" i="1" s="1"/>
  <c r="O20" i="1"/>
  <c r="N21" i="1"/>
  <c r="O21" i="1"/>
  <c r="P21" i="1" s="1"/>
  <c r="N22" i="1"/>
  <c r="O22" i="1"/>
  <c r="P22" i="1" s="1"/>
  <c r="N23" i="1"/>
  <c r="P23" i="1" s="1"/>
  <c r="O23" i="1"/>
  <c r="N24" i="1"/>
  <c r="P24" i="1" s="1"/>
  <c r="O24" i="1"/>
  <c r="N25" i="1"/>
  <c r="O25" i="1"/>
  <c r="P25" i="1" s="1"/>
  <c r="N26" i="1"/>
  <c r="O26" i="1"/>
  <c r="P26" i="1" s="1"/>
  <c r="N27" i="1"/>
  <c r="P27" i="1" s="1"/>
  <c r="O27" i="1"/>
  <c r="N28" i="1"/>
  <c r="O28" i="1"/>
  <c r="P28" i="1" s="1"/>
  <c r="N29" i="1"/>
  <c r="O29" i="1"/>
  <c r="P29" i="1" s="1"/>
  <c r="N30" i="1"/>
  <c r="O30" i="1"/>
  <c r="P30" i="1" s="1"/>
  <c r="N31" i="1"/>
  <c r="O31" i="1"/>
  <c r="P31" i="1" s="1"/>
  <c r="N32" i="1"/>
  <c r="P32" i="1" s="1"/>
  <c r="O32" i="1"/>
  <c r="N33" i="1"/>
  <c r="P33" i="1" s="1"/>
  <c r="O33" i="1"/>
  <c r="N34" i="1"/>
  <c r="O34" i="1"/>
  <c r="P34" i="1" s="1"/>
  <c r="N35" i="1"/>
  <c r="O35" i="1"/>
  <c r="P35" i="1" s="1"/>
  <c r="N36" i="1"/>
  <c r="O36" i="1"/>
  <c r="P36" i="1" s="1"/>
  <c r="N37" i="1"/>
  <c r="P37" i="1" s="1"/>
  <c r="O37" i="1"/>
  <c r="N38" i="1"/>
  <c r="O38" i="1"/>
  <c r="P38" i="1" s="1"/>
  <c r="N39" i="1"/>
  <c r="O39" i="1"/>
  <c r="P39" i="1" s="1"/>
  <c r="N40" i="1"/>
  <c r="P40" i="1" s="1"/>
  <c r="O40" i="1"/>
  <c r="N41" i="1"/>
  <c r="O41" i="1"/>
  <c r="P41" i="1" s="1"/>
  <c r="N42" i="1"/>
  <c r="O42" i="1"/>
  <c r="P42" i="1" s="1"/>
  <c r="N43" i="1"/>
  <c r="O43" i="1"/>
  <c r="P43" i="1" s="1"/>
  <c r="N44" i="1"/>
  <c r="O44" i="1"/>
  <c r="P44" i="1" s="1"/>
  <c r="N45" i="1"/>
  <c r="P45" i="1" s="1"/>
  <c r="O45" i="1"/>
  <c r="N46" i="1"/>
  <c r="P46" i="1" s="1"/>
  <c r="O46" i="1"/>
  <c r="N47" i="1"/>
  <c r="O47" i="1"/>
  <c r="P47" i="1" s="1"/>
  <c r="N48" i="1"/>
  <c r="P48" i="1" s="1"/>
  <c r="O48" i="1"/>
  <c r="N49" i="1"/>
  <c r="O49" i="1"/>
  <c r="P49" i="1" s="1"/>
  <c r="N50" i="1"/>
  <c r="O50" i="1"/>
  <c r="P50" i="1" s="1"/>
  <c r="N51" i="1"/>
  <c r="O51" i="1"/>
  <c r="P51" i="1" s="1"/>
  <c r="N52" i="1"/>
  <c r="O52" i="1"/>
  <c r="P52" i="1" s="1"/>
  <c r="N53" i="1"/>
  <c r="O53" i="1"/>
  <c r="P53" i="1" s="1"/>
  <c r="N54" i="1"/>
  <c r="O54" i="1"/>
  <c r="P54" i="1" s="1"/>
  <c r="N55" i="1"/>
  <c r="P55" i="1" s="1"/>
  <c r="O55" i="1"/>
  <c r="N56" i="1"/>
  <c r="O56" i="1"/>
  <c r="P56" i="1" s="1"/>
  <c r="N57" i="1"/>
  <c r="P57" i="1" s="1"/>
  <c r="O57" i="1"/>
  <c r="N58" i="1"/>
  <c r="P58" i="1" s="1"/>
  <c r="O58" i="1"/>
  <c r="N59" i="1"/>
  <c r="P59" i="1" s="1"/>
  <c r="O59" i="1"/>
  <c r="N60" i="1"/>
  <c r="O60" i="1"/>
  <c r="P60" i="1" s="1"/>
  <c r="N61" i="1"/>
  <c r="O61" i="1"/>
  <c r="P61" i="1" s="1"/>
  <c r="N62" i="1"/>
  <c r="O62" i="1"/>
  <c r="P62" i="1" s="1"/>
  <c r="N63" i="1"/>
  <c r="O63" i="1"/>
  <c r="P63" i="1" s="1"/>
  <c r="N64" i="1"/>
  <c r="P64" i="1" s="1"/>
  <c r="O64" i="1"/>
  <c r="N65" i="1"/>
  <c r="P65" i="1" s="1"/>
  <c r="O65" i="1"/>
  <c r="N66" i="1"/>
  <c r="O66" i="1"/>
  <c r="P66" i="1" s="1"/>
  <c r="N67" i="1"/>
  <c r="O67" i="1"/>
  <c r="P67" i="1" s="1"/>
  <c r="N68" i="1"/>
  <c r="O68" i="1"/>
  <c r="P68" i="1" s="1"/>
  <c r="N69" i="1"/>
  <c r="P69" i="1" s="1"/>
  <c r="O69" i="1"/>
  <c r="N70" i="1"/>
  <c r="O70" i="1"/>
  <c r="P70" i="1" s="1"/>
  <c r="N71" i="1"/>
  <c r="O71" i="1"/>
  <c r="P71" i="1" s="1"/>
  <c r="N72" i="1"/>
  <c r="O72" i="1"/>
  <c r="P72" i="1" s="1"/>
  <c r="N73" i="1"/>
  <c r="O73" i="1"/>
  <c r="P73" i="1" s="1"/>
  <c r="N74" i="1"/>
  <c r="O74" i="1"/>
  <c r="P74" i="1" s="1"/>
  <c r="N75" i="1"/>
  <c r="P75" i="1" s="1"/>
  <c r="O75" i="1"/>
  <c r="N76" i="1"/>
  <c r="O76" i="1"/>
  <c r="P76" i="1" s="1"/>
  <c r="N77" i="1"/>
  <c r="O77" i="1"/>
  <c r="P77" i="1" s="1"/>
  <c r="N78" i="1"/>
  <c r="O78" i="1"/>
  <c r="P78" i="1" s="1"/>
  <c r="N79" i="1"/>
  <c r="P79" i="1" s="1"/>
  <c r="O79" i="1"/>
  <c r="N80" i="1"/>
  <c r="O80" i="1"/>
  <c r="P80" i="1" s="1"/>
  <c r="N81" i="1"/>
  <c r="O81" i="1"/>
  <c r="P81" i="1" s="1"/>
  <c r="N82" i="1"/>
  <c r="O82" i="1"/>
  <c r="P82" i="1" s="1"/>
  <c r="N83" i="1"/>
  <c r="P83" i="1" s="1"/>
  <c r="O83" i="1"/>
  <c r="N84" i="1"/>
  <c r="O84" i="1"/>
  <c r="P84" i="1" s="1"/>
  <c r="N85" i="1"/>
  <c r="P85" i="1" s="1"/>
  <c r="O85" i="1"/>
  <c r="N86" i="1"/>
  <c r="O86" i="1"/>
  <c r="P86" i="1" s="1"/>
  <c r="N87" i="1"/>
  <c r="O87" i="1"/>
  <c r="P87" i="1" s="1"/>
  <c r="N88" i="1"/>
  <c r="O88" i="1"/>
  <c r="P88" i="1" s="1"/>
  <c r="N89" i="1"/>
  <c r="O89" i="1"/>
  <c r="P89" i="1" s="1"/>
  <c r="N90" i="1"/>
  <c r="O90" i="1"/>
  <c r="P90" i="1" s="1"/>
  <c r="N91" i="1"/>
  <c r="O91" i="1"/>
  <c r="P91" i="1" s="1"/>
  <c r="N92" i="1"/>
  <c r="O92" i="1"/>
  <c r="P92" i="1" s="1"/>
  <c r="N93" i="1"/>
  <c r="O93" i="1"/>
  <c r="P93" i="1" s="1"/>
  <c r="N94" i="1"/>
  <c r="O94" i="1"/>
  <c r="P94" i="1" s="1"/>
  <c r="N95" i="1"/>
  <c r="O95" i="1"/>
  <c r="P95" i="1" s="1"/>
  <c r="N96" i="1"/>
  <c r="P96" i="1" s="1"/>
  <c r="O96" i="1"/>
  <c r="N97" i="1"/>
  <c r="P97" i="1" s="1"/>
  <c r="O97" i="1"/>
  <c r="N98" i="1"/>
  <c r="O98" i="1"/>
  <c r="P98" i="1" s="1"/>
  <c r="N99" i="1"/>
  <c r="O99" i="1"/>
  <c r="P99" i="1" s="1"/>
  <c r="N100" i="1"/>
  <c r="O100" i="1"/>
  <c r="P100" i="1" s="1"/>
  <c r="N101" i="1"/>
  <c r="O101" i="1"/>
  <c r="P101" i="1" s="1"/>
  <c r="N102" i="1"/>
  <c r="O102" i="1"/>
  <c r="P102" i="1" s="1"/>
  <c r="N103" i="1"/>
  <c r="O103" i="1"/>
  <c r="P103" i="1" s="1"/>
  <c r="N104" i="1"/>
  <c r="O104" i="1"/>
  <c r="P104" i="1" s="1"/>
  <c r="N105" i="1"/>
  <c r="O105" i="1"/>
  <c r="P105" i="1" s="1"/>
  <c r="N106" i="1"/>
  <c r="O106" i="1"/>
  <c r="P106" i="1" s="1"/>
  <c r="N107" i="1"/>
  <c r="O107" i="1"/>
  <c r="P107" i="1" s="1"/>
  <c r="N108" i="1"/>
  <c r="O108" i="1"/>
  <c r="P108" i="1" s="1"/>
  <c r="N109" i="1"/>
  <c r="O109" i="1"/>
  <c r="P109" i="1" s="1"/>
  <c r="N110" i="1"/>
  <c r="O110" i="1"/>
  <c r="P110" i="1" s="1"/>
  <c r="N111" i="1"/>
  <c r="O111" i="1"/>
  <c r="P111" i="1" s="1"/>
  <c r="N112" i="1"/>
  <c r="O112" i="1"/>
  <c r="P112" i="1" s="1"/>
  <c r="N113" i="1"/>
  <c r="O113" i="1"/>
  <c r="P113" i="1" s="1"/>
  <c r="N114" i="1"/>
  <c r="O114" i="1"/>
  <c r="P114" i="1" s="1"/>
  <c r="N115" i="1"/>
  <c r="O115" i="1"/>
  <c r="P115" i="1" s="1"/>
  <c r="N116" i="1"/>
  <c r="O116" i="1"/>
  <c r="P116" i="1" s="1"/>
  <c r="N117" i="1"/>
  <c r="O117" i="1"/>
  <c r="P117" i="1" s="1"/>
  <c r="N118" i="1"/>
  <c r="O118" i="1"/>
  <c r="P118" i="1" s="1"/>
  <c r="N119" i="1"/>
  <c r="O119" i="1"/>
  <c r="P119" i="1" s="1"/>
  <c r="N120" i="1"/>
  <c r="O120" i="1"/>
  <c r="P120" i="1" s="1"/>
  <c r="N121" i="1"/>
  <c r="O121" i="1"/>
  <c r="P121" i="1" s="1"/>
  <c r="N122" i="1"/>
  <c r="O122" i="1"/>
  <c r="P122" i="1" s="1"/>
  <c r="N123" i="1"/>
  <c r="O123" i="1"/>
  <c r="P123" i="1" s="1"/>
  <c r="N124" i="1"/>
  <c r="O124" i="1"/>
  <c r="P124" i="1" s="1"/>
  <c r="N125" i="1"/>
  <c r="P125" i="1" s="1"/>
  <c r="O125" i="1"/>
  <c r="N126" i="1"/>
  <c r="O126" i="1"/>
  <c r="P126" i="1" s="1"/>
  <c r="N127" i="1"/>
  <c r="O127" i="1"/>
  <c r="P127" i="1" s="1"/>
  <c r="N128" i="1"/>
  <c r="P128" i="1" s="1"/>
  <c r="O128" i="1"/>
  <c r="N129" i="1"/>
  <c r="O129" i="1"/>
  <c r="P129" i="1" s="1"/>
  <c r="N130" i="1"/>
  <c r="O130" i="1"/>
  <c r="P130" i="1" s="1"/>
  <c r="N131" i="1"/>
  <c r="O131" i="1"/>
  <c r="P131" i="1" s="1"/>
  <c r="N132" i="1"/>
  <c r="O132" i="1"/>
  <c r="P132" i="1" s="1"/>
  <c r="N133" i="1"/>
  <c r="O133" i="1"/>
  <c r="P133" i="1" s="1"/>
  <c r="N134" i="1"/>
  <c r="O134" i="1"/>
  <c r="P134" i="1" s="1"/>
  <c r="N135" i="1"/>
  <c r="O135" i="1"/>
  <c r="P135" i="1" s="1"/>
  <c r="N136" i="1"/>
  <c r="O136" i="1"/>
  <c r="P136" i="1" s="1"/>
  <c r="N137" i="1"/>
  <c r="O137" i="1"/>
  <c r="P137" i="1" s="1"/>
  <c r="N138" i="1"/>
  <c r="O138" i="1"/>
  <c r="P138" i="1" s="1"/>
  <c r="N139" i="1"/>
  <c r="O139" i="1"/>
  <c r="P139" i="1" s="1"/>
  <c r="N140" i="1"/>
  <c r="O140" i="1"/>
  <c r="P140" i="1" s="1"/>
  <c r="N141" i="1"/>
  <c r="O141" i="1"/>
  <c r="P141" i="1" s="1"/>
  <c r="N142" i="1"/>
  <c r="O142" i="1"/>
  <c r="P142" i="1" s="1"/>
  <c r="N143" i="1"/>
  <c r="P143" i="1" s="1"/>
  <c r="O143" i="1"/>
  <c r="N144" i="1"/>
  <c r="O144" i="1"/>
  <c r="P144" i="1" s="1"/>
  <c r="N145" i="1"/>
  <c r="P145" i="1" s="1"/>
  <c r="O145" i="1"/>
  <c r="N146" i="1"/>
  <c r="P146" i="1" s="1"/>
  <c r="O146" i="1"/>
  <c r="N147" i="1"/>
  <c r="P147" i="1" s="1"/>
  <c r="O147" i="1"/>
  <c r="N148" i="1"/>
  <c r="O148" i="1"/>
  <c r="P148" i="1" s="1"/>
  <c r="N149" i="1"/>
  <c r="O149" i="1"/>
  <c r="P149" i="1" s="1"/>
  <c r="N150" i="1"/>
  <c r="O150" i="1"/>
  <c r="P150" i="1" s="1"/>
  <c r="N151" i="1"/>
  <c r="O151" i="1"/>
  <c r="P151" i="1" s="1"/>
  <c r="N152" i="1"/>
  <c r="O152" i="1"/>
  <c r="P152" i="1" s="1"/>
  <c r="N153" i="1"/>
  <c r="O153" i="1"/>
  <c r="P153" i="1" s="1"/>
  <c r="N154" i="1"/>
  <c r="O154" i="1"/>
  <c r="P154" i="1" s="1"/>
  <c r="N155" i="1"/>
  <c r="O155" i="1"/>
  <c r="P155" i="1" s="1"/>
  <c r="N156" i="1"/>
  <c r="O156" i="1"/>
  <c r="P156" i="1" s="1"/>
  <c r="N157" i="1"/>
  <c r="O157" i="1"/>
  <c r="P157" i="1" s="1"/>
  <c r="N158" i="1"/>
  <c r="O158" i="1"/>
  <c r="P158" i="1" s="1"/>
  <c r="N159" i="1"/>
  <c r="O159" i="1"/>
  <c r="P159" i="1" s="1"/>
  <c r="N160" i="1"/>
  <c r="O160" i="1"/>
  <c r="P160" i="1" s="1"/>
  <c r="N161" i="1"/>
  <c r="O161" i="1"/>
  <c r="P161" i="1" s="1"/>
  <c r="N162" i="1"/>
  <c r="O162" i="1"/>
  <c r="P162" i="1" s="1"/>
  <c r="N163" i="1"/>
  <c r="P163" i="1" s="1"/>
  <c r="O163" i="1"/>
  <c r="N164" i="1"/>
  <c r="O164" i="1"/>
  <c r="P164" i="1" s="1"/>
  <c r="N165" i="1"/>
  <c r="O165" i="1"/>
  <c r="P165" i="1" s="1"/>
  <c r="N166" i="1"/>
  <c r="O166" i="1"/>
  <c r="P166" i="1" s="1"/>
  <c r="N167" i="1"/>
  <c r="O167" i="1"/>
  <c r="P167" i="1" s="1"/>
  <c r="N168" i="1"/>
  <c r="O168" i="1"/>
  <c r="P168" i="1" s="1"/>
  <c r="N169" i="1"/>
  <c r="O169" i="1"/>
  <c r="P169" i="1" s="1"/>
  <c r="N170" i="1"/>
  <c r="P170" i="1" s="1"/>
  <c r="O170" i="1"/>
  <c r="N171" i="1"/>
  <c r="P171" i="1" s="1"/>
  <c r="O171" i="1"/>
  <c r="N172" i="1"/>
  <c r="O172" i="1"/>
  <c r="P172" i="1" s="1"/>
  <c r="N173" i="1"/>
  <c r="P173" i="1" s="1"/>
  <c r="O173" i="1"/>
  <c r="N174" i="1"/>
  <c r="P174" i="1" s="1"/>
  <c r="O174" i="1"/>
  <c r="N175" i="1"/>
  <c r="P175" i="1" s="1"/>
  <c r="O175" i="1"/>
  <c r="N176" i="1"/>
  <c r="P176" i="1" s="1"/>
  <c r="O176" i="1"/>
  <c r="N177" i="1"/>
  <c r="P177" i="1" s="1"/>
  <c r="O177" i="1"/>
  <c r="N178" i="1"/>
  <c r="O178" i="1"/>
  <c r="P178" i="1" s="1"/>
  <c r="N179" i="1"/>
  <c r="P179" i="1" s="1"/>
  <c r="O179" i="1"/>
  <c r="N180" i="1"/>
  <c r="O180" i="1"/>
  <c r="P180" i="1" s="1"/>
  <c r="N181" i="1"/>
  <c r="O181" i="1"/>
  <c r="P181" i="1" s="1"/>
  <c r="N182" i="1"/>
  <c r="O182" i="1"/>
  <c r="P182" i="1" s="1"/>
  <c r="N183" i="1"/>
  <c r="P183" i="1" s="1"/>
  <c r="O183" i="1"/>
  <c r="N184" i="1"/>
  <c r="O184" i="1"/>
  <c r="P184" i="1" s="1"/>
  <c r="N185" i="1"/>
  <c r="P185" i="1" s="1"/>
  <c r="O185" i="1"/>
  <c r="N186" i="1"/>
  <c r="O186" i="1"/>
  <c r="P186" i="1" s="1"/>
  <c r="N187" i="1"/>
  <c r="O187" i="1"/>
  <c r="P187" i="1" s="1"/>
  <c r="N188" i="1"/>
  <c r="P188" i="1" s="1"/>
  <c r="O188" i="1"/>
  <c r="N189" i="1"/>
  <c r="P189" i="1" s="1"/>
  <c r="O189" i="1"/>
  <c r="N190" i="1"/>
  <c r="P190" i="1" s="1"/>
  <c r="O190" i="1"/>
  <c r="N191" i="1"/>
  <c r="O191" i="1"/>
  <c r="P191" i="1" s="1"/>
  <c r="N192" i="1"/>
  <c r="P192" i="1" s="1"/>
  <c r="O192" i="1"/>
  <c r="N193" i="1"/>
  <c r="O193" i="1"/>
  <c r="P193" i="1" s="1"/>
  <c r="N194" i="1"/>
  <c r="O194" i="1"/>
  <c r="P194" i="1" s="1"/>
  <c r="N195" i="1"/>
  <c r="O195" i="1"/>
  <c r="P195" i="1" s="1"/>
  <c r="N196" i="1"/>
  <c r="O196" i="1"/>
  <c r="P196" i="1" s="1"/>
  <c r="N197" i="1"/>
  <c r="O197" i="1"/>
  <c r="P197" i="1" s="1"/>
  <c r="N198" i="1"/>
  <c r="O198" i="1"/>
  <c r="P198" i="1" s="1"/>
  <c r="N199" i="1"/>
  <c r="O199" i="1"/>
  <c r="P199" i="1" s="1"/>
  <c r="N200" i="1"/>
  <c r="P200" i="1" s="1"/>
  <c r="O200" i="1"/>
  <c r="N201" i="1"/>
  <c r="O201" i="1"/>
  <c r="P201" i="1" s="1"/>
  <c r="N202" i="1"/>
  <c r="O202" i="1"/>
  <c r="P202" i="1" s="1"/>
  <c r="N203" i="1"/>
  <c r="O203" i="1"/>
  <c r="P203" i="1" s="1"/>
  <c r="N204" i="1"/>
  <c r="O204" i="1"/>
  <c r="P204" i="1" s="1"/>
  <c r="N205" i="1"/>
  <c r="O205" i="1"/>
  <c r="P205" i="1" s="1"/>
  <c r="N206" i="1"/>
  <c r="O206" i="1"/>
  <c r="P206" i="1" s="1"/>
  <c r="N207" i="1"/>
  <c r="O207" i="1"/>
  <c r="P207" i="1" s="1"/>
  <c r="N208" i="1"/>
  <c r="O208" i="1"/>
  <c r="P208" i="1" s="1"/>
  <c r="N209" i="1"/>
  <c r="O209" i="1"/>
  <c r="P209" i="1" s="1"/>
  <c r="N210" i="1"/>
  <c r="O210" i="1"/>
  <c r="P210" i="1" s="1"/>
  <c r="N211" i="1"/>
  <c r="O211" i="1"/>
  <c r="P211" i="1" s="1"/>
  <c r="N212" i="1"/>
  <c r="O212" i="1"/>
  <c r="P212" i="1" s="1"/>
  <c r="N213" i="1"/>
  <c r="P213" i="1" s="1"/>
  <c r="O213" i="1"/>
  <c r="N214" i="1"/>
  <c r="P214" i="1" s="1"/>
  <c r="O214" i="1"/>
  <c r="N215" i="1"/>
  <c r="O215" i="1"/>
  <c r="P215" i="1" s="1"/>
  <c r="N216" i="1"/>
  <c r="O216" i="1"/>
  <c r="P216" i="1" s="1"/>
  <c r="N217" i="1"/>
  <c r="O217" i="1"/>
  <c r="P217" i="1" s="1"/>
  <c r="N218" i="1"/>
  <c r="P218" i="1" s="1"/>
  <c r="O218" i="1"/>
  <c r="N219" i="1"/>
  <c r="O219" i="1"/>
  <c r="P219" i="1" s="1"/>
  <c r="N220" i="1"/>
  <c r="O220" i="1"/>
  <c r="P220" i="1" s="1"/>
  <c r="N221" i="1"/>
  <c r="P221" i="1" s="1"/>
  <c r="O221" i="1"/>
  <c r="N222" i="1"/>
  <c r="O222" i="1"/>
  <c r="P222" i="1" s="1"/>
  <c r="N223" i="1"/>
  <c r="O223" i="1"/>
  <c r="P223" i="1" s="1"/>
  <c r="N224" i="1"/>
  <c r="O224" i="1"/>
  <c r="P224" i="1" s="1"/>
  <c r="N225" i="1"/>
  <c r="O225" i="1"/>
  <c r="P225" i="1" s="1"/>
  <c r="N226" i="1"/>
  <c r="O226" i="1"/>
  <c r="P226" i="1" s="1"/>
  <c r="N227" i="1"/>
  <c r="O227" i="1"/>
  <c r="P227" i="1" s="1"/>
  <c r="N228" i="1"/>
  <c r="O228" i="1"/>
  <c r="P228" i="1" s="1"/>
  <c r="N229" i="1"/>
  <c r="O229" i="1"/>
  <c r="P229" i="1" s="1"/>
  <c r="N230" i="1"/>
  <c r="P230" i="1" s="1"/>
  <c r="O230" i="1"/>
  <c r="N269" i="1"/>
  <c r="O269" i="1"/>
  <c r="P269" i="1" s="1"/>
  <c r="N244" i="1"/>
  <c r="O244" i="1"/>
  <c r="P244" i="1" s="1"/>
  <c r="N245" i="1"/>
  <c r="O245" i="1"/>
  <c r="P245" i="1" s="1"/>
  <c r="N240" i="1"/>
  <c r="O240" i="1"/>
  <c r="P240" i="1" s="1"/>
  <c r="N246" i="1"/>
  <c r="O246" i="1"/>
  <c r="P246" i="1" s="1"/>
  <c r="N242" i="1"/>
  <c r="O242" i="1"/>
  <c r="P242" i="1" s="1"/>
  <c r="N243" i="1"/>
  <c r="O243" i="1"/>
  <c r="P243" i="1" s="1"/>
  <c r="N247" i="1"/>
  <c r="P247" i="1" s="1"/>
  <c r="O247" i="1"/>
  <c r="N248" i="1"/>
  <c r="O248" i="1"/>
  <c r="P248" i="1" s="1"/>
  <c r="N249" i="1"/>
  <c r="O249" i="1"/>
  <c r="P249" i="1" s="1"/>
  <c r="N250" i="1"/>
  <c r="O250" i="1"/>
  <c r="P250" i="1" s="1"/>
  <c r="N251" i="1"/>
  <c r="O251" i="1"/>
  <c r="P251" i="1" s="1"/>
  <c r="N252" i="1"/>
  <c r="P252" i="1" s="1"/>
  <c r="O252" i="1"/>
  <c r="N253" i="1"/>
  <c r="O253" i="1"/>
  <c r="P253" i="1" s="1"/>
  <c r="N254" i="1"/>
  <c r="O254" i="1"/>
  <c r="P254" i="1" s="1"/>
  <c r="N255" i="1"/>
  <c r="O255" i="1"/>
  <c r="P255" i="1" s="1"/>
  <c r="N256" i="1"/>
  <c r="O256" i="1"/>
  <c r="P256" i="1" s="1"/>
  <c r="N257" i="1"/>
  <c r="O257" i="1"/>
  <c r="P257" i="1" s="1"/>
  <c r="N258" i="1"/>
  <c r="P258" i="1" s="1"/>
  <c r="O258" i="1"/>
  <c r="N259" i="1"/>
  <c r="O259" i="1"/>
  <c r="P259" i="1" s="1"/>
  <c r="N260" i="1"/>
  <c r="P260" i="1" s="1"/>
  <c r="O260" i="1"/>
  <c r="N261" i="1"/>
  <c r="O261" i="1"/>
  <c r="P261" i="1" s="1"/>
  <c r="N283" i="1"/>
  <c r="O283" i="1"/>
  <c r="P283" i="1" s="1"/>
  <c r="N272" i="1"/>
  <c r="O272" i="1"/>
  <c r="P272" i="1" s="1"/>
  <c r="N312" i="1"/>
  <c r="O312" i="1"/>
  <c r="P312" i="1" s="1"/>
  <c r="N273" i="1"/>
  <c r="O273" i="1"/>
  <c r="P273" i="1" s="1"/>
  <c r="N231" i="1"/>
  <c r="O231" i="1"/>
  <c r="P231" i="1" s="1"/>
  <c r="N270" i="1"/>
  <c r="O270" i="1"/>
  <c r="P270" i="1" s="1"/>
  <c r="N262" i="1"/>
  <c r="O262" i="1"/>
  <c r="P262" i="1" s="1"/>
  <c r="N232" i="1"/>
  <c r="O232" i="1"/>
  <c r="P232" i="1" s="1"/>
  <c r="N267" i="1"/>
  <c r="O267" i="1"/>
  <c r="P267" i="1" s="1"/>
  <c r="N268" i="1"/>
  <c r="O268" i="1"/>
  <c r="P268" i="1" s="1"/>
  <c r="N341" i="1"/>
  <c r="O341" i="1"/>
  <c r="P341" i="1" s="1"/>
  <c r="N271" i="1"/>
  <c r="O271" i="1"/>
  <c r="P271" i="1" s="1"/>
  <c r="N274" i="1"/>
  <c r="O274" i="1"/>
  <c r="P274" i="1" s="1"/>
  <c r="N352" i="1"/>
  <c r="O352" i="1"/>
  <c r="P352" i="1" s="1"/>
  <c r="N275" i="1"/>
  <c r="O275" i="1"/>
  <c r="P275" i="1" s="1"/>
  <c r="N276" i="1"/>
  <c r="P276" i="1" s="1"/>
  <c r="O276" i="1"/>
  <c r="N277" i="1"/>
  <c r="P277" i="1" s="1"/>
  <c r="O277" i="1"/>
  <c r="N278" i="1"/>
  <c r="P278" i="1" s="1"/>
  <c r="O278" i="1"/>
  <c r="N279" i="1"/>
  <c r="P279" i="1" s="1"/>
  <c r="O279" i="1"/>
  <c r="N280" i="1"/>
  <c r="P280" i="1" s="1"/>
  <c r="O280" i="1"/>
  <c r="N281" i="1"/>
  <c r="P281" i="1" s="1"/>
  <c r="O281" i="1"/>
  <c r="N282" i="1"/>
  <c r="O282" i="1"/>
  <c r="P282" i="1" s="1"/>
  <c r="N284" i="1"/>
  <c r="O284" i="1"/>
  <c r="P284" i="1" s="1"/>
  <c r="N285" i="1"/>
  <c r="O285" i="1"/>
  <c r="P285" i="1" s="1"/>
  <c r="N286" i="1"/>
  <c r="O286" i="1"/>
  <c r="P286" i="1" s="1"/>
  <c r="N287" i="1"/>
  <c r="O287" i="1"/>
  <c r="P287" i="1" s="1"/>
  <c r="N288" i="1"/>
  <c r="O288" i="1"/>
  <c r="P288" i="1" s="1"/>
  <c r="N289" i="1"/>
  <c r="O289" i="1"/>
  <c r="P289" i="1" s="1"/>
  <c r="N290" i="1"/>
  <c r="O290" i="1"/>
  <c r="P290" i="1" s="1"/>
  <c r="N291" i="1"/>
  <c r="O291" i="1"/>
  <c r="P291" i="1" s="1"/>
  <c r="N292" i="1"/>
  <c r="O292" i="1"/>
  <c r="P292" i="1" s="1"/>
  <c r="N293" i="1"/>
  <c r="O293" i="1"/>
  <c r="P293" i="1" s="1"/>
  <c r="N294" i="1"/>
  <c r="O294" i="1"/>
  <c r="P294" i="1" s="1"/>
  <c r="N295" i="1"/>
  <c r="P295" i="1" s="1"/>
  <c r="O295" i="1"/>
  <c r="N296" i="1"/>
  <c r="O296" i="1"/>
  <c r="P296" i="1" s="1"/>
  <c r="N297" i="1"/>
  <c r="O297" i="1"/>
  <c r="P297" i="1" s="1"/>
  <c r="N298" i="1"/>
  <c r="O298" i="1"/>
  <c r="P298" i="1" s="1"/>
  <c r="N299" i="1"/>
  <c r="O299" i="1"/>
  <c r="P299" i="1" s="1"/>
  <c r="N300" i="1"/>
  <c r="O300" i="1"/>
  <c r="P300" i="1" s="1"/>
  <c r="N301" i="1"/>
  <c r="O301" i="1"/>
  <c r="P301" i="1" s="1"/>
  <c r="N302" i="1"/>
  <c r="O302" i="1"/>
  <c r="P302" i="1" s="1"/>
  <c r="N303" i="1"/>
  <c r="O303" i="1"/>
  <c r="P303" i="1" s="1"/>
  <c r="N304" i="1"/>
  <c r="P304" i="1" s="1"/>
  <c r="O304" i="1"/>
  <c r="N305" i="1"/>
  <c r="O305" i="1"/>
  <c r="P305" i="1" s="1"/>
  <c r="N233" i="1"/>
  <c r="O233" i="1"/>
  <c r="P233" i="1" s="1"/>
  <c r="N342" i="1"/>
  <c r="O342" i="1"/>
  <c r="P342" i="1" s="1"/>
  <c r="N263" i="1"/>
  <c r="O263" i="1"/>
  <c r="P263" i="1" s="1"/>
  <c r="N308" i="1"/>
  <c r="O308" i="1"/>
  <c r="P308" i="1" s="1"/>
  <c r="N309" i="1"/>
  <c r="P309" i="1" s="1"/>
  <c r="O309" i="1"/>
  <c r="N310" i="1"/>
  <c r="O310" i="1"/>
  <c r="P310" i="1" s="1"/>
  <c r="N311" i="1"/>
  <c r="P311" i="1" s="1"/>
  <c r="O311" i="1"/>
  <c r="N313" i="1"/>
  <c r="P313" i="1" s="1"/>
  <c r="O313" i="1"/>
  <c r="N314" i="1"/>
  <c r="O314" i="1"/>
  <c r="P314" i="1" s="1"/>
  <c r="N315" i="1"/>
  <c r="O315" i="1"/>
  <c r="P315" i="1" s="1"/>
  <c r="N316" i="1"/>
  <c r="O316" i="1"/>
  <c r="P316" i="1" s="1"/>
  <c r="N317" i="1"/>
  <c r="O317" i="1"/>
  <c r="P317" i="1" s="1"/>
  <c r="N318" i="1"/>
  <c r="O318" i="1"/>
  <c r="P318" i="1" s="1"/>
  <c r="N319" i="1"/>
  <c r="O319" i="1"/>
  <c r="P319" i="1" s="1"/>
  <c r="N320" i="1"/>
  <c r="O320" i="1"/>
  <c r="P320" i="1" s="1"/>
  <c r="N321" i="1"/>
  <c r="O321" i="1"/>
  <c r="P321" i="1" s="1"/>
  <c r="N322" i="1"/>
  <c r="O322" i="1"/>
  <c r="P322" i="1" s="1"/>
  <c r="N323" i="1"/>
  <c r="O323" i="1"/>
  <c r="P323" i="1" s="1"/>
  <c r="N324" i="1"/>
  <c r="O324" i="1"/>
  <c r="P324" i="1" s="1"/>
  <c r="N325" i="1"/>
  <c r="O325" i="1"/>
  <c r="P325" i="1" s="1"/>
  <c r="N326" i="1"/>
  <c r="O326" i="1"/>
  <c r="P326" i="1" s="1"/>
  <c r="N327" i="1"/>
  <c r="O327" i="1"/>
  <c r="P327" i="1" s="1"/>
  <c r="N328" i="1"/>
  <c r="O328" i="1"/>
  <c r="P328" i="1" s="1"/>
  <c r="N329" i="1"/>
  <c r="O329" i="1"/>
  <c r="P329" i="1" s="1"/>
  <c r="N330" i="1"/>
  <c r="O330" i="1"/>
  <c r="P330" i="1" s="1"/>
  <c r="N331" i="1"/>
  <c r="O331" i="1"/>
  <c r="P331" i="1" s="1"/>
  <c r="N306" i="1"/>
  <c r="O306" i="1"/>
  <c r="P306" i="1" s="1"/>
  <c r="N241" i="1"/>
  <c r="O241" i="1"/>
  <c r="P241" i="1" s="1"/>
  <c r="N264" i="1"/>
  <c r="O264" i="1"/>
  <c r="P264" i="1" s="1"/>
  <c r="N265" i="1"/>
  <c r="O265" i="1"/>
  <c r="P265" i="1" s="1"/>
  <c r="N332" i="1"/>
  <c r="O332" i="1"/>
  <c r="P332" i="1" s="1"/>
  <c r="N333" i="1"/>
  <c r="O333" i="1"/>
  <c r="P333" i="1" s="1"/>
  <c r="N334" i="1"/>
  <c r="O334" i="1"/>
  <c r="P334" i="1" s="1"/>
  <c r="N335" i="1"/>
  <c r="O335" i="1"/>
  <c r="P335" i="1" s="1"/>
  <c r="N336" i="1"/>
  <c r="O336" i="1"/>
  <c r="P336" i="1" s="1"/>
  <c r="N337" i="1"/>
  <c r="O337" i="1"/>
  <c r="P337" i="1" s="1"/>
  <c r="N338" i="1"/>
  <c r="P338" i="1" s="1"/>
  <c r="O338" i="1"/>
  <c r="N343" i="1"/>
  <c r="O343" i="1"/>
  <c r="P343" i="1" s="1"/>
  <c r="N344" i="1"/>
  <c r="P344" i="1" s="1"/>
  <c r="O344" i="1"/>
  <c r="N345" i="1"/>
  <c r="O345" i="1"/>
  <c r="P345" i="1" s="1"/>
  <c r="N346" i="1"/>
  <c r="O346" i="1"/>
  <c r="P346" i="1" s="1"/>
  <c r="N347" i="1"/>
  <c r="P347" i="1" s="1"/>
  <c r="O347" i="1"/>
  <c r="N339" i="1"/>
  <c r="O339" i="1"/>
  <c r="P339" i="1" s="1"/>
  <c r="N348" i="1"/>
  <c r="O348" i="1"/>
  <c r="P348" i="1" s="1"/>
  <c r="N349" i="1"/>
  <c r="O349" i="1"/>
  <c r="P349" i="1" s="1"/>
  <c r="N350" i="1"/>
  <c r="O350" i="1"/>
  <c r="P350" i="1" s="1"/>
  <c r="N351" i="1"/>
  <c r="O351" i="1"/>
  <c r="P351" i="1" s="1"/>
  <c r="N340" i="1"/>
  <c r="P340" i="1" s="1"/>
  <c r="O340" i="1"/>
  <c r="N353" i="1"/>
  <c r="O353" i="1"/>
  <c r="P353" i="1" s="1"/>
  <c r="N354" i="1"/>
  <c r="P354" i="1" s="1"/>
  <c r="O354" i="1"/>
  <c r="N355" i="1"/>
  <c r="O355" i="1"/>
  <c r="P355" i="1" s="1"/>
  <c r="N356" i="1"/>
  <c r="O356" i="1"/>
  <c r="P356" i="1" s="1"/>
  <c r="N357" i="1"/>
  <c r="O357" i="1"/>
  <c r="P357" i="1" s="1"/>
  <c r="N266" i="1"/>
  <c r="P266" i="1" s="1"/>
  <c r="O266" i="1"/>
  <c r="N358" i="1"/>
  <c r="O358" i="1"/>
  <c r="P358" i="1" s="1"/>
  <c r="N307" i="1"/>
  <c r="P307" i="1" s="1"/>
  <c r="O307" i="1"/>
  <c r="N234" i="1"/>
  <c r="O234" i="1"/>
  <c r="P234" i="1" s="1"/>
  <c r="N235" i="1"/>
  <c r="O235" i="1"/>
  <c r="P235" i="1" s="1"/>
  <c r="N236" i="1"/>
  <c r="O236" i="1"/>
  <c r="P236" i="1" s="1"/>
  <c r="N237" i="1"/>
  <c r="O237" i="1"/>
  <c r="P237" i="1" s="1"/>
  <c r="N238" i="1"/>
  <c r="O238" i="1"/>
  <c r="P238" i="1" s="1"/>
  <c r="N2" i="1"/>
  <c r="P2" i="1" s="1"/>
  <c r="O2" i="1"/>
  <c r="P361" i="1" l="1"/>
  <c r="P362" i="1"/>
  <c r="C238" i="1"/>
  <c r="E238" i="1"/>
  <c r="H238" i="1"/>
  <c r="I238" i="1"/>
  <c r="K238" i="1"/>
  <c r="C236" i="1"/>
  <c r="C237" i="1"/>
  <c r="K236" i="1"/>
  <c r="K237" i="1"/>
  <c r="I236" i="1"/>
  <c r="I237" i="1"/>
  <c r="E236" i="1"/>
  <c r="E237" i="1"/>
  <c r="H236" i="1"/>
  <c r="H237" i="1"/>
  <c r="C234" i="1"/>
  <c r="C235" i="1"/>
  <c r="K234" i="1"/>
  <c r="K235" i="1"/>
  <c r="I234" i="1"/>
  <c r="I235" i="1"/>
  <c r="E235" i="1"/>
  <c r="H235" i="1"/>
  <c r="E234" i="1"/>
  <c r="H234" i="1"/>
  <c r="I358" i="1"/>
  <c r="C358" i="1"/>
  <c r="H358" i="1"/>
  <c r="K353" i="1"/>
  <c r="K354" i="1"/>
  <c r="K355" i="1"/>
  <c r="K356" i="1"/>
  <c r="K352" i="1"/>
  <c r="I353" i="1"/>
  <c r="I354" i="1"/>
  <c r="I355" i="1"/>
  <c r="I356" i="1"/>
  <c r="I357" i="1"/>
  <c r="I352" i="1"/>
  <c r="C353" i="1"/>
  <c r="C354" i="1"/>
  <c r="C355" i="1"/>
  <c r="C356" i="1"/>
  <c r="C357" i="1"/>
  <c r="C352" i="1"/>
  <c r="E353" i="1"/>
  <c r="E352" i="1"/>
  <c r="H353" i="1"/>
  <c r="H354" i="1"/>
  <c r="H355" i="1"/>
  <c r="H356" i="1"/>
  <c r="H357" i="1"/>
  <c r="H352" i="1"/>
  <c r="H4" i="1" l="1"/>
  <c r="I4" i="1"/>
  <c r="H5" i="1"/>
  <c r="I5" i="1"/>
  <c r="H6" i="1"/>
  <c r="I6" i="1"/>
  <c r="H7" i="1"/>
  <c r="I7" i="1"/>
  <c r="H8" i="1"/>
  <c r="I8" i="1"/>
  <c r="H9" i="1"/>
  <c r="I9" i="1"/>
  <c r="H10" i="1"/>
  <c r="I10" i="1"/>
  <c r="H11" i="1"/>
  <c r="I11" i="1"/>
  <c r="H12" i="1"/>
  <c r="I12" i="1"/>
  <c r="H13" i="1"/>
  <c r="I13" i="1"/>
  <c r="H14" i="1"/>
  <c r="I14" i="1"/>
  <c r="H15" i="1"/>
  <c r="I15" i="1"/>
  <c r="H16" i="1"/>
  <c r="I16" i="1"/>
  <c r="H17" i="1"/>
  <c r="I17" i="1"/>
  <c r="H18" i="1"/>
  <c r="I18" i="1"/>
  <c r="H19" i="1"/>
  <c r="I19" i="1"/>
  <c r="H20" i="1"/>
  <c r="I20" i="1"/>
  <c r="H21" i="1"/>
  <c r="I21" i="1"/>
  <c r="H22" i="1"/>
  <c r="I22" i="1"/>
  <c r="H23" i="1"/>
  <c r="I23" i="1"/>
  <c r="H24" i="1"/>
  <c r="I24" i="1"/>
  <c r="H25" i="1"/>
  <c r="I25" i="1"/>
  <c r="H26" i="1"/>
  <c r="I26" i="1"/>
  <c r="H27" i="1"/>
  <c r="I27" i="1"/>
  <c r="H28" i="1"/>
  <c r="I28" i="1"/>
  <c r="H29" i="1"/>
  <c r="I29" i="1"/>
  <c r="H30" i="1"/>
  <c r="I30" i="1"/>
  <c r="H31" i="1"/>
  <c r="I31" i="1"/>
  <c r="H32" i="1"/>
  <c r="I32" i="1"/>
  <c r="H33" i="1"/>
  <c r="I33" i="1"/>
  <c r="H34" i="1"/>
  <c r="I34" i="1"/>
  <c r="H35" i="1"/>
  <c r="I35" i="1"/>
  <c r="H36" i="1"/>
  <c r="I36" i="1"/>
  <c r="H37" i="1"/>
  <c r="I37" i="1"/>
  <c r="H38" i="1"/>
  <c r="I38" i="1"/>
  <c r="H39" i="1"/>
  <c r="I39" i="1"/>
  <c r="H40" i="1"/>
  <c r="I40" i="1"/>
  <c r="H41" i="1"/>
  <c r="I41" i="1"/>
  <c r="H42" i="1"/>
  <c r="I42" i="1"/>
  <c r="H43" i="1"/>
  <c r="I43" i="1"/>
  <c r="H44" i="1"/>
  <c r="I44" i="1"/>
  <c r="H45" i="1"/>
  <c r="I45" i="1"/>
  <c r="H46" i="1"/>
  <c r="I46" i="1"/>
  <c r="H47" i="1"/>
  <c r="I47" i="1"/>
  <c r="H48" i="1"/>
  <c r="I48" i="1"/>
  <c r="H49" i="1"/>
  <c r="I49" i="1"/>
  <c r="H50" i="1"/>
  <c r="I50" i="1"/>
  <c r="H51" i="1"/>
  <c r="I51" i="1"/>
  <c r="H52" i="1"/>
  <c r="I52" i="1"/>
  <c r="H53" i="1"/>
  <c r="I53" i="1"/>
  <c r="H54" i="1"/>
  <c r="I54" i="1"/>
  <c r="H55" i="1"/>
  <c r="I55" i="1"/>
  <c r="H56" i="1"/>
  <c r="I56" i="1"/>
  <c r="H57" i="1"/>
  <c r="I57" i="1"/>
  <c r="H58" i="1"/>
  <c r="I58" i="1"/>
  <c r="H59" i="1"/>
  <c r="I59" i="1"/>
  <c r="H60" i="1"/>
  <c r="I60" i="1"/>
  <c r="H61" i="1"/>
  <c r="I61" i="1"/>
  <c r="H62" i="1"/>
  <c r="I62" i="1"/>
  <c r="H63" i="1"/>
  <c r="I63" i="1"/>
  <c r="H64" i="1"/>
  <c r="I64" i="1"/>
  <c r="H65" i="1"/>
  <c r="I65" i="1"/>
  <c r="H66" i="1"/>
  <c r="I66" i="1"/>
  <c r="H67" i="1"/>
  <c r="I67" i="1"/>
  <c r="H68" i="1"/>
  <c r="I68" i="1"/>
  <c r="H69" i="1"/>
  <c r="I69" i="1"/>
  <c r="H70" i="1"/>
  <c r="I70" i="1"/>
  <c r="H71" i="1"/>
  <c r="I71" i="1"/>
  <c r="H72" i="1"/>
  <c r="I72" i="1"/>
  <c r="H73" i="1"/>
  <c r="I73" i="1"/>
  <c r="H74" i="1"/>
  <c r="I74" i="1"/>
  <c r="H75" i="1"/>
  <c r="I75" i="1"/>
  <c r="H76" i="1"/>
  <c r="I76" i="1"/>
  <c r="H77" i="1"/>
  <c r="I77" i="1"/>
  <c r="H78" i="1"/>
  <c r="I78" i="1"/>
  <c r="H79" i="1"/>
  <c r="I79" i="1"/>
  <c r="H80" i="1"/>
  <c r="I80" i="1"/>
  <c r="H81" i="1"/>
  <c r="I81" i="1"/>
  <c r="H82" i="1"/>
  <c r="I82" i="1"/>
  <c r="H83" i="1"/>
  <c r="I83" i="1"/>
  <c r="H84" i="1"/>
  <c r="I84" i="1"/>
  <c r="H85" i="1"/>
  <c r="I85" i="1"/>
  <c r="H86" i="1"/>
  <c r="I86" i="1"/>
  <c r="H87" i="1"/>
  <c r="I87" i="1"/>
  <c r="H88" i="1"/>
  <c r="I88" i="1"/>
  <c r="H89" i="1"/>
  <c r="I89" i="1"/>
  <c r="H90" i="1"/>
  <c r="I90" i="1"/>
  <c r="H91" i="1"/>
  <c r="I91" i="1"/>
  <c r="H92" i="1"/>
  <c r="I92" i="1"/>
  <c r="H93" i="1"/>
  <c r="I93" i="1"/>
  <c r="H94" i="1"/>
  <c r="I94" i="1"/>
  <c r="H95" i="1"/>
  <c r="I95" i="1"/>
  <c r="H96" i="1"/>
  <c r="I96" i="1"/>
  <c r="H97" i="1"/>
  <c r="I97" i="1"/>
  <c r="H98" i="1"/>
  <c r="I98" i="1"/>
  <c r="H99" i="1"/>
  <c r="I99" i="1"/>
  <c r="H100" i="1"/>
  <c r="I100" i="1"/>
  <c r="H101" i="1"/>
  <c r="I101" i="1"/>
  <c r="H102" i="1"/>
  <c r="I102" i="1"/>
  <c r="H103" i="1"/>
  <c r="I103" i="1"/>
  <c r="H104" i="1"/>
  <c r="I104" i="1"/>
  <c r="H105" i="1"/>
  <c r="I105" i="1"/>
  <c r="H106" i="1"/>
  <c r="I106" i="1"/>
  <c r="H107" i="1"/>
  <c r="I107" i="1"/>
  <c r="H108" i="1"/>
  <c r="I108" i="1"/>
  <c r="H109" i="1"/>
  <c r="I109" i="1"/>
  <c r="H110" i="1"/>
  <c r="I110" i="1"/>
  <c r="H111" i="1"/>
  <c r="I111" i="1"/>
  <c r="H112" i="1"/>
  <c r="I112" i="1"/>
  <c r="H113" i="1"/>
  <c r="I113" i="1"/>
  <c r="H114" i="1"/>
  <c r="I114" i="1"/>
  <c r="H115" i="1"/>
  <c r="I115" i="1"/>
  <c r="H116" i="1"/>
  <c r="I116" i="1"/>
  <c r="H117" i="1"/>
  <c r="I117" i="1"/>
  <c r="H118" i="1"/>
  <c r="I118" i="1"/>
  <c r="H119" i="1"/>
  <c r="I119" i="1"/>
  <c r="H120" i="1"/>
  <c r="I120" i="1"/>
  <c r="H121" i="1"/>
  <c r="I121" i="1"/>
  <c r="H122" i="1"/>
  <c r="I122" i="1"/>
  <c r="H123" i="1"/>
  <c r="I123" i="1"/>
  <c r="H124" i="1"/>
  <c r="I124" i="1"/>
  <c r="H125" i="1"/>
  <c r="I125" i="1"/>
  <c r="H126" i="1"/>
  <c r="I126" i="1"/>
  <c r="H127" i="1"/>
  <c r="I127" i="1"/>
  <c r="H128" i="1"/>
  <c r="I128" i="1"/>
  <c r="H129" i="1"/>
  <c r="I129" i="1"/>
  <c r="H130" i="1"/>
  <c r="I130" i="1"/>
  <c r="H131" i="1"/>
  <c r="I131" i="1"/>
  <c r="H132" i="1"/>
  <c r="I132" i="1"/>
  <c r="H133" i="1"/>
  <c r="I133" i="1"/>
  <c r="H134" i="1"/>
  <c r="I134" i="1"/>
  <c r="H135" i="1"/>
  <c r="I135" i="1"/>
  <c r="H136" i="1"/>
  <c r="I136" i="1"/>
  <c r="H137" i="1"/>
  <c r="I137" i="1"/>
  <c r="H138" i="1"/>
  <c r="I138" i="1"/>
  <c r="H139" i="1"/>
  <c r="I139" i="1"/>
  <c r="H140" i="1"/>
  <c r="I140" i="1"/>
  <c r="H141" i="1"/>
  <c r="I141" i="1"/>
  <c r="H142" i="1"/>
  <c r="I142" i="1"/>
  <c r="H143" i="1"/>
  <c r="I143" i="1"/>
  <c r="H144" i="1"/>
  <c r="I144" i="1"/>
  <c r="H145" i="1"/>
  <c r="I145" i="1"/>
  <c r="H146" i="1"/>
  <c r="I146" i="1"/>
  <c r="H147" i="1"/>
  <c r="I147" i="1"/>
  <c r="H148" i="1"/>
  <c r="I148" i="1"/>
  <c r="H149" i="1"/>
  <c r="I149" i="1"/>
  <c r="H150" i="1"/>
  <c r="I150" i="1"/>
  <c r="H151" i="1"/>
  <c r="I151" i="1"/>
  <c r="H152" i="1"/>
  <c r="I152" i="1"/>
  <c r="H153" i="1"/>
  <c r="I153" i="1"/>
  <c r="H154" i="1"/>
  <c r="I154" i="1"/>
  <c r="H155" i="1"/>
  <c r="I155" i="1"/>
  <c r="H156" i="1"/>
  <c r="I156" i="1"/>
  <c r="H157" i="1"/>
  <c r="I157" i="1"/>
  <c r="H158" i="1"/>
  <c r="I158" i="1"/>
  <c r="H159" i="1"/>
  <c r="I159" i="1"/>
  <c r="H160" i="1"/>
  <c r="I160" i="1"/>
  <c r="H161" i="1"/>
  <c r="I161" i="1"/>
  <c r="H162" i="1"/>
  <c r="I162" i="1"/>
  <c r="H163" i="1"/>
  <c r="I163" i="1"/>
  <c r="H164" i="1"/>
  <c r="I164" i="1"/>
  <c r="H165" i="1"/>
  <c r="I165" i="1"/>
  <c r="H166" i="1"/>
  <c r="I166" i="1"/>
  <c r="H167" i="1"/>
  <c r="I167" i="1"/>
  <c r="H168" i="1"/>
  <c r="I168" i="1"/>
  <c r="H169" i="1"/>
  <c r="I169" i="1"/>
  <c r="H170" i="1"/>
  <c r="I170" i="1"/>
  <c r="H171" i="1"/>
  <c r="I171" i="1"/>
  <c r="H172" i="1"/>
  <c r="I172" i="1"/>
  <c r="H173" i="1"/>
  <c r="I173" i="1"/>
  <c r="H174" i="1"/>
  <c r="I174" i="1"/>
  <c r="H175" i="1"/>
  <c r="I175" i="1"/>
  <c r="H176" i="1"/>
  <c r="I176" i="1"/>
  <c r="H177" i="1"/>
  <c r="I177" i="1"/>
  <c r="H178" i="1"/>
  <c r="I178" i="1"/>
  <c r="H179" i="1"/>
  <c r="I179" i="1"/>
  <c r="H180" i="1"/>
  <c r="I180" i="1"/>
  <c r="H181" i="1"/>
  <c r="I181" i="1"/>
  <c r="H182" i="1"/>
  <c r="I182" i="1"/>
  <c r="H183" i="1"/>
  <c r="I183" i="1"/>
  <c r="H184" i="1"/>
  <c r="I184" i="1"/>
  <c r="H185" i="1"/>
  <c r="I185" i="1"/>
  <c r="H186" i="1"/>
  <c r="I186" i="1"/>
  <c r="H187" i="1"/>
  <c r="I187" i="1"/>
  <c r="H188" i="1"/>
  <c r="I188" i="1"/>
  <c r="H189" i="1"/>
  <c r="I189" i="1"/>
  <c r="H190" i="1"/>
  <c r="I190" i="1"/>
  <c r="H191" i="1"/>
  <c r="I191" i="1"/>
  <c r="H192" i="1"/>
  <c r="I192" i="1"/>
  <c r="H193" i="1"/>
  <c r="I193" i="1"/>
  <c r="H194" i="1"/>
  <c r="I194" i="1"/>
  <c r="H195" i="1"/>
  <c r="I195" i="1"/>
  <c r="H196" i="1"/>
  <c r="I196" i="1"/>
  <c r="H197" i="1"/>
  <c r="I197" i="1"/>
  <c r="H198" i="1"/>
  <c r="I198" i="1"/>
  <c r="H199" i="1"/>
  <c r="I199" i="1"/>
  <c r="H200" i="1"/>
  <c r="I200" i="1"/>
  <c r="H201" i="1"/>
  <c r="I201" i="1"/>
  <c r="H202" i="1"/>
  <c r="I202" i="1"/>
  <c r="H203" i="1"/>
  <c r="I203" i="1"/>
  <c r="H204" i="1"/>
  <c r="I204" i="1"/>
  <c r="H205" i="1"/>
  <c r="I205" i="1"/>
  <c r="H206" i="1"/>
  <c r="I206" i="1"/>
  <c r="H207" i="1"/>
  <c r="I207" i="1"/>
  <c r="H208" i="1"/>
  <c r="I208" i="1"/>
  <c r="H209" i="1"/>
  <c r="I209" i="1"/>
  <c r="H210" i="1"/>
  <c r="I210" i="1"/>
  <c r="H211" i="1"/>
  <c r="I211" i="1"/>
  <c r="H212" i="1"/>
  <c r="I212" i="1"/>
  <c r="H213" i="1"/>
  <c r="I213" i="1"/>
  <c r="H214" i="1"/>
  <c r="I214" i="1"/>
  <c r="H215" i="1"/>
  <c r="I215" i="1"/>
  <c r="H216" i="1"/>
  <c r="I216" i="1"/>
  <c r="H217" i="1"/>
  <c r="I217" i="1"/>
  <c r="H218" i="1"/>
  <c r="I218" i="1"/>
  <c r="H219" i="1"/>
  <c r="I219" i="1"/>
  <c r="H220" i="1"/>
  <c r="I220" i="1"/>
  <c r="H221" i="1"/>
  <c r="I221" i="1"/>
  <c r="H222" i="1"/>
  <c r="I222" i="1"/>
  <c r="H223" i="1"/>
  <c r="I223" i="1"/>
  <c r="H224" i="1"/>
  <c r="I224" i="1"/>
  <c r="H225" i="1"/>
  <c r="I225" i="1"/>
  <c r="H226" i="1"/>
  <c r="I226" i="1"/>
  <c r="H227" i="1"/>
  <c r="I227" i="1"/>
  <c r="H228" i="1"/>
  <c r="I228" i="1"/>
  <c r="H229" i="1"/>
  <c r="I229" i="1"/>
  <c r="H230" i="1"/>
  <c r="I230" i="1"/>
  <c r="H233" i="1"/>
  <c r="I233" i="1"/>
  <c r="H232" i="1"/>
  <c r="I232" i="1"/>
  <c r="H231" i="1"/>
  <c r="I231" i="1"/>
  <c r="H240" i="1"/>
  <c r="I240" i="1"/>
  <c r="H241" i="1"/>
  <c r="I241" i="1"/>
  <c r="H242" i="1"/>
  <c r="I242" i="1"/>
  <c r="H243" i="1"/>
  <c r="I243" i="1"/>
  <c r="H247" i="1"/>
  <c r="I247" i="1"/>
  <c r="H248" i="1"/>
  <c r="I248" i="1"/>
  <c r="H249" i="1"/>
  <c r="I249" i="1"/>
  <c r="H250" i="1"/>
  <c r="I250" i="1"/>
  <c r="H251" i="1"/>
  <c r="I251" i="1"/>
  <c r="H252" i="1"/>
  <c r="I252" i="1"/>
  <c r="H253" i="1"/>
  <c r="I253" i="1"/>
  <c r="H254" i="1"/>
  <c r="I254" i="1"/>
  <c r="H255" i="1"/>
  <c r="I255" i="1"/>
  <c r="H256" i="1"/>
  <c r="I256" i="1"/>
  <c r="H257" i="1"/>
  <c r="I257" i="1"/>
  <c r="H258" i="1"/>
  <c r="I258" i="1"/>
  <c r="H259" i="1"/>
  <c r="I259" i="1"/>
  <c r="H260" i="1"/>
  <c r="I260" i="1"/>
  <c r="H261" i="1"/>
  <c r="I261" i="1"/>
  <c r="H266" i="1"/>
  <c r="I266" i="1"/>
  <c r="H262" i="1"/>
  <c r="I262" i="1"/>
  <c r="H263" i="1"/>
  <c r="I263" i="1"/>
  <c r="H244" i="1"/>
  <c r="I244" i="1"/>
  <c r="H264" i="1"/>
  <c r="I264" i="1"/>
  <c r="H245" i="1"/>
  <c r="I245" i="1"/>
  <c r="H265" i="1"/>
  <c r="I265" i="1"/>
  <c r="H246" i="1"/>
  <c r="I246" i="1"/>
  <c r="H267" i="1"/>
  <c r="I267" i="1"/>
  <c r="H268" i="1"/>
  <c r="I268" i="1"/>
  <c r="H271" i="1"/>
  <c r="I271" i="1"/>
  <c r="H269" i="1"/>
  <c r="I269" i="1"/>
  <c r="H270" i="1"/>
  <c r="I270" i="1"/>
  <c r="H273" i="1"/>
  <c r="I273" i="1"/>
  <c r="H274" i="1"/>
  <c r="I274" i="1"/>
  <c r="H272" i="1"/>
  <c r="I272" i="1"/>
  <c r="H275" i="1"/>
  <c r="I275" i="1"/>
  <c r="H276" i="1"/>
  <c r="I276" i="1"/>
  <c r="H277" i="1"/>
  <c r="I277" i="1"/>
  <c r="H278" i="1"/>
  <c r="I278" i="1"/>
  <c r="H279" i="1"/>
  <c r="I279" i="1"/>
  <c r="H280" i="1"/>
  <c r="I280" i="1"/>
  <c r="H281" i="1"/>
  <c r="I281" i="1"/>
  <c r="H282" i="1"/>
  <c r="I282" i="1"/>
  <c r="H284" i="1"/>
  <c r="I284" i="1"/>
  <c r="H285" i="1"/>
  <c r="I285" i="1"/>
  <c r="H286" i="1"/>
  <c r="I286" i="1"/>
  <c r="H287" i="1"/>
  <c r="I287" i="1"/>
  <c r="H288" i="1"/>
  <c r="I288" i="1"/>
  <c r="H289" i="1"/>
  <c r="I289" i="1"/>
  <c r="H290" i="1"/>
  <c r="I290" i="1"/>
  <c r="H291" i="1"/>
  <c r="I291" i="1"/>
  <c r="H292" i="1"/>
  <c r="I292" i="1"/>
  <c r="H293" i="1"/>
  <c r="I293" i="1"/>
  <c r="H294" i="1"/>
  <c r="I294" i="1"/>
  <c r="H295" i="1"/>
  <c r="I295" i="1"/>
  <c r="H296" i="1"/>
  <c r="I296" i="1"/>
  <c r="H297" i="1"/>
  <c r="I297" i="1"/>
  <c r="H298" i="1"/>
  <c r="I298" i="1"/>
  <c r="H299" i="1"/>
  <c r="I299" i="1"/>
  <c r="H300" i="1"/>
  <c r="I300" i="1"/>
  <c r="H301" i="1"/>
  <c r="I301" i="1"/>
  <c r="H302" i="1"/>
  <c r="I302" i="1"/>
  <c r="H303" i="1"/>
  <c r="I303" i="1"/>
  <c r="H304" i="1"/>
  <c r="I304" i="1"/>
  <c r="H305" i="1"/>
  <c r="I305" i="1"/>
  <c r="H307" i="1"/>
  <c r="I307" i="1"/>
  <c r="H306" i="1"/>
  <c r="I306" i="1"/>
  <c r="H283" i="1"/>
  <c r="I283" i="1"/>
  <c r="H308" i="1"/>
  <c r="I308" i="1"/>
  <c r="H309" i="1"/>
  <c r="I309" i="1"/>
  <c r="H310" i="1"/>
  <c r="I310" i="1"/>
  <c r="H311" i="1"/>
  <c r="I311" i="1"/>
  <c r="H313" i="1"/>
  <c r="I313" i="1"/>
  <c r="H314" i="1"/>
  <c r="I314" i="1"/>
  <c r="H315" i="1"/>
  <c r="I315" i="1"/>
  <c r="H316" i="1"/>
  <c r="I316" i="1"/>
  <c r="H317" i="1"/>
  <c r="I317" i="1"/>
  <c r="H318" i="1"/>
  <c r="I318" i="1"/>
  <c r="H319" i="1"/>
  <c r="I319" i="1"/>
  <c r="H320" i="1"/>
  <c r="I320" i="1"/>
  <c r="H321" i="1"/>
  <c r="I321" i="1"/>
  <c r="H322" i="1"/>
  <c r="I322" i="1"/>
  <c r="H323" i="1"/>
  <c r="I323" i="1"/>
  <c r="H324" i="1"/>
  <c r="I324" i="1"/>
  <c r="H325" i="1"/>
  <c r="I325" i="1"/>
  <c r="H326" i="1"/>
  <c r="I326" i="1"/>
  <c r="H327" i="1"/>
  <c r="I327" i="1"/>
  <c r="H328" i="1"/>
  <c r="I328" i="1"/>
  <c r="H329" i="1"/>
  <c r="H330" i="1"/>
  <c r="H331" i="1"/>
  <c r="H312" i="1"/>
  <c r="H341" i="1"/>
  <c r="H342" i="1"/>
  <c r="H332" i="1"/>
  <c r="H333" i="1"/>
  <c r="H334" i="1"/>
  <c r="H335" i="1"/>
  <c r="H336" i="1"/>
  <c r="H337" i="1"/>
  <c r="H338" i="1"/>
  <c r="H343" i="1"/>
  <c r="H344" i="1"/>
  <c r="H345" i="1"/>
  <c r="H346" i="1"/>
  <c r="H347" i="1"/>
  <c r="K343" i="1"/>
  <c r="K344" i="1"/>
  <c r="K345" i="1"/>
  <c r="K346" i="1"/>
  <c r="K347" i="1"/>
  <c r="K339" i="1"/>
  <c r="K348" i="1"/>
  <c r="K349" i="1"/>
  <c r="K350" i="1"/>
  <c r="K351" i="1"/>
  <c r="K340" i="1"/>
  <c r="I343" i="1"/>
  <c r="I344" i="1"/>
  <c r="I345" i="1"/>
  <c r="I346" i="1"/>
  <c r="I347" i="1"/>
  <c r="I339" i="1"/>
  <c r="I348" i="1"/>
  <c r="I349" i="1"/>
  <c r="I350" i="1"/>
  <c r="I351" i="1"/>
  <c r="I340" i="1"/>
  <c r="C343" i="1"/>
  <c r="C344" i="1"/>
  <c r="C345" i="1"/>
  <c r="C346" i="1"/>
  <c r="C347" i="1"/>
  <c r="C339" i="1"/>
  <c r="C348" i="1"/>
  <c r="C349" i="1"/>
  <c r="C350" i="1"/>
  <c r="C351" i="1"/>
  <c r="C340" i="1"/>
  <c r="E343" i="1"/>
  <c r="E344" i="1"/>
  <c r="E345" i="1"/>
  <c r="E346" i="1"/>
  <c r="E347" i="1"/>
  <c r="E339" i="1"/>
  <c r="E348" i="1"/>
  <c r="E349" i="1"/>
  <c r="E350" i="1"/>
  <c r="E351" i="1"/>
  <c r="E340" i="1"/>
  <c r="H339" i="1"/>
  <c r="H348" i="1"/>
  <c r="H349" i="1"/>
  <c r="H350" i="1"/>
  <c r="H351" i="1"/>
  <c r="H340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12" i="1"/>
  <c r="E341" i="1"/>
  <c r="E342" i="1"/>
  <c r="E332" i="1"/>
  <c r="E333" i="1"/>
  <c r="E334" i="1"/>
  <c r="E335" i="1"/>
  <c r="E336" i="1"/>
  <c r="E337" i="1"/>
  <c r="E338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12" i="1"/>
  <c r="C341" i="1"/>
  <c r="C342" i="1"/>
  <c r="C332" i="1"/>
  <c r="C333" i="1"/>
  <c r="C334" i="1"/>
  <c r="C335" i="1"/>
  <c r="C336" i="1"/>
  <c r="C337" i="1"/>
  <c r="C338" i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12" i="1"/>
  <c r="K341" i="1"/>
  <c r="K342" i="1"/>
  <c r="K332" i="1"/>
  <c r="K333" i="1"/>
  <c r="K334" i="1"/>
  <c r="K335" i="1"/>
  <c r="K336" i="1"/>
  <c r="K337" i="1"/>
  <c r="K338" i="1"/>
  <c r="I329" i="1"/>
  <c r="I330" i="1"/>
  <c r="I331" i="1"/>
  <c r="I312" i="1"/>
  <c r="I341" i="1"/>
  <c r="I342" i="1"/>
  <c r="I332" i="1"/>
  <c r="I333" i="1"/>
  <c r="I334" i="1"/>
  <c r="I335" i="1"/>
  <c r="I336" i="1"/>
  <c r="I337" i="1"/>
  <c r="I338" i="1"/>
  <c r="K308" i="1"/>
  <c r="K309" i="1"/>
  <c r="K310" i="1"/>
  <c r="K311" i="1"/>
  <c r="K307" i="1"/>
  <c r="K306" i="1"/>
  <c r="K283" i="1"/>
  <c r="E308" i="1"/>
  <c r="E309" i="1"/>
  <c r="E310" i="1"/>
  <c r="E311" i="1"/>
  <c r="E307" i="1"/>
  <c r="E306" i="1"/>
  <c r="E283" i="1"/>
  <c r="C308" i="1"/>
  <c r="C309" i="1"/>
  <c r="C310" i="1"/>
  <c r="C311" i="1"/>
  <c r="C307" i="1"/>
  <c r="O10" i="3" s="1"/>
  <c r="C306" i="1"/>
  <c r="C283" i="1"/>
  <c r="Q47" i="6" l="1"/>
  <c r="M432" i="1"/>
  <c r="M429" i="1"/>
  <c r="M430" i="1"/>
  <c r="M320" i="1"/>
  <c r="M343" i="1"/>
  <c r="M428" i="1"/>
  <c r="M310" i="1"/>
  <c r="M427" i="1"/>
  <c r="M383" i="1"/>
  <c r="M431" i="1"/>
  <c r="M333" i="1"/>
  <c r="M342" i="1"/>
  <c r="M425" i="1"/>
  <c r="M426" i="1"/>
  <c r="M350" i="1"/>
  <c r="M309" i="1"/>
  <c r="M332" i="1"/>
  <c r="M327" i="1"/>
  <c r="M319" i="1"/>
  <c r="M349" i="1"/>
  <c r="M359" i="1"/>
  <c r="M370" i="1"/>
  <c r="M411" i="1"/>
  <c r="M415" i="1"/>
  <c r="M404" i="1"/>
  <c r="M375" i="1"/>
  <c r="M419" i="1"/>
  <c r="M416" i="1"/>
  <c r="J3" i="3"/>
  <c r="D38" i="6"/>
  <c r="O32" i="3"/>
  <c r="J25" i="3"/>
  <c r="M326" i="1"/>
  <c r="M418" i="1"/>
  <c r="M380" i="1"/>
  <c r="D42" i="6"/>
  <c r="M341" i="1"/>
  <c r="M325" i="1"/>
  <c r="M317" i="1"/>
  <c r="M339" i="1"/>
  <c r="M237" i="1"/>
  <c r="M393" i="1"/>
  <c r="M397" i="1"/>
  <c r="M379" i="1"/>
  <c r="M407" i="1"/>
  <c r="M423" i="1"/>
  <c r="M414" i="1"/>
  <c r="M403" i="1"/>
  <c r="H41" i="6"/>
  <c r="J13" i="3"/>
  <c r="P21" i="3"/>
  <c r="J34" i="3"/>
  <c r="M371" i="1"/>
  <c r="M374" i="1"/>
  <c r="M412" i="1"/>
  <c r="I59" i="6"/>
  <c r="M337" i="1"/>
  <c r="M324" i="1"/>
  <c r="M316" i="1"/>
  <c r="M347" i="1"/>
  <c r="M352" i="1"/>
  <c r="M391" i="1"/>
  <c r="M377" i="1"/>
  <c r="M398" i="1"/>
  <c r="M384" i="1"/>
  <c r="M409" i="1"/>
  <c r="M400" i="1"/>
  <c r="M390" i="1"/>
  <c r="J35" i="6"/>
  <c r="F44" i="6"/>
  <c r="P17" i="3"/>
  <c r="M328" i="1"/>
  <c r="M348" i="1"/>
  <c r="M401" i="1"/>
  <c r="Q39" i="6"/>
  <c r="M338" i="1"/>
  <c r="M283" i="1"/>
  <c r="M365" i="1"/>
  <c r="M362" i="1"/>
  <c r="M238" i="1"/>
  <c r="O47" i="6"/>
  <c r="R34" i="6"/>
  <c r="T59" i="6"/>
  <c r="O60" i="6"/>
  <c r="H53" i="6"/>
  <c r="U47" i="6"/>
  <c r="O28" i="3"/>
  <c r="K6" i="3"/>
  <c r="P58" i="6"/>
  <c r="S49" i="6"/>
  <c r="D52" i="6"/>
  <c r="T34" i="6"/>
  <c r="H61" i="6"/>
  <c r="J58" i="6"/>
  <c r="C51" i="6"/>
  <c r="G51" i="6"/>
  <c r="T50" i="6"/>
  <c r="O56" i="6"/>
  <c r="J59" i="6"/>
  <c r="D57" i="6"/>
  <c r="S40" i="6"/>
  <c r="M60" i="6"/>
  <c r="G59" i="6"/>
  <c r="O23" i="3"/>
  <c r="M53" i="6"/>
  <c r="H58" i="6"/>
  <c r="K26" i="3"/>
  <c r="F46" i="6"/>
  <c r="Q58" i="6"/>
  <c r="F37" i="6"/>
  <c r="D37" i="6"/>
  <c r="D49" i="6"/>
  <c r="H40" i="6"/>
  <c r="P34" i="6"/>
  <c r="K9" i="3"/>
  <c r="E42" i="6"/>
  <c r="N41" i="6"/>
  <c r="J37" i="6"/>
  <c r="U55" i="6"/>
  <c r="M41" i="6"/>
  <c r="E38" i="6"/>
  <c r="J7" i="3"/>
  <c r="L56" i="6"/>
  <c r="L60" i="6"/>
  <c r="J41" i="6"/>
  <c r="F53" i="6"/>
  <c r="H57" i="6"/>
  <c r="O26" i="3"/>
  <c r="C45" i="6"/>
  <c r="P14" i="3"/>
  <c r="R39" i="6"/>
  <c r="F60" i="6"/>
  <c r="T37" i="6"/>
  <c r="G57" i="6"/>
  <c r="O33" i="3"/>
  <c r="U51" i="6"/>
  <c r="N33" i="6"/>
  <c r="J15" i="3"/>
  <c r="O59" i="6"/>
  <c r="I53" i="6"/>
  <c r="G46" i="6"/>
  <c r="Q48" i="6"/>
  <c r="J10" i="3"/>
  <c r="R56" i="6"/>
  <c r="D55" i="6"/>
  <c r="I33" i="6"/>
  <c r="N59" i="6"/>
  <c r="Q34" i="6"/>
  <c r="J5" i="3"/>
  <c r="C42" i="6"/>
  <c r="Q37" i="6"/>
  <c r="Q40" i="6"/>
  <c r="J26" i="3"/>
  <c r="J16" i="3"/>
  <c r="O12" i="3"/>
  <c r="M417" i="1"/>
  <c r="P23" i="3"/>
  <c r="J49" i="6"/>
  <c r="M44" i="6"/>
  <c r="O41" i="6"/>
  <c r="G39" i="6"/>
  <c r="M239" i="1"/>
  <c r="M355" i="1"/>
  <c r="O2" i="3"/>
  <c r="S60" i="6"/>
  <c r="M59" i="6"/>
  <c r="G58" i="6"/>
  <c r="C50" i="6"/>
  <c r="O6" i="3"/>
  <c r="K34" i="6"/>
  <c r="J32" i="3"/>
  <c r="I58" i="6"/>
  <c r="P33" i="6"/>
  <c r="K53" i="6"/>
  <c r="G43" i="6"/>
  <c r="L52" i="6"/>
  <c r="N48" i="6"/>
  <c r="K41" i="6"/>
  <c r="O34" i="3"/>
  <c r="D45" i="6"/>
  <c r="O49" i="6"/>
  <c r="C61" i="6"/>
  <c r="F42" i="6"/>
  <c r="J45" i="6"/>
  <c r="M58" i="6"/>
  <c r="P61" i="6"/>
  <c r="H34" i="6"/>
  <c r="I43" i="6"/>
  <c r="U61" i="6"/>
  <c r="I50" i="6"/>
  <c r="P7" i="3"/>
  <c r="E36" i="6"/>
  <c r="Q42" i="6"/>
  <c r="U44" i="6"/>
  <c r="K11" i="3"/>
  <c r="N38" i="6"/>
  <c r="H54" i="6"/>
  <c r="J11" i="3"/>
  <c r="G45" i="6"/>
  <c r="C56" i="6"/>
  <c r="L55" i="6"/>
  <c r="K44" i="6"/>
  <c r="S57" i="6"/>
  <c r="O58" i="6"/>
  <c r="R45" i="6"/>
  <c r="E50" i="6"/>
  <c r="T58" i="6"/>
  <c r="N45" i="6"/>
  <c r="N50" i="6"/>
  <c r="U52" i="6"/>
  <c r="R55" i="6"/>
  <c r="Q60" i="6"/>
  <c r="K4" i="3"/>
  <c r="H33" i="6"/>
  <c r="S43" i="6"/>
  <c r="P53" i="6"/>
  <c r="M45" i="6"/>
  <c r="O17" i="3"/>
  <c r="N46" i="6"/>
  <c r="I57" i="6"/>
  <c r="R35" i="6"/>
  <c r="D58" i="6"/>
  <c r="K19" i="3"/>
  <c r="O13" i="3"/>
  <c r="Q51" i="6"/>
  <c r="F56" i="6"/>
  <c r="H36" i="6"/>
  <c r="J57" i="6"/>
  <c r="M37" i="6"/>
  <c r="P57" i="6"/>
  <c r="U39" i="6"/>
  <c r="P8" i="3"/>
  <c r="F34" i="6"/>
  <c r="E44" i="6"/>
  <c r="F45" i="6"/>
  <c r="N60" i="6"/>
  <c r="L40" i="6"/>
  <c r="L57" i="6"/>
  <c r="M49" i="6"/>
  <c r="S39" i="6"/>
  <c r="D40" i="6"/>
  <c r="Q33" i="6"/>
  <c r="K30" i="3"/>
  <c r="I47" i="6"/>
  <c r="M367" i="1"/>
  <c r="M235" i="1"/>
  <c r="D50" i="6"/>
  <c r="K58" i="6"/>
  <c r="N61" i="6"/>
  <c r="D61" i="6"/>
  <c r="M42" i="6"/>
  <c r="J20" i="3"/>
  <c r="O18" i="3"/>
  <c r="S38" i="6"/>
  <c r="Q46" i="6"/>
  <c r="S34" i="6"/>
  <c r="S36" i="6"/>
  <c r="S41" i="6"/>
  <c r="O40" i="6"/>
  <c r="G38" i="6"/>
  <c r="P10" i="3"/>
  <c r="J14" i="3"/>
  <c r="O21" i="3"/>
  <c r="T47" i="6"/>
  <c r="P20" i="3"/>
  <c r="T45" i="6"/>
  <c r="D33" i="6"/>
  <c r="K12" i="3"/>
  <c r="P33" i="3"/>
  <c r="C55" i="6"/>
  <c r="I40" i="6"/>
  <c r="H37" i="6"/>
  <c r="H38" i="6"/>
  <c r="P4" i="3"/>
  <c r="R44" i="6"/>
  <c r="E57" i="6"/>
  <c r="F51" i="6"/>
  <c r="J54" i="6"/>
  <c r="J61" i="6"/>
  <c r="P25" i="3"/>
  <c r="L53" i="6"/>
  <c r="O55" i="6"/>
  <c r="J52" i="6"/>
  <c r="U49" i="6"/>
  <c r="J21" i="3"/>
  <c r="N47" i="6"/>
  <c r="L61" i="6"/>
  <c r="C59" i="6"/>
  <c r="N42" i="6"/>
  <c r="M52" i="6"/>
  <c r="R36" i="6"/>
  <c r="T41" i="6"/>
  <c r="J4" i="3"/>
  <c r="I37" i="6"/>
  <c r="J60" i="6"/>
  <c r="M40" i="6"/>
  <c r="F52" i="6"/>
  <c r="C54" i="6"/>
  <c r="L50" i="6"/>
  <c r="C39" i="6"/>
  <c r="O36" i="6"/>
  <c r="R41" i="6"/>
  <c r="H55" i="6"/>
  <c r="R46" i="6"/>
  <c r="K24" i="3"/>
  <c r="D60" i="6"/>
  <c r="R49" i="6"/>
  <c r="E35" i="6"/>
  <c r="P60" i="6"/>
  <c r="N57" i="6"/>
  <c r="K35" i="6"/>
  <c r="R43" i="6"/>
  <c r="U43" i="6"/>
  <c r="H48" i="6"/>
  <c r="E41" i="6"/>
  <c r="M50" i="6"/>
  <c r="G33" i="6"/>
  <c r="O30" i="3"/>
  <c r="G49" i="6"/>
  <c r="K21" i="3"/>
  <c r="O43" i="6"/>
  <c r="O27" i="3"/>
  <c r="F47" i="6"/>
  <c r="I52" i="6"/>
  <c r="O34" i="6"/>
  <c r="M55" i="6"/>
  <c r="F50" i="6"/>
  <c r="M354" i="1"/>
  <c r="K31" i="3"/>
  <c r="F48" i="6"/>
  <c r="E60" i="6"/>
  <c r="Q57" i="6"/>
  <c r="P55" i="6"/>
  <c r="J36" i="6"/>
  <c r="T35" i="6"/>
  <c r="K23" i="3"/>
  <c r="P35" i="6"/>
  <c r="Q36" i="6"/>
  <c r="N36" i="6"/>
  <c r="T38" i="6"/>
  <c r="O7" i="3"/>
  <c r="L51" i="6"/>
  <c r="G55" i="6"/>
  <c r="L47" i="6"/>
  <c r="N54" i="6"/>
  <c r="K45" i="6"/>
  <c r="I45" i="6"/>
  <c r="I46" i="6"/>
  <c r="G47" i="6"/>
  <c r="O33" i="6"/>
  <c r="K13" i="3"/>
  <c r="T57" i="6"/>
  <c r="K52" i="6"/>
  <c r="O57" i="6"/>
  <c r="H42" i="6"/>
  <c r="S44" i="6"/>
  <c r="J43" i="6"/>
  <c r="R48" i="6"/>
  <c r="D43" i="6"/>
  <c r="M54" i="6"/>
  <c r="T44" i="6"/>
  <c r="O45" i="6"/>
  <c r="P50" i="6"/>
  <c r="P11" i="3"/>
  <c r="P38" i="6"/>
  <c r="P34" i="3"/>
  <c r="J51" i="6"/>
  <c r="J53" i="6"/>
  <c r="K50" i="6"/>
  <c r="E61" i="6"/>
  <c r="T61" i="6"/>
  <c r="U46" i="6"/>
  <c r="E54" i="6"/>
  <c r="P59" i="6"/>
  <c r="P2" i="3"/>
  <c r="M36" i="6"/>
  <c r="P36" i="6"/>
  <c r="R58" i="6"/>
  <c r="R60" i="6"/>
  <c r="H35" i="6"/>
  <c r="S46" i="6"/>
  <c r="N52" i="6"/>
  <c r="J22" i="3"/>
  <c r="I49" i="6"/>
  <c r="C36" i="6"/>
  <c r="K55" i="6"/>
  <c r="S55" i="6"/>
  <c r="N34" i="6"/>
  <c r="L58" i="6"/>
  <c r="G53" i="6"/>
  <c r="R54" i="6"/>
  <c r="L59" i="6"/>
  <c r="G60" i="6"/>
  <c r="T33" i="6"/>
  <c r="P54" i="6"/>
  <c r="F43" i="6"/>
  <c r="C34" i="6"/>
  <c r="T42" i="6"/>
  <c r="D46" i="6"/>
  <c r="N53" i="6"/>
  <c r="N35" i="6"/>
  <c r="O48" i="6"/>
  <c r="J31" i="3"/>
  <c r="G44" i="6"/>
  <c r="C35" i="6"/>
  <c r="M234" i="1"/>
  <c r="U45" i="6"/>
  <c r="C52" i="6"/>
  <c r="I44" i="6"/>
  <c r="C38" i="6"/>
  <c r="Q50" i="6"/>
  <c r="R50" i="6"/>
  <c r="M357" i="1"/>
  <c r="J27" i="3"/>
  <c r="T48" i="6"/>
  <c r="E58" i="6"/>
  <c r="F35" i="6"/>
  <c r="Q35" i="6"/>
  <c r="D54" i="6"/>
  <c r="M57" i="6"/>
  <c r="K54" i="6"/>
  <c r="E56" i="6"/>
  <c r="J39" i="6"/>
  <c r="P31" i="3"/>
  <c r="O50" i="6"/>
  <c r="K14" i="3"/>
  <c r="J28" i="3"/>
  <c r="F36" i="6"/>
  <c r="C53" i="6"/>
  <c r="R51" i="6"/>
  <c r="H51" i="6"/>
  <c r="C60" i="6"/>
  <c r="I55" i="6"/>
  <c r="O19" i="3"/>
  <c r="L37" i="6"/>
  <c r="S50" i="6"/>
  <c r="F33" i="6"/>
  <c r="K17" i="3"/>
  <c r="J33" i="6"/>
  <c r="S47" i="6"/>
  <c r="Q41" i="6"/>
  <c r="J56" i="6"/>
  <c r="R42" i="6"/>
  <c r="P22" i="3"/>
  <c r="K51" i="6"/>
  <c r="O25" i="3"/>
  <c r="K8" i="3"/>
  <c r="R61" i="6"/>
  <c r="K48" i="6"/>
  <c r="F57" i="6"/>
  <c r="O37" i="6"/>
  <c r="E48" i="6"/>
  <c r="G42" i="6"/>
  <c r="L49" i="6"/>
  <c r="G35" i="6"/>
  <c r="M61" i="6"/>
  <c r="G41" i="6"/>
  <c r="K29" i="3"/>
  <c r="Q61" i="6"/>
  <c r="U53" i="6"/>
  <c r="P44" i="6"/>
  <c r="E33" i="6"/>
  <c r="L48" i="6"/>
  <c r="F59" i="6"/>
  <c r="K46" i="6"/>
  <c r="L41" i="6"/>
  <c r="K7" i="3"/>
  <c r="U41" i="6"/>
  <c r="P43" i="6"/>
  <c r="K22" i="3"/>
  <c r="P6" i="3"/>
  <c r="J18" i="3"/>
  <c r="O20" i="3"/>
  <c r="G36" i="6"/>
  <c r="P29" i="3"/>
  <c r="C40" i="6"/>
  <c r="E59" i="6"/>
  <c r="S61" i="6"/>
  <c r="Q52" i="6"/>
  <c r="U38" i="6"/>
  <c r="L42" i="6"/>
  <c r="K18" i="3"/>
  <c r="E45" i="6"/>
  <c r="J24" i="3"/>
  <c r="O4" i="3"/>
  <c r="G61" i="6"/>
  <c r="U35" i="6"/>
  <c r="O16" i="3"/>
  <c r="H43" i="6"/>
  <c r="Q45" i="6"/>
  <c r="I41" i="6"/>
  <c r="D41" i="6"/>
  <c r="K33" i="3"/>
  <c r="O3" i="3"/>
  <c r="J34" i="6"/>
  <c r="H52" i="6"/>
  <c r="M353" i="1"/>
  <c r="K10" i="3"/>
  <c r="P32" i="3"/>
  <c r="N43" i="6"/>
  <c r="M51" i="6"/>
  <c r="R33" i="6"/>
  <c r="K2" i="3"/>
  <c r="R53" i="6"/>
  <c r="K43" i="6"/>
  <c r="J50" i="6"/>
  <c r="G34" i="6"/>
  <c r="O42" i="6"/>
  <c r="U36" i="6"/>
  <c r="G40" i="6"/>
  <c r="K5" i="3"/>
  <c r="S33" i="6"/>
  <c r="K57" i="6"/>
  <c r="J2" i="3"/>
  <c r="C46" i="6"/>
  <c r="O61" i="6"/>
  <c r="K49" i="6"/>
  <c r="M38" i="6"/>
  <c r="S56" i="6"/>
  <c r="L45" i="6"/>
  <c r="H44" i="6"/>
  <c r="P30" i="3"/>
  <c r="K25" i="3"/>
  <c r="L43" i="6"/>
  <c r="T60" i="6"/>
  <c r="E37" i="6"/>
  <c r="P49" i="6"/>
  <c r="O11" i="3"/>
  <c r="L44" i="6"/>
  <c r="S35" i="6"/>
  <c r="S37" i="6"/>
  <c r="P3" i="3"/>
  <c r="P9" i="3"/>
  <c r="E40" i="6"/>
  <c r="J23" i="3"/>
  <c r="J12" i="3"/>
  <c r="L39" i="6"/>
  <c r="L34" i="6"/>
  <c r="J48" i="6"/>
  <c r="O46" i="6"/>
  <c r="J44" i="6"/>
  <c r="H56" i="6"/>
  <c r="R52" i="6"/>
  <c r="Q56" i="6"/>
  <c r="J42" i="6"/>
  <c r="J29" i="3"/>
  <c r="P15" i="3"/>
  <c r="P42" i="6"/>
  <c r="O8" i="3"/>
  <c r="Q43" i="6"/>
  <c r="R37" i="6"/>
  <c r="D39" i="6"/>
  <c r="E47" i="6"/>
  <c r="M48" i="6"/>
  <c r="E55" i="6"/>
  <c r="N44" i="6"/>
  <c r="C41" i="6"/>
  <c r="J6" i="3"/>
  <c r="S45" i="6"/>
  <c r="F39" i="6"/>
  <c r="F61" i="6"/>
  <c r="H46" i="6"/>
  <c r="O51" i="6"/>
  <c r="L35" i="6"/>
  <c r="E51" i="6"/>
  <c r="P37" i="6"/>
  <c r="E34" i="6"/>
  <c r="N56" i="6"/>
  <c r="N51" i="6"/>
  <c r="C57" i="6"/>
  <c r="E46" i="6"/>
  <c r="J38" i="6"/>
  <c r="D36" i="6"/>
  <c r="M35" i="6"/>
  <c r="F41" i="6"/>
  <c r="P40" i="6"/>
  <c r="P24" i="3"/>
  <c r="E53" i="6"/>
  <c r="M366" i="1"/>
  <c r="T56" i="6"/>
  <c r="O35" i="6"/>
  <c r="K40" i="6"/>
  <c r="E49" i="6"/>
  <c r="N37" i="6"/>
  <c r="P19" i="3"/>
  <c r="P28" i="3"/>
  <c r="G56" i="6"/>
  <c r="M46" i="6"/>
  <c r="H39" i="6"/>
  <c r="C43" i="6"/>
  <c r="J47" i="6"/>
  <c r="H45" i="6"/>
  <c r="I60" i="6"/>
  <c r="P26" i="3"/>
  <c r="O31" i="3"/>
  <c r="O39" i="6"/>
  <c r="T51" i="6"/>
  <c r="J19" i="3"/>
  <c r="I36" i="6"/>
  <c r="T53" i="6"/>
  <c r="K16" i="3"/>
  <c r="G50" i="6"/>
  <c r="I56" i="6"/>
  <c r="E39" i="6"/>
  <c r="M34" i="6"/>
  <c r="K37" i="6"/>
  <c r="H59" i="6"/>
  <c r="H60" i="6"/>
  <c r="J40" i="6"/>
  <c r="L33" i="6"/>
  <c r="D34" i="6"/>
  <c r="U60" i="6"/>
  <c r="U50" i="6"/>
  <c r="L36" i="6"/>
  <c r="M56" i="6"/>
  <c r="K60" i="6"/>
  <c r="K36" i="6"/>
  <c r="O29" i="3"/>
  <c r="O22" i="3"/>
  <c r="I38" i="6"/>
  <c r="U40" i="6"/>
  <c r="S42" i="6"/>
  <c r="K39" i="6"/>
  <c r="H50" i="6"/>
  <c r="R57" i="6"/>
  <c r="T40" i="6"/>
  <c r="F38" i="6"/>
  <c r="I51" i="6"/>
  <c r="K47" i="6"/>
  <c r="D51" i="6"/>
  <c r="J33" i="3"/>
  <c r="G52" i="6"/>
  <c r="T43" i="6"/>
  <c r="R59" i="6"/>
  <c r="U54" i="6"/>
  <c r="S48" i="6"/>
  <c r="E52" i="6"/>
  <c r="G37" i="6"/>
  <c r="I39" i="6"/>
  <c r="S54" i="6"/>
  <c r="J55" i="6"/>
  <c r="F54" i="6"/>
  <c r="D48" i="6"/>
  <c r="C33" i="6"/>
  <c r="O54" i="6"/>
  <c r="P52" i="6"/>
  <c r="R38" i="6"/>
  <c r="U48" i="6"/>
  <c r="Q59" i="6"/>
  <c r="H49" i="6"/>
  <c r="U42" i="6"/>
  <c r="D35" i="6"/>
  <c r="N55" i="6"/>
  <c r="K38" i="6"/>
  <c r="P41" i="6"/>
  <c r="P27" i="3"/>
  <c r="U56" i="6"/>
  <c r="T39" i="6"/>
  <c r="G54" i="6"/>
  <c r="K32" i="3"/>
  <c r="M358" i="1"/>
  <c r="M47" i="6"/>
  <c r="P45" i="6"/>
  <c r="C47" i="6"/>
  <c r="J9" i="3"/>
  <c r="L46" i="6"/>
  <c r="R40" i="6"/>
  <c r="T52" i="6"/>
  <c r="J17" i="3"/>
  <c r="S59" i="6"/>
  <c r="Q53" i="6"/>
  <c r="I35" i="6"/>
  <c r="S51" i="6"/>
  <c r="S58" i="6"/>
  <c r="U59" i="6"/>
  <c r="M39" i="6"/>
  <c r="T36" i="6"/>
  <c r="F58" i="6"/>
  <c r="P5" i="3"/>
  <c r="P39" i="6"/>
  <c r="O44" i="6"/>
  <c r="O52" i="6"/>
  <c r="L54" i="6"/>
  <c r="P46" i="6"/>
  <c r="P48" i="6"/>
  <c r="O9" i="3"/>
  <c r="K59" i="6"/>
  <c r="K42" i="6"/>
  <c r="I61" i="6"/>
  <c r="D59" i="6"/>
  <c r="O38" i="6"/>
  <c r="K3" i="3"/>
  <c r="F49" i="6"/>
  <c r="U58" i="6"/>
  <c r="U57" i="6"/>
  <c r="U37" i="6"/>
  <c r="C44" i="6"/>
  <c r="C58" i="6"/>
  <c r="G48" i="6"/>
  <c r="M33" i="6"/>
  <c r="P13" i="3"/>
  <c r="T49" i="6"/>
  <c r="H47" i="6"/>
  <c r="U33" i="6"/>
  <c r="K20" i="3"/>
  <c r="M43" i="6"/>
  <c r="K56" i="6"/>
  <c r="P47" i="6"/>
  <c r="Q38" i="6"/>
  <c r="J8" i="3"/>
  <c r="D56" i="6"/>
  <c r="T55" i="6"/>
  <c r="U34" i="6"/>
  <c r="Q54" i="6"/>
  <c r="T46" i="6"/>
  <c r="K61" i="6"/>
  <c r="E43" i="6"/>
  <c r="F55" i="6"/>
  <c r="I34" i="6"/>
  <c r="D53" i="6"/>
  <c r="P18" i="3"/>
  <c r="S52" i="6"/>
  <c r="F40" i="6"/>
  <c r="L38" i="6"/>
  <c r="C49" i="6"/>
  <c r="O15" i="3"/>
  <c r="P16" i="3"/>
  <c r="K34" i="3"/>
  <c r="P56" i="6"/>
  <c r="D44" i="6"/>
  <c r="C37" i="6"/>
  <c r="P51" i="6"/>
  <c r="O24" i="3"/>
  <c r="D47" i="6"/>
  <c r="O14" i="3"/>
  <c r="C48" i="6"/>
  <c r="N40" i="6"/>
  <c r="N58" i="6"/>
  <c r="Q44" i="6"/>
  <c r="K28" i="3"/>
  <c r="Q49" i="6"/>
  <c r="M312" i="1"/>
  <c r="M306" i="1"/>
  <c r="M336" i="1"/>
  <c r="M331" i="1"/>
  <c r="M323" i="1"/>
  <c r="M315" i="1"/>
  <c r="M346" i="1"/>
  <c r="M361" i="1"/>
  <c r="M363" i="1"/>
  <c r="M413" i="1"/>
  <c r="M424" i="1"/>
  <c r="M420" i="1"/>
  <c r="M388" i="1"/>
  <c r="M392" i="1"/>
  <c r="M396" i="1"/>
  <c r="M405" i="1"/>
  <c r="Q55" i="6"/>
  <c r="P12" i="3"/>
  <c r="N39" i="6"/>
  <c r="O53" i="6"/>
  <c r="M308" i="1"/>
  <c r="M236" i="1"/>
  <c r="M335" i="1"/>
  <c r="M330" i="1"/>
  <c r="M322" i="1"/>
  <c r="M314" i="1"/>
  <c r="M340" i="1"/>
  <c r="M345" i="1"/>
  <c r="M364" i="1"/>
  <c r="M372" i="1"/>
  <c r="M381" i="1"/>
  <c r="M402" i="1"/>
  <c r="M376" i="1"/>
  <c r="M394" i="1"/>
  <c r="M422" i="1"/>
  <c r="M373" i="1"/>
  <c r="J30" i="3"/>
  <c r="T54" i="6"/>
  <c r="K27" i="3"/>
  <c r="I42" i="6"/>
  <c r="M318" i="1"/>
  <c r="M307" i="1"/>
  <c r="M311" i="1"/>
  <c r="M334" i="1"/>
  <c r="M329" i="1"/>
  <c r="M321" i="1"/>
  <c r="M313" i="1"/>
  <c r="M351" i="1"/>
  <c r="M344" i="1"/>
  <c r="M356" i="1"/>
  <c r="M368" i="1"/>
  <c r="M386" i="1"/>
  <c r="M395" i="1"/>
  <c r="M385" i="1"/>
  <c r="M378" i="1"/>
  <c r="M410" i="1"/>
  <c r="M406" i="1"/>
  <c r="I48" i="6"/>
  <c r="N49" i="6"/>
  <c r="I54" i="6"/>
  <c r="J46" i="6"/>
  <c r="M360" i="1"/>
  <c r="M369" i="1"/>
  <c r="M387" i="1"/>
  <c r="M421" i="1"/>
  <c r="M389" i="1"/>
  <c r="M382" i="1"/>
  <c r="M399" i="1"/>
  <c r="M408" i="1"/>
  <c r="K15" i="3"/>
  <c r="S53" i="6"/>
  <c r="O5" i="3"/>
  <c r="K33" i="6"/>
  <c r="R47" i="6"/>
  <c r="D4" i="7"/>
  <c r="C9" i="7"/>
  <c r="C8" i="7"/>
  <c r="C7" i="7"/>
  <c r="C6" i="7"/>
  <c r="C5" i="7"/>
  <c r="C4" i="7"/>
  <c r="C3" i="7"/>
  <c r="C2" i="7"/>
  <c r="B9" i="7"/>
  <c r="B8" i="7"/>
  <c r="B7" i="7"/>
  <c r="B6" i="7"/>
  <c r="B5" i="7"/>
  <c r="B4" i="7"/>
  <c r="B3" i="7"/>
  <c r="B2" i="7"/>
  <c r="V59" i="6" l="1"/>
  <c r="V61" i="6"/>
  <c r="V58" i="6"/>
  <c r="V60" i="6"/>
  <c r="V57" i="6"/>
  <c r="V56" i="6"/>
  <c r="V55" i="6"/>
  <c r="V54" i="6"/>
  <c r="V52" i="6"/>
  <c r="V51" i="6"/>
  <c r="V53" i="6"/>
  <c r="V50" i="6"/>
  <c r="V49" i="6"/>
  <c r="V48" i="6"/>
  <c r="V47" i="6"/>
  <c r="V46" i="6"/>
  <c r="V43" i="6"/>
  <c r="V45" i="6"/>
  <c r="V44" i="6"/>
  <c r="A3" i="6"/>
  <c r="A4" i="6" s="1"/>
  <c r="A5" i="6" s="1"/>
  <c r="A6" i="6" s="1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6" i="6" s="1"/>
  <c r="A47" i="6" s="1"/>
  <c r="A48" i="6" s="1"/>
  <c r="A49" i="6" s="1"/>
  <c r="A50" i="6" s="1"/>
  <c r="A51" i="6" s="1"/>
  <c r="A52" i="6" s="1"/>
  <c r="A53" i="6" s="1"/>
  <c r="A54" i="6" s="1"/>
  <c r="A55" i="6" s="1"/>
  <c r="A56" i="6" s="1"/>
  <c r="A57" i="6" s="1"/>
  <c r="A58" i="6" s="1"/>
  <c r="A59" i="6" s="1"/>
  <c r="A60" i="6" s="1"/>
  <c r="A61" i="6" s="1"/>
  <c r="A62" i="6" s="1"/>
  <c r="D2" i="7" l="1"/>
  <c r="E2" i="7" s="1"/>
  <c r="D3" i="7"/>
  <c r="E3" i="7" s="1"/>
  <c r="E4" i="7"/>
  <c r="D5" i="7"/>
  <c r="E5" i="7" s="1"/>
  <c r="D6" i="7"/>
  <c r="E6" i="7" s="1"/>
  <c r="D7" i="7"/>
  <c r="E7" i="7" s="1"/>
  <c r="D8" i="7"/>
  <c r="E8" i="7" s="1"/>
  <c r="D9" i="7"/>
  <c r="E9" i="7" s="1"/>
  <c r="Q2" i="3" l="1"/>
  <c r="V41" i="6"/>
  <c r="V42" i="6"/>
  <c r="V40" i="6"/>
  <c r="H2" i="3"/>
  <c r="I2" i="3" s="1"/>
  <c r="M2" i="3" s="1"/>
  <c r="V37" i="6"/>
  <c r="V33" i="6"/>
  <c r="V34" i="6"/>
  <c r="V36" i="6"/>
  <c r="V38" i="6"/>
  <c r="V35" i="6"/>
  <c r="V39" i="6"/>
  <c r="L23" i="3"/>
  <c r="L9" i="3"/>
  <c r="L15" i="3"/>
  <c r="H7" i="3"/>
  <c r="I7" i="3" s="1"/>
  <c r="M7" i="3" s="1"/>
  <c r="N7" i="3" s="1"/>
  <c r="R7" i="3" s="1"/>
  <c r="L27" i="3"/>
  <c r="Q29" i="3"/>
  <c r="L22" i="3"/>
  <c r="Q15" i="3"/>
  <c r="H17" i="3"/>
  <c r="I17" i="3" s="1"/>
  <c r="M17" i="3" s="1"/>
  <c r="N17" i="3" s="1"/>
  <c r="R17" i="3" s="1"/>
  <c r="H20" i="3"/>
  <c r="I20" i="3" s="1"/>
  <c r="M20" i="3" s="1"/>
  <c r="N20" i="3" s="1"/>
  <c r="R20" i="3" s="1"/>
  <c r="H14" i="3"/>
  <c r="I14" i="3" s="1"/>
  <c r="M14" i="3" s="1"/>
  <c r="N14" i="3" s="1"/>
  <c r="R14" i="3" s="1"/>
  <c r="Q16" i="3"/>
  <c r="H16" i="3"/>
  <c r="I16" i="3" s="1"/>
  <c r="M16" i="3" s="1"/>
  <c r="N16" i="3" s="1"/>
  <c r="R16" i="3" s="1"/>
  <c r="L30" i="3"/>
  <c r="L10" i="3"/>
  <c r="H21" i="3"/>
  <c r="I21" i="3" s="1"/>
  <c r="M21" i="3" s="1"/>
  <c r="N21" i="3" s="1"/>
  <c r="R21" i="3" s="1"/>
  <c r="H24" i="3"/>
  <c r="I24" i="3" s="1"/>
  <c r="M24" i="3" s="1"/>
  <c r="N24" i="3" s="1"/>
  <c r="R24" i="3" s="1"/>
  <c r="H15" i="3"/>
  <c r="I15" i="3" s="1"/>
  <c r="M15" i="3" s="1"/>
  <c r="N15" i="3" s="1"/>
  <c r="R15" i="3" s="1"/>
  <c r="H13" i="3"/>
  <c r="I13" i="3" s="1"/>
  <c r="M13" i="3" s="1"/>
  <c r="N13" i="3" s="1"/>
  <c r="R13" i="3" s="1"/>
  <c r="H27" i="3"/>
  <c r="I27" i="3" s="1"/>
  <c r="M27" i="3" s="1"/>
  <c r="N27" i="3" s="1"/>
  <c r="R27" i="3" s="1"/>
  <c r="L18" i="3"/>
  <c r="H25" i="3"/>
  <c r="I25" i="3" s="1"/>
  <c r="M25" i="3" s="1"/>
  <c r="N25" i="3" s="1"/>
  <c r="R25" i="3" s="1"/>
  <c r="L31" i="3"/>
  <c r="Q14" i="3"/>
  <c r="Q4" i="3"/>
  <c r="Q6" i="3"/>
  <c r="Q27" i="3"/>
  <c r="Q33" i="3"/>
  <c r="L3" i="3"/>
  <c r="L20" i="3"/>
  <c r="H11" i="3"/>
  <c r="I11" i="3" s="1"/>
  <c r="M11" i="3" s="1"/>
  <c r="N11" i="3" s="1"/>
  <c r="R11" i="3" s="1"/>
  <c r="H26" i="3"/>
  <c r="I26" i="3" s="1"/>
  <c r="M26" i="3" s="1"/>
  <c r="N26" i="3" s="1"/>
  <c r="R26" i="3" s="1"/>
  <c r="L28" i="3"/>
  <c r="Q5" i="3"/>
  <c r="L34" i="3"/>
  <c r="Q17" i="3"/>
  <c r="Q20" i="3"/>
  <c r="L11" i="3"/>
  <c r="L24" i="3"/>
  <c r="L13" i="3"/>
  <c r="H33" i="3"/>
  <c r="I33" i="3" s="1"/>
  <c r="M33" i="3" s="1"/>
  <c r="N33" i="3" s="1"/>
  <c r="R33" i="3" s="1"/>
  <c r="Q13" i="3"/>
  <c r="L14" i="3"/>
  <c r="L7" i="3"/>
  <c r="Q25" i="3"/>
  <c r="L21" i="3"/>
  <c r="L16" i="3"/>
  <c r="Q7" i="3"/>
  <c r="L25" i="3"/>
  <c r="L33" i="3"/>
  <c r="L4" i="3"/>
  <c r="L6" i="3"/>
  <c r="Q21" i="3"/>
  <c r="Q26" i="3"/>
  <c r="L17" i="3"/>
  <c r="Q11" i="3"/>
  <c r="L26" i="3"/>
  <c r="Q24" i="3"/>
  <c r="L2" i="3"/>
  <c r="L32" i="3"/>
  <c r="L19" i="3"/>
  <c r="H28" i="3"/>
  <c r="I28" i="3" s="1"/>
  <c r="M28" i="3" s="1"/>
  <c r="N28" i="3" s="1"/>
  <c r="R28" i="3" s="1"/>
  <c r="H31" i="3"/>
  <c r="I31" i="3" s="1"/>
  <c r="M31" i="3" s="1"/>
  <c r="N31" i="3" s="1"/>
  <c r="R31" i="3" s="1"/>
  <c r="H8" i="3"/>
  <c r="I8" i="3" s="1"/>
  <c r="M8" i="3" s="1"/>
  <c r="N8" i="3" s="1"/>
  <c r="R8" i="3" s="1"/>
  <c r="L12" i="3"/>
  <c r="H29" i="3"/>
  <c r="I29" i="3" s="1"/>
  <c r="M29" i="3" s="1"/>
  <c r="N29" i="3" s="1"/>
  <c r="R29" i="3" s="1"/>
  <c r="Q23" i="3"/>
  <c r="H9" i="3"/>
  <c r="I9" i="3" s="1"/>
  <c r="M9" i="3" s="1"/>
  <c r="N9" i="3" s="1"/>
  <c r="R9" i="3" s="1"/>
  <c r="Q31" i="3"/>
  <c r="Q19" i="3"/>
  <c r="H32" i="3"/>
  <c r="I32" i="3" s="1"/>
  <c r="M32" i="3" s="1"/>
  <c r="N32" i="3" s="1"/>
  <c r="R32" i="3" s="1"/>
  <c r="L8" i="3"/>
  <c r="Q34" i="3"/>
  <c r="Q9" i="3"/>
  <c r="L5" i="3"/>
  <c r="Q8" i="3"/>
  <c r="Q3" i="3"/>
  <c r="L29" i="3"/>
  <c r="Q32" i="3"/>
  <c r="Q22" i="3"/>
  <c r="Q10" i="3"/>
  <c r="Q12" i="3"/>
  <c r="Q30" i="3"/>
  <c r="Q18" i="3"/>
  <c r="Q28" i="3"/>
  <c r="H34" i="3"/>
  <c r="I34" i="3" s="1"/>
  <c r="M34" i="3" s="1"/>
  <c r="N34" i="3" s="1"/>
  <c r="R34" i="3" s="1"/>
  <c r="H30" i="3"/>
  <c r="I30" i="3" s="1"/>
  <c r="M30" i="3" s="1"/>
  <c r="N30" i="3" s="1"/>
  <c r="R30" i="3" s="1"/>
  <c r="H12" i="3"/>
  <c r="I12" i="3" s="1"/>
  <c r="M12" i="3" s="1"/>
  <c r="N12" i="3" s="1"/>
  <c r="R12" i="3" s="1"/>
  <c r="H19" i="3"/>
  <c r="I19" i="3" s="1"/>
  <c r="M19" i="3" s="1"/>
  <c r="N19" i="3" s="1"/>
  <c r="R19" i="3" s="1"/>
  <c r="H22" i="3"/>
  <c r="I22" i="3" s="1"/>
  <c r="M22" i="3" s="1"/>
  <c r="N22" i="3" s="1"/>
  <c r="R22" i="3" s="1"/>
  <c r="H18" i="3"/>
  <c r="I18" i="3" s="1"/>
  <c r="M18" i="3" s="1"/>
  <c r="N18" i="3" s="1"/>
  <c r="R18" i="3" s="1"/>
  <c r="H10" i="3"/>
  <c r="I10" i="3" s="1"/>
  <c r="M10" i="3" s="1"/>
  <c r="N10" i="3" s="1"/>
  <c r="R10" i="3" s="1"/>
  <c r="H23" i="3"/>
  <c r="I23" i="3" s="1"/>
  <c r="M23" i="3" s="1"/>
  <c r="N23" i="3" s="1"/>
  <c r="R23" i="3" s="1"/>
  <c r="H3" i="3"/>
  <c r="I3" i="3" s="1"/>
  <c r="H5" i="3"/>
  <c r="I5" i="3" s="1"/>
  <c r="M5" i="3" s="1"/>
  <c r="N5" i="3" s="1"/>
  <c r="R5" i="3" s="1"/>
  <c r="H6" i="3"/>
  <c r="I6" i="3" s="1"/>
  <c r="M6" i="3" s="1"/>
  <c r="N6" i="3" s="1"/>
  <c r="R6" i="3" s="1"/>
  <c r="H4" i="3"/>
  <c r="I4" i="3" l="1"/>
  <c r="M4" i="3" s="1"/>
  <c r="N4" i="3" s="1"/>
  <c r="R4" i="3" s="1"/>
  <c r="M3" i="3"/>
  <c r="N3" i="3" s="1"/>
  <c r="R3" i="3" s="1"/>
  <c r="N2" i="3" l="1"/>
  <c r="R2" i="3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1F6C919-78A0-4491-B58A-D8A08C6B2ACB}" keepAlive="1" name="Consulta - Tabla1" description="Conexión a la consulta 'Tabla1' en el libro." type="5" refreshedVersion="8" background="1" saveData="1">
    <dbPr connection="Provider=Microsoft.Mashup.OleDb.1;Data Source=$Workbook$;Location=Tabla1;Extended Properties=&quot;&quot;" command="SELECT * FROM [Tabla1]"/>
  </connection>
  <connection id="2" xr16:uid="{D01B749E-31CB-49E8-B029-82D2CE3B7FBD}" keepAlive="1" name="Consulta - Tabla3" description="Conexión a la consulta 'Tabla3' en el libro." type="5" refreshedVersion="0" background="1" saveData="1">
    <dbPr connection="Provider=Microsoft.Mashup.OleDb.1;Data Source=$Workbook$;Location=Tabla3;Extended Properties=&quot;&quot;" command="SELECT * FROM [Tabla3]"/>
  </connection>
  <connection id="3" xr16:uid="{2D4E70FB-DB25-4731-9C78-700B01FD0A55}" keepAlive="1" name="Consulta - Tabla3 (2)" description="Conexión a la consulta 'Tabla3 (2)' en el libro." type="5" refreshedVersion="8" background="1" saveData="1">
    <dbPr connection="Provider=Microsoft.Mashup.OleDb.1;Data Source=$Workbook$;Location=&quot;Tabla3 (2)&quot;;Extended Properties=&quot;&quot;" command="SELECT * FROM [Tabla3 (2)]"/>
  </connection>
</connections>
</file>

<file path=xl/sharedStrings.xml><?xml version="1.0" encoding="utf-8"?>
<sst xmlns="http://schemas.openxmlformats.org/spreadsheetml/2006/main" count="4007" uniqueCount="174">
  <si>
    <t>ID</t>
  </si>
  <si>
    <t>Fecha</t>
  </si>
  <si>
    <t>Empresa</t>
  </si>
  <si>
    <t>Cuenta Bancaria</t>
  </si>
  <si>
    <t>Tipo de Movimiento</t>
  </si>
  <si>
    <t>Monto (S/)</t>
  </si>
  <si>
    <t>Monto con signo</t>
  </si>
  <si>
    <t>Mes/Año</t>
  </si>
  <si>
    <t>Saldo del dia (acumulado)</t>
  </si>
  <si>
    <t>Ingreso</t>
  </si>
  <si>
    <t>Egreso</t>
  </si>
  <si>
    <t>Mes/Año inicio</t>
  </si>
  <si>
    <t>Saldo Inicial</t>
  </si>
  <si>
    <t>Cuenta</t>
  </si>
  <si>
    <t>Empresas</t>
  </si>
  <si>
    <t>Cuentas Bancarias</t>
  </si>
  <si>
    <t>Tipos</t>
  </si>
  <si>
    <t>CFT Group</t>
  </si>
  <si>
    <t>M1B</t>
  </si>
  <si>
    <t>Durand</t>
  </si>
  <si>
    <t>A&amp;M Imports</t>
  </si>
  <si>
    <t>SSP Capital</t>
  </si>
  <si>
    <t>Cross Family Trust</t>
  </si>
  <si>
    <t>Cross Security Trust</t>
  </si>
  <si>
    <t>Electrama</t>
  </si>
  <si>
    <t>Sacred Valley Capital</t>
  </si>
  <si>
    <t>YWC Capital</t>
  </si>
  <si>
    <t>Soweto</t>
  </si>
  <si>
    <t>Green Stone Trust</t>
  </si>
  <si>
    <t>EC Auto</t>
  </si>
  <si>
    <t>Arbor Capital Properties</t>
  </si>
  <si>
    <t>2515 Overbrook</t>
  </si>
  <si>
    <t>112 Florida Ave</t>
  </si>
  <si>
    <t>3628 Thomas Ave</t>
  </si>
  <si>
    <t>Green Harbor Trust</t>
  </si>
  <si>
    <t>Go Blue</t>
  </si>
  <si>
    <t>Bank of America</t>
  </si>
  <si>
    <t xml:space="preserve">Amerant Bank </t>
  </si>
  <si>
    <t>Eg.Gastos Operativos (Proveedor)</t>
  </si>
  <si>
    <t>Eg.Gastos Operativos (Tarjeta credito)</t>
  </si>
  <si>
    <t>Eg.Gastos Personal (Nomina, bono, etc)</t>
  </si>
  <si>
    <t>Eg.Gastos Personal (Seguro Medico)</t>
  </si>
  <si>
    <t>Eg.Gastos Personal (Taxes)</t>
  </si>
  <si>
    <t>Eg.Gastos Personal (Trustee)</t>
  </si>
  <si>
    <t>Eg.Gastos Bancarios</t>
  </si>
  <si>
    <t>Eg.Impuestos</t>
  </si>
  <si>
    <t>Eg.Deuda Terceros (Intereses)</t>
  </si>
  <si>
    <t>Eg.Deuda Terceros (Capital)</t>
  </si>
  <si>
    <t>Eg.Deuda Terceros (Intereses+Capital)</t>
  </si>
  <si>
    <t>Eg.Deuda Relacionadas (Intereses)</t>
  </si>
  <si>
    <t>Eg.Deuda Relacionadas (Capital)</t>
  </si>
  <si>
    <t>Eg.Deuda Relacionadas (Intereses+Capital)</t>
  </si>
  <si>
    <t>Eg.Inversiones Aporte de Capital a Unidades de negocio</t>
  </si>
  <si>
    <t>Eg.Inversiones Aporte de Capital a Empresas relacionadas</t>
  </si>
  <si>
    <t>Eg.Inversiones Capex</t>
  </si>
  <si>
    <t>Eg.Inversiones Marcy Venture</t>
  </si>
  <si>
    <t>Eg.Inversiones Software</t>
  </si>
  <si>
    <t>Eg.Inversiones Compra de Acciones</t>
  </si>
  <si>
    <t>Eg.Inversiones Otros</t>
  </si>
  <si>
    <t>Eg.Dividendos (MC,AC,CST)</t>
  </si>
  <si>
    <t>Eg.Distribucion a socios (CFT,CCT,CST)</t>
  </si>
  <si>
    <t>Eg.Prestamos Concedidos a Unidades de negocio</t>
  </si>
  <si>
    <t>Eg.Prestamos Concedidos a Empresas relacionadas</t>
  </si>
  <si>
    <t>Eg.Prestamos Concedidos a Socios</t>
  </si>
  <si>
    <t>Eg.Transferencias entre cuentas  (Misma entidad legal)</t>
  </si>
  <si>
    <t>Eg.Otros egresos operativos</t>
  </si>
  <si>
    <t>Ing.Dividendos Recibidos de Unidades de Negocio</t>
  </si>
  <si>
    <t>Ing.Dividendos Recibidos de Empresas Relacionadas</t>
  </si>
  <si>
    <t>Ing.Intereses Recibidos de Unidad de Negocio</t>
  </si>
  <si>
    <t>Ing.Intereses Recibidos de Empresas Relacionadas</t>
  </si>
  <si>
    <t>Ing.Capital Recibido de Unidad de Negocio</t>
  </si>
  <si>
    <t>Ing.Capital Recibido de Empresas Relacionadas</t>
  </si>
  <si>
    <t>Ing.Interes+Capital Recibido de Unidad de Negocio</t>
  </si>
  <si>
    <t>Ing.Interes+Capital Recibido de Empresas Relacionadas</t>
  </si>
  <si>
    <t>Ing.Deuda Recibida de Unidades de negocio</t>
  </si>
  <si>
    <t>Ing.Deuda Recibida de Empresas relacionadas</t>
  </si>
  <si>
    <t>Ing.Deuda Recibida de Terceros</t>
  </si>
  <si>
    <t>Ing.Recibe Aporte de Capital de Empresas relacionadas</t>
  </si>
  <si>
    <t>Ing.Recibe Aporte de Capital de Unidades de negocio</t>
  </si>
  <si>
    <t>Ing.Distribucion a socios</t>
  </si>
  <si>
    <t>Ing.Exportacion de oro de Unidad de Negocio</t>
  </si>
  <si>
    <t>Ing.Cobro de Renta (Real State)</t>
  </si>
  <si>
    <t>Ing.Devolucion Gastos Operativos (Proveedor)</t>
  </si>
  <si>
    <t>Ing.Devolucion de Aporte de Capital</t>
  </si>
  <si>
    <t>Ing.Interes bancario</t>
  </si>
  <si>
    <t>Ing.Transferencias entre cuentas  (Misma entidad legal)</t>
  </si>
  <si>
    <t>Ing.Otros Ingresos Inversion</t>
  </si>
  <si>
    <t>Ing.Otros Ingresos Operativos</t>
  </si>
  <si>
    <t>Operativo</t>
  </si>
  <si>
    <t>Financiamiento</t>
  </si>
  <si>
    <t>Inversion</t>
  </si>
  <si>
    <t>Concepto</t>
  </si>
  <si>
    <t>Categoria</t>
  </si>
  <si>
    <t>2026-05</t>
  </si>
  <si>
    <t>Bank of America - CFT Group - 4415-USD</t>
  </si>
  <si>
    <t>Amerant Bank  - CFT Group - 1906-USD</t>
  </si>
  <si>
    <t>Northern Trust - CFT Group - 1355-USD</t>
  </si>
  <si>
    <t>Amerant Bank  - M1B - 0906-USD</t>
  </si>
  <si>
    <t>Amerant Bank DACA - M1B - 8231-USD</t>
  </si>
  <si>
    <t>Amerant Bank  - Durand - 0106-USD</t>
  </si>
  <si>
    <t>Bank of America - A&amp;M Imports - 3797-USD</t>
  </si>
  <si>
    <t>Bank of America - SSP Capital - 2580-USD</t>
  </si>
  <si>
    <t>Bank of America - SSP Capital - 1655-USD</t>
  </si>
  <si>
    <t>EFG  - SSP Capital - 21.0-USD</t>
  </si>
  <si>
    <t>Amerant Bank  - SSP Capital - 4706-USD</t>
  </si>
  <si>
    <t>Northern Trust - SSP Capital - 1452-USD</t>
  </si>
  <si>
    <t>Amerant Bank Money Market - SSP Capital - 1006-USD</t>
  </si>
  <si>
    <t>Amerant Bank DACA - SSP Capital - 9873-USD</t>
  </si>
  <si>
    <t>Ocean Bank - Cross Family Trust - 3405-USD</t>
  </si>
  <si>
    <t>Northern Trust - Cross Family Trust - 9263-USD</t>
  </si>
  <si>
    <t>Bank of America - Cross Family Trust - 3124-USD</t>
  </si>
  <si>
    <t>Amerant Bank  - Cross Family Trust - 4706-USD</t>
  </si>
  <si>
    <t>Bank of America - Cross Security Trust - 6642-USD</t>
  </si>
  <si>
    <t>Chase Bank - Electrama - 6520-USD</t>
  </si>
  <si>
    <t>Bank of America - Sacred Valley Capital - 4376-USD</t>
  </si>
  <si>
    <t>Bank of America - YWC Capital - 0282-USD</t>
  </si>
  <si>
    <t>Citibank - Soweto - 6910-USD</t>
  </si>
  <si>
    <t>Bank of America - Green Stone Trust - 3632-USD</t>
  </si>
  <si>
    <t>Bank Morgan Stanley - EC Auto - 9286-USD</t>
  </si>
  <si>
    <t>Amerant Bank  - EC Auto - 4606-USD</t>
  </si>
  <si>
    <t>Bank of America - Arbor Capital Properties - 3262-USD</t>
  </si>
  <si>
    <t>Bank of America - 2515 Overbrook - 4648-USD</t>
  </si>
  <si>
    <t>Bank of America - 2515 Overbrook - 9923-USD</t>
  </si>
  <si>
    <t>Bank of America - 112 Florida Ave - 3259-USD</t>
  </si>
  <si>
    <t>Bank of America - 3628 Thomas Ave - 4406-USD</t>
  </si>
  <si>
    <t>Amerant Bank  - Green Harbor Trust - 7253-USD</t>
  </si>
  <si>
    <t>Amerant Bank  - Go Blue - 8206-USD</t>
  </si>
  <si>
    <t>Banco</t>
  </si>
  <si>
    <t>2026-06</t>
  </si>
  <si>
    <t>2026-07</t>
  </si>
  <si>
    <t>Saldo inicial</t>
  </si>
  <si>
    <t>Valor</t>
  </si>
  <si>
    <t>2026-08</t>
  </si>
  <si>
    <t>2026-09</t>
  </si>
  <si>
    <t>2026-10</t>
  </si>
  <si>
    <t>Saldo Final 05/25</t>
  </si>
  <si>
    <t>Saldo Inicial 05/25</t>
  </si>
  <si>
    <t>Ingresos 05/25</t>
  </si>
  <si>
    <t>Egresos 05/25</t>
  </si>
  <si>
    <t>Saldo Inicial 06/25</t>
  </si>
  <si>
    <t>Ingresos 06/25</t>
  </si>
  <si>
    <t>Egresos 06/25</t>
  </si>
  <si>
    <t>Saldo Final 06/25</t>
  </si>
  <si>
    <t>Saldo Inicial 07/25</t>
  </si>
  <si>
    <t>Ingresos 07/25</t>
  </si>
  <si>
    <t>Egresos 07/25</t>
  </si>
  <si>
    <t>Saldo Final 07/25</t>
  </si>
  <si>
    <t>Variacion 05/25</t>
  </si>
  <si>
    <t>Variacion 06/25</t>
  </si>
  <si>
    <t>Variacion 07/25</t>
  </si>
  <si>
    <t>Día</t>
  </si>
  <si>
    <t>TOTAL CONSOLIDADO</t>
  </si>
  <si>
    <t>Northern Trust</t>
  </si>
  <si>
    <t>Ocean Bank</t>
  </si>
  <si>
    <t>Chase Bank</t>
  </si>
  <si>
    <t>Citibank</t>
  </si>
  <si>
    <t>Bank Morgan Stanley</t>
  </si>
  <si>
    <t>Ext/Int</t>
  </si>
  <si>
    <t>Externo</t>
  </si>
  <si>
    <t>Interno</t>
  </si>
  <si>
    <t>Categoria / Concepto</t>
  </si>
  <si>
    <t>Descripcion</t>
  </si>
  <si>
    <t>Variación</t>
  </si>
  <si>
    <t>N° Cuentas</t>
  </si>
  <si>
    <t>Saldo Actual (USD)</t>
  </si>
  <si>
    <t>Saldo Inicial (USD)</t>
  </si>
  <si>
    <t>Amerant Bank</t>
  </si>
  <si>
    <t>EFG</t>
  </si>
  <si>
    <t>Movimientos (USD)</t>
  </si>
  <si>
    <t xml:space="preserve">Northern Trust </t>
  </si>
  <si>
    <t xml:space="preserve">Ocean Bank </t>
  </si>
  <si>
    <t xml:space="preserve">Chase Bank </t>
  </si>
  <si>
    <t xml:space="preserve">Citibank </t>
  </si>
  <si>
    <t xml:space="preserve">Atributo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</si>
</sst>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&quot;S/&quot;#,##0.00;&quot;(S/&quot;#,##0.00\);\-"/>
    <numFmt numFmtId="165" formatCode="[$S/-280A]\ #,##0.00;[Red]\-[$S/-280A]\ #,##0.00"/>
    <numFmt numFmtId="166" formatCode="&quot;$&quot;#,##0.00;\(&quot;$&quot;#,##0.00\);&quot;-&quot;"/>
    <numFmt numFmtId="167" formatCode="&quot;$&quot;\ #,##0.00"/>
  </numFmts>
  <fonts count="18" x14ac:knownFonts="1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sz val="10"/>
      <color rgb="FF000000"/>
      <name val="Arial"/>
      <family val="2"/>
    </font>
    <font>
      <sz val="10"/>
      <color rgb="FF0000FF"/>
      <name val="Arial"/>
      <family val="2"/>
    </font>
    <font>
      <sz val="10"/>
      <color rgb="FF008000"/>
      <name val="Arial"/>
      <family val="2"/>
    </font>
    <font>
      <sz val="8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b/>
      <sz val="10"/>
      <color rgb="FFFFD700"/>
      <name val="Calibri"/>
      <family val="2"/>
      <charset val="1"/>
    </font>
    <font>
      <sz val="10"/>
      <color rgb="FF002060"/>
      <name val="Arial"/>
      <family val="2"/>
    </font>
    <font>
      <sz val="10"/>
      <color rgb="FF0000FF"/>
      <name val="Arial"/>
      <family val="2"/>
    </font>
    <font>
      <b/>
      <sz val="10"/>
      <color rgb="FFFFFFFF"/>
      <name val="Arial"/>
      <family val="2"/>
    </font>
    <font>
      <sz val="10"/>
      <color rgb="FF0000FF"/>
      <name val="Arial"/>
      <family val="2"/>
    </font>
    <font>
      <sz val="10"/>
      <color theme="1"/>
      <name val="Arial"/>
      <family val="2"/>
    </font>
    <font>
      <sz val="10"/>
      <color rgb="FF008000"/>
      <name val="Arial"/>
      <family val="2"/>
    </font>
    <font>
      <b/>
      <sz val="10"/>
      <color theme="1"/>
      <name val="Arial"/>
      <family val="2"/>
    </font>
    <font>
      <b/>
      <sz val="11"/>
      <color theme="0"/>
      <name val="Calibri"/>
      <family val="2"/>
      <charset val="1"/>
    </font>
    <font>
      <sz val="10"/>
      <color rgb="FF0000FF"/>
      <name val="Arial"/>
      <charset val="1"/>
    </font>
  </fonts>
  <fills count="12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FFFFFF"/>
      </patternFill>
    </fill>
    <fill>
      <patternFill patternType="solid">
        <fgColor rgb="FF2E5496"/>
        <bgColor rgb="FF1F3864"/>
      </patternFill>
    </fill>
    <fill>
      <patternFill patternType="solid">
        <fgColor rgb="FFD9E1F2"/>
        <bgColor rgb="FFCCFFFF"/>
      </patternFill>
    </fill>
    <fill>
      <patternFill patternType="solid">
        <fgColor rgb="FF1F3864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3" tint="0.79998168889431442"/>
        <bgColor indexed="64"/>
      </patternFill>
    </fill>
  </fills>
  <borders count="15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rgb="FF9DC3E6"/>
      </left>
      <right/>
      <top style="thin">
        <color rgb="FF9DC3E6"/>
      </top>
      <bottom/>
      <diagonal/>
    </border>
    <border>
      <left style="thin">
        <color rgb="FF9DC3E6"/>
      </left>
      <right style="thin">
        <color rgb="FF9DC3E6"/>
      </right>
      <top style="thin">
        <color rgb="FF9DC3E6"/>
      </top>
      <bottom/>
      <diagonal/>
    </border>
    <border>
      <left style="thin">
        <color rgb="FFBDD7EE"/>
      </left>
      <right/>
      <top style="thin">
        <color rgb="FFBDD7EE"/>
      </top>
      <bottom style="thin">
        <color rgb="FFBDD7EE"/>
      </bottom>
      <diagonal/>
    </border>
    <border>
      <left style="thin">
        <color rgb="FFBDD7EE"/>
      </left>
      <right style="thin">
        <color rgb="FFBDD7EE"/>
      </right>
      <top style="thin">
        <color rgb="FFBDD7EE"/>
      </top>
      <bottom/>
      <diagonal/>
    </border>
    <border>
      <left style="thin">
        <color rgb="FFBDD7EE"/>
      </left>
      <right/>
      <top style="thin">
        <color rgb="FFBDD7EE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</borders>
  <cellStyleXfs count="1">
    <xf numFmtId="0" fontId="0" fillId="0" borderId="0"/>
  </cellStyleXfs>
  <cellXfs count="74">
    <xf numFmtId="0" fontId="0" fillId="0" borderId="0" xfId="0"/>
    <xf numFmtId="0" fontId="1" fillId="4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0" borderId="1" xfId="0" applyFont="1" applyBorder="1"/>
    <xf numFmtId="0" fontId="3" fillId="0" borderId="1" xfId="0" applyFont="1" applyBorder="1"/>
    <xf numFmtId="164" fontId="2" fillId="0" borderId="1" xfId="0" applyNumberFormat="1" applyFont="1" applyBorder="1"/>
    <xf numFmtId="0" fontId="2" fillId="0" borderId="1" xfId="0" applyFont="1" applyBorder="1" applyAlignment="1">
      <alignment horizontal="center" vertical="center"/>
    </xf>
    <xf numFmtId="164" fontId="4" fillId="0" borderId="1" xfId="0" applyNumberFormat="1" applyFont="1" applyBorder="1"/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center" vertical="center"/>
    </xf>
    <xf numFmtId="164" fontId="3" fillId="3" borderId="1" xfId="0" applyNumberFormat="1" applyFont="1" applyFill="1" applyBorder="1"/>
    <xf numFmtId="0" fontId="2" fillId="0" borderId="1" xfId="0" applyFont="1" applyBorder="1" applyAlignment="1">
      <alignment horizontal="left" vertical="center"/>
    </xf>
    <xf numFmtId="164" fontId="2" fillId="5" borderId="1" xfId="0" applyNumberFormat="1" applyFont="1" applyFill="1" applyBorder="1"/>
    <xf numFmtId="0" fontId="3" fillId="0" borderId="0" xfId="0" applyFont="1"/>
    <xf numFmtId="0" fontId="1" fillId="2" borderId="2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14" fontId="0" fillId="0" borderId="0" xfId="0" applyNumberFormat="1"/>
    <xf numFmtId="165" fontId="4" fillId="0" borderId="1" xfId="0" applyNumberFormat="1" applyFont="1" applyBorder="1"/>
    <xf numFmtId="164" fontId="9" fillId="8" borderId="1" xfId="0" applyNumberFormat="1" applyFont="1" applyFill="1" applyBorder="1"/>
    <xf numFmtId="0" fontId="7" fillId="7" borderId="3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8" fillId="6" borderId="5" xfId="0" applyFont="1" applyFill="1" applyBorder="1" applyAlignment="1">
      <alignment horizontal="center" vertical="center" wrapText="1"/>
    </xf>
    <xf numFmtId="1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166" fontId="0" fillId="0" borderId="0" xfId="0" applyNumberFormat="1"/>
    <xf numFmtId="166" fontId="6" fillId="0" borderId="0" xfId="0" applyNumberFormat="1" applyFont="1"/>
    <xf numFmtId="0" fontId="10" fillId="0" borderId="0" xfId="0" applyFont="1"/>
    <xf numFmtId="3" fontId="4" fillId="0" borderId="0" xfId="0" applyNumberFormat="1" applyFont="1" applyAlignment="1">
      <alignment horizontal="center"/>
    </xf>
    <xf numFmtId="4" fontId="1" fillId="2" borderId="0" xfId="0" applyNumberFormat="1" applyFont="1" applyFill="1" applyAlignment="1">
      <alignment horizontal="center" vertical="center"/>
    </xf>
    <xf numFmtId="4" fontId="4" fillId="0" borderId="0" xfId="0" applyNumberFormat="1" applyFont="1"/>
    <xf numFmtId="0" fontId="11" fillId="7" borderId="6" xfId="0" applyFont="1" applyFill="1" applyBorder="1" applyAlignment="1">
      <alignment horizontal="center"/>
    </xf>
    <xf numFmtId="0" fontId="11" fillId="7" borderId="7" xfId="0" applyFont="1" applyFill="1" applyBorder="1" applyAlignment="1">
      <alignment horizontal="center"/>
    </xf>
    <xf numFmtId="0" fontId="12" fillId="0" borderId="8" xfId="0" applyFont="1" applyBorder="1"/>
    <xf numFmtId="0" fontId="12" fillId="0" borderId="10" xfId="0" applyFont="1" applyBorder="1"/>
    <xf numFmtId="0" fontId="13" fillId="0" borderId="10" xfId="0" applyFont="1" applyBorder="1" applyAlignment="1">
      <alignment horizontal="center"/>
    </xf>
    <xf numFmtId="0" fontId="13" fillId="0" borderId="8" xfId="0" applyFont="1" applyBorder="1" applyAlignment="1">
      <alignment horizontal="center"/>
    </xf>
    <xf numFmtId="167" fontId="14" fillId="0" borderId="10" xfId="0" applyNumberFormat="1" applyFont="1" applyBorder="1"/>
    <xf numFmtId="167" fontId="14" fillId="0" borderId="8" xfId="0" applyNumberFormat="1" applyFont="1" applyBorder="1"/>
    <xf numFmtId="0" fontId="0" fillId="0" borderId="0" xfId="0" applyAlignment="1">
      <alignment horizontal="left"/>
    </xf>
    <xf numFmtId="4" fontId="15" fillId="0" borderId="9" xfId="0" applyNumberFormat="1" applyFont="1" applyBorder="1"/>
    <xf numFmtId="14" fontId="3" fillId="9" borderId="1" xfId="0" applyNumberFormat="1" applyFont="1" applyFill="1" applyBorder="1"/>
    <xf numFmtId="14" fontId="3" fillId="9" borderId="0" xfId="0" applyNumberFormat="1" applyFont="1" applyFill="1"/>
    <xf numFmtId="0" fontId="3" fillId="9" borderId="1" xfId="0" applyFont="1" applyFill="1" applyBorder="1"/>
    <xf numFmtId="0" fontId="3" fillId="9" borderId="0" xfId="0" applyFont="1" applyFill="1"/>
    <xf numFmtId="164" fontId="3" fillId="9" borderId="1" xfId="0" applyNumberFormat="1" applyFont="1" applyFill="1" applyBorder="1"/>
    <xf numFmtId="164" fontId="3" fillId="9" borderId="0" xfId="0" applyNumberFormat="1" applyFont="1" applyFill="1"/>
    <xf numFmtId="164" fontId="0" fillId="0" borderId="1" xfId="0" applyNumberFormat="1" applyBorder="1"/>
    <xf numFmtId="0" fontId="2" fillId="0" borderId="14" xfId="0" applyFont="1" applyBorder="1"/>
    <xf numFmtId="0" fontId="3" fillId="0" borderId="14" xfId="0" applyFont="1" applyBorder="1"/>
    <xf numFmtId="164" fontId="2" fillId="0" borderId="14" xfId="0" applyNumberFormat="1" applyFont="1" applyBorder="1"/>
    <xf numFmtId="164" fontId="2" fillId="8" borderId="1" xfId="0" applyNumberFormat="1" applyFont="1" applyFill="1" applyBorder="1"/>
    <xf numFmtId="14" fontId="3" fillId="11" borderId="0" xfId="0" applyNumberFormat="1" applyFont="1" applyFill="1"/>
    <xf numFmtId="0" fontId="3" fillId="11" borderId="1" xfId="0" applyFont="1" applyFill="1" applyBorder="1"/>
    <xf numFmtId="0" fontId="3" fillId="11" borderId="0" xfId="0" applyFont="1" applyFill="1"/>
    <xf numFmtId="0" fontId="3" fillId="11" borderId="14" xfId="0" applyFont="1" applyFill="1" applyBorder="1"/>
    <xf numFmtId="164" fontId="3" fillId="11" borderId="0" xfId="0" applyNumberFormat="1" applyFont="1" applyFill="1"/>
    <xf numFmtId="0" fontId="2" fillId="11" borderId="0" xfId="0" applyFont="1" applyFill="1" applyAlignment="1">
      <alignment horizontal="center" vertical="center"/>
    </xf>
    <xf numFmtId="164" fontId="0" fillId="11" borderId="1" xfId="0" applyNumberFormat="1" applyFill="1" applyBorder="1"/>
    <xf numFmtId="0" fontId="17" fillId="0" borderId="1" xfId="0" applyFont="1" applyBorder="1"/>
    <xf numFmtId="0" fontId="17" fillId="0" borderId="14" xfId="0" applyFont="1" applyBorder="1"/>
    <xf numFmtId="164" fontId="0" fillId="0" borderId="14" xfId="0" applyNumberFormat="1" applyBorder="1"/>
    <xf numFmtId="164" fontId="2" fillId="11" borderId="1" xfId="0" applyNumberFormat="1" applyFont="1" applyFill="1" applyBorder="1"/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0" fontId="16" fillId="10" borderId="11" xfId="0" applyFont="1" applyFill="1" applyBorder="1" applyAlignment="1">
      <alignment vertical="center"/>
    </xf>
    <xf numFmtId="0" fontId="16" fillId="10" borderId="12" xfId="0" applyFont="1" applyFill="1" applyBorder="1" applyAlignment="1">
      <alignment vertical="center"/>
    </xf>
    <xf numFmtId="14" fontId="16" fillId="10" borderId="12" xfId="0" applyNumberFormat="1" applyFont="1" applyFill="1" applyBorder="1" applyAlignment="1">
      <alignment vertical="center"/>
    </xf>
    <xf numFmtId="0" fontId="16" fillId="10" borderId="13" xfId="0" applyFont="1" applyFill="1" applyBorder="1" applyAlignment="1">
      <alignment vertical="center"/>
    </xf>
    <xf numFmtId="0" fontId="3" fillId="0" borderId="1" xfId="0" applyNumberFormat="1" applyFont="1" applyBorder="1"/>
    <xf numFmtId="14" fontId="3" fillId="9" borderId="0" xfId="0" applyNumberFormat="1" applyFont="1" applyFill="1" applyBorder="1"/>
    <xf numFmtId="0" fontId="3" fillId="9" borderId="0" xfId="0" applyFont="1" applyFill="1" applyBorder="1"/>
    <xf numFmtId="0" fontId="3" fillId="0" borderId="14" xfId="0" applyNumberFormat="1" applyFont="1" applyBorder="1"/>
    <xf numFmtId="164" fontId="3" fillId="9" borderId="0" xfId="0" applyNumberFormat="1" applyFont="1" applyFill="1" applyBorder="1"/>
    <xf numFmtId="0" fontId="0" fillId="0" borderId="0" xfId="0" applyNumberFormat="1"/>
  </cellXfs>
  <cellStyles count="1">
    <cellStyle name="Normal" xfId="0" builtinId="0"/>
  </cellStyles>
  <dxfs count="43">
    <dxf>
      <numFmt numFmtId="19" formatCode="dd/mm/yyyy"/>
    </dxf>
    <dxf>
      <numFmt numFmtId="0" formatCode="General"/>
    </dxf>
    <dxf>
      <numFmt numFmtId="0" formatCode="General"/>
    </dxf>
    <dxf>
      <font>
        <color rgb="FF7B0000"/>
      </font>
      <fill>
        <patternFill patternType="solid">
          <fgColor indexed="64"/>
          <bgColor rgb="FFFF6666"/>
        </patternFill>
      </fill>
    </dxf>
    <dxf>
      <font>
        <b/>
        <i val="0"/>
        <color rgb="FFCC0000"/>
      </font>
      <fill>
        <patternFill patternType="solid">
          <fgColor indexed="64"/>
          <bgColor rgb="FFFFCCCC"/>
        </patternFill>
      </fill>
    </dxf>
    <dxf>
      <alignment horizontal="general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border outline="0">
        <top style="medium">
          <color auto="1"/>
        </top>
      </border>
    </dxf>
    <dxf>
      <fill>
        <patternFill patternType="none">
          <fgColor indexed="64"/>
          <bgColor auto="1"/>
        </patternFill>
      </fill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charset val="1"/>
        <scheme val="none"/>
      </font>
      <fill>
        <patternFill patternType="solid">
          <fgColor indexed="64"/>
          <bgColor rgb="FF2E75B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numFmt numFmtId="4" formatCode="#,##0.00"/>
    </dxf>
    <dxf>
      <numFmt numFmtId="3" formatCode="#,##0"/>
      <alignment horizontal="center" textRotation="0" wrapText="0" indent="0" justifyLastLine="0" shrinkToFit="0" readingOrder="0"/>
    </dxf>
    <dxf>
      <numFmt numFmtId="3" formatCode="#,##0"/>
      <alignment horizontal="center" textRotation="0" wrapText="0" indent="0" justifyLastLine="0" shrinkToFit="0" readingOrder="0"/>
    </dxf>
    <dxf>
      <fill>
        <patternFill>
          <bgColor theme="2" tint="-9.9978637043366805E-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charset val="1"/>
        <scheme val="none"/>
      </font>
    </dxf>
    <dxf>
      <numFmt numFmtId="0" formatCode="General"/>
    </dxf>
    <dxf>
      <fill>
        <patternFill>
          <bgColor theme="2" tint="-9.9978637043366805E-2"/>
        </patternFill>
      </fill>
    </dxf>
    <dxf>
      <fill>
        <patternFill>
          <bgColor theme="2" tint="-9.9978637043366805E-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charset val="1"/>
        <scheme val="none"/>
      </font>
    </dxf>
    <dxf>
      <fill>
        <patternFill>
          <bgColor theme="2" tint="-9.9978637043366805E-2"/>
        </patternFill>
      </fill>
    </dxf>
    <dxf>
      <fill>
        <patternFill>
          <bgColor theme="2" tint="-9.9978637043366805E-2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2E549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3" xr16:uid="{1188DEB6-8ECC-41E6-9BD2-4E58994B787A}" autoFormatId="16" applyNumberFormats="0" applyBorderFormats="0" applyFontFormats="0" applyPatternFormats="0" applyAlignmentFormats="0" applyWidthHeightFormats="0">
  <queryTableRefresh nextId="5">
    <queryTableFields count="4">
      <queryTableField id="1" name="Atributo" tableColumnId="1"/>
      <queryTableField id="4" dataBound="0" tableColumnId="4"/>
      <queryTableField id="2" name="Fecha" tableColumnId="2"/>
      <queryTableField id="3" name="Valor" tableColumnId="3"/>
    </queryTableFields>
  </queryTableRefresh>
</queryTable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Movimientos" displayName="tblMovimientos" ref="A1:P432" totalsRowShown="0">
  <autoFilter ref="A1:P432" xr:uid="{00000000-0009-0000-0100-000001000000}"/>
  <sortState xmlns:xlrd2="http://schemas.microsoft.com/office/spreadsheetml/2017/richdata2" ref="A2:P424">
    <sortCondition ref="B1:B424"/>
  </sortState>
  <tableColumns count="16">
    <tableColumn id="1" xr3:uid="{00000000-0010-0000-0000-000001000000}" name="ID"/>
    <tableColumn id="2" xr3:uid="{00000000-0010-0000-0000-000002000000}" name="Fecha" dataDxfId="42"/>
    <tableColumn id="3" xr3:uid="{00000000-0010-0000-0000-000003000000}" name="Empresa"/>
    <tableColumn id="4" xr3:uid="{00000000-0010-0000-0000-000004000000}" name="Cuenta Bancaria" dataDxfId="41"/>
    <tableColumn id="12" xr3:uid="{4E4C6484-6819-4411-A0F3-4017EFF8C28C}" name="Banco" dataDxfId="40">
      <calculatedColumnFormula>_xlfn.XLOOKUP(tblMovimientos[[#This Row],[Cuenta Bancaria]],Listas!$B:$B,Listas!$C:$C,"")</calculatedColumnFormula>
    </tableColumn>
    <tableColumn id="5" xr3:uid="{00000000-0010-0000-0000-000005000000}" name="Tipo de Movimiento" dataDxfId="39"/>
    <tableColumn id="6" xr3:uid="{00000000-0010-0000-0000-000006000000}" name="Categoria / Concepto" dataDxfId="38"/>
    <tableColumn id="7" xr3:uid="{00000000-0010-0000-0000-000007000000}" name="Descripcion" dataDxfId="37">
      <calculatedColumnFormula>IFERROR(_xlfn.XLOOKUP(G2,Listas!E:E,Listas!F:F,""),"")</calculatedColumnFormula>
    </tableColumn>
    <tableColumn id="13" xr3:uid="{44ABE6CE-2513-45FC-BD14-32E930AFDBBD}" name="Ext/Int" dataDxfId="36"/>
    <tableColumn id="8" xr3:uid="{00000000-0010-0000-0000-000008000000}" name="Monto (S/)" dataDxfId="35"/>
    <tableColumn id="9" xr3:uid="{00000000-0010-0000-0000-000009000000}" name="Monto con signo"/>
    <tableColumn id="10" xr3:uid="{00000000-0010-0000-0000-00000A000000}" name="Mes/Año"/>
    <tableColumn id="11" xr3:uid="{00000000-0010-0000-0000-00000B000000}" name="Saldo del dia (acumulado)"/>
    <tableColumn id="14" xr3:uid="{D6B924A6-151C-4732-8854-0B9052EE3DF3}" name="Ingreso" dataDxfId="34">
      <calculatedColumnFormula>IF(tblMovimientos[[#This Row],[Tipo de Movimiento]]="Ingreso",tblMovimientos[[#This Row],[Monto (S/)]],"0")</calculatedColumnFormula>
    </tableColumn>
    <tableColumn id="15" xr3:uid="{925961E2-8EE5-4518-8B26-CADC36CA5299}" name="Egreso" dataDxfId="33">
      <calculatedColumnFormula>IF(tblMovimientos[[#This Row],[Tipo de Movimiento]]="Egreso",tblMovimientos[[#This Row],[Monto (S/)]],"0")</calculatedColumnFormula>
    </tableColumn>
    <tableColumn id="16" xr3:uid="{13E7E2A0-8C32-4C4E-9A86-FBA5B9ECD6C2}" name="Variación" dataDxfId="32">
      <calculatedColumnFormula>IF(tblMovimientos[[#This Row],[Tipo de Movimiento]]="Ingreso",tblMovimientos[[#This Row],[Ingreso]],-tblMovimientos[[#This Row],[Egreso]])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415436C-AC07-4BC7-AF63-CF4210A06BB4}" name="Tabla3" displayName="Tabla3" ref="A1:V500" totalsRowShown="0" headerRowDxfId="31" dataDxfId="29" headerRowBorderDxfId="30" tableBorderDxfId="28">
  <autoFilter ref="A1:V500" xr:uid="{F415436C-AC07-4BC7-AF63-CF4210A06BB4}"/>
  <tableColumns count="22">
    <tableColumn id="1" xr3:uid="{63FFD75C-E666-43DD-8029-F430E7835BEE}" name="Día" dataDxfId="27"/>
    <tableColumn id="2" xr3:uid="{3C0A637E-5BCF-4DAA-A47B-1062D26CE0FC}" name="Fecha" dataDxfId="26"/>
    <tableColumn id="3" xr3:uid="{AA52C2CE-0BC6-4D55-8E20-0938296D1C23}" name="CFT Group" dataDxfId="25"/>
    <tableColumn id="4" xr3:uid="{EE7D0652-E6C8-4122-A765-D1B09096A21E}" name="M1B" dataDxfId="24"/>
    <tableColumn id="5" xr3:uid="{B4646433-2F6C-4447-A177-6AD7A4B88B6F}" name="Durand" dataDxfId="23"/>
    <tableColumn id="6" xr3:uid="{DCA1C6D9-C3E1-43F4-A721-4008460687C7}" name="A&amp;M Imports" dataDxfId="22"/>
    <tableColumn id="7" xr3:uid="{D4A7DE77-6043-4E65-8D3F-445DF17D93F1}" name="SSP Capital" dataDxfId="21"/>
    <tableColumn id="8" xr3:uid="{64A897BF-46B4-411E-BA9D-FE799CF2FEFB}" name="Cross Family Trust" dataDxfId="20"/>
    <tableColumn id="9" xr3:uid="{22730D08-F998-46A3-A6B6-4BF23E38D8F9}" name="Cross Security Trust" dataDxfId="19"/>
    <tableColumn id="10" xr3:uid="{BB5B9930-003E-4DC5-8E5D-067C1CF1A456}" name="Electrama" dataDxfId="18"/>
    <tableColumn id="11" xr3:uid="{72B1FF5A-A2B1-4F18-A8C8-32EEB09E3A17}" name="Sacred Valley Capital" dataDxfId="17"/>
    <tableColumn id="12" xr3:uid="{8285724C-9042-463F-8339-13C60DCBF2F4}" name="YWC Capital" dataDxfId="16"/>
    <tableColumn id="13" xr3:uid="{A6BA6873-5C5A-44C1-A199-00F91718164E}" name="Soweto" dataDxfId="15"/>
    <tableColumn id="14" xr3:uid="{50FB5920-A571-4DC5-9E26-0EF4F33A880F}" name="Green Stone Trust" dataDxfId="14"/>
    <tableColumn id="15" xr3:uid="{F3DE628D-3663-4B8C-88C3-8ED6C47CDAD0}" name="EC Auto" dataDxfId="13"/>
    <tableColumn id="16" xr3:uid="{63079263-2DC8-47D4-869E-EF7FF8CC83E2}" name="Arbor Capital Properties" dataDxfId="12"/>
    <tableColumn id="17" xr3:uid="{F0CCDB07-528A-4A91-A40E-B313EA61AC5A}" name="2515 Overbrook" dataDxfId="11"/>
    <tableColumn id="18" xr3:uid="{A92B8B5E-42D0-409B-819B-93575E6B5338}" name="112 Florida Ave" dataDxfId="10"/>
    <tableColumn id="19" xr3:uid="{E8590E2C-955F-4887-9F19-BD4E50391F39}" name="3628 Thomas Ave" dataDxfId="9"/>
    <tableColumn id="20" xr3:uid="{C99311AE-E772-4C28-A5BF-F01473FDC99C}" name="Green Harbor Trust" dataDxfId="8"/>
    <tableColumn id="21" xr3:uid="{531291F0-F871-4ED7-85FB-D95349130FEE}" name="Go Blue" dataDxfId="7"/>
    <tableColumn id="22" xr3:uid="{9970DF30-CB1E-4EE7-A51A-8EEDF7EFDE4C}" name="TOTAL CONSOLIDADO" dataDxfId="6"/>
  </tableColumns>
  <tableStyleInfo name="TableStyleLight2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C5E576C-56D5-4661-AEE8-C56EAF46506C}" name="Tabla3__2" displayName="Tabla3__2" ref="A1:D1160" tableType="queryTable" totalsRowShown="0" headerRowDxfId="5">
  <autoFilter ref="A1:D1160" xr:uid="{2C5E576C-56D5-4661-AEE8-C56EAF46506C}"/>
  <tableColumns count="4">
    <tableColumn id="1" xr3:uid="{C5F72CE6-A217-4AAA-B890-634003E10415}" uniqueName="1" name="Empresa" queryTableFieldId="1" dataDxfId="2"/>
    <tableColumn id="4" xr3:uid="{1BFD00E9-36EE-42D9-A985-B1FC2CE4E317}" uniqueName="4" name="Saldo inicial" queryTableFieldId="4" dataDxfId="1"/>
    <tableColumn id="2" xr3:uid="{EA09EB92-4B2D-420E-B39F-7A131A47C123}" uniqueName="2" name="Atributo " queryTableFieldId="2" dataDxfId="0"/>
    <tableColumn id="3" xr3:uid="{7F3D748F-7261-4F7B-AD03-AAD9519C3F7D}" uniqueName="3" name="Valor" queryTableFieldId="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9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E00F63ED-F037-4DD1-9206-6E1F2C838EBC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335b74c0-3d34-4059-91f9-280c8fa9291b&quot;"/>
  </we:properties>
  <we:bindings/>
  <we:snapshot xmlns:r="http://schemas.openxmlformats.org/officeDocument/2006/relationships"/>
</we:webextension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37"/>
  <sheetViews>
    <sheetView zoomScale="70" zoomScaleNormal="70" workbookViewId="0">
      <pane ySplit="1" topLeftCell="A10" activePane="bottomLeft" state="frozen"/>
      <selection pane="bottomLeft" activeCell="D27" sqref="D27"/>
    </sheetView>
  </sheetViews>
  <sheetFormatPr baseColWidth="10" defaultColWidth="8.6640625" defaultRowHeight="14.4" x14ac:dyDescent="0.3"/>
  <cols>
    <col min="1" max="1" width="26" customWidth="1"/>
    <col min="2" max="2" width="45.6640625" bestFit="1" customWidth="1"/>
    <col min="3" max="3" width="16" customWidth="1"/>
    <col min="4" max="4" width="18" customWidth="1"/>
    <col min="5" max="5" width="12.6640625" bestFit="1" customWidth="1"/>
  </cols>
  <sheetData>
    <row r="1" spans="1:4" x14ac:dyDescent="0.3">
      <c r="A1" s="2" t="s">
        <v>2</v>
      </c>
      <c r="B1" s="2" t="s">
        <v>3</v>
      </c>
      <c r="C1" s="2" t="s">
        <v>11</v>
      </c>
      <c r="D1" s="2" t="s">
        <v>12</v>
      </c>
    </row>
    <row r="2" spans="1:4" x14ac:dyDescent="0.3">
      <c r="A2" s="8" t="s">
        <v>17</v>
      </c>
      <c r="B2" s="8" t="s">
        <v>94</v>
      </c>
      <c r="C2" s="9" t="s">
        <v>93</v>
      </c>
      <c r="D2" s="10">
        <v>132689.04999999999</v>
      </c>
    </row>
    <row r="3" spans="1:4" x14ac:dyDescent="0.3">
      <c r="A3" s="8" t="s">
        <v>17</v>
      </c>
      <c r="B3" s="8" t="s">
        <v>95</v>
      </c>
      <c r="C3" s="9" t="s">
        <v>93</v>
      </c>
      <c r="D3" s="10">
        <v>62799.530000000261</v>
      </c>
    </row>
    <row r="4" spans="1:4" x14ac:dyDescent="0.3">
      <c r="A4" s="8" t="s">
        <v>17</v>
      </c>
      <c r="B4" s="8" t="s">
        <v>96</v>
      </c>
      <c r="C4" s="9" t="s">
        <v>93</v>
      </c>
      <c r="D4" s="10">
        <v>5274.85</v>
      </c>
    </row>
    <row r="5" spans="1:4" x14ac:dyDescent="0.3">
      <c r="A5" s="8" t="s">
        <v>18</v>
      </c>
      <c r="B5" s="8" t="s">
        <v>97</v>
      </c>
      <c r="C5" s="9" t="s">
        <v>93</v>
      </c>
      <c r="D5" s="10">
        <v>39539.53999999995</v>
      </c>
    </row>
    <row r="6" spans="1:4" x14ac:dyDescent="0.3">
      <c r="A6" s="8" t="s">
        <v>18</v>
      </c>
      <c r="B6" s="8" t="s">
        <v>98</v>
      </c>
      <c r="C6" s="9" t="s">
        <v>93</v>
      </c>
      <c r="D6" s="10">
        <v>5000</v>
      </c>
    </row>
    <row r="7" spans="1:4" x14ac:dyDescent="0.3">
      <c r="A7" s="8" t="s">
        <v>19</v>
      </c>
      <c r="B7" s="8" t="s">
        <v>99</v>
      </c>
      <c r="C7" s="9" t="s">
        <v>93</v>
      </c>
      <c r="D7" s="10">
        <v>1669.89</v>
      </c>
    </row>
    <row r="8" spans="1:4" x14ac:dyDescent="0.3">
      <c r="A8" s="8" t="s">
        <v>20</v>
      </c>
      <c r="B8" s="8" t="s">
        <v>100</v>
      </c>
      <c r="C8" s="9" t="s">
        <v>93</v>
      </c>
      <c r="D8" s="10">
        <v>177088.59</v>
      </c>
    </row>
    <row r="9" spans="1:4" x14ac:dyDescent="0.3">
      <c r="A9" s="8" t="s">
        <v>21</v>
      </c>
      <c r="B9" s="8" t="s">
        <v>101</v>
      </c>
      <c r="C9" s="9" t="s">
        <v>93</v>
      </c>
      <c r="D9" s="10">
        <v>12379.18</v>
      </c>
    </row>
    <row r="10" spans="1:4" x14ac:dyDescent="0.3">
      <c r="A10" s="8" t="s">
        <v>21</v>
      </c>
      <c r="B10" s="8" t="s">
        <v>102</v>
      </c>
      <c r="C10" s="9" t="s">
        <v>93</v>
      </c>
      <c r="D10" s="10">
        <v>759.07</v>
      </c>
    </row>
    <row r="11" spans="1:4" x14ac:dyDescent="0.3">
      <c r="A11" s="8" t="s">
        <v>21</v>
      </c>
      <c r="B11" s="8" t="s">
        <v>103</v>
      </c>
      <c r="C11" s="9" t="s">
        <v>93</v>
      </c>
      <c r="D11" s="10"/>
    </row>
    <row r="12" spans="1:4" x14ac:dyDescent="0.3">
      <c r="A12" s="8" t="s">
        <v>21</v>
      </c>
      <c r="B12" s="8" t="s">
        <v>104</v>
      </c>
      <c r="C12" s="9" t="s">
        <v>93</v>
      </c>
      <c r="D12" s="10">
        <v>219857.81999999937</v>
      </c>
    </row>
    <row r="13" spans="1:4" x14ac:dyDescent="0.3">
      <c r="A13" s="8" t="s">
        <v>21</v>
      </c>
      <c r="B13" s="8" t="s">
        <v>105</v>
      </c>
      <c r="C13" s="9" t="s">
        <v>93</v>
      </c>
      <c r="D13" s="10">
        <v>4870.1099999999997</v>
      </c>
    </row>
    <row r="14" spans="1:4" x14ac:dyDescent="0.3">
      <c r="A14" s="8" t="s">
        <v>21</v>
      </c>
      <c r="B14" s="8" t="s">
        <v>106</v>
      </c>
      <c r="C14" s="9" t="s">
        <v>93</v>
      </c>
      <c r="D14" s="10">
        <v>747521.2</v>
      </c>
    </row>
    <row r="15" spans="1:4" x14ac:dyDescent="0.3">
      <c r="A15" s="8" t="s">
        <v>21</v>
      </c>
      <c r="B15" s="8" t="s">
        <v>107</v>
      </c>
      <c r="C15" s="9" t="s">
        <v>93</v>
      </c>
      <c r="D15" s="10">
        <v>5000</v>
      </c>
    </row>
    <row r="16" spans="1:4" x14ac:dyDescent="0.3">
      <c r="A16" s="8" t="s">
        <v>22</v>
      </c>
      <c r="B16" s="8" t="s">
        <v>108</v>
      </c>
      <c r="C16" s="9" t="s">
        <v>93</v>
      </c>
      <c r="D16" s="10">
        <v>57206.89</v>
      </c>
    </row>
    <row r="17" spans="1:4" x14ac:dyDescent="0.3">
      <c r="A17" s="8" t="s">
        <v>22</v>
      </c>
      <c r="B17" s="8" t="s">
        <v>109</v>
      </c>
      <c r="C17" s="9" t="s">
        <v>93</v>
      </c>
      <c r="D17" s="10">
        <v>6365</v>
      </c>
    </row>
    <row r="18" spans="1:4" x14ac:dyDescent="0.3">
      <c r="A18" s="8" t="s">
        <v>22</v>
      </c>
      <c r="B18" s="8" t="s">
        <v>110</v>
      </c>
      <c r="C18" s="9" t="s">
        <v>93</v>
      </c>
      <c r="D18" s="10">
        <v>13221.89</v>
      </c>
    </row>
    <row r="19" spans="1:4" x14ac:dyDescent="0.3">
      <c r="A19" s="8" t="s">
        <v>22</v>
      </c>
      <c r="B19" s="8" t="s">
        <v>111</v>
      </c>
      <c r="C19" s="9" t="s">
        <v>93</v>
      </c>
      <c r="D19" s="10">
        <v>65717.600000000006</v>
      </c>
    </row>
    <row r="20" spans="1:4" x14ac:dyDescent="0.3">
      <c r="A20" s="8" t="s">
        <v>23</v>
      </c>
      <c r="B20" s="8" t="s">
        <v>112</v>
      </c>
      <c r="C20" s="9" t="s">
        <v>93</v>
      </c>
      <c r="D20" s="10">
        <v>13088.589999999997</v>
      </c>
    </row>
    <row r="21" spans="1:4" x14ac:dyDescent="0.3">
      <c r="A21" s="8" t="s">
        <v>24</v>
      </c>
      <c r="B21" s="8" t="s">
        <v>113</v>
      </c>
      <c r="C21" s="9" t="s">
        <v>93</v>
      </c>
      <c r="D21" s="10">
        <v>808.82999999999993</v>
      </c>
    </row>
    <row r="22" spans="1:4" x14ac:dyDescent="0.3">
      <c r="A22" s="8" t="s">
        <v>25</v>
      </c>
      <c r="B22" s="8" t="s">
        <v>114</v>
      </c>
      <c r="C22" s="9" t="s">
        <v>93</v>
      </c>
      <c r="D22" s="10">
        <v>144.25</v>
      </c>
    </row>
    <row r="23" spans="1:4" x14ac:dyDescent="0.3">
      <c r="A23" s="8" t="s">
        <v>26</v>
      </c>
      <c r="B23" s="8" t="s">
        <v>115</v>
      </c>
      <c r="C23" s="9" t="s">
        <v>93</v>
      </c>
      <c r="D23" s="10">
        <v>2297.67</v>
      </c>
    </row>
    <row r="24" spans="1:4" x14ac:dyDescent="0.3">
      <c r="A24" s="8" t="s">
        <v>27</v>
      </c>
      <c r="B24" s="8" t="s">
        <v>116</v>
      </c>
      <c r="C24" s="9" t="s">
        <v>93</v>
      </c>
      <c r="D24" s="10">
        <v>3364.94</v>
      </c>
    </row>
    <row r="25" spans="1:4" x14ac:dyDescent="0.3">
      <c r="A25" s="8" t="s">
        <v>28</v>
      </c>
      <c r="B25" s="8" t="s">
        <v>117</v>
      </c>
      <c r="C25" s="9" t="s">
        <v>93</v>
      </c>
      <c r="D25" s="10">
        <v>1968.99</v>
      </c>
    </row>
    <row r="26" spans="1:4" x14ac:dyDescent="0.3">
      <c r="A26" s="8" t="s">
        <v>29</v>
      </c>
      <c r="B26" s="8" t="s">
        <v>118</v>
      </c>
      <c r="C26" s="9" t="s">
        <v>93</v>
      </c>
      <c r="D26" s="10">
        <v>0</v>
      </c>
    </row>
    <row r="27" spans="1:4" x14ac:dyDescent="0.3">
      <c r="A27" s="8" t="s">
        <v>29</v>
      </c>
      <c r="B27" s="8" t="s">
        <v>119</v>
      </c>
      <c r="C27" s="9" t="s">
        <v>93</v>
      </c>
      <c r="D27" s="10">
        <v>901.34</v>
      </c>
    </row>
    <row r="28" spans="1:4" x14ac:dyDescent="0.3">
      <c r="A28" s="8" t="s">
        <v>30</v>
      </c>
      <c r="B28" s="8" t="s">
        <v>120</v>
      </c>
      <c r="C28" s="9" t="s">
        <v>93</v>
      </c>
      <c r="D28" s="10">
        <v>1460.08</v>
      </c>
    </row>
    <row r="29" spans="1:4" x14ac:dyDescent="0.3">
      <c r="A29" s="8" t="s">
        <v>31</v>
      </c>
      <c r="B29" s="8" t="s">
        <v>121</v>
      </c>
      <c r="C29" s="9" t="s">
        <v>93</v>
      </c>
      <c r="D29" s="10">
        <v>26266.509999999962</v>
      </c>
    </row>
    <row r="30" spans="1:4" x14ac:dyDescent="0.3">
      <c r="A30" s="8" t="s">
        <v>31</v>
      </c>
      <c r="B30" s="8" t="s">
        <v>122</v>
      </c>
      <c r="C30" s="9" t="s">
        <v>93</v>
      </c>
      <c r="D30" s="10">
        <v>350.42</v>
      </c>
    </row>
    <row r="31" spans="1:4" x14ac:dyDescent="0.3">
      <c r="A31" s="8" t="s">
        <v>32</v>
      </c>
      <c r="B31" s="8" t="s">
        <v>123</v>
      </c>
      <c r="C31" s="9" t="s">
        <v>93</v>
      </c>
      <c r="D31" s="10">
        <v>9902.5400000000009</v>
      </c>
    </row>
    <row r="32" spans="1:4" x14ac:dyDescent="0.3">
      <c r="A32" s="8" t="s">
        <v>33</v>
      </c>
      <c r="B32" s="8" t="s">
        <v>124</v>
      </c>
      <c r="C32" s="9" t="s">
        <v>93</v>
      </c>
      <c r="D32" s="10">
        <v>25061.43</v>
      </c>
    </row>
    <row r="33" spans="1:4" x14ac:dyDescent="0.3">
      <c r="A33" s="8" t="s">
        <v>34</v>
      </c>
      <c r="B33" s="8" t="s">
        <v>125</v>
      </c>
      <c r="C33" s="9" t="s">
        <v>93</v>
      </c>
      <c r="D33" s="10">
        <v>345</v>
      </c>
    </row>
    <row r="34" spans="1:4" x14ac:dyDescent="0.3">
      <c r="A34" s="8" t="s">
        <v>35</v>
      </c>
      <c r="B34" s="8" t="s">
        <v>126</v>
      </c>
      <c r="C34" s="9" t="s">
        <v>93</v>
      </c>
      <c r="D34" s="10">
        <v>13656.26</v>
      </c>
    </row>
    <row r="35" spans="1:4" x14ac:dyDescent="0.3">
      <c r="A35" s="8"/>
      <c r="B35" s="8"/>
      <c r="C35" s="9"/>
      <c r="D35" s="10"/>
    </row>
    <row r="36" spans="1:4" x14ac:dyDescent="0.3">
      <c r="A36" s="8"/>
      <c r="B36" s="8"/>
      <c r="C36" s="9"/>
      <c r="D36" s="10"/>
    </row>
    <row r="37" spans="1:4" x14ac:dyDescent="0.3">
      <c r="A37" s="8"/>
      <c r="B37" s="8"/>
      <c r="C37" s="9"/>
      <c r="D37" s="10"/>
    </row>
  </sheetData>
  <autoFilter ref="A1:D34" xr:uid="{00000000-0001-0000-0100-000000000000}"/>
  <phoneticPr fontId="5" type="noConversion"/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xr:uid="{00000000-0002-0000-0100-000000000000}">
          <x14:formula1>
            <xm:f>Listas!$A$2:$A$4</xm:f>
          </x14:formula1>
          <x14:formula2>
            <xm:f>0</xm:f>
          </x14:formula2>
          <xm:sqref>A19:A38</xm:sqref>
        </x14:dataValidation>
        <x14:dataValidation type="list" allowBlank="1" xr:uid="{D8BDD68B-FBBC-4D80-A791-DE0A898502F6}">
          <x14:formula1>
            <xm:f>Listas!$A$2:$A$20</xm:f>
          </x14:formula1>
          <xm:sqref>A2:A18</xm:sqref>
        </x14:dataValidation>
        <x14:dataValidation type="list" allowBlank="1" xr:uid="{753A07D4-02FC-4976-ADEF-82A8995F5D7D}">
          <x14:formula1>
            <xm:f>Listas!$B$2:$B$34</xm:f>
          </x14:formula1>
          <xm:sqref>B2:B33</xm:sqref>
        </x14:dataValidation>
        <x14:dataValidation type="list" allowBlank="1" xr:uid="{00000000-0002-0000-0100-000001000000}">
          <x14:formula1>
            <xm:f>Listas!$B$2:$B$4</xm:f>
          </x14:formula1>
          <x14:formula2>
            <xm:f>0</xm:f>
          </x14:formula2>
          <xm:sqref>B34:B38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53"/>
  <sheetViews>
    <sheetView zoomScale="70" zoomScaleNormal="70" workbookViewId="0">
      <pane ySplit="1" topLeftCell="A5" activePane="bottomLeft" state="frozen"/>
      <selection pane="bottomLeft" activeCell="B15" sqref="B15"/>
    </sheetView>
  </sheetViews>
  <sheetFormatPr baseColWidth="10" defaultColWidth="8.6640625" defaultRowHeight="14.4" x14ac:dyDescent="0.3"/>
  <cols>
    <col min="1" max="1" width="26" customWidth="1"/>
    <col min="2" max="2" width="45.6640625" bestFit="1" customWidth="1"/>
    <col min="3" max="3" width="18.6640625" customWidth="1"/>
    <col min="4" max="4" width="12" customWidth="1"/>
    <col min="5" max="5" width="49.44140625" bestFit="1" customWidth="1"/>
    <col min="6" max="7" width="13.44140625" bestFit="1" customWidth="1"/>
  </cols>
  <sheetData>
    <row r="1" spans="1:7" x14ac:dyDescent="0.3">
      <c r="A1" s="2" t="s">
        <v>14</v>
      </c>
      <c r="B1" s="2" t="s">
        <v>15</v>
      </c>
      <c r="C1" s="14" t="s">
        <v>127</v>
      </c>
      <c r="D1" s="2" t="s">
        <v>16</v>
      </c>
      <c r="E1" s="2" t="s">
        <v>91</v>
      </c>
      <c r="F1" s="14" t="s">
        <v>92</v>
      </c>
      <c r="G1" s="14" t="s">
        <v>157</v>
      </c>
    </row>
    <row r="2" spans="1:7" x14ac:dyDescent="0.3">
      <c r="A2" s="13" t="s">
        <v>17</v>
      </c>
      <c r="B2" s="13" t="s">
        <v>94</v>
      </c>
      <c r="C2" s="13" t="s">
        <v>36</v>
      </c>
      <c r="D2" s="13" t="s">
        <v>9</v>
      </c>
      <c r="E2" s="13" t="s">
        <v>38</v>
      </c>
      <c r="F2" s="13" t="s">
        <v>88</v>
      </c>
      <c r="G2" s="13" t="s">
        <v>158</v>
      </c>
    </row>
    <row r="3" spans="1:7" x14ac:dyDescent="0.3">
      <c r="A3" s="13" t="s">
        <v>17</v>
      </c>
      <c r="B3" s="13" t="s">
        <v>95</v>
      </c>
      <c r="C3" s="13" t="s">
        <v>37</v>
      </c>
      <c r="D3" s="13" t="s">
        <v>10</v>
      </c>
      <c r="E3" s="13" t="s">
        <v>39</v>
      </c>
      <c r="F3" s="13" t="s">
        <v>88</v>
      </c>
      <c r="G3" s="13" t="s">
        <v>158</v>
      </c>
    </row>
    <row r="4" spans="1:7" x14ac:dyDescent="0.3">
      <c r="A4" s="13" t="s">
        <v>17</v>
      </c>
      <c r="B4" s="26" t="s">
        <v>96</v>
      </c>
      <c r="C4" s="13" t="s">
        <v>152</v>
      </c>
      <c r="E4" s="13" t="s">
        <v>40</v>
      </c>
      <c r="F4" s="13" t="s">
        <v>88</v>
      </c>
      <c r="G4" s="13" t="s">
        <v>158</v>
      </c>
    </row>
    <row r="5" spans="1:7" x14ac:dyDescent="0.3">
      <c r="A5" s="13" t="s">
        <v>18</v>
      </c>
      <c r="B5" s="13" t="s">
        <v>97</v>
      </c>
      <c r="C5" s="13" t="s">
        <v>37</v>
      </c>
      <c r="E5" s="13" t="s">
        <v>41</v>
      </c>
      <c r="F5" s="13" t="s">
        <v>88</v>
      </c>
      <c r="G5" s="13" t="s">
        <v>158</v>
      </c>
    </row>
    <row r="6" spans="1:7" x14ac:dyDescent="0.3">
      <c r="A6" s="13" t="s">
        <v>18</v>
      </c>
      <c r="B6" s="13" t="s">
        <v>98</v>
      </c>
      <c r="C6" s="13" t="s">
        <v>37</v>
      </c>
      <c r="E6" s="13" t="s">
        <v>42</v>
      </c>
      <c r="F6" s="13" t="s">
        <v>88</v>
      </c>
      <c r="G6" s="13" t="s">
        <v>158</v>
      </c>
    </row>
    <row r="7" spans="1:7" x14ac:dyDescent="0.3">
      <c r="A7" s="13" t="s">
        <v>19</v>
      </c>
      <c r="B7" s="13" t="s">
        <v>99</v>
      </c>
      <c r="C7" s="13" t="s">
        <v>37</v>
      </c>
      <c r="E7" s="13" t="s">
        <v>43</v>
      </c>
      <c r="F7" s="13" t="s">
        <v>88</v>
      </c>
      <c r="G7" s="13" t="s">
        <v>158</v>
      </c>
    </row>
    <row r="8" spans="1:7" x14ac:dyDescent="0.3">
      <c r="A8" s="13" t="s">
        <v>20</v>
      </c>
      <c r="B8" s="13" t="s">
        <v>100</v>
      </c>
      <c r="C8" s="13" t="s">
        <v>36</v>
      </c>
      <c r="E8" s="13" t="s">
        <v>44</v>
      </c>
      <c r="F8" s="13" t="s">
        <v>88</v>
      </c>
      <c r="G8" s="13" t="s">
        <v>158</v>
      </c>
    </row>
    <row r="9" spans="1:7" x14ac:dyDescent="0.3">
      <c r="A9" s="13" t="s">
        <v>21</v>
      </c>
      <c r="B9" s="13" t="s">
        <v>101</v>
      </c>
      <c r="C9" s="13" t="s">
        <v>36</v>
      </c>
      <c r="E9" s="13" t="s">
        <v>45</v>
      </c>
      <c r="F9" s="13" t="s">
        <v>88</v>
      </c>
      <c r="G9" s="13" t="s">
        <v>158</v>
      </c>
    </row>
    <row r="10" spans="1:7" x14ac:dyDescent="0.3">
      <c r="A10" s="13" t="s">
        <v>21</v>
      </c>
      <c r="B10" s="13" t="s">
        <v>102</v>
      </c>
      <c r="C10" s="13" t="s">
        <v>36</v>
      </c>
      <c r="E10" s="13" t="s">
        <v>46</v>
      </c>
      <c r="F10" s="13" t="s">
        <v>89</v>
      </c>
      <c r="G10" s="13" t="s">
        <v>158</v>
      </c>
    </row>
    <row r="11" spans="1:7" x14ac:dyDescent="0.3">
      <c r="A11" s="13" t="s">
        <v>21</v>
      </c>
      <c r="B11" s="13" t="s">
        <v>103</v>
      </c>
      <c r="C11" s="13"/>
      <c r="E11" s="13" t="s">
        <v>47</v>
      </c>
      <c r="F11" s="13" t="s">
        <v>89</v>
      </c>
      <c r="G11" s="13" t="s">
        <v>158</v>
      </c>
    </row>
    <row r="12" spans="1:7" x14ac:dyDescent="0.3">
      <c r="A12" s="13" t="s">
        <v>21</v>
      </c>
      <c r="B12" s="13" t="s">
        <v>104</v>
      </c>
      <c r="C12" s="13" t="s">
        <v>37</v>
      </c>
      <c r="E12" s="13" t="s">
        <v>48</v>
      </c>
      <c r="F12" s="13" t="s">
        <v>89</v>
      </c>
      <c r="G12" s="13" t="s">
        <v>158</v>
      </c>
    </row>
    <row r="13" spans="1:7" x14ac:dyDescent="0.3">
      <c r="A13" s="13" t="s">
        <v>21</v>
      </c>
      <c r="B13" s="13" t="s">
        <v>105</v>
      </c>
      <c r="C13" s="13" t="s">
        <v>152</v>
      </c>
      <c r="E13" s="13" t="s">
        <v>49</v>
      </c>
      <c r="F13" s="13" t="s">
        <v>89</v>
      </c>
      <c r="G13" s="13" t="s">
        <v>158</v>
      </c>
    </row>
    <row r="14" spans="1:7" x14ac:dyDescent="0.3">
      <c r="A14" s="13" t="s">
        <v>21</v>
      </c>
      <c r="B14" s="13" t="s">
        <v>106</v>
      </c>
      <c r="C14" s="13" t="s">
        <v>37</v>
      </c>
      <c r="E14" s="13" t="s">
        <v>50</v>
      </c>
      <c r="F14" s="13" t="s">
        <v>89</v>
      </c>
      <c r="G14" s="13" t="s">
        <v>158</v>
      </c>
    </row>
    <row r="15" spans="1:7" x14ac:dyDescent="0.3">
      <c r="A15" s="13" t="s">
        <v>21</v>
      </c>
      <c r="B15" s="13" t="s">
        <v>107</v>
      </c>
      <c r="C15" s="13" t="s">
        <v>37</v>
      </c>
      <c r="E15" s="13" t="s">
        <v>51</v>
      </c>
      <c r="F15" s="13" t="s">
        <v>89</v>
      </c>
      <c r="G15" s="13" t="s">
        <v>158</v>
      </c>
    </row>
    <row r="16" spans="1:7" x14ac:dyDescent="0.3">
      <c r="A16" s="13" t="s">
        <v>22</v>
      </c>
      <c r="B16" s="26" t="s">
        <v>108</v>
      </c>
      <c r="C16" s="13" t="s">
        <v>153</v>
      </c>
      <c r="E16" s="13" t="s">
        <v>52</v>
      </c>
      <c r="F16" s="13" t="s">
        <v>90</v>
      </c>
      <c r="G16" s="13" t="s">
        <v>158</v>
      </c>
    </row>
    <row r="17" spans="1:7" x14ac:dyDescent="0.3">
      <c r="A17" s="13" t="s">
        <v>22</v>
      </c>
      <c r="B17" s="13" t="s">
        <v>109</v>
      </c>
      <c r="C17" s="13" t="s">
        <v>152</v>
      </c>
      <c r="E17" s="13" t="s">
        <v>53</v>
      </c>
      <c r="F17" s="13" t="s">
        <v>90</v>
      </c>
      <c r="G17" s="13" t="s">
        <v>159</v>
      </c>
    </row>
    <row r="18" spans="1:7" x14ac:dyDescent="0.3">
      <c r="A18" s="13" t="s">
        <v>22</v>
      </c>
      <c r="B18" s="13" t="s">
        <v>110</v>
      </c>
      <c r="C18" s="13" t="s">
        <v>36</v>
      </c>
      <c r="E18" s="13" t="s">
        <v>54</v>
      </c>
      <c r="F18" s="13" t="s">
        <v>90</v>
      </c>
      <c r="G18" s="13" t="s">
        <v>158</v>
      </c>
    </row>
    <row r="19" spans="1:7" x14ac:dyDescent="0.3">
      <c r="A19" s="13" t="s">
        <v>22</v>
      </c>
      <c r="B19" s="13" t="s">
        <v>111</v>
      </c>
      <c r="C19" s="13" t="s">
        <v>37</v>
      </c>
      <c r="E19" s="13" t="s">
        <v>55</v>
      </c>
      <c r="F19" s="13" t="s">
        <v>90</v>
      </c>
      <c r="G19" s="13" t="s">
        <v>158</v>
      </c>
    </row>
    <row r="20" spans="1:7" x14ac:dyDescent="0.3">
      <c r="A20" s="13" t="s">
        <v>23</v>
      </c>
      <c r="B20" s="13" t="s">
        <v>112</v>
      </c>
      <c r="C20" s="13" t="s">
        <v>36</v>
      </c>
      <c r="E20" s="13" t="s">
        <v>56</v>
      </c>
      <c r="F20" s="13" t="s">
        <v>90</v>
      </c>
      <c r="G20" s="13" t="s">
        <v>158</v>
      </c>
    </row>
    <row r="21" spans="1:7" x14ac:dyDescent="0.3">
      <c r="A21" s="13" t="s">
        <v>24</v>
      </c>
      <c r="B21" s="26" t="s">
        <v>113</v>
      </c>
      <c r="C21" s="13" t="s">
        <v>154</v>
      </c>
      <c r="E21" s="13" t="s">
        <v>57</v>
      </c>
      <c r="F21" s="13" t="s">
        <v>90</v>
      </c>
      <c r="G21" s="13" t="s">
        <v>158</v>
      </c>
    </row>
    <row r="22" spans="1:7" x14ac:dyDescent="0.3">
      <c r="A22" s="13" t="s">
        <v>25</v>
      </c>
      <c r="B22" s="13" t="s">
        <v>114</v>
      </c>
      <c r="C22" s="13" t="s">
        <v>36</v>
      </c>
      <c r="E22" s="13" t="s">
        <v>58</v>
      </c>
      <c r="F22" s="13" t="s">
        <v>90</v>
      </c>
      <c r="G22" s="13" t="s">
        <v>158</v>
      </c>
    </row>
    <row r="23" spans="1:7" x14ac:dyDescent="0.3">
      <c r="A23" s="13" t="s">
        <v>26</v>
      </c>
      <c r="B23" s="13" t="s">
        <v>115</v>
      </c>
      <c r="C23" s="13" t="s">
        <v>36</v>
      </c>
      <c r="E23" s="13" t="s">
        <v>59</v>
      </c>
      <c r="F23" s="13" t="s">
        <v>90</v>
      </c>
      <c r="G23" s="13" t="s">
        <v>158</v>
      </c>
    </row>
    <row r="24" spans="1:7" x14ac:dyDescent="0.3">
      <c r="A24" s="13" t="s">
        <v>27</v>
      </c>
      <c r="B24" s="26" t="s">
        <v>116</v>
      </c>
      <c r="C24" s="13" t="s">
        <v>155</v>
      </c>
      <c r="E24" s="13" t="s">
        <v>60</v>
      </c>
      <c r="F24" s="13" t="s">
        <v>90</v>
      </c>
      <c r="G24" s="13" t="s">
        <v>159</v>
      </c>
    </row>
    <row r="25" spans="1:7" x14ac:dyDescent="0.3">
      <c r="A25" s="13" t="s">
        <v>28</v>
      </c>
      <c r="B25" s="13" t="s">
        <v>117</v>
      </c>
      <c r="C25" s="13" t="s">
        <v>36</v>
      </c>
      <c r="E25" s="13" t="s">
        <v>61</v>
      </c>
      <c r="F25" s="13" t="s">
        <v>88</v>
      </c>
      <c r="G25" s="13" t="s">
        <v>158</v>
      </c>
    </row>
    <row r="26" spans="1:7" x14ac:dyDescent="0.3">
      <c r="A26" s="13" t="s">
        <v>29</v>
      </c>
      <c r="B26" s="26" t="s">
        <v>118</v>
      </c>
      <c r="C26" s="13" t="s">
        <v>156</v>
      </c>
      <c r="E26" s="13" t="s">
        <v>62</v>
      </c>
      <c r="F26" s="13" t="s">
        <v>88</v>
      </c>
      <c r="G26" s="13" t="s">
        <v>159</v>
      </c>
    </row>
    <row r="27" spans="1:7" x14ac:dyDescent="0.3">
      <c r="A27" s="13" t="s">
        <v>29</v>
      </c>
      <c r="B27" s="13" t="s">
        <v>119</v>
      </c>
      <c r="C27" s="13" t="s">
        <v>37</v>
      </c>
      <c r="E27" s="13" t="s">
        <v>63</v>
      </c>
      <c r="F27" s="13" t="s">
        <v>88</v>
      </c>
      <c r="G27" s="13" t="s">
        <v>158</v>
      </c>
    </row>
    <row r="28" spans="1:7" x14ac:dyDescent="0.3">
      <c r="A28" s="13" t="s">
        <v>30</v>
      </c>
      <c r="B28" s="13" t="s">
        <v>120</v>
      </c>
      <c r="C28" s="13" t="s">
        <v>36</v>
      </c>
      <c r="E28" s="13" t="s">
        <v>64</v>
      </c>
      <c r="F28" s="13" t="s">
        <v>88</v>
      </c>
      <c r="G28" s="13" t="s">
        <v>159</v>
      </c>
    </row>
    <row r="29" spans="1:7" x14ac:dyDescent="0.3">
      <c r="A29" s="13" t="s">
        <v>31</v>
      </c>
      <c r="B29" s="13" t="s">
        <v>121</v>
      </c>
      <c r="C29" s="13" t="s">
        <v>36</v>
      </c>
      <c r="E29" s="13" t="s">
        <v>65</v>
      </c>
      <c r="F29" s="13" t="s">
        <v>88</v>
      </c>
      <c r="G29" s="13" t="s">
        <v>158</v>
      </c>
    </row>
    <row r="30" spans="1:7" x14ac:dyDescent="0.3">
      <c r="A30" s="13" t="s">
        <v>31</v>
      </c>
      <c r="B30" s="13" t="s">
        <v>122</v>
      </c>
      <c r="C30" s="13" t="s">
        <v>36</v>
      </c>
      <c r="E30" s="13"/>
      <c r="F30" s="13"/>
      <c r="G30" s="13"/>
    </row>
    <row r="31" spans="1:7" x14ac:dyDescent="0.3">
      <c r="A31" s="13" t="s">
        <v>32</v>
      </c>
      <c r="B31" s="13" t="s">
        <v>123</v>
      </c>
      <c r="C31" s="13" t="s">
        <v>36</v>
      </c>
      <c r="E31" s="13" t="s">
        <v>66</v>
      </c>
      <c r="F31" s="13" t="s">
        <v>90</v>
      </c>
      <c r="G31" s="13" t="s">
        <v>158</v>
      </c>
    </row>
    <row r="32" spans="1:7" x14ac:dyDescent="0.3">
      <c r="A32" s="13" t="s">
        <v>33</v>
      </c>
      <c r="B32" s="13" t="s">
        <v>124</v>
      </c>
      <c r="C32" s="13" t="s">
        <v>36</v>
      </c>
      <c r="E32" s="13" t="s">
        <v>67</v>
      </c>
      <c r="F32" s="13" t="s">
        <v>90</v>
      </c>
      <c r="G32" s="13" t="s">
        <v>159</v>
      </c>
    </row>
    <row r="33" spans="1:7" x14ac:dyDescent="0.3">
      <c r="A33" s="13" t="s">
        <v>34</v>
      </c>
      <c r="B33" s="13" t="s">
        <v>125</v>
      </c>
      <c r="C33" s="13" t="s">
        <v>37</v>
      </c>
      <c r="E33" s="13" t="s">
        <v>68</v>
      </c>
      <c r="F33" s="13" t="s">
        <v>88</v>
      </c>
      <c r="G33" s="13" t="s">
        <v>158</v>
      </c>
    </row>
    <row r="34" spans="1:7" x14ac:dyDescent="0.3">
      <c r="A34" s="13" t="s">
        <v>35</v>
      </c>
      <c r="B34" s="13" t="s">
        <v>126</v>
      </c>
      <c r="C34" s="13" t="s">
        <v>37</v>
      </c>
      <c r="E34" s="13" t="s">
        <v>69</v>
      </c>
      <c r="F34" s="13" t="s">
        <v>88</v>
      </c>
      <c r="G34" s="13" t="s">
        <v>159</v>
      </c>
    </row>
    <row r="35" spans="1:7" x14ac:dyDescent="0.3">
      <c r="A35" s="13" t="s">
        <v>17</v>
      </c>
      <c r="B35" s="13" t="s">
        <v>96</v>
      </c>
      <c r="C35" s="13" t="s">
        <v>169</v>
      </c>
      <c r="E35" s="13" t="s">
        <v>70</v>
      </c>
      <c r="F35" s="13" t="s">
        <v>88</v>
      </c>
      <c r="G35" s="13" t="s">
        <v>158</v>
      </c>
    </row>
    <row r="36" spans="1:7" x14ac:dyDescent="0.3">
      <c r="A36" s="13" t="s">
        <v>21</v>
      </c>
      <c r="B36" s="13" t="s">
        <v>105</v>
      </c>
      <c r="C36" s="13" t="s">
        <v>169</v>
      </c>
      <c r="E36" s="13" t="s">
        <v>71</v>
      </c>
      <c r="F36" s="13" t="s">
        <v>88</v>
      </c>
      <c r="G36" s="13" t="s">
        <v>159</v>
      </c>
    </row>
    <row r="37" spans="1:7" x14ac:dyDescent="0.3">
      <c r="A37" s="13" t="s">
        <v>22</v>
      </c>
      <c r="B37" s="13" t="s">
        <v>109</v>
      </c>
      <c r="C37" s="13" t="s">
        <v>169</v>
      </c>
      <c r="E37" s="13" t="s">
        <v>72</v>
      </c>
      <c r="F37" s="13" t="s">
        <v>88</v>
      </c>
      <c r="G37" s="13" t="s">
        <v>158</v>
      </c>
    </row>
    <row r="38" spans="1:7" x14ac:dyDescent="0.3">
      <c r="A38" s="13" t="s">
        <v>22</v>
      </c>
      <c r="B38" s="13" t="s">
        <v>108</v>
      </c>
      <c r="C38" s="13" t="s">
        <v>170</v>
      </c>
      <c r="E38" s="13" t="s">
        <v>73</v>
      </c>
      <c r="F38" s="13" t="s">
        <v>88</v>
      </c>
      <c r="G38" s="13" t="s">
        <v>159</v>
      </c>
    </row>
    <row r="39" spans="1:7" x14ac:dyDescent="0.3">
      <c r="A39" s="13" t="s">
        <v>24</v>
      </c>
      <c r="B39" s="13" t="s">
        <v>113</v>
      </c>
      <c r="C39" s="13" t="s">
        <v>171</v>
      </c>
      <c r="E39" s="13" t="s">
        <v>74</v>
      </c>
      <c r="F39" s="13" t="s">
        <v>89</v>
      </c>
      <c r="G39" s="13" t="s">
        <v>158</v>
      </c>
    </row>
    <row r="40" spans="1:7" x14ac:dyDescent="0.3">
      <c r="A40" s="13" t="s">
        <v>27</v>
      </c>
      <c r="B40" s="13" t="s">
        <v>116</v>
      </c>
      <c r="C40" s="13" t="s">
        <v>172</v>
      </c>
      <c r="E40" s="13" t="s">
        <v>75</v>
      </c>
      <c r="F40" s="13" t="s">
        <v>89</v>
      </c>
      <c r="G40" s="13" t="s">
        <v>159</v>
      </c>
    </row>
    <row r="41" spans="1:7" x14ac:dyDescent="0.3">
      <c r="A41" s="13" t="s">
        <v>156</v>
      </c>
      <c r="B41" s="13" t="s">
        <v>118</v>
      </c>
      <c r="C41" s="13" t="s">
        <v>29</v>
      </c>
      <c r="E41" s="13" t="s">
        <v>76</v>
      </c>
      <c r="F41" s="13" t="s">
        <v>89</v>
      </c>
      <c r="G41" s="13" t="s">
        <v>158</v>
      </c>
    </row>
    <row r="42" spans="1:7" x14ac:dyDescent="0.3">
      <c r="A42" s="13"/>
      <c r="B42" s="13"/>
      <c r="C42" s="13"/>
      <c r="E42" s="13" t="s">
        <v>77</v>
      </c>
      <c r="F42" s="13" t="s">
        <v>90</v>
      </c>
      <c r="G42" s="13" t="s">
        <v>159</v>
      </c>
    </row>
    <row r="43" spans="1:7" x14ac:dyDescent="0.3">
      <c r="A43" s="13"/>
      <c r="B43" s="13"/>
      <c r="C43" s="13"/>
      <c r="E43" s="13" t="s">
        <v>78</v>
      </c>
      <c r="F43" s="13" t="s">
        <v>90</v>
      </c>
      <c r="G43" s="13" t="s">
        <v>158</v>
      </c>
    </row>
    <row r="44" spans="1:7" x14ac:dyDescent="0.3">
      <c r="A44" s="13"/>
      <c r="B44" s="13"/>
      <c r="C44" s="13"/>
      <c r="E44" s="13" t="s">
        <v>79</v>
      </c>
      <c r="F44" s="13" t="s">
        <v>90</v>
      </c>
      <c r="G44" s="13" t="s">
        <v>158</v>
      </c>
    </row>
    <row r="45" spans="1:7" x14ac:dyDescent="0.3">
      <c r="A45" s="13"/>
      <c r="B45" s="13"/>
      <c r="C45" s="13"/>
      <c r="E45" s="13" t="s">
        <v>80</v>
      </c>
      <c r="F45" s="13" t="s">
        <v>88</v>
      </c>
      <c r="G45" s="13" t="s">
        <v>158</v>
      </c>
    </row>
    <row r="46" spans="1:7" x14ac:dyDescent="0.3">
      <c r="A46" s="13"/>
      <c r="B46" s="13"/>
      <c r="C46" s="13"/>
      <c r="E46" s="13" t="s">
        <v>81</v>
      </c>
      <c r="F46" s="13" t="s">
        <v>88</v>
      </c>
      <c r="G46" s="13" t="s">
        <v>158</v>
      </c>
    </row>
    <row r="47" spans="1:7" x14ac:dyDescent="0.3">
      <c r="A47" s="13"/>
      <c r="B47" s="13"/>
      <c r="C47" s="13"/>
      <c r="E47" s="13" t="s">
        <v>82</v>
      </c>
      <c r="F47" s="13" t="s">
        <v>88</v>
      </c>
      <c r="G47" s="13" t="s">
        <v>158</v>
      </c>
    </row>
    <row r="48" spans="1:7" x14ac:dyDescent="0.3">
      <c r="A48" s="13"/>
      <c r="B48" s="13"/>
      <c r="C48" s="13"/>
      <c r="E48" s="13" t="s">
        <v>83</v>
      </c>
      <c r="F48" s="13" t="s">
        <v>90</v>
      </c>
      <c r="G48" s="13" t="s">
        <v>159</v>
      </c>
    </row>
    <row r="49" spans="1:7" x14ac:dyDescent="0.3">
      <c r="A49" s="13"/>
      <c r="B49" s="13"/>
      <c r="C49" s="13"/>
      <c r="E49" s="13" t="s">
        <v>84</v>
      </c>
      <c r="F49" s="13" t="s">
        <v>88</v>
      </c>
      <c r="G49" s="13" t="s">
        <v>158</v>
      </c>
    </row>
    <row r="50" spans="1:7" x14ac:dyDescent="0.3">
      <c r="A50" s="13"/>
      <c r="B50" s="13"/>
      <c r="C50" s="13"/>
      <c r="E50" s="13" t="s">
        <v>85</v>
      </c>
      <c r="F50" s="13" t="s">
        <v>88</v>
      </c>
      <c r="G50" s="13" t="s">
        <v>159</v>
      </c>
    </row>
    <row r="51" spans="1:7" x14ac:dyDescent="0.3">
      <c r="E51" s="13" t="s">
        <v>86</v>
      </c>
      <c r="F51" s="13" t="s">
        <v>90</v>
      </c>
      <c r="G51" s="13" t="s">
        <v>158</v>
      </c>
    </row>
    <row r="52" spans="1:7" x14ac:dyDescent="0.3">
      <c r="E52" s="13" t="s">
        <v>87</v>
      </c>
      <c r="F52" s="13" t="s">
        <v>88</v>
      </c>
      <c r="G52" s="13" t="s">
        <v>158</v>
      </c>
    </row>
    <row r="53" spans="1:7" x14ac:dyDescent="0.3">
      <c r="F53" s="13"/>
      <c r="G53" s="13"/>
    </row>
  </sheetData>
  <autoFilter ref="A1:G52" xr:uid="{00000000-0001-0000-0300-000000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P432"/>
  <sheetViews>
    <sheetView tabSelected="1" zoomScale="70" zoomScaleNormal="70" workbookViewId="0">
      <pane ySplit="1" topLeftCell="A408" activePane="bottomLeft" state="frozen"/>
      <selection pane="bottomLeft" activeCell="A426" sqref="A426"/>
    </sheetView>
  </sheetViews>
  <sheetFormatPr baseColWidth="10" defaultColWidth="8.6640625" defaultRowHeight="14.4" x14ac:dyDescent="0.3"/>
  <cols>
    <col min="1" max="1" width="6" style="3" customWidth="1"/>
    <col min="2" max="2" width="12" style="41" customWidth="1"/>
    <col min="3" max="3" width="24" style="4" customWidth="1"/>
    <col min="4" max="4" width="46.88671875" style="43" bestFit="1" customWidth="1"/>
    <col min="5" max="5" width="18.109375" style="4" customWidth="1"/>
    <col min="6" max="6" width="16" style="43" customWidth="1"/>
    <col min="7" max="7" width="53.77734375" style="43" bestFit="1" customWidth="1"/>
    <col min="8" max="8" width="18" style="4" customWidth="1"/>
    <col min="9" max="9" width="16.5546875" style="4" customWidth="1"/>
    <col min="10" max="10" width="14" style="45" customWidth="1"/>
    <col min="11" max="11" width="16" style="5" customWidth="1"/>
    <col min="12" max="12" width="10" style="15" customWidth="1"/>
    <col min="13" max="13" width="26.109375" style="46" customWidth="1"/>
    <col min="14" max="14" width="14.21875" style="27" bestFit="1" customWidth="1"/>
    <col min="15" max="15" width="13.77734375" style="27" bestFit="1" customWidth="1"/>
    <col min="16" max="16" width="16" style="29" bestFit="1" customWidth="1"/>
    <col min="17" max="17" width="15.6640625" customWidth="1"/>
  </cols>
  <sheetData>
    <row r="1" spans="1:16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127</v>
      </c>
      <c r="F1" s="2" t="s">
        <v>4</v>
      </c>
      <c r="G1" s="2" t="s">
        <v>160</v>
      </c>
      <c r="H1" s="2" t="s">
        <v>161</v>
      </c>
      <c r="I1" s="2" t="s">
        <v>157</v>
      </c>
      <c r="J1" s="2" t="s">
        <v>5</v>
      </c>
      <c r="K1" s="2" t="s">
        <v>6</v>
      </c>
      <c r="L1" s="2" t="s">
        <v>7</v>
      </c>
      <c r="M1" s="2" t="s">
        <v>8</v>
      </c>
      <c r="N1" s="2" t="s">
        <v>9</v>
      </c>
      <c r="O1" s="2" t="s">
        <v>10</v>
      </c>
      <c r="P1" s="28" t="s">
        <v>162</v>
      </c>
    </row>
    <row r="2" spans="1:16" x14ac:dyDescent="0.3">
      <c r="B2" s="40">
        <v>46143</v>
      </c>
      <c r="C2" s="4" t="s">
        <v>20</v>
      </c>
      <c r="D2" s="42" t="s">
        <v>100</v>
      </c>
      <c r="E2" s="4" t="s">
        <v>36</v>
      </c>
      <c r="F2" s="42" t="s">
        <v>9</v>
      </c>
      <c r="G2" s="42" t="s">
        <v>80</v>
      </c>
      <c r="H2" s="4" t="s">
        <v>88</v>
      </c>
      <c r="I2" s="4" t="s">
        <v>158</v>
      </c>
      <c r="J2" s="44">
        <v>400000</v>
      </c>
      <c r="K2" s="5">
        <v>400000</v>
      </c>
      <c r="L2" s="6" t="s">
        <v>93</v>
      </c>
      <c r="M2" s="46">
        <v>589990.30000000005</v>
      </c>
      <c r="N2" s="27">
        <f>IF(tblMovimientos[[#This Row],[Tipo de Movimiento]]="Ingreso",tblMovimientos[[#This Row],[Monto (S/)]],"0")</f>
        <v>400000</v>
      </c>
      <c r="O2" s="27" t="str">
        <f>IF(tblMovimientos[[#This Row],[Tipo de Movimiento]]="Egreso",tblMovimientos[[#This Row],[Monto (S/)]],"0")</f>
        <v>0</v>
      </c>
      <c r="P2" s="29">
        <f>IF(tblMovimientos[[#This Row],[Tipo de Movimiento]]="Ingreso",tblMovimientos[[#This Row],[Ingreso]],-tblMovimientos[[#This Row],[Egreso]])</f>
        <v>400000</v>
      </c>
    </row>
    <row r="3" spans="1:16" x14ac:dyDescent="0.3">
      <c r="B3" s="40">
        <v>46143</v>
      </c>
      <c r="C3" s="4" t="s">
        <v>20</v>
      </c>
      <c r="D3" s="42" t="s">
        <v>100</v>
      </c>
      <c r="E3" s="4" t="s">
        <v>36</v>
      </c>
      <c r="F3" s="42" t="s">
        <v>9</v>
      </c>
      <c r="G3" s="42" t="s">
        <v>68</v>
      </c>
      <c r="H3" s="4" t="s">
        <v>88</v>
      </c>
      <c r="I3" s="4" t="s">
        <v>158</v>
      </c>
      <c r="J3" s="44">
        <v>12901.71</v>
      </c>
      <c r="K3" s="5">
        <v>12901.71</v>
      </c>
      <c r="L3" s="6" t="s">
        <v>93</v>
      </c>
      <c r="M3" s="46">
        <v>589990.30000000005</v>
      </c>
      <c r="N3" s="27">
        <f>IF(tblMovimientos[[#This Row],[Tipo de Movimiento]]="Ingreso",tblMovimientos[[#This Row],[Monto (S/)]],"0")</f>
        <v>12901.71</v>
      </c>
      <c r="O3" s="27" t="str">
        <f>IF(tblMovimientos[[#This Row],[Tipo de Movimiento]]="Egreso",tblMovimientos[[#This Row],[Monto (S/)]],"0")</f>
        <v>0</v>
      </c>
      <c r="P3" s="29">
        <f>IF(tblMovimientos[[#This Row],[Tipo de Movimiento]]="Ingreso",tblMovimientos[[#This Row],[Ingreso]],-tblMovimientos[[#This Row],[Egreso]])</f>
        <v>12901.71</v>
      </c>
    </row>
    <row r="4" spans="1:16" x14ac:dyDescent="0.3">
      <c r="B4" s="40">
        <v>46143</v>
      </c>
      <c r="C4" s="4" t="s">
        <v>25</v>
      </c>
      <c r="D4" s="42" t="s">
        <v>114</v>
      </c>
      <c r="E4" s="4" t="s">
        <v>36</v>
      </c>
      <c r="F4" s="42" t="s">
        <v>10</v>
      </c>
      <c r="G4" s="42" t="s">
        <v>44</v>
      </c>
      <c r="H4" s="4" t="str">
        <f>IFERROR(_xlfn.XLOOKUP(G4,Listas!E:E,Listas!F:F,""),"")</f>
        <v>Operativo</v>
      </c>
      <c r="I4" s="48" t="str">
        <f>IFERROR(_xlfn.XLOOKUP(G4,Listas!E:E,Listas!G:G,""),"")</f>
        <v>Externo</v>
      </c>
      <c r="J4" s="44">
        <v>29.95</v>
      </c>
      <c r="K4" s="5">
        <v>-29.95</v>
      </c>
      <c r="L4" s="6" t="s">
        <v>93</v>
      </c>
      <c r="M4" s="46">
        <v>114.3</v>
      </c>
      <c r="N4" s="27" t="str">
        <f>IF(tblMovimientos[[#This Row],[Tipo de Movimiento]]="Ingreso",tblMovimientos[[#This Row],[Monto (S/)]],"0")</f>
        <v>0</v>
      </c>
      <c r="O4" s="27">
        <f>IF(tblMovimientos[[#This Row],[Tipo de Movimiento]]="Egreso",tblMovimientos[[#This Row],[Monto (S/)]],"0")</f>
        <v>29.95</v>
      </c>
      <c r="P4" s="29">
        <f>IF(tblMovimientos[[#This Row],[Tipo de Movimiento]]="Ingreso",tblMovimientos[[#This Row],[Ingreso]],-tblMovimientos[[#This Row],[Egreso]])</f>
        <v>-29.95</v>
      </c>
    </row>
    <row r="5" spans="1:16" x14ac:dyDescent="0.3">
      <c r="B5" s="40">
        <v>46143</v>
      </c>
      <c r="C5" s="4" t="s">
        <v>26</v>
      </c>
      <c r="D5" s="42" t="s">
        <v>115</v>
      </c>
      <c r="E5" s="4" t="s">
        <v>36</v>
      </c>
      <c r="F5" s="42" t="s">
        <v>10</v>
      </c>
      <c r="G5" s="42" t="s">
        <v>44</v>
      </c>
      <c r="H5" s="4" t="str">
        <f>IFERROR(_xlfn.XLOOKUP(G5,Listas!E:E,Listas!F:F,""),"")</f>
        <v>Operativo</v>
      </c>
      <c r="I5" s="48" t="str">
        <f>IFERROR(_xlfn.XLOOKUP(G5,Listas!E:E,Listas!G:G,""),"")</f>
        <v>Externo</v>
      </c>
      <c r="J5" s="44">
        <v>29.95</v>
      </c>
      <c r="K5" s="5">
        <v>-29.95</v>
      </c>
      <c r="L5" s="6" t="s">
        <v>93</v>
      </c>
      <c r="M5" s="46">
        <v>2267.7200000000003</v>
      </c>
      <c r="N5" s="27" t="str">
        <f>IF(tblMovimientos[[#This Row],[Tipo de Movimiento]]="Ingreso",tblMovimientos[[#This Row],[Monto (S/)]],"0")</f>
        <v>0</v>
      </c>
      <c r="O5" s="27">
        <f>IF(tblMovimientos[[#This Row],[Tipo de Movimiento]]="Egreso",tblMovimientos[[#This Row],[Monto (S/)]],"0")</f>
        <v>29.95</v>
      </c>
      <c r="P5" s="29">
        <f>IF(tblMovimientos[[#This Row],[Tipo de Movimiento]]="Ingreso",tblMovimientos[[#This Row],[Ingreso]],-tblMovimientos[[#This Row],[Egreso]])</f>
        <v>-29.95</v>
      </c>
    </row>
    <row r="6" spans="1:16" x14ac:dyDescent="0.3">
      <c r="B6" s="40">
        <v>46143</v>
      </c>
      <c r="C6" s="4" t="s">
        <v>30</v>
      </c>
      <c r="D6" s="42" t="s">
        <v>120</v>
      </c>
      <c r="E6" s="4" t="s">
        <v>36</v>
      </c>
      <c r="F6" s="42" t="s">
        <v>10</v>
      </c>
      <c r="G6" s="42" t="s">
        <v>44</v>
      </c>
      <c r="H6" s="4" t="str">
        <f>IFERROR(_xlfn.XLOOKUP(G6,Listas!E:E,Listas!F:F,""),"")</f>
        <v>Operativo</v>
      </c>
      <c r="I6" s="48" t="str">
        <f>IFERROR(_xlfn.XLOOKUP(G6,Listas!E:E,Listas!G:G,""),"")</f>
        <v>Externo</v>
      </c>
      <c r="J6" s="44">
        <v>16</v>
      </c>
      <c r="K6" s="5">
        <v>-16</v>
      </c>
      <c r="L6" s="6" t="s">
        <v>93</v>
      </c>
      <c r="M6" s="46">
        <v>1444.08</v>
      </c>
      <c r="N6" s="27" t="str">
        <f>IF(tblMovimientos[[#This Row],[Tipo de Movimiento]]="Ingreso",tblMovimientos[[#This Row],[Monto (S/)]],"0")</f>
        <v>0</v>
      </c>
      <c r="O6" s="27">
        <f>IF(tblMovimientos[[#This Row],[Tipo de Movimiento]]="Egreso",tblMovimientos[[#This Row],[Monto (S/)]],"0")</f>
        <v>16</v>
      </c>
      <c r="P6" s="29">
        <f>IF(tblMovimientos[[#This Row],[Tipo de Movimiento]]="Ingreso",tblMovimientos[[#This Row],[Ingreso]],-tblMovimientos[[#This Row],[Egreso]])</f>
        <v>-16</v>
      </c>
    </row>
    <row r="7" spans="1:16" x14ac:dyDescent="0.3">
      <c r="B7" s="40">
        <v>46143</v>
      </c>
      <c r="C7" s="4" t="s">
        <v>31</v>
      </c>
      <c r="D7" s="42" t="s">
        <v>121</v>
      </c>
      <c r="E7" s="4" t="s">
        <v>36</v>
      </c>
      <c r="F7" s="42" t="s">
        <v>9</v>
      </c>
      <c r="G7" s="42" t="s">
        <v>81</v>
      </c>
      <c r="H7" s="4" t="str">
        <f>IFERROR(_xlfn.XLOOKUP(G7,Listas!E:E,Listas!F:F,""),"")</f>
        <v>Operativo</v>
      </c>
      <c r="I7" s="48" t="str">
        <f>IFERROR(_xlfn.XLOOKUP(G7,Listas!E:E,Listas!G:G,""),"")</f>
        <v>Externo</v>
      </c>
      <c r="J7" s="44">
        <v>5250</v>
      </c>
      <c r="K7" s="5">
        <v>5250</v>
      </c>
      <c r="L7" s="6" t="s">
        <v>93</v>
      </c>
      <c r="M7" s="46">
        <v>22922.179999999964</v>
      </c>
      <c r="N7" s="27">
        <f>IF(tblMovimientos[[#This Row],[Tipo de Movimiento]]="Ingreso",tblMovimientos[[#This Row],[Monto (S/)]],"0")</f>
        <v>5250</v>
      </c>
      <c r="O7" s="27" t="str">
        <f>IF(tblMovimientos[[#This Row],[Tipo de Movimiento]]="Egreso",tblMovimientos[[#This Row],[Monto (S/)]],"0")</f>
        <v>0</v>
      </c>
      <c r="P7" s="29">
        <f>IF(tblMovimientos[[#This Row],[Tipo de Movimiento]]="Ingreso",tblMovimientos[[#This Row],[Ingreso]],-tblMovimientos[[#This Row],[Egreso]])</f>
        <v>5250</v>
      </c>
    </row>
    <row r="8" spans="1:16" x14ac:dyDescent="0.3">
      <c r="B8" s="40">
        <v>46143</v>
      </c>
      <c r="C8" s="4" t="s">
        <v>31</v>
      </c>
      <c r="D8" s="42" t="s">
        <v>121</v>
      </c>
      <c r="E8" s="4" t="s">
        <v>36</v>
      </c>
      <c r="F8" s="42" t="s">
        <v>10</v>
      </c>
      <c r="G8" s="42" t="s">
        <v>48</v>
      </c>
      <c r="H8" s="4" t="str">
        <f>IFERROR(_xlfn.XLOOKUP(G8,Listas!E:E,Listas!F:F,""),"")</f>
        <v>Financiamiento</v>
      </c>
      <c r="I8" s="48" t="str">
        <f>IFERROR(_xlfn.XLOOKUP(G8,Listas!E:E,Listas!G:G,""),"")</f>
        <v>Externo</v>
      </c>
      <c r="J8" s="44">
        <v>8578.33</v>
      </c>
      <c r="K8" s="5">
        <v>-8578.33</v>
      </c>
      <c r="L8" s="6" t="s">
        <v>93</v>
      </c>
      <c r="M8" s="46">
        <v>22922.179999999964</v>
      </c>
      <c r="N8" s="27" t="str">
        <f>IF(tblMovimientos[[#This Row],[Tipo de Movimiento]]="Ingreso",tblMovimientos[[#This Row],[Monto (S/)]],"0")</f>
        <v>0</v>
      </c>
      <c r="O8" s="27">
        <f>IF(tblMovimientos[[#This Row],[Tipo de Movimiento]]="Egreso",tblMovimientos[[#This Row],[Monto (S/)]],"0")</f>
        <v>8578.33</v>
      </c>
      <c r="P8" s="29">
        <f>IF(tblMovimientos[[#This Row],[Tipo de Movimiento]]="Ingreso",tblMovimientos[[#This Row],[Ingreso]],-tblMovimientos[[#This Row],[Egreso]])</f>
        <v>-8578.33</v>
      </c>
    </row>
    <row r="9" spans="1:16" x14ac:dyDescent="0.3">
      <c r="B9" s="40">
        <v>46143</v>
      </c>
      <c r="C9" s="4" t="s">
        <v>31</v>
      </c>
      <c r="D9" s="42" t="s">
        <v>121</v>
      </c>
      <c r="E9" s="4" t="s">
        <v>36</v>
      </c>
      <c r="F9" s="42" t="s">
        <v>10</v>
      </c>
      <c r="G9" s="42" t="s">
        <v>44</v>
      </c>
      <c r="H9" s="4" t="str">
        <f>IFERROR(_xlfn.XLOOKUP(G9,Listas!E:E,Listas!F:F,""),"")</f>
        <v>Operativo</v>
      </c>
      <c r="I9" s="48" t="str">
        <f>IFERROR(_xlfn.XLOOKUP(G9,Listas!E:E,Listas!G:G,""),"")</f>
        <v>Externo</v>
      </c>
      <c r="J9" s="44">
        <v>16</v>
      </c>
      <c r="K9" s="5">
        <v>-16</v>
      </c>
      <c r="L9" s="6" t="s">
        <v>93</v>
      </c>
      <c r="M9" s="46">
        <v>22922.179999999964</v>
      </c>
      <c r="N9" s="27" t="str">
        <f>IF(tblMovimientos[[#This Row],[Tipo de Movimiento]]="Ingreso",tblMovimientos[[#This Row],[Monto (S/)]],"0")</f>
        <v>0</v>
      </c>
      <c r="O9" s="27">
        <f>IF(tblMovimientos[[#This Row],[Tipo de Movimiento]]="Egreso",tblMovimientos[[#This Row],[Monto (S/)]],"0")</f>
        <v>16</v>
      </c>
      <c r="P9" s="29">
        <f>IF(tblMovimientos[[#This Row],[Tipo de Movimiento]]="Ingreso",tblMovimientos[[#This Row],[Ingreso]],-tblMovimientos[[#This Row],[Egreso]])</f>
        <v>-16</v>
      </c>
    </row>
    <row r="10" spans="1:16" x14ac:dyDescent="0.3">
      <c r="B10" s="40">
        <v>46143</v>
      </c>
      <c r="C10" s="4" t="s">
        <v>31</v>
      </c>
      <c r="D10" s="42" t="s">
        <v>122</v>
      </c>
      <c r="E10" s="4" t="s">
        <v>36</v>
      </c>
      <c r="F10" s="42" t="s">
        <v>10</v>
      </c>
      <c r="G10" s="42" t="s">
        <v>44</v>
      </c>
      <c r="H10" s="4" t="str">
        <f>IFERROR(_xlfn.XLOOKUP(G10,Listas!E:E,Listas!F:F,""),"")</f>
        <v>Operativo</v>
      </c>
      <c r="I10" s="48" t="str">
        <f>IFERROR(_xlfn.XLOOKUP(G10,Listas!E:E,Listas!G:G,""),"")</f>
        <v>Externo</v>
      </c>
      <c r="J10" s="44">
        <v>10</v>
      </c>
      <c r="K10" s="5">
        <v>-10</v>
      </c>
      <c r="L10" s="6" t="s">
        <v>93</v>
      </c>
      <c r="M10" s="46">
        <v>340.42</v>
      </c>
      <c r="N10" s="27" t="str">
        <f>IF(tblMovimientos[[#This Row],[Tipo de Movimiento]]="Ingreso",tblMovimientos[[#This Row],[Monto (S/)]],"0")</f>
        <v>0</v>
      </c>
      <c r="O10" s="27">
        <f>IF(tblMovimientos[[#This Row],[Tipo de Movimiento]]="Egreso",tblMovimientos[[#This Row],[Monto (S/)]],"0")</f>
        <v>10</v>
      </c>
      <c r="P10" s="29">
        <f>IF(tblMovimientos[[#This Row],[Tipo de Movimiento]]="Ingreso",tblMovimientos[[#This Row],[Ingreso]],-tblMovimientos[[#This Row],[Egreso]])</f>
        <v>-10</v>
      </c>
    </row>
    <row r="11" spans="1:16" x14ac:dyDescent="0.3">
      <c r="B11" s="40">
        <v>46143</v>
      </c>
      <c r="C11" s="4" t="s">
        <v>32</v>
      </c>
      <c r="D11" s="42" t="s">
        <v>123</v>
      </c>
      <c r="E11" s="4" t="s">
        <v>36</v>
      </c>
      <c r="F11" s="42" t="s">
        <v>9</v>
      </c>
      <c r="G11" s="42" t="s">
        <v>81</v>
      </c>
      <c r="H11" s="4" t="str">
        <f>IFERROR(_xlfn.XLOOKUP(G11,Listas!E:E,Listas!F:F,""),"")</f>
        <v>Operativo</v>
      </c>
      <c r="I11" s="48" t="str">
        <f>IFERROR(_xlfn.XLOOKUP(G11,Listas!E:E,Listas!G:G,""),"")</f>
        <v>Externo</v>
      </c>
      <c r="J11" s="44">
        <v>6750</v>
      </c>
      <c r="K11" s="5">
        <v>6750</v>
      </c>
      <c r="L11" s="6" t="s">
        <v>93</v>
      </c>
      <c r="M11" s="46">
        <v>6853.9100000000017</v>
      </c>
      <c r="N11" s="27">
        <f>IF(tblMovimientos[[#This Row],[Tipo de Movimiento]]="Ingreso",tblMovimientos[[#This Row],[Monto (S/)]],"0")</f>
        <v>6750</v>
      </c>
      <c r="O11" s="27" t="str">
        <f>IF(tblMovimientos[[#This Row],[Tipo de Movimiento]]="Egreso",tblMovimientos[[#This Row],[Monto (S/)]],"0")</f>
        <v>0</v>
      </c>
      <c r="P11" s="29">
        <f>IF(tblMovimientos[[#This Row],[Tipo de Movimiento]]="Ingreso",tblMovimientos[[#This Row],[Ingreso]],-tblMovimientos[[#This Row],[Egreso]])</f>
        <v>6750</v>
      </c>
    </row>
    <row r="12" spans="1:16" x14ac:dyDescent="0.3">
      <c r="B12" s="40">
        <v>46143</v>
      </c>
      <c r="C12" s="4" t="s">
        <v>32</v>
      </c>
      <c r="D12" s="42" t="s">
        <v>123</v>
      </c>
      <c r="E12" s="4" t="s">
        <v>36</v>
      </c>
      <c r="F12" s="42" t="s">
        <v>10</v>
      </c>
      <c r="G12" s="42" t="s">
        <v>48</v>
      </c>
      <c r="H12" s="4" t="str">
        <f>IFERROR(_xlfn.XLOOKUP(G12,Listas!E:E,Listas!F:F,""),"")</f>
        <v>Financiamiento</v>
      </c>
      <c r="I12" s="48" t="str">
        <f>IFERROR(_xlfn.XLOOKUP(G12,Listas!E:E,Listas!G:G,""),"")</f>
        <v>Externo</v>
      </c>
      <c r="J12" s="44">
        <v>9798.6299999999992</v>
      </c>
      <c r="K12" s="5">
        <v>-9798.6299999999992</v>
      </c>
      <c r="L12" s="6" t="s">
        <v>93</v>
      </c>
      <c r="M12" s="46">
        <v>6853.9100000000017</v>
      </c>
      <c r="N12" s="27" t="str">
        <f>IF(tblMovimientos[[#This Row],[Tipo de Movimiento]]="Ingreso",tblMovimientos[[#This Row],[Monto (S/)]],"0")</f>
        <v>0</v>
      </c>
      <c r="O12" s="27">
        <f>IF(tblMovimientos[[#This Row],[Tipo de Movimiento]]="Egreso",tblMovimientos[[#This Row],[Monto (S/)]],"0")</f>
        <v>9798.6299999999992</v>
      </c>
      <c r="P12" s="29">
        <f>IF(tblMovimientos[[#This Row],[Tipo de Movimiento]]="Ingreso",tblMovimientos[[#This Row],[Ingreso]],-tblMovimientos[[#This Row],[Egreso]])</f>
        <v>-9798.6299999999992</v>
      </c>
    </row>
    <row r="13" spans="1:16" x14ac:dyDescent="0.3">
      <c r="B13" s="40">
        <v>46143</v>
      </c>
      <c r="C13" s="4" t="s">
        <v>33</v>
      </c>
      <c r="D13" s="42" t="s">
        <v>124</v>
      </c>
      <c r="E13" s="4" t="s">
        <v>36</v>
      </c>
      <c r="F13" s="42" t="s">
        <v>9</v>
      </c>
      <c r="G13" s="42" t="s">
        <v>81</v>
      </c>
      <c r="H13" s="4" t="str">
        <f>IFERROR(_xlfn.XLOOKUP(G13,Listas!E:E,Listas!F:F,""),"")</f>
        <v>Operativo</v>
      </c>
      <c r="I13" s="48" t="str">
        <f>IFERROR(_xlfn.XLOOKUP(G13,Listas!E:E,Listas!G:G,""),"")</f>
        <v>Externo</v>
      </c>
      <c r="J13" s="44">
        <v>5050</v>
      </c>
      <c r="K13" s="5">
        <v>5050</v>
      </c>
      <c r="L13" s="6" t="s">
        <v>93</v>
      </c>
      <c r="M13" s="46">
        <v>21338.39</v>
      </c>
      <c r="N13" s="27">
        <f>IF(tblMovimientos[[#This Row],[Tipo de Movimiento]]="Ingreso",tblMovimientos[[#This Row],[Monto (S/)]],"0")</f>
        <v>5050</v>
      </c>
      <c r="O13" s="27" t="str">
        <f>IF(tblMovimientos[[#This Row],[Tipo de Movimiento]]="Egreso",tblMovimientos[[#This Row],[Monto (S/)]],"0")</f>
        <v>0</v>
      </c>
      <c r="P13" s="29">
        <f>IF(tblMovimientos[[#This Row],[Tipo de Movimiento]]="Ingreso",tblMovimientos[[#This Row],[Ingreso]],-tblMovimientos[[#This Row],[Egreso]])</f>
        <v>5050</v>
      </c>
    </row>
    <row r="14" spans="1:16" x14ac:dyDescent="0.3">
      <c r="B14" s="40">
        <v>46143</v>
      </c>
      <c r="C14" s="4" t="s">
        <v>33</v>
      </c>
      <c r="D14" s="42" t="s">
        <v>124</v>
      </c>
      <c r="E14" s="4" t="s">
        <v>36</v>
      </c>
      <c r="F14" s="42" t="s">
        <v>10</v>
      </c>
      <c r="G14" s="42" t="s">
        <v>48</v>
      </c>
      <c r="H14" s="4" t="str">
        <f>IFERROR(_xlfn.XLOOKUP(G14,Listas!E:E,Listas!F:F,""),"")</f>
        <v>Financiamiento</v>
      </c>
      <c r="I14" s="48" t="str">
        <f>IFERROR(_xlfn.XLOOKUP(G14,Listas!E:E,Listas!G:G,""),"")</f>
        <v>Externo</v>
      </c>
      <c r="J14" s="44">
        <v>8773.0400000000009</v>
      </c>
      <c r="K14" s="5">
        <v>-8773.0400000000009</v>
      </c>
      <c r="L14" s="6" t="s">
        <v>93</v>
      </c>
      <c r="M14" s="46">
        <v>21338.39</v>
      </c>
      <c r="N14" s="27" t="str">
        <f>IF(tblMovimientos[[#This Row],[Tipo de Movimiento]]="Ingreso",tblMovimientos[[#This Row],[Monto (S/)]],"0")</f>
        <v>0</v>
      </c>
      <c r="O14" s="27">
        <f>IF(tblMovimientos[[#This Row],[Tipo de Movimiento]]="Egreso",tblMovimientos[[#This Row],[Monto (S/)]],"0")</f>
        <v>8773.0400000000009</v>
      </c>
      <c r="P14" s="29">
        <f>IF(tblMovimientos[[#This Row],[Tipo de Movimiento]]="Ingreso",tblMovimientos[[#This Row],[Ingreso]],-tblMovimientos[[#This Row],[Egreso]])</f>
        <v>-8773.0400000000009</v>
      </c>
    </row>
    <row r="15" spans="1:16" x14ac:dyDescent="0.3">
      <c r="B15" s="40">
        <v>46143</v>
      </c>
      <c r="C15" s="4" t="s">
        <v>18</v>
      </c>
      <c r="D15" s="42" t="s">
        <v>97</v>
      </c>
      <c r="E15" s="4" t="s">
        <v>37</v>
      </c>
      <c r="F15" s="42" t="s">
        <v>9</v>
      </c>
      <c r="G15" s="42" t="s">
        <v>68</v>
      </c>
      <c r="H15" s="4" t="str">
        <f>IFERROR(_xlfn.XLOOKUP(G15,Listas!E:E,Listas!F:F,""),"")</f>
        <v>Operativo</v>
      </c>
      <c r="I15" s="48" t="str">
        <f>IFERROR(_xlfn.XLOOKUP(G15,Listas!E:E,Listas!G:G,""),"")</f>
        <v>Externo</v>
      </c>
      <c r="J15" s="44">
        <v>6748.49</v>
      </c>
      <c r="K15" s="5">
        <v>6748.49</v>
      </c>
      <c r="L15" s="6" t="s">
        <v>93</v>
      </c>
      <c r="M15" s="46">
        <v>46288.029999999948</v>
      </c>
      <c r="N15" s="27">
        <f>IF(tblMovimientos[[#This Row],[Tipo de Movimiento]]="Ingreso",tblMovimientos[[#This Row],[Monto (S/)]],"0")</f>
        <v>6748.49</v>
      </c>
      <c r="O15" s="27" t="str">
        <f>IF(tblMovimientos[[#This Row],[Tipo de Movimiento]]="Egreso",tblMovimientos[[#This Row],[Monto (S/)]],"0")</f>
        <v>0</v>
      </c>
      <c r="P15" s="29">
        <f>IF(tblMovimientos[[#This Row],[Tipo de Movimiento]]="Ingreso",tblMovimientos[[#This Row],[Ingreso]],-tblMovimientos[[#This Row],[Egreso]])</f>
        <v>6748.49</v>
      </c>
    </row>
    <row r="16" spans="1:16" x14ac:dyDescent="0.3">
      <c r="B16" s="40">
        <v>46143</v>
      </c>
      <c r="C16" s="4" t="s">
        <v>35</v>
      </c>
      <c r="D16" s="42" t="s">
        <v>126</v>
      </c>
      <c r="E16" s="4" t="s">
        <v>37</v>
      </c>
      <c r="F16" s="42" t="s">
        <v>10</v>
      </c>
      <c r="G16" s="42" t="s">
        <v>38</v>
      </c>
      <c r="H16" s="4" t="str">
        <f>IFERROR(_xlfn.XLOOKUP(G16,Listas!E:E,Listas!F:F,""),"")</f>
        <v>Operativo</v>
      </c>
      <c r="I16" s="48" t="str">
        <f>IFERROR(_xlfn.XLOOKUP(G16,Listas!E:E,Listas!G:G,""),"")</f>
        <v>Externo</v>
      </c>
      <c r="J16" s="44">
        <v>165</v>
      </c>
      <c r="K16" s="5">
        <v>-165</v>
      </c>
      <c r="L16" s="6" t="s">
        <v>93</v>
      </c>
      <c r="M16" s="46">
        <v>13491.26</v>
      </c>
      <c r="N16" s="27" t="str">
        <f>IF(tblMovimientos[[#This Row],[Tipo de Movimiento]]="Ingreso",tblMovimientos[[#This Row],[Monto (S/)]],"0")</f>
        <v>0</v>
      </c>
      <c r="O16" s="27">
        <f>IF(tblMovimientos[[#This Row],[Tipo de Movimiento]]="Egreso",tblMovimientos[[#This Row],[Monto (S/)]],"0")</f>
        <v>165</v>
      </c>
      <c r="P16" s="29">
        <f>IF(tblMovimientos[[#This Row],[Tipo de Movimiento]]="Ingreso",tblMovimientos[[#This Row],[Ingreso]],-tblMovimientos[[#This Row],[Egreso]])</f>
        <v>-165</v>
      </c>
    </row>
    <row r="17" spans="2:16" x14ac:dyDescent="0.3">
      <c r="B17" s="40">
        <v>46146</v>
      </c>
      <c r="C17" s="4" t="s">
        <v>22</v>
      </c>
      <c r="D17" s="42" t="s">
        <v>110</v>
      </c>
      <c r="E17" s="4" t="s">
        <v>36</v>
      </c>
      <c r="F17" s="42" t="s">
        <v>10</v>
      </c>
      <c r="G17" s="42" t="s">
        <v>43</v>
      </c>
      <c r="H17" s="4" t="str">
        <f>IFERROR(_xlfn.XLOOKUP(G17,Listas!E:E,Listas!F:F,""),"")</f>
        <v>Operativo</v>
      </c>
      <c r="I17" s="48" t="str">
        <f>IFERROR(_xlfn.XLOOKUP(G17,Listas!E:E,Listas!G:G,""),"")</f>
        <v>Externo</v>
      </c>
      <c r="J17" s="44">
        <v>6000</v>
      </c>
      <c r="K17" s="5">
        <v>-6000</v>
      </c>
      <c r="L17" s="6" t="s">
        <v>93</v>
      </c>
      <c r="M17" s="46">
        <v>7221.8899999999994</v>
      </c>
      <c r="N17" s="27" t="str">
        <f>IF(tblMovimientos[[#This Row],[Tipo de Movimiento]]="Ingreso",tblMovimientos[[#This Row],[Monto (S/)]],"0")</f>
        <v>0</v>
      </c>
      <c r="O17" s="27">
        <f>IF(tblMovimientos[[#This Row],[Tipo de Movimiento]]="Egreso",tblMovimientos[[#This Row],[Monto (S/)]],"0")</f>
        <v>6000</v>
      </c>
      <c r="P17" s="29">
        <f>IF(tblMovimientos[[#This Row],[Tipo de Movimiento]]="Ingreso",tblMovimientos[[#This Row],[Ingreso]],-tblMovimientos[[#This Row],[Egreso]])</f>
        <v>-6000</v>
      </c>
    </row>
    <row r="18" spans="2:16" x14ac:dyDescent="0.3">
      <c r="B18" s="40">
        <v>46146</v>
      </c>
      <c r="C18" s="4" t="s">
        <v>31</v>
      </c>
      <c r="D18" s="42" t="s">
        <v>121</v>
      </c>
      <c r="E18" s="4" t="s">
        <v>36</v>
      </c>
      <c r="F18" s="42" t="s">
        <v>10</v>
      </c>
      <c r="G18" s="42" t="s">
        <v>44</v>
      </c>
      <c r="H18" s="4" t="str">
        <f>IFERROR(_xlfn.XLOOKUP(G18,Listas!E:E,Listas!F:F,""),"")</f>
        <v>Operativo</v>
      </c>
      <c r="I18" s="48" t="str">
        <f>IFERROR(_xlfn.XLOOKUP(G18,Listas!E:E,Listas!G:G,""),"")</f>
        <v>Externo</v>
      </c>
      <c r="J18" s="44">
        <v>15</v>
      </c>
      <c r="K18" s="5">
        <v>-15</v>
      </c>
      <c r="L18" s="6" t="s">
        <v>93</v>
      </c>
      <c r="M18" s="46">
        <v>22907.179999999964</v>
      </c>
      <c r="N18" s="27" t="str">
        <f>IF(tblMovimientos[[#This Row],[Tipo de Movimiento]]="Ingreso",tblMovimientos[[#This Row],[Monto (S/)]],"0")</f>
        <v>0</v>
      </c>
      <c r="O18" s="27">
        <f>IF(tblMovimientos[[#This Row],[Tipo de Movimiento]]="Egreso",tblMovimientos[[#This Row],[Monto (S/)]],"0")</f>
        <v>15</v>
      </c>
      <c r="P18" s="29">
        <f>IF(tblMovimientos[[#This Row],[Tipo de Movimiento]]="Ingreso",tblMovimientos[[#This Row],[Ingreso]],-tblMovimientos[[#This Row],[Egreso]])</f>
        <v>-15</v>
      </c>
    </row>
    <row r="19" spans="2:16" x14ac:dyDescent="0.3">
      <c r="B19" s="40">
        <v>46146</v>
      </c>
      <c r="C19" s="4" t="s">
        <v>35</v>
      </c>
      <c r="D19" s="42" t="s">
        <v>126</v>
      </c>
      <c r="E19" s="4" t="s">
        <v>37</v>
      </c>
      <c r="F19" s="42" t="s">
        <v>10</v>
      </c>
      <c r="G19" s="42" t="s">
        <v>38</v>
      </c>
      <c r="H19" s="4" t="str">
        <f>IFERROR(_xlfn.XLOOKUP(G19,Listas!E:E,Listas!F:F,""),"")</f>
        <v>Operativo</v>
      </c>
      <c r="I19" s="48" t="str">
        <f>IFERROR(_xlfn.XLOOKUP(G19,Listas!E:E,Listas!G:G,""),"")</f>
        <v>Externo</v>
      </c>
      <c r="J19" s="44">
        <v>1020</v>
      </c>
      <c r="K19" s="5">
        <v>-1020</v>
      </c>
      <c r="L19" s="6" t="s">
        <v>93</v>
      </c>
      <c r="M19" s="46">
        <v>8782.25</v>
      </c>
      <c r="N19" s="27" t="str">
        <f>IF(tblMovimientos[[#This Row],[Tipo de Movimiento]]="Ingreso",tblMovimientos[[#This Row],[Monto (S/)]],"0")</f>
        <v>0</v>
      </c>
      <c r="O19" s="27">
        <f>IF(tblMovimientos[[#This Row],[Tipo de Movimiento]]="Egreso",tblMovimientos[[#This Row],[Monto (S/)]],"0")</f>
        <v>1020</v>
      </c>
      <c r="P19" s="29">
        <f>IF(tblMovimientos[[#This Row],[Tipo de Movimiento]]="Ingreso",tblMovimientos[[#This Row],[Ingreso]],-tblMovimientos[[#This Row],[Egreso]])</f>
        <v>-1020</v>
      </c>
    </row>
    <row r="20" spans="2:16" x14ac:dyDescent="0.3">
      <c r="B20" s="40">
        <v>46146</v>
      </c>
      <c r="C20" s="4" t="s">
        <v>21</v>
      </c>
      <c r="D20" s="42" t="s">
        <v>104</v>
      </c>
      <c r="E20" s="4" t="s">
        <v>37</v>
      </c>
      <c r="F20" s="42" t="s">
        <v>9</v>
      </c>
      <c r="G20" s="42" t="s">
        <v>76</v>
      </c>
      <c r="H20" s="4" t="str">
        <f>IFERROR(_xlfn.XLOOKUP(G20,Listas!E:E,Listas!F:F,""),"")</f>
        <v>Financiamiento</v>
      </c>
      <c r="I20" s="48" t="str">
        <f>IFERROR(_xlfn.XLOOKUP(G20,Listas!E:E,Listas!G:G,""),"")</f>
        <v>Externo</v>
      </c>
      <c r="J20" s="44">
        <v>800000</v>
      </c>
      <c r="K20" s="5">
        <v>800000</v>
      </c>
      <c r="L20" s="6" t="s">
        <v>93</v>
      </c>
      <c r="M20" s="46">
        <v>1019857.8199999994</v>
      </c>
      <c r="N20" s="27">
        <f>IF(tblMovimientos[[#This Row],[Tipo de Movimiento]]="Ingreso",tblMovimientos[[#This Row],[Monto (S/)]],"0")</f>
        <v>800000</v>
      </c>
      <c r="O20" s="27" t="str">
        <f>IF(tblMovimientos[[#This Row],[Tipo de Movimiento]]="Egreso",tblMovimientos[[#This Row],[Monto (S/)]],"0")</f>
        <v>0</v>
      </c>
      <c r="P20" s="29">
        <f>IF(tblMovimientos[[#This Row],[Tipo de Movimiento]]="Ingreso",tblMovimientos[[#This Row],[Ingreso]],-tblMovimientos[[#This Row],[Egreso]])</f>
        <v>800000</v>
      </c>
    </row>
    <row r="21" spans="2:16" x14ac:dyDescent="0.3">
      <c r="B21" s="40">
        <v>46146</v>
      </c>
      <c r="C21" s="4" t="s">
        <v>35</v>
      </c>
      <c r="D21" s="42" t="s">
        <v>126</v>
      </c>
      <c r="E21" s="4" t="s">
        <v>37</v>
      </c>
      <c r="F21" s="42" t="s">
        <v>10</v>
      </c>
      <c r="G21" s="42" t="s">
        <v>38</v>
      </c>
      <c r="H21" s="4" t="str">
        <f>IFERROR(_xlfn.XLOOKUP(G21,Listas!E:E,Listas!F:F,""),"")</f>
        <v>Operativo</v>
      </c>
      <c r="I21" s="48" t="str">
        <f>IFERROR(_xlfn.XLOOKUP(G21,Listas!E:E,Listas!G:G,""),"")</f>
        <v>Externo</v>
      </c>
      <c r="J21" s="44">
        <v>3689.01</v>
      </c>
      <c r="K21" s="5">
        <v>-3689.01</v>
      </c>
      <c r="L21" s="6" t="s">
        <v>93</v>
      </c>
      <c r="M21" s="46">
        <v>8782.25</v>
      </c>
      <c r="N21" s="27" t="str">
        <f>IF(tblMovimientos[[#This Row],[Tipo de Movimiento]]="Ingreso",tblMovimientos[[#This Row],[Monto (S/)]],"0")</f>
        <v>0</v>
      </c>
      <c r="O21" s="27">
        <f>IF(tblMovimientos[[#This Row],[Tipo de Movimiento]]="Egreso",tblMovimientos[[#This Row],[Monto (S/)]],"0")</f>
        <v>3689.01</v>
      </c>
      <c r="P21" s="29">
        <f>IF(tblMovimientos[[#This Row],[Tipo de Movimiento]]="Ingreso",tblMovimientos[[#This Row],[Ingreso]],-tblMovimientos[[#This Row],[Egreso]])</f>
        <v>-3689.01</v>
      </c>
    </row>
    <row r="22" spans="2:16" x14ac:dyDescent="0.3">
      <c r="B22" s="40">
        <v>46147</v>
      </c>
      <c r="C22" s="4" t="s">
        <v>21</v>
      </c>
      <c r="D22" s="42" t="s">
        <v>101</v>
      </c>
      <c r="E22" s="4" t="s">
        <v>36</v>
      </c>
      <c r="F22" s="42" t="s">
        <v>10</v>
      </c>
      <c r="G22" s="42" t="s">
        <v>38</v>
      </c>
      <c r="H22" s="4" t="str">
        <f>IFERROR(_xlfn.XLOOKUP(G22,Listas!E:E,Listas!F:F,""),"")</f>
        <v>Operativo</v>
      </c>
      <c r="I22" s="48" t="str">
        <f>IFERROR(_xlfn.XLOOKUP(G22,Listas!E:E,Listas!G:G,""),"")</f>
        <v>Externo</v>
      </c>
      <c r="J22" s="44">
        <v>695.29</v>
      </c>
      <c r="K22" s="5">
        <v>-695.29</v>
      </c>
      <c r="L22" s="6" t="s">
        <v>93</v>
      </c>
      <c r="M22" s="46">
        <v>11683.89</v>
      </c>
      <c r="N22" s="27" t="str">
        <f>IF(tblMovimientos[[#This Row],[Tipo de Movimiento]]="Ingreso",tblMovimientos[[#This Row],[Monto (S/)]],"0")</f>
        <v>0</v>
      </c>
      <c r="O22" s="27">
        <f>IF(tblMovimientos[[#This Row],[Tipo de Movimiento]]="Egreso",tblMovimientos[[#This Row],[Monto (S/)]],"0")</f>
        <v>695.29</v>
      </c>
      <c r="P22" s="29">
        <f>IF(tblMovimientos[[#This Row],[Tipo de Movimiento]]="Ingreso",tblMovimientos[[#This Row],[Ingreso]],-tblMovimientos[[#This Row],[Egreso]])</f>
        <v>-695.29</v>
      </c>
    </row>
    <row r="23" spans="2:16" x14ac:dyDescent="0.3">
      <c r="B23" s="40">
        <v>46147</v>
      </c>
      <c r="C23" s="4" t="s">
        <v>20</v>
      </c>
      <c r="D23" s="42" t="s">
        <v>100</v>
      </c>
      <c r="E23" s="4" t="s">
        <v>36</v>
      </c>
      <c r="F23" s="42" t="s">
        <v>9</v>
      </c>
      <c r="G23" s="42" t="s">
        <v>71</v>
      </c>
      <c r="H23" s="4" t="str">
        <f>IFERROR(_xlfn.XLOOKUP(G23,Listas!E:E,Listas!F:F,""),"")</f>
        <v>Operativo</v>
      </c>
      <c r="I23" s="48" t="str">
        <f>IFERROR(_xlfn.XLOOKUP(G23,Listas!E:E,Listas!G:G,""),"")</f>
        <v>Interno</v>
      </c>
      <c r="J23" s="44">
        <v>700000</v>
      </c>
      <c r="K23" s="5">
        <v>700000</v>
      </c>
      <c r="L23" s="6" t="s">
        <v>93</v>
      </c>
      <c r="M23" s="46">
        <v>989990.29999999993</v>
      </c>
      <c r="N23" s="27">
        <f>IF(tblMovimientos[[#This Row],[Tipo de Movimiento]]="Ingreso",tblMovimientos[[#This Row],[Monto (S/)]],"0")</f>
        <v>700000</v>
      </c>
      <c r="O23" s="27" t="str">
        <f>IF(tblMovimientos[[#This Row],[Tipo de Movimiento]]="Egreso",tblMovimientos[[#This Row],[Monto (S/)]],"0")</f>
        <v>0</v>
      </c>
      <c r="P23" s="29">
        <f>IF(tblMovimientos[[#This Row],[Tipo de Movimiento]]="Ingreso",tblMovimientos[[#This Row],[Ingreso]],-tblMovimientos[[#This Row],[Egreso]])</f>
        <v>700000</v>
      </c>
    </row>
    <row r="24" spans="2:16" x14ac:dyDescent="0.3">
      <c r="B24" s="40">
        <v>46147</v>
      </c>
      <c r="C24" s="4" t="s">
        <v>20</v>
      </c>
      <c r="D24" s="42" t="s">
        <v>100</v>
      </c>
      <c r="E24" s="4" t="s">
        <v>36</v>
      </c>
      <c r="F24" s="42" t="s">
        <v>9</v>
      </c>
      <c r="G24" s="42" t="s">
        <v>70</v>
      </c>
      <c r="H24" s="4" t="str">
        <f>IFERROR(_xlfn.XLOOKUP(G24,Listas!E:E,Listas!F:F,""),"")</f>
        <v>Operativo</v>
      </c>
      <c r="I24" s="48" t="str">
        <f>IFERROR(_xlfn.XLOOKUP(G24,Listas!E:E,Listas!G:G,""),"")</f>
        <v>Externo</v>
      </c>
      <c r="J24" s="44">
        <v>500000</v>
      </c>
      <c r="K24" s="5">
        <v>500000</v>
      </c>
      <c r="L24" s="6" t="s">
        <v>93</v>
      </c>
      <c r="M24" s="46">
        <v>989990.29999999993</v>
      </c>
      <c r="N24" s="27">
        <f>IF(tblMovimientos[[#This Row],[Tipo de Movimiento]]="Ingreso",tblMovimientos[[#This Row],[Monto (S/)]],"0")</f>
        <v>500000</v>
      </c>
      <c r="O24" s="27" t="str">
        <f>IF(tblMovimientos[[#This Row],[Tipo de Movimiento]]="Egreso",tblMovimientos[[#This Row],[Monto (S/)]],"0")</f>
        <v>0</v>
      </c>
      <c r="P24" s="29">
        <f>IF(tblMovimientos[[#This Row],[Tipo de Movimiento]]="Ingreso",tblMovimientos[[#This Row],[Ingreso]],-tblMovimientos[[#This Row],[Egreso]])</f>
        <v>500000</v>
      </c>
    </row>
    <row r="25" spans="2:16" x14ac:dyDescent="0.3">
      <c r="B25" s="41">
        <v>46147</v>
      </c>
      <c r="C25" s="4" t="s">
        <v>20</v>
      </c>
      <c r="D25" s="42" t="s">
        <v>100</v>
      </c>
      <c r="E25" s="4" t="s">
        <v>36</v>
      </c>
      <c r="F25" s="43" t="s">
        <v>10</v>
      </c>
      <c r="G25" s="42" t="s">
        <v>59</v>
      </c>
      <c r="H25" s="4" t="str">
        <f>IFERROR(_xlfn.XLOOKUP(G25,Listas!E:E,Listas!F:F,""),"")</f>
        <v>Inversion</v>
      </c>
      <c r="I25" s="48" t="str">
        <f>IFERROR(_xlfn.XLOOKUP(G25,Listas!E:E,Listas!G:G,""),"")</f>
        <v>Externo</v>
      </c>
      <c r="J25" s="45">
        <v>800000</v>
      </c>
      <c r="K25" s="5">
        <v>-800000</v>
      </c>
      <c r="L25" s="6" t="s">
        <v>93</v>
      </c>
      <c r="M25" s="46">
        <v>989990.29999999993</v>
      </c>
      <c r="N25" s="27" t="str">
        <f>IF(tblMovimientos[[#This Row],[Tipo de Movimiento]]="Ingreso",tblMovimientos[[#This Row],[Monto (S/)]],"0")</f>
        <v>0</v>
      </c>
      <c r="O25" s="27">
        <f>IF(tblMovimientos[[#This Row],[Tipo de Movimiento]]="Egreso",tblMovimientos[[#This Row],[Monto (S/)]],"0")</f>
        <v>800000</v>
      </c>
      <c r="P25" s="29">
        <f>IF(tblMovimientos[[#This Row],[Tipo de Movimiento]]="Ingreso",tblMovimientos[[#This Row],[Ingreso]],-tblMovimientos[[#This Row],[Egreso]])</f>
        <v>-800000</v>
      </c>
    </row>
    <row r="26" spans="2:16" x14ac:dyDescent="0.3">
      <c r="B26" s="41">
        <v>46147</v>
      </c>
      <c r="C26" s="4" t="s">
        <v>17</v>
      </c>
      <c r="D26" s="42" t="s">
        <v>94</v>
      </c>
      <c r="E26" s="4" t="s">
        <v>36</v>
      </c>
      <c r="F26" s="43" t="s">
        <v>10</v>
      </c>
      <c r="G26" s="42" t="s">
        <v>64</v>
      </c>
      <c r="H26" s="4" t="str">
        <f>IFERROR(_xlfn.XLOOKUP(G26,Listas!E:E,Listas!F:F,""),"")</f>
        <v>Operativo</v>
      </c>
      <c r="I26" s="48" t="str">
        <f>IFERROR(_xlfn.XLOOKUP(G26,Listas!E:E,Listas!G:G,""),"")</f>
        <v>Interno</v>
      </c>
      <c r="J26" s="45">
        <v>110000</v>
      </c>
      <c r="K26" s="5">
        <v>-110000</v>
      </c>
      <c r="L26" s="6" t="s">
        <v>93</v>
      </c>
      <c r="M26" s="46">
        <v>22689.049999999988</v>
      </c>
      <c r="N26" s="27" t="str">
        <f>IF(tblMovimientos[[#This Row],[Tipo de Movimiento]]="Ingreso",tblMovimientos[[#This Row],[Monto (S/)]],"0")</f>
        <v>0</v>
      </c>
      <c r="O26" s="27">
        <f>IF(tblMovimientos[[#This Row],[Tipo de Movimiento]]="Egreso",tblMovimientos[[#This Row],[Monto (S/)]],"0")</f>
        <v>110000</v>
      </c>
      <c r="P26" s="29">
        <f>IF(tblMovimientos[[#This Row],[Tipo de Movimiento]]="Ingreso",tblMovimientos[[#This Row],[Ingreso]],-tblMovimientos[[#This Row],[Egreso]])</f>
        <v>-110000</v>
      </c>
    </row>
    <row r="27" spans="2:16" x14ac:dyDescent="0.3">
      <c r="B27" s="41">
        <v>46147</v>
      </c>
      <c r="C27" s="4" t="s">
        <v>17</v>
      </c>
      <c r="D27" s="42" t="s">
        <v>95</v>
      </c>
      <c r="E27" s="4" t="s">
        <v>37</v>
      </c>
      <c r="F27" s="43" t="s">
        <v>9</v>
      </c>
      <c r="G27" s="42" t="s">
        <v>85</v>
      </c>
      <c r="H27" s="4" t="str">
        <f>IFERROR(_xlfn.XLOOKUP(G27,Listas!E:E,Listas!F:F,""),"")</f>
        <v>Operativo</v>
      </c>
      <c r="I27" s="48" t="str">
        <f>IFERROR(_xlfn.XLOOKUP(G27,Listas!E:E,Listas!G:G,""),"")</f>
        <v>Interno</v>
      </c>
      <c r="J27" s="45">
        <v>110000</v>
      </c>
      <c r="K27" s="5">
        <v>110000</v>
      </c>
      <c r="L27" s="6" t="s">
        <v>93</v>
      </c>
      <c r="M27" s="46">
        <v>169799.53000000026</v>
      </c>
      <c r="N27" s="27">
        <f>IF(tblMovimientos[[#This Row],[Tipo de Movimiento]]="Ingreso",tblMovimientos[[#This Row],[Monto (S/)]],"0")</f>
        <v>110000</v>
      </c>
      <c r="O27" s="27" t="str">
        <f>IF(tblMovimientos[[#This Row],[Tipo de Movimiento]]="Egreso",tblMovimientos[[#This Row],[Monto (S/)]],"0")</f>
        <v>0</v>
      </c>
      <c r="P27" s="29">
        <f>IF(tblMovimientos[[#This Row],[Tipo de Movimiento]]="Ingreso",tblMovimientos[[#This Row],[Ingreso]],-tblMovimientos[[#This Row],[Egreso]])</f>
        <v>110000</v>
      </c>
    </row>
    <row r="28" spans="2:16" x14ac:dyDescent="0.3">
      <c r="B28" s="41">
        <v>46147</v>
      </c>
      <c r="C28" s="4" t="s">
        <v>17</v>
      </c>
      <c r="D28" s="42" t="s">
        <v>95</v>
      </c>
      <c r="E28" s="4" t="s">
        <v>37</v>
      </c>
      <c r="F28" s="43" t="s">
        <v>10</v>
      </c>
      <c r="G28" s="42" t="s">
        <v>62</v>
      </c>
      <c r="H28" s="4" t="str">
        <f>IFERROR(_xlfn.XLOOKUP(G28,Listas!E:E,Listas!F:F,""),"")</f>
        <v>Operativo</v>
      </c>
      <c r="I28" s="48" t="str">
        <f>IFERROR(_xlfn.XLOOKUP(G28,Listas!E:E,Listas!G:G,""),"")</f>
        <v>Interno</v>
      </c>
      <c r="J28" s="45">
        <v>3000</v>
      </c>
      <c r="K28" s="5">
        <v>-3000</v>
      </c>
      <c r="L28" s="6" t="s">
        <v>93</v>
      </c>
      <c r="M28" s="46">
        <v>169799.53000000026</v>
      </c>
      <c r="N28" s="27" t="str">
        <f>IF(tblMovimientos[[#This Row],[Tipo de Movimiento]]="Ingreso",tblMovimientos[[#This Row],[Monto (S/)]],"0")</f>
        <v>0</v>
      </c>
      <c r="O28" s="27">
        <f>IF(tblMovimientos[[#This Row],[Tipo de Movimiento]]="Egreso",tblMovimientos[[#This Row],[Monto (S/)]],"0")</f>
        <v>3000</v>
      </c>
      <c r="P28" s="29">
        <f>IF(tblMovimientos[[#This Row],[Tipo de Movimiento]]="Ingreso",tblMovimientos[[#This Row],[Ingreso]],-tblMovimientos[[#This Row],[Egreso]])</f>
        <v>-3000</v>
      </c>
    </row>
    <row r="29" spans="2:16" x14ac:dyDescent="0.3">
      <c r="B29" s="41">
        <v>46147</v>
      </c>
      <c r="C29" s="4" t="s">
        <v>22</v>
      </c>
      <c r="D29" s="42" t="s">
        <v>111</v>
      </c>
      <c r="E29" s="4" t="s">
        <v>37</v>
      </c>
      <c r="F29" s="43" t="s">
        <v>10</v>
      </c>
      <c r="G29" s="42" t="s">
        <v>65</v>
      </c>
      <c r="H29" s="4" t="str">
        <f>IFERROR(_xlfn.XLOOKUP(G29,Listas!E:E,Listas!F:F,""),"")</f>
        <v>Operativo</v>
      </c>
      <c r="I29" s="48" t="str">
        <f>IFERROR(_xlfn.XLOOKUP(G29,Listas!E:E,Listas!G:G,""),"")</f>
        <v>Externo</v>
      </c>
      <c r="J29" s="45">
        <v>15000</v>
      </c>
      <c r="K29" s="5">
        <v>-15000</v>
      </c>
      <c r="L29" s="6" t="s">
        <v>93</v>
      </c>
      <c r="M29" s="46">
        <v>50717.600000000006</v>
      </c>
      <c r="N29" s="27" t="str">
        <f>IF(tblMovimientos[[#This Row],[Tipo de Movimiento]]="Ingreso",tblMovimientos[[#This Row],[Monto (S/)]],"0")</f>
        <v>0</v>
      </c>
      <c r="O29" s="27">
        <f>IF(tblMovimientos[[#This Row],[Tipo de Movimiento]]="Egreso",tblMovimientos[[#This Row],[Monto (S/)]],"0")</f>
        <v>15000</v>
      </c>
      <c r="P29" s="29">
        <f>IF(tblMovimientos[[#This Row],[Tipo de Movimiento]]="Ingreso",tblMovimientos[[#This Row],[Ingreso]],-tblMovimientos[[#This Row],[Egreso]])</f>
        <v>-15000</v>
      </c>
    </row>
    <row r="30" spans="2:16" x14ac:dyDescent="0.3">
      <c r="B30" s="41">
        <v>46147</v>
      </c>
      <c r="C30" s="4" t="s">
        <v>21</v>
      </c>
      <c r="D30" s="42" t="s">
        <v>104</v>
      </c>
      <c r="E30" s="4" t="s">
        <v>37</v>
      </c>
      <c r="F30" s="43" t="s">
        <v>10</v>
      </c>
      <c r="G30" s="42" t="s">
        <v>38</v>
      </c>
      <c r="H30" s="4" t="str">
        <f>IFERROR(_xlfn.XLOOKUP(G30,Listas!E:E,Listas!F:F,""),"")</f>
        <v>Operativo</v>
      </c>
      <c r="I30" s="48" t="str">
        <f>IFERROR(_xlfn.XLOOKUP(G30,Listas!E:E,Listas!G:G,""),"")</f>
        <v>Externo</v>
      </c>
      <c r="J30" s="45">
        <v>800</v>
      </c>
      <c r="K30" s="5">
        <v>-800</v>
      </c>
      <c r="L30" s="6" t="s">
        <v>93</v>
      </c>
      <c r="M30" s="46">
        <v>319057.81999999937</v>
      </c>
      <c r="N30" s="27" t="str">
        <f>IF(tblMovimientos[[#This Row],[Tipo de Movimiento]]="Ingreso",tblMovimientos[[#This Row],[Monto (S/)]],"0")</f>
        <v>0</v>
      </c>
      <c r="O30" s="27">
        <f>IF(tblMovimientos[[#This Row],[Tipo de Movimiento]]="Egreso",tblMovimientos[[#This Row],[Monto (S/)]],"0")</f>
        <v>800</v>
      </c>
      <c r="P30" s="29">
        <f>IF(tblMovimientos[[#This Row],[Tipo de Movimiento]]="Ingreso",tblMovimientos[[#This Row],[Ingreso]],-tblMovimientos[[#This Row],[Egreso]])</f>
        <v>-800</v>
      </c>
    </row>
    <row r="31" spans="2:16" x14ac:dyDescent="0.3">
      <c r="B31" s="41">
        <v>46147</v>
      </c>
      <c r="C31" s="4" t="s">
        <v>21</v>
      </c>
      <c r="D31" s="42" t="s">
        <v>104</v>
      </c>
      <c r="E31" s="4" t="s">
        <v>37</v>
      </c>
      <c r="F31" s="43" t="s">
        <v>10</v>
      </c>
      <c r="G31" s="42" t="s">
        <v>50</v>
      </c>
      <c r="H31" s="4" t="str">
        <f>IFERROR(_xlfn.XLOOKUP(G31,Listas!E:E,Listas!F:F,""),"")</f>
        <v>Financiamiento</v>
      </c>
      <c r="I31" s="48" t="str">
        <f>IFERROR(_xlfn.XLOOKUP(G31,Listas!E:E,Listas!G:G,""),"")</f>
        <v>Externo</v>
      </c>
      <c r="J31" s="45">
        <v>700000</v>
      </c>
      <c r="K31" s="5">
        <v>-700000</v>
      </c>
      <c r="L31" s="6" t="s">
        <v>93</v>
      </c>
      <c r="M31" s="46">
        <v>319057.81999999937</v>
      </c>
      <c r="N31" s="27" t="str">
        <f>IF(tblMovimientos[[#This Row],[Tipo de Movimiento]]="Ingreso",tblMovimientos[[#This Row],[Monto (S/)]],"0")</f>
        <v>0</v>
      </c>
      <c r="O31" s="27">
        <f>IF(tblMovimientos[[#This Row],[Tipo de Movimiento]]="Egreso",tblMovimientos[[#This Row],[Monto (S/)]],"0")</f>
        <v>700000</v>
      </c>
      <c r="P31" s="29">
        <f>IF(tblMovimientos[[#This Row],[Tipo de Movimiento]]="Ingreso",tblMovimientos[[#This Row],[Ingreso]],-tblMovimientos[[#This Row],[Egreso]])</f>
        <v>-700000</v>
      </c>
    </row>
    <row r="32" spans="2:16" x14ac:dyDescent="0.3">
      <c r="B32" s="41">
        <v>46147</v>
      </c>
      <c r="C32" s="4" t="s">
        <v>23</v>
      </c>
      <c r="D32" s="42" t="s">
        <v>112</v>
      </c>
      <c r="E32" s="4" t="s">
        <v>36</v>
      </c>
      <c r="F32" s="43" t="s">
        <v>9</v>
      </c>
      <c r="G32" s="42" t="s">
        <v>76</v>
      </c>
      <c r="H32" s="4" t="str">
        <f>IFERROR(_xlfn.XLOOKUP(G32,Listas!E:E,Listas!F:F,""),"")</f>
        <v>Financiamiento</v>
      </c>
      <c r="I32" s="48" t="str">
        <f>IFERROR(_xlfn.XLOOKUP(G32,Listas!E:E,Listas!G:G,""),"")</f>
        <v>Externo</v>
      </c>
      <c r="J32" s="45">
        <v>800000</v>
      </c>
      <c r="K32" s="5">
        <v>800000</v>
      </c>
      <c r="L32" s="6" t="s">
        <v>93</v>
      </c>
      <c r="M32" s="46">
        <v>813088.59</v>
      </c>
      <c r="N32" s="27">
        <f>IF(tblMovimientos[[#This Row],[Tipo de Movimiento]]="Ingreso",tblMovimientos[[#This Row],[Monto (S/)]],"0")</f>
        <v>800000</v>
      </c>
      <c r="O32" s="27" t="str">
        <f>IF(tblMovimientos[[#This Row],[Tipo de Movimiento]]="Egreso",tblMovimientos[[#This Row],[Monto (S/)]],"0")</f>
        <v>0</v>
      </c>
      <c r="P32" s="29">
        <f>IF(tblMovimientos[[#This Row],[Tipo de Movimiento]]="Ingreso",tblMovimientos[[#This Row],[Ingreso]],-tblMovimientos[[#This Row],[Egreso]])</f>
        <v>800000</v>
      </c>
    </row>
    <row r="33" spans="2:16" x14ac:dyDescent="0.3">
      <c r="B33" s="41">
        <v>46147</v>
      </c>
      <c r="C33" s="4" t="s">
        <v>24</v>
      </c>
      <c r="D33" s="42" t="s">
        <v>113</v>
      </c>
      <c r="E33" s="4" t="s">
        <v>154</v>
      </c>
      <c r="F33" s="43" t="s">
        <v>9</v>
      </c>
      <c r="G33" s="42" t="s">
        <v>75</v>
      </c>
      <c r="H33" s="4" t="str">
        <f>IFERROR(_xlfn.XLOOKUP(G33,Listas!E:E,Listas!F:F,""),"")</f>
        <v>Financiamiento</v>
      </c>
      <c r="I33" s="48" t="str">
        <f>IFERROR(_xlfn.XLOOKUP(G33,Listas!E:E,Listas!G:G,""),"")</f>
        <v>Interno</v>
      </c>
      <c r="J33" s="45">
        <v>3000</v>
      </c>
      <c r="K33" s="5">
        <v>3000</v>
      </c>
      <c r="L33" s="6" t="s">
        <v>93</v>
      </c>
      <c r="M33" s="46">
        <v>3768.83</v>
      </c>
      <c r="N33" s="27">
        <f>IF(tblMovimientos[[#This Row],[Tipo de Movimiento]]="Ingreso",tblMovimientos[[#This Row],[Monto (S/)]],"0")</f>
        <v>3000</v>
      </c>
      <c r="O33" s="27" t="str">
        <f>IF(tblMovimientos[[#This Row],[Tipo de Movimiento]]="Egreso",tblMovimientos[[#This Row],[Monto (S/)]],"0")</f>
        <v>0</v>
      </c>
      <c r="P33" s="29">
        <f>IF(tblMovimientos[[#This Row],[Tipo de Movimiento]]="Ingreso",tblMovimientos[[#This Row],[Ingreso]],-tblMovimientos[[#This Row],[Egreso]])</f>
        <v>3000</v>
      </c>
    </row>
    <row r="34" spans="2:16" x14ac:dyDescent="0.3">
      <c r="B34" s="41">
        <v>46147</v>
      </c>
      <c r="C34" s="4" t="s">
        <v>24</v>
      </c>
      <c r="D34" s="42" t="s">
        <v>113</v>
      </c>
      <c r="E34" s="4" t="s">
        <v>154</v>
      </c>
      <c r="F34" s="43" t="s">
        <v>10</v>
      </c>
      <c r="G34" s="42" t="s">
        <v>38</v>
      </c>
      <c r="H34" s="4" t="str">
        <f>IFERROR(_xlfn.XLOOKUP(G34,Listas!E:E,Listas!F:F,""),"")</f>
        <v>Operativo</v>
      </c>
      <c r="I34" s="48" t="str">
        <f>IFERROR(_xlfn.XLOOKUP(G34,Listas!E:E,Listas!G:G,""),"")</f>
        <v>Externo</v>
      </c>
      <c r="J34" s="45">
        <v>40</v>
      </c>
      <c r="K34" s="5">
        <v>-40</v>
      </c>
      <c r="L34" s="6" t="s">
        <v>93</v>
      </c>
      <c r="M34" s="46">
        <v>3768.83</v>
      </c>
      <c r="N34" s="27" t="str">
        <f>IF(tblMovimientos[[#This Row],[Tipo de Movimiento]]="Ingreso",tblMovimientos[[#This Row],[Monto (S/)]],"0")</f>
        <v>0</v>
      </c>
      <c r="O34" s="27">
        <f>IF(tblMovimientos[[#This Row],[Tipo de Movimiento]]="Egreso",tblMovimientos[[#This Row],[Monto (S/)]],"0")</f>
        <v>40</v>
      </c>
      <c r="P34" s="29">
        <f>IF(tblMovimientos[[#This Row],[Tipo de Movimiento]]="Ingreso",tblMovimientos[[#This Row],[Ingreso]],-tblMovimientos[[#This Row],[Egreso]])</f>
        <v>-40</v>
      </c>
    </row>
    <row r="35" spans="2:16" x14ac:dyDescent="0.3">
      <c r="B35" s="41">
        <v>46148</v>
      </c>
      <c r="C35" s="4" t="s">
        <v>21</v>
      </c>
      <c r="D35" s="42" t="s">
        <v>101</v>
      </c>
      <c r="E35" s="4" t="s">
        <v>36</v>
      </c>
      <c r="F35" s="43" t="s">
        <v>10</v>
      </c>
      <c r="G35" s="42" t="s">
        <v>41</v>
      </c>
      <c r="H35" s="4" t="str">
        <f>IFERROR(_xlfn.XLOOKUP(G35,Listas!E:E,Listas!F:F,""),"")</f>
        <v>Operativo</v>
      </c>
      <c r="I35" s="48" t="str">
        <f>IFERROR(_xlfn.XLOOKUP(G35,Listas!E:E,Listas!G:G,""),"")</f>
        <v>Externo</v>
      </c>
      <c r="J35" s="45">
        <v>7679.78</v>
      </c>
      <c r="K35" s="5">
        <v>-7679.78</v>
      </c>
      <c r="L35" s="6" t="s">
        <v>93</v>
      </c>
      <c r="M35" s="46">
        <v>4004.1100000000006</v>
      </c>
      <c r="N35" s="27" t="str">
        <f>IF(tblMovimientos[[#This Row],[Tipo de Movimiento]]="Ingreso",tblMovimientos[[#This Row],[Monto (S/)]],"0")</f>
        <v>0</v>
      </c>
      <c r="O35" s="27">
        <f>IF(tblMovimientos[[#This Row],[Tipo de Movimiento]]="Egreso",tblMovimientos[[#This Row],[Monto (S/)]],"0")</f>
        <v>7679.78</v>
      </c>
      <c r="P35" s="29">
        <f>IF(tblMovimientos[[#This Row],[Tipo de Movimiento]]="Ingreso",tblMovimientos[[#This Row],[Ingreso]],-tblMovimientos[[#This Row],[Egreso]])</f>
        <v>-7679.78</v>
      </c>
    </row>
    <row r="36" spans="2:16" x14ac:dyDescent="0.3">
      <c r="B36" s="41">
        <v>46148</v>
      </c>
      <c r="C36" s="4" t="s">
        <v>32</v>
      </c>
      <c r="D36" s="42" t="s">
        <v>123</v>
      </c>
      <c r="E36" s="4" t="s">
        <v>36</v>
      </c>
      <c r="F36" s="43" t="s">
        <v>10</v>
      </c>
      <c r="G36" s="42" t="s">
        <v>38</v>
      </c>
      <c r="H36" s="4" t="str">
        <f>IFERROR(_xlfn.XLOOKUP(G36,Listas!E:E,Listas!F:F,""),"")</f>
        <v>Operativo</v>
      </c>
      <c r="I36" s="48" t="str">
        <f>IFERROR(_xlfn.XLOOKUP(G36,Listas!E:E,Listas!G:G,""),"")</f>
        <v>Externo</v>
      </c>
      <c r="J36" s="45">
        <v>1718.85</v>
      </c>
      <c r="K36" s="5">
        <v>-1718.85</v>
      </c>
      <c r="L36" s="6" t="s">
        <v>93</v>
      </c>
      <c r="M36" s="46">
        <v>5135.0600000000013</v>
      </c>
      <c r="N36" s="27" t="str">
        <f>IF(tblMovimientos[[#This Row],[Tipo de Movimiento]]="Ingreso",tblMovimientos[[#This Row],[Monto (S/)]],"0")</f>
        <v>0</v>
      </c>
      <c r="O36" s="27">
        <f>IF(tblMovimientos[[#This Row],[Tipo de Movimiento]]="Egreso",tblMovimientos[[#This Row],[Monto (S/)]],"0")</f>
        <v>1718.85</v>
      </c>
      <c r="P36" s="29">
        <f>IF(tblMovimientos[[#This Row],[Tipo de Movimiento]]="Ingreso",tblMovimientos[[#This Row],[Ingreso]],-tblMovimientos[[#This Row],[Egreso]])</f>
        <v>-1718.85</v>
      </c>
    </row>
    <row r="37" spans="2:16" x14ac:dyDescent="0.3">
      <c r="B37" s="41">
        <v>46148</v>
      </c>
      <c r="C37" s="4" t="s">
        <v>18</v>
      </c>
      <c r="D37" s="42" t="s">
        <v>97</v>
      </c>
      <c r="E37" s="4" t="s">
        <v>37</v>
      </c>
      <c r="F37" s="43" t="s">
        <v>9</v>
      </c>
      <c r="G37" s="42" t="s">
        <v>70</v>
      </c>
      <c r="H37" s="4" t="str">
        <f>IFERROR(_xlfn.XLOOKUP(G37,Listas!E:E,Listas!F:F,""),"")</f>
        <v>Operativo</v>
      </c>
      <c r="I37" s="48" t="str">
        <f>IFERROR(_xlfn.XLOOKUP(G37,Listas!E:E,Listas!G:G,""),"")</f>
        <v>Externo</v>
      </c>
      <c r="J37" s="45">
        <v>575000</v>
      </c>
      <c r="K37" s="5">
        <v>575000</v>
      </c>
      <c r="L37" s="6" t="s">
        <v>93</v>
      </c>
      <c r="M37" s="46">
        <v>621288.02999999991</v>
      </c>
      <c r="N37" s="27">
        <f>IF(tblMovimientos[[#This Row],[Tipo de Movimiento]]="Ingreso",tblMovimientos[[#This Row],[Monto (S/)]],"0")</f>
        <v>575000</v>
      </c>
      <c r="O37" s="27" t="str">
        <f>IF(tblMovimientos[[#This Row],[Tipo de Movimiento]]="Egreso",tblMovimientos[[#This Row],[Monto (S/)]],"0")</f>
        <v>0</v>
      </c>
      <c r="P37" s="29">
        <f>IF(tblMovimientos[[#This Row],[Tipo de Movimiento]]="Ingreso",tblMovimientos[[#This Row],[Ingreso]],-tblMovimientos[[#This Row],[Egreso]])</f>
        <v>575000</v>
      </c>
    </row>
    <row r="38" spans="2:16" x14ac:dyDescent="0.3">
      <c r="B38" s="41">
        <v>46148</v>
      </c>
      <c r="C38" s="4" t="s">
        <v>21</v>
      </c>
      <c r="D38" s="42" t="s">
        <v>104</v>
      </c>
      <c r="E38" s="4" t="s">
        <v>37</v>
      </c>
      <c r="F38" s="43" t="s">
        <v>10</v>
      </c>
      <c r="G38" s="42" t="s">
        <v>60</v>
      </c>
      <c r="H38" s="4" t="str">
        <f>IFERROR(_xlfn.XLOOKUP(G38,Listas!E:E,Listas!F:F,""),"")</f>
        <v>Inversion</v>
      </c>
      <c r="I38" s="48" t="str">
        <f>IFERROR(_xlfn.XLOOKUP(G38,Listas!E:E,Listas!G:G,""),"")</f>
        <v>Interno</v>
      </c>
      <c r="J38" s="45">
        <v>120000</v>
      </c>
      <c r="K38" s="5">
        <v>-120000</v>
      </c>
      <c r="L38" s="6" t="s">
        <v>93</v>
      </c>
      <c r="M38" s="46">
        <v>199057.81999999937</v>
      </c>
      <c r="N38" s="27" t="str">
        <f>IF(tblMovimientos[[#This Row],[Tipo de Movimiento]]="Ingreso",tblMovimientos[[#This Row],[Monto (S/)]],"0")</f>
        <v>0</v>
      </c>
      <c r="O38" s="27">
        <f>IF(tblMovimientos[[#This Row],[Tipo de Movimiento]]="Egreso",tblMovimientos[[#This Row],[Monto (S/)]],"0")</f>
        <v>120000</v>
      </c>
      <c r="P38" s="29">
        <f>IF(tblMovimientos[[#This Row],[Tipo de Movimiento]]="Ingreso",tblMovimientos[[#This Row],[Ingreso]],-tblMovimientos[[#This Row],[Egreso]])</f>
        <v>-120000</v>
      </c>
    </row>
    <row r="39" spans="2:16" x14ac:dyDescent="0.3">
      <c r="B39" s="41">
        <v>46149</v>
      </c>
      <c r="C39" s="4" t="s">
        <v>21</v>
      </c>
      <c r="D39" s="42" t="s">
        <v>104</v>
      </c>
      <c r="E39" s="4" t="s">
        <v>37</v>
      </c>
      <c r="F39" s="43" t="s">
        <v>10</v>
      </c>
      <c r="G39" s="42" t="s">
        <v>56</v>
      </c>
      <c r="H39" s="4" t="str">
        <f>IFERROR(_xlfn.XLOOKUP(G39,Listas!E:E,Listas!F:F,""),"")</f>
        <v>Inversion</v>
      </c>
      <c r="I39" s="48" t="str">
        <f>IFERROR(_xlfn.XLOOKUP(G39,Listas!E:E,Listas!G:G,""),"")</f>
        <v>Externo</v>
      </c>
      <c r="J39" s="45">
        <v>374.25</v>
      </c>
      <c r="K39" s="5">
        <v>-374.25</v>
      </c>
      <c r="L39" s="6" t="s">
        <v>93</v>
      </c>
      <c r="M39" s="46">
        <v>148736.90999999936</v>
      </c>
      <c r="N39" s="27" t="str">
        <f>IF(tblMovimientos[[#This Row],[Tipo de Movimiento]]="Ingreso",tblMovimientos[[#This Row],[Monto (S/)]],"0")</f>
        <v>0</v>
      </c>
      <c r="O39" s="27">
        <f>IF(tblMovimientos[[#This Row],[Tipo de Movimiento]]="Egreso",tblMovimientos[[#This Row],[Monto (S/)]],"0")</f>
        <v>374.25</v>
      </c>
      <c r="P39" s="29">
        <f>IF(tblMovimientos[[#This Row],[Tipo de Movimiento]]="Ingreso",tblMovimientos[[#This Row],[Ingreso]],-tblMovimientos[[#This Row],[Egreso]])</f>
        <v>-374.25</v>
      </c>
    </row>
    <row r="40" spans="2:16" x14ac:dyDescent="0.3">
      <c r="B40" s="41">
        <v>46149</v>
      </c>
      <c r="C40" s="4" t="s">
        <v>21</v>
      </c>
      <c r="D40" s="42" t="s">
        <v>101</v>
      </c>
      <c r="E40" s="4" t="s">
        <v>36</v>
      </c>
      <c r="F40" s="43" t="s">
        <v>9</v>
      </c>
      <c r="G40" s="42" t="s">
        <v>73</v>
      </c>
      <c r="H40" s="4" t="str">
        <f>IFERROR(_xlfn.XLOOKUP(G40,Listas!E:E,Listas!F:F,""),"")</f>
        <v>Operativo</v>
      </c>
      <c r="I40" s="48" t="str">
        <f>IFERROR(_xlfn.XLOOKUP(G40,Listas!E:E,Listas!G:G,""),"")</f>
        <v>Interno</v>
      </c>
      <c r="J40" s="45">
        <v>15321.74</v>
      </c>
      <c r="K40" s="5">
        <v>15321.74</v>
      </c>
      <c r="L40" s="6" t="s">
        <v>93</v>
      </c>
      <c r="M40" s="46">
        <v>19325.849999999999</v>
      </c>
      <c r="N40" s="27">
        <f>IF(tblMovimientos[[#This Row],[Tipo de Movimiento]]="Ingreso",tblMovimientos[[#This Row],[Monto (S/)]],"0")</f>
        <v>15321.74</v>
      </c>
      <c r="O40" s="27" t="str">
        <f>IF(tblMovimientos[[#This Row],[Tipo de Movimiento]]="Egreso",tblMovimientos[[#This Row],[Monto (S/)]],"0")</f>
        <v>0</v>
      </c>
      <c r="P40" s="29">
        <f>IF(tblMovimientos[[#This Row],[Tipo de Movimiento]]="Ingreso",tblMovimientos[[#This Row],[Ingreso]],-tblMovimientos[[#This Row],[Egreso]])</f>
        <v>15321.74</v>
      </c>
    </row>
    <row r="41" spans="2:16" x14ac:dyDescent="0.3">
      <c r="B41" s="41">
        <v>46149</v>
      </c>
      <c r="C41" s="4" t="s">
        <v>20</v>
      </c>
      <c r="D41" s="42" t="s">
        <v>100</v>
      </c>
      <c r="E41" s="4" t="s">
        <v>36</v>
      </c>
      <c r="F41" s="43" t="s">
        <v>10</v>
      </c>
      <c r="G41" s="42" t="s">
        <v>51</v>
      </c>
      <c r="H41" s="4" t="str">
        <f>IFERROR(_xlfn.XLOOKUP(G41,Listas!E:E,Listas!F:F,""),"")</f>
        <v>Financiamiento</v>
      </c>
      <c r="I41" s="48" t="str">
        <f>IFERROR(_xlfn.XLOOKUP(G41,Listas!E:E,Listas!G:G,""),"")</f>
        <v>Externo</v>
      </c>
      <c r="J41" s="45">
        <v>15321.74</v>
      </c>
      <c r="K41" s="5">
        <v>-15321.74</v>
      </c>
      <c r="L41" s="6" t="s">
        <v>93</v>
      </c>
      <c r="M41" s="46">
        <v>274668.55999999994</v>
      </c>
      <c r="N41" s="27" t="str">
        <f>IF(tblMovimientos[[#This Row],[Tipo de Movimiento]]="Ingreso",tblMovimientos[[#This Row],[Monto (S/)]],"0")</f>
        <v>0</v>
      </c>
      <c r="O41" s="27">
        <f>IF(tblMovimientos[[#This Row],[Tipo de Movimiento]]="Egreso",tblMovimientos[[#This Row],[Monto (S/)]],"0")</f>
        <v>15321.74</v>
      </c>
      <c r="P41" s="29">
        <f>IF(tblMovimientos[[#This Row],[Tipo de Movimiento]]="Ingreso",tblMovimientos[[#This Row],[Ingreso]],-tblMovimientos[[#This Row],[Egreso]])</f>
        <v>-15321.74</v>
      </c>
    </row>
    <row r="42" spans="2:16" x14ac:dyDescent="0.3">
      <c r="B42" s="41">
        <v>46149</v>
      </c>
      <c r="C42" s="4" t="s">
        <v>20</v>
      </c>
      <c r="D42" s="42" t="s">
        <v>100</v>
      </c>
      <c r="E42" s="4" t="s">
        <v>36</v>
      </c>
      <c r="F42" s="43" t="s">
        <v>10</v>
      </c>
      <c r="G42" s="42" t="s">
        <v>59</v>
      </c>
      <c r="H42" s="4" t="str">
        <f>IFERROR(_xlfn.XLOOKUP(G42,Listas!E:E,Listas!F:F,""),"")</f>
        <v>Inversion</v>
      </c>
      <c r="I42" s="48" t="str">
        <f>IFERROR(_xlfn.XLOOKUP(G42,Listas!E:E,Listas!G:G,""),"")</f>
        <v>Externo</v>
      </c>
      <c r="J42" s="45">
        <v>700000</v>
      </c>
      <c r="K42" s="5">
        <v>-700000</v>
      </c>
      <c r="L42" s="6" t="s">
        <v>93</v>
      </c>
      <c r="M42" s="46">
        <v>274668.55999999994</v>
      </c>
      <c r="N42" s="27" t="str">
        <f>IF(tblMovimientos[[#This Row],[Tipo de Movimiento]]="Ingreso",tblMovimientos[[#This Row],[Monto (S/)]],"0")</f>
        <v>0</v>
      </c>
      <c r="O42" s="27">
        <f>IF(tblMovimientos[[#This Row],[Tipo de Movimiento]]="Egreso",tblMovimientos[[#This Row],[Monto (S/)]],"0")</f>
        <v>700000</v>
      </c>
      <c r="P42" s="29">
        <f>IF(tblMovimientos[[#This Row],[Tipo de Movimiento]]="Ingreso",tblMovimientos[[#This Row],[Ingreso]],-tblMovimientos[[#This Row],[Egreso]])</f>
        <v>-700000</v>
      </c>
    </row>
    <row r="43" spans="2:16" x14ac:dyDescent="0.3">
      <c r="B43" s="41">
        <v>46149</v>
      </c>
      <c r="C43" s="4" t="s">
        <v>17</v>
      </c>
      <c r="D43" s="42" t="s">
        <v>94</v>
      </c>
      <c r="E43" s="4" t="s">
        <v>36</v>
      </c>
      <c r="F43" s="43" t="s">
        <v>10</v>
      </c>
      <c r="G43" s="42" t="s">
        <v>50</v>
      </c>
      <c r="H43" s="4" t="str">
        <f>IFERROR(_xlfn.XLOOKUP(G43,Listas!E:E,Listas!F:F,""),"")</f>
        <v>Financiamiento</v>
      </c>
      <c r="I43" s="48" t="str">
        <f>IFERROR(_xlfn.XLOOKUP(G43,Listas!E:E,Listas!G:G,""),"")</f>
        <v>Externo</v>
      </c>
      <c r="J43" s="45">
        <v>10000</v>
      </c>
      <c r="K43" s="5">
        <v>-10000</v>
      </c>
      <c r="L43" s="6" t="s">
        <v>93</v>
      </c>
      <c r="M43" s="46">
        <v>2689.0499999999884</v>
      </c>
      <c r="N43" s="27" t="str">
        <f>IF(tblMovimientos[[#This Row],[Tipo de Movimiento]]="Ingreso",tblMovimientos[[#This Row],[Monto (S/)]],"0")</f>
        <v>0</v>
      </c>
      <c r="O43" s="27">
        <f>IF(tblMovimientos[[#This Row],[Tipo de Movimiento]]="Egreso",tblMovimientos[[#This Row],[Monto (S/)]],"0")</f>
        <v>10000</v>
      </c>
      <c r="P43" s="29">
        <f>IF(tblMovimientos[[#This Row],[Tipo de Movimiento]]="Ingreso",tblMovimientos[[#This Row],[Ingreso]],-tblMovimientos[[#This Row],[Egreso]])</f>
        <v>-10000</v>
      </c>
    </row>
    <row r="44" spans="2:16" x14ac:dyDescent="0.3">
      <c r="B44" s="41">
        <v>46149</v>
      </c>
      <c r="C44" s="4" t="s">
        <v>17</v>
      </c>
      <c r="D44" s="42" t="s">
        <v>94</v>
      </c>
      <c r="E44" s="4" t="s">
        <v>36</v>
      </c>
      <c r="F44" s="43" t="s">
        <v>10</v>
      </c>
      <c r="G44" s="42" t="s">
        <v>50</v>
      </c>
      <c r="H44" s="4" t="str">
        <f>IFERROR(_xlfn.XLOOKUP(G44,Listas!E:E,Listas!F:F,""),"")</f>
        <v>Financiamiento</v>
      </c>
      <c r="I44" s="48" t="str">
        <f>IFERROR(_xlfn.XLOOKUP(G44,Listas!E:E,Listas!G:G,""),"")</f>
        <v>Externo</v>
      </c>
      <c r="J44" s="45">
        <v>10000</v>
      </c>
      <c r="K44" s="5">
        <v>-10000</v>
      </c>
      <c r="L44" s="6" t="s">
        <v>93</v>
      </c>
      <c r="M44" s="46">
        <v>2689.0499999999884</v>
      </c>
      <c r="N44" s="27" t="str">
        <f>IF(tblMovimientos[[#This Row],[Tipo de Movimiento]]="Ingreso",tblMovimientos[[#This Row],[Monto (S/)]],"0")</f>
        <v>0</v>
      </c>
      <c r="O44" s="27">
        <f>IF(tblMovimientos[[#This Row],[Tipo de Movimiento]]="Egreso",tblMovimientos[[#This Row],[Monto (S/)]],"0")</f>
        <v>10000</v>
      </c>
      <c r="P44" s="29">
        <f>IF(tblMovimientos[[#This Row],[Tipo de Movimiento]]="Ingreso",tblMovimientos[[#This Row],[Ingreso]],-tblMovimientos[[#This Row],[Egreso]])</f>
        <v>-10000</v>
      </c>
    </row>
    <row r="45" spans="2:16" x14ac:dyDescent="0.3">
      <c r="B45" s="41">
        <v>46149</v>
      </c>
      <c r="C45" s="4" t="s">
        <v>32</v>
      </c>
      <c r="D45" s="42" t="s">
        <v>123</v>
      </c>
      <c r="E45" s="4" t="s">
        <v>36</v>
      </c>
      <c r="F45" s="43" t="s">
        <v>9</v>
      </c>
      <c r="G45" s="42" t="s">
        <v>71</v>
      </c>
      <c r="H45" s="4" t="str">
        <f>IFERROR(_xlfn.XLOOKUP(G45,Listas!E:E,Listas!F:F,""),"")</f>
        <v>Operativo</v>
      </c>
      <c r="I45" s="48" t="str">
        <f>IFERROR(_xlfn.XLOOKUP(G45,Listas!E:E,Listas!G:G,""),"")</f>
        <v>Interno</v>
      </c>
      <c r="J45" s="45">
        <v>10000</v>
      </c>
      <c r="K45" s="5">
        <v>10000</v>
      </c>
      <c r="L45" s="6" t="s">
        <v>93</v>
      </c>
      <c r="M45" s="46">
        <v>15135.060000000001</v>
      </c>
      <c r="N45" s="27">
        <f>IF(tblMovimientos[[#This Row],[Tipo de Movimiento]]="Ingreso",tblMovimientos[[#This Row],[Monto (S/)]],"0")</f>
        <v>10000</v>
      </c>
      <c r="O45" s="27" t="str">
        <f>IF(tblMovimientos[[#This Row],[Tipo de Movimiento]]="Egreso",tblMovimientos[[#This Row],[Monto (S/)]],"0")</f>
        <v>0</v>
      </c>
      <c r="P45" s="29">
        <f>IF(tblMovimientos[[#This Row],[Tipo de Movimiento]]="Ingreso",tblMovimientos[[#This Row],[Ingreso]],-tblMovimientos[[#This Row],[Egreso]])</f>
        <v>10000</v>
      </c>
    </row>
    <row r="46" spans="2:16" x14ac:dyDescent="0.3">
      <c r="B46" s="41">
        <v>46149</v>
      </c>
      <c r="C46" s="4" t="s">
        <v>33</v>
      </c>
      <c r="D46" s="42" t="s">
        <v>124</v>
      </c>
      <c r="E46" s="4" t="s">
        <v>36</v>
      </c>
      <c r="F46" s="43" t="s">
        <v>9</v>
      </c>
      <c r="G46" s="42" t="s">
        <v>71</v>
      </c>
      <c r="H46" s="4" t="str">
        <f>IFERROR(_xlfn.XLOOKUP(G46,Listas!E:E,Listas!F:F,""),"")</f>
        <v>Operativo</v>
      </c>
      <c r="I46" s="48" t="str">
        <f>IFERROR(_xlfn.XLOOKUP(G46,Listas!E:E,Listas!G:G,""),"")</f>
        <v>Interno</v>
      </c>
      <c r="J46" s="45">
        <v>10000</v>
      </c>
      <c r="K46" s="5">
        <v>10000</v>
      </c>
      <c r="L46" s="6" t="s">
        <v>93</v>
      </c>
      <c r="M46" s="46">
        <v>31338.39</v>
      </c>
      <c r="N46" s="27">
        <f>IF(tblMovimientos[[#This Row],[Tipo de Movimiento]]="Ingreso",tblMovimientos[[#This Row],[Monto (S/)]],"0")</f>
        <v>10000</v>
      </c>
      <c r="O46" s="27" t="str">
        <f>IF(tblMovimientos[[#This Row],[Tipo de Movimiento]]="Egreso",tblMovimientos[[#This Row],[Monto (S/)]],"0")</f>
        <v>0</v>
      </c>
      <c r="P46" s="29">
        <f>IF(tblMovimientos[[#This Row],[Tipo de Movimiento]]="Ingreso",tblMovimientos[[#This Row],[Ingreso]],-tblMovimientos[[#This Row],[Egreso]])</f>
        <v>10000</v>
      </c>
    </row>
    <row r="47" spans="2:16" x14ac:dyDescent="0.3">
      <c r="B47" s="41">
        <v>46149</v>
      </c>
      <c r="C47" s="4" t="s">
        <v>18</v>
      </c>
      <c r="D47" s="42" t="s">
        <v>97</v>
      </c>
      <c r="E47" s="4" t="s">
        <v>37</v>
      </c>
      <c r="F47" s="43" t="s">
        <v>10</v>
      </c>
      <c r="G47" s="42" t="s">
        <v>50</v>
      </c>
      <c r="H47" s="4" t="str">
        <f>IFERROR(_xlfn.XLOOKUP(G47,Listas!E:E,Listas!F:F,""),"")</f>
        <v>Financiamiento</v>
      </c>
      <c r="I47" s="48" t="str">
        <f>IFERROR(_xlfn.XLOOKUP(G47,Listas!E:E,Listas!G:G,""),"")</f>
        <v>Externo</v>
      </c>
      <c r="J47" s="45">
        <v>570000</v>
      </c>
      <c r="K47" s="5">
        <v>-570000</v>
      </c>
      <c r="L47" s="6" t="s">
        <v>93</v>
      </c>
      <c r="M47" s="46">
        <v>51288.029999999941</v>
      </c>
      <c r="N47" s="27" t="str">
        <f>IF(tblMovimientos[[#This Row],[Tipo de Movimiento]]="Ingreso",tblMovimientos[[#This Row],[Monto (S/)]],"0")</f>
        <v>0</v>
      </c>
      <c r="O47" s="27">
        <f>IF(tblMovimientos[[#This Row],[Tipo de Movimiento]]="Egreso",tblMovimientos[[#This Row],[Monto (S/)]],"0")</f>
        <v>570000</v>
      </c>
      <c r="P47" s="29">
        <f>IF(tblMovimientos[[#This Row],[Tipo de Movimiento]]="Ingreso",tblMovimientos[[#This Row],[Ingreso]],-tblMovimientos[[#This Row],[Egreso]])</f>
        <v>-570000</v>
      </c>
    </row>
    <row r="48" spans="2:16" x14ac:dyDescent="0.3">
      <c r="B48" s="41">
        <v>46149</v>
      </c>
      <c r="C48" s="4" t="s">
        <v>17</v>
      </c>
      <c r="D48" s="42" t="s">
        <v>95</v>
      </c>
      <c r="E48" s="4" t="s">
        <v>37</v>
      </c>
      <c r="F48" s="43" t="s">
        <v>9</v>
      </c>
      <c r="G48" s="42" t="s">
        <v>71</v>
      </c>
      <c r="H48" s="4" t="str">
        <f>IFERROR(_xlfn.XLOOKUP(G48,Listas!E:E,Listas!F:F,""),"")</f>
        <v>Operativo</v>
      </c>
      <c r="I48" s="48" t="str">
        <f>IFERROR(_xlfn.XLOOKUP(G48,Listas!E:E,Listas!G:G,""),"")</f>
        <v>Interno</v>
      </c>
      <c r="J48" s="45">
        <v>570000</v>
      </c>
      <c r="K48" s="5">
        <v>570000</v>
      </c>
      <c r="L48" s="6" t="s">
        <v>93</v>
      </c>
      <c r="M48" s="46">
        <v>439799.53000000026</v>
      </c>
      <c r="N48" s="27">
        <f>IF(tblMovimientos[[#This Row],[Tipo de Movimiento]]="Ingreso",tblMovimientos[[#This Row],[Monto (S/)]],"0")</f>
        <v>570000</v>
      </c>
      <c r="O48" s="27" t="str">
        <f>IF(tblMovimientos[[#This Row],[Tipo de Movimiento]]="Egreso",tblMovimientos[[#This Row],[Monto (S/)]],"0")</f>
        <v>0</v>
      </c>
      <c r="P48" s="29">
        <f>IF(tblMovimientos[[#This Row],[Tipo de Movimiento]]="Ingreso",tblMovimientos[[#This Row],[Ingreso]],-tblMovimientos[[#This Row],[Egreso]])</f>
        <v>570000</v>
      </c>
    </row>
    <row r="49" spans="2:16" x14ac:dyDescent="0.3">
      <c r="B49" s="41">
        <v>46149</v>
      </c>
      <c r="C49" s="4" t="s">
        <v>17</v>
      </c>
      <c r="D49" s="42" t="s">
        <v>95</v>
      </c>
      <c r="E49" s="4" t="s">
        <v>37</v>
      </c>
      <c r="F49" s="43" t="s">
        <v>10</v>
      </c>
      <c r="G49" s="42" t="s">
        <v>61</v>
      </c>
      <c r="H49" s="4" t="str">
        <f>IFERROR(_xlfn.XLOOKUP(G49,Listas!E:E,Listas!F:F,""),"")</f>
        <v>Operativo</v>
      </c>
      <c r="I49" s="48" t="str">
        <f>IFERROR(_xlfn.XLOOKUP(G49,Listas!E:E,Listas!G:G,""),"")</f>
        <v>Externo</v>
      </c>
      <c r="J49" s="45">
        <v>30000</v>
      </c>
      <c r="K49" s="5">
        <v>-30000</v>
      </c>
      <c r="L49" s="6" t="s">
        <v>93</v>
      </c>
      <c r="M49" s="46">
        <v>439799.53000000026</v>
      </c>
      <c r="N49" s="27" t="str">
        <f>IF(tblMovimientos[[#This Row],[Tipo de Movimiento]]="Ingreso",tblMovimientos[[#This Row],[Monto (S/)]],"0")</f>
        <v>0</v>
      </c>
      <c r="O49" s="27">
        <f>IF(tblMovimientos[[#This Row],[Tipo de Movimiento]]="Egreso",tblMovimientos[[#This Row],[Monto (S/)]],"0")</f>
        <v>30000</v>
      </c>
      <c r="P49" s="29">
        <f>IF(tblMovimientos[[#This Row],[Tipo de Movimiento]]="Ingreso",tblMovimientos[[#This Row],[Ingreso]],-tblMovimientos[[#This Row],[Egreso]])</f>
        <v>-30000</v>
      </c>
    </row>
    <row r="50" spans="2:16" x14ac:dyDescent="0.3">
      <c r="B50" s="41">
        <v>46149</v>
      </c>
      <c r="C50" s="4" t="s">
        <v>17</v>
      </c>
      <c r="D50" s="42" t="s">
        <v>95</v>
      </c>
      <c r="E50" s="4" t="s">
        <v>37</v>
      </c>
      <c r="F50" s="43" t="s">
        <v>10</v>
      </c>
      <c r="G50" s="42" t="s">
        <v>61</v>
      </c>
      <c r="H50" s="4" t="str">
        <f>IFERROR(_xlfn.XLOOKUP(G50,Listas!E:E,Listas!F:F,""),"")</f>
        <v>Operativo</v>
      </c>
      <c r="I50" s="48" t="str">
        <f>IFERROR(_xlfn.XLOOKUP(G50,Listas!E:E,Listas!G:G,""),"")</f>
        <v>Externo</v>
      </c>
      <c r="J50" s="45">
        <v>70000</v>
      </c>
      <c r="K50" s="5">
        <v>-70000</v>
      </c>
      <c r="L50" s="6" t="s">
        <v>93</v>
      </c>
      <c r="M50" s="46">
        <v>439799.53000000026</v>
      </c>
      <c r="N50" s="27" t="str">
        <f>IF(tblMovimientos[[#This Row],[Tipo de Movimiento]]="Ingreso",tblMovimientos[[#This Row],[Monto (S/)]],"0")</f>
        <v>0</v>
      </c>
      <c r="O50" s="27">
        <f>IF(tblMovimientos[[#This Row],[Tipo de Movimiento]]="Egreso",tblMovimientos[[#This Row],[Monto (S/)]],"0")</f>
        <v>70000</v>
      </c>
      <c r="P50" s="29">
        <f>IF(tblMovimientos[[#This Row],[Tipo de Movimiento]]="Ingreso",tblMovimientos[[#This Row],[Ingreso]],-tblMovimientos[[#This Row],[Egreso]])</f>
        <v>-70000</v>
      </c>
    </row>
    <row r="51" spans="2:16" x14ac:dyDescent="0.3">
      <c r="B51" s="41">
        <v>46149</v>
      </c>
      <c r="C51" s="4" t="s">
        <v>17</v>
      </c>
      <c r="D51" s="42" t="s">
        <v>95</v>
      </c>
      <c r="E51" s="4" t="s">
        <v>37</v>
      </c>
      <c r="F51" s="43" t="s">
        <v>10</v>
      </c>
      <c r="G51" s="42" t="s">
        <v>61</v>
      </c>
      <c r="H51" s="4" t="str">
        <f>IFERROR(_xlfn.XLOOKUP(G51,Listas!E:E,Listas!F:F,""),"")</f>
        <v>Operativo</v>
      </c>
      <c r="I51" s="48" t="str">
        <f>IFERROR(_xlfn.XLOOKUP(G51,Listas!E:E,Listas!G:G,""),"")</f>
        <v>Externo</v>
      </c>
      <c r="J51" s="45">
        <v>100000</v>
      </c>
      <c r="K51" s="5">
        <v>-100000</v>
      </c>
      <c r="L51" s="6" t="s">
        <v>93</v>
      </c>
      <c r="M51" s="46">
        <v>439799.53000000026</v>
      </c>
      <c r="N51" s="27" t="str">
        <f>IF(tblMovimientos[[#This Row],[Tipo de Movimiento]]="Ingreso",tblMovimientos[[#This Row],[Monto (S/)]],"0")</f>
        <v>0</v>
      </c>
      <c r="O51" s="27">
        <f>IF(tblMovimientos[[#This Row],[Tipo de Movimiento]]="Egreso",tblMovimientos[[#This Row],[Monto (S/)]],"0")</f>
        <v>100000</v>
      </c>
      <c r="P51" s="29">
        <f>IF(tblMovimientos[[#This Row],[Tipo de Movimiento]]="Ingreso",tblMovimientos[[#This Row],[Ingreso]],-tblMovimientos[[#This Row],[Egreso]])</f>
        <v>-100000</v>
      </c>
    </row>
    <row r="52" spans="2:16" x14ac:dyDescent="0.3">
      <c r="B52" s="41">
        <v>46149</v>
      </c>
      <c r="C52" s="4" t="s">
        <v>17</v>
      </c>
      <c r="D52" s="42" t="s">
        <v>95</v>
      </c>
      <c r="E52" s="4" t="s">
        <v>37</v>
      </c>
      <c r="F52" s="43" t="s">
        <v>10</v>
      </c>
      <c r="G52" s="42" t="s">
        <v>61</v>
      </c>
      <c r="H52" s="4" t="str">
        <f>IFERROR(_xlfn.XLOOKUP(G52,Listas!E:E,Listas!F:F,""),"")</f>
        <v>Operativo</v>
      </c>
      <c r="I52" s="48" t="str">
        <f>IFERROR(_xlfn.XLOOKUP(G52,Listas!E:E,Listas!G:G,""),"")</f>
        <v>Externo</v>
      </c>
      <c r="J52" s="45">
        <v>100000</v>
      </c>
      <c r="K52" s="5">
        <v>-100000</v>
      </c>
      <c r="L52" s="6" t="s">
        <v>93</v>
      </c>
      <c r="M52" s="46">
        <v>439799.53000000026</v>
      </c>
      <c r="N52" s="27" t="str">
        <f>IF(tblMovimientos[[#This Row],[Tipo de Movimiento]]="Ingreso",tblMovimientos[[#This Row],[Monto (S/)]],"0")</f>
        <v>0</v>
      </c>
      <c r="O52" s="27">
        <f>IF(tblMovimientos[[#This Row],[Tipo de Movimiento]]="Egreso",tblMovimientos[[#This Row],[Monto (S/)]],"0")</f>
        <v>100000</v>
      </c>
      <c r="P52" s="29">
        <f>IF(tblMovimientos[[#This Row],[Tipo de Movimiento]]="Ingreso",tblMovimientos[[#This Row],[Ingreso]],-tblMovimientos[[#This Row],[Egreso]])</f>
        <v>-100000</v>
      </c>
    </row>
    <row r="53" spans="2:16" x14ac:dyDescent="0.3">
      <c r="B53" s="41">
        <v>46149</v>
      </c>
      <c r="C53" s="4" t="s">
        <v>21</v>
      </c>
      <c r="D53" s="42" t="s">
        <v>104</v>
      </c>
      <c r="E53" s="4" t="s">
        <v>37</v>
      </c>
      <c r="F53" s="43" t="s">
        <v>10</v>
      </c>
      <c r="G53" s="42" t="s">
        <v>56</v>
      </c>
      <c r="H53" s="4" t="str">
        <f>IFERROR(_xlfn.XLOOKUP(G53,Listas!E:E,Listas!F:F,""),"")</f>
        <v>Inversion</v>
      </c>
      <c r="I53" s="48" t="str">
        <f>IFERROR(_xlfn.XLOOKUP(G53,Listas!E:E,Listas!G:G,""),"")</f>
        <v>Externo</v>
      </c>
      <c r="J53" s="45">
        <v>13706.66</v>
      </c>
      <c r="K53" s="5">
        <v>-13706.66</v>
      </c>
      <c r="L53" s="6" t="s">
        <v>93</v>
      </c>
      <c r="M53" s="46">
        <v>148736.90999999936</v>
      </c>
      <c r="N53" s="27" t="str">
        <f>IF(tblMovimientos[[#This Row],[Tipo de Movimiento]]="Ingreso",tblMovimientos[[#This Row],[Monto (S/)]],"0")</f>
        <v>0</v>
      </c>
      <c r="O53" s="27">
        <f>IF(tblMovimientos[[#This Row],[Tipo de Movimiento]]="Egreso",tblMovimientos[[#This Row],[Monto (S/)]],"0")</f>
        <v>13706.66</v>
      </c>
      <c r="P53" s="29">
        <f>IF(tblMovimientos[[#This Row],[Tipo de Movimiento]]="Ingreso",tblMovimientos[[#This Row],[Ingreso]],-tblMovimientos[[#This Row],[Egreso]])</f>
        <v>-13706.66</v>
      </c>
    </row>
    <row r="54" spans="2:16" x14ac:dyDescent="0.3">
      <c r="B54" s="41">
        <v>46149</v>
      </c>
      <c r="C54" s="4" t="s">
        <v>21</v>
      </c>
      <c r="D54" s="42" t="s">
        <v>104</v>
      </c>
      <c r="E54" s="4" t="s">
        <v>37</v>
      </c>
      <c r="F54" s="43" t="s">
        <v>10</v>
      </c>
      <c r="G54" s="42" t="s">
        <v>56</v>
      </c>
      <c r="H54" s="4" t="str">
        <f>IFERROR(_xlfn.XLOOKUP(G54,Listas!E:E,Listas!F:F,""),"")</f>
        <v>Inversion</v>
      </c>
      <c r="I54" s="48" t="str">
        <f>IFERROR(_xlfn.XLOOKUP(G54,Listas!E:E,Listas!G:G,""),"")</f>
        <v>Externo</v>
      </c>
      <c r="J54" s="45">
        <v>36240</v>
      </c>
      <c r="K54" s="5">
        <v>-36240</v>
      </c>
      <c r="L54" s="6" t="s">
        <v>93</v>
      </c>
      <c r="M54" s="46">
        <v>148736.90999999936</v>
      </c>
      <c r="N54" s="27" t="str">
        <f>IF(tblMovimientos[[#This Row],[Tipo de Movimiento]]="Ingreso",tblMovimientos[[#This Row],[Monto (S/)]],"0")</f>
        <v>0</v>
      </c>
      <c r="O54" s="27">
        <f>IF(tblMovimientos[[#This Row],[Tipo de Movimiento]]="Egreso",tblMovimientos[[#This Row],[Monto (S/)]],"0")</f>
        <v>36240</v>
      </c>
      <c r="P54" s="29">
        <f>IF(tblMovimientos[[#This Row],[Tipo de Movimiento]]="Ingreso",tblMovimientos[[#This Row],[Ingreso]],-tblMovimientos[[#This Row],[Egreso]])</f>
        <v>-36240</v>
      </c>
    </row>
    <row r="55" spans="2:16" x14ac:dyDescent="0.3">
      <c r="B55" s="41">
        <v>46149</v>
      </c>
      <c r="C55" s="4" t="s">
        <v>23</v>
      </c>
      <c r="D55" s="42" t="s">
        <v>112</v>
      </c>
      <c r="E55" s="4" t="s">
        <v>36</v>
      </c>
      <c r="F55" s="43" t="s">
        <v>9</v>
      </c>
      <c r="G55" s="42" t="s">
        <v>67</v>
      </c>
      <c r="H55" s="4" t="str">
        <f>IFERROR(_xlfn.XLOOKUP(G55,Listas!E:E,Listas!F:F,""),"")</f>
        <v>Inversion</v>
      </c>
      <c r="I55" s="48" t="str">
        <f>IFERROR(_xlfn.XLOOKUP(G55,Listas!E:E,Listas!G:G,""),"")</f>
        <v>Interno</v>
      </c>
      <c r="J55" s="45">
        <v>700000</v>
      </c>
      <c r="K55" s="5">
        <v>700000</v>
      </c>
      <c r="L55" s="6" t="s">
        <v>93</v>
      </c>
      <c r="M55" s="46">
        <v>1513088.59</v>
      </c>
      <c r="N55" s="27">
        <f>IF(tblMovimientos[[#This Row],[Tipo de Movimiento]]="Ingreso",tblMovimientos[[#This Row],[Monto (S/)]],"0")</f>
        <v>700000</v>
      </c>
      <c r="O55" s="27" t="str">
        <f>IF(tblMovimientos[[#This Row],[Tipo de Movimiento]]="Egreso",tblMovimientos[[#This Row],[Monto (S/)]],"0")</f>
        <v>0</v>
      </c>
      <c r="P55" s="29">
        <f>IF(tblMovimientos[[#This Row],[Tipo de Movimiento]]="Ingreso",tblMovimientos[[#This Row],[Ingreso]],-tblMovimientos[[#This Row],[Egreso]])</f>
        <v>700000</v>
      </c>
    </row>
    <row r="56" spans="2:16" x14ac:dyDescent="0.3">
      <c r="B56" s="41">
        <v>46150</v>
      </c>
      <c r="C56" s="4" t="s">
        <v>21</v>
      </c>
      <c r="D56" s="42" t="s">
        <v>104</v>
      </c>
      <c r="E56" s="4" t="s">
        <v>37</v>
      </c>
      <c r="F56" s="43" t="s">
        <v>10</v>
      </c>
      <c r="G56" s="42" t="s">
        <v>44</v>
      </c>
      <c r="H56" s="4" t="str">
        <f>IFERROR(_xlfn.XLOOKUP(G56,Listas!E:E,Listas!F:F,""),"")</f>
        <v>Operativo</v>
      </c>
      <c r="I56" s="48" t="str">
        <f>IFERROR(_xlfn.XLOOKUP(G56,Listas!E:E,Listas!G:G,""),"")</f>
        <v>Externo</v>
      </c>
      <c r="J56" s="45">
        <v>2382.7199999999998</v>
      </c>
      <c r="K56" s="5">
        <v>-2382.7199999999998</v>
      </c>
      <c r="L56" s="6" t="s">
        <v>93</v>
      </c>
      <c r="M56" s="46">
        <v>146354.18999999936</v>
      </c>
      <c r="N56" s="27" t="str">
        <f>IF(tblMovimientos[[#This Row],[Tipo de Movimiento]]="Ingreso",tblMovimientos[[#This Row],[Monto (S/)]],"0")</f>
        <v>0</v>
      </c>
      <c r="O56" s="27">
        <f>IF(tblMovimientos[[#This Row],[Tipo de Movimiento]]="Egreso",tblMovimientos[[#This Row],[Monto (S/)]],"0")</f>
        <v>2382.7199999999998</v>
      </c>
      <c r="P56" s="29">
        <f>IF(tblMovimientos[[#This Row],[Tipo de Movimiento]]="Ingreso",tblMovimientos[[#This Row],[Ingreso]],-tblMovimientos[[#This Row],[Egreso]])</f>
        <v>-2382.7199999999998</v>
      </c>
    </row>
    <row r="57" spans="2:16" x14ac:dyDescent="0.3">
      <c r="B57" s="41">
        <v>46150</v>
      </c>
      <c r="C57" s="4" t="s">
        <v>20</v>
      </c>
      <c r="D57" s="42" t="s">
        <v>100</v>
      </c>
      <c r="E57" s="4" t="s">
        <v>36</v>
      </c>
      <c r="F57" s="43" t="s">
        <v>9</v>
      </c>
      <c r="G57" s="42" t="s">
        <v>70</v>
      </c>
      <c r="H57" s="4" t="str">
        <f>IFERROR(_xlfn.XLOOKUP(G57,Listas!E:E,Listas!F:F,""),"")</f>
        <v>Operativo</v>
      </c>
      <c r="I57" s="48" t="str">
        <f>IFERROR(_xlfn.XLOOKUP(G57,Listas!E:E,Listas!G:G,""),"")</f>
        <v>Externo</v>
      </c>
      <c r="J57" s="45">
        <v>500000</v>
      </c>
      <c r="K57" s="5">
        <v>500000</v>
      </c>
      <c r="L57" s="6" t="s">
        <v>93</v>
      </c>
      <c r="M57" s="46">
        <v>792366.49999999988</v>
      </c>
      <c r="N57" s="27">
        <f>IF(tblMovimientos[[#This Row],[Tipo de Movimiento]]="Ingreso",tblMovimientos[[#This Row],[Monto (S/)]],"0")</f>
        <v>500000</v>
      </c>
      <c r="O57" s="27" t="str">
        <f>IF(tblMovimientos[[#This Row],[Tipo de Movimiento]]="Egreso",tblMovimientos[[#This Row],[Monto (S/)]],"0")</f>
        <v>0</v>
      </c>
      <c r="P57" s="29">
        <f>IF(tblMovimientos[[#This Row],[Tipo de Movimiento]]="Ingreso",tblMovimientos[[#This Row],[Ingreso]],-tblMovimientos[[#This Row],[Egreso]])</f>
        <v>500000</v>
      </c>
    </row>
    <row r="58" spans="2:16" x14ac:dyDescent="0.3">
      <c r="B58" s="41">
        <v>46150</v>
      </c>
      <c r="C58" s="4" t="s">
        <v>20</v>
      </c>
      <c r="D58" s="42" t="s">
        <v>100</v>
      </c>
      <c r="E58" s="4" t="s">
        <v>36</v>
      </c>
      <c r="F58" s="43" t="s">
        <v>9</v>
      </c>
      <c r="G58" s="42" t="s">
        <v>68</v>
      </c>
      <c r="H58" s="4" t="str">
        <f>IFERROR(_xlfn.XLOOKUP(G58,Listas!E:E,Listas!F:F,""),"")</f>
        <v>Operativo</v>
      </c>
      <c r="I58" s="48" t="str">
        <f>IFERROR(_xlfn.XLOOKUP(G58,Listas!E:E,Listas!G:G,""),"")</f>
        <v>Externo</v>
      </c>
      <c r="J58" s="45">
        <v>17697.939999999999</v>
      </c>
      <c r="K58" s="5">
        <v>17697.939999999999</v>
      </c>
      <c r="L58" s="6" t="s">
        <v>93</v>
      </c>
      <c r="M58" s="46">
        <v>792366.49999999988</v>
      </c>
      <c r="N58" s="27">
        <f>IF(tblMovimientos[[#This Row],[Tipo de Movimiento]]="Ingreso",tblMovimientos[[#This Row],[Monto (S/)]],"0")</f>
        <v>17697.939999999999</v>
      </c>
      <c r="O58" s="27" t="str">
        <f>IF(tblMovimientos[[#This Row],[Tipo de Movimiento]]="Egreso",tblMovimientos[[#This Row],[Monto (S/)]],"0")</f>
        <v>0</v>
      </c>
      <c r="P58" s="29">
        <f>IF(tblMovimientos[[#This Row],[Tipo de Movimiento]]="Ingreso",tblMovimientos[[#This Row],[Ingreso]],-tblMovimientos[[#This Row],[Egreso]])</f>
        <v>17697.939999999999</v>
      </c>
    </row>
    <row r="59" spans="2:16" x14ac:dyDescent="0.3">
      <c r="B59" s="41">
        <v>46150</v>
      </c>
      <c r="C59" s="4" t="s">
        <v>17</v>
      </c>
      <c r="D59" s="42" t="s">
        <v>94</v>
      </c>
      <c r="E59" s="4" t="s">
        <v>36</v>
      </c>
      <c r="F59" s="43" t="s">
        <v>9</v>
      </c>
      <c r="G59" s="42" t="s">
        <v>68</v>
      </c>
      <c r="H59" s="4" t="str">
        <f>IFERROR(_xlfn.XLOOKUP(G59,Listas!E:E,Listas!F:F,""),"")</f>
        <v>Operativo</v>
      </c>
      <c r="I59" s="48" t="str">
        <f>IFERROR(_xlfn.XLOOKUP(G59,Listas!E:E,Listas!G:G,""),"")</f>
        <v>Externo</v>
      </c>
      <c r="J59" s="45">
        <v>65164.32</v>
      </c>
      <c r="K59" s="5">
        <v>65164.32</v>
      </c>
      <c r="L59" s="6" t="s">
        <v>93</v>
      </c>
      <c r="M59" s="46">
        <v>67853.37</v>
      </c>
      <c r="N59" s="27">
        <f>IF(tblMovimientos[[#This Row],[Tipo de Movimiento]]="Ingreso",tblMovimientos[[#This Row],[Monto (S/)]],"0")</f>
        <v>65164.32</v>
      </c>
      <c r="O59" s="27" t="str">
        <f>IF(tblMovimientos[[#This Row],[Tipo de Movimiento]]="Egreso",tblMovimientos[[#This Row],[Monto (S/)]],"0")</f>
        <v>0</v>
      </c>
      <c r="P59" s="29">
        <f>IF(tblMovimientos[[#This Row],[Tipo de Movimiento]]="Ingreso",tblMovimientos[[#This Row],[Ingreso]],-tblMovimientos[[#This Row],[Egreso]])</f>
        <v>65164.32</v>
      </c>
    </row>
    <row r="60" spans="2:16" x14ac:dyDescent="0.3">
      <c r="B60" s="41">
        <v>46150</v>
      </c>
      <c r="C60" s="4" t="s">
        <v>31</v>
      </c>
      <c r="D60" s="42" t="s">
        <v>121</v>
      </c>
      <c r="E60" s="4" t="s">
        <v>36</v>
      </c>
      <c r="F60" s="43" t="s">
        <v>10</v>
      </c>
      <c r="G60" s="42" t="s">
        <v>38</v>
      </c>
      <c r="H60" s="4" t="str">
        <f>IFERROR(_xlfn.XLOOKUP(G60,Listas!E:E,Listas!F:F,""),"")</f>
        <v>Operativo</v>
      </c>
      <c r="I60" s="48" t="str">
        <f>IFERROR(_xlfn.XLOOKUP(G60,Listas!E:E,Listas!G:G,""),"")</f>
        <v>Externo</v>
      </c>
      <c r="J60" s="45">
        <v>2625</v>
      </c>
      <c r="K60" s="5">
        <v>-2625</v>
      </c>
      <c r="L60" s="6" t="s">
        <v>93</v>
      </c>
      <c r="M60" s="46">
        <v>20252.179999999964</v>
      </c>
      <c r="N60" s="27" t="str">
        <f>IF(tblMovimientos[[#This Row],[Tipo de Movimiento]]="Ingreso",tblMovimientos[[#This Row],[Monto (S/)]],"0")</f>
        <v>0</v>
      </c>
      <c r="O60" s="27">
        <f>IF(tblMovimientos[[#This Row],[Tipo de Movimiento]]="Egreso",tblMovimientos[[#This Row],[Monto (S/)]],"0")</f>
        <v>2625</v>
      </c>
      <c r="P60" s="29">
        <f>IF(tblMovimientos[[#This Row],[Tipo de Movimiento]]="Ingreso",tblMovimientos[[#This Row],[Ingreso]],-tblMovimientos[[#This Row],[Egreso]])</f>
        <v>-2625</v>
      </c>
    </row>
    <row r="61" spans="2:16" x14ac:dyDescent="0.3">
      <c r="B61" s="41">
        <v>46150</v>
      </c>
      <c r="C61" s="4" t="s">
        <v>31</v>
      </c>
      <c r="D61" s="42" t="s">
        <v>121</v>
      </c>
      <c r="E61" s="4" t="s">
        <v>36</v>
      </c>
      <c r="F61" s="43" t="s">
        <v>10</v>
      </c>
      <c r="G61" s="42" t="s">
        <v>44</v>
      </c>
      <c r="H61" s="4" t="str">
        <f>IFERROR(_xlfn.XLOOKUP(G61,Listas!E:E,Listas!F:F,""),"")</f>
        <v>Operativo</v>
      </c>
      <c r="I61" s="48" t="str">
        <f>IFERROR(_xlfn.XLOOKUP(G61,Listas!E:E,Listas!G:G,""),"")</f>
        <v>Externo</v>
      </c>
      <c r="J61" s="45">
        <v>30</v>
      </c>
      <c r="K61" s="5">
        <v>-30</v>
      </c>
      <c r="L61" s="6" t="s">
        <v>93</v>
      </c>
      <c r="M61" s="46">
        <v>20252.179999999964</v>
      </c>
      <c r="N61" s="27" t="str">
        <f>IF(tblMovimientos[[#This Row],[Tipo de Movimiento]]="Ingreso",tblMovimientos[[#This Row],[Monto (S/)]],"0")</f>
        <v>0</v>
      </c>
      <c r="O61" s="27">
        <f>IF(tblMovimientos[[#This Row],[Tipo de Movimiento]]="Egreso",tblMovimientos[[#This Row],[Monto (S/)]],"0")</f>
        <v>30</v>
      </c>
      <c r="P61" s="29">
        <f>IF(tblMovimientos[[#This Row],[Tipo de Movimiento]]="Ingreso",tblMovimientos[[#This Row],[Ingreso]],-tblMovimientos[[#This Row],[Egreso]])</f>
        <v>-30</v>
      </c>
    </row>
    <row r="62" spans="2:16" x14ac:dyDescent="0.3">
      <c r="B62" s="41">
        <v>46150</v>
      </c>
      <c r="C62" s="4" t="s">
        <v>32</v>
      </c>
      <c r="D62" s="42" t="s">
        <v>123</v>
      </c>
      <c r="E62" s="4" t="s">
        <v>36</v>
      </c>
      <c r="F62" s="43" t="s">
        <v>10</v>
      </c>
      <c r="G62" s="42" t="s">
        <v>44</v>
      </c>
      <c r="H62" s="4" t="str">
        <f>IFERROR(_xlfn.XLOOKUP(G62,Listas!E:E,Listas!F:F,""),"")</f>
        <v>Operativo</v>
      </c>
      <c r="I62" s="48" t="str">
        <f>IFERROR(_xlfn.XLOOKUP(G62,Listas!E:E,Listas!G:G,""),"")</f>
        <v>Externo</v>
      </c>
      <c r="J62" s="45">
        <v>15</v>
      </c>
      <c r="K62" s="5">
        <v>-15</v>
      </c>
      <c r="L62" s="6" t="s">
        <v>93</v>
      </c>
      <c r="M62" s="46">
        <v>15120.060000000001</v>
      </c>
      <c r="N62" s="27" t="str">
        <f>IF(tblMovimientos[[#This Row],[Tipo de Movimiento]]="Ingreso",tblMovimientos[[#This Row],[Monto (S/)]],"0")</f>
        <v>0</v>
      </c>
      <c r="O62" s="27">
        <f>IF(tblMovimientos[[#This Row],[Tipo de Movimiento]]="Egreso",tblMovimientos[[#This Row],[Monto (S/)]],"0")</f>
        <v>15</v>
      </c>
      <c r="P62" s="29">
        <f>IF(tblMovimientos[[#This Row],[Tipo de Movimiento]]="Ingreso",tblMovimientos[[#This Row],[Ingreso]],-tblMovimientos[[#This Row],[Egreso]])</f>
        <v>-15</v>
      </c>
    </row>
    <row r="63" spans="2:16" x14ac:dyDescent="0.3">
      <c r="B63" s="41">
        <v>46150</v>
      </c>
      <c r="C63" s="4" t="s">
        <v>33</v>
      </c>
      <c r="D63" s="42" t="s">
        <v>124</v>
      </c>
      <c r="E63" s="4" t="s">
        <v>36</v>
      </c>
      <c r="F63" s="43" t="s">
        <v>10</v>
      </c>
      <c r="G63" s="42" t="s">
        <v>44</v>
      </c>
      <c r="H63" s="4" t="str">
        <f>IFERROR(_xlfn.XLOOKUP(G63,Listas!E:E,Listas!F:F,""),"")</f>
        <v>Operativo</v>
      </c>
      <c r="I63" s="48" t="str">
        <f>IFERROR(_xlfn.XLOOKUP(G63,Listas!E:E,Listas!G:G,""),"")</f>
        <v>Externo</v>
      </c>
      <c r="J63" s="45">
        <v>15</v>
      </c>
      <c r="K63" s="5">
        <v>-15</v>
      </c>
      <c r="L63" s="6" t="s">
        <v>93</v>
      </c>
      <c r="M63" s="46">
        <v>31323.39</v>
      </c>
      <c r="N63" s="27" t="str">
        <f>IF(tblMovimientos[[#This Row],[Tipo de Movimiento]]="Ingreso",tblMovimientos[[#This Row],[Monto (S/)]],"0")</f>
        <v>0</v>
      </c>
      <c r="O63" s="27">
        <f>IF(tblMovimientos[[#This Row],[Tipo de Movimiento]]="Egreso",tblMovimientos[[#This Row],[Monto (S/)]],"0")</f>
        <v>15</v>
      </c>
      <c r="P63" s="29">
        <f>IF(tblMovimientos[[#This Row],[Tipo de Movimiento]]="Ingreso",tblMovimientos[[#This Row],[Ingreso]],-tblMovimientos[[#This Row],[Egreso]])</f>
        <v>-15</v>
      </c>
    </row>
    <row r="64" spans="2:16" x14ac:dyDescent="0.3">
      <c r="B64" s="41">
        <v>46150</v>
      </c>
      <c r="C64" s="4" t="s">
        <v>18</v>
      </c>
      <c r="D64" s="42" t="s">
        <v>97</v>
      </c>
      <c r="E64" s="4" t="s">
        <v>37</v>
      </c>
      <c r="F64" s="43" t="s">
        <v>9</v>
      </c>
      <c r="G64" s="42" t="s">
        <v>68</v>
      </c>
      <c r="H64" s="4" t="str">
        <f>IFERROR(_xlfn.XLOOKUP(G64,Listas!E:E,Listas!F:F,""),"")</f>
        <v>Operativo</v>
      </c>
      <c r="I64" s="48" t="str">
        <f>IFERROR(_xlfn.XLOOKUP(G64,Listas!E:E,Listas!G:G,""),"")</f>
        <v>Externo</v>
      </c>
      <c r="J64" s="45">
        <v>2552.06</v>
      </c>
      <c r="K64" s="5">
        <v>2552.06</v>
      </c>
      <c r="L64" s="6" t="s">
        <v>93</v>
      </c>
      <c r="M64" s="46">
        <v>53840.089999999938</v>
      </c>
      <c r="N64" s="27">
        <f>IF(tblMovimientos[[#This Row],[Tipo de Movimiento]]="Ingreso",tblMovimientos[[#This Row],[Monto (S/)]],"0")</f>
        <v>2552.06</v>
      </c>
      <c r="O64" s="27" t="str">
        <f>IF(tblMovimientos[[#This Row],[Tipo de Movimiento]]="Egreso",tblMovimientos[[#This Row],[Monto (S/)]],"0")</f>
        <v>0</v>
      </c>
      <c r="P64" s="29">
        <f>IF(tblMovimientos[[#This Row],[Tipo de Movimiento]]="Ingreso",tblMovimientos[[#This Row],[Ingreso]],-tblMovimientos[[#This Row],[Egreso]])</f>
        <v>2552.06</v>
      </c>
    </row>
    <row r="65" spans="2:16" x14ac:dyDescent="0.3">
      <c r="B65" s="41">
        <v>46150</v>
      </c>
      <c r="C65" s="4" t="s">
        <v>35</v>
      </c>
      <c r="D65" s="42" t="s">
        <v>126</v>
      </c>
      <c r="E65" s="4" t="s">
        <v>37</v>
      </c>
      <c r="F65" s="43" t="s">
        <v>9</v>
      </c>
      <c r="G65" s="42" t="s">
        <v>77</v>
      </c>
      <c r="H65" s="4" t="str">
        <f>IFERROR(_xlfn.XLOOKUP(G65,Listas!E:E,Listas!F:F,""),"")</f>
        <v>Inversion</v>
      </c>
      <c r="I65" s="48" t="str">
        <f>IFERROR(_xlfn.XLOOKUP(G65,Listas!E:E,Listas!G:G,""),"")</f>
        <v>Interno</v>
      </c>
      <c r="J65" s="45">
        <v>15000</v>
      </c>
      <c r="K65" s="5">
        <v>15000</v>
      </c>
      <c r="L65" s="6" t="s">
        <v>93</v>
      </c>
      <c r="M65" s="46">
        <v>23782.25</v>
      </c>
      <c r="N65" s="27">
        <f>IF(tblMovimientos[[#This Row],[Tipo de Movimiento]]="Ingreso",tblMovimientos[[#This Row],[Monto (S/)]],"0")</f>
        <v>15000</v>
      </c>
      <c r="O65" s="27" t="str">
        <f>IF(tblMovimientos[[#This Row],[Tipo de Movimiento]]="Egreso",tblMovimientos[[#This Row],[Monto (S/)]],"0")</f>
        <v>0</v>
      </c>
      <c r="P65" s="29">
        <f>IF(tblMovimientos[[#This Row],[Tipo de Movimiento]]="Ingreso",tblMovimientos[[#This Row],[Ingreso]],-tblMovimientos[[#This Row],[Egreso]])</f>
        <v>15000</v>
      </c>
    </row>
    <row r="66" spans="2:16" x14ac:dyDescent="0.3">
      <c r="B66" s="41">
        <v>46150</v>
      </c>
      <c r="C66" s="4" t="s">
        <v>23</v>
      </c>
      <c r="D66" s="42" t="s">
        <v>112</v>
      </c>
      <c r="E66" s="4" t="s">
        <v>36</v>
      </c>
      <c r="F66" s="43" t="s">
        <v>10</v>
      </c>
      <c r="G66" s="42" t="s">
        <v>59</v>
      </c>
      <c r="H66" s="4" t="str">
        <f>IFERROR(_xlfn.XLOOKUP(G66,Listas!E:E,Listas!F:F,""),"")</f>
        <v>Inversion</v>
      </c>
      <c r="I66" s="48" t="str">
        <f>IFERROR(_xlfn.XLOOKUP(G66,Listas!E:E,Listas!G:G,""),"")</f>
        <v>Externo</v>
      </c>
      <c r="J66" s="45">
        <v>1500000</v>
      </c>
      <c r="K66" s="5">
        <v>-1500000</v>
      </c>
      <c r="L66" s="6" t="s">
        <v>93</v>
      </c>
      <c r="M66" s="46">
        <v>13088.589999999997</v>
      </c>
      <c r="N66" s="27" t="str">
        <f>IF(tblMovimientos[[#This Row],[Tipo de Movimiento]]="Ingreso",tblMovimientos[[#This Row],[Monto (S/)]],"0")</f>
        <v>0</v>
      </c>
      <c r="O66" s="27">
        <f>IF(tblMovimientos[[#This Row],[Tipo de Movimiento]]="Egreso",tblMovimientos[[#This Row],[Monto (S/)]],"0")</f>
        <v>1500000</v>
      </c>
      <c r="P66" s="29">
        <f>IF(tblMovimientos[[#This Row],[Tipo de Movimiento]]="Ingreso",tblMovimientos[[#This Row],[Ingreso]],-tblMovimientos[[#This Row],[Egreso]])</f>
        <v>-1500000</v>
      </c>
    </row>
    <row r="67" spans="2:16" x14ac:dyDescent="0.3">
      <c r="B67" s="41">
        <v>46150</v>
      </c>
      <c r="C67" s="4" t="s">
        <v>27</v>
      </c>
      <c r="D67" s="42" t="s">
        <v>116</v>
      </c>
      <c r="E67" s="4" t="s">
        <v>155</v>
      </c>
      <c r="F67" s="43" t="s">
        <v>10</v>
      </c>
      <c r="G67" s="42" t="s">
        <v>38</v>
      </c>
      <c r="H67" s="4" t="str">
        <f>IFERROR(_xlfn.XLOOKUP(G67,Listas!E:E,Listas!F:F,""),"")</f>
        <v>Operativo</v>
      </c>
      <c r="I67" s="48" t="str">
        <f>IFERROR(_xlfn.XLOOKUP(G67,Listas!E:E,Listas!G:G,""),"")</f>
        <v>Externo</v>
      </c>
      <c r="J67" s="45">
        <v>15</v>
      </c>
      <c r="K67" s="5">
        <v>-15</v>
      </c>
      <c r="L67" s="6" t="s">
        <v>93</v>
      </c>
      <c r="M67" s="46">
        <v>3349.94</v>
      </c>
      <c r="N67" s="27" t="str">
        <f>IF(tblMovimientos[[#This Row],[Tipo de Movimiento]]="Ingreso",tblMovimientos[[#This Row],[Monto (S/)]],"0")</f>
        <v>0</v>
      </c>
      <c r="O67" s="27">
        <f>IF(tblMovimientos[[#This Row],[Tipo de Movimiento]]="Egreso",tblMovimientos[[#This Row],[Monto (S/)]],"0")</f>
        <v>15</v>
      </c>
      <c r="P67" s="29">
        <f>IF(tblMovimientos[[#This Row],[Tipo de Movimiento]]="Ingreso",tblMovimientos[[#This Row],[Ingreso]],-tblMovimientos[[#This Row],[Egreso]])</f>
        <v>-15</v>
      </c>
    </row>
    <row r="68" spans="2:16" x14ac:dyDescent="0.3">
      <c r="B68" s="41">
        <v>46153</v>
      </c>
      <c r="C68" s="4" t="s">
        <v>35</v>
      </c>
      <c r="D68" s="42" t="s">
        <v>126</v>
      </c>
      <c r="E68" s="4" t="s">
        <v>37</v>
      </c>
      <c r="F68" s="43" t="s">
        <v>10</v>
      </c>
      <c r="G68" s="42" t="s">
        <v>38</v>
      </c>
      <c r="H68" s="4" t="str">
        <f>IFERROR(_xlfn.XLOOKUP(G68,Listas!E:E,Listas!F:F,""),"")</f>
        <v>Operativo</v>
      </c>
      <c r="I68" s="48" t="str">
        <f>IFERROR(_xlfn.XLOOKUP(G68,Listas!E:E,Listas!G:G,""),"")</f>
        <v>Externo</v>
      </c>
      <c r="J68" s="45">
        <v>20</v>
      </c>
      <c r="K68" s="5">
        <v>-20</v>
      </c>
      <c r="L68" s="6" t="s">
        <v>93</v>
      </c>
      <c r="M68" s="46">
        <v>16956.59</v>
      </c>
      <c r="N68" s="27" t="str">
        <f>IF(tblMovimientos[[#This Row],[Tipo de Movimiento]]="Ingreso",tblMovimientos[[#This Row],[Monto (S/)]],"0")</f>
        <v>0</v>
      </c>
      <c r="O68" s="27">
        <f>IF(tblMovimientos[[#This Row],[Tipo de Movimiento]]="Egreso",tblMovimientos[[#This Row],[Monto (S/)]],"0")</f>
        <v>20</v>
      </c>
      <c r="P68" s="29">
        <f>IF(tblMovimientos[[#This Row],[Tipo de Movimiento]]="Ingreso",tblMovimientos[[#This Row],[Ingreso]],-tblMovimientos[[#This Row],[Egreso]])</f>
        <v>-20</v>
      </c>
    </row>
    <row r="69" spans="2:16" x14ac:dyDescent="0.3">
      <c r="B69" s="41">
        <v>46153</v>
      </c>
      <c r="C69" s="4" t="s">
        <v>20</v>
      </c>
      <c r="D69" s="42" t="s">
        <v>100</v>
      </c>
      <c r="E69" s="4" t="s">
        <v>36</v>
      </c>
      <c r="F69" s="43" t="s">
        <v>9</v>
      </c>
      <c r="G69" s="42" t="s">
        <v>70</v>
      </c>
      <c r="H69" s="4" t="str">
        <f>IFERROR(_xlfn.XLOOKUP(G69,Listas!E:E,Listas!F:F,""),"")</f>
        <v>Operativo</v>
      </c>
      <c r="I69" s="48" t="str">
        <f>IFERROR(_xlfn.XLOOKUP(G69,Listas!E:E,Listas!G:G,""),"")</f>
        <v>Externo</v>
      </c>
      <c r="J69" s="45">
        <v>576000</v>
      </c>
      <c r="K69" s="5">
        <v>576000</v>
      </c>
      <c r="L69" s="6" t="s">
        <v>93</v>
      </c>
      <c r="M69" s="46">
        <v>1368366.5</v>
      </c>
      <c r="N69" s="27">
        <f>IF(tblMovimientos[[#This Row],[Tipo de Movimiento]]="Ingreso",tblMovimientos[[#This Row],[Monto (S/)]],"0")</f>
        <v>576000</v>
      </c>
      <c r="O69" s="27" t="str">
        <f>IF(tblMovimientos[[#This Row],[Tipo de Movimiento]]="Egreso",tblMovimientos[[#This Row],[Monto (S/)]],"0")</f>
        <v>0</v>
      </c>
      <c r="P69" s="29">
        <f>IF(tblMovimientos[[#This Row],[Tipo de Movimiento]]="Ingreso",tblMovimientos[[#This Row],[Ingreso]],-tblMovimientos[[#This Row],[Egreso]])</f>
        <v>576000</v>
      </c>
    </row>
    <row r="70" spans="2:16" x14ac:dyDescent="0.3">
      <c r="B70" s="41">
        <v>46153</v>
      </c>
      <c r="C70" s="4" t="s">
        <v>31</v>
      </c>
      <c r="D70" s="42" t="s">
        <v>121</v>
      </c>
      <c r="E70" s="4" t="s">
        <v>36</v>
      </c>
      <c r="F70" s="43" t="s">
        <v>10</v>
      </c>
      <c r="G70" s="42" t="s">
        <v>38</v>
      </c>
      <c r="H70" s="4" t="str">
        <f>IFERROR(_xlfn.XLOOKUP(G70,Listas!E:E,Listas!F:F,""),"")</f>
        <v>Operativo</v>
      </c>
      <c r="I70" s="48" t="str">
        <f>IFERROR(_xlfn.XLOOKUP(G70,Listas!E:E,Listas!G:G,""),"")</f>
        <v>Externo</v>
      </c>
      <c r="J70" s="45">
        <v>1500</v>
      </c>
      <c r="K70" s="5">
        <v>-1500</v>
      </c>
      <c r="L70" s="6" t="s">
        <v>93</v>
      </c>
      <c r="M70" s="46">
        <v>18752.179999999964</v>
      </c>
      <c r="N70" s="27" t="str">
        <f>IF(tblMovimientos[[#This Row],[Tipo de Movimiento]]="Ingreso",tblMovimientos[[#This Row],[Monto (S/)]],"0")</f>
        <v>0</v>
      </c>
      <c r="O70" s="27">
        <f>IF(tblMovimientos[[#This Row],[Tipo de Movimiento]]="Egreso",tblMovimientos[[#This Row],[Monto (S/)]],"0")</f>
        <v>1500</v>
      </c>
      <c r="P70" s="29">
        <f>IF(tblMovimientos[[#This Row],[Tipo de Movimiento]]="Ingreso",tblMovimientos[[#This Row],[Ingreso]],-tblMovimientos[[#This Row],[Egreso]])</f>
        <v>-1500</v>
      </c>
    </row>
    <row r="71" spans="2:16" x14ac:dyDescent="0.3">
      <c r="B71" s="41">
        <v>46153</v>
      </c>
      <c r="C71" s="4" t="s">
        <v>21</v>
      </c>
      <c r="D71" s="42" t="s">
        <v>101</v>
      </c>
      <c r="E71" s="4" t="s">
        <v>36</v>
      </c>
      <c r="F71" s="43" t="s">
        <v>10</v>
      </c>
      <c r="G71" s="42" t="s">
        <v>38</v>
      </c>
      <c r="H71" s="4" t="str">
        <f>IFERROR(_xlfn.XLOOKUP(G71,Listas!E:E,Listas!F:F,""),"")</f>
        <v>Operativo</v>
      </c>
      <c r="I71" s="48" t="str">
        <f>IFERROR(_xlfn.XLOOKUP(G71,Listas!E:E,Listas!G:G,""),"")</f>
        <v>Externo</v>
      </c>
      <c r="J71" s="45">
        <v>1291.6500000000001</v>
      </c>
      <c r="K71" s="5">
        <v>-1291.6500000000001</v>
      </c>
      <c r="L71" s="6" t="s">
        <v>93</v>
      </c>
      <c r="M71" s="46">
        <v>18034.2</v>
      </c>
      <c r="N71" s="27" t="str">
        <f>IF(tblMovimientos[[#This Row],[Tipo de Movimiento]]="Ingreso",tblMovimientos[[#This Row],[Monto (S/)]],"0")</f>
        <v>0</v>
      </c>
      <c r="O71" s="27">
        <f>IF(tblMovimientos[[#This Row],[Tipo de Movimiento]]="Egreso",tblMovimientos[[#This Row],[Monto (S/)]],"0")</f>
        <v>1291.6500000000001</v>
      </c>
      <c r="P71" s="29">
        <f>IF(tblMovimientos[[#This Row],[Tipo de Movimiento]]="Ingreso",tblMovimientos[[#This Row],[Ingreso]],-tblMovimientos[[#This Row],[Egreso]])</f>
        <v>-1291.6500000000001</v>
      </c>
    </row>
    <row r="72" spans="2:16" x14ac:dyDescent="0.3">
      <c r="B72" s="41">
        <v>46153</v>
      </c>
      <c r="C72" s="4" t="s">
        <v>35</v>
      </c>
      <c r="D72" s="42" t="s">
        <v>126</v>
      </c>
      <c r="E72" s="4" t="s">
        <v>37</v>
      </c>
      <c r="F72" s="43" t="s">
        <v>10</v>
      </c>
      <c r="G72" s="42" t="s">
        <v>38</v>
      </c>
      <c r="H72" s="4" t="str">
        <f>IFERROR(_xlfn.XLOOKUP(G72,Listas!E:E,Listas!F:F,""),"")</f>
        <v>Operativo</v>
      </c>
      <c r="I72" s="48" t="str">
        <f>IFERROR(_xlfn.XLOOKUP(G72,Listas!E:E,Listas!G:G,""),"")</f>
        <v>Externo</v>
      </c>
      <c r="J72" s="45">
        <v>65.86</v>
      </c>
      <c r="K72" s="5">
        <v>-65.86</v>
      </c>
      <c r="L72" s="6" t="s">
        <v>93</v>
      </c>
      <c r="M72" s="46">
        <v>16956.59</v>
      </c>
      <c r="N72" s="27" t="str">
        <f>IF(tblMovimientos[[#This Row],[Tipo de Movimiento]]="Ingreso",tblMovimientos[[#This Row],[Monto (S/)]],"0")</f>
        <v>0</v>
      </c>
      <c r="O72" s="27">
        <f>IF(tblMovimientos[[#This Row],[Tipo de Movimiento]]="Egreso",tblMovimientos[[#This Row],[Monto (S/)]],"0")</f>
        <v>65.86</v>
      </c>
      <c r="P72" s="29">
        <f>IF(tblMovimientos[[#This Row],[Tipo de Movimiento]]="Ingreso",tblMovimientos[[#This Row],[Ingreso]],-tblMovimientos[[#This Row],[Egreso]])</f>
        <v>-65.86</v>
      </c>
    </row>
    <row r="73" spans="2:16" x14ac:dyDescent="0.3">
      <c r="B73" s="41">
        <v>46153</v>
      </c>
      <c r="C73" s="4" t="s">
        <v>35</v>
      </c>
      <c r="D73" s="42" t="s">
        <v>126</v>
      </c>
      <c r="E73" s="4" t="s">
        <v>37</v>
      </c>
      <c r="F73" s="43" t="s">
        <v>10</v>
      </c>
      <c r="G73" s="42" t="s">
        <v>38</v>
      </c>
      <c r="H73" s="4" t="str">
        <f>IFERROR(_xlfn.XLOOKUP(G73,Listas!E:E,Listas!F:F,""),"")</f>
        <v>Operativo</v>
      </c>
      <c r="I73" s="48" t="str">
        <f>IFERROR(_xlfn.XLOOKUP(G73,Listas!E:E,Listas!G:G,""),"")</f>
        <v>Externo</v>
      </c>
      <c r="J73" s="45">
        <v>163</v>
      </c>
      <c r="K73" s="5">
        <v>-163</v>
      </c>
      <c r="L73" s="6" t="s">
        <v>93</v>
      </c>
      <c r="M73" s="46">
        <v>16956.59</v>
      </c>
      <c r="N73" s="27" t="str">
        <f>IF(tblMovimientos[[#This Row],[Tipo de Movimiento]]="Ingreso",tblMovimientos[[#This Row],[Monto (S/)]],"0")</f>
        <v>0</v>
      </c>
      <c r="O73" s="27">
        <f>IF(tblMovimientos[[#This Row],[Tipo de Movimiento]]="Egreso",tblMovimientos[[#This Row],[Monto (S/)]],"0")</f>
        <v>163</v>
      </c>
      <c r="P73" s="29">
        <f>IF(tblMovimientos[[#This Row],[Tipo de Movimiento]]="Ingreso",tblMovimientos[[#This Row],[Ingreso]],-tblMovimientos[[#This Row],[Egreso]])</f>
        <v>-163</v>
      </c>
    </row>
    <row r="74" spans="2:16" x14ac:dyDescent="0.3">
      <c r="B74" s="41">
        <v>46153</v>
      </c>
      <c r="C74" s="4" t="s">
        <v>35</v>
      </c>
      <c r="D74" s="42" t="s">
        <v>126</v>
      </c>
      <c r="E74" s="4" t="s">
        <v>37</v>
      </c>
      <c r="F74" s="43" t="s">
        <v>10</v>
      </c>
      <c r="G74" s="42" t="s">
        <v>38</v>
      </c>
      <c r="H74" s="4" t="str">
        <f>IFERROR(_xlfn.XLOOKUP(G74,Listas!E:E,Listas!F:F,""),"")</f>
        <v>Operativo</v>
      </c>
      <c r="I74" s="48" t="str">
        <f>IFERROR(_xlfn.XLOOKUP(G74,Listas!E:E,Listas!G:G,""),"")</f>
        <v>Externo</v>
      </c>
      <c r="J74" s="45">
        <v>576.79999999999995</v>
      </c>
      <c r="K74" s="5">
        <v>-576.79999999999995</v>
      </c>
      <c r="L74" s="6" t="s">
        <v>93</v>
      </c>
      <c r="M74" s="46">
        <v>16956.59</v>
      </c>
      <c r="N74" s="27" t="str">
        <f>IF(tblMovimientos[[#This Row],[Tipo de Movimiento]]="Ingreso",tblMovimientos[[#This Row],[Monto (S/)]],"0")</f>
        <v>0</v>
      </c>
      <c r="O74" s="27">
        <f>IF(tblMovimientos[[#This Row],[Tipo de Movimiento]]="Egreso",tblMovimientos[[#This Row],[Monto (S/)]],"0")</f>
        <v>576.79999999999995</v>
      </c>
      <c r="P74" s="29">
        <f>IF(tblMovimientos[[#This Row],[Tipo de Movimiento]]="Ingreso",tblMovimientos[[#This Row],[Ingreso]],-tblMovimientos[[#This Row],[Egreso]])</f>
        <v>-576.79999999999995</v>
      </c>
    </row>
    <row r="75" spans="2:16" x14ac:dyDescent="0.3">
      <c r="B75" s="41">
        <v>46153</v>
      </c>
      <c r="C75" s="4" t="s">
        <v>21</v>
      </c>
      <c r="D75" s="42" t="s">
        <v>104</v>
      </c>
      <c r="E75" s="4" t="s">
        <v>37</v>
      </c>
      <c r="F75" s="43" t="s">
        <v>9</v>
      </c>
      <c r="G75" s="42" t="s">
        <v>66</v>
      </c>
      <c r="H75" s="4" t="str">
        <f>IFERROR(_xlfn.XLOOKUP(G75,Listas!E:E,Listas!F:F,""),"")</f>
        <v>Inversion</v>
      </c>
      <c r="I75" s="48" t="str">
        <f>IFERROR(_xlfn.XLOOKUP(G75,Listas!E:E,Listas!G:G,""),"")</f>
        <v>Externo</v>
      </c>
      <c r="J75" s="45">
        <v>239975</v>
      </c>
      <c r="K75" s="5">
        <v>239975</v>
      </c>
      <c r="L75" s="6" t="s">
        <v>93</v>
      </c>
      <c r="M75" s="46">
        <v>386329.18999999936</v>
      </c>
      <c r="N75" s="27">
        <f>IF(tblMovimientos[[#This Row],[Tipo de Movimiento]]="Ingreso",tblMovimientos[[#This Row],[Monto (S/)]],"0")</f>
        <v>239975</v>
      </c>
      <c r="O75" s="27" t="str">
        <f>IF(tblMovimientos[[#This Row],[Tipo de Movimiento]]="Egreso",tblMovimientos[[#This Row],[Monto (S/)]],"0")</f>
        <v>0</v>
      </c>
      <c r="P75" s="29">
        <f>IF(tblMovimientos[[#This Row],[Tipo de Movimiento]]="Ingreso",tblMovimientos[[#This Row],[Ingreso]],-tblMovimientos[[#This Row],[Egreso]])</f>
        <v>239975</v>
      </c>
    </row>
    <row r="76" spans="2:16" x14ac:dyDescent="0.3">
      <c r="B76" s="41">
        <v>46153</v>
      </c>
      <c r="C76" s="4" t="s">
        <v>35</v>
      </c>
      <c r="D76" s="42" t="s">
        <v>126</v>
      </c>
      <c r="E76" s="4" t="s">
        <v>37</v>
      </c>
      <c r="F76" s="43" t="s">
        <v>10</v>
      </c>
      <c r="G76" s="42" t="s">
        <v>38</v>
      </c>
      <c r="H76" s="4" t="str">
        <f>IFERROR(_xlfn.XLOOKUP(G76,Listas!E:E,Listas!F:F,""),"")</f>
        <v>Operativo</v>
      </c>
      <c r="I76" s="48" t="str">
        <f>IFERROR(_xlfn.XLOOKUP(G76,Listas!E:E,Listas!G:G,""),"")</f>
        <v>Externo</v>
      </c>
      <c r="J76" s="45">
        <v>6000</v>
      </c>
      <c r="K76" s="5">
        <v>-6000</v>
      </c>
      <c r="L76" s="6" t="s">
        <v>93</v>
      </c>
      <c r="M76" s="46">
        <v>16956.59</v>
      </c>
      <c r="N76" s="27" t="str">
        <f>IF(tblMovimientos[[#This Row],[Tipo de Movimiento]]="Ingreso",tblMovimientos[[#This Row],[Monto (S/)]],"0")</f>
        <v>0</v>
      </c>
      <c r="O76" s="27">
        <f>IF(tblMovimientos[[#This Row],[Tipo de Movimiento]]="Egreso",tblMovimientos[[#This Row],[Monto (S/)]],"0")</f>
        <v>6000</v>
      </c>
      <c r="P76" s="29">
        <f>IF(tblMovimientos[[#This Row],[Tipo de Movimiento]]="Ingreso",tblMovimientos[[#This Row],[Ingreso]],-tblMovimientos[[#This Row],[Egreso]])</f>
        <v>-6000</v>
      </c>
    </row>
    <row r="77" spans="2:16" x14ac:dyDescent="0.3">
      <c r="B77" s="41">
        <v>46154</v>
      </c>
      <c r="C77" s="4" t="s">
        <v>20</v>
      </c>
      <c r="D77" s="42" t="s">
        <v>100</v>
      </c>
      <c r="E77" s="4" t="s">
        <v>36</v>
      </c>
      <c r="F77" s="43" t="s">
        <v>10</v>
      </c>
      <c r="G77" s="42" t="s">
        <v>61</v>
      </c>
      <c r="H77" s="4" t="str">
        <f>IFERROR(_xlfn.XLOOKUP(G77,Listas!E:E,Listas!F:F,""),"")</f>
        <v>Operativo</v>
      </c>
      <c r="I77" s="48" t="str">
        <f>IFERROR(_xlfn.XLOOKUP(G77,Listas!E:E,Listas!G:G,""),"")</f>
        <v>Externo</v>
      </c>
      <c r="J77" s="45">
        <v>60000</v>
      </c>
      <c r="K77" s="5">
        <v>-60000</v>
      </c>
      <c r="L77" s="6" t="s">
        <v>93</v>
      </c>
      <c r="M77" s="46">
        <v>1226185.8999999999</v>
      </c>
      <c r="N77" s="27" t="str">
        <f>IF(tblMovimientos[[#This Row],[Tipo de Movimiento]]="Ingreso",tblMovimientos[[#This Row],[Monto (S/)]],"0")</f>
        <v>0</v>
      </c>
      <c r="O77" s="27">
        <f>IF(tblMovimientos[[#This Row],[Tipo de Movimiento]]="Egreso",tblMovimientos[[#This Row],[Monto (S/)]],"0")</f>
        <v>60000</v>
      </c>
      <c r="P77" s="29">
        <f>IF(tblMovimientos[[#This Row],[Tipo de Movimiento]]="Ingreso",tblMovimientos[[#This Row],[Ingreso]],-tblMovimientos[[#This Row],[Egreso]])</f>
        <v>-60000</v>
      </c>
    </row>
    <row r="78" spans="2:16" x14ac:dyDescent="0.3">
      <c r="B78" s="41">
        <v>46154</v>
      </c>
      <c r="C78" s="4" t="s">
        <v>20</v>
      </c>
      <c r="D78" s="42" t="s">
        <v>100</v>
      </c>
      <c r="E78" s="4" t="s">
        <v>36</v>
      </c>
      <c r="F78" s="43" t="s">
        <v>10</v>
      </c>
      <c r="G78" s="42" t="s">
        <v>51</v>
      </c>
      <c r="H78" s="4" t="str">
        <f>IFERROR(_xlfn.XLOOKUP(G78,Listas!E:E,Listas!F:F,""),"")</f>
        <v>Financiamiento</v>
      </c>
      <c r="I78" s="48" t="str">
        <f>IFERROR(_xlfn.XLOOKUP(G78,Listas!E:E,Listas!G:G,""),"")</f>
        <v>Externo</v>
      </c>
      <c r="J78" s="45">
        <v>82180.600000000006</v>
      </c>
      <c r="K78" s="5">
        <v>-82180.600000000006</v>
      </c>
      <c r="L78" s="6" t="s">
        <v>93</v>
      </c>
      <c r="M78" s="46">
        <v>1226185.8999999999</v>
      </c>
      <c r="N78" s="27" t="str">
        <f>IF(tblMovimientos[[#This Row],[Tipo de Movimiento]]="Ingreso",tblMovimientos[[#This Row],[Monto (S/)]],"0")</f>
        <v>0</v>
      </c>
      <c r="O78" s="27">
        <f>IF(tblMovimientos[[#This Row],[Tipo de Movimiento]]="Egreso",tblMovimientos[[#This Row],[Monto (S/)]],"0")</f>
        <v>82180.600000000006</v>
      </c>
      <c r="P78" s="29">
        <f>IF(tblMovimientos[[#This Row],[Tipo de Movimiento]]="Ingreso",tblMovimientos[[#This Row],[Ingreso]],-tblMovimientos[[#This Row],[Egreso]])</f>
        <v>-82180.600000000006</v>
      </c>
    </row>
    <row r="79" spans="2:16" x14ac:dyDescent="0.3">
      <c r="B79" s="41">
        <v>46154</v>
      </c>
      <c r="C79" s="4" t="s">
        <v>17</v>
      </c>
      <c r="D79" s="42" t="s">
        <v>94</v>
      </c>
      <c r="E79" s="4" t="s">
        <v>36</v>
      </c>
      <c r="F79" s="43" t="s">
        <v>9</v>
      </c>
      <c r="G79" s="42" t="s">
        <v>68</v>
      </c>
      <c r="H79" s="4" t="str">
        <f>IFERROR(_xlfn.XLOOKUP(G79,Listas!E:E,Listas!F:F,""),"")</f>
        <v>Operativo</v>
      </c>
      <c r="I79" s="48" t="str">
        <f>IFERROR(_xlfn.XLOOKUP(G79,Listas!E:E,Listas!G:G,""),"")</f>
        <v>Externo</v>
      </c>
      <c r="J79" s="45">
        <v>93805.54</v>
      </c>
      <c r="K79" s="5">
        <v>93805.54</v>
      </c>
      <c r="L79" s="6" t="s">
        <v>93</v>
      </c>
      <c r="M79" s="46">
        <v>161658.90999999997</v>
      </c>
      <c r="N79" s="27">
        <f>IF(tblMovimientos[[#This Row],[Tipo de Movimiento]]="Ingreso",tblMovimientos[[#This Row],[Monto (S/)]],"0")</f>
        <v>93805.54</v>
      </c>
      <c r="O79" s="27" t="str">
        <f>IF(tblMovimientos[[#This Row],[Tipo de Movimiento]]="Egreso",tblMovimientos[[#This Row],[Monto (S/)]],"0")</f>
        <v>0</v>
      </c>
      <c r="P79" s="29">
        <f>IF(tblMovimientos[[#This Row],[Tipo de Movimiento]]="Ingreso",tblMovimientos[[#This Row],[Ingreso]],-tblMovimientos[[#This Row],[Egreso]])</f>
        <v>93805.54</v>
      </c>
    </row>
    <row r="80" spans="2:16" x14ac:dyDescent="0.3">
      <c r="B80" s="41">
        <v>46154</v>
      </c>
      <c r="C80" s="4" t="s">
        <v>35</v>
      </c>
      <c r="D80" s="42" t="s">
        <v>126</v>
      </c>
      <c r="E80" s="4" t="s">
        <v>37</v>
      </c>
      <c r="F80" s="43" t="s">
        <v>10</v>
      </c>
      <c r="G80" s="42" t="s">
        <v>38</v>
      </c>
      <c r="H80" s="4" t="str">
        <f>IFERROR(_xlfn.XLOOKUP(G80,Listas!E:E,Listas!F:F,""),"")</f>
        <v>Operativo</v>
      </c>
      <c r="I80" s="48" t="str">
        <f>IFERROR(_xlfn.XLOOKUP(G80,Listas!E:E,Listas!G:G,""),"")</f>
        <v>Externo</v>
      </c>
      <c r="J80" s="45">
        <v>215</v>
      </c>
      <c r="K80" s="5">
        <v>-215</v>
      </c>
      <c r="L80" s="6" t="s">
        <v>93</v>
      </c>
      <c r="M80" s="46">
        <v>16741.59</v>
      </c>
      <c r="N80" s="27" t="str">
        <f>IF(tblMovimientos[[#This Row],[Tipo de Movimiento]]="Ingreso",tblMovimientos[[#This Row],[Monto (S/)]],"0")</f>
        <v>0</v>
      </c>
      <c r="O80" s="27">
        <f>IF(tblMovimientos[[#This Row],[Tipo de Movimiento]]="Egreso",tblMovimientos[[#This Row],[Monto (S/)]],"0")</f>
        <v>215</v>
      </c>
      <c r="P80" s="29">
        <f>IF(tblMovimientos[[#This Row],[Tipo de Movimiento]]="Ingreso",tblMovimientos[[#This Row],[Ingreso]],-tblMovimientos[[#This Row],[Egreso]])</f>
        <v>-215</v>
      </c>
    </row>
    <row r="81" spans="2:16" x14ac:dyDescent="0.3">
      <c r="B81" s="41">
        <v>46154</v>
      </c>
      <c r="C81" s="4" t="s">
        <v>17</v>
      </c>
      <c r="D81" s="42" t="s">
        <v>96</v>
      </c>
      <c r="E81" s="4" t="s">
        <v>152</v>
      </c>
      <c r="F81" s="43" t="s">
        <v>10</v>
      </c>
      <c r="G81" s="42" t="s">
        <v>38</v>
      </c>
      <c r="H81" s="4" t="str">
        <f>IFERROR(_xlfn.XLOOKUP(G81,Listas!E:E,Listas!F:F,""),"")</f>
        <v>Operativo</v>
      </c>
      <c r="I81" s="48" t="str">
        <f>IFERROR(_xlfn.XLOOKUP(G81,Listas!E:E,Listas!G:G,""),"")</f>
        <v>Externo</v>
      </c>
      <c r="J81" s="45">
        <v>18.82</v>
      </c>
      <c r="K81" s="5">
        <v>-18.82</v>
      </c>
      <c r="L81" s="6" t="s">
        <v>93</v>
      </c>
      <c r="M81" s="46">
        <v>5256.0300000000007</v>
      </c>
      <c r="N81" s="27" t="str">
        <f>IF(tblMovimientos[[#This Row],[Tipo de Movimiento]]="Ingreso",tblMovimientos[[#This Row],[Monto (S/)]],"0")</f>
        <v>0</v>
      </c>
      <c r="O81" s="27">
        <f>IF(tblMovimientos[[#This Row],[Tipo de Movimiento]]="Egreso",tblMovimientos[[#This Row],[Monto (S/)]],"0")</f>
        <v>18.82</v>
      </c>
      <c r="P81" s="29">
        <f>IF(tblMovimientos[[#This Row],[Tipo de Movimiento]]="Ingreso",tblMovimientos[[#This Row],[Ingreso]],-tblMovimientos[[#This Row],[Egreso]])</f>
        <v>-18.82</v>
      </c>
    </row>
    <row r="82" spans="2:16" x14ac:dyDescent="0.3">
      <c r="B82" s="41">
        <v>46154</v>
      </c>
      <c r="C82" s="4" t="s">
        <v>21</v>
      </c>
      <c r="D82" s="42" t="s">
        <v>105</v>
      </c>
      <c r="E82" s="4" t="s">
        <v>152</v>
      </c>
      <c r="F82" s="43" t="s">
        <v>10</v>
      </c>
      <c r="G82" s="42" t="s">
        <v>38</v>
      </c>
      <c r="H82" s="4" t="str">
        <f>IFERROR(_xlfn.XLOOKUP(G82,Listas!E:E,Listas!F:F,""),"")</f>
        <v>Operativo</v>
      </c>
      <c r="I82" s="48" t="str">
        <f>IFERROR(_xlfn.XLOOKUP(G82,Listas!E:E,Listas!G:G,""),"")</f>
        <v>Externo</v>
      </c>
      <c r="J82" s="45">
        <v>108.91</v>
      </c>
      <c r="K82" s="5">
        <v>-108.91</v>
      </c>
      <c r="L82" s="6" t="s">
        <v>93</v>
      </c>
      <c r="M82" s="46">
        <v>4761.2</v>
      </c>
      <c r="N82" s="27" t="str">
        <f>IF(tblMovimientos[[#This Row],[Tipo de Movimiento]]="Ingreso",tblMovimientos[[#This Row],[Monto (S/)]],"0")</f>
        <v>0</v>
      </c>
      <c r="O82" s="27">
        <f>IF(tblMovimientos[[#This Row],[Tipo de Movimiento]]="Egreso",tblMovimientos[[#This Row],[Monto (S/)]],"0")</f>
        <v>108.91</v>
      </c>
      <c r="P82" s="29">
        <f>IF(tblMovimientos[[#This Row],[Tipo de Movimiento]]="Ingreso",tblMovimientos[[#This Row],[Ingreso]],-tblMovimientos[[#This Row],[Egreso]])</f>
        <v>-108.91</v>
      </c>
    </row>
    <row r="83" spans="2:16" x14ac:dyDescent="0.3">
      <c r="B83" s="41">
        <v>46155</v>
      </c>
      <c r="C83" s="4" t="s">
        <v>20</v>
      </c>
      <c r="D83" s="42" t="s">
        <v>100</v>
      </c>
      <c r="E83" s="4" t="s">
        <v>36</v>
      </c>
      <c r="F83" s="43" t="s">
        <v>9</v>
      </c>
      <c r="G83" s="42" t="s">
        <v>68</v>
      </c>
      <c r="H83" s="4" t="str">
        <f>IFERROR(_xlfn.XLOOKUP(G83,Listas!E:E,Listas!F:F,""),"")</f>
        <v>Operativo</v>
      </c>
      <c r="I83" s="48" t="str">
        <f>IFERROR(_xlfn.XLOOKUP(G83,Listas!E:E,Listas!G:G,""),"")</f>
        <v>Externo</v>
      </c>
      <c r="J83" s="45">
        <v>16493.77</v>
      </c>
      <c r="K83" s="5">
        <v>16493.77</v>
      </c>
      <c r="L83" s="6" t="s">
        <v>93</v>
      </c>
      <c r="M83" s="46">
        <v>1242679.67</v>
      </c>
      <c r="N83" s="27">
        <f>IF(tblMovimientos[[#This Row],[Tipo de Movimiento]]="Ingreso",tblMovimientos[[#This Row],[Monto (S/)]],"0")</f>
        <v>16493.77</v>
      </c>
      <c r="O83" s="27" t="str">
        <f>IF(tblMovimientos[[#This Row],[Tipo de Movimiento]]="Egreso",tblMovimientos[[#This Row],[Monto (S/)]],"0")</f>
        <v>0</v>
      </c>
      <c r="P83" s="29">
        <f>IF(tblMovimientos[[#This Row],[Tipo de Movimiento]]="Ingreso",tblMovimientos[[#This Row],[Ingreso]],-tblMovimientos[[#This Row],[Egreso]])</f>
        <v>16493.77</v>
      </c>
    </row>
    <row r="84" spans="2:16" x14ac:dyDescent="0.3">
      <c r="B84" s="41">
        <v>46155</v>
      </c>
      <c r="C84" s="4" t="s">
        <v>31</v>
      </c>
      <c r="D84" s="42" t="s">
        <v>121</v>
      </c>
      <c r="E84" s="4" t="s">
        <v>36</v>
      </c>
      <c r="F84" s="43" t="s">
        <v>10</v>
      </c>
      <c r="G84" s="42" t="s">
        <v>38</v>
      </c>
      <c r="H84" s="4" t="str">
        <f>IFERROR(_xlfn.XLOOKUP(G84,Listas!E:E,Listas!F:F,""),"")</f>
        <v>Operativo</v>
      </c>
      <c r="I84" s="48" t="str">
        <f>IFERROR(_xlfn.XLOOKUP(G84,Listas!E:E,Listas!G:G,""),"")</f>
        <v>Externo</v>
      </c>
      <c r="J84" s="45">
        <v>850</v>
      </c>
      <c r="K84" s="5">
        <v>-850</v>
      </c>
      <c r="L84" s="6" t="s">
        <v>93</v>
      </c>
      <c r="M84" s="46">
        <v>17902.179999999964</v>
      </c>
      <c r="N84" s="27" t="str">
        <f>IF(tblMovimientos[[#This Row],[Tipo de Movimiento]]="Ingreso",tblMovimientos[[#This Row],[Monto (S/)]],"0")</f>
        <v>0</v>
      </c>
      <c r="O84" s="27">
        <f>IF(tblMovimientos[[#This Row],[Tipo de Movimiento]]="Egreso",tblMovimientos[[#This Row],[Monto (S/)]],"0")</f>
        <v>850</v>
      </c>
      <c r="P84" s="29">
        <f>IF(tblMovimientos[[#This Row],[Tipo de Movimiento]]="Ingreso",tblMovimientos[[#This Row],[Ingreso]],-tblMovimientos[[#This Row],[Egreso]])</f>
        <v>-850</v>
      </c>
    </row>
    <row r="85" spans="2:16" x14ac:dyDescent="0.3">
      <c r="B85" s="41">
        <v>46155</v>
      </c>
      <c r="C85" s="4" t="s">
        <v>23</v>
      </c>
      <c r="D85" s="42" t="s">
        <v>112</v>
      </c>
      <c r="E85" s="4" t="s">
        <v>36</v>
      </c>
      <c r="F85" s="43" t="s">
        <v>9</v>
      </c>
      <c r="G85" s="42" t="s">
        <v>87</v>
      </c>
      <c r="H85" s="4" t="str">
        <f>IFERROR(_xlfn.XLOOKUP(G85,Listas!E:E,Listas!F:F,""),"")</f>
        <v>Operativo</v>
      </c>
      <c r="I85" s="48" t="str">
        <f>IFERROR(_xlfn.XLOOKUP(G85,Listas!E:E,Listas!G:G,""),"")</f>
        <v>Externo</v>
      </c>
      <c r="J85" s="45">
        <v>1.78</v>
      </c>
      <c r="K85" s="5">
        <v>1.78</v>
      </c>
      <c r="L85" s="6" t="s">
        <v>93</v>
      </c>
      <c r="M85" s="46">
        <v>13090.369999999997</v>
      </c>
      <c r="N85" s="27">
        <f>IF(tblMovimientos[[#This Row],[Tipo de Movimiento]]="Ingreso",tblMovimientos[[#This Row],[Monto (S/)]],"0")</f>
        <v>1.78</v>
      </c>
      <c r="O85" s="27" t="str">
        <f>IF(tblMovimientos[[#This Row],[Tipo de Movimiento]]="Egreso",tblMovimientos[[#This Row],[Monto (S/)]],"0")</f>
        <v>0</v>
      </c>
      <c r="P85" s="29">
        <f>IF(tblMovimientos[[#This Row],[Tipo de Movimiento]]="Ingreso",tblMovimientos[[#This Row],[Ingreso]],-tblMovimientos[[#This Row],[Egreso]])</f>
        <v>1.78</v>
      </c>
    </row>
    <row r="86" spans="2:16" x14ac:dyDescent="0.3">
      <c r="B86" s="41">
        <v>46155</v>
      </c>
      <c r="C86" s="4" t="s">
        <v>24</v>
      </c>
      <c r="D86" s="42" t="s">
        <v>113</v>
      </c>
      <c r="E86" s="4" t="s">
        <v>154</v>
      </c>
      <c r="F86" s="43" t="s">
        <v>10</v>
      </c>
      <c r="G86" s="42" t="s">
        <v>38</v>
      </c>
      <c r="H86" s="4" t="str">
        <f>IFERROR(_xlfn.XLOOKUP(G86,Listas!E:E,Listas!F:F,""),"")</f>
        <v>Operativo</v>
      </c>
      <c r="I86" s="48" t="str">
        <f>IFERROR(_xlfn.XLOOKUP(G86,Listas!E:E,Listas!G:G,""),"")</f>
        <v>Externo</v>
      </c>
      <c r="J86" s="45">
        <v>1270.43</v>
      </c>
      <c r="K86" s="5">
        <v>-1270.43</v>
      </c>
      <c r="L86" s="6" t="s">
        <v>93</v>
      </c>
      <c r="M86" s="46">
        <v>2498.3999999999996</v>
      </c>
      <c r="N86" s="27" t="str">
        <f>IF(tblMovimientos[[#This Row],[Tipo de Movimiento]]="Ingreso",tblMovimientos[[#This Row],[Monto (S/)]],"0")</f>
        <v>0</v>
      </c>
      <c r="O86" s="27">
        <f>IF(tblMovimientos[[#This Row],[Tipo de Movimiento]]="Egreso",tblMovimientos[[#This Row],[Monto (S/)]],"0")</f>
        <v>1270.43</v>
      </c>
      <c r="P86" s="29">
        <f>IF(tblMovimientos[[#This Row],[Tipo de Movimiento]]="Ingreso",tblMovimientos[[#This Row],[Ingreso]],-tblMovimientos[[#This Row],[Egreso]])</f>
        <v>-1270.43</v>
      </c>
    </row>
    <row r="87" spans="2:16" x14ac:dyDescent="0.3">
      <c r="B87" s="41">
        <v>46156</v>
      </c>
      <c r="C87" s="4" t="s">
        <v>35</v>
      </c>
      <c r="D87" s="42" t="s">
        <v>126</v>
      </c>
      <c r="E87" s="4" t="s">
        <v>37</v>
      </c>
      <c r="F87" s="43" t="s">
        <v>10</v>
      </c>
      <c r="G87" s="42" t="s">
        <v>44</v>
      </c>
      <c r="H87" s="4" t="str">
        <f>IFERROR(_xlfn.XLOOKUP(G87,Listas!E:E,Listas!F:F,""),"")</f>
        <v>Operativo</v>
      </c>
      <c r="I87" s="48" t="str">
        <f>IFERROR(_xlfn.XLOOKUP(G87,Listas!E:E,Listas!G:G,""),"")</f>
        <v>Externo</v>
      </c>
      <c r="J87" s="45">
        <v>15</v>
      </c>
      <c r="K87" s="5">
        <v>-15</v>
      </c>
      <c r="L87" s="6" t="s">
        <v>93</v>
      </c>
      <c r="M87" s="46">
        <v>14226.59</v>
      </c>
      <c r="N87" s="27" t="str">
        <f>IF(tblMovimientos[[#This Row],[Tipo de Movimiento]]="Ingreso",tblMovimientos[[#This Row],[Monto (S/)]],"0")</f>
        <v>0</v>
      </c>
      <c r="O87" s="27">
        <f>IF(tblMovimientos[[#This Row],[Tipo de Movimiento]]="Egreso",tblMovimientos[[#This Row],[Monto (S/)]],"0")</f>
        <v>15</v>
      </c>
      <c r="P87" s="29">
        <f>IF(tblMovimientos[[#This Row],[Tipo de Movimiento]]="Ingreso",tblMovimientos[[#This Row],[Ingreso]],-tblMovimientos[[#This Row],[Egreso]])</f>
        <v>-15</v>
      </c>
    </row>
    <row r="88" spans="2:16" x14ac:dyDescent="0.3">
      <c r="B88" s="41">
        <v>46156</v>
      </c>
      <c r="C88" s="4" t="s">
        <v>21</v>
      </c>
      <c r="D88" s="42" t="s">
        <v>104</v>
      </c>
      <c r="E88" s="4" t="s">
        <v>37</v>
      </c>
      <c r="F88" s="43" t="s">
        <v>10</v>
      </c>
      <c r="G88" s="42" t="s">
        <v>38</v>
      </c>
      <c r="H88" s="4" t="str">
        <f>IFERROR(_xlfn.XLOOKUP(G88,Listas!E:E,Listas!F:F,""),"")</f>
        <v>Operativo</v>
      </c>
      <c r="I88" s="48" t="str">
        <f>IFERROR(_xlfn.XLOOKUP(G88,Listas!E:E,Listas!G:G,""),"")</f>
        <v>Externo</v>
      </c>
      <c r="J88" s="45">
        <v>295</v>
      </c>
      <c r="K88" s="5">
        <v>-295</v>
      </c>
      <c r="L88" s="6" t="s">
        <v>93</v>
      </c>
      <c r="M88" s="46">
        <v>176117.51999999938</v>
      </c>
      <c r="N88" s="27" t="str">
        <f>IF(tblMovimientos[[#This Row],[Tipo de Movimiento]]="Ingreso",tblMovimientos[[#This Row],[Monto (S/)]],"0")</f>
        <v>0</v>
      </c>
      <c r="O88" s="27">
        <f>IF(tblMovimientos[[#This Row],[Tipo de Movimiento]]="Egreso",tblMovimientos[[#This Row],[Monto (S/)]],"0")</f>
        <v>295</v>
      </c>
      <c r="P88" s="29">
        <f>IF(tblMovimientos[[#This Row],[Tipo de Movimiento]]="Ingreso",tblMovimientos[[#This Row],[Ingreso]],-tblMovimientos[[#This Row],[Egreso]])</f>
        <v>-295</v>
      </c>
    </row>
    <row r="89" spans="2:16" x14ac:dyDescent="0.3">
      <c r="B89" s="41">
        <v>46156</v>
      </c>
      <c r="C89" s="4" t="s">
        <v>21</v>
      </c>
      <c r="D89" s="42" t="s">
        <v>104</v>
      </c>
      <c r="E89" s="4" t="s">
        <v>37</v>
      </c>
      <c r="F89" s="43" t="s">
        <v>10</v>
      </c>
      <c r="G89" s="42" t="s">
        <v>46</v>
      </c>
      <c r="H89" s="4" t="str">
        <f>IFERROR(_xlfn.XLOOKUP(G89,Listas!E:E,Listas!F:F,""),"")</f>
        <v>Financiamiento</v>
      </c>
      <c r="I89" s="48" t="str">
        <f>IFERROR(_xlfn.XLOOKUP(G89,Listas!E:E,Listas!G:G,""),"")</f>
        <v>Externo</v>
      </c>
      <c r="J89" s="45">
        <v>7083.33</v>
      </c>
      <c r="K89" s="5">
        <v>-7083.33</v>
      </c>
      <c r="L89" s="6" t="s">
        <v>93</v>
      </c>
      <c r="M89" s="46">
        <v>176117.51999999938</v>
      </c>
      <c r="N89" s="27" t="str">
        <f>IF(tblMovimientos[[#This Row],[Tipo de Movimiento]]="Ingreso",tblMovimientos[[#This Row],[Monto (S/)]],"0")</f>
        <v>0</v>
      </c>
      <c r="O89" s="27">
        <f>IF(tblMovimientos[[#This Row],[Tipo de Movimiento]]="Egreso",tblMovimientos[[#This Row],[Monto (S/)]],"0")</f>
        <v>7083.33</v>
      </c>
      <c r="P89" s="29">
        <f>IF(tblMovimientos[[#This Row],[Tipo de Movimiento]]="Ingreso",tblMovimientos[[#This Row],[Ingreso]],-tblMovimientos[[#This Row],[Egreso]])</f>
        <v>-7083.33</v>
      </c>
    </row>
    <row r="90" spans="2:16" x14ac:dyDescent="0.3">
      <c r="B90" s="41">
        <v>46156</v>
      </c>
      <c r="C90" s="4" t="s">
        <v>20</v>
      </c>
      <c r="D90" s="42" t="s">
        <v>100</v>
      </c>
      <c r="E90" s="4" t="s">
        <v>36</v>
      </c>
      <c r="F90" s="43" t="s">
        <v>10</v>
      </c>
      <c r="G90" s="42" t="s">
        <v>61</v>
      </c>
      <c r="H90" s="4" t="str">
        <f>IFERROR(_xlfn.XLOOKUP(G90,Listas!E:E,Listas!F:F,""),"")</f>
        <v>Operativo</v>
      </c>
      <c r="I90" s="48" t="str">
        <f>IFERROR(_xlfn.XLOOKUP(G90,Listas!E:E,Listas!G:G,""),"")</f>
        <v>Externo</v>
      </c>
      <c r="J90" s="45">
        <v>200000</v>
      </c>
      <c r="K90" s="5">
        <v>-200000</v>
      </c>
      <c r="L90" s="6" t="s">
        <v>93</v>
      </c>
      <c r="M90" s="46">
        <v>832679.66999999981</v>
      </c>
      <c r="N90" s="27" t="str">
        <f>IF(tblMovimientos[[#This Row],[Tipo de Movimiento]]="Ingreso",tblMovimientos[[#This Row],[Monto (S/)]],"0")</f>
        <v>0</v>
      </c>
      <c r="O90" s="27">
        <f>IF(tblMovimientos[[#This Row],[Tipo de Movimiento]]="Egreso",tblMovimientos[[#This Row],[Monto (S/)]],"0")</f>
        <v>200000</v>
      </c>
      <c r="P90" s="29">
        <f>IF(tblMovimientos[[#This Row],[Tipo de Movimiento]]="Ingreso",tblMovimientos[[#This Row],[Ingreso]],-tblMovimientos[[#This Row],[Egreso]])</f>
        <v>-200000</v>
      </c>
    </row>
    <row r="91" spans="2:16" x14ac:dyDescent="0.3">
      <c r="B91" s="41">
        <v>46156</v>
      </c>
      <c r="C91" s="4" t="s">
        <v>20</v>
      </c>
      <c r="D91" s="42" t="s">
        <v>100</v>
      </c>
      <c r="E91" s="4" t="s">
        <v>36</v>
      </c>
      <c r="F91" s="43" t="s">
        <v>10</v>
      </c>
      <c r="G91" s="42" t="s">
        <v>61</v>
      </c>
      <c r="H91" s="4" t="str">
        <f>IFERROR(_xlfn.XLOOKUP(G91,Listas!E:E,Listas!F:F,""),"")</f>
        <v>Operativo</v>
      </c>
      <c r="I91" s="48" t="str">
        <f>IFERROR(_xlfn.XLOOKUP(G91,Listas!E:E,Listas!G:G,""),"")</f>
        <v>Externo</v>
      </c>
      <c r="J91" s="45">
        <v>60000</v>
      </c>
      <c r="K91" s="5">
        <v>-60000</v>
      </c>
      <c r="L91" s="6" t="s">
        <v>93</v>
      </c>
      <c r="M91" s="46">
        <v>832679.66999999981</v>
      </c>
      <c r="N91" s="27" t="str">
        <f>IF(tblMovimientos[[#This Row],[Tipo de Movimiento]]="Ingreso",tblMovimientos[[#This Row],[Monto (S/)]],"0")</f>
        <v>0</v>
      </c>
      <c r="O91" s="27">
        <f>IF(tblMovimientos[[#This Row],[Tipo de Movimiento]]="Egreso",tblMovimientos[[#This Row],[Monto (S/)]],"0")</f>
        <v>60000</v>
      </c>
      <c r="P91" s="29">
        <f>IF(tblMovimientos[[#This Row],[Tipo de Movimiento]]="Ingreso",tblMovimientos[[#This Row],[Ingreso]],-tblMovimientos[[#This Row],[Egreso]])</f>
        <v>-60000</v>
      </c>
    </row>
    <row r="92" spans="2:16" x14ac:dyDescent="0.3">
      <c r="B92" s="41">
        <v>46156</v>
      </c>
      <c r="C92" s="4" t="s">
        <v>20</v>
      </c>
      <c r="D92" s="42" t="s">
        <v>100</v>
      </c>
      <c r="E92" s="4" t="s">
        <v>36</v>
      </c>
      <c r="F92" s="43" t="s">
        <v>10</v>
      </c>
      <c r="G92" s="42" t="s">
        <v>61</v>
      </c>
      <c r="H92" s="4" t="str">
        <f>IFERROR(_xlfn.XLOOKUP(G92,Listas!E:E,Listas!F:F,""),"")</f>
        <v>Operativo</v>
      </c>
      <c r="I92" s="48" t="str">
        <f>IFERROR(_xlfn.XLOOKUP(G92,Listas!E:E,Listas!G:G,""),"")</f>
        <v>Externo</v>
      </c>
      <c r="J92" s="45">
        <v>150000</v>
      </c>
      <c r="K92" s="5">
        <v>-150000</v>
      </c>
      <c r="L92" s="6" t="s">
        <v>93</v>
      </c>
      <c r="M92" s="46">
        <v>832679.66999999981</v>
      </c>
      <c r="N92" s="27" t="str">
        <f>IF(tblMovimientos[[#This Row],[Tipo de Movimiento]]="Ingreso",tblMovimientos[[#This Row],[Monto (S/)]],"0")</f>
        <v>0</v>
      </c>
      <c r="O92" s="27">
        <f>IF(tblMovimientos[[#This Row],[Tipo de Movimiento]]="Egreso",tblMovimientos[[#This Row],[Monto (S/)]],"0")</f>
        <v>150000</v>
      </c>
      <c r="P92" s="29">
        <f>IF(tblMovimientos[[#This Row],[Tipo de Movimiento]]="Ingreso",tblMovimientos[[#This Row],[Ingreso]],-tblMovimientos[[#This Row],[Egreso]])</f>
        <v>-150000</v>
      </c>
    </row>
    <row r="93" spans="2:16" x14ac:dyDescent="0.3">
      <c r="B93" s="41">
        <v>46156</v>
      </c>
      <c r="C93" s="4" t="s">
        <v>17</v>
      </c>
      <c r="D93" s="42" t="s">
        <v>94</v>
      </c>
      <c r="E93" s="4" t="s">
        <v>36</v>
      </c>
      <c r="F93" s="43" t="s">
        <v>10</v>
      </c>
      <c r="G93" s="42" t="s">
        <v>61</v>
      </c>
      <c r="H93" s="4" t="str">
        <f>IFERROR(_xlfn.XLOOKUP(G93,Listas!E:E,Listas!F:F,""),"")</f>
        <v>Operativo</v>
      </c>
      <c r="I93" s="48" t="str">
        <f>IFERROR(_xlfn.XLOOKUP(G93,Listas!E:E,Listas!G:G,""),"")</f>
        <v>Externo</v>
      </c>
      <c r="J93" s="45">
        <v>100000</v>
      </c>
      <c r="K93" s="5">
        <v>-100000</v>
      </c>
      <c r="L93" s="6" t="s">
        <v>93</v>
      </c>
      <c r="M93" s="46">
        <v>11613.909999999974</v>
      </c>
      <c r="N93" s="27" t="str">
        <f>IF(tblMovimientos[[#This Row],[Tipo de Movimiento]]="Ingreso",tblMovimientos[[#This Row],[Monto (S/)]],"0")</f>
        <v>0</v>
      </c>
      <c r="O93" s="27">
        <f>IF(tblMovimientos[[#This Row],[Tipo de Movimiento]]="Egreso",tblMovimientos[[#This Row],[Monto (S/)]],"0")</f>
        <v>100000</v>
      </c>
      <c r="P93" s="29">
        <f>IF(tblMovimientos[[#This Row],[Tipo de Movimiento]]="Ingreso",tblMovimientos[[#This Row],[Ingreso]],-tblMovimientos[[#This Row],[Egreso]])</f>
        <v>-100000</v>
      </c>
    </row>
    <row r="94" spans="2:16" x14ac:dyDescent="0.3">
      <c r="B94" s="41">
        <v>46156</v>
      </c>
      <c r="C94" s="4" t="s">
        <v>17</v>
      </c>
      <c r="D94" s="42" t="s">
        <v>94</v>
      </c>
      <c r="E94" s="4" t="s">
        <v>36</v>
      </c>
      <c r="F94" s="43" t="s">
        <v>10</v>
      </c>
      <c r="G94" s="42" t="s">
        <v>64</v>
      </c>
      <c r="H94" s="4" t="str">
        <f>IFERROR(_xlfn.XLOOKUP(G94,Listas!E:E,Listas!F:F,""),"")</f>
        <v>Operativo</v>
      </c>
      <c r="I94" s="48" t="str">
        <f>IFERROR(_xlfn.XLOOKUP(G94,Listas!E:E,Listas!G:G,""),"")</f>
        <v>Interno</v>
      </c>
      <c r="J94" s="45">
        <v>50000</v>
      </c>
      <c r="K94" s="5">
        <v>-50000</v>
      </c>
      <c r="L94" s="6" t="s">
        <v>93</v>
      </c>
      <c r="M94" s="46">
        <v>11613.909999999974</v>
      </c>
      <c r="N94" s="27" t="str">
        <f>IF(tblMovimientos[[#This Row],[Tipo de Movimiento]]="Ingreso",tblMovimientos[[#This Row],[Monto (S/)]],"0")</f>
        <v>0</v>
      </c>
      <c r="O94" s="27">
        <f>IF(tblMovimientos[[#This Row],[Tipo de Movimiento]]="Egreso",tblMovimientos[[#This Row],[Monto (S/)]],"0")</f>
        <v>50000</v>
      </c>
      <c r="P94" s="29">
        <f>IF(tblMovimientos[[#This Row],[Tipo de Movimiento]]="Ingreso",tblMovimientos[[#This Row],[Ingreso]],-tblMovimientos[[#This Row],[Egreso]])</f>
        <v>-50000</v>
      </c>
    </row>
    <row r="95" spans="2:16" x14ac:dyDescent="0.3">
      <c r="B95" s="41">
        <v>46156</v>
      </c>
      <c r="C95" s="4" t="s">
        <v>17</v>
      </c>
      <c r="D95" s="42" t="s">
        <v>94</v>
      </c>
      <c r="E95" s="4" t="s">
        <v>36</v>
      </c>
      <c r="F95" s="43" t="s">
        <v>10</v>
      </c>
      <c r="G95" s="42" t="s">
        <v>44</v>
      </c>
      <c r="H95" s="4" t="str">
        <f>IFERROR(_xlfn.XLOOKUP(G95,Listas!E:E,Listas!F:F,""),"")</f>
        <v>Operativo</v>
      </c>
      <c r="I95" s="48" t="str">
        <f>IFERROR(_xlfn.XLOOKUP(G95,Listas!E:E,Listas!G:G,""),"")</f>
        <v>Externo</v>
      </c>
      <c r="J95" s="45">
        <v>45</v>
      </c>
      <c r="K95" s="5">
        <v>-45</v>
      </c>
      <c r="L95" s="6" t="s">
        <v>93</v>
      </c>
      <c r="M95" s="46">
        <v>11613.909999999974</v>
      </c>
      <c r="N95" s="27" t="str">
        <f>IF(tblMovimientos[[#This Row],[Tipo de Movimiento]]="Ingreso",tblMovimientos[[#This Row],[Monto (S/)]],"0")</f>
        <v>0</v>
      </c>
      <c r="O95" s="27">
        <f>IF(tblMovimientos[[#This Row],[Tipo de Movimiento]]="Egreso",tblMovimientos[[#This Row],[Monto (S/)]],"0")</f>
        <v>45</v>
      </c>
      <c r="P95" s="29">
        <f>IF(tblMovimientos[[#This Row],[Tipo de Movimiento]]="Ingreso",tblMovimientos[[#This Row],[Ingreso]],-tblMovimientos[[#This Row],[Egreso]])</f>
        <v>-45</v>
      </c>
    </row>
    <row r="96" spans="2:16" x14ac:dyDescent="0.3">
      <c r="B96" s="41">
        <v>46156</v>
      </c>
      <c r="C96" s="4" t="s">
        <v>18</v>
      </c>
      <c r="D96" s="42" t="s">
        <v>97</v>
      </c>
      <c r="E96" s="4" t="s">
        <v>37</v>
      </c>
      <c r="F96" s="43" t="s">
        <v>9</v>
      </c>
      <c r="G96" s="42" t="s">
        <v>68</v>
      </c>
      <c r="H96" s="4" t="str">
        <f>IFERROR(_xlfn.XLOOKUP(G96,Listas!E:E,Listas!F:F,""),"")</f>
        <v>Operativo</v>
      </c>
      <c r="I96" s="48" t="str">
        <f>IFERROR(_xlfn.XLOOKUP(G96,Listas!E:E,Listas!G:G,""),"")</f>
        <v>Externo</v>
      </c>
      <c r="J96" s="45">
        <v>920.07</v>
      </c>
      <c r="K96" s="5">
        <v>920.07</v>
      </c>
      <c r="L96" s="6" t="s">
        <v>93</v>
      </c>
      <c r="M96" s="46">
        <v>54760.159999999938</v>
      </c>
      <c r="N96" s="27">
        <f>IF(tblMovimientos[[#This Row],[Tipo de Movimiento]]="Ingreso",tblMovimientos[[#This Row],[Monto (S/)]],"0")</f>
        <v>920.07</v>
      </c>
      <c r="O96" s="27" t="str">
        <f>IF(tblMovimientos[[#This Row],[Tipo de Movimiento]]="Egreso",tblMovimientos[[#This Row],[Monto (S/)]],"0")</f>
        <v>0</v>
      </c>
      <c r="P96" s="29">
        <f>IF(tblMovimientos[[#This Row],[Tipo de Movimiento]]="Ingreso",tblMovimientos[[#This Row],[Ingreso]],-tblMovimientos[[#This Row],[Egreso]])</f>
        <v>920.07</v>
      </c>
    </row>
    <row r="97" spans="2:16" x14ac:dyDescent="0.3">
      <c r="B97" s="41">
        <v>46156</v>
      </c>
      <c r="C97" s="4" t="s">
        <v>17</v>
      </c>
      <c r="D97" s="42" t="s">
        <v>95</v>
      </c>
      <c r="E97" s="4" t="s">
        <v>37</v>
      </c>
      <c r="F97" s="43" t="s">
        <v>9</v>
      </c>
      <c r="G97" s="42" t="s">
        <v>85</v>
      </c>
      <c r="H97" s="4" t="str">
        <f>IFERROR(_xlfn.XLOOKUP(G97,Listas!E:E,Listas!F:F,""),"")</f>
        <v>Operativo</v>
      </c>
      <c r="I97" s="48" t="str">
        <f>IFERROR(_xlfn.XLOOKUP(G97,Listas!E:E,Listas!G:G,""),"")</f>
        <v>Interno</v>
      </c>
      <c r="J97" s="45">
        <v>50000</v>
      </c>
      <c r="K97" s="5">
        <v>50000</v>
      </c>
      <c r="L97" s="6" t="s">
        <v>93</v>
      </c>
      <c r="M97" s="46">
        <v>148882.87000000023</v>
      </c>
      <c r="N97" s="27">
        <f>IF(tblMovimientos[[#This Row],[Tipo de Movimiento]]="Ingreso",tblMovimientos[[#This Row],[Monto (S/)]],"0")</f>
        <v>50000</v>
      </c>
      <c r="O97" s="27" t="str">
        <f>IF(tblMovimientos[[#This Row],[Tipo de Movimiento]]="Egreso",tblMovimientos[[#This Row],[Monto (S/)]],"0")</f>
        <v>0</v>
      </c>
      <c r="P97" s="29">
        <f>IF(tblMovimientos[[#This Row],[Tipo de Movimiento]]="Ingreso",tblMovimientos[[#This Row],[Ingreso]],-tblMovimientos[[#This Row],[Egreso]])</f>
        <v>50000</v>
      </c>
    </row>
    <row r="98" spans="2:16" x14ac:dyDescent="0.3">
      <c r="B98" s="41">
        <v>46156</v>
      </c>
      <c r="C98" s="4" t="s">
        <v>17</v>
      </c>
      <c r="D98" s="42" t="s">
        <v>95</v>
      </c>
      <c r="E98" s="4" t="s">
        <v>37</v>
      </c>
      <c r="F98" s="43" t="s">
        <v>10</v>
      </c>
      <c r="G98" s="42" t="s">
        <v>46</v>
      </c>
      <c r="H98" s="4" t="str">
        <f>IFERROR(_xlfn.XLOOKUP(G98,Listas!E:E,Listas!F:F,""),"")</f>
        <v>Financiamiento</v>
      </c>
      <c r="I98" s="48" t="str">
        <f>IFERROR(_xlfn.XLOOKUP(G98,Listas!E:E,Listas!G:G,""),"")</f>
        <v>Externo</v>
      </c>
      <c r="J98" s="45">
        <v>5000</v>
      </c>
      <c r="K98" s="5">
        <v>-5000</v>
      </c>
      <c r="L98" s="6" t="s">
        <v>93</v>
      </c>
      <c r="M98" s="46">
        <v>148882.87000000023</v>
      </c>
      <c r="N98" s="27" t="str">
        <f>IF(tblMovimientos[[#This Row],[Tipo de Movimiento]]="Ingreso",tblMovimientos[[#This Row],[Monto (S/)]],"0")</f>
        <v>0</v>
      </c>
      <c r="O98" s="27">
        <f>IF(tblMovimientos[[#This Row],[Tipo de Movimiento]]="Egreso",tblMovimientos[[#This Row],[Monto (S/)]],"0")</f>
        <v>5000</v>
      </c>
      <c r="P98" s="29">
        <f>IF(tblMovimientos[[#This Row],[Tipo de Movimiento]]="Ingreso",tblMovimientos[[#This Row],[Ingreso]],-tblMovimientos[[#This Row],[Egreso]])</f>
        <v>-5000</v>
      </c>
    </row>
    <row r="99" spans="2:16" x14ac:dyDescent="0.3">
      <c r="B99" s="41">
        <v>46156</v>
      </c>
      <c r="C99" s="4" t="s">
        <v>17</v>
      </c>
      <c r="D99" s="42" t="s">
        <v>95</v>
      </c>
      <c r="E99" s="4" t="s">
        <v>37</v>
      </c>
      <c r="F99" s="43" t="s">
        <v>10</v>
      </c>
      <c r="G99" s="42" t="s">
        <v>46</v>
      </c>
      <c r="H99" s="4" t="str">
        <f>IFERROR(_xlfn.XLOOKUP(G99,Listas!E:E,Listas!F:F,""),"")</f>
        <v>Financiamiento</v>
      </c>
      <c r="I99" s="48" t="str">
        <f>IFERROR(_xlfn.XLOOKUP(G99,Listas!E:E,Listas!G:G,""),"")</f>
        <v>Externo</v>
      </c>
      <c r="J99" s="45">
        <v>27083.33</v>
      </c>
      <c r="K99" s="5">
        <v>-27083.33</v>
      </c>
      <c r="L99" s="6" t="s">
        <v>93</v>
      </c>
      <c r="M99" s="46">
        <v>148882.87000000023</v>
      </c>
      <c r="N99" s="27" t="str">
        <f>IF(tblMovimientos[[#This Row],[Tipo de Movimiento]]="Ingreso",tblMovimientos[[#This Row],[Monto (S/)]],"0")</f>
        <v>0</v>
      </c>
      <c r="O99" s="27">
        <f>IF(tblMovimientos[[#This Row],[Tipo de Movimiento]]="Egreso",tblMovimientos[[#This Row],[Monto (S/)]],"0")</f>
        <v>27083.33</v>
      </c>
      <c r="P99" s="29">
        <f>IF(tblMovimientos[[#This Row],[Tipo de Movimiento]]="Ingreso",tblMovimientos[[#This Row],[Ingreso]],-tblMovimientos[[#This Row],[Egreso]])</f>
        <v>-27083.33</v>
      </c>
    </row>
    <row r="100" spans="2:16" x14ac:dyDescent="0.3">
      <c r="B100" s="41">
        <v>46156</v>
      </c>
      <c r="C100" s="4" t="s">
        <v>17</v>
      </c>
      <c r="D100" s="42" t="s">
        <v>95</v>
      </c>
      <c r="E100" s="4" t="s">
        <v>37</v>
      </c>
      <c r="F100" s="43" t="s">
        <v>10</v>
      </c>
      <c r="G100" s="42" t="s">
        <v>61</v>
      </c>
      <c r="H100" s="4" t="str">
        <f>IFERROR(_xlfn.XLOOKUP(G100,Listas!E:E,Listas!F:F,""),"")</f>
        <v>Operativo</v>
      </c>
      <c r="I100" s="48" t="str">
        <f>IFERROR(_xlfn.XLOOKUP(G100,Listas!E:E,Listas!G:G,""),"")</f>
        <v>Externo</v>
      </c>
      <c r="J100" s="45">
        <v>40000</v>
      </c>
      <c r="K100" s="5">
        <v>-40000</v>
      </c>
      <c r="L100" s="6" t="s">
        <v>93</v>
      </c>
      <c r="M100" s="46">
        <v>148882.87000000023</v>
      </c>
      <c r="N100" s="27" t="str">
        <f>IF(tblMovimientos[[#This Row],[Tipo de Movimiento]]="Ingreso",tblMovimientos[[#This Row],[Monto (S/)]],"0")</f>
        <v>0</v>
      </c>
      <c r="O100" s="27">
        <f>IF(tblMovimientos[[#This Row],[Tipo de Movimiento]]="Egreso",tblMovimientos[[#This Row],[Monto (S/)]],"0")</f>
        <v>40000</v>
      </c>
      <c r="P100" s="29">
        <f>IF(tblMovimientos[[#This Row],[Tipo de Movimiento]]="Ingreso",tblMovimientos[[#This Row],[Ingreso]],-tblMovimientos[[#This Row],[Egreso]])</f>
        <v>-40000</v>
      </c>
    </row>
    <row r="101" spans="2:16" x14ac:dyDescent="0.3">
      <c r="B101" s="41">
        <v>46156</v>
      </c>
      <c r="C101" s="4" t="s">
        <v>17</v>
      </c>
      <c r="D101" s="42" t="s">
        <v>95</v>
      </c>
      <c r="E101" s="4" t="s">
        <v>37</v>
      </c>
      <c r="F101" s="43" t="s">
        <v>10</v>
      </c>
      <c r="G101" s="42" t="s">
        <v>46</v>
      </c>
      <c r="H101" s="4" t="str">
        <f>IFERROR(_xlfn.XLOOKUP(G101,Listas!E:E,Listas!F:F,""),"")</f>
        <v>Financiamiento</v>
      </c>
      <c r="I101" s="48" t="str">
        <f>IFERROR(_xlfn.XLOOKUP(G101,Listas!E:E,Listas!G:G,""),"")</f>
        <v>Externo</v>
      </c>
      <c r="J101" s="45">
        <v>56000</v>
      </c>
      <c r="K101" s="5">
        <v>-56000</v>
      </c>
      <c r="L101" s="6" t="s">
        <v>93</v>
      </c>
      <c r="M101" s="46">
        <v>148882.87000000023</v>
      </c>
      <c r="N101" s="27" t="str">
        <f>IF(tblMovimientos[[#This Row],[Tipo de Movimiento]]="Ingreso",tblMovimientos[[#This Row],[Monto (S/)]],"0")</f>
        <v>0</v>
      </c>
      <c r="O101" s="27">
        <f>IF(tblMovimientos[[#This Row],[Tipo de Movimiento]]="Egreso",tblMovimientos[[#This Row],[Monto (S/)]],"0")</f>
        <v>56000</v>
      </c>
      <c r="P101" s="29">
        <f>IF(tblMovimientos[[#This Row],[Tipo de Movimiento]]="Ingreso",tblMovimientos[[#This Row],[Ingreso]],-tblMovimientos[[#This Row],[Egreso]])</f>
        <v>-56000</v>
      </c>
    </row>
    <row r="102" spans="2:16" x14ac:dyDescent="0.3">
      <c r="B102" s="41">
        <v>46156</v>
      </c>
      <c r="C102" s="4" t="s">
        <v>17</v>
      </c>
      <c r="D102" s="42" t="s">
        <v>95</v>
      </c>
      <c r="E102" s="4" t="s">
        <v>37</v>
      </c>
      <c r="F102" s="43" t="s">
        <v>10</v>
      </c>
      <c r="G102" s="42" t="s">
        <v>61</v>
      </c>
      <c r="H102" s="4" t="str">
        <f>IFERROR(_xlfn.XLOOKUP(G102,Listas!E:E,Listas!F:F,""),"")</f>
        <v>Operativo</v>
      </c>
      <c r="I102" s="48" t="str">
        <f>IFERROR(_xlfn.XLOOKUP(G102,Listas!E:E,Listas!G:G,""),"")</f>
        <v>Externo</v>
      </c>
      <c r="J102" s="45">
        <v>60000</v>
      </c>
      <c r="K102" s="5">
        <v>-60000</v>
      </c>
      <c r="L102" s="6" t="s">
        <v>93</v>
      </c>
      <c r="M102" s="46">
        <v>148882.87000000023</v>
      </c>
      <c r="N102" s="27" t="str">
        <f>IF(tblMovimientos[[#This Row],[Tipo de Movimiento]]="Ingreso",tblMovimientos[[#This Row],[Monto (S/)]],"0")</f>
        <v>0</v>
      </c>
      <c r="O102" s="27">
        <f>IF(tblMovimientos[[#This Row],[Tipo de Movimiento]]="Egreso",tblMovimientos[[#This Row],[Monto (S/)]],"0")</f>
        <v>60000</v>
      </c>
      <c r="P102" s="29">
        <f>IF(tblMovimientos[[#This Row],[Tipo de Movimiento]]="Ingreso",tblMovimientos[[#This Row],[Ingreso]],-tblMovimientos[[#This Row],[Egreso]])</f>
        <v>-60000</v>
      </c>
    </row>
    <row r="103" spans="2:16" x14ac:dyDescent="0.3">
      <c r="B103" s="41">
        <v>46156</v>
      </c>
      <c r="C103" s="4" t="s">
        <v>17</v>
      </c>
      <c r="D103" s="42" t="s">
        <v>95</v>
      </c>
      <c r="E103" s="4" t="s">
        <v>37</v>
      </c>
      <c r="F103" s="43" t="s">
        <v>10</v>
      </c>
      <c r="G103" s="42" t="s">
        <v>46</v>
      </c>
      <c r="H103" s="4" t="str">
        <f>IFERROR(_xlfn.XLOOKUP(G103,Listas!E:E,Listas!F:F,""),"")</f>
        <v>Financiamiento</v>
      </c>
      <c r="I103" s="48" t="str">
        <f>IFERROR(_xlfn.XLOOKUP(G103,Listas!E:E,Listas!G:G,""),"")</f>
        <v>Externo</v>
      </c>
      <c r="J103" s="45">
        <v>70000</v>
      </c>
      <c r="K103" s="5">
        <v>-70000</v>
      </c>
      <c r="L103" s="6" t="s">
        <v>93</v>
      </c>
      <c r="M103" s="46">
        <v>148882.87000000023</v>
      </c>
      <c r="N103" s="27" t="str">
        <f>IF(tblMovimientos[[#This Row],[Tipo de Movimiento]]="Ingreso",tblMovimientos[[#This Row],[Monto (S/)]],"0")</f>
        <v>0</v>
      </c>
      <c r="O103" s="27">
        <f>IF(tblMovimientos[[#This Row],[Tipo de Movimiento]]="Egreso",tblMovimientos[[#This Row],[Monto (S/)]],"0")</f>
        <v>70000</v>
      </c>
      <c r="P103" s="29">
        <f>IF(tblMovimientos[[#This Row],[Tipo de Movimiento]]="Ingreso",tblMovimientos[[#This Row],[Ingreso]],-tblMovimientos[[#This Row],[Egreso]])</f>
        <v>-70000</v>
      </c>
    </row>
    <row r="104" spans="2:16" x14ac:dyDescent="0.3">
      <c r="B104" s="41">
        <v>46156</v>
      </c>
      <c r="C104" s="4" t="s">
        <v>17</v>
      </c>
      <c r="D104" s="42" t="s">
        <v>95</v>
      </c>
      <c r="E104" s="4" t="s">
        <v>37</v>
      </c>
      <c r="F104" s="43" t="s">
        <v>10</v>
      </c>
      <c r="G104" s="42" t="s">
        <v>46</v>
      </c>
      <c r="H104" s="4" t="str">
        <f>IFERROR(_xlfn.XLOOKUP(G104,Listas!E:E,Listas!F:F,""),"")</f>
        <v>Financiamiento</v>
      </c>
      <c r="I104" s="48" t="str">
        <f>IFERROR(_xlfn.XLOOKUP(G104,Listas!E:E,Listas!G:G,""),"")</f>
        <v>Externo</v>
      </c>
      <c r="J104" s="45">
        <v>82833.33</v>
      </c>
      <c r="K104" s="5">
        <v>-82833.33</v>
      </c>
      <c r="L104" s="6" t="s">
        <v>93</v>
      </c>
      <c r="M104" s="46">
        <v>148882.87000000023</v>
      </c>
      <c r="N104" s="27" t="str">
        <f>IF(tblMovimientos[[#This Row],[Tipo de Movimiento]]="Ingreso",tblMovimientos[[#This Row],[Monto (S/)]],"0")</f>
        <v>0</v>
      </c>
      <c r="O104" s="27">
        <f>IF(tblMovimientos[[#This Row],[Tipo de Movimiento]]="Egreso",tblMovimientos[[#This Row],[Monto (S/)]],"0")</f>
        <v>82833.33</v>
      </c>
      <c r="P104" s="29">
        <f>IF(tblMovimientos[[#This Row],[Tipo de Movimiento]]="Ingreso",tblMovimientos[[#This Row],[Ingreso]],-tblMovimientos[[#This Row],[Egreso]])</f>
        <v>-82833.33</v>
      </c>
    </row>
    <row r="105" spans="2:16" x14ac:dyDescent="0.3">
      <c r="B105" s="41">
        <v>46156</v>
      </c>
      <c r="C105" s="4" t="s">
        <v>21</v>
      </c>
      <c r="D105" s="42" t="s">
        <v>104</v>
      </c>
      <c r="E105" s="4" t="s">
        <v>37</v>
      </c>
      <c r="F105" s="43" t="s">
        <v>10</v>
      </c>
      <c r="G105" s="42" t="s">
        <v>60</v>
      </c>
      <c r="H105" s="4" t="str">
        <f>IFERROR(_xlfn.XLOOKUP(G105,Listas!E:E,Listas!F:F,""),"")</f>
        <v>Inversion</v>
      </c>
      <c r="I105" s="48" t="str">
        <f>IFERROR(_xlfn.XLOOKUP(G105,Listas!E:E,Listas!G:G,""),"")</f>
        <v>Interno</v>
      </c>
      <c r="J105" s="45">
        <v>50000</v>
      </c>
      <c r="K105" s="5">
        <v>-50000</v>
      </c>
      <c r="L105" s="6" t="s">
        <v>93</v>
      </c>
      <c r="M105" s="46">
        <v>176117.51999999938</v>
      </c>
      <c r="N105" s="27" t="str">
        <f>IF(tblMovimientos[[#This Row],[Tipo de Movimiento]]="Ingreso",tblMovimientos[[#This Row],[Monto (S/)]],"0")</f>
        <v>0</v>
      </c>
      <c r="O105" s="27">
        <f>IF(tblMovimientos[[#This Row],[Tipo de Movimiento]]="Egreso",tblMovimientos[[#This Row],[Monto (S/)]],"0")</f>
        <v>50000</v>
      </c>
      <c r="P105" s="29">
        <f>IF(tblMovimientos[[#This Row],[Tipo de Movimiento]]="Ingreso",tblMovimientos[[#This Row],[Ingreso]],-tblMovimientos[[#This Row],[Egreso]])</f>
        <v>-50000</v>
      </c>
    </row>
    <row r="106" spans="2:16" x14ac:dyDescent="0.3">
      <c r="B106" s="41">
        <v>46156</v>
      </c>
      <c r="C106" s="4" t="s">
        <v>21</v>
      </c>
      <c r="D106" s="42" t="s">
        <v>104</v>
      </c>
      <c r="E106" s="4" t="s">
        <v>37</v>
      </c>
      <c r="F106" s="43" t="s">
        <v>10</v>
      </c>
      <c r="G106" s="42" t="s">
        <v>46</v>
      </c>
      <c r="H106" s="4" t="str">
        <f>IFERROR(_xlfn.XLOOKUP(G106,Listas!E:E,Listas!F:F,""),"")</f>
        <v>Financiamiento</v>
      </c>
      <c r="I106" s="48" t="str">
        <f>IFERROR(_xlfn.XLOOKUP(G106,Listas!E:E,Listas!G:G,""),"")</f>
        <v>Externo</v>
      </c>
      <c r="J106" s="45">
        <v>53666.67</v>
      </c>
      <c r="K106" s="5">
        <v>-53666.67</v>
      </c>
      <c r="L106" s="6" t="s">
        <v>93</v>
      </c>
      <c r="M106" s="46">
        <v>176117.51999999938</v>
      </c>
      <c r="N106" s="27" t="str">
        <f>IF(tblMovimientos[[#This Row],[Tipo de Movimiento]]="Ingreso",tblMovimientos[[#This Row],[Monto (S/)]],"0")</f>
        <v>0</v>
      </c>
      <c r="O106" s="27">
        <f>IF(tblMovimientos[[#This Row],[Tipo de Movimiento]]="Egreso",tblMovimientos[[#This Row],[Monto (S/)]],"0")</f>
        <v>53666.67</v>
      </c>
      <c r="P106" s="29">
        <f>IF(tblMovimientos[[#This Row],[Tipo de Movimiento]]="Ingreso",tblMovimientos[[#This Row],[Ingreso]],-tblMovimientos[[#This Row],[Egreso]])</f>
        <v>-53666.67</v>
      </c>
    </row>
    <row r="107" spans="2:16" x14ac:dyDescent="0.3">
      <c r="B107" s="41">
        <v>46156</v>
      </c>
      <c r="C107" s="4" t="s">
        <v>21</v>
      </c>
      <c r="D107" s="42" t="s">
        <v>104</v>
      </c>
      <c r="E107" s="4" t="s">
        <v>37</v>
      </c>
      <c r="F107" s="43" t="s">
        <v>10</v>
      </c>
      <c r="G107" s="42" t="s">
        <v>46</v>
      </c>
      <c r="H107" s="4" t="str">
        <f>IFERROR(_xlfn.XLOOKUP(G107,Listas!E:E,Listas!F:F,""),"")</f>
        <v>Financiamiento</v>
      </c>
      <c r="I107" s="48" t="str">
        <f>IFERROR(_xlfn.XLOOKUP(G107,Listas!E:E,Listas!G:G,""),"")</f>
        <v>Externo</v>
      </c>
      <c r="J107" s="45">
        <v>99166.67</v>
      </c>
      <c r="K107" s="5">
        <v>-99166.67</v>
      </c>
      <c r="L107" s="6" t="s">
        <v>93</v>
      </c>
      <c r="M107" s="46">
        <v>176117.51999999938</v>
      </c>
      <c r="N107" s="27" t="str">
        <f>IF(tblMovimientos[[#This Row],[Tipo de Movimiento]]="Ingreso",tblMovimientos[[#This Row],[Monto (S/)]],"0")</f>
        <v>0</v>
      </c>
      <c r="O107" s="27">
        <f>IF(tblMovimientos[[#This Row],[Tipo de Movimiento]]="Egreso",tblMovimientos[[#This Row],[Monto (S/)]],"0")</f>
        <v>99166.67</v>
      </c>
      <c r="P107" s="29">
        <f>IF(tblMovimientos[[#This Row],[Tipo de Movimiento]]="Ingreso",tblMovimientos[[#This Row],[Ingreso]],-tblMovimientos[[#This Row],[Egreso]])</f>
        <v>-99166.67</v>
      </c>
    </row>
    <row r="108" spans="2:16" x14ac:dyDescent="0.3">
      <c r="B108" s="41">
        <v>46156</v>
      </c>
      <c r="C108" s="4" t="s">
        <v>35</v>
      </c>
      <c r="D108" s="42" t="s">
        <v>126</v>
      </c>
      <c r="E108" s="4" t="s">
        <v>37</v>
      </c>
      <c r="F108" s="43" t="s">
        <v>10</v>
      </c>
      <c r="G108" s="42" t="s">
        <v>38</v>
      </c>
      <c r="H108" s="4" t="str">
        <f>IFERROR(_xlfn.XLOOKUP(G108,Listas!E:E,Listas!F:F,""),"")</f>
        <v>Operativo</v>
      </c>
      <c r="I108" s="48" t="str">
        <f>IFERROR(_xlfn.XLOOKUP(G108,Listas!E:E,Listas!G:G,""),"")</f>
        <v>Externo</v>
      </c>
      <c r="J108" s="45">
        <v>2500</v>
      </c>
      <c r="K108" s="5">
        <v>-2500</v>
      </c>
      <c r="L108" s="6" t="s">
        <v>93</v>
      </c>
      <c r="M108" s="46">
        <v>14226.59</v>
      </c>
      <c r="N108" s="27" t="str">
        <f>IF(tblMovimientos[[#This Row],[Tipo de Movimiento]]="Ingreso",tblMovimientos[[#This Row],[Monto (S/)]],"0")</f>
        <v>0</v>
      </c>
      <c r="O108" s="27">
        <f>IF(tblMovimientos[[#This Row],[Tipo de Movimiento]]="Egreso",tblMovimientos[[#This Row],[Monto (S/)]],"0")</f>
        <v>2500</v>
      </c>
      <c r="P108" s="29">
        <f>IF(tblMovimientos[[#This Row],[Tipo de Movimiento]]="Ingreso",tblMovimientos[[#This Row],[Ingreso]],-tblMovimientos[[#This Row],[Egreso]])</f>
        <v>-2500</v>
      </c>
    </row>
    <row r="109" spans="2:16" x14ac:dyDescent="0.3">
      <c r="B109" s="41">
        <v>46157</v>
      </c>
      <c r="C109" s="4" t="s">
        <v>35</v>
      </c>
      <c r="D109" s="42" t="s">
        <v>126</v>
      </c>
      <c r="E109" s="4" t="s">
        <v>37</v>
      </c>
      <c r="F109" s="43" t="s">
        <v>10</v>
      </c>
      <c r="G109" s="42" t="s">
        <v>38</v>
      </c>
      <c r="H109" s="4" t="str">
        <f>IFERROR(_xlfn.XLOOKUP(G109,Listas!E:E,Listas!F:F,""),"")</f>
        <v>Operativo</v>
      </c>
      <c r="I109" s="48" t="str">
        <f>IFERROR(_xlfn.XLOOKUP(G109,Listas!E:E,Listas!G:G,""),"")</f>
        <v>Externo</v>
      </c>
      <c r="J109" s="45">
        <v>50</v>
      </c>
      <c r="K109" s="5">
        <v>-50</v>
      </c>
      <c r="L109" s="6" t="s">
        <v>93</v>
      </c>
      <c r="M109" s="46">
        <v>14176.59</v>
      </c>
      <c r="N109" s="27" t="str">
        <f>IF(tblMovimientos[[#This Row],[Tipo de Movimiento]]="Ingreso",tblMovimientos[[#This Row],[Monto (S/)]],"0")</f>
        <v>0</v>
      </c>
      <c r="O109" s="27">
        <f>IF(tblMovimientos[[#This Row],[Tipo de Movimiento]]="Egreso",tblMovimientos[[#This Row],[Monto (S/)]],"0")</f>
        <v>50</v>
      </c>
      <c r="P109" s="29">
        <f>IF(tblMovimientos[[#This Row],[Tipo de Movimiento]]="Ingreso",tblMovimientos[[#This Row],[Ingreso]],-tblMovimientos[[#This Row],[Egreso]])</f>
        <v>-50</v>
      </c>
    </row>
    <row r="110" spans="2:16" x14ac:dyDescent="0.3">
      <c r="B110" s="41">
        <v>46157</v>
      </c>
      <c r="C110" s="4" t="s">
        <v>33</v>
      </c>
      <c r="D110" s="42" t="s">
        <v>124</v>
      </c>
      <c r="E110" s="4" t="s">
        <v>36</v>
      </c>
      <c r="F110" s="43" t="s">
        <v>10</v>
      </c>
      <c r="G110" s="42" t="s">
        <v>38</v>
      </c>
      <c r="H110" s="4" t="str">
        <f>IFERROR(_xlfn.XLOOKUP(G110,Listas!E:E,Listas!F:F,""),"")</f>
        <v>Operativo</v>
      </c>
      <c r="I110" s="48" t="str">
        <f>IFERROR(_xlfn.XLOOKUP(G110,Listas!E:E,Listas!G:G,""),"")</f>
        <v>Externo</v>
      </c>
      <c r="J110" s="45">
        <v>1650</v>
      </c>
      <c r="K110" s="5">
        <v>-1650</v>
      </c>
      <c r="L110" s="6" t="s">
        <v>93</v>
      </c>
      <c r="M110" s="46">
        <v>27011.27</v>
      </c>
      <c r="N110" s="27" t="str">
        <f>IF(tblMovimientos[[#This Row],[Tipo de Movimiento]]="Ingreso",tblMovimientos[[#This Row],[Monto (S/)]],"0")</f>
        <v>0</v>
      </c>
      <c r="O110" s="27">
        <f>IF(tblMovimientos[[#This Row],[Tipo de Movimiento]]="Egreso",tblMovimientos[[#This Row],[Monto (S/)]],"0")</f>
        <v>1650</v>
      </c>
      <c r="P110" s="29">
        <f>IF(tblMovimientos[[#This Row],[Tipo de Movimiento]]="Ingreso",tblMovimientos[[#This Row],[Ingreso]],-tblMovimientos[[#This Row],[Egreso]])</f>
        <v>-1650</v>
      </c>
    </row>
    <row r="111" spans="2:16" x14ac:dyDescent="0.3">
      <c r="B111" s="41">
        <v>46157</v>
      </c>
      <c r="C111" s="4" t="s">
        <v>33</v>
      </c>
      <c r="D111" s="42" t="s">
        <v>124</v>
      </c>
      <c r="E111" s="4" t="s">
        <v>36</v>
      </c>
      <c r="F111" s="43" t="s">
        <v>10</v>
      </c>
      <c r="G111" s="42" t="s">
        <v>38</v>
      </c>
      <c r="H111" s="4" t="str">
        <f>IFERROR(_xlfn.XLOOKUP(G111,Listas!E:E,Listas!F:F,""),"")</f>
        <v>Operativo</v>
      </c>
      <c r="I111" s="48" t="str">
        <f>IFERROR(_xlfn.XLOOKUP(G111,Listas!E:E,Listas!G:G,""),"")</f>
        <v>Externo</v>
      </c>
      <c r="J111" s="45">
        <v>2200</v>
      </c>
      <c r="K111" s="5">
        <v>-2200</v>
      </c>
      <c r="L111" s="6" t="s">
        <v>93</v>
      </c>
      <c r="M111" s="46">
        <v>27011.27</v>
      </c>
      <c r="N111" s="27" t="str">
        <f>IF(tblMovimientos[[#This Row],[Tipo de Movimiento]]="Ingreso",tblMovimientos[[#This Row],[Monto (S/)]],"0")</f>
        <v>0</v>
      </c>
      <c r="O111" s="27">
        <f>IF(tblMovimientos[[#This Row],[Tipo de Movimiento]]="Egreso",tblMovimientos[[#This Row],[Monto (S/)]],"0")</f>
        <v>2200</v>
      </c>
      <c r="P111" s="29">
        <f>IF(tblMovimientos[[#This Row],[Tipo de Movimiento]]="Ingreso",tblMovimientos[[#This Row],[Ingreso]],-tblMovimientos[[#This Row],[Egreso]])</f>
        <v>-2200</v>
      </c>
    </row>
    <row r="112" spans="2:16" x14ac:dyDescent="0.3">
      <c r="B112" s="41">
        <v>46157</v>
      </c>
      <c r="C112" s="4" t="s">
        <v>33</v>
      </c>
      <c r="D112" s="42" t="s">
        <v>124</v>
      </c>
      <c r="E112" s="4" t="s">
        <v>36</v>
      </c>
      <c r="F112" s="43" t="s">
        <v>10</v>
      </c>
      <c r="G112" s="42" t="s">
        <v>38</v>
      </c>
      <c r="H112" s="4" t="str">
        <f>IFERROR(_xlfn.XLOOKUP(G112,Listas!E:E,Listas!F:F,""),"")</f>
        <v>Operativo</v>
      </c>
      <c r="I112" s="48" t="str">
        <f>IFERROR(_xlfn.XLOOKUP(G112,Listas!E:E,Listas!G:G,""),"")</f>
        <v>Externo</v>
      </c>
      <c r="J112" s="45">
        <v>160</v>
      </c>
      <c r="K112" s="5">
        <v>-160</v>
      </c>
      <c r="L112" s="6" t="s">
        <v>93</v>
      </c>
      <c r="M112" s="46">
        <v>27011.27</v>
      </c>
      <c r="N112" s="27" t="str">
        <f>IF(tblMovimientos[[#This Row],[Tipo de Movimiento]]="Ingreso",tblMovimientos[[#This Row],[Monto (S/)]],"0")</f>
        <v>0</v>
      </c>
      <c r="O112" s="27">
        <f>IF(tblMovimientos[[#This Row],[Tipo de Movimiento]]="Egreso",tblMovimientos[[#This Row],[Monto (S/)]],"0")</f>
        <v>160</v>
      </c>
      <c r="P112" s="29">
        <f>IF(tblMovimientos[[#This Row],[Tipo de Movimiento]]="Ingreso",tblMovimientos[[#This Row],[Ingreso]],-tblMovimientos[[#This Row],[Egreso]])</f>
        <v>-160</v>
      </c>
    </row>
    <row r="113" spans="2:16" x14ac:dyDescent="0.3">
      <c r="B113" s="41">
        <v>46157</v>
      </c>
      <c r="C113" s="4" t="s">
        <v>33</v>
      </c>
      <c r="D113" s="42" t="s">
        <v>124</v>
      </c>
      <c r="E113" s="4" t="s">
        <v>36</v>
      </c>
      <c r="F113" s="43" t="s">
        <v>10</v>
      </c>
      <c r="G113" s="42" t="s">
        <v>38</v>
      </c>
      <c r="H113" s="4" t="str">
        <f>IFERROR(_xlfn.XLOOKUP(G113,Listas!E:E,Listas!F:F,""),"")</f>
        <v>Operativo</v>
      </c>
      <c r="I113" s="48" t="str">
        <f>IFERROR(_xlfn.XLOOKUP(G113,Listas!E:E,Listas!G:G,""),"")</f>
        <v>Externo</v>
      </c>
      <c r="J113" s="45">
        <v>100</v>
      </c>
      <c r="K113" s="5">
        <v>-100</v>
      </c>
      <c r="L113" s="6" t="s">
        <v>93</v>
      </c>
      <c r="M113" s="46">
        <v>27011.27</v>
      </c>
      <c r="N113" s="27" t="str">
        <f>IF(tblMovimientos[[#This Row],[Tipo de Movimiento]]="Ingreso",tblMovimientos[[#This Row],[Monto (S/)]],"0")</f>
        <v>0</v>
      </c>
      <c r="O113" s="27">
        <f>IF(tblMovimientos[[#This Row],[Tipo de Movimiento]]="Egreso",tblMovimientos[[#This Row],[Monto (S/)]],"0")</f>
        <v>100</v>
      </c>
      <c r="P113" s="29">
        <f>IF(tblMovimientos[[#This Row],[Tipo de Movimiento]]="Ingreso",tblMovimientos[[#This Row],[Ingreso]],-tblMovimientos[[#This Row],[Egreso]])</f>
        <v>-100</v>
      </c>
    </row>
    <row r="114" spans="2:16" x14ac:dyDescent="0.3">
      <c r="B114" s="41">
        <v>46157</v>
      </c>
      <c r="C114" s="4" t="s">
        <v>33</v>
      </c>
      <c r="D114" s="42" t="s">
        <v>124</v>
      </c>
      <c r="E114" s="4" t="s">
        <v>36</v>
      </c>
      <c r="F114" s="43" t="s">
        <v>10</v>
      </c>
      <c r="G114" s="42" t="s">
        <v>38</v>
      </c>
      <c r="H114" s="4" t="str">
        <f>IFERROR(_xlfn.XLOOKUP(G114,Listas!E:E,Listas!F:F,""),"")</f>
        <v>Operativo</v>
      </c>
      <c r="I114" s="48" t="str">
        <f>IFERROR(_xlfn.XLOOKUP(G114,Listas!E:E,Listas!G:G,""),"")</f>
        <v>Externo</v>
      </c>
      <c r="J114" s="45">
        <v>200</v>
      </c>
      <c r="K114" s="5">
        <v>-200</v>
      </c>
      <c r="L114" s="6" t="s">
        <v>93</v>
      </c>
      <c r="M114" s="46">
        <v>27011.27</v>
      </c>
      <c r="N114" s="27" t="str">
        <f>IF(tblMovimientos[[#This Row],[Tipo de Movimiento]]="Ingreso",tblMovimientos[[#This Row],[Monto (S/)]],"0")</f>
        <v>0</v>
      </c>
      <c r="O114" s="27">
        <f>IF(tblMovimientos[[#This Row],[Tipo de Movimiento]]="Egreso",tblMovimientos[[#This Row],[Monto (S/)]],"0")</f>
        <v>200</v>
      </c>
      <c r="P114" s="29">
        <f>IF(tblMovimientos[[#This Row],[Tipo de Movimiento]]="Ingreso",tblMovimientos[[#This Row],[Ingreso]],-tblMovimientos[[#This Row],[Egreso]])</f>
        <v>-200</v>
      </c>
    </row>
    <row r="115" spans="2:16" x14ac:dyDescent="0.3">
      <c r="B115" s="41">
        <v>46157</v>
      </c>
      <c r="C115" s="4" t="s">
        <v>33</v>
      </c>
      <c r="D115" s="42" t="s">
        <v>124</v>
      </c>
      <c r="E115" s="4" t="s">
        <v>36</v>
      </c>
      <c r="F115" s="43" t="s">
        <v>10</v>
      </c>
      <c r="G115" s="42" t="s">
        <v>38</v>
      </c>
      <c r="H115" s="4" t="str">
        <f>IFERROR(_xlfn.XLOOKUP(G115,Listas!E:E,Listas!F:F,""),"")</f>
        <v>Operativo</v>
      </c>
      <c r="I115" s="48" t="str">
        <f>IFERROR(_xlfn.XLOOKUP(G115,Listas!E:E,Listas!G:G,""),"")</f>
        <v>Externo</v>
      </c>
      <c r="J115" s="45">
        <v>2.12</v>
      </c>
      <c r="K115" s="5">
        <v>-2.12</v>
      </c>
      <c r="L115" s="6" t="s">
        <v>93</v>
      </c>
      <c r="M115" s="46">
        <v>27011.27</v>
      </c>
      <c r="N115" s="27" t="str">
        <f>IF(tblMovimientos[[#This Row],[Tipo de Movimiento]]="Ingreso",tblMovimientos[[#This Row],[Monto (S/)]],"0")</f>
        <v>0</v>
      </c>
      <c r="O115" s="27">
        <f>IF(tblMovimientos[[#This Row],[Tipo de Movimiento]]="Egreso",tblMovimientos[[#This Row],[Monto (S/)]],"0")</f>
        <v>2.12</v>
      </c>
      <c r="P115" s="29">
        <f>IF(tblMovimientos[[#This Row],[Tipo de Movimiento]]="Ingreso",tblMovimientos[[#This Row],[Ingreso]],-tblMovimientos[[#This Row],[Egreso]])</f>
        <v>-2.12</v>
      </c>
    </row>
    <row r="116" spans="2:16" x14ac:dyDescent="0.3">
      <c r="B116" s="41">
        <v>46157</v>
      </c>
      <c r="C116" s="4" t="s">
        <v>20</v>
      </c>
      <c r="D116" s="42" t="s">
        <v>100</v>
      </c>
      <c r="E116" s="4" t="s">
        <v>36</v>
      </c>
      <c r="F116" s="43" t="s">
        <v>10</v>
      </c>
      <c r="G116" s="42" t="s">
        <v>44</v>
      </c>
      <c r="H116" s="4" t="str">
        <f>IFERROR(_xlfn.XLOOKUP(G116,Listas!E:E,Listas!F:F,""),"")</f>
        <v>Operativo</v>
      </c>
      <c r="I116" s="48" t="str">
        <f>IFERROR(_xlfn.XLOOKUP(G116,Listas!E:E,Listas!G:G,""),"")</f>
        <v>Externo</v>
      </c>
      <c r="J116" s="45">
        <v>603.46</v>
      </c>
      <c r="K116" s="5">
        <v>-603.46</v>
      </c>
      <c r="L116" s="6" t="s">
        <v>93</v>
      </c>
      <c r="M116" s="46">
        <v>832076.20999999985</v>
      </c>
      <c r="N116" s="27" t="str">
        <f>IF(tblMovimientos[[#This Row],[Tipo de Movimiento]]="Ingreso",tblMovimientos[[#This Row],[Monto (S/)]],"0")</f>
        <v>0</v>
      </c>
      <c r="O116" s="27">
        <f>IF(tblMovimientos[[#This Row],[Tipo de Movimiento]]="Egreso",tblMovimientos[[#This Row],[Monto (S/)]],"0")</f>
        <v>603.46</v>
      </c>
      <c r="P116" s="29">
        <f>IF(tblMovimientos[[#This Row],[Tipo de Movimiento]]="Ingreso",tblMovimientos[[#This Row],[Ingreso]],-tblMovimientos[[#This Row],[Egreso]])</f>
        <v>-603.46</v>
      </c>
    </row>
    <row r="117" spans="2:16" x14ac:dyDescent="0.3">
      <c r="B117" s="41">
        <v>46157</v>
      </c>
      <c r="C117" s="4" t="s">
        <v>21</v>
      </c>
      <c r="D117" s="42" t="s">
        <v>102</v>
      </c>
      <c r="E117" s="4" t="s">
        <v>36</v>
      </c>
      <c r="F117" s="43" t="s">
        <v>10</v>
      </c>
      <c r="G117" s="42" t="s">
        <v>44</v>
      </c>
      <c r="H117" s="4" t="str">
        <f>IFERROR(_xlfn.XLOOKUP(G117,Listas!E:E,Listas!F:F,""),"")</f>
        <v>Operativo</v>
      </c>
      <c r="I117" s="48" t="str">
        <f>IFERROR(_xlfn.XLOOKUP(G117,Listas!E:E,Listas!G:G,""),"")</f>
        <v>Externo</v>
      </c>
      <c r="J117" s="45">
        <v>29.41</v>
      </c>
      <c r="K117" s="5">
        <v>-29.41</v>
      </c>
      <c r="L117" s="6" t="s">
        <v>93</v>
      </c>
      <c r="M117" s="46">
        <v>729.66000000000008</v>
      </c>
      <c r="N117" s="27" t="str">
        <f>IF(tblMovimientos[[#This Row],[Tipo de Movimiento]]="Ingreso",tblMovimientos[[#This Row],[Monto (S/)]],"0")</f>
        <v>0</v>
      </c>
      <c r="O117" s="27">
        <f>IF(tblMovimientos[[#This Row],[Tipo de Movimiento]]="Egreso",tblMovimientos[[#This Row],[Monto (S/)]],"0")</f>
        <v>29.41</v>
      </c>
      <c r="P117" s="29">
        <f>IF(tblMovimientos[[#This Row],[Tipo de Movimiento]]="Ingreso",tblMovimientos[[#This Row],[Ingreso]],-tblMovimientos[[#This Row],[Egreso]])</f>
        <v>-29.41</v>
      </c>
    </row>
    <row r="118" spans="2:16" x14ac:dyDescent="0.3">
      <c r="B118" s="41">
        <v>46160</v>
      </c>
      <c r="C118" s="4" t="s">
        <v>21</v>
      </c>
      <c r="D118" s="42" t="s">
        <v>104</v>
      </c>
      <c r="E118" s="4" t="s">
        <v>37</v>
      </c>
      <c r="F118" s="43" t="s">
        <v>10</v>
      </c>
      <c r="G118" s="42" t="s">
        <v>39</v>
      </c>
      <c r="H118" s="4" t="str">
        <f>IFERROR(_xlfn.XLOOKUP(G118,Listas!E:E,Listas!F:F,""),"")</f>
        <v>Operativo</v>
      </c>
      <c r="I118" s="48" t="str">
        <f>IFERROR(_xlfn.XLOOKUP(G118,Listas!E:E,Listas!G:G,""),"")</f>
        <v>Externo</v>
      </c>
      <c r="J118" s="45">
        <v>20960.11</v>
      </c>
      <c r="K118" s="5">
        <v>-20960.11</v>
      </c>
      <c r="L118" s="6" t="s">
        <v>93</v>
      </c>
      <c r="M118" s="46">
        <v>155157.40999999939</v>
      </c>
      <c r="N118" s="27" t="str">
        <f>IF(tblMovimientos[[#This Row],[Tipo de Movimiento]]="Ingreso",tblMovimientos[[#This Row],[Monto (S/)]],"0")</f>
        <v>0</v>
      </c>
      <c r="O118" s="27">
        <f>IF(tblMovimientos[[#This Row],[Tipo de Movimiento]]="Egreso",tblMovimientos[[#This Row],[Monto (S/)]],"0")</f>
        <v>20960.11</v>
      </c>
      <c r="P118" s="29">
        <f>IF(tblMovimientos[[#This Row],[Tipo de Movimiento]]="Ingreso",tblMovimientos[[#This Row],[Ingreso]],-tblMovimientos[[#This Row],[Egreso]])</f>
        <v>-20960.11</v>
      </c>
    </row>
    <row r="119" spans="2:16" x14ac:dyDescent="0.3">
      <c r="B119" s="41">
        <v>46160</v>
      </c>
      <c r="C119" s="4" t="s">
        <v>35</v>
      </c>
      <c r="D119" s="42" t="s">
        <v>126</v>
      </c>
      <c r="E119" s="4" t="s">
        <v>37</v>
      </c>
      <c r="F119" s="43" t="s">
        <v>10</v>
      </c>
      <c r="G119" s="42" t="s">
        <v>38</v>
      </c>
      <c r="H119" s="4" t="str">
        <f>IFERROR(_xlfn.XLOOKUP(G119,Listas!E:E,Listas!F:F,""),"")</f>
        <v>Operativo</v>
      </c>
      <c r="I119" s="48" t="str">
        <f>IFERROR(_xlfn.XLOOKUP(G119,Listas!E:E,Listas!G:G,""),"")</f>
        <v>Externo</v>
      </c>
      <c r="J119" s="45">
        <v>235.38</v>
      </c>
      <c r="K119" s="5">
        <v>-235.38</v>
      </c>
      <c r="L119" s="6" t="s">
        <v>93</v>
      </c>
      <c r="M119" s="46">
        <v>13941.210000000001</v>
      </c>
      <c r="N119" s="27" t="str">
        <f>IF(tblMovimientos[[#This Row],[Tipo de Movimiento]]="Ingreso",tblMovimientos[[#This Row],[Monto (S/)]],"0")</f>
        <v>0</v>
      </c>
      <c r="O119" s="27">
        <f>IF(tblMovimientos[[#This Row],[Tipo de Movimiento]]="Egreso",tblMovimientos[[#This Row],[Monto (S/)]],"0")</f>
        <v>235.38</v>
      </c>
      <c r="P119" s="29">
        <f>IF(tblMovimientos[[#This Row],[Tipo de Movimiento]]="Ingreso",tblMovimientos[[#This Row],[Ingreso]],-tblMovimientos[[#This Row],[Egreso]])</f>
        <v>-235.38</v>
      </c>
    </row>
    <row r="120" spans="2:16" x14ac:dyDescent="0.3">
      <c r="B120" s="41">
        <v>46160</v>
      </c>
      <c r="C120" s="4" t="s">
        <v>21</v>
      </c>
      <c r="D120" s="42" t="s">
        <v>101</v>
      </c>
      <c r="E120" s="4" t="s">
        <v>36</v>
      </c>
      <c r="F120" s="43" t="s">
        <v>10</v>
      </c>
      <c r="G120" s="42" t="s">
        <v>38</v>
      </c>
      <c r="H120" s="4" t="str">
        <f>IFERROR(_xlfn.XLOOKUP(G120,Listas!E:E,Listas!F:F,""),"")</f>
        <v>Operativo</v>
      </c>
      <c r="I120" s="48" t="str">
        <f>IFERROR(_xlfn.XLOOKUP(G120,Listas!E:E,Listas!G:G,""),"")</f>
        <v>Externo</v>
      </c>
      <c r="J120" s="45">
        <v>2490.36</v>
      </c>
      <c r="K120" s="5">
        <v>-2490.36</v>
      </c>
      <c r="L120" s="6" t="s">
        <v>93</v>
      </c>
      <c r="M120" s="46">
        <v>15543.84</v>
      </c>
      <c r="N120" s="27" t="str">
        <f>IF(tblMovimientos[[#This Row],[Tipo de Movimiento]]="Ingreso",tblMovimientos[[#This Row],[Monto (S/)]],"0")</f>
        <v>0</v>
      </c>
      <c r="O120" s="27">
        <f>IF(tblMovimientos[[#This Row],[Tipo de Movimiento]]="Egreso",tblMovimientos[[#This Row],[Monto (S/)]],"0")</f>
        <v>2490.36</v>
      </c>
      <c r="P120" s="29">
        <f>IF(tblMovimientos[[#This Row],[Tipo de Movimiento]]="Ingreso",tblMovimientos[[#This Row],[Ingreso]],-tblMovimientos[[#This Row],[Egreso]])</f>
        <v>-2490.36</v>
      </c>
    </row>
    <row r="121" spans="2:16" x14ac:dyDescent="0.3">
      <c r="B121" s="41">
        <v>46160</v>
      </c>
      <c r="C121" s="4" t="s">
        <v>31</v>
      </c>
      <c r="D121" s="42" t="s">
        <v>121</v>
      </c>
      <c r="E121" s="4" t="s">
        <v>36</v>
      </c>
      <c r="F121" s="43" t="s">
        <v>10</v>
      </c>
      <c r="G121" s="42" t="s">
        <v>38</v>
      </c>
      <c r="H121" s="4" t="str">
        <f>IFERROR(_xlfn.XLOOKUP(G121,Listas!E:E,Listas!F:F,""),"")</f>
        <v>Operativo</v>
      </c>
      <c r="I121" s="48" t="str">
        <f>IFERROR(_xlfn.XLOOKUP(G121,Listas!E:E,Listas!G:G,""),"")</f>
        <v>Externo</v>
      </c>
      <c r="J121" s="45">
        <v>2779</v>
      </c>
      <c r="K121" s="5">
        <v>-2779</v>
      </c>
      <c r="L121" s="6" t="s">
        <v>93</v>
      </c>
      <c r="M121" s="46">
        <v>15123.179999999962</v>
      </c>
      <c r="N121" s="27" t="str">
        <f>IF(tblMovimientos[[#This Row],[Tipo de Movimiento]]="Ingreso",tblMovimientos[[#This Row],[Monto (S/)]],"0")</f>
        <v>0</v>
      </c>
      <c r="O121" s="27">
        <f>IF(tblMovimientos[[#This Row],[Tipo de Movimiento]]="Egreso",tblMovimientos[[#This Row],[Monto (S/)]],"0")</f>
        <v>2779</v>
      </c>
      <c r="P121" s="29">
        <f>IF(tblMovimientos[[#This Row],[Tipo de Movimiento]]="Ingreso",tblMovimientos[[#This Row],[Ingreso]],-tblMovimientos[[#This Row],[Egreso]])</f>
        <v>-2779</v>
      </c>
    </row>
    <row r="122" spans="2:16" x14ac:dyDescent="0.3">
      <c r="B122" s="41">
        <v>46160</v>
      </c>
      <c r="C122" s="4" t="s">
        <v>33</v>
      </c>
      <c r="D122" s="42" t="s">
        <v>124</v>
      </c>
      <c r="E122" s="4" t="s">
        <v>36</v>
      </c>
      <c r="F122" s="43" t="s">
        <v>10</v>
      </c>
      <c r="G122" s="42" t="s">
        <v>44</v>
      </c>
      <c r="H122" s="4" t="str">
        <f>IFERROR(_xlfn.XLOOKUP(G122,Listas!E:E,Listas!F:F,""),"")</f>
        <v>Operativo</v>
      </c>
      <c r="I122" s="48" t="str">
        <f>IFERROR(_xlfn.XLOOKUP(G122,Listas!E:E,Listas!G:G,""),"")</f>
        <v>Externo</v>
      </c>
      <c r="J122" s="45">
        <v>5</v>
      </c>
      <c r="K122" s="5">
        <v>-5</v>
      </c>
      <c r="L122" s="6" t="s">
        <v>93</v>
      </c>
      <c r="M122" s="46">
        <v>27006.27</v>
      </c>
      <c r="N122" s="27" t="str">
        <f>IF(tblMovimientos[[#This Row],[Tipo de Movimiento]]="Ingreso",tblMovimientos[[#This Row],[Monto (S/)]],"0")</f>
        <v>0</v>
      </c>
      <c r="O122" s="27">
        <f>IF(tblMovimientos[[#This Row],[Tipo de Movimiento]]="Egreso",tblMovimientos[[#This Row],[Monto (S/)]],"0")</f>
        <v>5</v>
      </c>
      <c r="P122" s="29">
        <f>IF(tblMovimientos[[#This Row],[Tipo de Movimiento]]="Ingreso",tblMovimientos[[#This Row],[Ingreso]],-tblMovimientos[[#This Row],[Egreso]])</f>
        <v>-5</v>
      </c>
    </row>
    <row r="123" spans="2:16" x14ac:dyDescent="0.3">
      <c r="B123" s="41">
        <v>46161</v>
      </c>
      <c r="C123" s="4" t="s">
        <v>21</v>
      </c>
      <c r="D123" s="42" t="s">
        <v>101</v>
      </c>
      <c r="E123" s="4" t="s">
        <v>36</v>
      </c>
      <c r="F123" s="43" t="s">
        <v>10</v>
      </c>
      <c r="G123" s="42" t="s">
        <v>38</v>
      </c>
      <c r="H123" s="4" t="str">
        <f>IFERROR(_xlfn.XLOOKUP(G123,Listas!E:E,Listas!F:F,""),"")</f>
        <v>Operativo</v>
      </c>
      <c r="I123" s="48" t="str">
        <f>IFERROR(_xlfn.XLOOKUP(G123,Listas!E:E,Listas!G:G,""),"")</f>
        <v>Externo</v>
      </c>
      <c r="J123" s="45">
        <v>2383.4899999999998</v>
      </c>
      <c r="K123" s="5">
        <v>-2383.4899999999998</v>
      </c>
      <c r="L123" s="6" t="s">
        <v>93</v>
      </c>
      <c r="M123" s="46">
        <v>12423.310000000001</v>
      </c>
      <c r="N123" s="27" t="str">
        <f>IF(tblMovimientos[[#This Row],[Tipo de Movimiento]]="Ingreso",tblMovimientos[[#This Row],[Monto (S/)]],"0")</f>
        <v>0</v>
      </c>
      <c r="O123" s="27">
        <f>IF(tblMovimientos[[#This Row],[Tipo de Movimiento]]="Egreso",tblMovimientos[[#This Row],[Monto (S/)]],"0")</f>
        <v>2383.4899999999998</v>
      </c>
      <c r="P123" s="29">
        <f>IF(tblMovimientos[[#This Row],[Tipo de Movimiento]]="Ingreso",tblMovimientos[[#This Row],[Ingreso]],-tblMovimientos[[#This Row],[Egreso]])</f>
        <v>-2383.4899999999998</v>
      </c>
    </row>
    <row r="124" spans="2:16" x14ac:dyDescent="0.3">
      <c r="B124" s="41">
        <v>46161</v>
      </c>
      <c r="C124" s="4" t="s">
        <v>21</v>
      </c>
      <c r="D124" s="42" t="s">
        <v>101</v>
      </c>
      <c r="E124" s="4" t="s">
        <v>36</v>
      </c>
      <c r="F124" s="43" t="s">
        <v>10</v>
      </c>
      <c r="G124" s="42" t="s">
        <v>38</v>
      </c>
      <c r="H124" s="4" t="str">
        <f>IFERROR(_xlfn.XLOOKUP(G124,Listas!E:E,Listas!F:F,""),"")</f>
        <v>Operativo</v>
      </c>
      <c r="I124" s="48" t="str">
        <f>IFERROR(_xlfn.XLOOKUP(G124,Listas!E:E,Listas!G:G,""),"")</f>
        <v>Externo</v>
      </c>
      <c r="J124" s="45">
        <v>737.04</v>
      </c>
      <c r="K124" s="5">
        <v>-737.04</v>
      </c>
      <c r="L124" s="6" t="s">
        <v>93</v>
      </c>
      <c r="M124" s="46">
        <v>12423.310000000001</v>
      </c>
      <c r="N124" s="27" t="str">
        <f>IF(tblMovimientos[[#This Row],[Tipo de Movimiento]]="Ingreso",tblMovimientos[[#This Row],[Monto (S/)]],"0")</f>
        <v>0</v>
      </c>
      <c r="O124" s="27">
        <f>IF(tblMovimientos[[#This Row],[Tipo de Movimiento]]="Egreso",tblMovimientos[[#This Row],[Monto (S/)]],"0")</f>
        <v>737.04</v>
      </c>
      <c r="P124" s="29">
        <f>IF(tblMovimientos[[#This Row],[Tipo de Movimiento]]="Ingreso",tblMovimientos[[#This Row],[Ingreso]],-tblMovimientos[[#This Row],[Egreso]])</f>
        <v>-737.04</v>
      </c>
    </row>
    <row r="125" spans="2:16" x14ac:dyDescent="0.3">
      <c r="B125" s="41">
        <v>46161</v>
      </c>
      <c r="C125" s="4" t="s">
        <v>17</v>
      </c>
      <c r="D125" s="42" t="s">
        <v>94</v>
      </c>
      <c r="E125" s="4" t="s">
        <v>36</v>
      </c>
      <c r="F125" s="43" t="s">
        <v>9</v>
      </c>
      <c r="G125" s="42" t="s">
        <v>70</v>
      </c>
      <c r="H125" s="4" t="str">
        <f>IFERROR(_xlfn.XLOOKUP(G125,Listas!E:E,Listas!F:F,""),"")</f>
        <v>Operativo</v>
      </c>
      <c r="I125" s="48" t="str">
        <f>IFERROR(_xlfn.XLOOKUP(G125,Listas!E:E,Listas!G:G,""),"")</f>
        <v>Externo</v>
      </c>
      <c r="J125" s="45">
        <v>650000</v>
      </c>
      <c r="K125" s="5">
        <v>650000</v>
      </c>
      <c r="L125" s="6" t="s">
        <v>93</v>
      </c>
      <c r="M125" s="46">
        <v>661613.90999999992</v>
      </c>
      <c r="N125" s="27">
        <f>IF(tblMovimientos[[#This Row],[Tipo de Movimiento]]="Ingreso",tblMovimientos[[#This Row],[Monto (S/)]],"0")</f>
        <v>650000</v>
      </c>
      <c r="O125" s="27" t="str">
        <f>IF(tblMovimientos[[#This Row],[Tipo de Movimiento]]="Egreso",tblMovimientos[[#This Row],[Monto (S/)]],"0")</f>
        <v>0</v>
      </c>
      <c r="P125" s="29">
        <f>IF(tblMovimientos[[#This Row],[Tipo de Movimiento]]="Ingreso",tblMovimientos[[#This Row],[Ingreso]],-tblMovimientos[[#This Row],[Egreso]])</f>
        <v>650000</v>
      </c>
    </row>
    <row r="126" spans="2:16" x14ac:dyDescent="0.3">
      <c r="B126" s="41">
        <v>46161</v>
      </c>
      <c r="C126" s="4" t="s">
        <v>22</v>
      </c>
      <c r="D126" s="42" t="s">
        <v>111</v>
      </c>
      <c r="E126" s="4" t="s">
        <v>37</v>
      </c>
      <c r="F126" s="43" t="s">
        <v>10</v>
      </c>
      <c r="G126" s="42" t="s">
        <v>53</v>
      </c>
      <c r="H126" s="4" t="str">
        <f>IFERROR(_xlfn.XLOOKUP(G126,Listas!E:E,Listas!F:F,""),"")</f>
        <v>Inversion</v>
      </c>
      <c r="I126" s="48" t="str">
        <f>IFERROR(_xlfn.XLOOKUP(G126,Listas!E:E,Listas!G:G,""),"")</f>
        <v>Interno</v>
      </c>
      <c r="J126" s="45">
        <v>30000</v>
      </c>
      <c r="K126" s="5">
        <v>-30000</v>
      </c>
      <c r="L126" s="6" t="s">
        <v>93</v>
      </c>
      <c r="M126" s="46">
        <v>20717.600000000006</v>
      </c>
      <c r="N126" s="27" t="str">
        <f>IF(tblMovimientos[[#This Row],[Tipo de Movimiento]]="Ingreso",tblMovimientos[[#This Row],[Monto (S/)]],"0")</f>
        <v>0</v>
      </c>
      <c r="O126" s="27">
        <f>IF(tblMovimientos[[#This Row],[Tipo de Movimiento]]="Egreso",tblMovimientos[[#This Row],[Monto (S/)]],"0")</f>
        <v>30000</v>
      </c>
      <c r="P126" s="29">
        <f>IF(tblMovimientos[[#This Row],[Tipo de Movimiento]]="Ingreso",tblMovimientos[[#This Row],[Ingreso]],-tblMovimientos[[#This Row],[Egreso]])</f>
        <v>-30000</v>
      </c>
    </row>
    <row r="127" spans="2:16" x14ac:dyDescent="0.3">
      <c r="B127" s="41">
        <v>46161</v>
      </c>
      <c r="C127" s="4" t="s">
        <v>35</v>
      </c>
      <c r="D127" s="42" t="s">
        <v>126</v>
      </c>
      <c r="E127" s="4" t="s">
        <v>37</v>
      </c>
      <c r="F127" s="43" t="s">
        <v>10</v>
      </c>
      <c r="G127" s="42" t="s">
        <v>38</v>
      </c>
      <c r="H127" s="4" t="str">
        <f>IFERROR(_xlfn.XLOOKUP(G127,Listas!E:E,Listas!F:F,""),"")</f>
        <v>Operativo</v>
      </c>
      <c r="I127" s="48" t="str">
        <f>IFERROR(_xlfn.XLOOKUP(G127,Listas!E:E,Listas!G:G,""),"")</f>
        <v>Externo</v>
      </c>
      <c r="J127" s="45">
        <v>25000</v>
      </c>
      <c r="K127" s="5">
        <v>-25000</v>
      </c>
      <c r="L127" s="6" t="s">
        <v>93</v>
      </c>
      <c r="M127" s="46">
        <v>18941.21</v>
      </c>
      <c r="N127" s="27" t="str">
        <f>IF(tblMovimientos[[#This Row],[Tipo de Movimiento]]="Ingreso",tblMovimientos[[#This Row],[Monto (S/)]],"0")</f>
        <v>0</v>
      </c>
      <c r="O127" s="27">
        <f>IF(tblMovimientos[[#This Row],[Tipo de Movimiento]]="Egreso",tblMovimientos[[#This Row],[Monto (S/)]],"0")</f>
        <v>25000</v>
      </c>
      <c r="P127" s="29">
        <f>IF(tblMovimientos[[#This Row],[Tipo de Movimiento]]="Ingreso",tblMovimientos[[#This Row],[Ingreso]],-tblMovimientos[[#This Row],[Egreso]])</f>
        <v>-25000</v>
      </c>
    </row>
    <row r="128" spans="2:16" x14ac:dyDescent="0.3">
      <c r="B128" s="41">
        <v>46161</v>
      </c>
      <c r="C128" s="4" t="s">
        <v>35</v>
      </c>
      <c r="D128" s="42" t="s">
        <v>126</v>
      </c>
      <c r="E128" s="4" t="s">
        <v>37</v>
      </c>
      <c r="F128" s="43" t="s">
        <v>9</v>
      </c>
      <c r="G128" s="42" t="s">
        <v>77</v>
      </c>
      <c r="H128" s="4" t="str">
        <f>IFERROR(_xlfn.XLOOKUP(G128,Listas!E:E,Listas!F:F,""),"")</f>
        <v>Inversion</v>
      </c>
      <c r="I128" s="48" t="str">
        <f>IFERROR(_xlfn.XLOOKUP(G128,Listas!E:E,Listas!G:G,""),"")</f>
        <v>Interno</v>
      </c>
      <c r="J128" s="45">
        <v>30000</v>
      </c>
      <c r="K128" s="5">
        <v>30000</v>
      </c>
      <c r="L128" s="6" t="s">
        <v>93</v>
      </c>
      <c r="M128" s="46">
        <v>18941.21</v>
      </c>
      <c r="N128" s="27">
        <f>IF(tblMovimientos[[#This Row],[Tipo de Movimiento]]="Ingreso",tblMovimientos[[#This Row],[Monto (S/)]],"0")</f>
        <v>30000</v>
      </c>
      <c r="O128" s="27" t="str">
        <f>IF(tblMovimientos[[#This Row],[Tipo de Movimiento]]="Egreso",tblMovimientos[[#This Row],[Monto (S/)]],"0")</f>
        <v>0</v>
      </c>
      <c r="P128" s="29">
        <f>IF(tblMovimientos[[#This Row],[Tipo de Movimiento]]="Ingreso",tblMovimientos[[#This Row],[Ingreso]],-tblMovimientos[[#This Row],[Egreso]])</f>
        <v>30000</v>
      </c>
    </row>
    <row r="129" spans="2:16" x14ac:dyDescent="0.3">
      <c r="B129" s="41">
        <v>46162</v>
      </c>
      <c r="C129" s="4" t="s">
        <v>35</v>
      </c>
      <c r="D129" s="42" t="s">
        <v>126</v>
      </c>
      <c r="E129" s="4" t="s">
        <v>37</v>
      </c>
      <c r="F129" s="43" t="s">
        <v>10</v>
      </c>
      <c r="G129" s="42" t="s">
        <v>44</v>
      </c>
      <c r="H129" s="4" t="str">
        <f>IFERROR(_xlfn.XLOOKUP(G129,Listas!E:E,Listas!F:F,""),"")</f>
        <v>Operativo</v>
      </c>
      <c r="I129" s="48" t="str">
        <f>IFERROR(_xlfn.XLOOKUP(G129,Listas!E:E,Listas!G:G,""),"")</f>
        <v>Externo</v>
      </c>
      <c r="J129" s="45">
        <v>15</v>
      </c>
      <c r="K129" s="5">
        <v>-15</v>
      </c>
      <c r="L129" s="6" t="s">
        <v>93</v>
      </c>
      <c r="M129" s="46">
        <v>8168.0700000000006</v>
      </c>
      <c r="N129" s="27" t="str">
        <f>IF(tblMovimientos[[#This Row],[Tipo de Movimiento]]="Ingreso",tblMovimientos[[#This Row],[Monto (S/)]],"0")</f>
        <v>0</v>
      </c>
      <c r="O129" s="27">
        <f>IF(tblMovimientos[[#This Row],[Tipo de Movimiento]]="Egreso",tblMovimientos[[#This Row],[Monto (S/)]],"0")</f>
        <v>15</v>
      </c>
      <c r="P129" s="29">
        <f>IF(tblMovimientos[[#This Row],[Tipo de Movimiento]]="Ingreso",tblMovimientos[[#This Row],[Ingreso]],-tblMovimientos[[#This Row],[Egreso]])</f>
        <v>-15</v>
      </c>
    </row>
    <row r="130" spans="2:16" x14ac:dyDescent="0.3">
      <c r="B130" s="41">
        <v>46162</v>
      </c>
      <c r="C130" s="4" t="s">
        <v>35</v>
      </c>
      <c r="D130" s="42" t="s">
        <v>126</v>
      </c>
      <c r="E130" s="4" t="s">
        <v>37</v>
      </c>
      <c r="F130" s="43" t="s">
        <v>10</v>
      </c>
      <c r="G130" s="42" t="s">
        <v>44</v>
      </c>
      <c r="H130" s="4" t="str">
        <f>IFERROR(_xlfn.XLOOKUP(G130,Listas!E:E,Listas!F:F,""),"")</f>
        <v>Operativo</v>
      </c>
      <c r="I130" s="48" t="str">
        <f>IFERROR(_xlfn.XLOOKUP(G130,Listas!E:E,Listas!G:G,""),"")</f>
        <v>Externo</v>
      </c>
      <c r="J130" s="45">
        <v>15</v>
      </c>
      <c r="K130" s="5">
        <v>-15</v>
      </c>
      <c r="L130" s="6" t="s">
        <v>93</v>
      </c>
      <c r="M130" s="46">
        <v>8168.0700000000006</v>
      </c>
      <c r="N130" s="27" t="str">
        <f>IF(tblMovimientos[[#This Row],[Tipo de Movimiento]]="Ingreso",tblMovimientos[[#This Row],[Monto (S/)]],"0")</f>
        <v>0</v>
      </c>
      <c r="O130" s="27">
        <f>IF(tblMovimientos[[#This Row],[Tipo de Movimiento]]="Egreso",tblMovimientos[[#This Row],[Monto (S/)]],"0")</f>
        <v>15</v>
      </c>
      <c r="P130" s="29">
        <f>IF(tblMovimientos[[#This Row],[Tipo de Movimiento]]="Ingreso",tblMovimientos[[#This Row],[Ingreso]],-tblMovimientos[[#This Row],[Egreso]])</f>
        <v>-15</v>
      </c>
    </row>
    <row r="131" spans="2:16" x14ac:dyDescent="0.3">
      <c r="B131" s="41">
        <v>46162</v>
      </c>
      <c r="C131" s="4" t="s">
        <v>21</v>
      </c>
      <c r="D131" s="42" t="s">
        <v>104</v>
      </c>
      <c r="E131" s="4" t="s">
        <v>37</v>
      </c>
      <c r="F131" s="43" t="s">
        <v>10</v>
      </c>
      <c r="G131" s="42" t="s">
        <v>46</v>
      </c>
      <c r="H131" s="4" t="str">
        <f>IFERROR(_xlfn.XLOOKUP(G131,Listas!E:E,Listas!F:F,""),"")</f>
        <v>Financiamiento</v>
      </c>
      <c r="I131" s="48" t="str">
        <f>IFERROR(_xlfn.XLOOKUP(G131,Listas!E:E,Listas!G:G,""),"")</f>
        <v>Externo</v>
      </c>
      <c r="J131" s="45">
        <v>2472.2199999999998</v>
      </c>
      <c r="K131" s="5">
        <v>-2472.2199999999998</v>
      </c>
      <c r="L131" s="6" t="s">
        <v>93</v>
      </c>
      <c r="M131" s="46">
        <v>211018.51999999938</v>
      </c>
      <c r="N131" s="27" t="str">
        <f>IF(tblMovimientos[[#This Row],[Tipo de Movimiento]]="Ingreso",tblMovimientos[[#This Row],[Monto (S/)]],"0")</f>
        <v>0</v>
      </c>
      <c r="O131" s="27">
        <f>IF(tblMovimientos[[#This Row],[Tipo de Movimiento]]="Egreso",tblMovimientos[[#This Row],[Monto (S/)]],"0")</f>
        <v>2472.2199999999998</v>
      </c>
      <c r="P131" s="29">
        <f>IF(tblMovimientos[[#This Row],[Tipo de Movimiento]]="Ingreso",tblMovimientos[[#This Row],[Ingreso]],-tblMovimientos[[#This Row],[Egreso]])</f>
        <v>-2472.2199999999998</v>
      </c>
    </row>
    <row r="132" spans="2:16" x14ac:dyDescent="0.3">
      <c r="B132" s="41">
        <v>46162</v>
      </c>
      <c r="C132" s="4" t="s">
        <v>21</v>
      </c>
      <c r="D132" s="42" t="s">
        <v>104</v>
      </c>
      <c r="E132" s="4" t="s">
        <v>37</v>
      </c>
      <c r="F132" s="43" t="s">
        <v>10</v>
      </c>
      <c r="G132" s="42" t="s">
        <v>65</v>
      </c>
      <c r="H132" s="4" t="str">
        <f>IFERROR(_xlfn.XLOOKUP(G132,Listas!E:E,Listas!F:F,""),"")</f>
        <v>Operativo</v>
      </c>
      <c r="I132" s="48" t="str">
        <f>IFERROR(_xlfn.XLOOKUP(G132,Listas!E:E,Listas!G:G,""),"")</f>
        <v>Externo</v>
      </c>
      <c r="J132" s="45">
        <v>20000</v>
      </c>
      <c r="K132" s="5">
        <v>-20000</v>
      </c>
      <c r="L132" s="6" t="s">
        <v>93</v>
      </c>
      <c r="M132" s="46">
        <v>211018.51999999938</v>
      </c>
      <c r="N132" s="27" t="str">
        <f>IF(tblMovimientos[[#This Row],[Tipo de Movimiento]]="Ingreso",tblMovimientos[[#This Row],[Monto (S/)]],"0")</f>
        <v>0</v>
      </c>
      <c r="O132" s="27">
        <f>IF(tblMovimientos[[#This Row],[Tipo de Movimiento]]="Egreso",tblMovimientos[[#This Row],[Monto (S/)]],"0")</f>
        <v>20000</v>
      </c>
      <c r="P132" s="29">
        <f>IF(tblMovimientos[[#This Row],[Tipo de Movimiento]]="Ingreso",tblMovimientos[[#This Row],[Ingreso]],-tblMovimientos[[#This Row],[Egreso]])</f>
        <v>-20000</v>
      </c>
    </row>
    <row r="133" spans="2:16" x14ac:dyDescent="0.3">
      <c r="B133" s="41">
        <v>46162</v>
      </c>
      <c r="C133" s="4" t="s">
        <v>35</v>
      </c>
      <c r="D133" s="42" t="s">
        <v>126</v>
      </c>
      <c r="E133" s="4" t="s">
        <v>37</v>
      </c>
      <c r="F133" s="43" t="s">
        <v>10</v>
      </c>
      <c r="G133" s="42" t="s">
        <v>38</v>
      </c>
      <c r="H133" s="4" t="str">
        <f>IFERROR(_xlfn.XLOOKUP(G133,Listas!E:E,Listas!F:F,""),"")</f>
        <v>Operativo</v>
      </c>
      <c r="I133" s="48" t="str">
        <f>IFERROR(_xlfn.XLOOKUP(G133,Listas!E:E,Listas!G:G,""),"")</f>
        <v>Externo</v>
      </c>
      <c r="J133" s="45">
        <v>45</v>
      </c>
      <c r="K133" s="5">
        <v>-45</v>
      </c>
      <c r="L133" s="6" t="s">
        <v>93</v>
      </c>
      <c r="M133" s="46">
        <v>8168.0700000000006</v>
      </c>
      <c r="N133" s="27" t="str">
        <f>IF(tblMovimientos[[#This Row],[Tipo de Movimiento]]="Ingreso",tblMovimientos[[#This Row],[Monto (S/)]],"0")</f>
        <v>0</v>
      </c>
      <c r="O133" s="27">
        <f>IF(tblMovimientos[[#This Row],[Tipo de Movimiento]]="Egreso",tblMovimientos[[#This Row],[Monto (S/)]],"0")</f>
        <v>45</v>
      </c>
      <c r="P133" s="29">
        <f>IF(tblMovimientos[[#This Row],[Tipo de Movimiento]]="Ingreso",tblMovimientos[[#This Row],[Ingreso]],-tblMovimientos[[#This Row],[Egreso]])</f>
        <v>-45</v>
      </c>
    </row>
    <row r="134" spans="2:16" x14ac:dyDescent="0.3">
      <c r="B134" s="41">
        <v>46162</v>
      </c>
      <c r="C134" s="4" t="s">
        <v>35</v>
      </c>
      <c r="D134" s="42" t="s">
        <v>126</v>
      </c>
      <c r="E134" s="4" t="s">
        <v>37</v>
      </c>
      <c r="F134" s="43" t="s">
        <v>10</v>
      </c>
      <c r="G134" s="42" t="s">
        <v>38</v>
      </c>
      <c r="H134" s="4" t="str">
        <f>IFERROR(_xlfn.XLOOKUP(G134,Listas!E:E,Listas!F:F,""),"")</f>
        <v>Operativo</v>
      </c>
      <c r="I134" s="48" t="str">
        <f>IFERROR(_xlfn.XLOOKUP(G134,Listas!E:E,Listas!G:G,""),"")</f>
        <v>Externo</v>
      </c>
      <c r="J134" s="45">
        <v>49</v>
      </c>
      <c r="K134" s="5">
        <v>-49</v>
      </c>
      <c r="L134" s="6" t="s">
        <v>93</v>
      </c>
      <c r="M134" s="46">
        <v>8168.0700000000006</v>
      </c>
      <c r="N134" s="27" t="str">
        <f>IF(tblMovimientos[[#This Row],[Tipo de Movimiento]]="Ingreso",tblMovimientos[[#This Row],[Monto (S/)]],"0")</f>
        <v>0</v>
      </c>
      <c r="O134" s="27">
        <f>IF(tblMovimientos[[#This Row],[Tipo de Movimiento]]="Egreso",tblMovimientos[[#This Row],[Monto (S/)]],"0")</f>
        <v>49</v>
      </c>
      <c r="P134" s="29">
        <f>IF(tblMovimientos[[#This Row],[Tipo de Movimiento]]="Ingreso",tblMovimientos[[#This Row],[Ingreso]],-tblMovimientos[[#This Row],[Egreso]])</f>
        <v>-49</v>
      </c>
    </row>
    <row r="135" spans="2:16" x14ac:dyDescent="0.3">
      <c r="B135" s="41">
        <v>46162</v>
      </c>
      <c r="C135" s="4" t="s">
        <v>21</v>
      </c>
      <c r="D135" s="42" t="s">
        <v>104</v>
      </c>
      <c r="E135" s="4" t="s">
        <v>37</v>
      </c>
      <c r="F135" s="43" t="s">
        <v>10</v>
      </c>
      <c r="G135" s="42" t="s">
        <v>46</v>
      </c>
      <c r="H135" s="4" t="str">
        <f>IFERROR(_xlfn.XLOOKUP(G135,Listas!E:E,Listas!F:F,""),"")</f>
        <v>Financiamiento</v>
      </c>
      <c r="I135" s="48" t="str">
        <f>IFERROR(_xlfn.XLOOKUP(G135,Listas!E:E,Listas!G:G,""),"")</f>
        <v>Externo</v>
      </c>
      <c r="J135" s="45">
        <v>26250</v>
      </c>
      <c r="K135" s="5">
        <v>-26250</v>
      </c>
      <c r="L135" s="6" t="s">
        <v>93</v>
      </c>
      <c r="M135" s="46">
        <v>211018.51999999938</v>
      </c>
      <c r="N135" s="27" t="str">
        <f>IF(tblMovimientos[[#This Row],[Tipo de Movimiento]]="Ingreso",tblMovimientos[[#This Row],[Monto (S/)]],"0")</f>
        <v>0</v>
      </c>
      <c r="O135" s="27">
        <f>IF(tblMovimientos[[#This Row],[Tipo de Movimiento]]="Egreso",tblMovimientos[[#This Row],[Monto (S/)]],"0")</f>
        <v>26250</v>
      </c>
      <c r="P135" s="29">
        <f>IF(tblMovimientos[[#This Row],[Tipo de Movimiento]]="Ingreso",tblMovimientos[[#This Row],[Ingreso]],-tblMovimientos[[#This Row],[Egreso]])</f>
        <v>-26250</v>
      </c>
    </row>
    <row r="136" spans="2:16" x14ac:dyDescent="0.3">
      <c r="B136" s="41">
        <v>46162</v>
      </c>
      <c r="C136" s="4" t="s">
        <v>21</v>
      </c>
      <c r="D136" s="42" t="s">
        <v>104</v>
      </c>
      <c r="E136" s="4" t="s">
        <v>37</v>
      </c>
      <c r="F136" s="43" t="s">
        <v>10</v>
      </c>
      <c r="G136" s="42" t="s">
        <v>46</v>
      </c>
      <c r="H136" s="4" t="str">
        <f>IFERROR(_xlfn.XLOOKUP(G136,Listas!E:E,Listas!F:F,""),"")</f>
        <v>Financiamiento</v>
      </c>
      <c r="I136" s="48" t="str">
        <f>IFERROR(_xlfn.XLOOKUP(G136,Listas!E:E,Listas!G:G,""),"")</f>
        <v>Externo</v>
      </c>
      <c r="J136" s="45">
        <v>45833.33</v>
      </c>
      <c r="K136" s="5">
        <v>-45833.33</v>
      </c>
      <c r="L136" s="6" t="s">
        <v>93</v>
      </c>
      <c r="M136" s="46">
        <v>211018.51999999938</v>
      </c>
      <c r="N136" s="27" t="str">
        <f>IF(tblMovimientos[[#This Row],[Tipo de Movimiento]]="Ingreso",tblMovimientos[[#This Row],[Monto (S/)]],"0")</f>
        <v>0</v>
      </c>
      <c r="O136" s="27">
        <f>IF(tblMovimientos[[#This Row],[Tipo de Movimiento]]="Egreso",tblMovimientos[[#This Row],[Monto (S/)]],"0")</f>
        <v>45833.33</v>
      </c>
      <c r="P136" s="29">
        <f>IF(tblMovimientos[[#This Row],[Tipo de Movimiento]]="Ingreso",tblMovimientos[[#This Row],[Ingreso]],-tblMovimientos[[#This Row],[Egreso]])</f>
        <v>-45833.33</v>
      </c>
    </row>
    <row r="137" spans="2:16" x14ac:dyDescent="0.3">
      <c r="B137" s="41">
        <v>46162</v>
      </c>
      <c r="C137" s="4" t="s">
        <v>21</v>
      </c>
      <c r="D137" s="42" t="s">
        <v>104</v>
      </c>
      <c r="E137" s="4" t="s">
        <v>37</v>
      </c>
      <c r="F137" s="43" t="s">
        <v>10</v>
      </c>
      <c r="G137" s="42" t="s">
        <v>46</v>
      </c>
      <c r="H137" s="4" t="str">
        <f>IFERROR(_xlfn.XLOOKUP(G137,Listas!E:E,Listas!F:F,""),"")</f>
        <v>Financiamiento</v>
      </c>
      <c r="I137" s="48" t="str">
        <f>IFERROR(_xlfn.XLOOKUP(G137,Listas!E:E,Listas!G:G,""),"")</f>
        <v>Externo</v>
      </c>
      <c r="J137" s="45">
        <v>49583.34</v>
      </c>
      <c r="K137" s="5">
        <v>-49583.34</v>
      </c>
      <c r="L137" s="6" t="s">
        <v>93</v>
      </c>
      <c r="M137" s="46">
        <v>211018.51999999938</v>
      </c>
      <c r="N137" s="27" t="str">
        <f>IF(tblMovimientos[[#This Row],[Tipo de Movimiento]]="Ingreso",tblMovimientos[[#This Row],[Monto (S/)]],"0")</f>
        <v>0</v>
      </c>
      <c r="O137" s="27">
        <f>IF(tblMovimientos[[#This Row],[Tipo de Movimiento]]="Egreso",tblMovimientos[[#This Row],[Monto (S/)]],"0")</f>
        <v>49583.34</v>
      </c>
      <c r="P137" s="29">
        <f>IF(tblMovimientos[[#This Row],[Tipo de Movimiento]]="Ingreso",tblMovimientos[[#This Row],[Ingreso]],-tblMovimientos[[#This Row],[Egreso]])</f>
        <v>-49583.34</v>
      </c>
    </row>
    <row r="138" spans="2:16" x14ac:dyDescent="0.3">
      <c r="B138" s="41">
        <v>46162</v>
      </c>
      <c r="C138" s="4" t="s">
        <v>21</v>
      </c>
      <c r="D138" s="42" t="s">
        <v>101</v>
      </c>
      <c r="E138" s="4" t="s">
        <v>36</v>
      </c>
      <c r="F138" s="43" t="s">
        <v>10</v>
      </c>
      <c r="G138" s="42" t="s">
        <v>38</v>
      </c>
      <c r="H138" s="4" t="str">
        <f>IFERROR(_xlfn.XLOOKUP(G138,Listas!E:E,Listas!F:F,""),"")</f>
        <v>Operativo</v>
      </c>
      <c r="I138" s="48" t="str">
        <f>IFERROR(_xlfn.XLOOKUP(G138,Listas!E:E,Listas!G:G,""),"")</f>
        <v>Externo</v>
      </c>
      <c r="J138" s="45">
        <v>6.35</v>
      </c>
      <c r="K138" s="5">
        <v>-6.35</v>
      </c>
      <c r="L138" s="6" t="s">
        <v>93</v>
      </c>
      <c r="M138" s="46">
        <v>12325.960000000001</v>
      </c>
      <c r="N138" s="27" t="str">
        <f>IF(tblMovimientos[[#This Row],[Tipo de Movimiento]]="Ingreso",tblMovimientos[[#This Row],[Monto (S/)]],"0")</f>
        <v>0</v>
      </c>
      <c r="O138" s="27">
        <f>IF(tblMovimientos[[#This Row],[Tipo de Movimiento]]="Egreso",tblMovimientos[[#This Row],[Monto (S/)]],"0")</f>
        <v>6.35</v>
      </c>
      <c r="P138" s="29">
        <f>IF(tblMovimientos[[#This Row],[Tipo de Movimiento]]="Ingreso",tblMovimientos[[#This Row],[Ingreso]],-tblMovimientos[[#This Row],[Egreso]])</f>
        <v>-6.35</v>
      </c>
    </row>
    <row r="139" spans="2:16" x14ac:dyDescent="0.3">
      <c r="B139" s="41">
        <v>46162</v>
      </c>
      <c r="C139" s="4" t="s">
        <v>21</v>
      </c>
      <c r="D139" s="42" t="s">
        <v>101</v>
      </c>
      <c r="E139" s="4" t="s">
        <v>36</v>
      </c>
      <c r="F139" s="43" t="s">
        <v>10</v>
      </c>
      <c r="G139" s="42" t="s">
        <v>41</v>
      </c>
      <c r="H139" s="4" t="str">
        <f>IFERROR(_xlfn.XLOOKUP(G139,Listas!E:E,Listas!F:F,""),"")</f>
        <v>Operativo</v>
      </c>
      <c r="I139" s="48" t="str">
        <f>IFERROR(_xlfn.XLOOKUP(G139,Listas!E:E,Listas!G:G,""),"")</f>
        <v>Externo</v>
      </c>
      <c r="J139" s="45">
        <v>91</v>
      </c>
      <c r="K139" s="5">
        <v>-91</v>
      </c>
      <c r="L139" s="6" t="s">
        <v>93</v>
      </c>
      <c r="M139" s="46">
        <v>12325.960000000001</v>
      </c>
      <c r="N139" s="27" t="str">
        <f>IF(tblMovimientos[[#This Row],[Tipo de Movimiento]]="Ingreso",tblMovimientos[[#This Row],[Monto (S/)]],"0")</f>
        <v>0</v>
      </c>
      <c r="O139" s="27">
        <f>IF(tblMovimientos[[#This Row],[Tipo de Movimiento]]="Egreso",tblMovimientos[[#This Row],[Monto (S/)]],"0")</f>
        <v>91</v>
      </c>
      <c r="P139" s="29">
        <f>IF(tblMovimientos[[#This Row],[Tipo de Movimiento]]="Ingreso",tblMovimientos[[#This Row],[Ingreso]],-tblMovimientos[[#This Row],[Egreso]])</f>
        <v>-91</v>
      </c>
    </row>
    <row r="140" spans="2:16" x14ac:dyDescent="0.3">
      <c r="B140" s="41">
        <v>46162</v>
      </c>
      <c r="C140" s="4" t="s">
        <v>21</v>
      </c>
      <c r="D140" s="42" t="s">
        <v>102</v>
      </c>
      <c r="E140" s="4" t="s">
        <v>36</v>
      </c>
      <c r="F140" s="43" t="s">
        <v>10</v>
      </c>
      <c r="G140" s="42" t="s">
        <v>38</v>
      </c>
      <c r="H140" s="4" t="str">
        <f>IFERROR(_xlfn.XLOOKUP(G140,Listas!E:E,Listas!F:F,""),"")</f>
        <v>Operativo</v>
      </c>
      <c r="I140" s="48" t="str">
        <f>IFERROR(_xlfn.XLOOKUP(G140,Listas!E:E,Listas!G:G,""),"")</f>
        <v>Externo</v>
      </c>
      <c r="J140" s="45">
        <v>166.66</v>
      </c>
      <c r="K140" s="5">
        <v>-166.66</v>
      </c>
      <c r="L140" s="6" t="s">
        <v>93</v>
      </c>
      <c r="M140" s="46">
        <v>563</v>
      </c>
      <c r="N140" s="27" t="str">
        <f>IF(tblMovimientos[[#This Row],[Tipo de Movimiento]]="Ingreso",tblMovimientos[[#This Row],[Monto (S/)]],"0")</f>
        <v>0</v>
      </c>
      <c r="O140" s="27">
        <f>IF(tblMovimientos[[#This Row],[Tipo de Movimiento]]="Egreso",tblMovimientos[[#This Row],[Monto (S/)]],"0")</f>
        <v>166.66</v>
      </c>
      <c r="P140" s="29">
        <f>IF(tblMovimientos[[#This Row],[Tipo de Movimiento]]="Ingreso",tblMovimientos[[#This Row],[Ingreso]],-tblMovimientos[[#This Row],[Egreso]])</f>
        <v>-166.66</v>
      </c>
    </row>
    <row r="141" spans="2:16" x14ac:dyDescent="0.3">
      <c r="B141" s="41">
        <v>46162</v>
      </c>
      <c r="C141" s="4" t="s">
        <v>17</v>
      </c>
      <c r="D141" s="42" t="s">
        <v>94</v>
      </c>
      <c r="E141" s="4" t="s">
        <v>36</v>
      </c>
      <c r="F141" s="43" t="s">
        <v>10</v>
      </c>
      <c r="G141" s="42" t="s">
        <v>64</v>
      </c>
      <c r="H141" s="4" t="str">
        <f>IFERROR(_xlfn.XLOOKUP(G141,Listas!E:E,Listas!F:F,""),"")</f>
        <v>Operativo</v>
      </c>
      <c r="I141" s="48" t="str">
        <f>IFERROR(_xlfn.XLOOKUP(G141,Listas!E:E,Listas!G:G,""),"")</f>
        <v>Interno</v>
      </c>
      <c r="J141" s="45">
        <v>650000</v>
      </c>
      <c r="K141" s="5">
        <v>-650000</v>
      </c>
      <c r="L141" s="6" t="s">
        <v>93</v>
      </c>
      <c r="M141" s="46">
        <v>11583.909999999974</v>
      </c>
      <c r="N141" s="27" t="str">
        <f>IF(tblMovimientos[[#This Row],[Tipo de Movimiento]]="Ingreso",tblMovimientos[[#This Row],[Monto (S/)]],"0")</f>
        <v>0</v>
      </c>
      <c r="O141" s="27">
        <f>IF(tblMovimientos[[#This Row],[Tipo de Movimiento]]="Egreso",tblMovimientos[[#This Row],[Monto (S/)]],"0")</f>
        <v>650000</v>
      </c>
      <c r="P141" s="29">
        <f>IF(tblMovimientos[[#This Row],[Tipo de Movimiento]]="Ingreso",tblMovimientos[[#This Row],[Ingreso]],-tblMovimientos[[#This Row],[Egreso]])</f>
        <v>-650000</v>
      </c>
    </row>
    <row r="142" spans="2:16" x14ac:dyDescent="0.3">
      <c r="B142" s="41">
        <v>46162</v>
      </c>
      <c r="C142" s="4" t="s">
        <v>17</v>
      </c>
      <c r="D142" s="42" t="s">
        <v>94</v>
      </c>
      <c r="E142" s="4" t="s">
        <v>36</v>
      </c>
      <c r="F142" s="43" t="s">
        <v>10</v>
      </c>
      <c r="G142" s="42" t="s">
        <v>44</v>
      </c>
      <c r="H142" s="4" t="str">
        <f>IFERROR(_xlfn.XLOOKUP(G142,Listas!E:E,Listas!F:F,""),"")</f>
        <v>Operativo</v>
      </c>
      <c r="I142" s="48" t="str">
        <f>IFERROR(_xlfn.XLOOKUP(G142,Listas!E:E,Listas!G:G,""),"")</f>
        <v>Externo</v>
      </c>
      <c r="J142" s="45">
        <v>30</v>
      </c>
      <c r="K142" s="5">
        <v>-30</v>
      </c>
      <c r="L142" s="6" t="s">
        <v>93</v>
      </c>
      <c r="M142" s="46">
        <v>11583.909999999974</v>
      </c>
      <c r="N142" s="27" t="str">
        <f>IF(tblMovimientos[[#This Row],[Tipo de Movimiento]]="Ingreso",tblMovimientos[[#This Row],[Monto (S/)]],"0")</f>
        <v>0</v>
      </c>
      <c r="O142" s="27">
        <f>IF(tblMovimientos[[#This Row],[Tipo de Movimiento]]="Egreso",tblMovimientos[[#This Row],[Monto (S/)]],"0")</f>
        <v>30</v>
      </c>
      <c r="P142" s="29">
        <f>IF(tblMovimientos[[#This Row],[Tipo de Movimiento]]="Ingreso",tblMovimientos[[#This Row],[Ingreso]],-tblMovimientos[[#This Row],[Egreso]])</f>
        <v>-30</v>
      </c>
    </row>
    <row r="143" spans="2:16" x14ac:dyDescent="0.3">
      <c r="B143" s="41">
        <v>46162</v>
      </c>
      <c r="C143" s="4" t="s">
        <v>22</v>
      </c>
      <c r="D143" s="42" t="s">
        <v>110</v>
      </c>
      <c r="E143" s="4" t="s">
        <v>36</v>
      </c>
      <c r="F143" s="43" t="s">
        <v>9</v>
      </c>
      <c r="G143" s="42" t="s">
        <v>79</v>
      </c>
      <c r="H143" s="4" t="str">
        <f>IFERROR(_xlfn.XLOOKUP(G143,Listas!E:E,Listas!F:F,""),"")</f>
        <v>Inversion</v>
      </c>
      <c r="I143" s="48" t="str">
        <f>IFERROR(_xlfn.XLOOKUP(G143,Listas!E:E,Listas!G:G,""),"")</f>
        <v>Externo</v>
      </c>
      <c r="J143" s="45">
        <v>50000</v>
      </c>
      <c r="K143" s="5">
        <v>50000</v>
      </c>
      <c r="L143" s="6" t="s">
        <v>93</v>
      </c>
      <c r="M143" s="46">
        <v>57206.89</v>
      </c>
      <c r="N143" s="27">
        <f>IF(tblMovimientos[[#This Row],[Tipo de Movimiento]]="Ingreso",tblMovimientos[[#This Row],[Monto (S/)]],"0")</f>
        <v>50000</v>
      </c>
      <c r="O143" s="27" t="str">
        <f>IF(tblMovimientos[[#This Row],[Tipo de Movimiento]]="Egreso",tblMovimientos[[#This Row],[Monto (S/)]],"0")</f>
        <v>0</v>
      </c>
      <c r="P143" s="29">
        <f>IF(tblMovimientos[[#This Row],[Tipo de Movimiento]]="Ingreso",tblMovimientos[[#This Row],[Ingreso]],-tblMovimientos[[#This Row],[Egreso]])</f>
        <v>50000</v>
      </c>
    </row>
    <row r="144" spans="2:16" x14ac:dyDescent="0.3">
      <c r="B144" s="41">
        <v>46162</v>
      </c>
      <c r="C144" s="4" t="s">
        <v>22</v>
      </c>
      <c r="D144" s="42" t="s">
        <v>110</v>
      </c>
      <c r="E144" s="4" t="s">
        <v>36</v>
      </c>
      <c r="F144" s="43" t="s">
        <v>10</v>
      </c>
      <c r="G144" s="42" t="s">
        <v>44</v>
      </c>
      <c r="H144" s="4" t="str">
        <f>IFERROR(_xlfn.XLOOKUP(G144,Listas!E:E,Listas!F:F,""),"")</f>
        <v>Operativo</v>
      </c>
      <c r="I144" s="48" t="str">
        <f>IFERROR(_xlfn.XLOOKUP(G144,Listas!E:E,Listas!G:G,""),"")</f>
        <v>Externo</v>
      </c>
      <c r="J144" s="45">
        <v>15</v>
      </c>
      <c r="K144" s="5">
        <v>-15</v>
      </c>
      <c r="L144" s="6" t="s">
        <v>93</v>
      </c>
      <c r="M144" s="46">
        <v>57206.89</v>
      </c>
      <c r="N144" s="27" t="str">
        <f>IF(tblMovimientos[[#This Row],[Tipo de Movimiento]]="Ingreso",tblMovimientos[[#This Row],[Monto (S/)]],"0")</f>
        <v>0</v>
      </c>
      <c r="O144" s="27">
        <f>IF(tblMovimientos[[#This Row],[Tipo de Movimiento]]="Egreso",tblMovimientos[[#This Row],[Monto (S/)]],"0")</f>
        <v>15</v>
      </c>
      <c r="P144" s="29">
        <f>IF(tblMovimientos[[#This Row],[Tipo de Movimiento]]="Ingreso",tblMovimientos[[#This Row],[Ingreso]],-tblMovimientos[[#This Row],[Egreso]])</f>
        <v>-15</v>
      </c>
    </row>
    <row r="145" spans="2:16" x14ac:dyDescent="0.3">
      <c r="B145" s="41">
        <v>46162</v>
      </c>
      <c r="C145" s="4" t="s">
        <v>33</v>
      </c>
      <c r="D145" s="42" t="s">
        <v>124</v>
      </c>
      <c r="E145" s="4" t="s">
        <v>36</v>
      </c>
      <c r="F145" s="43" t="s">
        <v>9</v>
      </c>
      <c r="G145" s="42" t="s">
        <v>82</v>
      </c>
      <c r="H145" s="4" t="str">
        <f>IFERROR(_xlfn.XLOOKUP(G145,Listas!E:E,Listas!F:F,""),"")</f>
        <v>Operativo</v>
      </c>
      <c r="I145" s="48" t="str">
        <f>IFERROR(_xlfn.XLOOKUP(G145,Listas!E:E,Listas!G:G,""),"")</f>
        <v>Externo</v>
      </c>
      <c r="J145" s="45">
        <v>2200</v>
      </c>
      <c r="K145" s="5">
        <v>2200</v>
      </c>
      <c r="L145" s="6" t="s">
        <v>93</v>
      </c>
      <c r="M145" s="46">
        <v>29206.27</v>
      </c>
      <c r="N145" s="27">
        <f>IF(tblMovimientos[[#This Row],[Tipo de Movimiento]]="Ingreso",tblMovimientos[[#This Row],[Monto (S/)]],"0")</f>
        <v>2200</v>
      </c>
      <c r="O145" s="27" t="str">
        <f>IF(tblMovimientos[[#This Row],[Tipo de Movimiento]]="Egreso",tblMovimientos[[#This Row],[Monto (S/)]],"0")</f>
        <v>0</v>
      </c>
      <c r="P145" s="29">
        <f>IF(tblMovimientos[[#This Row],[Tipo de Movimiento]]="Ingreso",tblMovimientos[[#This Row],[Ingreso]],-tblMovimientos[[#This Row],[Egreso]])</f>
        <v>2200</v>
      </c>
    </row>
    <row r="146" spans="2:16" x14ac:dyDescent="0.3">
      <c r="B146" s="41">
        <v>46162</v>
      </c>
      <c r="C146" s="4" t="s">
        <v>17</v>
      </c>
      <c r="D146" s="42" t="s">
        <v>95</v>
      </c>
      <c r="E146" s="4" t="s">
        <v>37</v>
      </c>
      <c r="F146" s="43" t="s">
        <v>9</v>
      </c>
      <c r="G146" s="42" t="s">
        <v>86</v>
      </c>
      <c r="H146" s="4" t="str">
        <f>IFERROR(_xlfn.XLOOKUP(G146,Listas!E:E,Listas!F:F,""),"")</f>
        <v>Inversion</v>
      </c>
      <c r="I146" s="48" t="str">
        <f>IFERROR(_xlfn.XLOOKUP(G146,Listas!E:E,Listas!G:G,""),"")</f>
        <v>Externo</v>
      </c>
      <c r="J146" s="45">
        <v>25274</v>
      </c>
      <c r="K146" s="5">
        <v>25274</v>
      </c>
      <c r="L146" s="6" t="s">
        <v>93</v>
      </c>
      <c r="M146" s="46">
        <v>125481.8600000001</v>
      </c>
      <c r="N146" s="27">
        <f>IF(tblMovimientos[[#This Row],[Tipo de Movimiento]]="Ingreso",tblMovimientos[[#This Row],[Monto (S/)]],"0")</f>
        <v>25274</v>
      </c>
      <c r="O146" s="27" t="str">
        <f>IF(tblMovimientos[[#This Row],[Tipo de Movimiento]]="Egreso",tblMovimientos[[#This Row],[Monto (S/)]],"0")</f>
        <v>0</v>
      </c>
      <c r="P146" s="29">
        <f>IF(tblMovimientos[[#This Row],[Tipo de Movimiento]]="Ingreso",tblMovimientos[[#This Row],[Ingreso]],-tblMovimientos[[#This Row],[Egreso]])</f>
        <v>25274</v>
      </c>
    </row>
    <row r="147" spans="2:16" x14ac:dyDescent="0.3">
      <c r="B147" s="41">
        <v>46162</v>
      </c>
      <c r="C147" s="4" t="s">
        <v>17</v>
      </c>
      <c r="D147" s="42" t="s">
        <v>95</v>
      </c>
      <c r="E147" s="4" t="s">
        <v>37</v>
      </c>
      <c r="F147" s="43" t="s">
        <v>9</v>
      </c>
      <c r="G147" s="42" t="s">
        <v>85</v>
      </c>
      <c r="H147" s="4" t="str">
        <f>IFERROR(_xlfn.XLOOKUP(G147,Listas!E:E,Listas!F:F,""),"")</f>
        <v>Operativo</v>
      </c>
      <c r="I147" s="48" t="str">
        <f>IFERROR(_xlfn.XLOOKUP(G147,Listas!E:E,Listas!G:G,""),"")</f>
        <v>Interno</v>
      </c>
      <c r="J147" s="45">
        <v>650000</v>
      </c>
      <c r="K147" s="5">
        <v>650000</v>
      </c>
      <c r="L147" s="6" t="s">
        <v>93</v>
      </c>
      <c r="M147" s="46">
        <v>125481.8600000001</v>
      </c>
      <c r="N147" s="27">
        <f>IF(tblMovimientos[[#This Row],[Tipo de Movimiento]]="Ingreso",tblMovimientos[[#This Row],[Monto (S/)]],"0")</f>
        <v>650000</v>
      </c>
      <c r="O147" s="27" t="str">
        <f>IF(tblMovimientos[[#This Row],[Tipo de Movimiento]]="Egreso",tblMovimientos[[#This Row],[Monto (S/)]],"0")</f>
        <v>0</v>
      </c>
      <c r="P147" s="29">
        <f>IF(tblMovimientos[[#This Row],[Tipo de Movimiento]]="Ingreso",tblMovimientos[[#This Row],[Ingreso]],-tblMovimientos[[#This Row],[Egreso]])</f>
        <v>650000</v>
      </c>
    </row>
    <row r="148" spans="2:16" x14ac:dyDescent="0.3">
      <c r="B148" s="41">
        <v>46162</v>
      </c>
      <c r="C148" s="4" t="s">
        <v>17</v>
      </c>
      <c r="D148" s="42" t="s">
        <v>95</v>
      </c>
      <c r="E148" s="4" t="s">
        <v>37</v>
      </c>
      <c r="F148" s="43" t="s">
        <v>10</v>
      </c>
      <c r="G148" s="42" t="s">
        <v>46</v>
      </c>
      <c r="H148" s="4" t="str">
        <f>IFERROR(_xlfn.XLOOKUP(G148,Listas!E:E,Listas!F:F,""),"")</f>
        <v>Financiamiento</v>
      </c>
      <c r="I148" s="48" t="str">
        <f>IFERROR(_xlfn.XLOOKUP(G148,Listas!E:E,Listas!G:G,""),"")</f>
        <v>Externo</v>
      </c>
      <c r="J148" s="45">
        <v>2366.67</v>
      </c>
      <c r="K148" s="5">
        <v>-2366.67</v>
      </c>
      <c r="L148" s="6" t="s">
        <v>93</v>
      </c>
      <c r="M148" s="46">
        <v>125481.8600000001</v>
      </c>
      <c r="N148" s="27" t="str">
        <f>IF(tblMovimientos[[#This Row],[Tipo de Movimiento]]="Ingreso",tblMovimientos[[#This Row],[Monto (S/)]],"0")</f>
        <v>0</v>
      </c>
      <c r="O148" s="27">
        <f>IF(tblMovimientos[[#This Row],[Tipo de Movimiento]]="Egreso",tblMovimientos[[#This Row],[Monto (S/)]],"0")</f>
        <v>2366.67</v>
      </c>
      <c r="P148" s="29">
        <f>IF(tblMovimientos[[#This Row],[Tipo de Movimiento]]="Ingreso",tblMovimientos[[#This Row],[Ingreso]],-tblMovimientos[[#This Row],[Egreso]])</f>
        <v>-2366.67</v>
      </c>
    </row>
    <row r="149" spans="2:16" x14ac:dyDescent="0.3">
      <c r="B149" s="41">
        <v>46162</v>
      </c>
      <c r="C149" s="4" t="s">
        <v>17</v>
      </c>
      <c r="D149" s="42" t="s">
        <v>95</v>
      </c>
      <c r="E149" s="4" t="s">
        <v>37</v>
      </c>
      <c r="F149" s="43" t="s">
        <v>10</v>
      </c>
      <c r="G149" s="42" t="s">
        <v>46</v>
      </c>
      <c r="H149" s="4" t="str">
        <f>IFERROR(_xlfn.XLOOKUP(G149,Listas!E:E,Listas!F:F,""),"")</f>
        <v>Financiamiento</v>
      </c>
      <c r="I149" s="48" t="str">
        <f>IFERROR(_xlfn.XLOOKUP(G149,Listas!E:E,Listas!G:G,""),"")</f>
        <v>Externo</v>
      </c>
      <c r="J149" s="45">
        <v>2916.67</v>
      </c>
      <c r="K149" s="5">
        <v>-2916.67</v>
      </c>
      <c r="L149" s="6" t="s">
        <v>93</v>
      </c>
      <c r="M149" s="46">
        <v>125481.8600000001</v>
      </c>
      <c r="N149" s="27" t="str">
        <f>IF(tblMovimientos[[#This Row],[Tipo de Movimiento]]="Ingreso",tblMovimientos[[#This Row],[Monto (S/)]],"0")</f>
        <v>0</v>
      </c>
      <c r="O149" s="27">
        <f>IF(tblMovimientos[[#This Row],[Tipo de Movimiento]]="Egreso",tblMovimientos[[#This Row],[Monto (S/)]],"0")</f>
        <v>2916.67</v>
      </c>
      <c r="P149" s="29">
        <f>IF(tblMovimientos[[#This Row],[Tipo de Movimiento]]="Ingreso",tblMovimientos[[#This Row],[Ingreso]],-tblMovimientos[[#This Row],[Egreso]])</f>
        <v>-2916.67</v>
      </c>
    </row>
    <row r="150" spans="2:16" x14ac:dyDescent="0.3">
      <c r="B150" s="41">
        <v>46162</v>
      </c>
      <c r="C150" s="4" t="s">
        <v>17</v>
      </c>
      <c r="D150" s="42" t="s">
        <v>95</v>
      </c>
      <c r="E150" s="4" t="s">
        <v>37</v>
      </c>
      <c r="F150" s="43" t="s">
        <v>10</v>
      </c>
      <c r="G150" s="42" t="s">
        <v>46</v>
      </c>
      <c r="H150" s="4" t="str">
        <f>IFERROR(_xlfn.XLOOKUP(G150,Listas!E:E,Listas!F:F,""),"")</f>
        <v>Financiamiento</v>
      </c>
      <c r="I150" s="48" t="str">
        <f>IFERROR(_xlfn.XLOOKUP(G150,Listas!E:E,Listas!G:G,""),"")</f>
        <v>Externo</v>
      </c>
      <c r="J150" s="45">
        <v>3500</v>
      </c>
      <c r="K150" s="5">
        <v>-3500</v>
      </c>
      <c r="L150" s="6" t="s">
        <v>93</v>
      </c>
      <c r="M150" s="46">
        <v>125481.8600000001</v>
      </c>
      <c r="N150" s="27" t="str">
        <f>IF(tblMovimientos[[#This Row],[Tipo de Movimiento]]="Ingreso",tblMovimientos[[#This Row],[Monto (S/)]],"0")</f>
        <v>0</v>
      </c>
      <c r="O150" s="27">
        <f>IF(tblMovimientos[[#This Row],[Tipo de Movimiento]]="Egreso",tblMovimientos[[#This Row],[Monto (S/)]],"0")</f>
        <v>3500</v>
      </c>
      <c r="P150" s="29">
        <f>IF(tblMovimientos[[#This Row],[Tipo de Movimiento]]="Ingreso",tblMovimientos[[#This Row],[Ingreso]],-tblMovimientos[[#This Row],[Egreso]])</f>
        <v>-3500</v>
      </c>
    </row>
    <row r="151" spans="2:16" x14ac:dyDescent="0.3">
      <c r="B151" s="41">
        <v>46162</v>
      </c>
      <c r="C151" s="4" t="s">
        <v>17</v>
      </c>
      <c r="D151" s="42" t="s">
        <v>95</v>
      </c>
      <c r="E151" s="4" t="s">
        <v>37</v>
      </c>
      <c r="F151" s="43" t="s">
        <v>10</v>
      </c>
      <c r="G151" s="42" t="s">
        <v>46</v>
      </c>
      <c r="H151" s="4" t="str">
        <f>IFERROR(_xlfn.XLOOKUP(G151,Listas!E:E,Listas!F:F,""),"")</f>
        <v>Financiamiento</v>
      </c>
      <c r="I151" s="48" t="str">
        <f>IFERROR(_xlfn.XLOOKUP(G151,Listas!E:E,Listas!G:G,""),"")</f>
        <v>Externo</v>
      </c>
      <c r="J151" s="45">
        <v>3708.33</v>
      </c>
      <c r="K151" s="5">
        <v>-3708.33</v>
      </c>
      <c r="L151" s="6" t="s">
        <v>93</v>
      </c>
      <c r="M151" s="46">
        <v>125481.8600000001</v>
      </c>
      <c r="N151" s="27" t="str">
        <f>IF(tblMovimientos[[#This Row],[Tipo de Movimiento]]="Ingreso",tblMovimientos[[#This Row],[Monto (S/)]],"0")</f>
        <v>0</v>
      </c>
      <c r="O151" s="27">
        <f>IF(tblMovimientos[[#This Row],[Tipo de Movimiento]]="Egreso",tblMovimientos[[#This Row],[Monto (S/)]],"0")</f>
        <v>3708.33</v>
      </c>
      <c r="P151" s="29">
        <f>IF(tblMovimientos[[#This Row],[Tipo de Movimiento]]="Ingreso",tblMovimientos[[#This Row],[Ingreso]],-tblMovimientos[[#This Row],[Egreso]])</f>
        <v>-3708.33</v>
      </c>
    </row>
    <row r="152" spans="2:16" x14ac:dyDescent="0.3">
      <c r="B152" s="41">
        <v>46162</v>
      </c>
      <c r="C152" s="4" t="s">
        <v>17</v>
      </c>
      <c r="D152" s="42" t="s">
        <v>95</v>
      </c>
      <c r="E152" s="4" t="s">
        <v>37</v>
      </c>
      <c r="F152" s="43" t="s">
        <v>10</v>
      </c>
      <c r="G152" s="42" t="s">
        <v>46</v>
      </c>
      <c r="H152" s="4" t="str">
        <f>IFERROR(_xlfn.XLOOKUP(G152,Listas!E:E,Listas!F:F,""),"")</f>
        <v>Financiamiento</v>
      </c>
      <c r="I152" s="48" t="str">
        <f>IFERROR(_xlfn.XLOOKUP(G152,Listas!E:E,Listas!G:G,""),"")</f>
        <v>Externo</v>
      </c>
      <c r="J152" s="45">
        <v>10266.67</v>
      </c>
      <c r="K152" s="5">
        <v>-10266.67</v>
      </c>
      <c r="L152" s="6" t="s">
        <v>93</v>
      </c>
      <c r="M152" s="46">
        <v>125481.8600000001</v>
      </c>
      <c r="N152" s="27" t="str">
        <f>IF(tblMovimientos[[#This Row],[Tipo de Movimiento]]="Ingreso",tblMovimientos[[#This Row],[Monto (S/)]],"0")</f>
        <v>0</v>
      </c>
      <c r="O152" s="27">
        <f>IF(tblMovimientos[[#This Row],[Tipo de Movimiento]]="Egreso",tblMovimientos[[#This Row],[Monto (S/)]],"0")</f>
        <v>10266.67</v>
      </c>
      <c r="P152" s="29">
        <f>IF(tblMovimientos[[#This Row],[Tipo de Movimiento]]="Ingreso",tblMovimientos[[#This Row],[Ingreso]],-tblMovimientos[[#This Row],[Egreso]])</f>
        <v>-10266.67</v>
      </c>
    </row>
    <row r="153" spans="2:16" x14ac:dyDescent="0.3">
      <c r="B153" s="41">
        <v>46162</v>
      </c>
      <c r="C153" s="4" t="s">
        <v>17</v>
      </c>
      <c r="D153" s="42" t="s">
        <v>95</v>
      </c>
      <c r="E153" s="4" t="s">
        <v>37</v>
      </c>
      <c r="F153" s="43" t="s">
        <v>10</v>
      </c>
      <c r="G153" s="42" t="s">
        <v>46</v>
      </c>
      <c r="H153" s="4" t="str">
        <f>IFERROR(_xlfn.XLOOKUP(G153,Listas!E:E,Listas!F:F,""),"")</f>
        <v>Financiamiento</v>
      </c>
      <c r="I153" s="48" t="str">
        <f>IFERROR(_xlfn.XLOOKUP(G153,Listas!E:E,Listas!G:G,""),"")</f>
        <v>Externo</v>
      </c>
      <c r="J153" s="45">
        <v>11666.67</v>
      </c>
      <c r="K153" s="5">
        <v>-11666.67</v>
      </c>
      <c r="L153" s="6" t="s">
        <v>93</v>
      </c>
      <c r="M153" s="46">
        <v>125481.8600000001</v>
      </c>
      <c r="N153" s="27" t="str">
        <f>IF(tblMovimientos[[#This Row],[Tipo de Movimiento]]="Ingreso",tblMovimientos[[#This Row],[Monto (S/)]],"0")</f>
        <v>0</v>
      </c>
      <c r="O153" s="27">
        <f>IF(tblMovimientos[[#This Row],[Tipo de Movimiento]]="Egreso",tblMovimientos[[#This Row],[Monto (S/)]],"0")</f>
        <v>11666.67</v>
      </c>
      <c r="P153" s="29">
        <f>IF(tblMovimientos[[#This Row],[Tipo de Movimiento]]="Ingreso",tblMovimientos[[#This Row],[Ingreso]],-tblMovimientos[[#This Row],[Egreso]])</f>
        <v>-11666.67</v>
      </c>
    </row>
    <row r="154" spans="2:16" x14ac:dyDescent="0.3">
      <c r="B154" s="41">
        <v>46162</v>
      </c>
      <c r="C154" s="4" t="s">
        <v>17</v>
      </c>
      <c r="D154" s="42" t="s">
        <v>95</v>
      </c>
      <c r="E154" s="4" t="s">
        <v>37</v>
      </c>
      <c r="F154" s="43" t="s">
        <v>10</v>
      </c>
      <c r="G154" s="42" t="s">
        <v>46</v>
      </c>
      <c r="H154" s="4" t="str">
        <f>IFERROR(_xlfn.XLOOKUP(G154,Listas!E:E,Listas!F:F,""),"")</f>
        <v>Financiamiento</v>
      </c>
      <c r="I154" s="48" t="str">
        <f>IFERROR(_xlfn.XLOOKUP(G154,Listas!E:E,Listas!G:G,""),"")</f>
        <v>Externo</v>
      </c>
      <c r="J154" s="45">
        <v>22166.67</v>
      </c>
      <c r="K154" s="5">
        <v>-22166.67</v>
      </c>
      <c r="L154" s="6" t="s">
        <v>93</v>
      </c>
      <c r="M154" s="46">
        <v>125481.8600000001</v>
      </c>
      <c r="N154" s="27" t="str">
        <f>IF(tblMovimientos[[#This Row],[Tipo de Movimiento]]="Ingreso",tblMovimientos[[#This Row],[Monto (S/)]],"0")</f>
        <v>0</v>
      </c>
      <c r="O154" s="27">
        <f>IF(tblMovimientos[[#This Row],[Tipo de Movimiento]]="Egreso",tblMovimientos[[#This Row],[Monto (S/)]],"0")</f>
        <v>22166.67</v>
      </c>
      <c r="P154" s="29">
        <f>IF(tblMovimientos[[#This Row],[Tipo de Movimiento]]="Ingreso",tblMovimientos[[#This Row],[Ingreso]],-tblMovimientos[[#This Row],[Egreso]])</f>
        <v>-22166.67</v>
      </c>
    </row>
    <row r="155" spans="2:16" x14ac:dyDescent="0.3">
      <c r="B155" s="41">
        <v>46162</v>
      </c>
      <c r="C155" s="4" t="s">
        <v>17</v>
      </c>
      <c r="D155" s="42" t="s">
        <v>95</v>
      </c>
      <c r="E155" s="4" t="s">
        <v>37</v>
      </c>
      <c r="F155" s="43" t="s">
        <v>10</v>
      </c>
      <c r="G155" s="42" t="s">
        <v>46</v>
      </c>
      <c r="H155" s="4" t="str">
        <f>IFERROR(_xlfn.XLOOKUP(G155,Listas!E:E,Listas!F:F,""),"")</f>
        <v>Financiamiento</v>
      </c>
      <c r="I155" s="48" t="str">
        <f>IFERROR(_xlfn.XLOOKUP(G155,Listas!E:E,Listas!G:G,""),"")</f>
        <v>Externo</v>
      </c>
      <c r="J155" s="45">
        <v>23333.33</v>
      </c>
      <c r="K155" s="5">
        <v>-23333.33</v>
      </c>
      <c r="L155" s="6" t="s">
        <v>93</v>
      </c>
      <c r="M155" s="46">
        <v>125481.8600000001</v>
      </c>
      <c r="N155" s="27" t="str">
        <f>IF(tblMovimientos[[#This Row],[Tipo de Movimiento]]="Ingreso",tblMovimientos[[#This Row],[Monto (S/)]],"0")</f>
        <v>0</v>
      </c>
      <c r="O155" s="27">
        <f>IF(tblMovimientos[[#This Row],[Tipo de Movimiento]]="Egreso",tblMovimientos[[#This Row],[Monto (S/)]],"0")</f>
        <v>23333.33</v>
      </c>
      <c r="P155" s="29">
        <f>IF(tblMovimientos[[#This Row],[Tipo de Movimiento]]="Ingreso",tblMovimientos[[#This Row],[Ingreso]],-tblMovimientos[[#This Row],[Egreso]])</f>
        <v>-23333.33</v>
      </c>
    </row>
    <row r="156" spans="2:16" x14ac:dyDescent="0.3">
      <c r="B156" s="41">
        <v>46162</v>
      </c>
      <c r="C156" s="4" t="s">
        <v>17</v>
      </c>
      <c r="D156" s="42" t="s">
        <v>95</v>
      </c>
      <c r="E156" s="4" t="s">
        <v>37</v>
      </c>
      <c r="F156" s="43" t="s">
        <v>10</v>
      </c>
      <c r="G156" s="42" t="s">
        <v>61</v>
      </c>
      <c r="H156" s="4" t="str">
        <f>IFERROR(_xlfn.XLOOKUP(G156,Listas!E:E,Listas!F:F,""),"")</f>
        <v>Operativo</v>
      </c>
      <c r="I156" s="48" t="str">
        <f>IFERROR(_xlfn.XLOOKUP(G156,Listas!E:E,Listas!G:G,""),"")</f>
        <v>Externo</v>
      </c>
      <c r="J156" s="45">
        <v>35000</v>
      </c>
      <c r="K156" s="5">
        <v>-35000</v>
      </c>
      <c r="L156" s="6" t="s">
        <v>93</v>
      </c>
      <c r="M156" s="46">
        <v>125481.8600000001</v>
      </c>
      <c r="N156" s="27" t="str">
        <f>IF(tblMovimientos[[#This Row],[Tipo de Movimiento]]="Ingreso",tblMovimientos[[#This Row],[Monto (S/)]],"0")</f>
        <v>0</v>
      </c>
      <c r="O156" s="27">
        <f>IF(tblMovimientos[[#This Row],[Tipo de Movimiento]]="Egreso",tblMovimientos[[#This Row],[Monto (S/)]],"0")</f>
        <v>35000</v>
      </c>
      <c r="P156" s="29">
        <f>IF(tblMovimientos[[#This Row],[Tipo de Movimiento]]="Ingreso",tblMovimientos[[#This Row],[Ingreso]],-tblMovimientos[[#This Row],[Egreso]])</f>
        <v>-35000</v>
      </c>
    </row>
    <row r="157" spans="2:16" x14ac:dyDescent="0.3">
      <c r="B157" s="41">
        <v>46162</v>
      </c>
      <c r="C157" s="4" t="s">
        <v>17</v>
      </c>
      <c r="D157" s="42" t="s">
        <v>95</v>
      </c>
      <c r="E157" s="4" t="s">
        <v>37</v>
      </c>
      <c r="F157" s="43" t="s">
        <v>10</v>
      </c>
      <c r="G157" s="42" t="s">
        <v>61</v>
      </c>
      <c r="H157" s="4" t="str">
        <f>IFERROR(_xlfn.XLOOKUP(G157,Listas!E:E,Listas!F:F,""),"")</f>
        <v>Operativo</v>
      </c>
      <c r="I157" s="48" t="str">
        <f>IFERROR(_xlfn.XLOOKUP(G157,Listas!E:E,Listas!G:G,""),"")</f>
        <v>Externo</v>
      </c>
      <c r="J157" s="45">
        <v>65000</v>
      </c>
      <c r="K157" s="5">
        <v>-65000</v>
      </c>
      <c r="L157" s="6" t="s">
        <v>93</v>
      </c>
      <c r="M157" s="46">
        <v>125481.8600000001</v>
      </c>
      <c r="N157" s="27" t="str">
        <f>IF(tblMovimientos[[#This Row],[Tipo de Movimiento]]="Ingreso",tblMovimientos[[#This Row],[Monto (S/)]],"0")</f>
        <v>0</v>
      </c>
      <c r="O157" s="27">
        <f>IF(tblMovimientos[[#This Row],[Tipo de Movimiento]]="Egreso",tblMovimientos[[#This Row],[Monto (S/)]],"0")</f>
        <v>65000</v>
      </c>
      <c r="P157" s="29">
        <f>IF(tblMovimientos[[#This Row],[Tipo de Movimiento]]="Ingreso",tblMovimientos[[#This Row],[Ingreso]],-tblMovimientos[[#This Row],[Egreso]])</f>
        <v>-65000</v>
      </c>
    </row>
    <row r="158" spans="2:16" x14ac:dyDescent="0.3">
      <c r="B158" s="41">
        <v>46162</v>
      </c>
      <c r="C158" s="4" t="s">
        <v>17</v>
      </c>
      <c r="D158" s="42" t="s">
        <v>95</v>
      </c>
      <c r="E158" s="4" t="s">
        <v>37</v>
      </c>
      <c r="F158" s="43" t="s">
        <v>10</v>
      </c>
      <c r="G158" s="42" t="s">
        <v>46</v>
      </c>
      <c r="H158" s="4" t="str">
        <f>IFERROR(_xlfn.XLOOKUP(G158,Listas!E:E,Listas!F:F,""),"")</f>
        <v>Financiamiento</v>
      </c>
      <c r="I158" s="48" t="str">
        <f>IFERROR(_xlfn.XLOOKUP(G158,Listas!E:E,Listas!G:G,""),"")</f>
        <v>Externo</v>
      </c>
      <c r="J158" s="45">
        <v>68750</v>
      </c>
      <c r="K158" s="5">
        <v>-68750</v>
      </c>
      <c r="L158" s="6" t="s">
        <v>93</v>
      </c>
      <c r="M158" s="46">
        <v>125481.8600000001</v>
      </c>
      <c r="N158" s="27" t="str">
        <f>IF(tblMovimientos[[#This Row],[Tipo de Movimiento]]="Ingreso",tblMovimientos[[#This Row],[Monto (S/)]],"0")</f>
        <v>0</v>
      </c>
      <c r="O158" s="27">
        <f>IF(tblMovimientos[[#This Row],[Tipo de Movimiento]]="Egreso",tblMovimientos[[#This Row],[Monto (S/)]],"0")</f>
        <v>68750</v>
      </c>
      <c r="P158" s="29">
        <f>IF(tblMovimientos[[#This Row],[Tipo de Movimiento]]="Ingreso",tblMovimientos[[#This Row],[Ingreso]],-tblMovimientos[[#This Row],[Egreso]])</f>
        <v>-68750</v>
      </c>
    </row>
    <row r="159" spans="2:16" x14ac:dyDescent="0.3">
      <c r="B159" s="41">
        <v>46162</v>
      </c>
      <c r="C159" s="4" t="s">
        <v>17</v>
      </c>
      <c r="D159" s="42" t="s">
        <v>95</v>
      </c>
      <c r="E159" s="4" t="s">
        <v>37</v>
      </c>
      <c r="F159" s="43" t="s">
        <v>10</v>
      </c>
      <c r="G159" s="42" t="s">
        <v>61</v>
      </c>
      <c r="H159" s="4" t="str">
        <f>IFERROR(_xlfn.XLOOKUP(G159,Listas!E:E,Listas!F:F,""),"")</f>
        <v>Operativo</v>
      </c>
      <c r="I159" s="48" t="str">
        <f>IFERROR(_xlfn.XLOOKUP(G159,Listas!E:E,Listas!G:G,""),"")</f>
        <v>Externo</v>
      </c>
      <c r="J159" s="45">
        <v>100000</v>
      </c>
      <c r="K159" s="5">
        <v>-100000</v>
      </c>
      <c r="L159" s="6" t="s">
        <v>93</v>
      </c>
      <c r="M159" s="46">
        <v>125481.8600000001</v>
      </c>
      <c r="N159" s="27" t="str">
        <f>IF(tblMovimientos[[#This Row],[Tipo de Movimiento]]="Ingreso",tblMovimientos[[#This Row],[Monto (S/)]],"0")</f>
        <v>0</v>
      </c>
      <c r="O159" s="27">
        <f>IF(tblMovimientos[[#This Row],[Tipo de Movimiento]]="Egreso",tblMovimientos[[#This Row],[Monto (S/)]],"0")</f>
        <v>100000</v>
      </c>
      <c r="P159" s="29">
        <f>IF(tblMovimientos[[#This Row],[Tipo de Movimiento]]="Ingreso",tblMovimientos[[#This Row],[Ingreso]],-tblMovimientos[[#This Row],[Egreso]])</f>
        <v>-100000</v>
      </c>
    </row>
    <row r="160" spans="2:16" x14ac:dyDescent="0.3">
      <c r="B160" s="41">
        <v>46162</v>
      </c>
      <c r="C160" s="4" t="s">
        <v>17</v>
      </c>
      <c r="D160" s="42" t="s">
        <v>95</v>
      </c>
      <c r="E160" s="4" t="s">
        <v>37</v>
      </c>
      <c r="F160" s="43" t="s">
        <v>10</v>
      </c>
      <c r="G160" s="42" t="s">
        <v>62</v>
      </c>
      <c r="H160" s="4" t="str">
        <f>IFERROR(_xlfn.XLOOKUP(G160,Listas!E:E,Listas!F:F,""),"")</f>
        <v>Operativo</v>
      </c>
      <c r="I160" s="48" t="str">
        <f>IFERROR(_xlfn.XLOOKUP(G160,Listas!E:E,Listas!G:G,""),"")</f>
        <v>Interno</v>
      </c>
      <c r="J160" s="45">
        <v>350000</v>
      </c>
      <c r="K160" s="5">
        <v>-350000</v>
      </c>
      <c r="L160" s="6" t="s">
        <v>93</v>
      </c>
      <c r="M160" s="46">
        <v>125481.8600000001</v>
      </c>
      <c r="N160" s="27" t="str">
        <f>IF(tblMovimientos[[#This Row],[Tipo de Movimiento]]="Ingreso",tblMovimientos[[#This Row],[Monto (S/)]],"0")</f>
        <v>0</v>
      </c>
      <c r="O160" s="27">
        <f>IF(tblMovimientos[[#This Row],[Tipo de Movimiento]]="Egreso",tblMovimientos[[#This Row],[Monto (S/)]],"0")</f>
        <v>350000</v>
      </c>
      <c r="P160" s="29">
        <f>IF(tblMovimientos[[#This Row],[Tipo de Movimiento]]="Ingreso",tblMovimientos[[#This Row],[Ingreso]],-tblMovimientos[[#This Row],[Egreso]])</f>
        <v>-350000</v>
      </c>
    </row>
    <row r="161" spans="2:16" x14ac:dyDescent="0.3">
      <c r="B161" s="41">
        <v>46162</v>
      </c>
      <c r="C161" s="4" t="s">
        <v>21</v>
      </c>
      <c r="D161" s="42" t="s">
        <v>104</v>
      </c>
      <c r="E161" s="4" t="s">
        <v>37</v>
      </c>
      <c r="F161" s="43" t="s">
        <v>10</v>
      </c>
      <c r="G161" s="42" t="s">
        <v>60</v>
      </c>
      <c r="H161" s="4" t="str">
        <f>IFERROR(_xlfn.XLOOKUP(G161,Listas!E:E,Listas!F:F,""),"")</f>
        <v>Inversion</v>
      </c>
      <c r="I161" s="48" t="str">
        <f>IFERROR(_xlfn.XLOOKUP(G161,Listas!E:E,Listas!G:G,""),"")</f>
        <v>Interno</v>
      </c>
      <c r="J161" s="45">
        <v>50000</v>
      </c>
      <c r="K161" s="5">
        <v>-50000</v>
      </c>
      <c r="L161" s="6" t="s">
        <v>93</v>
      </c>
      <c r="M161" s="46">
        <v>211018.51999999938</v>
      </c>
      <c r="N161" s="27" t="str">
        <f>IF(tblMovimientos[[#This Row],[Tipo de Movimiento]]="Ingreso",tblMovimientos[[#This Row],[Monto (S/)]],"0")</f>
        <v>0</v>
      </c>
      <c r="O161" s="27">
        <f>IF(tblMovimientos[[#This Row],[Tipo de Movimiento]]="Egreso",tblMovimientos[[#This Row],[Monto (S/)]],"0")</f>
        <v>50000</v>
      </c>
      <c r="P161" s="29">
        <f>IF(tblMovimientos[[#This Row],[Tipo de Movimiento]]="Ingreso",tblMovimientos[[#This Row],[Ingreso]],-tblMovimientos[[#This Row],[Egreso]])</f>
        <v>-50000</v>
      </c>
    </row>
    <row r="162" spans="2:16" x14ac:dyDescent="0.3">
      <c r="B162" s="41">
        <v>46162</v>
      </c>
      <c r="C162" s="4" t="s">
        <v>21</v>
      </c>
      <c r="D162" s="43" t="s">
        <v>104</v>
      </c>
      <c r="E162" s="4" t="s">
        <v>37</v>
      </c>
      <c r="F162" s="43" t="s">
        <v>10</v>
      </c>
      <c r="G162" s="43" t="s">
        <v>60</v>
      </c>
      <c r="H162" s="4" t="str">
        <f>IFERROR(_xlfn.XLOOKUP(G162,Listas!E:E,Listas!F:F,""),"")</f>
        <v>Inversion</v>
      </c>
      <c r="I162" s="48" t="str">
        <f>IFERROR(_xlfn.XLOOKUP(G162,Listas!E:E,Listas!G:G,""),"")</f>
        <v>Interno</v>
      </c>
      <c r="J162" s="45">
        <v>100000</v>
      </c>
      <c r="K162" s="5">
        <v>-100000</v>
      </c>
      <c r="L162" s="6" t="s">
        <v>93</v>
      </c>
      <c r="M162" s="46">
        <v>211018.51999999938</v>
      </c>
      <c r="N162" s="27" t="str">
        <f>IF(tblMovimientos[[#This Row],[Tipo de Movimiento]]="Ingreso",tblMovimientos[[#This Row],[Monto (S/)]],"0")</f>
        <v>0</v>
      </c>
      <c r="O162" s="27">
        <f>IF(tblMovimientos[[#This Row],[Tipo de Movimiento]]="Egreso",tblMovimientos[[#This Row],[Monto (S/)]],"0")</f>
        <v>100000</v>
      </c>
      <c r="P162" s="29">
        <f>IF(tblMovimientos[[#This Row],[Tipo de Movimiento]]="Ingreso",tblMovimientos[[#This Row],[Ingreso]],-tblMovimientos[[#This Row],[Egreso]])</f>
        <v>-100000</v>
      </c>
    </row>
    <row r="163" spans="2:16" x14ac:dyDescent="0.3">
      <c r="B163" s="41">
        <v>46162</v>
      </c>
      <c r="C163" s="4" t="s">
        <v>21</v>
      </c>
      <c r="D163" s="43" t="s">
        <v>104</v>
      </c>
      <c r="E163" s="4" t="s">
        <v>37</v>
      </c>
      <c r="F163" s="43" t="s">
        <v>9</v>
      </c>
      <c r="G163" s="43" t="s">
        <v>75</v>
      </c>
      <c r="H163" s="4" t="str">
        <f>IFERROR(_xlfn.XLOOKUP(G163,Listas!E:E,Listas!F:F,""),"")</f>
        <v>Financiamiento</v>
      </c>
      <c r="I163" s="48" t="str">
        <f>IFERROR(_xlfn.XLOOKUP(G163,Listas!E:E,Listas!G:G,""),"")</f>
        <v>Interno</v>
      </c>
      <c r="J163" s="45">
        <v>350000</v>
      </c>
      <c r="K163" s="5">
        <v>350000</v>
      </c>
      <c r="L163" s="6" t="s">
        <v>93</v>
      </c>
      <c r="M163" s="46">
        <v>211018.51999999938</v>
      </c>
      <c r="N163" s="27">
        <f>IF(tblMovimientos[[#This Row],[Tipo de Movimiento]]="Ingreso",tblMovimientos[[#This Row],[Monto (S/)]],"0")</f>
        <v>350000</v>
      </c>
      <c r="O163" s="27" t="str">
        <f>IF(tblMovimientos[[#This Row],[Tipo de Movimiento]]="Egreso",tblMovimientos[[#This Row],[Monto (S/)]],"0")</f>
        <v>0</v>
      </c>
      <c r="P163" s="29">
        <f>IF(tblMovimientos[[#This Row],[Tipo de Movimiento]]="Ingreso",tblMovimientos[[#This Row],[Ingreso]],-tblMovimientos[[#This Row],[Egreso]])</f>
        <v>350000</v>
      </c>
    </row>
    <row r="164" spans="2:16" x14ac:dyDescent="0.3">
      <c r="B164" s="41">
        <v>46162</v>
      </c>
      <c r="C164" s="4" t="s">
        <v>35</v>
      </c>
      <c r="D164" s="43" t="s">
        <v>126</v>
      </c>
      <c r="E164" s="4" t="s">
        <v>37</v>
      </c>
      <c r="F164" s="43" t="s">
        <v>10</v>
      </c>
      <c r="G164" s="43" t="s">
        <v>38</v>
      </c>
      <c r="H164" s="4" t="str">
        <f>IFERROR(_xlfn.XLOOKUP(G164,Listas!E:E,Listas!F:F,""),"")</f>
        <v>Operativo</v>
      </c>
      <c r="I164" s="48" t="str">
        <f>IFERROR(_xlfn.XLOOKUP(G164,Listas!E:E,Listas!G:G,""),"")</f>
        <v>Externo</v>
      </c>
      <c r="J164" s="45">
        <v>5199.1400000000003</v>
      </c>
      <c r="K164" s="5">
        <v>-5199.1400000000003</v>
      </c>
      <c r="L164" s="6" t="s">
        <v>93</v>
      </c>
      <c r="M164" s="46">
        <v>8168.0700000000006</v>
      </c>
      <c r="N164" s="27" t="str">
        <f>IF(tblMovimientos[[#This Row],[Tipo de Movimiento]]="Ingreso",tblMovimientos[[#This Row],[Monto (S/)]],"0")</f>
        <v>0</v>
      </c>
      <c r="O164" s="27">
        <f>IF(tblMovimientos[[#This Row],[Tipo de Movimiento]]="Egreso",tblMovimientos[[#This Row],[Monto (S/)]],"0")</f>
        <v>5199.1400000000003</v>
      </c>
      <c r="P164" s="29">
        <f>IF(tblMovimientos[[#This Row],[Tipo de Movimiento]]="Ingreso",tblMovimientos[[#This Row],[Ingreso]],-tblMovimientos[[#This Row],[Egreso]])</f>
        <v>-5199.1400000000003</v>
      </c>
    </row>
    <row r="165" spans="2:16" x14ac:dyDescent="0.3">
      <c r="B165" s="41">
        <v>46162</v>
      </c>
      <c r="C165" s="4" t="s">
        <v>35</v>
      </c>
      <c r="D165" s="43" t="s">
        <v>126</v>
      </c>
      <c r="E165" s="4" t="s">
        <v>37</v>
      </c>
      <c r="F165" s="43" t="s">
        <v>10</v>
      </c>
      <c r="G165" s="43" t="s">
        <v>38</v>
      </c>
      <c r="H165" s="4" t="str">
        <f>IFERROR(_xlfn.XLOOKUP(G165,Listas!E:E,Listas!F:F,""),"")</f>
        <v>Operativo</v>
      </c>
      <c r="I165" s="48" t="str">
        <f>IFERROR(_xlfn.XLOOKUP(G165,Listas!E:E,Listas!G:G,""),"")</f>
        <v>Externo</v>
      </c>
      <c r="J165" s="45">
        <v>5450</v>
      </c>
      <c r="K165" s="5">
        <v>-5450</v>
      </c>
      <c r="L165" s="6" t="s">
        <v>93</v>
      </c>
      <c r="M165" s="46">
        <v>8168.0700000000006</v>
      </c>
      <c r="N165" s="27" t="str">
        <f>IF(tblMovimientos[[#This Row],[Tipo de Movimiento]]="Ingreso",tblMovimientos[[#This Row],[Monto (S/)]],"0")</f>
        <v>0</v>
      </c>
      <c r="O165" s="27">
        <f>IF(tblMovimientos[[#This Row],[Tipo de Movimiento]]="Egreso",tblMovimientos[[#This Row],[Monto (S/)]],"0")</f>
        <v>5450</v>
      </c>
      <c r="P165" s="29">
        <f>IF(tblMovimientos[[#This Row],[Tipo de Movimiento]]="Ingreso",tblMovimientos[[#This Row],[Ingreso]],-tblMovimientos[[#This Row],[Egreso]])</f>
        <v>-5450</v>
      </c>
    </row>
    <row r="166" spans="2:16" x14ac:dyDescent="0.3">
      <c r="B166" s="41">
        <v>46163</v>
      </c>
      <c r="C166" s="4" t="s">
        <v>20</v>
      </c>
      <c r="D166" s="43" t="s">
        <v>100</v>
      </c>
      <c r="E166" s="4" t="s">
        <v>36</v>
      </c>
      <c r="F166" s="43" t="s">
        <v>10</v>
      </c>
      <c r="G166" s="43" t="s">
        <v>61</v>
      </c>
      <c r="H166" s="4" t="str">
        <f>IFERROR(_xlfn.XLOOKUP(G166,Listas!E:E,Listas!F:F,""),"")</f>
        <v>Operativo</v>
      </c>
      <c r="I166" s="48" t="str">
        <f>IFERROR(_xlfn.XLOOKUP(G166,Listas!E:E,Listas!G:G,""),"")</f>
        <v>Externo</v>
      </c>
      <c r="J166" s="45">
        <v>60000</v>
      </c>
      <c r="K166" s="5">
        <v>-60000</v>
      </c>
      <c r="L166" s="6" t="s">
        <v>93</v>
      </c>
      <c r="M166" s="46">
        <v>497076.20999999985</v>
      </c>
      <c r="N166" s="27" t="str">
        <f>IF(tblMovimientos[[#This Row],[Tipo de Movimiento]]="Ingreso",tblMovimientos[[#This Row],[Monto (S/)]],"0")</f>
        <v>0</v>
      </c>
      <c r="O166" s="27">
        <f>IF(tblMovimientos[[#This Row],[Tipo de Movimiento]]="Egreso",tblMovimientos[[#This Row],[Monto (S/)]],"0")</f>
        <v>60000</v>
      </c>
      <c r="P166" s="29">
        <f>IF(tblMovimientos[[#This Row],[Tipo de Movimiento]]="Ingreso",tblMovimientos[[#This Row],[Ingreso]],-tblMovimientos[[#This Row],[Egreso]])</f>
        <v>-60000</v>
      </c>
    </row>
    <row r="167" spans="2:16" x14ac:dyDescent="0.3">
      <c r="B167" s="41">
        <v>46163</v>
      </c>
      <c r="C167" s="4" t="s">
        <v>20</v>
      </c>
      <c r="D167" s="43" t="s">
        <v>100</v>
      </c>
      <c r="E167" s="4" t="s">
        <v>36</v>
      </c>
      <c r="F167" s="43" t="s">
        <v>10</v>
      </c>
      <c r="G167" s="43" t="s">
        <v>60</v>
      </c>
      <c r="H167" s="4" t="str">
        <f>IFERROR(_xlfn.XLOOKUP(G167,Listas!E:E,Listas!F:F,""),"")</f>
        <v>Inversion</v>
      </c>
      <c r="I167" s="48" t="str">
        <f>IFERROR(_xlfn.XLOOKUP(G167,Listas!E:E,Listas!G:G,""),"")</f>
        <v>Interno</v>
      </c>
      <c r="J167" s="45">
        <v>75000</v>
      </c>
      <c r="K167" s="5">
        <v>-75000</v>
      </c>
      <c r="L167" s="6" t="s">
        <v>93</v>
      </c>
      <c r="M167" s="46">
        <v>497076.20999999985</v>
      </c>
      <c r="N167" s="27" t="str">
        <f>IF(tblMovimientos[[#This Row],[Tipo de Movimiento]]="Ingreso",tblMovimientos[[#This Row],[Monto (S/)]],"0")</f>
        <v>0</v>
      </c>
      <c r="O167" s="27">
        <f>IF(tblMovimientos[[#This Row],[Tipo de Movimiento]]="Egreso",tblMovimientos[[#This Row],[Monto (S/)]],"0")</f>
        <v>75000</v>
      </c>
      <c r="P167" s="29">
        <f>IF(tblMovimientos[[#This Row],[Tipo de Movimiento]]="Ingreso",tblMovimientos[[#This Row],[Ingreso]],-tblMovimientos[[#This Row],[Egreso]])</f>
        <v>-75000</v>
      </c>
    </row>
    <row r="168" spans="2:16" x14ac:dyDescent="0.3">
      <c r="B168" s="41">
        <v>46163</v>
      </c>
      <c r="C168" s="4" t="s">
        <v>20</v>
      </c>
      <c r="D168" s="43" t="s">
        <v>100</v>
      </c>
      <c r="E168" s="4" t="s">
        <v>36</v>
      </c>
      <c r="F168" s="43" t="s">
        <v>10</v>
      </c>
      <c r="G168" s="43" t="s">
        <v>61</v>
      </c>
      <c r="H168" s="4" t="str">
        <f>IFERROR(_xlfn.XLOOKUP(G168,Listas!E:E,Listas!F:F,""),"")</f>
        <v>Operativo</v>
      </c>
      <c r="I168" s="48" t="str">
        <f>IFERROR(_xlfn.XLOOKUP(G168,Listas!E:E,Listas!G:G,""),"")</f>
        <v>Externo</v>
      </c>
      <c r="J168" s="45">
        <v>100000</v>
      </c>
      <c r="K168" s="5">
        <v>-100000</v>
      </c>
      <c r="L168" s="6" t="s">
        <v>93</v>
      </c>
      <c r="M168" s="46">
        <v>497076.20999999985</v>
      </c>
      <c r="N168" s="27" t="str">
        <f>IF(tblMovimientos[[#This Row],[Tipo de Movimiento]]="Ingreso",tblMovimientos[[#This Row],[Monto (S/)]],"0")</f>
        <v>0</v>
      </c>
      <c r="O168" s="27">
        <f>IF(tblMovimientos[[#This Row],[Tipo de Movimiento]]="Egreso",tblMovimientos[[#This Row],[Monto (S/)]],"0")</f>
        <v>100000</v>
      </c>
      <c r="P168" s="29">
        <f>IF(tblMovimientos[[#This Row],[Tipo de Movimiento]]="Ingreso",tblMovimientos[[#This Row],[Ingreso]],-tblMovimientos[[#This Row],[Egreso]])</f>
        <v>-100000</v>
      </c>
    </row>
    <row r="169" spans="2:16" x14ac:dyDescent="0.3">
      <c r="B169" s="41">
        <v>46163</v>
      </c>
      <c r="C169" s="4" t="s">
        <v>20</v>
      </c>
      <c r="D169" s="43" t="s">
        <v>100</v>
      </c>
      <c r="E169" s="4" t="s">
        <v>36</v>
      </c>
      <c r="F169" s="43" t="s">
        <v>10</v>
      </c>
      <c r="G169" s="43" t="s">
        <v>61</v>
      </c>
      <c r="H169" s="4" t="str">
        <f>IFERROR(_xlfn.XLOOKUP(G169,Listas!E:E,Listas!F:F,""),"")</f>
        <v>Operativo</v>
      </c>
      <c r="I169" s="48" t="str">
        <f>IFERROR(_xlfn.XLOOKUP(G169,Listas!E:E,Listas!G:G,""),"")</f>
        <v>Externo</v>
      </c>
      <c r="J169" s="45">
        <v>100000</v>
      </c>
      <c r="K169" s="5">
        <v>-100000</v>
      </c>
      <c r="L169" s="6" t="s">
        <v>93</v>
      </c>
      <c r="M169" s="46">
        <v>497076.20999999985</v>
      </c>
      <c r="N169" s="27" t="str">
        <f>IF(tblMovimientos[[#This Row],[Tipo de Movimiento]]="Ingreso",tblMovimientos[[#This Row],[Monto (S/)]],"0")</f>
        <v>0</v>
      </c>
      <c r="O169" s="27">
        <f>IF(tblMovimientos[[#This Row],[Tipo de Movimiento]]="Egreso",tblMovimientos[[#This Row],[Monto (S/)]],"0")</f>
        <v>100000</v>
      </c>
      <c r="P169" s="29">
        <f>IF(tblMovimientos[[#This Row],[Tipo de Movimiento]]="Ingreso",tblMovimientos[[#This Row],[Ingreso]],-tblMovimientos[[#This Row],[Egreso]])</f>
        <v>-100000</v>
      </c>
    </row>
    <row r="170" spans="2:16" x14ac:dyDescent="0.3">
      <c r="B170" s="41">
        <v>46163</v>
      </c>
      <c r="C170" s="4" t="s">
        <v>18</v>
      </c>
      <c r="D170" s="43" t="s">
        <v>97</v>
      </c>
      <c r="E170" s="4" t="s">
        <v>37</v>
      </c>
      <c r="F170" s="43" t="s">
        <v>9</v>
      </c>
      <c r="G170" s="43" t="s">
        <v>87</v>
      </c>
      <c r="H170" s="4" t="str">
        <f>IFERROR(_xlfn.XLOOKUP(G170,Listas!E:E,Listas!F:F,""),"")</f>
        <v>Operativo</v>
      </c>
      <c r="I170" s="48" t="str">
        <f>IFERROR(_xlfn.XLOOKUP(G170,Listas!E:E,Listas!G:G,""),"")</f>
        <v>Externo</v>
      </c>
      <c r="J170" s="45">
        <v>600000</v>
      </c>
      <c r="K170" s="5">
        <v>600000</v>
      </c>
      <c r="L170" s="6" t="s">
        <v>93</v>
      </c>
      <c r="M170" s="46">
        <v>654760.15999999992</v>
      </c>
      <c r="N170" s="27">
        <f>IF(tblMovimientos[[#This Row],[Tipo de Movimiento]]="Ingreso",tblMovimientos[[#This Row],[Monto (S/)]],"0")</f>
        <v>600000</v>
      </c>
      <c r="O170" s="27" t="str">
        <f>IF(tblMovimientos[[#This Row],[Tipo de Movimiento]]="Egreso",tblMovimientos[[#This Row],[Monto (S/)]],"0")</f>
        <v>0</v>
      </c>
      <c r="P170" s="29">
        <f>IF(tblMovimientos[[#This Row],[Tipo de Movimiento]]="Ingreso",tblMovimientos[[#This Row],[Ingreso]],-tblMovimientos[[#This Row],[Egreso]])</f>
        <v>600000</v>
      </c>
    </row>
    <row r="171" spans="2:16" x14ac:dyDescent="0.3">
      <c r="B171" s="41">
        <v>46163</v>
      </c>
      <c r="C171" s="4" t="s">
        <v>23</v>
      </c>
      <c r="D171" s="43" t="s">
        <v>112</v>
      </c>
      <c r="E171" s="4" t="s">
        <v>36</v>
      </c>
      <c r="F171" s="43" t="s">
        <v>9</v>
      </c>
      <c r="G171" s="43" t="s">
        <v>67</v>
      </c>
      <c r="H171" s="4" t="str">
        <f>IFERROR(_xlfn.XLOOKUP(G171,Listas!E:E,Listas!F:F,""),"")</f>
        <v>Inversion</v>
      </c>
      <c r="I171" s="48" t="str">
        <f>IFERROR(_xlfn.XLOOKUP(G171,Listas!E:E,Listas!G:G,""),"")</f>
        <v>Interno</v>
      </c>
      <c r="J171" s="45">
        <v>75000</v>
      </c>
      <c r="K171" s="5">
        <v>75000</v>
      </c>
      <c r="L171" s="6" t="s">
        <v>93</v>
      </c>
      <c r="M171" s="46">
        <v>88090.37</v>
      </c>
      <c r="N171" s="27">
        <f>IF(tblMovimientos[[#This Row],[Tipo de Movimiento]]="Ingreso",tblMovimientos[[#This Row],[Monto (S/)]],"0")</f>
        <v>75000</v>
      </c>
      <c r="O171" s="27" t="str">
        <f>IF(tblMovimientos[[#This Row],[Tipo de Movimiento]]="Egreso",tblMovimientos[[#This Row],[Monto (S/)]],"0")</f>
        <v>0</v>
      </c>
      <c r="P171" s="29">
        <f>IF(tblMovimientos[[#This Row],[Tipo de Movimiento]]="Ingreso",tblMovimientos[[#This Row],[Ingreso]],-tblMovimientos[[#This Row],[Egreso]])</f>
        <v>75000</v>
      </c>
    </row>
    <row r="172" spans="2:16" x14ac:dyDescent="0.3">
      <c r="B172" s="41">
        <v>46164</v>
      </c>
      <c r="C172" s="4" t="s">
        <v>21</v>
      </c>
      <c r="D172" s="43" t="s">
        <v>101</v>
      </c>
      <c r="E172" s="4" t="s">
        <v>36</v>
      </c>
      <c r="F172" s="43" t="s">
        <v>10</v>
      </c>
      <c r="G172" s="43" t="s">
        <v>38</v>
      </c>
      <c r="H172" s="4" t="str">
        <f>IFERROR(_xlfn.XLOOKUP(G172,Listas!E:E,Listas!F:F,""),"")</f>
        <v>Operativo</v>
      </c>
      <c r="I172" s="48" t="str">
        <f>IFERROR(_xlfn.XLOOKUP(G172,Listas!E:E,Listas!G:G,""),"")</f>
        <v>Externo</v>
      </c>
      <c r="J172" s="45">
        <v>762.99</v>
      </c>
      <c r="K172" s="5">
        <v>-762.99</v>
      </c>
      <c r="L172" s="6" t="s">
        <v>93</v>
      </c>
      <c r="M172" s="46">
        <v>11562.970000000001</v>
      </c>
      <c r="N172" s="27" t="str">
        <f>IF(tblMovimientos[[#This Row],[Tipo de Movimiento]]="Ingreso",tblMovimientos[[#This Row],[Monto (S/)]],"0")</f>
        <v>0</v>
      </c>
      <c r="O172" s="27">
        <f>IF(tblMovimientos[[#This Row],[Tipo de Movimiento]]="Egreso",tblMovimientos[[#This Row],[Monto (S/)]],"0")</f>
        <v>762.99</v>
      </c>
      <c r="P172" s="29">
        <f>IF(tblMovimientos[[#This Row],[Tipo de Movimiento]]="Ingreso",tblMovimientos[[#This Row],[Ingreso]],-tblMovimientos[[#This Row],[Egreso]])</f>
        <v>-762.99</v>
      </c>
    </row>
    <row r="173" spans="2:16" x14ac:dyDescent="0.3">
      <c r="B173" s="41">
        <v>46168</v>
      </c>
      <c r="C173" s="4" t="s">
        <v>17</v>
      </c>
      <c r="D173" s="43" t="s">
        <v>94</v>
      </c>
      <c r="E173" s="4" t="s">
        <v>36</v>
      </c>
      <c r="F173" s="43" t="s">
        <v>9</v>
      </c>
      <c r="G173" s="43" t="s">
        <v>68</v>
      </c>
      <c r="H173" s="4" t="str">
        <f>IFERROR(_xlfn.XLOOKUP(G173,Listas!E:E,Listas!F:F,""),"")</f>
        <v>Operativo</v>
      </c>
      <c r="I173" s="48" t="str">
        <f>IFERROR(_xlfn.XLOOKUP(G173,Listas!E:E,Listas!G:G,""),"")</f>
        <v>Externo</v>
      </c>
      <c r="J173" s="45">
        <v>110832.53</v>
      </c>
      <c r="K173" s="5">
        <v>110832.53</v>
      </c>
      <c r="L173" s="6" t="s">
        <v>93</v>
      </c>
      <c r="M173" s="46">
        <v>122416.43999999997</v>
      </c>
      <c r="N173" s="27">
        <f>IF(tblMovimientos[[#This Row],[Tipo de Movimiento]]="Ingreso",tblMovimientos[[#This Row],[Monto (S/)]],"0")</f>
        <v>110832.53</v>
      </c>
      <c r="O173" s="27" t="str">
        <f>IF(tblMovimientos[[#This Row],[Tipo de Movimiento]]="Egreso",tblMovimientos[[#This Row],[Monto (S/)]],"0")</f>
        <v>0</v>
      </c>
      <c r="P173" s="29">
        <f>IF(tblMovimientos[[#This Row],[Tipo de Movimiento]]="Ingreso",tblMovimientos[[#This Row],[Ingreso]],-tblMovimientos[[#This Row],[Egreso]])</f>
        <v>110832.53</v>
      </c>
    </row>
    <row r="174" spans="2:16" x14ac:dyDescent="0.3">
      <c r="B174" s="41">
        <v>46168</v>
      </c>
      <c r="C174" s="4" t="s">
        <v>18</v>
      </c>
      <c r="D174" s="43" t="s">
        <v>97</v>
      </c>
      <c r="E174" s="4" t="s">
        <v>37</v>
      </c>
      <c r="F174" s="43" t="s">
        <v>9</v>
      </c>
      <c r="G174" s="43" t="s">
        <v>87</v>
      </c>
      <c r="H174" s="4" t="str">
        <f>IFERROR(_xlfn.XLOOKUP(G174,Listas!E:E,Listas!F:F,""),"")</f>
        <v>Operativo</v>
      </c>
      <c r="I174" s="48" t="str">
        <f>IFERROR(_xlfn.XLOOKUP(G174,Listas!E:E,Listas!G:G,""),"")</f>
        <v>Externo</v>
      </c>
      <c r="J174" s="45">
        <v>600000</v>
      </c>
      <c r="K174" s="5">
        <v>600000</v>
      </c>
      <c r="L174" s="6" t="s">
        <v>93</v>
      </c>
      <c r="M174" s="46">
        <v>1254760.1600000001</v>
      </c>
      <c r="N174" s="27">
        <f>IF(tblMovimientos[[#This Row],[Tipo de Movimiento]]="Ingreso",tblMovimientos[[#This Row],[Monto (S/)]],"0")</f>
        <v>600000</v>
      </c>
      <c r="O174" s="27" t="str">
        <f>IF(tblMovimientos[[#This Row],[Tipo de Movimiento]]="Egreso",tblMovimientos[[#This Row],[Monto (S/)]],"0")</f>
        <v>0</v>
      </c>
      <c r="P174" s="29">
        <f>IF(tblMovimientos[[#This Row],[Tipo de Movimiento]]="Ingreso",tblMovimientos[[#This Row],[Ingreso]],-tblMovimientos[[#This Row],[Egreso]])</f>
        <v>600000</v>
      </c>
    </row>
    <row r="175" spans="2:16" x14ac:dyDescent="0.3">
      <c r="B175" s="41">
        <v>46169</v>
      </c>
      <c r="C175" s="4" t="s">
        <v>20</v>
      </c>
      <c r="D175" s="43" t="s">
        <v>100</v>
      </c>
      <c r="E175" s="4" t="s">
        <v>36</v>
      </c>
      <c r="F175" s="43" t="s">
        <v>9</v>
      </c>
      <c r="G175" s="43" t="s">
        <v>68</v>
      </c>
      <c r="H175" s="4" t="str">
        <f>IFERROR(_xlfn.XLOOKUP(G175,Listas!E:E,Listas!F:F,""),"")</f>
        <v>Operativo</v>
      </c>
      <c r="I175" s="48" t="str">
        <f>IFERROR(_xlfn.XLOOKUP(G175,Listas!E:E,Listas!G:G,""),"")</f>
        <v>Externo</v>
      </c>
      <c r="J175" s="45">
        <v>17540.53</v>
      </c>
      <c r="K175" s="5">
        <v>17540.53</v>
      </c>
      <c r="L175" s="6" t="s">
        <v>93</v>
      </c>
      <c r="M175" s="46">
        <v>514616.73999999987</v>
      </c>
      <c r="N175" s="27">
        <f>IF(tblMovimientos[[#This Row],[Tipo de Movimiento]]="Ingreso",tblMovimientos[[#This Row],[Monto (S/)]],"0")</f>
        <v>17540.53</v>
      </c>
      <c r="O175" s="27" t="str">
        <f>IF(tblMovimientos[[#This Row],[Tipo de Movimiento]]="Egreso",tblMovimientos[[#This Row],[Monto (S/)]],"0")</f>
        <v>0</v>
      </c>
      <c r="P175" s="29">
        <f>IF(tblMovimientos[[#This Row],[Tipo de Movimiento]]="Ingreso",tblMovimientos[[#This Row],[Ingreso]],-tblMovimientos[[#This Row],[Egreso]])</f>
        <v>17540.53</v>
      </c>
    </row>
    <row r="176" spans="2:16" x14ac:dyDescent="0.3">
      <c r="B176" s="41">
        <v>46169</v>
      </c>
      <c r="C176" s="4" t="s">
        <v>17</v>
      </c>
      <c r="D176" s="43" t="s">
        <v>94</v>
      </c>
      <c r="E176" s="4" t="s">
        <v>36</v>
      </c>
      <c r="F176" s="43" t="s">
        <v>9</v>
      </c>
      <c r="G176" s="43" t="s">
        <v>68</v>
      </c>
      <c r="H176" s="4" t="str">
        <f>IFERROR(_xlfn.XLOOKUP(G176,Listas!E:E,Listas!F:F,""),"")</f>
        <v>Operativo</v>
      </c>
      <c r="I176" s="48" t="str">
        <f>IFERROR(_xlfn.XLOOKUP(G176,Listas!E:E,Listas!G:G,""),"")</f>
        <v>Externo</v>
      </c>
      <c r="J176" s="45">
        <v>6217.37</v>
      </c>
      <c r="K176" s="5">
        <v>6217.37</v>
      </c>
      <c r="L176" s="6" t="s">
        <v>93</v>
      </c>
      <c r="M176" s="46">
        <v>128633.80999999997</v>
      </c>
      <c r="N176" s="27">
        <f>IF(tblMovimientos[[#This Row],[Tipo de Movimiento]]="Ingreso",tblMovimientos[[#This Row],[Monto (S/)]],"0")</f>
        <v>6217.37</v>
      </c>
      <c r="O176" s="27" t="str">
        <f>IF(tblMovimientos[[#This Row],[Tipo de Movimiento]]="Egreso",tblMovimientos[[#This Row],[Monto (S/)]],"0")</f>
        <v>0</v>
      </c>
      <c r="P176" s="29">
        <f>IF(tblMovimientos[[#This Row],[Tipo de Movimiento]]="Ingreso",tblMovimientos[[#This Row],[Ingreso]],-tblMovimientos[[#This Row],[Egreso]])</f>
        <v>6217.37</v>
      </c>
    </row>
    <row r="177" spans="2:16" x14ac:dyDescent="0.3">
      <c r="B177" s="41">
        <v>46169</v>
      </c>
      <c r="C177" s="4" t="s">
        <v>33</v>
      </c>
      <c r="D177" s="43" t="s">
        <v>124</v>
      </c>
      <c r="E177" s="4" t="s">
        <v>36</v>
      </c>
      <c r="F177" s="43" t="s">
        <v>9</v>
      </c>
      <c r="G177" s="43" t="s">
        <v>81</v>
      </c>
      <c r="H177" s="4" t="str">
        <f>IFERROR(_xlfn.XLOOKUP(G177,Listas!E:E,Listas!F:F,""),"")</f>
        <v>Operativo</v>
      </c>
      <c r="I177" s="48" t="str">
        <f>IFERROR(_xlfn.XLOOKUP(G177,Listas!E:E,Listas!G:G,""),"")</f>
        <v>Externo</v>
      </c>
      <c r="J177" s="45">
        <v>4400</v>
      </c>
      <c r="K177" s="5">
        <v>4400</v>
      </c>
      <c r="L177" s="6" t="s">
        <v>93</v>
      </c>
      <c r="M177" s="46">
        <v>33606.270000000004</v>
      </c>
      <c r="N177" s="27">
        <f>IF(tblMovimientos[[#This Row],[Tipo de Movimiento]]="Ingreso",tblMovimientos[[#This Row],[Monto (S/)]],"0")</f>
        <v>4400</v>
      </c>
      <c r="O177" s="27" t="str">
        <f>IF(tblMovimientos[[#This Row],[Tipo de Movimiento]]="Egreso",tblMovimientos[[#This Row],[Monto (S/)]],"0")</f>
        <v>0</v>
      </c>
      <c r="P177" s="29">
        <f>IF(tblMovimientos[[#This Row],[Tipo de Movimiento]]="Ingreso",tblMovimientos[[#This Row],[Ingreso]],-tblMovimientos[[#This Row],[Egreso]])</f>
        <v>4400</v>
      </c>
    </row>
    <row r="178" spans="2:16" x14ac:dyDescent="0.3">
      <c r="B178" s="41">
        <v>46169</v>
      </c>
      <c r="C178" s="4" t="s">
        <v>22</v>
      </c>
      <c r="D178" s="43" t="s">
        <v>111</v>
      </c>
      <c r="E178" s="4" t="s">
        <v>37</v>
      </c>
      <c r="F178" s="43" t="s">
        <v>10</v>
      </c>
      <c r="G178" s="43" t="s">
        <v>53</v>
      </c>
      <c r="H178" s="4" t="str">
        <f>IFERROR(_xlfn.XLOOKUP(G178,Listas!E:E,Listas!F:F,""),"")</f>
        <v>Inversion</v>
      </c>
      <c r="I178" s="48" t="str">
        <f>IFERROR(_xlfn.XLOOKUP(G178,Listas!E:E,Listas!G:G,""),"")</f>
        <v>Interno</v>
      </c>
      <c r="J178" s="45">
        <v>10000</v>
      </c>
      <c r="K178" s="5">
        <v>-10000</v>
      </c>
      <c r="L178" s="6" t="s">
        <v>93</v>
      </c>
      <c r="M178" s="46">
        <v>10717.600000000006</v>
      </c>
      <c r="N178" s="27" t="str">
        <f>IF(tblMovimientos[[#This Row],[Tipo de Movimiento]]="Ingreso",tblMovimientos[[#This Row],[Monto (S/)]],"0")</f>
        <v>0</v>
      </c>
      <c r="O178" s="27">
        <f>IF(tblMovimientos[[#This Row],[Tipo de Movimiento]]="Egreso",tblMovimientos[[#This Row],[Monto (S/)]],"0")</f>
        <v>10000</v>
      </c>
      <c r="P178" s="29">
        <f>IF(tblMovimientos[[#This Row],[Tipo de Movimiento]]="Ingreso",tblMovimientos[[#This Row],[Ingreso]],-tblMovimientos[[#This Row],[Egreso]])</f>
        <v>-10000</v>
      </c>
    </row>
    <row r="179" spans="2:16" x14ac:dyDescent="0.3">
      <c r="B179" s="41">
        <v>46169</v>
      </c>
      <c r="C179" s="4" t="s">
        <v>34</v>
      </c>
      <c r="D179" s="43" t="s">
        <v>125</v>
      </c>
      <c r="E179" s="4" t="s">
        <v>37</v>
      </c>
      <c r="F179" s="43" t="s">
        <v>9</v>
      </c>
      <c r="G179" s="43" t="s">
        <v>77</v>
      </c>
      <c r="H179" s="4" t="str">
        <f>IFERROR(_xlfn.XLOOKUP(G179,Listas!E:E,Listas!F:F,""),"")</f>
        <v>Inversion</v>
      </c>
      <c r="I179" s="48" t="str">
        <f>IFERROR(_xlfn.XLOOKUP(G179,Listas!E:E,Listas!G:G,""),"")</f>
        <v>Interno</v>
      </c>
      <c r="J179" s="45">
        <v>10000</v>
      </c>
      <c r="K179" s="5">
        <v>10000</v>
      </c>
      <c r="L179" s="6" t="s">
        <v>93</v>
      </c>
      <c r="M179" s="46">
        <v>345</v>
      </c>
      <c r="N179" s="27">
        <f>IF(tblMovimientos[[#This Row],[Tipo de Movimiento]]="Ingreso",tblMovimientos[[#This Row],[Monto (S/)]],"0")</f>
        <v>10000</v>
      </c>
      <c r="O179" s="27" t="str">
        <f>IF(tblMovimientos[[#This Row],[Tipo de Movimiento]]="Egreso",tblMovimientos[[#This Row],[Monto (S/)]],"0")</f>
        <v>0</v>
      </c>
      <c r="P179" s="29">
        <f>IF(tblMovimientos[[#This Row],[Tipo de Movimiento]]="Ingreso",tblMovimientos[[#This Row],[Ingreso]],-tblMovimientos[[#This Row],[Egreso]])</f>
        <v>10000</v>
      </c>
    </row>
    <row r="180" spans="2:16" x14ac:dyDescent="0.3">
      <c r="B180" s="41">
        <v>46169</v>
      </c>
      <c r="C180" s="4" t="s">
        <v>34</v>
      </c>
      <c r="D180" s="43" t="s">
        <v>125</v>
      </c>
      <c r="E180" s="4" t="s">
        <v>37</v>
      </c>
      <c r="F180" s="43" t="s">
        <v>10</v>
      </c>
      <c r="G180" s="43" t="s">
        <v>53</v>
      </c>
      <c r="H180" s="4" t="str">
        <f>IFERROR(_xlfn.XLOOKUP(G180,Listas!E:E,Listas!F:F,""),"")</f>
        <v>Inversion</v>
      </c>
      <c r="I180" s="48" t="str">
        <f>IFERROR(_xlfn.XLOOKUP(G180,Listas!E:E,Listas!G:G,""),"")</f>
        <v>Interno</v>
      </c>
      <c r="J180" s="45">
        <v>10000</v>
      </c>
      <c r="K180" s="5">
        <v>-10000</v>
      </c>
      <c r="L180" s="6" t="s">
        <v>93</v>
      </c>
      <c r="M180" s="46">
        <v>345</v>
      </c>
      <c r="N180" s="27" t="str">
        <f>IF(tblMovimientos[[#This Row],[Tipo de Movimiento]]="Ingreso",tblMovimientos[[#This Row],[Monto (S/)]],"0")</f>
        <v>0</v>
      </c>
      <c r="O180" s="27">
        <f>IF(tblMovimientos[[#This Row],[Tipo de Movimiento]]="Egreso",tblMovimientos[[#This Row],[Monto (S/)]],"0")</f>
        <v>10000</v>
      </c>
      <c r="P180" s="29">
        <f>IF(tblMovimientos[[#This Row],[Tipo de Movimiento]]="Ingreso",tblMovimientos[[#This Row],[Ingreso]],-tblMovimientos[[#This Row],[Egreso]])</f>
        <v>-10000</v>
      </c>
    </row>
    <row r="181" spans="2:16" x14ac:dyDescent="0.3">
      <c r="B181" s="41">
        <v>46169</v>
      </c>
      <c r="C181" s="4" t="s">
        <v>35</v>
      </c>
      <c r="D181" s="43" t="s">
        <v>126</v>
      </c>
      <c r="E181" s="4" t="s">
        <v>37</v>
      </c>
      <c r="F181" s="43" t="s">
        <v>10</v>
      </c>
      <c r="G181" s="43" t="s">
        <v>38</v>
      </c>
      <c r="H181" s="4" t="str">
        <f>IFERROR(_xlfn.XLOOKUP(G181,Listas!E:E,Listas!F:F,""),"")</f>
        <v>Operativo</v>
      </c>
      <c r="I181" s="48" t="str">
        <f>IFERROR(_xlfn.XLOOKUP(G181,Listas!E:E,Listas!G:G,""),"")</f>
        <v>Externo</v>
      </c>
      <c r="J181" s="45">
        <v>51.35</v>
      </c>
      <c r="K181" s="5">
        <v>-51.35</v>
      </c>
      <c r="L181" s="6" t="s">
        <v>93</v>
      </c>
      <c r="M181" s="46">
        <v>17588.03</v>
      </c>
      <c r="N181" s="27" t="str">
        <f>IF(tblMovimientos[[#This Row],[Tipo de Movimiento]]="Ingreso",tblMovimientos[[#This Row],[Monto (S/)]],"0")</f>
        <v>0</v>
      </c>
      <c r="O181" s="27">
        <f>IF(tblMovimientos[[#This Row],[Tipo de Movimiento]]="Egreso",tblMovimientos[[#This Row],[Monto (S/)]],"0")</f>
        <v>51.35</v>
      </c>
      <c r="P181" s="29">
        <f>IF(tblMovimientos[[#This Row],[Tipo de Movimiento]]="Ingreso",tblMovimientos[[#This Row],[Ingreso]],-tblMovimientos[[#This Row],[Egreso]])</f>
        <v>-51.35</v>
      </c>
    </row>
    <row r="182" spans="2:16" x14ac:dyDescent="0.3">
      <c r="B182" s="41">
        <v>46169</v>
      </c>
      <c r="C182" s="4" t="s">
        <v>35</v>
      </c>
      <c r="D182" s="43" t="s">
        <v>126</v>
      </c>
      <c r="E182" s="4" t="s">
        <v>37</v>
      </c>
      <c r="F182" s="43" t="s">
        <v>10</v>
      </c>
      <c r="G182" s="43" t="s">
        <v>38</v>
      </c>
      <c r="H182" s="4" t="str">
        <f>IFERROR(_xlfn.XLOOKUP(G182,Listas!E:E,Listas!F:F,""),"")</f>
        <v>Operativo</v>
      </c>
      <c r="I182" s="48" t="str">
        <f>IFERROR(_xlfn.XLOOKUP(G182,Listas!E:E,Listas!G:G,""),"")</f>
        <v>Externo</v>
      </c>
      <c r="J182" s="45">
        <v>528.69000000000005</v>
      </c>
      <c r="K182" s="5">
        <v>-528.69000000000005</v>
      </c>
      <c r="L182" s="6" t="s">
        <v>93</v>
      </c>
      <c r="M182" s="46">
        <v>17588.03</v>
      </c>
      <c r="N182" s="27" t="str">
        <f>IF(tblMovimientos[[#This Row],[Tipo de Movimiento]]="Ingreso",tblMovimientos[[#This Row],[Monto (S/)]],"0")</f>
        <v>0</v>
      </c>
      <c r="O182" s="27">
        <f>IF(tblMovimientos[[#This Row],[Tipo de Movimiento]]="Egreso",tblMovimientos[[#This Row],[Monto (S/)]],"0")</f>
        <v>528.69000000000005</v>
      </c>
      <c r="P182" s="29">
        <f>IF(tblMovimientos[[#This Row],[Tipo de Movimiento]]="Ingreso",tblMovimientos[[#This Row],[Ingreso]],-tblMovimientos[[#This Row],[Egreso]])</f>
        <v>-528.69000000000005</v>
      </c>
    </row>
    <row r="183" spans="2:16" x14ac:dyDescent="0.3">
      <c r="B183" s="41">
        <v>46169</v>
      </c>
      <c r="C183" s="4" t="s">
        <v>35</v>
      </c>
      <c r="D183" s="43" t="s">
        <v>126</v>
      </c>
      <c r="E183" s="4" t="s">
        <v>37</v>
      </c>
      <c r="F183" s="43" t="s">
        <v>9</v>
      </c>
      <c r="G183" s="43" t="s">
        <v>77</v>
      </c>
      <c r="H183" s="4" t="str">
        <f>IFERROR(_xlfn.XLOOKUP(G183,Listas!E:E,Listas!F:F,""),"")</f>
        <v>Inversion</v>
      </c>
      <c r="I183" s="48" t="str">
        <f>IFERROR(_xlfn.XLOOKUP(G183,Listas!E:E,Listas!G:G,""),"")</f>
        <v>Interno</v>
      </c>
      <c r="J183" s="45">
        <v>10000</v>
      </c>
      <c r="K183" s="5">
        <v>10000</v>
      </c>
      <c r="L183" s="6" t="s">
        <v>93</v>
      </c>
      <c r="M183" s="46">
        <v>17588.03</v>
      </c>
      <c r="N183" s="27">
        <f>IF(tblMovimientos[[#This Row],[Tipo de Movimiento]]="Ingreso",tblMovimientos[[#This Row],[Monto (S/)]],"0")</f>
        <v>10000</v>
      </c>
      <c r="O183" s="27" t="str">
        <f>IF(tblMovimientos[[#This Row],[Tipo de Movimiento]]="Egreso",tblMovimientos[[#This Row],[Monto (S/)]],"0")</f>
        <v>0</v>
      </c>
      <c r="P183" s="29">
        <f>IF(tblMovimientos[[#This Row],[Tipo de Movimiento]]="Ingreso",tblMovimientos[[#This Row],[Ingreso]],-tblMovimientos[[#This Row],[Egreso]])</f>
        <v>10000</v>
      </c>
    </row>
    <row r="184" spans="2:16" x14ac:dyDescent="0.3">
      <c r="B184" s="41">
        <v>46170</v>
      </c>
      <c r="C184" s="4" t="s">
        <v>21</v>
      </c>
      <c r="D184" s="43" t="s">
        <v>101</v>
      </c>
      <c r="E184" s="4" t="s">
        <v>36</v>
      </c>
      <c r="F184" s="43" t="s">
        <v>10</v>
      </c>
      <c r="G184" s="43" t="s">
        <v>38</v>
      </c>
      <c r="H184" s="4" t="str">
        <f>IFERROR(_xlfn.XLOOKUP(G184,Listas!E:E,Listas!F:F,""),"")</f>
        <v>Operativo</v>
      </c>
      <c r="I184" s="48" t="str">
        <f>IFERROR(_xlfn.XLOOKUP(G184,Listas!E:E,Listas!G:G,""),"")</f>
        <v>Externo</v>
      </c>
      <c r="J184" s="45">
        <v>526.75</v>
      </c>
      <c r="K184" s="5">
        <v>-526.75</v>
      </c>
      <c r="L184" s="6" t="s">
        <v>93</v>
      </c>
      <c r="M184" s="46">
        <v>11036.220000000001</v>
      </c>
      <c r="N184" s="27" t="str">
        <f>IF(tblMovimientos[[#This Row],[Tipo de Movimiento]]="Ingreso",tblMovimientos[[#This Row],[Monto (S/)]],"0")</f>
        <v>0</v>
      </c>
      <c r="O184" s="27">
        <f>IF(tblMovimientos[[#This Row],[Tipo de Movimiento]]="Egreso",tblMovimientos[[#This Row],[Monto (S/)]],"0")</f>
        <v>526.75</v>
      </c>
      <c r="P184" s="29">
        <f>IF(tblMovimientos[[#This Row],[Tipo de Movimiento]]="Ingreso",tblMovimientos[[#This Row],[Ingreso]],-tblMovimientos[[#This Row],[Egreso]])</f>
        <v>-526.75</v>
      </c>
    </row>
    <row r="185" spans="2:16" x14ac:dyDescent="0.3">
      <c r="B185" s="41">
        <v>46170</v>
      </c>
      <c r="C185" s="4" t="s">
        <v>20</v>
      </c>
      <c r="D185" s="43" t="s">
        <v>100</v>
      </c>
      <c r="E185" s="4" t="s">
        <v>36</v>
      </c>
      <c r="F185" s="43" t="s">
        <v>9</v>
      </c>
      <c r="G185" s="43" t="s">
        <v>68</v>
      </c>
      <c r="H185" s="4" t="str">
        <f>IFERROR(_xlfn.XLOOKUP(G185,Listas!E:E,Listas!F:F,""),"")</f>
        <v>Operativo</v>
      </c>
      <c r="I185" s="48" t="str">
        <f>IFERROR(_xlfn.XLOOKUP(G185,Listas!E:E,Listas!G:G,""),"")</f>
        <v>Externo</v>
      </c>
      <c r="J185" s="45">
        <v>21979.11</v>
      </c>
      <c r="K185" s="5">
        <v>21979.11</v>
      </c>
      <c r="L185" s="6" t="s">
        <v>93</v>
      </c>
      <c r="M185" s="46">
        <v>376595.84999999986</v>
      </c>
      <c r="N185" s="27">
        <f>IF(tblMovimientos[[#This Row],[Tipo de Movimiento]]="Ingreso",tblMovimientos[[#This Row],[Monto (S/)]],"0")</f>
        <v>21979.11</v>
      </c>
      <c r="O185" s="27" t="str">
        <f>IF(tblMovimientos[[#This Row],[Tipo de Movimiento]]="Egreso",tblMovimientos[[#This Row],[Monto (S/)]],"0")</f>
        <v>0</v>
      </c>
      <c r="P185" s="29">
        <f>IF(tblMovimientos[[#This Row],[Tipo de Movimiento]]="Ingreso",tblMovimientos[[#This Row],[Ingreso]],-tblMovimientos[[#This Row],[Egreso]])</f>
        <v>21979.11</v>
      </c>
    </row>
    <row r="186" spans="2:16" x14ac:dyDescent="0.3">
      <c r="B186" s="41">
        <v>46170</v>
      </c>
      <c r="C186" s="4" t="s">
        <v>20</v>
      </c>
      <c r="D186" s="43" t="s">
        <v>100</v>
      </c>
      <c r="E186" s="4" t="s">
        <v>36</v>
      </c>
      <c r="F186" s="43" t="s">
        <v>10</v>
      </c>
      <c r="G186" s="43" t="s">
        <v>61</v>
      </c>
      <c r="H186" s="4" t="str">
        <f>IFERROR(_xlfn.XLOOKUP(G186,Listas!E:E,Listas!F:F,""),"")</f>
        <v>Operativo</v>
      </c>
      <c r="I186" s="48" t="str">
        <f>IFERROR(_xlfn.XLOOKUP(G186,Listas!E:E,Listas!G:G,""),"")</f>
        <v>Externo</v>
      </c>
      <c r="J186" s="45">
        <v>60000</v>
      </c>
      <c r="K186" s="5">
        <v>-60000</v>
      </c>
      <c r="L186" s="6" t="s">
        <v>93</v>
      </c>
      <c r="M186" s="46">
        <v>376595.84999999986</v>
      </c>
      <c r="N186" s="27" t="str">
        <f>IF(tblMovimientos[[#This Row],[Tipo de Movimiento]]="Ingreso",tblMovimientos[[#This Row],[Monto (S/)]],"0")</f>
        <v>0</v>
      </c>
      <c r="O186" s="27">
        <f>IF(tblMovimientos[[#This Row],[Tipo de Movimiento]]="Egreso",tblMovimientos[[#This Row],[Monto (S/)]],"0")</f>
        <v>60000</v>
      </c>
      <c r="P186" s="29">
        <f>IF(tblMovimientos[[#This Row],[Tipo de Movimiento]]="Ingreso",tblMovimientos[[#This Row],[Ingreso]],-tblMovimientos[[#This Row],[Egreso]])</f>
        <v>-60000</v>
      </c>
    </row>
    <row r="187" spans="2:16" x14ac:dyDescent="0.3">
      <c r="B187" s="41">
        <v>46170</v>
      </c>
      <c r="C187" s="4" t="s">
        <v>20</v>
      </c>
      <c r="D187" s="43" t="s">
        <v>100</v>
      </c>
      <c r="E187" s="4" t="s">
        <v>36</v>
      </c>
      <c r="F187" s="43" t="s">
        <v>10</v>
      </c>
      <c r="G187" s="43" t="s">
        <v>61</v>
      </c>
      <c r="H187" s="4" t="str">
        <f>IFERROR(_xlfn.XLOOKUP(G187,Listas!E:E,Listas!F:F,""),"")</f>
        <v>Operativo</v>
      </c>
      <c r="I187" s="48" t="str">
        <f>IFERROR(_xlfn.XLOOKUP(G187,Listas!E:E,Listas!G:G,""),"")</f>
        <v>Externo</v>
      </c>
      <c r="J187" s="45">
        <v>100000</v>
      </c>
      <c r="K187" s="5">
        <v>-100000</v>
      </c>
      <c r="L187" s="6" t="s">
        <v>93</v>
      </c>
      <c r="M187" s="46">
        <v>376595.84999999986</v>
      </c>
      <c r="N187" s="27" t="str">
        <f>IF(tblMovimientos[[#This Row],[Tipo de Movimiento]]="Ingreso",tblMovimientos[[#This Row],[Monto (S/)]],"0")</f>
        <v>0</v>
      </c>
      <c r="O187" s="27">
        <f>IF(tblMovimientos[[#This Row],[Tipo de Movimiento]]="Egreso",tblMovimientos[[#This Row],[Monto (S/)]],"0")</f>
        <v>100000</v>
      </c>
      <c r="P187" s="29">
        <f>IF(tblMovimientos[[#This Row],[Tipo de Movimiento]]="Ingreso",tblMovimientos[[#This Row],[Ingreso]],-tblMovimientos[[#This Row],[Egreso]])</f>
        <v>-100000</v>
      </c>
    </row>
    <row r="188" spans="2:16" x14ac:dyDescent="0.3">
      <c r="B188" s="41">
        <v>46170</v>
      </c>
      <c r="C188" s="4" t="s">
        <v>17</v>
      </c>
      <c r="D188" s="43" t="s">
        <v>94</v>
      </c>
      <c r="E188" s="4" t="s">
        <v>36</v>
      </c>
      <c r="F188" s="43" t="s">
        <v>9</v>
      </c>
      <c r="G188" s="43" t="s">
        <v>68</v>
      </c>
      <c r="H188" s="4" t="str">
        <f>IFERROR(_xlfn.XLOOKUP(G188,Listas!E:E,Listas!F:F,""),"")</f>
        <v>Operativo</v>
      </c>
      <c r="I188" s="48" t="str">
        <f>IFERROR(_xlfn.XLOOKUP(G188,Listas!E:E,Listas!G:G,""),"")</f>
        <v>Externo</v>
      </c>
      <c r="J188" s="45">
        <v>68444.820000000007</v>
      </c>
      <c r="K188" s="5">
        <v>68444.820000000007</v>
      </c>
      <c r="L188" s="6" t="s">
        <v>93</v>
      </c>
      <c r="M188" s="46">
        <v>197078.62999999998</v>
      </c>
      <c r="N188" s="27">
        <f>IF(tblMovimientos[[#This Row],[Tipo de Movimiento]]="Ingreso",tblMovimientos[[#This Row],[Monto (S/)]],"0")</f>
        <v>68444.820000000007</v>
      </c>
      <c r="O188" s="27" t="str">
        <f>IF(tblMovimientos[[#This Row],[Tipo de Movimiento]]="Egreso",tblMovimientos[[#This Row],[Monto (S/)]],"0")</f>
        <v>0</v>
      </c>
      <c r="P188" s="29">
        <f>IF(tblMovimientos[[#This Row],[Tipo de Movimiento]]="Ingreso",tblMovimientos[[#This Row],[Ingreso]],-tblMovimientos[[#This Row],[Egreso]])</f>
        <v>68444.820000000007</v>
      </c>
    </row>
    <row r="189" spans="2:16" x14ac:dyDescent="0.3">
      <c r="B189" s="41">
        <v>46170</v>
      </c>
      <c r="C189" s="4" t="s">
        <v>31</v>
      </c>
      <c r="D189" s="43" t="s">
        <v>121</v>
      </c>
      <c r="E189" s="4" t="s">
        <v>36</v>
      </c>
      <c r="F189" s="43" t="s">
        <v>9</v>
      </c>
      <c r="G189" s="43" t="s">
        <v>71</v>
      </c>
      <c r="H189" s="4" t="str">
        <f>IFERROR(_xlfn.XLOOKUP(G189,Listas!E:E,Listas!F:F,""),"")</f>
        <v>Operativo</v>
      </c>
      <c r="I189" s="48" t="str">
        <f>IFERROR(_xlfn.XLOOKUP(G189,Listas!E:E,Listas!G:G,""),"")</f>
        <v>Interno</v>
      </c>
      <c r="J189" s="45">
        <v>20000</v>
      </c>
      <c r="K189" s="5">
        <v>20000</v>
      </c>
      <c r="L189" s="6" t="s">
        <v>93</v>
      </c>
      <c r="M189" s="46">
        <v>35123.179999999964</v>
      </c>
      <c r="N189" s="27">
        <f>IF(tblMovimientos[[#This Row],[Tipo de Movimiento]]="Ingreso",tblMovimientos[[#This Row],[Monto (S/)]],"0")</f>
        <v>20000</v>
      </c>
      <c r="O189" s="27" t="str">
        <f>IF(tblMovimientos[[#This Row],[Tipo de Movimiento]]="Egreso",tblMovimientos[[#This Row],[Monto (S/)]],"0")</f>
        <v>0</v>
      </c>
      <c r="P189" s="29">
        <f>IF(tblMovimientos[[#This Row],[Tipo de Movimiento]]="Ingreso",tblMovimientos[[#This Row],[Ingreso]],-tblMovimientos[[#This Row],[Egreso]])</f>
        <v>20000</v>
      </c>
    </row>
    <row r="190" spans="2:16" x14ac:dyDescent="0.3">
      <c r="B190" s="41">
        <v>46170</v>
      </c>
      <c r="C190" s="4" t="s">
        <v>18</v>
      </c>
      <c r="D190" s="43" t="s">
        <v>97</v>
      </c>
      <c r="E190" s="4" t="s">
        <v>37</v>
      </c>
      <c r="F190" s="43" t="s">
        <v>9</v>
      </c>
      <c r="G190" s="43" t="s">
        <v>68</v>
      </c>
      <c r="H190" s="4" t="str">
        <f>IFERROR(_xlfn.XLOOKUP(G190,Listas!E:E,Listas!F:F,""),"")</f>
        <v>Operativo</v>
      </c>
      <c r="I190" s="48" t="str">
        <f>IFERROR(_xlfn.XLOOKUP(G190,Listas!E:E,Listas!G:G,""),"")</f>
        <v>Externo</v>
      </c>
      <c r="J190" s="45">
        <v>2637.12</v>
      </c>
      <c r="K190" s="5">
        <v>2637.12</v>
      </c>
      <c r="L190" s="6" t="s">
        <v>93</v>
      </c>
      <c r="M190" s="46">
        <v>57397.280000000173</v>
      </c>
      <c r="N190" s="27">
        <f>IF(tblMovimientos[[#This Row],[Tipo de Movimiento]]="Ingreso",tblMovimientos[[#This Row],[Monto (S/)]],"0")</f>
        <v>2637.12</v>
      </c>
      <c r="O190" s="27" t="str">
        <f>IF(tblMovimientos[[#This Row],[Tipo de Movimiento]]="Egreso",tblMovimientos[[#This Row],[Monto (S/)]],"0")</f>
        <v>0</v>
      </c>
      <c r="P190" s="29">
        <f>IF(tblMovimientos[[#This Row],[Tipo de Movimiento]]="Ingreso",tblMovimientos[[#This Row],[Ingreso]],-tblMovimientos[[#This Row],[Egreso]])</f>
        <v>2637.12</v>
      </c>
    </row>
    <row r="191" spans="2:16" x14ac:dyDescent="0.3">
      <c r="B191" s="41">
        <v>46170</v>
      </c>
      <c r="C191" s="4" t="s">
        <v>18</v>
      </c>
      <c r="D191" s="43" t="s">
        <v>97</v>
      </c>
      <c r="E191" s="4" t="s">
        <v>37</v>
      </c>
      <c r="F191" s="43" t="s">
        <v>10</v>
      </c>
      <c r="G191" s="43" t="s">
        <v>65</v>
      </c>
      <c r="H191" s="4" t="str">
        <f>IFERROR(_xlfn.XLOOKUP(G191,Listas!E:E,Listas!F:F,""),"")</f>
        <v>Operativo</v>
      </c>
      <c r="I191" s="48" t="str">
        <f>IFERROR(_xlfn.XLOOKUP(G191,Listas!E:E,Listas!G:G,""),"")</f>
        <v>Externo</v>
      </c>
      <c r="J191" s="45">
        <v>1200000</v>
      </c>
      <c r="K191" s="5">
        <v>-1200000</v>
      </c>
      <c r="L191" s="6" t="s">
        <v>93</v>
      </c>
      <c r="M191" s="46">
        <v>57397.280000000173</v>
      </c>
      <c r="N191" s="27" t="str">
        <f>IF(tblMovimientos[[#This Row],[Tipo de Movimiento]]="Ingreso",tblMovimientos[[#This Row],[Monto (S/)]],"0")</f>
        <v>0</v>
      </c>
      <c r="O191" s="27">
        <f>IF(tblMovimientos[[#This Row],[Tipo de Movimiento]]="Egreso",tblMovimientos[[#This Row],[Monto (S/)]],"0")</f>
        <v>1200000</v>
      </c>
      <c r="P191" s="29">
        <f>IF(tblMovimientos[[#This Row],[Tipo de Movimiento]]="Ingreso",tblMovimientos[[#This Row],[Ingreso]],-tblMovimientos[[#This Row],[Egreso]])</f>
        <v>-1200000</v>
      </c>
    </row>
    <row r="192" spans="2:16" x14ac:dyDescent="0.3">
      <c r="B192" s="41">
        <v>46170</v>
      </c>
      <c r="C192" s="4" t="s">
        <v>17</v>
      </c>
      <c r="D192" s="43" t="s">
        <v>95</v>
      </c>
      <c r="E192" s="4" t="s">
        <v>37</v>
      </c>
      <c r="F192" s="43" t="s">
        <v>9</v>
      </c>
      <c r="G192" s="43" t="s">
        <v>70</v>
      </c>
      <c r="H192" s="4" t="str">
        <f>IFERROR(_xlfn.XLOOKUP(G192,Listas!E:E,Listas!F:F,""),"")</f>
        <v>Operativo</v>
      </c>
      <c r="I192" s="48" t="str">
        <f>IFERROR(_xlfn.XLOOKUP(G192,Listas!E:E,Listas!G:G,""),"")</f>
        <v>Externo</v>
      </c>
      <c r="J192" s="45">
        <v>1200000</v>
      </c>
      <c r="K192" s="5">
        <v>1200000</v>
      </c>
      <c r="L192" s="6" t="s">
        <v>93</v>
      </c>
      <c r="M192" s="46">
        <v>784648.53</v>
      </c>
      <c r="N192" s="27">
        <f>IF(tblMovimientos[[#This Row],[Tipo de Movimiento]]="Ingreso",tblMovimientos[[#This Row],[Monto (S/)]],"0")</f>
        <v>1200000</v>
      </c>
      <c r="O192" s="27" t="str">
        <f>IF(tblMovimientos[[#This Row],[Tipo de Movimiento]]="Egreso",tblMovimientos[[#This Row],[Monto (S/)]],"0")</f>
        <v>0</v>
      </c>
      <c r="P192" s="29">
        <f>IF(tblMovimientos[[#This Row],[Tipo de Movimiento]]="Ingreso",tblMovimientos[[#This Row],[Ingreso]],-tblMovimientos[[#This Row],[Egreso]])</f>
        <v>1200000</v>
      </c>
    </row>
    <row r="193" spans="2:16" x14ac:dyDescent="0.3">
      <c r="B193" s="41">
        <v>46170</v>
      </c>
      <c r="C193" s="4" t="s">
        <v>17</v>
      </c>
      <c r="D193" s="43" t="s">
        <v>95</v>
      </c>
      <c r="E193" s="4" t="s">
        <v>37</v>
      </c>
      <c r="F193" s="43" t="s">
        <v>10</v>
      </c>
      <c r="G193" s="43" t="s">
        <v>46</v>
      </c>
      <c r="H193" s="4" t="str">
        <f>IFERROR(_xlfn.XLOOKUP(G193,Listas!E:E,Listas!F:F,""),"")</f>
        <v>Financiamiento</v>
      </c>
      <c r="I193" s="48" t="str">
        <f>IFERROR(_xlfn.XLOOKUP(G193,Listas!E:E,Listas!G:G,""),"")</f>
        <v>Externo</v>
      </c>
      <c r="J193" s="45">
        <v>10000</v>
      </c>
      <c r="K193" s="5">
        <v>-10000</v>
      </c>
      <c r="L193" s="6" t="s">
        <v>93</v>
      </c>
      <c r="M193" s="46">
        <v>784648.53</v>
      </c>
      <c r="N193" s="27" t="str">
        <f>IF(tblMovimientos[[#This Row],[Tipo de Movimiento]]="Ingreso",tblMovimientos[[#This Row],[Monto (S/)]],"0")</f>
        <v>0</v>
      </c>
      <c r="O193" s="27">
        <f>IF(tblMovimientos[[#This Row],[Tipo de Movimiento]]="Egreso",tblMovimientos[[#This Row],[Monto (S/)]],"0")</f>
        <v>10000</v>
      </c>
      <c r="P193" s="29">
        <f>IF(tblMovimientos[[#This Row],[Tipo de Movimiento]]="Ingreso",tblMovimientos[[#This Row],[Ingreso]],-tblMovimientos[[#This Row],[Egreso]])</f>
        <v>-10000</v>
      </c>
    </row>
    <row r="194" spans="2:16" x14ac:dyDescent="0.3">
      <c r="B194" s="41">
        <v>46170</v>
      </c>
      <c r="C194" s="4" t="s">
        <v>17</v>
      </c>
      <c r="D194" s="43" t="s">
        <v>95</v>
      </c>
      <c r="E194" s="4" t="s">
        <v>37</v>
      </c>
      <c r="F194" s="43" t="s">
        <v>10</v>
      </c>
      <c r="G194" s="43" t="s">
        <v>46</v>
      </c>
      <c r="H194" s="4" t="str">
        <f>IFERROR(_xlfn.XLOOKUP(G194,Listas!E:E,Listas!F:F,""),"")</f>
        <v>Financiamiento</v>
      </c>
      <c r="I194" s="48" t="str">
        <f>IFERROR(_xlfn.XLOOKUP(G194,Listas!E:E,Listas!G:G,""),"")</f>
        <v>Externo</v>
      </c>
      <c r="J194" s="45">
        <v>10833.33</v>
      </c>
      <c r="K194" s="5">
        <v>-10833.33</v>
      </c>
      <c r="L194" s="6" t="s">
        <v>93</v>
      </c>
      <c r="M194" s="46">
        <v>784648.53</v>
      </c>
      <c r="N194" s="27" t="str">
        <f>IF(tblMovimientos[[#This Row],[Tipo de Movimiento]]="Ingreso",tblMovimientos[[#This Row],[Monto (S/)]],"0")</f>
        <v>0</v>
      </c>
      <c r="O194" s="27">
        <f>IF(tblMovimientos[[#This Row],[Tipo de Movimiento]]="Egreso",tblMovimientos[[#This Row],[Monto (S/)]],"0")</f>
        <v>10833.33</v>
      </c>
      <c r="P194" s="29">
        <f>IF(tblMovimientos[[#This Row],[Tipo de Movimiento]]="Ingreso",tblMovimientos[[#This Row],[Ingreso]],-tblMovimientos[[#This Row],[Egreso]])</f>
        <v>-10833.33</v>
      </c>
    </row>
    <row r="195" spans="2:16" x14ac:dyDescent="0.3">
      <c r="B195" s="41">
        <v>46170</v>
      </c>
      <c r="C195" s="4" t="s">
        <v>17</v>
      </c>
      <c r="D195" s="43" t="s">
        <v>95</v>
      </c>
      <c r="E195" s="4" t="s">
        <v>37</v>
      </c>
      <c r="F195" s="43" t="s">
        <v>10</v>
      </c>
      <c r="G195" s="43" t="s">
        <v>50</v>
      </c>
      <c r="H195" s="4" t="str">
        <f>IFERROR(_xlfn.XLOOKUP(G195,Listas!E:E,Listas!F:F,""),"")</f>
        <v>Financiamiento</v>
      </c>
      <c r="I195" s="48" t="str">
        <f>IFERROR(_xlfn.XLOOKUP(G195,Listas!E:E,Listas!G:G,""),"")</f>
        <v>Externo</v>
      </c>
      <c r="J195" s="45">
        <v>20000</v>
      </c>
      <c r="K195" s="5">
        <v>-20000</v>
      </c>
      <c r="L195" s="6" t="s">
        <v>93</v>
      </c>
      <c r="M195" s="46">
        <v>784648.53</v>
      </c>
      <c r="N195" s="27" t="str">
        <f>IF(tblMovimientos[[#This Row],[Tipo de Movimiento]]="Ingreso",tblMovimientos[[#This Row],[Monto (S/)]],"0")</f>
        <v>0</v>
      </c>
      <c r="O195" s="27">
        <f>IF(tblMovimientos[[#This Row],[Tipo de Movimiento]]="Egreso",tblMovimientos[[#This Row],[Monto (S/)]],"0")</f>
        <v>20000</v>
      </c>
      <c r="P195" s="29">
        <f>IF(tblMovimientos[[#This Row],[Tipo de Movimiento]]="Ingreso",tblMovimientos[[#This Row],[Ingreso]],-tblMovimientos[[#This Row],[Egreso]])</f>
        <v>-20000</v>
      </c>
    </row>
    <row r="196" spans="2:16" x14ac:dyDescent="0.3">
      <c r="B196" s="41">
        <v>46170</v>
      </c>
      <c r="C196" s="4" t="s">
        <v>17</v>
      </c>
      <c r="D196" s="43" t="s">
        <v>95</v>
      </c>
      <c r="E196" s="4" t="s">
        <v>37</v>
      </c>
      <c r="F196" s="43" t="s">
        <v>10</v>
      </c>
      <c r="G196" s="43" t="s">
        <v>61</v>
      </c>
      <c r="H196" s="4" t="str">
        <f>IFERROR(_xlfn.XLOOKUP(G196,Listas!E:E,Listas!F:F,""),"")</f>
        <v>Operativo</v>
      </c>
      <c r="I196" s="48" t="str">
        <f>IFERROR(_xlfn.XLOOKUP(G196,Listas!E:E,Listas!G:G,""),"")</f>
        <v>Externo</v>
      </c>
      <c r="J196" s="45">
        <v>40000</v>
      </c>
      <c r="K196" s="5">
        <v>-40000</v>
      </c>
      <c r="L196" s="6" t="s">
        <v>93</v>
      </c>
      <c r="M196" s="46">
        <v>784648.53</v>
      </c>
      <c r="N196" s="27" t="str">
        <f>IF(tblMovimientos[[#This Row],[Tipo de Movimiento]]="Ingreso",tblMovimientos[[#This Row],[Monto (S/)]],"0")</f>
        <v>0</v>
      </c>
      <c r="O196" s="27">
        <f>IF(tblMovimientos[[#This Row],[Tipo de Movimiento]]="Egreso",tblMovimientos[[#This Row],[Monto (S/)]],"0")</f>
        <v>40000</v>
      </c>
      <c r="P196" s="29">
        <f>IF(tblMovimientos[[#This Row],[Tipo de Movimiento]]="Ingreso",tblMovimientos[[#This Row],[Ingreso]],-tblMovimientos[[#This Row],[Egreso]])</f>
        <v>-40000</v>
      </c>
    </row>
    <row r="197" spans="2:16" x14ac:dyDescent="0.3">
      <c r="B197" s="41">
        <v>46170</v>
      </c>
      <c r="C197" s="4" t="s">
        <v>17</v>
      </c>
      <c r="D197" s="43" t="s">
        <v>95</v>
      </c>
      <c r="E197" s="4" t="s">
        <v>37</v>
      </c>
      <c r="F197" s="43" t="s">
        <v>10</v>
      </c>
      <c r="G197" s="43" t="s">
        <v>61</v>
      </c>
      <c r="H197" s="4" t="str">
        <f>IFERROR(_xlfn.XLOOKUP(G197,Listas!E:E,Listas!F:F,""),"")</f>
        <v>Operativo</v>
      </c>
      <c r="I197" s="48" t="str">
        <f>IFERROR(_xlfn.XLOOKUP(G197,Listas!E:E,Listas!G:G,""),"")</f>
        <v>Externo</v>
      </c>
      <c r="J197" s="45">
        <v>60000</v>
      </c>
      <c r="K197" s="5">
        <v>-60000</v>
      </c>
      <c r="L197" s="6" t="s">
        <v>93</v>
      </c>
      <c r="M197" s="46">
        <v>784648.53</v>
      </c>
      <c r="N197" s="27" t="str">
        <f>IF(tblMovimientos[[#This Row],[Tipo de Movimiento]]="Ingreso",tblMovimientos[[#This Row],[Monto (S/)]],"0")</f>
        <v>0</v>
      </c>
      <c r="O197" s="27">
        <f>IF(tblMovimientos[[#This Row],[Tipo de Movimiento]]="Egreso",tblMovimientos[[#This Row],[Monto (S/)]],"0")</f>
        <v>60000</v>
      </c>
      <c r="P197" s="29">
        <f>IF(tblMovimientos[[#This Row],[Tipo de Movimiento]]="Ingreso",tblMovimientos[[#This Row],[Ingreso]],-tblMovimientos[[#This Row],[Egreso]])</f>
        <v>-60000</v>
      </c>
    </row>
    <row r="198" spans="2:16" x14ac:dyDescent="0.3">
      <c r="B198" s="41">
        <v>46170</v>
      </c>
      <c r="C198" s="4" t="s">
        <v>17</v>
      </c>
      <c r="D198" s="43" t="s">
        <v>95</v>
      </c>
      <c r="E198" s="4" t="s">
        <v>37</v>
      </c>
      <c r="F198" s="43" t="s">
        <v>10</v>
      </c>
      <c r="G198" s="43" t="s">
        <v>61</v>
      </c>
      <c r="H198" s="4" t="str">
        <f>IFERROR(_xlfn.XLOOKUP(G198,Listas!E:E,Listas!F:F,""),"")</f>
        <v>Operativo</v>
      </c>
      <c r="I198" s="48" t="str">
        <f>IFERROR(_xlfn.XLOOKUP(G198,Listas!E:E,Listas!G:G,""),"")</f>
        <v>Externo</v>
      </c>
      <c r="J198" s="45">
        <v>100000</v>
      </c>
      <c r="K198" s="5">
        <v>-100000</v>
      </c>
      <c r="L198" s="6" t="s">
        <v>93</v>
      </c>
      <c r="M198" s="46">
        <v>784648.53</v>
      </c>
      <c r="N198" s="27" t="str">
        <f>IF(tblMovimientos[[#This Row],[Tipo de Movimiento]]="Ingreso",tblMovimientos[[#This Row],[Monto (S/)]],"0")</f>
        <v>0</v>
      </c>
      <c r="O198" s="27">
        <f>IF(tblMovimientos[[#This Row],[Tipo de Movimiento]]="Egreso",tblMovimientos[[#This Row],[Monto (S/)]],"0")</f>
        <v>100000</v>
      </c>
      <c r="P198" s="29">
        <f>IF(tblMovimientos[[#This Row],[Tipo de Movimiento]]="Ingreso",tblMovimientos[[#This Row],[Ingreso]],-tblMovimientos[[#This Row],[Egreso]])</f>
        <v>-100000</v>
      </c>
    </row>
    <row r="199" spans="2:16" x14ac:dyDescent="0.3">
      <c r="B199" s="41">
        <v>46170</v>
      </c>
      <c r="C199" s="4" t="s">
        <v>17</v>
      </c>
      <c r="D199" s="43" t="s">
        <v>95</v>
      </c>
      <c r="E199" s="4" t="s">
        <v>37</v>
      </c>
      <c r="F199" s="43" t="s">
        <v>10</v>
      </c>
      <c r="G199" s="43" t="s">
        <v>62</v>
      </c>
      <c r="H199" s="4" t="str">
        <f>IFERROR(_xlfn.XLOOKUP(G199,Listas!E:E,Listas!F:F,""),"")</f>
        <v>Operativo</v>
      </c>
      <c r="I199" s="48" t="str">
        <f>IFERROR(_xlfn.XLOOKUP(G199,Listas!E:E,Listas!G:G,""),"")</f>
        <v>Interno</v>
      </c>
      <c r="J199" s="45">
        <v>300000</v>
      </c>
      <c r="K199" s="5">
        <v>-300000</v>
      </c>
      <c r="L199" s="6" t="s">
        <v>93</v>
      </c>
      <c r="M199" s="46">
        <v>784648.53</v>
      </c>
      <c r="N199" s="27" t="str">
        <f>IF(tblMovimientos[[#This Row],[Tipo de Movimiento]]="Ingreso",tblMovimientos[[#This Row],[Monto (S/)]],"0")</f>
        <v>0</v>
      </c>
      <c r="O199" s="27">
        <f>IF(tblMovimientos[[#This Row],[Tipo de Movimiento]]="Egreso",tblMovimientos[[#This Row],[Monto (S/)]],"0")</f>
        <v>300000</v>
      </c>
      <c r="P199" s="29">
        <f>IF(tblMovimientos[[#This Row],[Tipo de Movimiento]]="Ingreso",tblMovimientos[[#This Row],[Ingreso]],-tblMovimientos[[#This Row],[Egreso]])</f>
        <v>-300000</v>
      </c>
    </row>
    <row r="200" spans="2:16" x14ac:dyDescent="0.3">
      <c r="B200" s="41">
        <v>46170</v>
      </c>
      <c r="C200" s="4" t="s">
        <v>21</v>
      </c>
      <c r="D200" s="43" t="s">
        <v>104</v>
      </c>
      <c r="E200" s="4" t="s">
        <v>37</v>
      </c>
      <c r="F200" s="43" t="s">
        <v>9</v>
      </c>
      <c r="G200" s="43" t="s">
        <v>75</v>
      </c>
      <c r="H200" s="4" t="str">
        <f>IFERROR(_xlfn.XLOOKUP(G200,Listas!E:E,Listas!F:F,""),"")</f>
        <v>Financiamiento</v>
      </c>
      <c r="I200" s="48" t="str">
        <f>IFERROR(_xlfn.XLOOKUP(G200,Listas!E:E,Listas!G:G,""),"")</f>
        <v>Interno</v>
      </c>
      <c r="J200" s="45">
        <v>300000</v>
      </c>
      <c r="K200" s="5">
        <v>300000</v>
      </c>
      <c r="L200" s="6" t="s">
        <v>93</v>
      </c>
      <c r="M200" s="46">
        <v>321514.8599999994</v>
      </c>
      <c r="N200" s="27">
        <f>IF(tblMovimientos[[#This Row],[Tipo de Movimiento]]="Ingreso",tblMovimientos[[#This Row],[Monto (S/)]],"0")</f>
        <v>300000</v>
      </c>
      <c r="O200" s="27" t="str">
        <f>IF(tblMovimientos[[#This Row],[Tipo de Movimiento]]="Egreso",tblMovimientos[[#This Row],[Monto (S/)]],"0")</f>
        <v>0</v>
      </c>
      <c r="P200" s="29">
        <f>IF(tblMovimientos[[#This Row],[Tipo de Movimiento]]="Ingreso",tblMovimientos[[#This Row],[Ingreso]],-tblMovimientos[[#This Row],[Egreso]])</f>
        <v>300000</v>
      </c>
    </row>
    <row r="201" spans="2:16" x14ac:dyDescent="0.3">
      <c r="B201" s="41">
        <v>46170</v>
      </c>
      <c r="C201" s="4" t="s">
        <v>21</v>
      </c>
      <c r="D201" s="43" t="s">
        <v>104</v>
      </c>
      <c r="E201" s="4" t="s">
        <v>37</v>
      </c>
      <c r="F201" s="43" t="s">
        <v>10</v>
      </c>
      <c r="G201" s="43" t="s">
        <v>38</v>
      </c>
      <c r="H201" s="4" t="str">
        <f>IFERROR(_xlfn.XLOOKUP(G201,Listas!E:E,Listas!F:F,""),"")</f>
        <v>Operativo</v>
      </c>
      <c r="I201" s="48" t="str">
        <f>IFERROR(_xlfn.XLOOKUP(G201,Listas!E:E,Listas!G:G,""),"")</f>
        <v>Externo</v>
      </c>
      <c r="J201" s="45">
        <v>10753.2</v>
      </c>
      <c r="K201" s="5">
        <v>-10753.2</v>
      </c>
      <c r="L201" s="6" t="s">
        <v>93</v>
      </c>
      <c r="M201" s="46">
        <v>321514.8599999994</v>
      </c>
      <c r="N201" s="27" t="str">
        <f>IF(tblMovimientos[[#This Row],[Tipo de Movimiento]]="Ingreso",tblMovimientos[[#This Row],[Monto (S/)]],"0")</f>
        <v>0</v>
      </c>
      <c r="O201" s="27">
        <f>IF(tblMovimientos[[#This Row],[Tipo de Movimiento]]="Egreso",tblMovimientos[[#This Row],[Monto (S/)]],"0")</f>
        <v>10753.2</v>
      </c>
      <c r="P201" s="29">
        <f>IF(tblMovimientos[[#This Row],[Tipo de Movimiento]]="Ingreso",tblMovimientos[[#This Row],[Ingreso]],-tblMovimientos[[#This Row],[Egreso]])</f>
        <v>-10753.2</v>
      </c>
    </row>
    <row r="202" spans="2:16" x14ac:dyDescent="0.3">
      <c r="B202" s="41">
        <v>46170</v>
      </c>
      <c r="C202" s="4" t="s">
        <v>21</v>
      </c>
      <c r="D202" s="43" t="s">
        <v>104</v>
      </c>
      <c r="E202" s="4" t="s">
        <v>37</v>
      </c>
      <c r="F202" s="43" t="s">
        <v>10</v>
      </c>
      <c r="G202" s="43" t="s">
        <v>56</v>
      </c>
      <c r="H202" s="4" t="str">
        <f>IFERROR(_xlfn.XLOOKUP(G202,Listas!E:E,Listas!F:F,""),"")</f>
        <v>Inversion</v>
      </c>
      <c r="I202" s="48" t="str">
        <f>IFERROR(_xlfn.XLOOKUP(G202,Listas!E:E,Listas!G:G,""),"")</f>
        <v>Externo</v>
      </c>
      <c r="J202" s="45">
        <v>16733.29</v>
      </c>
      <c r="K202" s="5">
        <v>-16733.29</v>
      </c>
      <c r="L202" s="6" t="s">
        <v>93</v>
      </c>
      <c r="M202" s="46">
        <v>321514.8599999994</v>
      </c>
      <c r="N202" s="27" t="str">
        <f>IF(tblMovimientos[[#This Row],[Tipo de Movimiento]]="Ingreso",tblMovimientos[[#This Row],[Monto (S/)]],"0")</f>
        <v>0</v>
      </c>
      <c r="O202" s="27">
        <f>IF(tblMovimientos[[#This Row],[Tipo de Movimiento]]="Egreso",tblMovimientos[[#This Row],[Monto (S/)]],"0")</f>
        <v>16733.29</v>
      </c>
      <c r="P202" s="29">
        <f>IF(tblMovimientos[[#This Row],[Tipo de Movimiento]]="Ingreso",tblMovimientos[[#This Row],[Ingreso]],-tblMovimientos[[#This Row],[Egreso]])</f>
        <v>-16733.29</v>
      </c>
    </row>
    <row r="203" spans="2:16" x14ac:dyDescent="0.3">
      <c r="B203" s="41">
        <v>46170</v>
      </c>
      <c r="C203" s="4" t="s">
        <v>21</v>
      </c>
      <c r="D203" s="43" t="s">
        <v>104</v>
      </c>
      <c r="E203" s="4" t="s">
        <v>37</v>
      </c>
      <c r="F203" s="43" t="s">
        <v>10</v>
      </c>
      <c r="G203" s="43" t="s">
        <v>40</v>
      </c>
      <c r="H203" s="4" t="str">
        <f>IFERROR(_xlfn.XLOOKUP(G203,Listas!E:E,Listas!F:F,""),"")</f>
        <v>Operativo</v>
      </c>
      <c r="I203" s="48" t="str">
        <f>IFERROR(_xlfn.XLOOKUP(G203,Listas!E:E,Listas!G:G,""),"")</f>
        <v>Externo</v>
      </c>
      <c r="J203" s="45">
        <v>162017.17000000001</v>
      </c>
      <c r="K203" s="5">
        <v>-162017.17000000001</v>
      </c>
      <c r="L203" s="6" t="s">
        <v>93</v>
      </c>
      <c r="M203" s="46">
        <v>321514.8599999994</v>
      </c>
      <c r="N203" s="27" t="str">
        <f>IF(tblMovimientos[[#This Row],[Tipo de Movimiento]]="Ingreso",tblMovimientos[[#This Row],[Monto (S/)]],"0")</f>
        <v>0</v>
      </c>
      <c r="O203" s="27">
        <f>IF(tblMovimientos[[#This Row],[Tipo de Movimiento]]="Egreso",tblMovimientos[[#This Row],[Monto (S/)]],"0")</f>
        <v>162017.17000000001</v>
      </c>
      <c r="P203" s="29">
        <f>IF(tblMovimientos[[#This Row],[Tipo de Movimiento]]="Ingreso",tblMovimientos[[#This Row],[Ingreso]],-tblMovimientos[[#This Row],[Egreso]])</f>
        <v>-162017.17000000001</v>
      </c>
    </row>
    <row r="204" spans="2:16" x14ac:dyDescent="0.3">
      <c r="B204" s="41">
        <v>46170</v>
      </c>
      <c r="C204" s="4" t="s">
        <v>35</v>
      </c>
      <c r="D204" s="43" t="s">
        <v>126</v>
      </c>
      <c r="E204" s="4" t="s">
        <v>37</v>
      </c>
      <c r="F204" s="43" t="s">
        <v>10</v>
      </c>
      <c r="G204" s="43" t="s">
        <v>44</v>
      </c>
      <c r="H204" s="4" t="str">
        <f>IFERROR(_xlfn.XLOOKUP(G204,Listas!E:E,Listas!F:F,""),"")</f>
        <v>Operativo</v>
      </c>
      <c r="I204" s="48" t="str">
        <f>IFERROR(_xlfn.XLOOKUP(G204,Listas!E:E,Listas!G:G,""),"")</f>
        <v>Externo</v>
      </c>
      <c r="J204" s="45">
        <v>15</v>
      </c>
      <c r="K204" s="5">
        <v>-15</v>
      </c>
      <c r="L204" s="6" t="s">
        <v>93</v>
      </c>
      <c r="M204" s="46">
        <v>9076.2400000000016</v>
      </c>
      <c r="N204" s="27" t="str">
        <f>IF(tblMovimientos[[#This Row],[Tipo de Movimiento]]="Ingreso",tblMovimientos[[#This Row],[Monto (S/)]],"0")</f>
        <v>0</v>
      </c>
      <c r="O204" s="27">
        <f>IF(tblMovimientos[[#This Row],[Tipo de Movimiento]]="Egreso",tblMovimientos[[#This Row],[Monto (S/)]],"0")</f>
        <v>15</v>
      </c>
      <c r="P204" s="29">
        <f>IF(tblMovimientos[[#This Row],[Tipo de Movimiento]]="Ingreso",tblMovimientos[[#This Row],[Ingreso]],-tblMovimientos[[#This Row],[Egreso]])</f>
        <v>-15</v>
      </c>
    </row>
    <row r="205" spans="2:16" x14ac:dyDescent="0.3">
      <c r="B205" s="41">
        <v>46170</v>
      </c>
      <c r="C205" s="4" t="s">
        <v>35</v>
      </c>
      <c r="D205" s="43" t="s">
        <v>126</v>
      </c>
      <c r="E205" s="4" t="s">
        <v>37</v>
      </c>
      <c r="F205" s="43" t="s">
        <v>10</v>
      </c>
      <c r="G205" s="43" t="s">
        <v>44</v>
      </c>
      <c r="H205" s="4" t="str">
        <f>IFERROR(_xlfn.XLOOKUP(G205,Listas!E:E,Listas!F:F,""),"")</f>
        <v>Operativo</v>
      </c>
      <c r="I205" s="48" t="str">
        <f>IFERROR(_xlfn.XLOOKUP(G205,Listas!E:E,Listas!G:G,""),"")</f>
        <v>Externo</v>
      </c>
      <c r="J205" s="45">
        <v>15</v>
      </c>
      <c r="K205" s="5">
        <v>-15</v>
      </c>
      <c r="L205" s="6" t="s">
        <v>93</v>
      </c>
      <c r="M205" s="46">
        <v>9076.2400000000016</v>
      </c>
      <c r="N205" s="27" t="str">
        <f>IF(tblMovimientos[[#This Row],[Tipo de Movimiento]]="Ingreso",tblMovimientos[[#This Row],[Monto (S/)]],"0")</f>
        <v>0</v>
      </c>
      <c r="O205" s="27">
        <f>IF(tblMovimientos[[#This Row],[Tipo de Movimiento]]="Egreso",tblMovimientos[[#This Row],[Monto (S/)]],"0")</f>
        <v>15</v>
      </c>
      <c r="P205" s="29">
        <f>IF(tblMovimientos[[#This Row],[Tipo de Movimiento]]="Ingreso",tblMovimientos[[#This Row],[Ingreso]],-tblMovimientos[[#This Row],[Egreso]])</f>
        <v>-15</v>
      </c>
    </row>
    <row r="206" spans="2:16" x14ac:dyDescent="0.3">
      <c r="B206" s="41">
        <v>46170</v>
      </c>
      <c r="C206" s="4" t="s">
        <v>35</v>
      </c>
      <c r="D206" s="43" t="s">
        <v>126</v>
      </c>
      <c r="E206" s="4" t="s">
        <v>37</v>
      </c>
      <c r="F206" s="43" t="s">
        <v>10</v>
      </c>
      <c r="G206" s="43" t="s">
        <v>44</v>
      </c>
      <c r="H206" s="4" t="str">
        <f>IFERROR(_xlfn.XLOOKUP(G206,Listas!E:E,Listas!F:F,""),"")</f>
        <v>Operativo</v>
      </c>
      <c r="I206" s="48" t="str">
        <f>IFERROR(_xlfn.XLOOKUP(G206,Listas!E:E,Listas!G:G,""),"")</f>
        <v>Externo</v>
      </c>
      <c r="J206" s="45">
        <v>15</v>
      </c>
      <c r="K206" s="5">
        <v>-15</v>
      </c>
      <c r="L206" s="6" t="s">
        <v>93</v>
      </c>
      <c r="M206" s="46">
        <v>9076.2400000000016</v>
      </c>
      <c r="N206" s="27" t="str">
        <f>IF(tblMovimientos[[#This Row],[Tipo de Movimiento]]="Ingreso",tblMovimientos[[#This Row],[Monto (S/)]],"0")</f>
        <v>0</v>
      </c>
      <c r="O206" s="27">
        <f>IF(tblMovimientos[[#This Row],[Tipo de Movimiento]]="Egreso",tblMovimientos[[#This Row],[Monto (S/)]],"0")</f>
        <v>15</v>
      </c>
      <c r="P206" s="29">
        <f>IF(tblMovimientos[[#This Row],[Tipo de Movimiento]]="Ingreso",tblMovimientos[[#This Row],[Ingreso]],-tblMovimientos[[#This Row],[Egreso]])</f>
        <v>-15</v>
      </c>
    </row>
    <row r="207" spans="2:16" x14ac:dyDescent="0.3">
      <c r="B207" s="41">
        <v>46170</v>
      </c>
      <c r="C207" s="4" t="s">
        <v>35</v>
      </c>
      <c r="D207" s="43" t="s">
        <v>126</v>
      </c>
      <c r="E207" s="4" t="s">
        <v>37</v>
      </c>
      <c r="F207" s="43" t="s">
        <v>10</v>
      </c>
      <c r="G207" s="43" t="s">
        <v>44</v>
      </c>
      <c r="H207" s="4" t="str">
        <f>IFERROR(_xlfn.XLOOKUP(G207,Listas!E:E,Listas!F:F,""),"")</f>
        <v>Operativo</v>
      </c>
      <c r="I207" s="48" t="str">
        <f>IFERROR(_xlfn.XLOOKUP(G207,Listas!E:E,Listas!G:G,""),"")</f>
        <v>Externo</v>
      </c>
      <c r="J207" s="45">
        <v>15</v>
      </c>
      <c r="K207" s="5">
        <v>-15</v>
      </c>
      <c r="L207" s="6" t="s">
        <v>93</v>
      </c>
      <c r="M207" s="46">
        <v>9076.2400000000016</v>
      </c>
      <c r="N207" s="27" t="str">
        <f>IF(tblMovimientos[[#This Row],[Tipo de Movimiento]]="Ingreso",tblMovimientos[[#This Row],[Monto (S/)]],"0")</f>
        <v>0</v>
      </c>
      <c r="O207" s="27">
        <f>IF(tblMovimientos[[#This Row],[Tipo de Movimiento]]="Egreso",tblMovimientos[[#This Row],[Monto (S/)]],"0")</f>
        <v>15</v>
      </c>
      <c r="P207" s="29">
        <f>IF(tblMovimientos[[#This Row],[Tipo de Movimiento]]="Ingreso",tblMovimientos[[#This Row],[Ingreso]],-tblMovimientos[[#This Row],[Egreso]])</f>
        <v>-15</v>
      </c>
    </row>
    <row r="208" spans="2:16" x14ac:dyDescent="0.3">
      <c r="B208" s="41">
        <v>46170</v>
      </c>
      <c r="C208" s="4" t="s">
        <v>35</v>
      </c>
      <c r="D208" s="43" t="s">
        <v>126</v>
      </c>
      <c r="E208" s="4" t="s">
        <v>37</v>
      </c>
      <c r="F208" s="43" t="s">
        <v>10</v>
      </c>
      <c r="G208" s="43" t="s">
        <v>38</v>
      </c>
      <c r="H208" s="4" t="str">
        <f>IFERROR(_xlfn.XLOOKUP(G208,Listas!E:E,Listas!F:F,""),"")</f>
        <v>Operativo</v>
      </c>
      <c r="I208" s="48" t="str">
        <f>IFERROR(_xlfn.XLOOKUP(G208,Listas!E:E,Listas!G:G,""),"")</f>
        <v>Externo</v>
      </c>
      <c r="J208" s="45">
        <v>951.3</v>
      </c>
      <c r="K208" s="5">
        <v>-951.3</v>
      </c>
      <c r="L208" s="6" t="s">
        <v>93</v>
      </c>
      <c r="M208" s="46">
        <v>9076.2400000000016</v>
      </c>
      <c r="N208" s="27" t="str">
        <f>IF(tblMovimientos[[#This Row],[Tipo de Movimiento]]="Ingreso",tblMovimientos[[#This Row],[Monto (S/)]],"0")</f>
        <v>0</v>
      </c>
      <c r="O208" s="27">
        <f>IF(tblMovimientos[[#This Row],[Tipo de Movimiento]]="Egreso",tblMovimientos[[#This Row],[Monto (S/)]],"0")</f>
        <v>951.3</v>
      </c>
      <c r="P208" s="29">
        <f>IF(tblMovimientos[[#This Row],[Tipo de Movimiento]]="Ingreso",tblMovimientos[[#This Row],[Ingreso]],-tblMovimientos[[#This Row],[Egreso]])</f>
        <v>-951.3</v>
      </c>
    </row>
    <row r="209" spans="2:16" x14ac:dyDescent="0.3">
      <c r="B209" s="41">
        <v>46170</v>
      </c>
      <c r="C209" s="4" t="s">
        <v>35</v>
      </c>
      <c r="D209" s="43" t="s">
        <v>126</v>
      </c>
      <c r="E209" s="4" t="s">
        <v>37</v>
      </c>
      <c r="F209" s="43" t="s">
        <v>10</v>
      </c>
      <c r="G209" s="43" t="s">
        <v>38</v>
      </c>
      <c r="H209" s="4" t="str">
        <f>IFERROR(_xlfn.XLOOKUP(G209,Listas!E:E,Listas!F:F,""),"")</f>
        <v>Operativo</v>
      </c>
      <c r="I209" s="48" t="str">
        <f>IFERROR(_xlfn.XLOOKUP(G209,Listas!E:E,Listas!G:G,""),"")</f>
        <v>Externo</v>
      </c>
      <c r="J209" s="45">
        <v>1981.86</v>
      </c>
      <c r="K209" s="5">
        <v>-1981.86</v>
      </c>
      <c r="L209" s="6" t="s">
        <v>93</v>
      </c>
      <c r="M209" s="46">
        <v>9076.2400000000016</v>
      </c>
      <c r="N209" s="27" t="str">
        <f>IF(tblMovimientos[[#This Row],[Tipo de Movimiento]]="Ingreso",tblMovimientos[[#This Row],[Monto (S/)]],"0")</f>
        <v>0</v>
      </c>
      <c r="O209" s="27">
        <f>IF(tblMovimientos[[#This Row],[Tipo de Movimiento]]="Egreso",tblMovimientos[[#This Row],[Monto (S/)]],"0")</f>
        <v>1981.86</v>
      </c>
      <c r="P209" s="29">
        <f>IF(tblMovimientos[[#This Row],[Tipo de Movimiento]]="Ingreso",tblMovimientos[[#This Row],[Ingreso]],-tblMovimientos[[#This Row],[Egreso]])</f>
        <v>-1981.86</v>
      </c>
    </row>
    <row r="210" spans="2:16" x14ac:dyDescent="0.3">
      <c r="B210" s="41">
        <v>46170</v>
      </c>
      <c r="C210" s="4" t="s">
        <v>35</v>
      </c>
      <c r="D210" s="43" t="s">
        <v>126</v>
      </c>
      <c r="E210" s="4" t="s">
        <v>37</v>
      </c>
      <c r="F210" s="43" t="s">
        <v>10</v>
      </c>
      <c r="G210" s="43" t="s">
        <v>38</v>
      </c>
      <c r="H210" s="4" t="str">
        <f>IFERROR(_xlfn.XLOOKUP(G210,Listas!E:E,Listas!F:F,""),"")</f>
        <v>Operativo</v>
      </c>
      <c r="I210" s="48" t="str">
        <f>IFERROR(_xlfn.XLOOKUP(G210,Listas!E:E,Listas!G:G,""),"")</f>
        <v>Externo</v>
      </c>
      <c r="J210" s="45">
        <v>2500</v>
      </c>
      <c r="K210" s="5">
        <v>-2500</v>
      </c>
      <c r="L210" s="6" t="s">
        <v>93</v>
      </c>
      <c r="M210" s="46">
        <v>9076.2400000000016</v>
      </c>
      <c r="N210" s="27" t="str">
        <f>IF(tblMovimientos[[#This Row],[Tipo de Movimiento]]="Ingreso",tblMovimientos[[#This Row],[Monto (S/)]],"0")</f>
        <v>0</v>
      </c>
      <c r="O210" s="27">
        <f>IF(tblMovimientos[[#This Row],[Tipo de Movimiento]]="Egreso",tblMovimientos[[#This Row],[Monto (S/)]],"0")</f>
        <v>2500</v>
      </c>
      <c r="P210" s="29">
        <f>IF(tblMovimientos[[#This Row],[Tipo de Movimiento]]="Ingreso",tblMovimientos[[#This Row],[Ingreso]],-tblMovimientos[[#This Row],[Egreso]])</f>
        <v>-2500</v>
      </c>
    </row>
    <row r="211" spans="2:16" x14ac:dyDescent="0.3">
      <c r="B211" s="41">
        <v>46170</v>
      </c>
      <c r="C211" s="4" t="s">
        <v>35</v>
      </c>
      <c r="D211" s="43" t="s">
        <v>126</v>
      </c>
      <c r="E211" s="4" t="s">
        <v>37</v>
      </c>
      <c r="F211" s="43" t="s">
        <v>10</v>
      </c>
      <c r="G211" s="43" t="s">
        <v>38</v>
      </c>
      <c r="H211" s="4" t="str">
        <f>IFERROR(_xlfn.XLOOKUP(G211,Listas!E:E,Listas!F:F,""),"")</f>
        <v>Operativo</v>
      </c>
      <c r="I211" s="48" t="str">
        <f>IFERROR(_xlfn.XLOOKUP(G211,Listas!E:E,Listas!G:G,""),"")</f>
        <v>Externo</v>
      </c>
      <c r="J211" s="45">
        <v>3018.63</v>
      </c>
      <c r="K211" s="5">
        <v>-3018.63</v>
      </c>
      <c r="L211" s="6" t="s">
        <v>93</v>
      </c>
      <c r="M211" s="46">
        <v>9076.2400000000016</v>
      </c>
      <c r="N211" s="27" t="str">
        <f>IF(tblMovimientos[[#This Row],[Tipo de Movimiento]]="Ingreso",tblMovimientos[[#This Row],[Monto (S/)]],"0")</f>
        <v>0</v>
      </c>
      <c r="O211" s="27">
        <f>IF(tblMovimientos[[#This Row],[Tipo de Movimiento]]="Egreso",tblMovimientos[[#This Row],[Monto (S/)]],"0")</f>
        <v>3018.63</v>
      </c>
      <c r="P211" s="29">
        <f>IF(tblMovimientos[[#This Row],[Tipo de Movimiento]]="Ingreso",tblMovimientos[[#This Row],[Ingreso]],-tblMovimientos[[#This Row],[Egreso]])</f>
        <v>-3018.63</v>
      </c>
    </row>
    <row r="212" spans="2:16" x14ac:dyDescent="0.3">
      <c r="B212" s="41">
        <v>46171</v>
      </c>
      <c r="C212" s="4" t="s">
        <v>21</v>
      </c>
      <c r="D212" s="43" t="s">
        <v>101</v>
      </c>
      <c r="E212" s="4" t="s">
        <v>36</v>
      </c>
      <c r="F212" s="43" t="s">
        <v>10</v>
      </c>
      <c r="G212" s="43" t="s">
        <v>38</v>
      </c>
      <c r="H212" s="4" t="str">
        <f>IFERROR(_xlfn.XLOOKUP(G212,Listas!E:E,Listas!F:F,""),"")</f>
        <v>Operativo</v>
      </c>
      <c r="I212" s="48" t="str">
        <f>IFERROR(_xlfn.XLOOKUP(G212,Listas!E:E,Listas!G:G,""),"")</f>
        <v>Externo</v>
      </c>
      <c r="J212" s="45">
        <v>193.01</v>
      </c>
      <c r="K212" s="5">
        <v>-193.01</v>
      </c>
      <c r="L212" s="6" t="s">
        <v>93</v>
      </c>
      <c r="M212" s="46">
        <v>10843.210000000001</v>
      </c>
      <c r="N212" s="27" t="str">
        <f>IF(tblMovimientos[[#This Row],[Tipo de Movimiento]]="Ingreso",tblMovimientos[[#This Row],[Monto (S/)]],"0")</f>
        <v>0</v>
      </c>
      <c r="O212" s="27">
        <f>IF(tblMovimientos[[#This Row],[Tipo de Movimiento]]="Egreso",tblMovimientos[[#This Row],[Monto (S/)]],"0")</f>
        <v>193.01</v>
      </c>
      <c r="P212" s="29">
        <f>IF(tblMovimientos[[#This Row],[Tipo de Movimiento]]="Ingreso",tblMovimientos[[#This Row],[Ingreso]],-tblMovimientos[[#This Row],[Egreso]])</f>
        <v>-193.01</v>
      </c>
    </row>
    <row r="213" spans="2:16" x14ac:dyDescent="0.3">
      <c r="B213" s="41">
        <v>46171</v>
      </c>
      <c r="C213" s="4" t="s">
        <v>20</v>
      </c>
      <c r="D213" s="43" t="s">
        <v>100</v>
      </c>
      <c r="E213" s="4" t="s">
        <v>36</v>
      </c>
      <c r="F213" s="43" t="s">
        <v>9</v>
      </c>
      <c r="G213" s="43" t="s">
        <v>80</v>
      </c>
      <c r="H213" s="4" t="str">
        <f>IFERROR(_xlfn.XLOOKUP(G213,Listas!E:E,Listas!F:F,""),"")</f>
        <v>Operativo</v>
      </c>
      <c r="I213" s="48" t="str">
        <f>IFERROR(_xlfn.XLOOKUP(G213,Listas!E:E,Listas!G:G,""),"")</f>
        <v>Externo</v>
      </c>
      <c r="J213" s="45">
        <v>46804.94</v>
      </c>
      <c r="K213" s="5">
        <v>46804.94</v>
      </c>
      <c r="L213" s="6" t="s">
        <v>93</v>
      </c>
      <c r="M213" s="46">
        <v>424853.11999999988</v>
      </c>
      <c r="N213" s="27">
        <f>IF(tblMovimientos[[#This Row],[Tipo de Movimiento]]="Ingreso",tblMovimientos[[#This Row],[Monto (S/)]],"0")</f>
        <v>46804.94</v>
      </c>
      <c r="O213" s="27" t="str">
        <f>IF(tblMovimientos[[#This Row],[Tipo de Movimiento]]="Egreso",tblMovimientos[[#This Row],[Monto (S/)]],"0")</f>
        <v>0</v>
      </c>
      <c r="P213" s="29">
        <f>IF(tblMovimientos[[#This Row],[Tipo de Movimiento]]="Ingreso",tblMovimientos[[#This Row],[Ingreso]],-tblMovimientos[[#This Row],[Egreso]])</f>
        <v>46804.94</v>
      </c>
    </row>
    <row r="214" spans="2:16" x14ac:dyDescent="0.3">
      <c r="B214" s="41">
        <v>46171</v>
      </c>
      <c r="C214" s="4" t="s">
        <v>20</v>
      </c>
      <c r="D214" s="43" t="s">
        <v>100</v>
      </c>
      <c r="E214" s="4" t="s">
        <v>36</v>
      </c>
      <c r="F214" s="43" t="s">
        <v>9</v>
      </c>
      <c r="G214" s="43" t="s">
        <v>68</v>
      </c>
      <c r="H214" s="4" t="str">
        <f>IFERROR(_xlfn.XLOOKUP(G214,Listas!E:E,Listas!F:F,""),"")</f>
        <v>Operativo</v>
      </c>
      <c r="I214" s="48" t="str">
        <f>IFERROR(_xlfn.XLOOKUP(G214,Listas!E:E,Listas!G:G,""),"")</f>
        <v>Externo</v>
      </c>
      <c r="J214" s="45">
        <v>1452.33</v>
      </c>
      <c r="K214" s="5">
        <v>1452.33</v>
      </c>
      <c r="L214" s="6" t="s">
        <v>93</v>
      </c>
      <c r="M214" s="46">
        <v>424853.11999999988</v>
      </c>
      <c r="N214" s="27">
        <f>IF(tblMovimientos[[#This Row],[Tipo de Movimiento]]="Ingreso",tblMovimientos[[#This Row],[Monto (S/)]],"0")</f>
        <v>1452.33</v>
      </c>
      <c r="O214" s="27" t="str">
        <f>IF(tblMovimientos[[#This Row],[Tipo de Movimiento]]="Egreso",tblMovimientos[[#This Row],[Monto (S/)]],"0")</f>
        <v>0</v>
      </c>
      <c r="P214" s="29">
        <f>IF(tblMovimientos[[#This Row],[Tipo de Movimiento]]="Ingreso",tblMovimientos[[#This Row],[Ingreso]],-tblMovimientos[[#This Row],[Egreso]])</f>
        <v>1452.33</v>
      </c>
    </row>
    <row r="215" spans="2:16" x14ac:dyDescent="0.3">
      <c r="B215" s="41">
        <v>46171</v>
      </c>
      <c r="C215" s="4" t="s">
        <v>17</v>
      </c>
      <c r="D215" s="43" t="s">
        <v>94</v>
      </c>
      <c r="E215" s="4" t="s">
        <v>36</v>
      </c>
      <c r="F215" s="43" t="s">
        <v>10</v>
      </c>
      <c r="G215" s="43" t="s">
        <v>40</v>
      </c>
      <c r="H215" s="4" t="str">
        <f>IFERROR(_xlfn.XLOOKUP(G215,Listas!E:E,Listas!F:F,""),"")</f>
        <v>Operativo</v>
      </c>
      <c r="I215" s="48" t="str">
        <f>IFERROR(_xlfn.XLOOKUP(G215,Listas!E:E,Listas!G:G,""),"")</f>
        <v>Externo</v>
      </c>
      <c r="J215" s="45">
        <v>2977.95</v>
      </c>
      <c r="K215" s="5">
        <v>-2977.95</v>
      </c>
      <c r="L215" s="6" t="s">
        <v>93</v>
      </c>
      <c r="M215" s="46">
        <v>193489.58</v>
      </c>
      <c r="N215" s="27" t="str">
        <f>IF(tblMovimientos[[#This Row],[Tipo de Movimiento]]="Ingreso",tblMovimientos[[#This Row],[Monto (S/)]],"0")</f>
        <v>0</v>
      </c>
      <c r="O215" s="27">
        <f>IF(tblMovimientos[[#This Row],[Tipo de Movimiento]]="Egreso",tblMovimientos[[#This Row],[Monto (S/)]],"0")</f>
        <v>2977.95</v>
      </c>
      <c r="P215" s="29">
        <f>IF(tblMovimientos[[#This Row],[Tipo de Movimiento]]="Ingreso",tblMovimientos[[#This Row],[Ingreso]],-tblMovimientos[[#This Row],[Egreso]])</f>
        <v>-2977.95</v>
      </c>
    </row>
    <row r="216" spans="2:16" x14ac:dyDescent="0.3">
      <c r="B216" s="41">
        <v>46171</v>
      </c>
      <c r="C216" s="4" t="s">
        <v>17</v>
      </c>
      <c r="D216" s="43" t="s">
        <v>94</v>
      </c>
      <c r="E216" s="4" t="s">
        <v>36</v>
      </c>
      <c r="F216" s="43" t="s">
        <v>10</v>
      </c>
      <c r="G216" s="43" t="s">
        <v>42</v>
      </c>
      <c r="H216" s="4" t="str">
        <f>IFERROR(_xlfn.XLOOKUP(G216,Listas!E:E,Listas!F:F,""),"")</f>
        <v>Operativo</v>
      </c>
      <c r="I216" s="48" t="str">
        <f>IFERROR(_xlfn.XLOOKUP(G216,Listas!E:E,Listas!G:G,""),"")</f>
        <v>Externo</v>
      </c>
      <c r="J216" s="45">
        <v>611.1</v>
      </c>
      <c r="K216" s="5">
        <v>-611.1</v>
      </c>
      <c r="L216" s="6" t="s">
        <v>93</v>
      </c>
      <c r="M216" s="46">
        <v>193489.58</v>
      </c>
      <c r="N216" s="27" t="str">
        <f>IF(tblMovimientos[[#This Row],[Tipo de Movimiento]]="Ingreso",tblMovimientos[[#This Row],[Monto (S/)]],"0")</f>
        <v>0</v>
      </c>
      <c r="O216" s="27">
        <f>IF(tblMovimientos[[#This Row],[Tipo de Movimiento]]="Egreso",tblMovimientos[[#This Row],[Monto (S/)]],"0")</f>
        <v>611.1</v>
      </c>
      <c r="P216" s="29">
        <f>IF(tblMovimientos[[#This Row],[Tipo de Movimiento]]="Ingreso",tblMovimientos[[#This Row],[Ingreso]],-tblMovimientos[[#This Row],[Egreso]])</f>
        <v>-611.1</v>
      </c>
    </row>
    <row r="217" spans="2:16" x14ac:dyDescent="0.3">
      <c r="B217" s="41">
        <v>46171</v>
      </c>
      <c r="C217" s="4" t="s">
        <v>31</v>
      </c>
      <c r="D217" s="43" t="s">
        <v>121</v>
      </c>
      <c r="E217" s="4" t="s">
        <v>36</v>
      </c>
      <c r="F217" s="43" t="s">
        <v>10</v>
      </c>
      <c r="G217" s="43" t="s">
        <v>44</v>
      </c>
      <c r="H217" s="4" t="str">
        <f>IFERROR(_xlfn.XLOOKUP(G217,Listas!E:E,Listas!F:F,""),"")</f>
        <v>Operativo</v>
      </c>
      <c r="I217" s="48" t="str">
        <f>IFERROR(_xlfn.XLOOKUP(G217,Listas!E:E,Listas!G:G,""),"")</f>
        <v>Externo</v>
      </c>
      <c r="J217" s="45">
        <v>15</v>
      </c>
      <c r="K217" s="5">
        <v>-15</v>
      </c>
      <c r="L217" s="6" t="s">
        <v>93</v>
      </c>
      <c r="M217" s="46">
        <v>35108.179999999964</v>
      </c>
      <c r="N217" s="27" t="str">
        <f>IF(tblMovimientos[[#This Row],[Tipo de Movimiento]]="Ingreso",tblMovimientos[[#This Row],[Monto (S/)]],"0")</f>
        <v>0</v>
      </c>
      <c r="O217" s="27">
        <f>IF(tblMovimientos[[#This Row],[Tipo de Movimiento]]="Egreso",tblMovimientos[[#This Row],[Monto (S/)]],"0")</f>
        <v>15</v>
      </c>
      <c r="P217" s="29">
        <f>IF(tblMovimientos[[#This Row],[Tipo de Movimiento]]="Ingreso",tblMovimientos[[#This Row],[Ingreso]],-tblMovimientos[[#This Row],[Egreso]])</f>
        <v>-15</v>
      </c>
    </row>
    <row r="218" spans="2:16" x14ac:dyDescent="0.3">
      <c r="B218" s="41">
        <v>46171</v>
      </c>
      <c r="C218" s="4" t="s">
        <v>21</v>
      </c>
      <c r="D218" s="43" t="s">
        <v>106</v>
      </c>
      <c r="E218" s="4" t="s">
        <v>37</v>
      </c>
      <c r="F218" s="43" t="s">
        <v>9</v>
      </c>
      <c r="G218" s="43" t="s">
        <v>84</v>
      </c>
      <c r="H218" s="4" t="str">
        <f>IFERROR(_xlfn.XLOOKUP(G218,Listas!E:E,Listas!F:F,""),"")</f>
        <v>Operativo</v>
      </c>
      <c r="I218" s="48" t="str">
        <f>IFERROR(_xlfn.XLOOKUP(G218,Listas!E:E,Listas!G:G,""),"")</f>
        <v>Externo</v>
      </c>
      <c r="J218" s="45">
        <v>2291.75</v>
      </c>
      <c r="K218" s="5">
        <v>2291.75</v>
      </c>
      <c r="L218" s="6" t="s">
        <v>93</v>
      </c>
      <c r="M218" s="46">
        <v>749812.95</v>
      </c>
      <c r="N218" s="27">
        <f>IF(tblMovimientos[[#This Row],[Tipo de Movimiento]]="Ingreso",tblMovimientos[[#This Row],[Monto (S/)]],"0")</f>
        <v>2291.75</v>
      </c>
      <c r="O218" s="27" t="str">
        <f>IF(tblMovimientos[[#This Row],[Tipo de Movimiento]]="Egreso",tblMovimientos[[#This Row],[Monto (S/)]],"0")</f>
        <v>0</v>
      </c>
      <c r="P218" s="29">
        <f>IF(tblMovimientos[[#This Row],[Tipo de Movimiento]]="Ingreso",tblMovimientos[[#This Row],[Ingreso]],-tblMovimientos[[#This Row],[Egreso]])</f>
        <v>2291.75</v>
      </c>
    </row>
    <row r="219" spans="2:16" x14ac:dyDescent="0.3">
      <c r="B219" s="41">
        <v>46171</v>
      </c>
      <c r="C219" s="4" t="s">
        <v>21</v>
      </c>
      <c r="D219" s="43" t="s">
        <v>104</v>
      </c>
      <c r="E219" s="4" t="s">
        <v>37</v>
      </c>
      <c r="F219" s="43" t="s">
        <v>10</v>
      </c>
      <c r="G219" s="43" t="s">
        <v>42</v>
      </c>
      <c r="H219" s="4" t="str">
        <f>IFERROR(_xlfn.XLOOKUP(G219,Listas!E:E,Listas!F:F,""),"")</f>
        <v>Operativo</v>
      </c>
      <c r="I219" s="48" t="str">
        <f>IFERROR(_xlfn.XLOOKUP(G219,Listas!E:E,Listas!G:G,""),"")</f>
        <v>Externo</v>
      </c>
      <c r="J219" s="45">
        <v>76593.55</v>
      </c>
      <c r="K219" s="5">
        <v>-76593.55</v>
      </c>
      <c r="L219" s="6" t="s">
        <v>93</v>
      </c>
      <c r="M219" s="46">
        <v>244921.30999999936</v>
      </c>
      <c r="N219" s="27" t="str">
        <f>IF(tblMovimientos[[#This Row],[Tipo de Movimiento]]="Ingreso",tblMovimientos[[#This Row],[Monto (S/)]],"0")</f>
        <v>0</v>
      </c>
      <c r="O219" s="27">
        <f>IF(tblMovimientos[[#This Row],[Tipo de Movimiento]]="Egreso",tblMovimientos[[#This Row],[Monto (S/)]],"0")</f>
        <v>76593.55</v>
      </c>
      <c r="P219" s="29">
        <f>IF(tblMovimientos[[#This Row],[Tipo de Movimiento]]="Ingreso",tblMovimientos[[#This Row],[Ingreso]],-tblMovimientos[[#This Row],[Egreso]])</f>
        <v>-76593.55</v>
      </c>
    </row>
    <row r="220" spans="2:16" x14ac:dyDescent="0.3">
      <c r="B220" s="41">
        <v>46171</v>
      </c>
      <c r="C220" s="4" t="s">
        <v>24</v>
      </c>
      <c r="D220" s="43" t="s">
        <v>113</v>
      </c>
      <c r="E220" s="4" t="s">
        <v>154</v>
      </c>
      <c r="F220" s="43" t="s">
        <v>10</v>
      </c>
      <c r="G220" s="42" t="s">
        <v>38</v>
      </c>
      <c r="H220" s="4" t="str">
        <f>IFERROR(_xlfn.XLOOKUP(G220,Listas!E:E,Listas!F:F,""),"")</f>
        <v>Operativo</v>
      </c>
      <c r="I220" s="48" t="str">
        <f>IFERROR(_xlfn.XLOOKUP(G220,Listas!E:E,Listas!G:G,""),"")</f>
        <v>Externo</v>
      </c>
      <c r="J220" s="45">
        <v>1270.43</v>
      </c>
      <c r="K220" s="5">
        <v>-1270.43</v>
      </c>
      <c r="L220" s="6" t="s">
        <v>93</v>
      </c>
      <c r="M220" s="46">
        <v>1227.9699999999998</v>
      </c>
      <c r="N220" s="27" t="str">
        <f>IF(tblMovimientos[[#This Row],[Tipo de Movimiento]]="Ingreso",tblMovimientos[[#This Row],[Monto (S/)]],"0")</f>
        <v>0</v>
      </c>
      <c r="O220" s="27">
        <f>IF(tblMovimientos[[#This Row],[Tipo de Movimiento]]="Egreso",tblMovimientos[[#This Row],[Monto (S/)]],"0")</f>
        <v>1270.43</v>
      </c>
      <c r="P220" s="29">
        <f>IF(tblMovimientos[[#This Row],[Tipo de Movimiento]]="Ingreso",tblMovimientos[[#This Row],[Ingreso]],-tblMovimientos[[#This Row],[Egreso]])</f>
        <v>-1270.43</v>
      </c>
    </row>
    <row r="221" spans="2:16" x14ac:dyDescent="0.3">
      <c r="B221" s="41">
        <v>46174</v>
      </c>
      <c r="C221" s="4" t="s">
        <v>20</v>
      </c>
      <c r="D221" s="43" t="s">
        <v>100</v>
      </c>
      <c r="E221" s="4" t="s">
        <v>36</v>
      </c>
      <c r="F221" s="43" t="s">
        <v>9</v>
      </c>
      <c r="G221" s="43" t="s">
        <v>80</v>
      </c>
      <c r="H221" s="4" t="str">
        <f>IFERROR(_xlfn.XLOOKUP(G221,Listas!E:E,Listas!F:F,""),"")</f>
        <v>Operativo</v>
      </c>
      <c r="I221" s="48" t="str">
        <f>IFERROR(_xlfn.XLOOKUP(G221,Listas!E:E,Listas!G:G,""),"")</f>
        <v>Externo</v>
      </c>
      <c r="J221" s="45">
        <v>380000</v>
      </c>
      <c r="K221" s="5">
        <v>380000</v>
      </c>
      <c r="L221" s="15" t="s">
        <v>128</v>
      </c>
      <c r="M221" s="46">
        <v>804853.11999999988</v>
      </c>
      <c r="N221" s="27">
        <f>IF(tblMovimientos[[#This Row],[Tipo de Movimiento]]="Ingreso",tblMovimientos[[#This Row],[Monto (S/)]],"0")</f>
        <v>380000</v>
      </c>
      <c r="O221" s="27" t="str">
        <f>IF(tblMovimientos[[#This Row],[Tipo de Movimiento]]="Egreso",tblMovimientos[[#This Row],[Monto (S/)]],"0")</f>
        <v>0</v>
      </c>
      <c r="P221" s="29">
        <f>IF(tblMovimientos[[#This Row],[Tipo de Movimiento]]="Ingreso",tblMovimientos[[#This Row],[Ingreso]],-tblMovimientos[[#This Row],[Egreso]])</f>
        <v>380000</v>
      </c>
    </row>
    <row r="222" spans="2:16" x14ac:dyDescent="0.3">
      <c r="B222" s="41">
        <v>46174</v>
      </c>
      <c r="C222" s="4" t="s">
        <v>25</v>
      </c>
      <c r="D222" s="43" t="s">
        <v>114</v>
      </c>
      <c r="E222" s="4" t="s">
        <v>36</v>
      </c>
      <c r="F222" s="43" t="s">
        <v>10</v>
      </c>
      <c r="G222" s="43" t="s">
        <v>44</v>
      </c>
      <c r="H222" s="4" t="str">
        <f>IFERROR(_xlfn.XLOOKUP(G222,Listas!E:E,Listas!F:F,""),"")</f>
        <v>Operativo</v>
      </c>
      <c r="I222" s="48" t="str">
        <f>IFERROR(_xlfn.XLOOKUP(G222,Listas!E:E,Listas!G:G,""),"")</f>
        <v>Externo</v>
      </c>
      <c r="J222" s="45">
        <v>29.95</v>
      </c>
      <c r="K222" s="5">
        <v>-29.95</v>
      </c>
      <c r="L222" s="15" t="s">
        <v>128</v>
      </c>
      <c r="M222" s="46">
        <v>84.35</v>
      </c>
      <c r="N222" s="27" t="str">
        <f>IF(tblMovimientos[[#This Row],[Tipo de Movimiento]]="Ingreso",tblMovimientos[[#This Row],[Monto (S/)]],"0")</f>
        <v>0</v>
      </c>
      <c r="O222" s="27">
        <f>IF(tblMovimientos[[#This Row],[Tipo de Movimiento]]="Egreso",tblMovimientos[[#This Row],[Monto (S/)]],"0")</f>
        <v>29.95</v>
      </c>
      <c r="P222" s="29">
        <f>IF(tblMovimientos[[#This Row],[Tipo de Movimiento]]="Ingreso",tblMovimientos[[#This Row],[Ingreso]],-tblMovimientos[[#This Row],[Egreso]])</f>
        <v>-29.95</v>
      </c>
    </row>
    <row r="223" spans="2:16" x14ac:dyDescent="0.3">
      <c r="B223" s="41">
        <v>46174</v>
      </c>
      <c r="C223" s="4" t="s">
        <v>26</v>
      </c>
      <c r="D223" s="43" t="s">
        <v>115</v>
      </c>
      <c r="E223" s="4" t="s">
        <v>36</v>
      </c>
      <c r="F223" s="43" t="s">
        <v>10</v>
      </c>
      <c r="G223" s="43" t="s">
        <v>44</v>
      </c>
      <c r="H223" s="4" t="str">
        <f>IFERROR(_xlfn.XLOOKUP(G223,Listas!E:E,Listas!F:F,""),"")</f>
        <v>Operativo</v>
      </c>
      <c r="I223" s="48" t="str">
        <f>IFERROR(_xlfn.XLOOKUP(G223,Listas!E:E,Listas!G:G,""),"")</f>
        <v>Externo</v>
      </c>
      <c r="J223" s="45">
        <v>29.95</v>
      </c>
      <c r="K223" s="5">
        <v>-29.95</v>
      </c>
      <c r="L223" s="15" t="s">
        <v>128</v>
      </c>
      <c r="M223" s="46">
        <v>2237.77</v>
      </c>
      <c r="N223" s="27" t="str">
        <f>IF(tblMovimientos[[#This Row],[Tipo de Movimiento]]="Ingreso",tblMovimientos[[#This Row],[Monto (S/)]],"0")</f>
        <v>0</v>
      </c>
      <c r="O223" s="27">
        <f>IF(tblMovimientos[[#This Row],[Tipo de Movimiento]]="Egreso",tblMovimientos[[#This Row],[Monto (S/)]],"0")</f>
        <v>29.95</v>
      </c>
      <c r="P223" s="29">
        <f>IF(tblMovimientos[[#This Row],[Tipo de Movimiento]]="Ingreso",tblMovimientos[[#This Row],[Ingreso]],-tblMovimientos[[#This Row],[Egreso]])</f>
        <v>-29.95</v>
      </c>
    </row>
    <row r="224" spans="2:16" x14ac:dyDescent="0.3">
      <c r="B224" s="41">
        <v>46174</v>
      </c>
      <c r="C224" s="4" t="s">
        <v>30</v>
      </c>
      <c r="D224" s="43" t="s">
        <v>120</v>
      </c>
      <c r="E224" s="4" t="s">
        <v>36</v>
      </c>
      <c r="F224" s="43" t="s">
        <v>10</v>
      </c>
      <c r="G224" s="43" t="s">
        <v>44</v>
      </c>
      <c r="H224" s="4" t="str">
        <f>IFERROR(_xlfn.XLOOKUP(G224,Listas!E:E,Listas!F:F,""),"")</f>
        <v>Operativo</v>
      </c>
      <c r="I224" s="48" t="str">
        <f>IFERROR(_xlfn.XLOOKUP(G224,Listas!E:E,Listas!G:G,""),"")</f>
        <v>Externo</v>
      </c>
      <c r="J224" s="45">
        <v>16</v>
      </c>
      <c r="K224" s="5">
        <v>-16</v>
      </c>
      <c r="L224" s="15" t="s">
        <v>128</v>
      </c>
      <c r="M224" s="46">
        <v>1428.08</v>
      </c>
      <c r="N224" s="27" t="str">
        <f>IF(tblMovimientos[[#This Row],[Tipo de Movimiento]]="Ingreso",tblMovimientos[[#This Row],[Monto (S/)]],"0")</f>
        <v>0</v>
      </c>
      <c r="O224" s="27">
        <f>IF(tblMovimientos[[#This Row],[Tipo de Movimiento]]="Egreso",tblMovimientos[[#This Row],[Monto (S/)]],"0")</f>
        <v>16</v>
      </c>
      <c r="P224" s="29">
        <f>IF(tblMovimientos[[#This Row],[Tipo de Movimiento]]="Ingreso",tblMovimientos[[#This Row],[Ingreso]],-tblMovimientos[[#This Row],[Egreso]])</f>
        <v>-16</v>
      </c>
    </row>
    <row r="225" spans="2:16" x14ac:dyDescent="0.3">
      <c r="B225" s="41">
        <v>46174</v>
      </c>
      <c r="C225" s="4" t="s">
        <v>31</v>
      </c>
      <c r="D225" s="43" t="s">
        <v>121</v>
      </c>
      <c r="E225" s="4" t="s">
        <v>36</v>
      </c>
      <c r="F225" s="43" t="s">
        <v>10</v>
      </c>
      <c r="G225" s="43" t="s">
        <v>38</v>
      </c>
      <c r="H225" s="4" t="str">
        <f>IFERROR(_xlfn.XLOOKUP(G225,Listas!E:E,Listas!F:F,""),"")</f>
        <v>Operativo</v>
      </c>
      <c r="I225" s="48" t="str">
        <f>IFERROR(_xlfn.XLOOKUP(G225,Listas!E:E,Listas!G:G,""),"")</f>
        <v>Externo</v>
      </c>
      <c r="J225" s="45">
        <v>489</v>
      </c>
      <c r="K225" s="5">
        <v>-489</v>
      </c>
      <c r="L225" s="15" t="s">
        <v>128</v>
      </c>
      <c r="M225" s="46">
        <v>26085.849999999962</v>
      </c>
      <c r="N225" s="27" t="str">
        <f>IF(tblMovimientos[[#This Row],[Tipo de Movimiento]]="Ingreso",tblMovimientos[[#This Row],[Monto (S/)]],"0")</f>
        <v>0</v>
      </c>
      <c r="O225" s="27">
        <f>IF(tblMovimientos[[#This Row],[Tipo de Movimiento]]="Egreso",tblMovimientos[[#This Row],[Monto (S/)]],"0")</f>
        <v>489</v>
      </c>
      <c r="P225" s="29">
        <f>IF(tblMovimientos[[#This Row],[Tipo de Movimiento]]="Ingreso",tblMovimientos[[#This Row],[Ingreso]],-tblMovimientos[[#This Row],[Egreso]])</f>
        <v>-489</v>
      </c>
    </row>
    <row r="226" spans="2:16" x14ac:dyDescent="0.3">
      <c r="B226" s="41">
        <v>46174</v>
      </c>
      <c r="C226" s="4" t="s">
        <v>31</v>
      </c>
      <c r="D226" s="43" t="s">
        <v>121</v>
      </c>
      <c r="E226" s="4" t="s">
        <v>36</v>
      </c>
      <c r="F226" s="43" t="s">
        <v>10</v>
      </c>
      <c r="G226" s="43" t="s">
        <v>65</v>
      </c>
      <c r="H226" s="4" t="str">
        <f>IFERROR(_xlfn.XLOOKUP(G226,Listas!E:E,Listas!F:F,""),"")</f>
        <v>Operativo</v>
      </c>
      <c r="I226" s="48" t="str">
        <f>IFERROR(_xlfn.XLOOKUP(G226,Listas!E:E,Listas!G:G,""),"")</f>
        <v>Externo</v>
      </c>
      <c r="J226" s="45">
        <v>8533.33</v>
      </c>
      <c r="K226" s="5">
        <v>-8533.33</v>
      </c>
      <c r="L226" s="15" t="s">
        <v>128</v>
      </c>
      <c r="M226" s="46">
        <v>26085.849999999962</v>
      </c>
      <c r="N226" s="27" t="str">
        <f>IF(tblMovimientos[[#This Row],[Tipo de Movimiento]]="Ingreso",tblMovimientos[[#This Row],[Monto (S/)]],"0")</f>
        <v>0</v>
      </c>
      <c r="O226" s="27">
        <f>IF(tblMovimientos[[#This Row],[Tipo de Movimiento]]="Egreso",tblMovimientos[[#This Row],[Monto (S/)]],"0")</f>
        <v>8533.33</v>
      </c>
      <c r="P226" s="29">
        <f>IF(tblMovimientos[[#This Row],[Tipo de Movimiento]]="Ingreso",tblMovimientos[[#This Row],[Ingreso]],-tblMovimientos[[#This Row],[Egreso]])</f>
        <v>-8533.33</v>
      </c>
    </row>
    <row r="227" spans="2:16" x14ac:dyDescent="0.3">
      <c r="B227" s="41">
        <v>46174</v>
      </c>
      <c r="C227" s="4" t="s">
        <v>31</v>
      </c>
      <c r="D227" s="43" t="s">
        <v>122</v>
      </c>
      <c r="E227" s="4" t="s">
        <v>36</v>
      </c>
      <c r="F227" s="43" t="s">
        <v>10</v>
      </c>
      <c r="G227" s="43" t="s">
        <v>44</v>
      </c>
      <c r="H227" s="4" t="str">
        <f>IFERROR(_xlfn.XLOOKUP(G227,Listas!E:E,Listas!F:F,""),"")</f>
        <v>Operativo</v>
      </c>
      <c r="I227" s="48" t="str">
        <f>IFERROR(_xlfn.XLOOKUP(G227,Listas!E:E,Listas!G:G,""),"")</f>
        <v>Externo</v>
      </c>
      <c r="J227" s="45">
        <v>10</v>
      </c>
      <c r="K227" s="5">
        <v>-10</v>
      </c>
      <c r="L227" s="15" t="s">
        <v>128</v>
      </c>
      <c r="M227" s="46">
        <v>330.42</v>
      </c>
      <c r="N227" s="27" t="str">
        <f>IF(tblMovimientos[[#This Row],[Tipo de Movimiento]]="Ingreso",tblMovimientos[[#This Row],[Monto (S/)]],"0")</f>
        <v>0</v>
      </c>
      <c r="O227" s="27">
        <f>IF(tblMovimientos[[#This Row],[Tipo de Movimiento]]="Egreso",tblMovimientos[[#This Row],[Monto (S/)]],"0")</f>
        <v>10</v>
      </c>
      <c r="P227" s="29">
        <f>IF(tblMovimientos[[#This Row],[Tipo de Movimiento]]="Ingreso",tblMovimientos[[#This Row],[Ingreso]],-tblMovimientos[[#This Row],[Egreso]])</f>
        <v>-10</v>
      </c>
    </row>
    <row r="228" spans="2:16" x14ac:dyDescent="0.3">
      <c r="B228" s="41">
        <v>46174</v>
      </c>
      <c r="C228" s="4" t="s">
        <v>32</v>
      </c>
      <c r="D228" s="43" t="s">
        <v>123</v>
      </c>
      <c r="E228" s="4" t="s">
        <v>36</v>
      </c>
      <c r="F228" s="43" t="s">
        <v>10</v>
      </c>
      <c r="G228" s="43" t="s">
        <v>48</v>
      </c>
      <c r="H228" s="4" t="str">
        <f>IFERROR(_xlfn.XLOOKUP(G228,Listas!E:E,Listas!F:F,""),"")</f>
        <v>Financiamiento</v>
      </c>
      <c r="I228" s="48" t="str">
        <f>IFERROR(_xlfn.XLOOKUP(G228,Listas!E:E,Listas!G:G,""),"")</f>
        <v>Externo</v>
      </c>
      <c r="J228" s="45">
        <v>9798.6299999999992</v>
      </c>
      <c r="K228" s="5">
        <v>-9798.6299999999992</v>
      </c>
      <c r="L228" s="15" t="s">
        <v>128</v>
      </c>
      <c r="M228" s="46">
        <v>5321.4300000000021</v>
      </c>
      <c r="N228" s="27" t="str">
        <f>IF(tblMovimientos[[#This Row],[Tipo de Movimiento]]="Ingreso",tblMovimientos[[#This Row],[Monto (S/)]],"0")</f>
        <v>0</v>
      </c>
      <c r="O228" s="27">
        <f>IF(tblMovimientos[[#This Row],[Tipo de Movimiento]]="Egreso",tblMovimientos[[#This Row],[Monto (S/)]],"0")</f>
        <v>9798.6299999999992</v>
      </c>
      <c r="P228" s="29">
        <f>IF(tblMovimientos[[#This Row],[Tipo de Movimiento]]="Ingreso",tblMovimientos[[#This Row],[Ingreso]],-tblMovimientos[[#This Row],[Egreso]])</f>
        <v>-9798.6299999999992</v>
      </c>
    </row>
    <row r="229" spans="2:16" x14ac:dyDescent="0.3">
      <c r="B229" s="41">
        <v>46174</v>
      </c>
      <c r="C229" s="4" t="s">
        <v>33</v>
      </c>
      <c r="D229" s="43" t="s">
        <v>124</v>
      </c>
      <c r="E229" s="4" t="s">
        <v>36</v>
      </c>
      <c r="F229" s="43" t="s">
        <v>10</v>
      </c>
      <c r="G229" s="43" t="s">
        <v>48</v>
      </c>
      <c r="H229" s="4" t="str">
        <f>IFERROR(_xlfn.XLOOKUP(G229,Listas!E:E,Listas!F:F,""),"")</f>
        <v>Financiamiento</v>
      </c>
      <c r="I229" s="48" t="str">
        <f>IFERROR(_xlfn.XLOOKUP(G229,Listas!E:E,Listas!G:G,""),"")</f>
        <v>Externo</v>
      </c>
      <c r="J229" s="45">
        <v>8773.0400000000009</v>
      </c>
      <c r="K229" s="5">
        <v>-8773.0400000000009</v>
      </c>
      <c r="L229" s="15" t="s">
        <v>128</v>
      </c>
      <c r="M229" s="46">
        <v>24833.23</v>
      </c>
      <c r="N229" s="27" t="str">
        <f>IF(tblMovimientos[[#This Row],[Tipo de Movimiento]]="Ingreso",tblMovimientos[[#This Row],[Monto (S/)]],"0")</f>
        <v>0</v>
      </c>
      <c r="O229" s="27">
        <f>IF(tblMovimientos[[#This Row],[Tipo de Movimiento]]="Egreso",tblMovimientos[[#This Row],[Monto (S/)]],"0")</f>
        <v>8773.0400000000009</v>
      </c>
      <c r="P229" s="29">
        <f>IF(tblMovimientos[[#This Row],[Tipo de Movimiento]]="Ingreso",tblMovimientos[[#This Row],[Ingreso]],-tblMovimientos[[#This Row],[Egreso]])</f>
        <v>-8773.0400000000009</v>
      </c>
    </row>
    <row r="230" spans="2:16" x14ac:dyDescent="0.3">
      <c r="B230" s="41">
        <v>46174</v>
      </c>
      <c r="C230" s="4" t="s">
        <v>18</v>
      </c>
      <c r="D230" s="43" t="s">
        <v>97</v>
      </c>
      <c r="E230" s="4" t="s">
        <v>37</v>
      </c>
      <c r="F230" s="43" t="s">
        <v>9</v>
      </c>
      <c r="G230" s="43" t="s">
        <v>68</v>
      </c>
      <c r="H230" s="4" t="str">
        <f>IFERROR(_xlfn.XLOOKUP(G230,Listas!E:E,Listas!F:F,""),"")</f>
        <v>Operativo</v>
      </c>
      <c r="I230" s="48" t="str">
        <f>IFERROR(_xlfn.XLOOKUP(G230,Listas!E:E,Listas!G:G,""),"")</f>
        <v>Externo</v>
      </c>
      <c r="J230" s="45">
        <v>6979.11</v>
      </c>
      <c r="K230" s="5">
        <v>6979.11</v>
      </c>
      <c r="L230" s="15" t="s">
        <v>128</v>
      </c>
      <c r="M230" s="46">
        <v>64376.390000000174</v>
      </c>
      <c r="N230" s="27">
        <f>IF(tblMovimientos[[#This Row],[Tipo de Movimiento]]="Ingreso",tblMovimientos[[#This Row],[Monto (S/)]],"0")</f>
        <v>6979.11</v>
      </c>
      <c r="O230" s="27" t="str">
        <f>IF(tblMovimientos[[#This Row],[Tipo de Movimiento]]="Egreso",tblMovimientos[[#This Row],[Monto (S/)]],"0")</f>
        <v>0</v>
      </c>
      <c r="P230" s="29">
        <f>IF(tblMovimientos[[#This Row],[Tipo de Movimiento]]="Ingreso",tblMovimientos[[#This Row],[Ingreso]],-tblMovimientos[[#This Row],[Egreso]])</f>
        <v>6979.11</v>
      </c>
    </row>
    <row r="231" spans="2:16" x14ac:dyDescent="0.3">
      <c r="B231" s="41">
        <v>46174</v>
      </c>
      <c r="C231" s="4" t="s">
        <v>35</v>
      </c>
      <c r="D231" s="43" t="s">
        <v>126</v>
      </c>
      <c r="E231" s="4" t="s">
        <v>37</v>
      </c>
      <c r="F231" s="43" t="s">
        <v>10</v>
      </c>
      <c r="G231" s="43" t="s">
        <v>38</v>
      </c>
      <c r="H231" s="4" t="str">
        <f>IFERROR(_xlfn.XLOOKUP(G231,Listas!E:E,Listas!F:F,""),"")</f>
        <v>Operativo</v>
      </c>
      <c r="I231" s="48" t="str">
        <f>IFERROR(_xlfn.XLOOKUP(G231,Listas!E:E,Listas!G:G,""),"")</f>
        <v>Externo</v>
      </c>
      <c r="J231" s="45">
        <v>165</v>
      </c>
      <c r="K231" s="5">
        <v>-165</v>
      </c>
      <c r="L231" s="15" t="s">
        <v>128</v>
      </c>
      <c r="M231" s="46">
        <v>6824.47</v>
      </c>
      <c r="N231" s="27" t="str">
        <f>IF(tblMovimientos[[#This Row],[Tipo de Movimiento]]="Ingreso",tblMovimientos[[#This Row],[Monto (S/)]],"0")</f>
        <v>0</v>
      </c>
      <c r="O231" s="27">
        <f>IF(tblMovimientos[[#This Row],[Tipo de Movimiento]]="Egreso",tblMovimientos[[#This Row],[Monto (S/)]],"0")</f>
        <v>165</v>
      </c>
      <c r="P231" s="29">
        <f>IF(tblMovimientos[[#This Row],[Tipo de Movimiento]]="Ingreso",tblMovimientos[[#This Row],[Ingreso]],-tblMovimientos[[#This Row],[Egreso]])</f>
        <v>-165</v>
      </c>
    </row>
    <row r="232" spans="2:16" x14ac:dyDescent="0.3">
      <c r="B232" s="41">
        <v>46174</v>
      </c>
      <c r="C232" s="4" t="s">
        <v>35</v>
      </c>
      <c r="D232" s="43" t="s">
        <v>126</v>
      </c>
      <c r="E232" s="4" t="s">
        <v>37</v>
      </c>
      <c r="F232" s="43" t="s">
        <v>10</v>
      </c>
      <c r="G232" s="43" t="s">
        <v>38</v>
      </c>
      <c r="H232" s="4" t="str">
        <f>IFERROR(_xlfn.XLOOKUP(G232,Listas!E:E,Listas!F:F,""),"")</f>
        <v>Operativo</v>
      </c>
      <c r="I232" s="48" t="str">
        <f>IFERROR(_xlfn.XLOOKUP(G232,Listas!E:E,Listas!G:G,""),"")</f>
        <v>Externo</v>
      </c>
      <c r="J232" s="45">
        <v>493.38</v>
      </c>
      <c r="K232" s="5">
        <v>-493.38</v>
      </c>
      <c r="L232" s="15" t="s">
        <v>128</v>
      </c>
      <c r="M232" s="46">
        <v>6824.47</v>
      </c>
      <c r="N232" s="27" t="str">
        <f>IF(tblMovimientos[[#This Row],[Tipo de Movimiento]]="Ingreso",tblMovimientos[[#This Row],[Monto (S/)]],"0")</f>
        <v>0</v>
      </c>
      <c r="O232" s="27">
        <f>IF(tblMovimientos[[#This Row],[Tipo de Movimiento]]="Egreso",tblMovimientos[[#This Row],[Monto (S/)]],"0")</f>
        <v>493.38</v>
      </c>
      <c r="P232" s="29">
        <f>IF(tblMovimientos[[#This Row],[Tipo de Movimiento]]="Ingreso",tblMovimientos[[#This Row],[Ingreso]],-tblMovimientos[[#This Row],[Egreso]])</f>
        <v>-493.38</v>
      </c>
    </row>
    <row r="233" spans="2:16" x14ac:dyDescent="0.3">
      <c r="B233" s="41">
        <v>46174</v>
      </c>
      <c r="C233" s="4" t="s">
        <v>35</v>
      </c>
      <c r="D233" s="43" t="s">
        <v>126</v>
      </c>
      <c r="E233" s="4" t="s">
        <v>37</v>
      </c>
      <c r="F233" s="43" t="s">
        <v>10</v>
      </c>
      <c r="G233" s="43" t="s">
        <v>38</v>
      </c>
      <c r="H233" s="4" t="str">
        <f>IFERROR(_xlfn.XLOOKUP(G233,Listas!E:E,Listas!F:F,""),"")</f>
        <v>Operativo</v>
      </c>
      <c r="I233" s="48" t="str">
        <f>IFERROR(_xlfn.XLOOKUP(G233,Listas!E:E,Listas!G:G,""),"")</f>
        <v>Externo</v>
      </c>
      <c r="J233" s="45">
        <v>1593.39</v>
      </c>
      <c r="K233" s="5">
        <v>-1593.39</v>
      </c>
      <c r="L233" s="15" t="s">
        <v>128</v>
      </c>
      <c r="M233" s="46">
        <v>6824.47</v>
      </c>
      <c r="N233" s="27" t="str">
        <f>IF(tblMovimientos[[#This Row],[Tipo de Movimiento]]="Ingreso",tblMovimientos[[#This Row],[Monto (S/)]],"0")</f>
        <v>0</v>
      </c>
      <c r="O233" s="27">
        <f>IF(tblMovimientos[[#This Row],[Tipo de Movimiento]]="Egreso",tblMovimientos[[#This Row],[Monto (S/)]],"0")</f>
        <v>1593.39</v>
      </c>
      <c r="P233" s="29">
        <f>IF(tblMovimientos[[#This Row],[Tipo de Movimiento]]="Ingreso",tblMovimientos[[#This Row],[Ingreso]],-tblMovimientos[[#This Row],[Egreso]])</f>
        <v>-1593.39</v>
      </c>
    </row>
    <row r="234" spans="2:16" x14ac:dyDescent="0.3">
      <c r="B234" s="51">
        <v>46174</v>
      </c>
      <c r="C234" s="52" t="str">
        <f>_xlfn.XLOOKUP(tblMovimientos[[#This Row],[Cuenta Bancaria]],Listas!$B:$B,Listas!$A:$A,"")</f>
        <v>M1B</v>
      </c>
      <c r="D234" s="53" t="s">
        <v>98</v>
      </c>
      <c r="E234" s="52" t="str">
        <f>_xlfn.XLOOKUP(tblMovimientos[[#This Row],[Cuenta Bancaria]],Listas!$B:$B,Listas!$C:$C,"")</f>
        <v xml:space="preserve">Amerant Bank </v>
      </c>
      <c r="F234" s="53" t="s">
        <v>10</v>
      </c>
      <c r="G234" s="53" t="s">
        <v>44</v>
      </c>
      <c r="H234" s="52" t="str">
        <f>IFERROR(_xlfn.XLOOKUP(G234,Listas!E:E,Listas!F:F,""),"")</f>
        <v>Operativo</v>
      </c>
      <c r="I234" s="54" t="str">
        <f>IFERROR(_xlfn.XLOOKUP(G234,Listas!E:E,Listas!G:G,""),"")</f>
        <v>Externo</v>
      </c>
      <c r="J234" s="55">
        <v>0</v>
      </c>
      <c r="K234" s="61">
        <f>IF(F234="Ingreso",J234,-J234)</f>
        <v>0</v>
      </c>
      <c r="L234" s="56" t="s">
        <v>128</v>
      </c>
      <c r="M234" s="57">
        <f>SUMIFS('Saldos Iniciales'!$D$2:$D$38,'Saldos Iniciales'!$A$2:$A$38,C234,'Saldos Iniciales'!$B$2:$B$38,D234)+SUMIFS($K$1:$K$432,$C$1:$C$432,C234,$D$1:$D$432,D234,$B$1:$B$432,"&lt;="&amp;B234)</f>
        <v>5000</v>
      </c>
      <c r="N234" s="27" t="str">
        <f>IF(tblMovimientos[[#This Row],[Tipo de Movimiento]]="Ingreso",tblMovimientos[[#This Row],[Monto (S/)]],"0")</f>
        <v>0</v>
      </c>
      <c r="O234" s="27">
        <f>IF(tblMovimientos[[#This Row],[Tipo de Movimiento]]="Egreso",tblMovimientos[[#This Row],[Monto (S/)]],"0")</f>
        <v>0</v>
      </c>
      <c r="P234" s="29">
        <f>IF(tblMovimientos[[#This Row],[Tipo de Movimiento]]="Ingreso",tblMovimientos[[#This Row],[Ingreso]],-tblMovimientos[[#This Row],[Egreso]])</f>
        <v>0</v>
      </c>
    </row>
    <row r="235" spans="2:16" x14ac:dyDescent="0.3">
      <c r="B235" s="51">
        <v>46174</v>
      </c>
      <c r="C235" s="52" t="str">
        <f>_xlfn.XLOOKUP(tblMovimientos[[#This Row],[Cuenta Bancaria]],Listas!$B:$B,Listas!$A:$A,"")</f>
        <v>SSP Capital</v>
      </c>
      <c r="D235" s="53" t="s">
        <v>107</v>
      </c>
      <c r="E235" s="52" t="str">
        <f>_xlfn.XLOOKUP(tblMovimientos[[#This Row],[Cuenta Bancaria]],Listas!$B:$B,Listas!$C:$C,"")</f>
        <v xml:space="preserve">Amerant Bank </v>
      </c>
      <c r="F235" s="53" t="s">
        <v>10</v>
      </c>
      <c r="G235" s="53" t="s">
        <v>44</v>
      </c>
      <c r="H235" s="52" t="str">
        <f>IFERROR(_xlfn.XLOOKUP(G235,Listas!E:E,Listas!F:F,""),"")</f>
        <v>Operativo</v>
      </c>
      <c r="I235" s="54" t="str">
        <f>IFERROR(_xlfn.XLOOKUP(G235,Listas!E:E,Listas!G:G,""),"")</f>
        <v>Externo</v>
      </c>
      <c r="J235" s="55">
        <v>0</v>
      </c>
      <c r="K235" s="61">
        <f>IF(F235="Ingreso",J235,-J235)</f>
        <v>0</v>
      </c>
      <c r="L235" s="56" t="s">
        <v>128</v>
      </c>
      <c r="M235" s="57">
        <f>SUMIFS('Saldos Iniciales'!$D$2:$D$38,'Saldos Iniciales'!$A$2:$A$38,C235,'Saldos Iniciales'!$B$2:$B$38,D235)+SUMIFS($K$1:$K$432,$C$1:$C$432,C235,$D$1:$D$432,D235,$B$1:$B$432,"&lt;="&amp;B235)</f>
        <v>5000</v>
      </c>
      <c r="N235" s="27" t="str">
        <f>IF(tblMovimientos[[#This Row],[Tipo de Movimiento]]="Ingreso",tblMovimientos[[#This Row],[Monto (S/)]],"0")</f>
        <v>0</v>
      </c>
      <c r="O235" s="27">
        <f>IF(tblMovimientos[[#This Row],[Tipo de Movimiento]]="Egreso",tblMovimientos[[#This Row],[Monto (S/)]],"0")</f>
        <v>0</v>
      </c>
      <c r="P235" s="29">
        <f>IF(tblMovimientos[[#This Row],[Tipo de Movimiento]]="Ingreso",tblMovimientos[[#This Row],[Ingreso]],-tblMovimientos[[#This Row],[Egreso]])</f>
        <v>0</v>
      </c>
    </row>
    <row r="236" spans="2:16" x14ac:dyDescent="0.3">
      <c r="B236" s="51">
        <v>46174</v>
      </c>
      <c r="C236" s="52" t="str">
        <f>_xlfn.XLOOKUP(tblMovimientos[[#This Row],[Cuenta Bancaria]],Listas!$B:$B,Listas!$A:$A,"")</f>
        <v>Cross Family Trust</v>
      </c>
      <c r="D236" s="53" t="s">
        <v>108</v>
      </c>
      <c r="E236" s="52" t="str">
        <f>_xlfn.XLOOKUP(tblMovimientos[[#This Row],[Cuenta Bancaria]],Listas!$B:$B,Listas!$C:$C,"")</f>
        <v>Ocean Bank</v>
      </c>
      <c r="F236" s="53" t="s">
        <v>10</v>
      </c>
      <c r="G236" s="53" t="s">
        <v>44</v>
      </c>
      <c r="H236" s="52" t="str">
        <f>IFERROR(_xlfn.XLOOKUP(G236,Listas!E:E,Listas!F:F,""),"")</f>
        <v>Operativo</v>
      </c>
      <c r="I236" s="54" t="str">
        <f>IFERROR(_xlfn.XLOOKUP(G236,Listas!E:E,Listas!G:G,""),"")</f>
        <v>Externo</v>
      </c>
      <c r="J236" s="55">
        <v>0</v>
      </c>
      <c r="K236" s="61">
        <f>IF(F236="Ingreso",J236,-J236)</f>
        <v>0</v>
      </c>
      <c r="L236" s="56" t="s">
        <v>128</v>
      </c>
      <c r="M236" s="57">
        <f>SUMIFS('Saldos Iniciales'!$D$2:$D$38,'Saldos Iniciales'!$A$2:$A$38,C236,'Saldos Iniciales'!$B$2:$B$38,D236)+SUMIFS($K$1:$K$432,$C$1:$C$432,C236,$D$1:$D$432,D236,$B$1:$B$432,"&lt;="&amp;B236)</f>
        <v>57206.89</v>
      </c>
      <c r="N236" s="27" t="str">
        <f>IF(tblMovimientos[[#This Row],[Tipo de Movimiento]]="Ingreso",tblMovimientos[[#This Row],[Monto (S/)]],"0")</f>
        <v>0</v>
      </c>
      <c r="O236" s="27">
        <f>IF(tblMovimientos[[#This Row],[Tipo de Movimiento]]="Egreso",tblMovimientos[[#This Row],[Monto (S/)]],"0")</f>
        <v>0</v>
      </c>
      <c r="P236" s="29">
        <f>IF(tblMovimientos[[#This Row],[Tipo de Movimiento]]="Ingreso",tblMovimientos[[#This Row],[Ingreso]],-tblMovimientos[[#This Row],[Egreso]])</f>
        <v>0</v>
      </c>
    </row>
    <row r="237" spans="2:16" x14ac:dyDescent="0.3">
      <c r="B237" s="51">
        <v>46174</v>
      </c>
      <c r="C237" s="52" t="str">
        <f>_xlfn.XLOOKUP(tblMovimientos[[#This Row],[Cuenta Bancaria]],Listas!$B:$B,Listas!$A:$A,"")</f>
        <v>Cross Family Trust</v>
      </c>
      <c r="D237" s="53" t="s">
        <v>109</v>
      </c>
      <c r="E237" s="52" t="str">
        <f>_xlfn.XLOOKUP(tblMovimientos[[#This Row],[Cuenta Bancaria]],Listas!$B:$B,Listas!$C:$C,"")</f>
        <v>Northern Trust</v>
      </c>
      <c r="F237" s="53" t="s">
        <v>10</v>
      </c>
      <c r="G237" s="53" t="s">
        <v>44</v>
      </c>
      <c r="H237" s="52" t="str">
        <f>IFERROR(_xlfn.XLOOKUP(G237,Listas!E:E,Listas!F:F,""),"")</f>
        <v>Operativo</v>
      </c>
      <c r="I237" s="54" t="str">
        <f>IFERROR(_xlfn.XLOOKUP(G237,Listas!E:E,Listas!G:G,""),"")</f>
        <v>Externo</v>
      </c>
      <c r="J237" s="55">
        <v>0</v>
      </c>
      <c r="K237" s="61">
        <f>IF(F237="Ingreso",J237,-J237)</f>
        <v>0</v>
      </c>
      <c r="L237" s="56" t="s">
        <v>128</v>
      </c>
      <c r="M237" s="57">
        <f>SUMIFS('Saldos Iniciales'!$D$2:$D$38,'Saldos Iniciales'!$A$2:$A$38,C237,'Saldos Iniciales'!$B$2:$B$38,D237)+SUMIFS($K$1:$K$432,$C$1:$C$432,C237,$D$1:$D$432,D237,$B$1:$B$432,"&lt;="&amp;B237)</f>
        <v>6365</v>
      </c>
      <c r="N237" s="27" t="str">
        <f>IF(tblMovimientos[[#This Row],[Tipo de Movimiento]]="Ingreso",tblMovimientos[[#This Row],[Monto (S/)]],"0")</f>
        <v>0</v>
      </c>
      <c r="O237" s="27">
        <f>IF(tblMovimientos[[#This Row],[Tipo de Movimiento]]="Egreso",tblMovimientos[[#This Row],[Monto (S/)]],"0")</f>
        <v>0</v>
      </c>
      <c r="P237" s="29">
        <f>IF(tblMovimientos[[#This Row],[Tipo de Movimiento]]="Ingreso",tblMovimientos[[#This Row],[Ingreso]],-tblMovimientos[[#This Row],[Egreso]])</f>
        <v>0</v>
      </c>
    </row>
    <row r="238" spans="2:16" x14ac:dyDescent="0.3">
      <c r="B238" s="51">
        <v>46174</v>
      </c>
      <c r="C238" s="52" t="str">
        <f>_xlfn.XLOOKUP(tblMovimientos[[#This Row],[Cuenta Bancaria]],Listas!$B:$B,Listas!$A:$A,"")</f>
        <v>Durand</v>
      </c>
      <c r="D238" s="53" t="s">
        <v>99</v>
      </c>
      <c r="E238" s="52" t="str">
        <f>_xlfn.XLOOKUP(tblMovimientos[[#This Row],[Cuenta Bancaria]],Listas!$B:$B,Listas!$C:$C,"")</f>
        <v xml:space="preserve">Amerant Bank </v>
      </c>
      <c r="F238" s="53" t="s">
        <v>10</v>
      </c>
      <c r="G238" s="53" t="s">
        <v>44</v>
      </c>
      <c r="H238" s="52" t="str">
        <f>IFERROR(_xlfn.XLOOKUP(G238,Listas!E:E,Listas!F:F,""),"")</f>
        <v>Operativo</v>
      </c>
      <c r="I238" s="54" t="str">
        <f>IFERROR(_xlfn.XLOOKUP(G238,Listas!E:E,Listas!G:G,""),"")</f>
        <v>Externo</v>
      </c>
      <c r="J238" s="55">
        <v>0</v>
      </c>
      <c r="K238" s="61">
        <f>IF(F238="Ingreso",J238,-J238)</f>
        <v>0</v>
      </c>
      <c r="L238" s="56" t="s">
        <v>128</v>
      </c>
      <c r="M238" s="57">
        <f>SUMIFS('Saldos Iniciales'!$D$2:$D$38,'Saldos Iniciales'!$A$2:$A$38,C238,'Saldos Iniciales'!$B$2:$B$38,D238)+SUMIFS($K$1:$K$432,$C$1:$C$432,C238,$D$1:$D$432,D238,$B$1:$B$432,"&lt;="&amp;B238)</f>
        <v>1669.89</v>
      </c>
      <c r="N238" s="27" t="str">
        <f>IF(tblMovimientos[[#This Row],[Tipo de Movimiento]]="Ingreso",tblMovimientos[[#This Row],[Monto (S/)]],"0")</f>
        <v>0</v>
      </c>
      <c r="O238" s="27">
        <f>IF(tblMovimientos[[#This Row],[Tipo de Movimiento]]="Egreso",tblMovimientos[[#This Row],[Monto (S/)]],"0")</f>
        <v>0</v>
      </c>
      <c r="P238" s="29">
        <f>IF(tblMovimientos[[#This Row],[Tipo de Movimiento]]="Ingreso",tblMovimientos[[#This Row],[Ingreso]],-tblMovimientos[[#This Row],[Egreso]])</f>
        <v>0</v>
      </c>
    </row>
    <row r="239" spans="2:16" x14ac:dyDescent="0.3">
      <c r="B239" s="51">
        <v>46174</v>
      </c>
      <c r="C239" s="52" t="str">
        <f>_xlfn.XLOOKUP(tblMovimientos[[#This Row],[Cuenta Bancaria]],Listas!$B:$B,Listas!$A:$A,"")</f>
        <v>Green Stone Trust</v>
      </c>
      <c r="D239" s="53" t="s">
        <v>117</v>
      </c>
      <c r="E239" s="52" t="str">
        <f>_xlfn.XLOOKUP(tblMovimientos[[#This Row],[Cuenta Bancaria]],Listas!$B:$B,Listas!$C:$C,"")</f>
        <v>Bank of America</v>
      </c>
      <c r="F239" s="53" t="s">
        <v>10</v>
      </c>
      <c r="G239" s="53" t="s">
        <v>44</v>
      </c>
      <c r="H239" s="52" t="str">
        <f>IFERROR(_xlfn.XLOOKUP(G239,Listas!E:E,Listas!F:F,""),"")</f>
        <v>Operativo</v>
      </c>
      <c r="I239" s="54" t="str">
        <f>IFERROR(_xlfn.XLOOKUP(G239,Listas!E:E,Listas!G:G,""),"")</f>
        <v>Externo</v>
      </c>
      <c r="J239" s="55"/>
      <c r="K239" s="61">
        <v>0</v>
      </c>
      <c r="L239" s="56" t="s">
        <v>128</v>
      </c>
      <c r="M239" s="57">
        <f>SUMIFS('Saldos Iniciales'!$D$2:$D$38,'Saldos Iniciales'!$A$2:$A$38,C239,'Saldos Iniciales'!$B$2:$B$38,D239)+SUMIFS($K$1:$K$432,$C$1:$C$432,C239,$D$1:$D$432,D239,$B$1:$B$432,"&lt;="&amp;B239)</f>
        <v>1968.99</v>
      </c>
      <c r="N239" s="27" t="str">
        <f>IF(tblMovimientos[[#This Row],[Tipo de Movimiento]]="Ingreso",tblMovimientos[[#This Row],[Monto (S/)]],"0")</f>
        <v>0</v>
      </c>
      <c r="O239" s="27">
        <f>IF(tblMovimientos[[#This Row],[Tipo de Movimiento]]="Egreso",tblMovimientos[[#This Row],[Monto (S/)]],"0")</f>
        <v>0</v>
      </c>
      <c r="P239" s="29">
        <f>IF(tblMovimientos[[#This Row],[Tipo de Movimiento]]="Ingreso",tblMovimientos[[#This Row],[Ingreso]],-tblMovimientos[[#This Row],[Egreso]])</f>
        <v>0</v>
      </c>
    </row>
    <row r="240" spans="2:16" x14ac:dyDescent="0.3">
      <c r="B240" s="41">
        <v>46175</v>
      </c>
      <c r="C240" s="4" t="s">
        <v>31</v>
      </c>
      <c r="D240" s="43" t="s">
        <v>121</v>
      </c>
      <c r="E240" s="4" t="s">
        <v>36</v>
      </c>
      <c r="F240" s="43" t="s">
        <v>10</v>
      </c>
      <c r="G240" s="43" t="s">
        <v>38</v>
      </c>
      <c r="H240" s="4" t="str">
        <f>IFERROR(_xlfn.XLOOKUP(G240,Listas!E:E,Listas!F:F,""),"")</f>
        <v>Operativo</v>
      </c>
      <c r="I240" s="48" t="str">
        <f>IFERROR(_xlfn.XLOOKUP(G240,Listas!E:E,Listas!G:G,""),"")</f>
        <v>Externo</v>
      </c>
      <c r="J240" s="45">
        <v>626.29999999999995</v>
      </c>
      <c r="K240" s="5">
        <v>-626.29999999999995</v>
      </c>
      <c r="L240" s="15" t="s">
        <v>128</v>
      </c>
      <c r="M240" s="46">
        <v>25459.549999999963</v>
      </c>
      <c r="N240" s="27" t="str">
        <f>IF(tblMovimientos[[#This Row],[Tipo de Movimiento]]="Ingreso",tblMovimientos[[#This Row],[Monto (S/)]],"0")</f>
        <v>0</v>
      </c>
      <c r="O240" s="27">
        <f>IF(tblMovimientos[[#This Row],[Tipo de Movimiento]]="Egreso",tblMovimientos[[#This Row],[Monto (S/)]],"0")</f>
        <v>626.29999999999995</v>
      </c>
      <c r="P240" s="29">
        <f>IF(tblMovimientos[[#This Row],[Tipo de Movimiento]]="Ingreso",tblMovimientos[[#This Row],[Ingreso]],-tblMovimientos[[#This Row],[Egreso]])</f>
        <v>-626.29999999999995</v>
      </c>
    </row>
    <row r="241" spans="2:16" x14ac:dyDescent="0.3">
      <c r="B241" s="41">
        <v>46175</v>
      </c>
      <c r="C241" s="4" t="s">
        <v>35</v>
      </c>
      <c r="D241" s="43" t="s">
        <v>126</v>
      </c>
      <c r="E241" s="4" t="s">
        <v>37</v>
      </c>
      <c r="F241" s="43" t="s">
        <v>10</v>
      </c>
      <c r="G241" s="43" t="s">
        <v>38</v>
      </c>
      <c r="H241" s="4" t="str">
        <f>IFERROR(_xlfn.XLOOKUP(G241,Listas!E:E,Listas!F:F,""),"")</f>
        <v>Operativo</v>
      </c>
      <c r="I241" s="48" t="str">
        <f>IFERROR(_xlfn.XLOOKUP(G241,Listas!E:E,Listas!G:G,""),"")</f>
        <v>Externo</v>
      </c>
      <c r="J241" s="45">
        <v>3309.58</v>
      </c>
      <c r="K241" s="5">
        <v>-3309.58</v>
      </c>
      <c r="L241" s="15" t="s">
        <v>128</v>
      </c>
      <c r="M241" s="46">
        <v>3514.8900000000012</v>
      </c>
      <c r="N241" s="27" t="str">
        <f>IF(tblMovimientos[[#This Row],[Tipo de Movimiento]]="Ingreso",tblMovimientos[[#This Row],[Monto (S/)]],"0")</f>
        <v>0</v>
      </c>
      <c r="O241" s="27">
        <f>IF(tblMovimientos[[#This Row],[Tipo de Movimiento]]="Egreso",tblMovimientos[[#This Row],[Monto (S/)]],"0")</f>
        <v>3309.58</v>
      </c>
      <c r="P241" s="29">
        <f>IF(tblMovimientos[[#This Row],[Tipo de Movimiento]]="Ingreso",tblMovimientos[[#This Row],[Ingreso]],-tblMovimientos[[#This Row],[Egreso]])</f>
        <v>-3309.58</v>
      </c>
    </row>
    <row r="242" spans="2:16" x14ac:dyDescent="0.3">
      <c r="B242" s="41">
        <v>46176</v>
      </c>
      <c r="C242" s="4" t="s">
        <v>21</v>
      </c>
      <c r="D242" s="43" t="s">
        <v>101</v>
      </c>
      <c r="E242" s="4" t="s">
        <v>36</v>
      </c>
      <c r="F242" s="43" t="s">
        <v>10</v>
      </c>
      <c r="G242" s="43" t="s">
        <v>38</v>
      </c>
      <c r="H242" s="4" t="str">
        <f>IFERROR(_xlfn.XLOOKUP(G242,Listas!E:E,Listas!F:F,""),"")</f>
        <v>Operativo</v>
      </c>
      <c r="I242" s="48" t="str">
        <f>IFERROR(_xlfn.XLOOKUP(G242,Listas!E:E,Listas!G:G,""),"")</f>
        <v>Externo</v>
      </c>
      <c r="J242" s="45">
        <v>290.01</v>
      </c>
      <c r="K242" s="5">
        <v>-290.01</v>
      </c>
      <c r="L242" s="15" t="s">
        <v>128</v>
      </c>
      <c r="M242" s="46">
        <v>10553.2</v>
      </c>
      <c r="N242" s="27" t="str">
        <f>IF(tblMovimientos[[#This Row],[Tipo de Movimiento]]="Ingreso",tblMovimientos[[#This Row],[Monto (S/)]],"0")</f>
        <v>0</v>
      </c>
      <c r="O242" s="27">
        <f>IF(tblMovimientos[[#This Row],[Tipo de Movimiento]]="Egreso",tblMovimientos[[#This Row],[Monto (S/)]],"0")</f>
        <v>290.01</v>
      </c>
      <c r="P242" s="29">
        <f>IF(tblMovimientos[[#This Row],[Tipo de Movimiento]]="Ingreso",tblMovimientos[[#This Row],[Ingreso]],-tblMovimientos[[#This Row],[Egreso]])</f>
        <v>-290.01</v>
      </c>
    </row>
    <row r="243" spans="2:16" x14ac:dyDescent="0.3">
      <c r="B243" s="41">
        <v>46176</v>
      </c>
      <c r="C243" s="4" t="s">
        <v>22</v>
      </c>
      <c r="D243" s="43" t="s">
        <v>110</v>
      </c>
      <c r="E243" s="4" t="s">
        <v>36</v>
      </c>
      <c r="F243" s="43" t="s">
        <v>10</v>
      </c>
      <c r="G243" s="43" t="s">
        <v>38</v>
      </c>
      <c r="H243" s="4" t="str">
        <f>IFERROR(_xlfn.XLOOKUP(G243,Listas!E:E,Listas!F:F,""),"")</f>
        <v>Operativo</v>
      </c>
      <c r="I243" s="48" t="str">
        <f>IFERROR(_xlfn.XLOOKUP(G243,Listas!E:E,Listas!G:G,""),"")</f>
        <v>Externo</v>
      </c>
      <c r="J243" s="45">
        <v>6000</v>
      </c>
      <c r="K243" s="5">
        <v>-6000</v>
      </c>
      <c r="L243" s="15" t="s">
        <v>128</v>
      </c>
      <c r="M243" s="46">
        <v>51206.89</v>
      </c>
      <c r="N243" s="27" t="str">
        <f>IF(tblMovimientos[[#This Row],[Tipo de Movimiento]]="Ingreso",tblMovimientos[[#This Row],[Monto (S/)]],"0")</f>
        <v>0</v>
      </c>
      <c r="O243" s="27">
        <f>IF(tblMovimientos[[#This Row],[Tipo de Movimiento]]="Egreso",tblMovimientos[[#This Row],[Monto (S/)]],"0")</f>
        <v>6000</v>
      </c>
      <c r="P243" s="29">
        <f>IF(tblMovimientos[[#This Row],[Tipo de Movimiento]]="Ingreso",tblMovimientos[[#This Row],[Ingreso]],-tblMovimientos[[#This Row],[Egreso]])</f>
        <v>-6000</v>
      </c>
    </row>
    <row r="244" spans="2:16" x14ac:dyDescent="0.3">
      <c r="B244" s="41">
        <v>46177</v>
      </c>
      <c r="C244" s="4" t="s">
        <v>35</v>
      </c>
      <c r="D244" s="43" t="s">
        <v>126</v>
      </c>
      <c r="E244" s="4" t="s">
        <v>37</v>
      </c>
      <c r="F244" s="43" t="s">
        <v>10</v>
      </c>
      <c r="G244" s="43" t="s">
        <v>44</v>
      </c>
      <c r="H244" s="4" t="str">
        <f>IFERROR(_xlfn.XLOOKUP(G244,Listas!E:E,Listas!F:F,""),"")</f>
        <v>Operativo</v>
      </c>
      <c r="I244" s="48" t="str">
        <f>IFERROR(_xlfn.XLOOKUP(G244,Listas!E:E,Listas!G:G,""),"")</f>
        <v>Externo</v>
      </c>
      <c r="J244" s="45">
        <v>15</v>
      </c>
      <c r="K244" s="5">
        <v>-15</v>
      </c>
      <c r="L244" s="15" t="s">
        <v>128</v>
      </c>
      <c r="M244" s="46">
        <v>2422.7400000000016</v>
      </c>
      <c r="N244" s="27" t="str">
        <f>IF(tblMovimientos[[#This Row],[Tipo de Movimiento]]="Ingreso",tblMovimientos[[#This Row],[Monto (S/)]],"0")</f>
        <v>0</v>
      </c>
      <c r="O244" s="27">
        <f>IF(tblMovimientos[[#This Row],[Tipo de Movimiento]]="Egreso",tblMovimientos[[#This Row],[Monto (S/)]],"0")</f>
        <v>15</v>
      </c>
      <c r="P244" s="29">
        <f>IF(tblMovimientos[[#This Row],[Tipo de Movimiento]]="Ingreso",tblMovimientos[[#This Row],[Ingreso]],-tblMovimientos[[#This Row],[Egreso]])</f>
        <v>-15</v>
      </c>
    </row>
    <row r="245" spans="2:16" x14ac:dyDescent="0.3">
      <c r="B245" s="41">
        <v>46177</v>
      </c>
      <c r="C245" s="4" t="s">
        <v>35</v>
      </c>
      <c r="D245" s="43" t="s">
        <v>126</v>
      </c>
      <c r="E245" s="4" t="s">
        <v>37</v>
      </c>
      <c r="F245" s="43" t="s">
        <v>10</v>
      </c>
      <c r="G245" s="43" t="s">
        <v>44</v>
      </c>
      <c r="H245" s="4" t="str">
        <f>IFERROR(_xlfn.XLOOKUP(G245,Listas!E:E,Listas!F:F,""),"")</f>
        <v>Operativo</v>
      </c>
      <c r="I245" s="48" t="str">
        <f>IFERROR(_xlfn.XLOOKUP(G245,Listas!E:E,Listas!G:G,""),"")</f>
        <v>Externo</v>
      </c>
      <c r="J245" s="45">
        <v>15</v>
      </c>
      <c r="K245" s="5">
        <v>-15</v>
      </c>
      <c r="L245" s="15" t="s">
        <v>128</v>
      </c>
      <c r="M245" s="46">
        <v>2422.7400000000016</v>
      </c>
      <c r="N245" s="27" t="str">
        <f>IF(tblMovimientos[[#This Row],[Tipo de Movimiento]]="Ingreso",tblMovimientos[[#This Row],[Monto (S/)]],"0")</f>
        <v>0</v>
      </c>
      <c r="O245" s="27">
        <f>IF(tblMovimientos[[#This Row],[Tipo de Movimiento]]="Egreso",tblMovimientos[[#This Row],[Monto (S/)]],"0")</f>
        <v>15</v>
      </c>
      <c r="P245" s="29">
        <f>IF(tblMovimientos[[#This Row],[Tipo de Movimiento]]="Ingreso",tblMovimientos[[#This Row],[Ingreso]],-tblMovimientos[[#This Row],[Egreso]])</f>
        <v>-15</v>
      </c>
    </row>
    <row r="246" spans="2:16" x14ac:dyDescent="0.3">
      <c r="B246" s="41">
        <v>46177</v>
      </c>
      <c r="C246" s="4" t="s">
        <v>35</v>
      </c>
      <c r="D246" s="43" t="s">
        <v>126</v>
      </c>
      <c r="E246" s="4" t="s">
        <v>37</v>
      </c>
      <c r="F246" s="43" t="s">
        <v>10</v>
      </c>
      <c r="G246" s="43" t="s">
        <v>44</v>
      </c>
      <c r="H246" s="4" t="str">
        <f>IFERROR(_xlfn.XLOOKUP(G246,Listas!E:E,Listas!F:F,""),"")</f>
        <v>Operativo</v>
      </c>
      <c r="I246" s="48" t="str">
        <f>IFERROR(_xlfn.XLOOKUP(G246,Listas!E:E,Listas!G:G,""),"")</f>
        <v>Externo</v>
      </c>
      <c r="J246" s="45">
        <v>15</v>
      </c>
      <c r="K246" s="5">
        <v>-15</v>
      </c>
      <c r="L246" s="15" t="s">
        <v>128</v>
      </c>
      <c r="M246" s="46">
        <v>2422.7400000000016</v>
      </c>
      <c r="N246" s="27" t="str">
        <f>IF(tblMovimientos[[#This Row],[Tipo de Movimiento]]="Ingreso",tblMovimientos[[#This Row],[Monto (S/)]],"0")</f>
        <v>0</v>
      </c>
      <c r="O246" s="27">
        <f>IF(tblMovimientos[[#This Row],[Tipo de Movimiento]]="Egreso",tblMovimientos[[#This Row],[Monto (S/)]],"0")</f>
        <v>15</v>
      </c>
      <c r="P246" s="29">
        <f>IF(tblMovimientos[[#This Row],[Tipo de Movimiento]]="Ingreso",tblMovimientos[[#This Row],[Ingreso]],-tblMovimientos[[#This Row],[Egreso]])</f>
        <v>-15</v>
      </c>
    </row>
    <row r="247" spans="2:16" x14ac:dyDescent="0.3">
      <c r="B247" s="41">
        <v>46177</v>
      </c>
      <c r="C247" s="4" t="s">
        <v>21</v>
      </c>
      <c r="D247" s="43" t="s">
        <v>101</v>
      </c>
      <c r="E247" s="4" t="s">
        <v>36</v>
      </c>
      <c r="F247" s="43" t="s">
        <v>9</v>
      </c>
      <c r="G247" s="43" t="s">
        <v>68</v>
      </c>
      <c r="H247" s="4" t="str">
        <f>IFERROR(_xlfn.XLOOKUP(G247,Listas!E:E,Listas!F:F,""),"")</f>
        <v>Operativo</v>
      </c>
      <c r="I247" s="48" t="str">
        <f>IFERROR(_xlfn.XLOOKUP(G247,Listas!E:E,Listas!G:G,""),"")</f>
        <v>Externo</v>
      </c>
      <c r="J247" s="45">
        <v>15307.88</v>
      </c>
      <c r="K247" s="5">
        <v>15307.88</v>
      </c>
      <c r="L247" s="15" t="s">
        <v>128</v>
      </c>
      <c r="M247" s="46">
        <v>25322.66</v>
      </c>
      <c r="N247" s="27">
        <f>IF(tblMovimientos[[#This Row],[Tipo de Movimiento]]="Ingreso",tblMovimientos[[#This Row],[Monto (S/)]],"0")</f>
        <v>15307.88</v>
      </c>
      <c r="O247" s="27" t="str">
        <f>IF(tblMovimientos[[#This Row],[Tipo de Movimiento]]="Egreso",tblMovimientos[[#This Row],[Monto (S/)]],"0")</f>
        <v>0</v>
      </c>
      <c r="P247" s="29">
        <f>IF(tblMovimientos[[#This Row],[Tipo de Movimiento]]="Ingreso",tblMovimientos[[#This Row],[Ingreso]],-tblMovimientos[[#This Row],[Egreso]])</f>
        <v>15307.88</v>
      </c>
    </row>
    <row r="248" spans="2:16" x14ac:dyDescent="0.3">
      <c r="B248" s="41">
        <v>46177</v>
      </c>
      <c r="C248" s="4" t="s">
        <v>21</v>
      </c>
      <c r="D248" s="43" t="s">
        <v>101</v>
      </c>
      <c r="E248" s="4" t="s">
        <v>36</v>
      </c>
      <c r="F248" s="43" t="s">
        <v>10</v>
      </c>
      <c r="G248" s="43" t="s">
        <v>38</v>
      </c>
      <c r="H248" s="4" t="str">
        <f>IFERROR(_xlfn.XLOOKUP(G248,Listas!E:E,Listas!F:F,""),"")</f>
        <v>Operativo</v>
      </c>
      <c r="I248" s="48" t="str">
        <f>IFERROR(_xlfn.XLOOKUP(G248,Listas!E:E,Listas!G:G,""),"")</f>
        <v>Externo</v>
      </c>
      <c r="J248" s="45">
        <v>538.41999999999996</v>
      </c>
      <c r="K248" s="5">
        <v>-538.41999999999996</v>
      </c>
      <c r="L248" s="15" t="s">
        <v>128</v>
      </c>
      <c r="M248" s="46">
        <v>25322.66</v>
      </c>
      <c r="N248" s="27" t="str">
        <f>IF(tblMovimientos[[#This Row],[Tipo de Movimiento]]="Ingreso",tblMovimientos[[#This Row],[Monto (S/)]],"0")</f>
        <v>0</v>
      </c>
      <c r="O248" s="27">
        <f>IF(tblMovimientos[[#This Row],[Tipo de Movimiento]]="Egreso",tblMovimientos[[#This Row],[Monto (S/)]],"0")</f>
        <v>538.41999999999996</v>
      </c>
      <c r="P248" s="29">
        <f>IF(tblMovimientos[[#This Row],[Tipo de Movimiento]]="Ingreso",tblMovimientos[[#This Row],[Ingreso]],-tblMovimientos[[#This Row],[Egreso]])</f>
        <v>-538.41999999999996</v>
      </c>
    </row>
    <row r="249" spans="2:16" x14ac:dyDescent="0.3">
      <c r="B249" s="41">
        <v>46177</v>
      </c>
      <c r="C249" s="4" t="s">
        <v>20</v>
      </c>
      <c r="D249" s="43" t="s">
        <v>100</v>
      </c>
      <c r="E249" s="4" t="s">
        <v>36</v>
      </c>
      <c r="F249" s="43" t="s">
        <v>10</v>
      </c>
      <c r="G249" s="43" t="s">
        <v>61</v>
      </c>
      <c r="H249" s="4" t="str">
        <f>IFERROR(_xlfn.XLOOKUP(G249,Listas!E:E,Listas!F:F,""),"")</f>
        <v>Operativo</v>
      </c>
      <c r="I249" s="48" t="str">
        <f>IFERROR(_xlfn.XLOOKUP(G249,Listas!E:E,Listas!G:G,""),"")</f>
        <v>Externo</v>
      </c>
      <c r="J249" s="45">
        <v>60000</v>
      </c>
      <c r="K249" s="5">
        <v>-60000</v>
      </c>
      <c r="L249" s="15" t="s">
        <v>128</v>
      </c>
      <c r="M249" s="46">
        <v>729545.23999999987</v>
      </c>
      <c r="N249" s="27" t="str">
        <f>IF(tblMovimientos[[#This Row],[Tipo de Movimiento]]="Ingreso",tblMovimientos[[#This Row],[Monto (S/)]],"0")</f>
        <v>0</v>
      </c>
      <c r="O249" s="27">
        <f>IF(tblMovimientos[[#This Row],[Tipo de Movimiento]]="Egreso",tblMovimientos[[#This Row],[Monto (S/)]],"0")</f>
        <v>60000</v>
      </c>
      <c r="P249" s="29">
        <f>IF(tblMovimientos[[#This Row],[Tipo de Movimiento]]="Ingreso",tblMovimientos[[#This Row],[Ingreso]],-tblMovimientos[[#This Row],[Egreso]])</f>
        <v>-60000</v>
      </c>
    </row>
    <row r="250" spans="2:16" x14ac:dyDescent="0.3">
      <c r="B250" s="41">
        <v>46177</v>
      </c>
      <c r="C250" s="4" t="s">
        <v>20</v>
      </c>
      <c r="D250" s="43" t="s">
        <v>100</v>
      </c>
      <c r="E250" s="4" t="s">
        <v>36</v>
      </c>
      <c r="F250" s="43" t="s">
        <v>10</v>
      </c>
      <c r="G250" s="43" t="s">
        <v>49</v>
      </c>
      <c r="H250" s="4" t="str">
        <f>IFERROR(_xlfn.XLOOKUP(G250,Listas!E:E,Listas!F:F,""),"")</f>
        <v>Financiamiento</v>
      </c>
      <c r="I250" s="48" t="str">
        <f>IFERROR(_xlfn.XLOOKUP(G250,Listas!E:E,Listas!G:G,""),"")</f>
        <v>Externo</v>
      </c>
      <c r="J250" s="45">
        <v>15307.88</v>
      </c>
      <c r="K250" s="5">
        <v>-15307.88</v>
      </c>
      <c r="L250" s="15" t="s">
        <v>128</v>
      </c>
      <c r="M250" s="46">
        <v>729545.23999999987</v>
      </c>
      <c r="N250" s="27" t="str">
        <f>IF(tblMovimientos[[#This Row],[Tipo de Movimiento]]="Ingreso",tblMovimientos[[#This Row],[Monto (S/)]],"0")</f>
        <v>0</v>
      </c>
      <c r="O250" s="27">
        <f>IF(tblMovimientos[[#This Row],[Tipo de Movimiento]]="Egreso",tblMovimientos[[#This Row],[Monto (S/)]],"0")</f>
        <v>15307.88</v>
      </c>
      <c r="P250" s="29">
        <f>IF(tblMovimientos[[#This Row],[Tipo de Movimiento]]="Ingreso",tblMovimientos[[#This Row],[Ingreso]],-tblMovimientos[[#This Row],[Egreso]])</f>
        <v>-15307.88</v>
      </c>
    </row>
    <row r="251" spans="2:16" x14ac:dyDescent="0.3">
      <c r="B251" s="41">
        <v>46177</v>
      </c>
      <c r="C251" s="4" t="s">
        <v>17</v>
      </c>
      <c r="D251" s="43" t="s">
        <v>94</v>
      </c>
      <c r="E251" s="4" t="s">
        <v>36</v>
      </c>
      <c r="F251" s="43" t="s">
        <v>10</v>
      </c>
      <c r="G251" s="43" t="s">
        <v>64</v>
      </c>
      <c r="H251" s="4" t="str">
        <f>IFERROR(_xlfn.XLOOKUP(G251,Listas!E:E,Listas!F:F,""),"")</f>
        <v>Operativo</v>
      </c>
      <c r="I251" s="48" t="str">
        <f>IFERROR(_xlfn.XLOOKUP(G251,Listas!E:E,Listas!G:G,""),"")</f>
        <v>Interno</v>
      </c>
      <c r="J251" s="45">
        <v>185000</v>
      </c>
      <c r="K251" s="5">
        <v>-185000</v>
      </c>
      <c r="L251" s="15" t="s">
        <v>128</v>
      </c>
      <c r="M251" s="46">
        <v>8489.5799999999872</v>
      </c>
      <c r="N251" s="27" t="str">
        <f>IF(tblMovimientos[[#This Row],[Tipo de Movimiento]]="Ingreso",tblMovimientos[[#This Row],[Monto (S/)]],"0")</f>
        <v>0</v>
      </c>
      <c r="O251" s="27">
        <f>IF(tblMovimientos[[#This Row],[Tipo de Movimiento]]="Egreso",tblMovimientos[[#This Row],[Monto (S/)]],"0")</f>
        <v>185000</v>
      </c>
      <c r="P251" s="29">
        <f>IF(tblMovimientos[[#This Row],[Tipo de Movimiento]]="Ingreso",tblMovimientos[[#This Row],[Ingreso]],-tblMovimientos[[#This Row],[Egreso]])</f>
        <v>-185000</v>
      </c>
    </row>
    <row r="252" spans="2:16" x14ac:dyDescent="0.3">
      <c r="B252" s="41">
        <v>46177</v>
      </c>
      <c r="C252" s="4" t="s">
        <v>17</v>
      </c>
      <c r="D252" s="43" t="s">
        <v>95</v>
      </c>
      <c r="E252" s="4" t="s">
        <v>37</v>
      </c>
      <c r="F252" s="43" t="s">
        <v>9</v>
      </c>
      <c r="G252" s="43" t="s">
        <v>85</v>
      </c>
      <c r="H252" s="4" t="str">
        <f>IFERROR(_xlfn.XLOOKUP(G252,Listas!E:E,Listas!F:F,""),"")</f>
        <v>Operativo</v>
      </c>
      <c r="I252" s="48" t="str">
        <f>IFERROR(_xlfn.XLOOKUP(G252,Listas!E:E,Listas!G:G,""),"")</f>
        <v>Interno</v>
      </c>
      <c r="J252" s="45">
        <v>185000</v>
      </c>
      <c r="K252" s="5">
        <v>185000</v>
      </c>
      <c r="L252" s="15" t="s">
        <v>128</v>
      </c>
      <c r="M252" s="46">
        <v>719648.53</v>
      </c>
      <c r="N252" s="27">
        <f>IF(tblMovimientos[[#This Row],[Tipo de Movimiento]]="Ingreso",tblMovimientos[[#This Row],[Monto (S/)]],"0")</f>
        <v>185000</v>
      </c>
      <c r="O252" s="27" t="str">
        <f>IF(tblMovimientos[[#This Row],[Tipo de Movimiento]]="Egreso",tblMovimientos[[#This Row],[Monto (S/)]],"0")</f>
        <v>0</v>
      </c>
      <c r="P252" s="29">
        <f>IF(tblMovimientos[[#This Row],[Tipo de Movimiento]]="Ingreso",tblMovimientos[[#This Row],[Ingreso]],-tblMovimientos[[#This Row],[Egreso]])</f>
        <v>185000</v>
      </c>
    </row>
    <row r="253" spans="2:16" x14ac:dyDescent="0.3">
      <c r="B253" s="41">
        <v>46177</v>
      </c>
      <c r="C253" s="4" t="s">
        <v>17</v>
      </c>
      <c r="D253" s="43" t="s">
        <v>95</v>
      </c>
      <c r="E253" s="4" t="s">
        <v>37</v>
      </c>
      <c r="F253" s="43" t="s">
        <v>10</v>
      </c>
      <c r="G253" s="43" t="s">
        <v>61</v>
      </c>
      <c r="H253" s="4" t="str">
        <f>IFERROR(_xlfn.XLOOKUP(G253,Listas!E:E,Listas!F:F,""),"")</f>
        <v>Operativo</v>
      </c>
      <c r="I253" s="48" t="str">
        <f>IFERROR(_xlfn.XLOOKUP(G253,Listas!E:E,Listas!G:G,""),"")</f>
        <v>Externo</v>
      </c>
      <c r="J253" s="45">
        <v>30000</v>
      </c>
      <c r="K253" s="5">
        <v>-30000</v>
      </c>
      <c r="L253" s="15" t="s">
        <v>128</v>
      </c>
      <c r="M253" s="46">
        <v>719648.53</v>
      </c>
      <c r="N253" s="27" t="str">
        <f>IF(tblMovimientos[[#This Row],[Tipo de Movimiento]]="Ingreso",tblMovimientos[[#This Row],[Monto (S/)]],"0")</f>
        <v>0</v>
      </c>
      <c r="O253" s="27">
        <f>IF(tblMovimientos[[#This Row],[Tipo de Movimiento]]="Egreso",tblMovimientos[[#This Row],[Monto (S/)]],"0")</f>
        <v>30000</v>
      </c>
      <c r="P253" s="29">
        <f>IF(tblMovimientos[[#This Row],[Tipo de Movimiento]]="Ingreso",tblMovimientos[[#This Row],[Ingreso]],-tblMovimientos[[#This Row],[Egreso]])</f>
        <v>-30000</v>
      </c>
    </row>
    <row r="254" spans="2:16" x14ac:dyDescent="0.3">
      <c r="B254" s="41">
        <v>46177</v>
      </c>
      <c r="C254" s="4" t="s">
        <v>17</v>
      </c>
      <c r="D254" s="43" t="s">
        <v>95</v>
      </c>
      <c r="E254" s="4" t="s">
        <v>37</v>
      </c>
      <c r="F254" s="43" t="s">
        <v>10</v>
      </c>
      <c r="G254" s="43" t="s">
        <v>61</v>
      </c>
      <c r="H254" s="4" t="str">
        <f>IFERROR(_xlfn.XLOOKUP(G254,Listas!E:E,Listas!F:F,""),"")</f>
        <v>Operativo</v>
      </c>
      <c r="I254" s="48" t="str">
        <f>IFERROR(_xlfn.XLOOKUP(G254,Listas!E:E,Listas!G:G,""),"")</f>
        <v>Externo</v>
      </c>
      <c r="J254" s="45">
        <v>70000</v>
      </c>
      <c r="K254" s="5">
        <v>-70000</v>
      </c>
      <c r="L254" s="15" t="s">
        <v>128</v>
      </c>
      <c r="M254" s="46">
        <v>719648.53</v>
      </c>
      <c r="N254" s="27" t="str">
        <f>IF(tblMovimientos[[#This Row],[Tipo de Movimiento]]="Ingreso",tblMovimientos[[#This Row],[Monto (S/)]],"0")</f>
        <v>0</v>
      </c>
      <c r="O254" s="27">
        <f>IF(tblMovimientos[[#This Row],[Tipo de Movimiento]]="Egreso",tblMovimientos[[#This Row],[Monto (S/)]],"0")</f>
        <v>70000</v>
      </c>
      <c r="P254" s="29">
        <f>IF(tblMovimientos[[#This Row],[Tipo de Movimiento]]="Ingreso",tblMovimientos[[#This Row],[Ingreso]],-tblMovimientos[[#This Row],[Egreso]])</f>
        <v>-70000</v>
      </c>
    </row>
    <row r="255" spans="2:16" x14ac:dyDescent="0.3">
      <c r="B255" s="41">
        <v>46177</v>
      </c>
      <c r="C255" s="4" t="s">
        <v>17</v>
      </c>
      <c r="D255" s="43" t="s">
        <v>95</v>
      </c>
      <c r="E255" s="4" t="s">
        <v>37</v>
      </c>
      <c r="F255" s="43" t="s">
        <v>10</v>
      </c>
      <c r="G255" s="43" t="s">
        <v>50</v>
      </c>
      <c r="H255" s="4" t="str">
        <f>IFERROR(_xlfn.XLOOKUP(G255,Listas!E:E,Listas!F:F,""),"")</f>
        <v>Financiamiento</v>
      </c>
      <c r="I255" s="48" t="str">
        <f>IFERROR(_xlfn.XLOOKUP(G255,Listas!E:E,Listas!G:G,""),"")</f>
        <v>Externo</v>
      </c>
      <c r="J255" s="45">
        <v>150000</v>
      </c>
      <c r="K255" s="5">
        <v>-150000</v>
      </c>
      <c r="L255" s="15" t="s">
        <v>128</v>
      </c>
      <c r="M255" s="46">
        <v>719648.53</v>
      </c>
      <c r="N255" s="27" t="str">
        <f>IF(tblMovimientos[[#This Row],[Tipo de Movimiento]]="Ingreso",tblMovimientos[[#This Row],[Monto (S/)]],"0")</f>
        <v>0</v>
      </c>
      <c r="O255" s="27">
        <f>IF(tblMovimientos[[#This Row],[Tipo de Movimiento]]="Egreso",tblMovimientos[[#This Row],[Monto (S/)]],"0")</f>
        <v>150000</v>
      </c>
      <c r="P255" s="29">
        <f>IF(tblMovimientos[[#This Row],[Tipo de Movimiento]]="Ingreso",tblMovimientos[[#This Row],[Ingreso]],-tblMovimientos[[#This Row],[Egreso]])</f>
        <v>-150000</v>
      </c>
    </row>
    <row r="256" spans="2:16" x14ac:dyDescent="0.3">
      <c r="B256" s="41">
        <v>46177</v>
      </c>
      <c r="C256" s="4" t="s">
        <v>29</v>
      </c>
      <c r="D256" s="43" t="s">
        <v>119</v>
      </c>
      <c r="E256" s="4" t="s">
        <v>37</v>
      </c>
      <c r="F256" s="43" t="s">
        <v>10</v>
      </c>
      <c r="G256" s="43" t="s">
        <v>38</v>
      </c>
      <c r="H256" s="4" t="str">
        <f>IFERROR(_xlfn.XLOOKUP(G256,Listas!E:E,Listas!F:F,""),"")</f>
        <v>Operativo</v>
      </c>
      <c r="I256" s="48" t="str">
        <f>IFERROR(_xlfn.XLOOKUP(G256,Listas!E:E,Listas!G:G,""),"")</f>
        <v>Externo</v>
      </c>
      <c r="J256" s="45">
        <v>518.65</v>
      </c>
      <c r="K256" s="5">
        <v>-518.65</v>
      </c>
      <c r="L256" s="15" t="s">
        <v>128</v>
      </c>
      <c r="M256" s="46">
        <v>382.69000000000005</v>
      </c>
      <c r="N256" s="27" t="str">
        <f>IF(tblMovimientos[[#This Row],[Tipo de Movimiento]]="Ingreso",tblMovimientos[[#This Row],[Monto (S/)]],"0")</f>
        <v>0</v>
      </c>
      <c r="O256" s="27">
        <f>IF(tblMovimientos[[#This Row],[Tipo de Movimiento]]="Egreso",tblMovimientos[[#This Row],[Monto (S/)]],"0")</f>
        <v>518.65</v>
      </c>
      <c r="P256" s="29">
        <f>IF(tblMovimientos[[#This Row],[Tipo de Movimiento]]="Ingreso",tblMovimientos[[#This Row],[Ingreso]],-tblMovimientos[[#This Row],[Egreso]])</f>
        <v>-518.65</v>
      </c>
    </row>
    <row r="257" spans="2:16" x14ac:dyDescent="0.3">
      <c r="B257" s="41">
        <v>46177</v>
      </c>
      <c r="C257" s="4" t="s">
        <v>22</v>
      </c>
      <c r="D257" s="43" t="s">
        <v>111</v>
      </c>
      <c r="E257" s="4" t="s">
        <v>37</v>
      </c>
      <c r="F257" s="43" t="s">
        <v>10</v>
      </c>
      <c r="G257" s="43" t="s">
        <v>64</v>
      </c>
      <c r="H257" s="4" t="str">
        <f>IFERROR(_xlfn.XLOOKUP(G257,Listas!E:E,Listas!F:F,""),"")</f>
        <v>Operativo</v>
      </c>
      <c r="I257" s="48" t="str">
        <f>IFERROR(_xlfn.XLOOKUP(G257,Listas!E:E,Listas!G:G,""),"")</f>
        <v>Interno</v>
      </c>
      <c r="J257" s="45">
        <v>9000</v>
      </c>
      <c r="K257" s="5">
        <v>-9000</v>
      </c>
      <c r="L257" s="15" t="s">
        <v>128</v>
      </c>
      <c r="M257" s="46">
        <v>1717.6000000000058</v>
      </c>
      <c r="N257" s="27" t="str">
        <f>IF(tblMovimientos[[#This Row],[Tipo de Movimiento]]="Ingreso",tblMovimientos[[#This Row],[Monto (S/)]],"0")</f>
        <v>0</v>
      </c>
      <c r="O257" s="27">
        <f>IF(tblMovimientos[[#This Row],[Tipo de Movimiento]]="Egreso",tblMovimientos[[#This Row],[Monto (S/)]],"0")</f>
        <v>9000</v>
      </c>
      <c r="P257" s="29">
        <f>IF(tblMovimientos[[#This Row],[Tipo de Movimiento]]="Ingreso",tblMovimientos[[#This Row],[Ingreso]],-tblMovimientos[[#This Row],[Egreso]])</f>
        <v>-9000</v>
      </c>
    </row>
    <row r="258" spans="2:16" x14ac:dyDescent="0.3">
      <c r="B258" s="41">
        <v>46177</v>
      </c>
      <c r="C258" s="4" t="s">
        <v>21</v>
      </c>
      <c r="D258" s="43" t="s">
        <v>104</v>
      </c>
      <c r="E258" s="4" t="s">
        <v>37</v>
      </c>
      <c r="F258" s="43" t="s">
        <v>9</v>
      </c>
      <c r="G258" s="43" t="s">
        <v>75</v>
      </c>
      <c r="H258" s="4" t="str">
        <f>IFERROR(_xlfn.XLOOKUP(G258,Listas!E:E,Listas!F:F,""),"")</f>
        <v>Financiamiento</v>
      </c>
      <c r="I258" s="48" t="str">
        <f>IFERROR(_xlfn.XLOOKUP(G258,Listas!E:E,Listas!G:G,""),"")</f>
        <v>Interno</v>
      </c>
      <c r="J258" s="45">
        <v>150000</v>
      </c>
      <c r="K258" s="5">
        <v>150000</v>
      </c>
      <c r="L258" s="15" t="s">
        <v>128</v>
      </c>
      <c r="M258" s="46">
        <v>386254.63999999932</v>
      </c>
      <c r="N258" s="27">
        <f>IF(tblMovimientos[[#This Row],[Tipo de Movimiento]]="Ingreso",tblMovimientos[[#This Row],[Monto (S/)]],"0")</f>
        <v>150000</v>
      </c>
      <c r="O258" s="27" t="str">
        <f>IF(tblMovimientos[[#This Row],[Tipo de Movimiento]]="Egreso",tblMovimientos[[#This Row],[Monto (S/)]],"0")</f>
        <v>0</v>
      </c>
      <c r="P258" s="29">
        <f>IF(tblMovimientos[[#This Row],[Tipo de Movimiento]]="Ingreso",tblMovimientos[[#This Row],[Ingreso]],-tblMovimientos[[#This Row],[Egreso]])</f>
        <v>150000</v>
      </c>
    </row>
    <row r="259" spans="2:16" x14ac:dyDescent="0.3">
      <c r="B259" s="41">
        <v>46177</v>
      </c>
      <c r="C259" s="4" t="s">
        <v>21</v>
      </c>
      <c r="D259" s="43" t="s">
        <v>104</v>
      </c>
      <c r="E259" s="4" t="s">
        <v>37</v>
      </c>
      <c r="F259" s="43" t="s">
        <v>10</v>
      </c>
      <c r="G259" s="43" t="s">
        <v>46</v>
      </c>
      <c r="H259" s="4" t="str">
        <f>IFERROR(_xlfn.XLOOKUP(G259,Listas!E:E,Listas!F:F,""),"")</f>
        <v>Financiamiento</v>
      </c>
      <c r="I259" s="48" t="str">
        <f>IFERROR(_xlfn.XLOOKUP(G259,Listas!E:E,Listas!G:G,""),"")</f>
        <v>Externo</v>
      </c>
      <c r="J259" s="45">
        <v>8666.67</v>
      </c>
      <c r="K259" s="5">
        <v>-8666.67</v>
      </c>
      <c r="L259" s="15" t="s">
        <v>128</v>
      </c>
      <c r="M259" s="46">
        <v>386254.63999999932</v>
      </c>
      <c r="N259" s="27" t="str">
        <f>IF(tblMovimientos[[#This Row],[Tipo de Movimiento]]="Ingreso",tblMovimientos[[#This Row],[Monto (S/)]],"0")</f>
        <v>0</v>
      </c>
      <c r="O259" s="27">
        <f>IF(tblMovimientos[[#This Row],[Tipo de Movimiento]]="Egreso",tblMovimientos[[#This Row],[Monto (S/)]],"0")</f>
        <v>8666.67</v>
      </c>
      <c r="P259" s="29">
        <f>IF(tblMovimientos[[#This Row],[Tipo de Movimiento]]="Ingreso",tblMovimientos[[#This Row],[Ingreso]],-tblMovimientos[[#This Row],[Egreso]])</f>
        <v>-8666.67</v>
      </c>
    </row>
    <row r="260" spans="2:16" x14ac:dyDescent="0.3">
      <c r="B260" s="41">
        <v>46177</v>
      </c>
      <c r="C260" s="4" t="s">
        <v>34</v>
      </c>
      <c r="D260" s="43" t="s">
        <v>125</v>
      </c>
      <c r="E260" s="4" t="s">
        <v>37</v>
      </c>
      <c r="F260" s="43" t="s">
        <v>9</v>
      </c>
      <c r="G260" s="43" t="s">
        <v>85</v>
      </c>
      <c r="H260" s="4" t="str">
        <f>IFERROR(_xlfn.XLOOKUP(G260,Listas!E:E,Listas!F:F,""),"")</f>
        <v>Operativo</v>
      </c>
      <c r="I260" s="48" t="str">
        <f>IFERROR(_xlfn.XLOOKUP(G260,Listas!E:E,Listas!G:G,""),"")</f>
        <v>Interno</v>
      </c>
      <c r="J260" s="45">
        <v>9000</v>
      </c>
      <c r="K260" s="5">
        <v>9000</v>
      </c>
      <c r="L260" s="15" t="s">
        <v>128</v>
      </c>
      <c r="M260" s="46">
        <v>345</v>
      </c>
      <c r="N260" s="27">
        <f>IF(tblMovimientos[[#This Row],[Tipo de Movimiento]]="Ingreso",tblMovimientos[[#This Row],[Monto (S/)]],"0")</f>
        <v>9000</v>
      </c>
      <c r="O260" s="27" t="str">
        <f>IF(tblMovimientos[[#This Row],[Tipo de Movimiento]]="Egreso",tblMovimientos[[#This Row],[Monto (S/)]],"0")</f>
        <v>0</v>
      </c>
      <c r="P260" s="29">
        <f>IF(tblMovimientos[[#This Row],[Tipo de Movimiento]]="Ingreso",tblMovimientos[[#This Row],[Ingreso]],-tblMovimientos[[#This Row],[Egreso]])</f>
        <v>9000</v>
      </c>
    </row>
    <row r="261" spans="2:16" x14ac:dyDescent="0.3">
      <c r="B261" s="41">
        <v>46177</v>
      </c>
      <c r="C261" s="4" t="s">
        <v>34</v>
      </c>
      <c r="D261" s="43" t="s">
        <v>125</v>
      </c>
      <c r="E261" s="4" t="s">
        <v>37</v>
      </c>
      <c r="F261" s="43" t="s">
        <v>10</v>
      </c>
      <c r="G261" s="43" t="s">
        <v>64</v>
      </c>
      <c r="H261" s="4" t="str">
        <f>IFERROR(_xlfn.XLOOKUP(G261,Listas!E:E,Listas!F:F,""),"")</f>
        <v>Operativo</v>
      </c>
      <c r="I261" s="48" t="str">
        <f>IFERROR(_xlfn.XLOOKUP(G261,Listas!E:E,Listas!G:G,""),"")</f>
        <v>Interno</v>
      </c>
      <c r="J261" s="45">
        <v>9000</v>
      </c>
      <c r="K261" s="5">
        <v>-9000</v>
      </c>
      <c r="L261" s="15" t="s">
        <v>128</v>
      </c>
      <c r="M261" s="46">
        <v>345</v>
      </c>
      <c r="N261" s="27" t="str">
        <f>IF(tblMovimientos[[#This Row],[Tipo de Movimiento]]="Ingreso",tblMovimientos[[#This Row],[Monto (S/)]],"0")</f>
        <v>0</v>
      </c>
      <c r="O261" s="27">
        <f>IF(tblMovimientos[[#This Row],[Tipo de Movimiento]]="Egreso",tblMovimientos[[#This Row],[Monto (S/)]],"0")</f>
        <v>9000</v>
      </c>
      <c r="P261" s="29">
        <f>IF(tblMovimientos[[#This Row],[Tipo de Movimiento]]="Ingreso",tblMovimientos[[#This Row],[Ingreso]],-tblMovimientos[[#This Row],[Egreso]])</f>
        <v>-9000</v>
      </c>
    </row>
    <row r="262" spans="2:16" x14ac:dyDescent="0.3">
      <c r="B262" s="41">
        <v>46177</v>
      </c>
      <c r="C262" s="4" t="s">
        <v>35</v>
      </c>
      <c r="D262" s="43" t="s">
        <v>126</v>
      </c>
      <c r="E262" s="4" t="s">
        <v>37</v>
      </c>
      <c r="F262" s="43" t="s">
        <v>10</v>
      </c>
      <c r="G262" s="43" t="s">
        <v>38</v>
      </c>
      <c r="H262" s="4" t="str">
        <f>IFERROR(_xlfn.XLOOKUP(G262,Listas!E:E,Listas!F:F,""),"")</f>
        <v>Operativo</v>
      </c>
      <c r="I262" s="48" t="str">
        <f>IFERROR(_xlfn.XLOOKUP(G262,Listas!E:E,Listas!G:G,""),"")</f>
        <v>Externo</v>
      </c>
      <c r="J262" s="45">
        <v>250</v>
      </c>
      <c r="K262" s="5">
        <v>-250</v>
      </c>
      <c r="L262" s="15" t="s">
        <v>128</v>
      </c>
      <c r="M262" s="46">
        <v>2422.7400000000016</v>
      </c>
      <c r="N262" s="27" t="str">
        <f>IF(tblMovimientos[[#This Row],[Tipo de Movimiento]]="Ingreso",tblMovimientos[[#This Row],[Monto (S/)]],"0")</f>
        <v>0</v>
      </c>
      <c r="O262" s="27">
        <f>IF(tblMovimientos[[#This Row],[Tipo de Movimiento]]="Egreso",tblMovimientos[[#This Row],[Monto (S/)]],"0")</f>
        <v>250</v>
      </c>
      <c r="P262" s="29">
        <f>IF(tblMovimientos[[#This Row],[Tipo de Movimiento]]="Ingreso",tblMovimientos[[#This Row],[Ingreso]],-tblMovimientos[[#This Row],[Egreso]])</f>
        <v>-250</v>
      </c>
    </row>
    <row r="263" spans="2:16" x14ac:dyDescent="0.3">
      <c r="B263" s="41">
        <v>46177</v>
      </c>
      <c r="C263" s="4" t="s">
        <v>35</v>
      </c>
      <c r="D263" s="43" t="s">
        <v>126</v>
      </c>
      <c r="E263" s="4" t="s">
        <v>37</v>
      </c>
      <c r="F263" s="43" t="s">
        <v>10</v>
      </c>
      <c r="G263" s="43" t="s">
        <v>38</v>
      </c>
      <c r="H263" s="4" t="str">
        <f>IFERROR(_xlfn.XLOOKUP(G263,Listas!E:E,Listas!F:F,""),"")</f>
        <v>Operativo</v>
      </c>
      <c r="I263" s="48" t="str">
        <f>IFERROR(_xlfn.XLOOKUP(G263,Listas!E:E,Listas!G:G,""),"")</f>
        <v>Externo</v>
      </c>
      <c r="J263" s="45">
        <v>2175</v>
      </c>
      <c r="K263" s="5">
        <v>-2175</v>
      </c>
      <c r="L263" s="15" t="s">
        <v>128</v>
      </c>
      <c r="M263" s="46">
        <v>2422.7400000000016</v>
      </c>
      <c r="N263" s="27" t="str">
        <f>IF(tblMovimientos[[#This Row],[Tipo de Movimiento]]="Ingreso",tblMovimientos[[#This Row],[Monto (S/)]],"0")</f>
        <v>0</v>
      </c>
      <c r="O263" s="27">
        <f>IF(tblMovimientos[[#This Row],[Tipo de Movimiento]]="Egreso",tblMovimientos[[#This Row],[Monto (S/)]],"0")</f>
        <v>2175</v>
      </c>
      <c r="P263" s="29">
        <f>IF(tblMovimientos[[#This Row],[Tipo de Movimiento]]="Ingreso",tblMovimientos[[#This Row],[Ingreso]],-tblMovimientos[[#This Row],[Egreso]])</f>
        <v>-2175</v>
      </c>
    </row>
    <row r="264" spans="2:16" x14ac:dyDescent="0.3">
      <c r="B264" s="41">
        <v>46177</v>
      </c>
      <c r="C264" s="4" t="s">
        <v>35</v>
      </c>
      <c r="D264" s="43" t="s">
        <v>126</v>
      </c>
      <c r="E264" s="4" t="s">
        <v>37</v>
      </c>
      <c r="F264" s="43" t="s">
        <v>10</v>
      </c>
      <c r="G264" s="43" t="s">
        <v>38</v>
      </c>
      <c r="H264" s="4" t="str">
        <f>IFERROR(_xlfn.XLOOKUP(G264,Listas!E:E,Listas!F:F,""),"")</f>
        <v>Operativo</v>
      </c>
      <c r="I264" s="48" t="str">
        <f>IFERROR(_xlfn.XLOOKUP(G264,Listas!E:E,Listas!G:G,""),"")</f>
        <v>Externo</v>
      </c>
      <c r="J264" s="45">
        <v>3622.15</v>
      </c>
      <c r="K264" s="5">
        <v>-3622.15</v>
      </c>
      <c r="L264" s="15" t="s">
        <v>128</v>
      </c>
      <c r="M264" s="46">
        <v>2422.7400000000016</v>
      </c>
      <c r="N264" s="27" t="str">
        <f>IF(tblMovimientos[[#This Row],[Tipo de Movimiento]]="Ingreso",tblMovimientos[[#This Row],[Monto (S/)]],"0")</f>
        <v>0</v>
      </c>
      <c r="O264" s="27">
        <f>IF(tblMovimientos[[#This Row],[Tipo de Movimiento]]="Egreso",tblMovimientos[[#This Row],[Monto (S/)]],"0")</f>
        <v>3622.15</v>
      </c>
      <c r="P264" s="29">
        <f>IF(tblMovimientos[[#This Row],[Tipo de Movimiento]]="Ingreso",tblMovimientos[[#This Row],[Ingreso]],-tblMovimientos[[#This Row],[Egreso]])</f>
        <v>-3622.15</v>
      </c>
    </row>
    <row r="265" spans="2:16" x14ac:dyDescent="0.3">
      <c r="B265" s="41">
        <v>46177</v>
      </c>
      <c r="C265" s="4" t="s">
        <v>35</v>
      </c>
      <c r="D265" s="43" t="s">
        <v>126</v>
      </c>
      <c r="E265" s="4" t="s">
        <v>37</v>
      </c>
      <c r="F265" s="43" t="s">
        <v>10</v>
      </c>
      <c r="G265" s="43" t="s">
        <v>38</v>
      </c>
      <c r="H265" s="4" t="str">
        <f>IFERROR(_xlfn.XLOOKUP(G265,Listas!E:E,Listas!F:F,""),"")</f>
        <v>Operativo</v>
      </c>
      <c r="I265" s="48" t="str">
        <f>IFERROR(_xlfn.XLOOKUP(G265,Listas!E:E,Listas!G:G,""),"")</f>
        <v>Externo</v>
      </c>
      <c r="J265" s="45">
        <v>4000</v>
      </c>
      <c r="K265" s="5">
        <v>-4000</v>
      </c>
      <c r="L265" s="15" t="s">
        <v>128</v>
      </c>
      <c r="M265" s="46">
        <v>2422.7400000000016</v>
      </c>
      <c r="N265" s="27" t="str">
        <f>IF(tblMovimientos[[#This Row],[Tipo de Movimiento]]="Ingreso",tblMovimientos[[#This Row],[Monto (S/)]],"0")</f>
        <v>0</v>
      </c>
      <c r="O265" s="27">
        <f>IF(tblMovimientos[[#This Row],[Tipo de Movimiento]]="Egreso",tblMovimientos[[#This Row],[Monto (S/)]],"0")</f>
        <v>4000</v>
      </c>
      <c r="P265" s="29">
        <f>IF(tblMovimientos[[#This Row],[Tipo de Movimiento]]="Ingreso",tblMovimientos[[#This Row],[Ingreso]],-tblMovimientos[[#This Row],[Egreso]])</f>
        <v>-4000</v>
      </c>
    </row>
    <row r="266" spans="2:16" x14ac:dyDescent="0.3">
      <c r="B266" s="41">
        <v>46177</v>
      </c>
      <c r="C266" s="4" t="s">
        <v>35</v>
      </c>
      <c r="D266" s="43" t="s">
        <v>126</v>
      </c>
      <c r="E266" s="4" t="str">
        <f>_xlfn.XLOOKUP(tblMovimientos[[#This Row],[Cuenta Bancaria]],Listas!$B:$B,Listas!$C:$C,"")</f>
        <v xml:space="preserve">Amerant Bank </v>
      </c>
      <c r="F266" s="43" t="s">
        <v>9</v>
      </c>
      <c r="G266" s="43" t="s">
        <v>85</v>
      </c>
      <c r="H266" s="4" t="str">
        <f>IFERROR(_xlfn.XLOOKUP(G266,Listas!E:E,Listas!F:F,""),"")</f>
        <v>Operativo</v>
      </c>
      <c r="I266" s="48" t="str">
        <f>IFERROR(_xlfn.XLOOKUP(G266,Listas!E:E,Listas!G:G,""),"")</f>
        <v>Interno</v>
      </c>
      <c r="J266" s="45">
        <v>9000</v>
      </c>
      <c r="K266" s="5">
        <v>9000</v>
      </c>
      <c r="L266" s="15" t="s">
        <v>128</v>
      </c>
      <c r="M266" s="46">
        <v>2422.7400000000016</v>
      </c>
      <c r="N266" s="27">
        <f>IF(tblMovimientos[[#This Row],[Tipo de Movimiento]]="Ingreso",tblMovimientos[[#This Row],[Monto (S/)]],"0")</f>
        <v>9000</v>
      </c>
      <c r="O266" s="27" t="str">
        <f>IF(tblMovimientos[[#This Row],[Tipo de Movimiento]]="Egreso",tblMovimientos[[#This Row],[Monto (S/)]],"0")</f>
        <v>0</v>
      </c>
      <c r="P266" s="29">
        <f>IF(tblMovimientos[[#This Row],[Tipo de Movimiento]]="Ingreso",tblMovimientos[[#This Row],[Ingreso]],-tblMovimientos[[#This Row],[Egreso]])</f>
        <v>9000</v>
      </c>
    </row>
    <row r="267" spans="2:16" x14ac:dyDescent="0.3">
      <c r="B267" s="41">
        <v>46178</v>
      </c>
      <c r="C267" s="4" t="s">
        <v>21</v>
      </c>
      <c r="D267" s="43" t="s">
        <v>101</v>
      </c>
      <c r="E267" s="4" t="s">
        <v>36</v>
      </c>
      <c r="F267" s="43" t="s">
        <v>10</v>
      </c>
      <c r="G267" s="43" t="s">
        <v>38</v>
      </c>
      <c r="H267" s="4" t="str">
        <f>IFERROR(_xlfn.XLOOKUP(G267,Listas!E:E,Listas!F:F,""),"")</f>
        <v>Operativo</v>
      </c>
      <c r="I267" s="48" t="str">
        <f>IFERROR(_xlfn.XLOOKUP(G267,Listas!E:E,Listas!G:G,""),"")</f>
        <v>Externo</v>
      </c>
      <c r="J267" s="45">
        <v>6.35</v>
      </c>
      <c r="K267" s="5">
        <v>-6.35</v>
      </c>
      <c r="L267" s="15" t="s">
        <v>128</v>
      </c>
      <c r="M267" s="46">
        <v>17636.53</v>
      </c>
      <c r="N267" s="27" t="str">
        <f>IF(tblMovimientos[[#This Row],[Tipo de Movimiento]]="Ingreso",tblMovimientos[[#This Row],[Monto (S/)]],"0")</f>
        <v>0</v>
      </c>
      <c r="O267" s="27">
        <f>IF(tblMovimientos[[#This Row],[Tipo de Movimiento]]="Egreso",tblMovimientos[[#This Row],[Monto (S/)]],"0")</f>
        <v>6.35</v>
      </c>
      <c r="P267" s="29">
        <f>IF(tblMovimientos[[#This Row],[Tipo de Movimiento]]="Ingreso",tblMovimientos[[#This Row],[Ingreso]],-tblMovimientos[[#This Row],[Egreso]])</f>
        <v>-6.35</v>
      </c>
    </row>
    <row r="268" spans="2:16" x14ac:dyDescent="0.3">
      <c r="B268" s="41">
        <v>46178</v>
      </c>
      <c r="C268" s="4" t="s">
        <v>21</v>
      </c>
      <c r="D268" s="43" t="s">
        <v>101</v>
      </c>
      <c r="E268" s="4" t="s">
        <v>36</v>
      </c>
      <c r="F268" s="43" t="s">
        <v>10</v>
      </c>
      <c r="G268" s="43" t="s">
        <v>41</v>
      </c>
      <c r="H268" s="4" t="str">
        <f>IFERROR(_xlfn.XLOOKUP(G268,Listas!E:E,Listas!F:F,""),"")</f>
        <v>Operativo</v>
      </c>
      <c r="I268" s="48" t="str">
        <f>IFERROR(_xlfn.XLOOKUP(G268,Listas!E:E,Listas!G:G,""),"")</f>
        <v>Externo</v>
      </c>
      <c r="J268" s="45">
        <v>7679.78</v>
      </c>
      <c r="K268" s="5">
        <v>-7679.78</v>
      </c>
      <c r="L268" s="15" t="s">
        <v>128</v>
      </c>
      <c r="M268" s="46">
        <v>17636.53</v>
      </c>
      <c r="N268" s="27" t="str">
        <f>IF(tblMovimientos[[#This Row],[Tipo de Movimiento]]="Ingreso",tblMovimientos[[#This Row],[Monto (S/)]],"0")</f>
        <v>0</v>
      </c>
      <c r="O268" s="27">
        <f>IF(tblMovimientos[[#This Row],[Tipo de Movimiento]]="Egreso",tblMovimientos[[#This Row],[Monto (S/)]],"0")</f>
        <v>7679.78</v>
      </c>
      <c r="P268" s="29">
        <f>IF(tblMovimientos[[#This Row],[Tipo de Movimiento]]="Ingreso",tblMovimientos[[#This Row],[Ingreso]],-tblMovimientos[[#This Row],[Egreso]])</f>
        <v>-7679.78</v>
      </c>
    </row>
    <row r="269" spans="2:16" x14ac:dyDescent="0.3">
      <c r="B269" s="41">
        <v>46181</v>
      </c>
      <c r="C269" s="4" t="s">
        <v>35</v>
      </c>
      <c r="D269" s="43" t="s">
        <v>126</v>
      </c>
      <c r="E269" s="4" t="s">
        <v>37</v>
      </c>
      <c r="F269" s="43" t="s">
        <v>10</v>
      </c>
      <c r="G269" s="43" t="s">
        <v>38</v>
      </c>
      <c r="H269" s="4" t="str">
        <f>IFERROR(_xlfn.XLOOKUP(G269,Listas!E:E,Listas!F:F,""),"")</f>
        <v>Operativo</v>
      </c>
      <c r="I269" s="48" t="str">
        <f>IFERROR(_xlfn.XLOOKUP(G269,Listas!E:E,Listas!G:G,""),"")</f>
        <v>Externo</v>
      </c>
      <c r="J269" s="45">
        <v>0.01</v>
      </c>
      <c r="K269" s="5">
        <v>-0.01</v>
      </c>
      <c r="L269" s="15" t="s">
        <v>128</v>
      </c>
      <c r="M269" s="46">
        <v>1451.1500000000015</v>
      </c>
      <c r="N269" s="27" t="str">
        <f>IF(tblMovimientos[[#This Row],[Tipo de Movimiento]]="Ingreso",tblMovimientos[[#This Row],[Monto (S/)]],"0")</f>
        <v>0</v>
      </c>
      <c r="O269" s="27">
        <f>IF(tblMovimientos[[#This Row],[Tipo de Movimiento]]="Egreso",tblMovimientos[[#This Row],[Monto (S/)]],"0")</f>
        <v>0.01</v>
      </c>
      <c r="P269" s="29">
        <f>IF(tblMovimientos[[#This Row],[Tipo de Movimiento]]="Ingreso",tblMovimientos[[#This Row],[Ingreso]],-tblMovimientos[[#This Row],[Egreso]])</f>
        <v>-0.01</v>
      </c>
    </row>
    <row r="270" spans="2:16" x14ac:dyDescent="0.3">
      <c r="B270" s="41">
        <v>46181</v>
      </c>
      <c r="C270" s="4" t="s">
        <v>35</v>
      </c>
      <c r="D270" s="43" t="s">
        <v>126</v>
      </c>
      <c r="E270" s="4" t="s">
        <v>37</v>
      </c>
      <c r="F270" s="43" t="s">
        <v>10</v>
      </c>
      <c r="G270" s="43" t="s">
        <v>38</v>
      </c>
      <c r="H270" s="4" t="str">
        <f>IFERROR(_xlfn.XLOOKUP(G270,Listas!E:E,Listas!F:F,""),"")</f>
        <v>Operativo</v>
      </c>
      <c r="I270" s="48" t="str">
        <f>IFERROR(_xlfn.XLOOKUP(G270,Listas!E:E,Listas!G:G,""),"")</f>
        <v>Externo</v>
      </c>
      <c r="J270" s="45">
        <v>232.06</v>
      </c>
      <c r="K270" s="5">
        <v>-232.06</v>
      </c>
      <c r="L270" s="15" t="s">
        <v>128</v>
      </c>
      <c r="M270" s="46">
        <v>1451.1500000000015</v>
      </c>
      <c r="N270" s="27" t="str">
        <f>IF(tblMovimientos[[#This Row],[Tipo de Movimiento]]="Ingreso",tblMovimientos[[#This Row],[Monto (S/)]],"0")</f>
        <v>0</v>
      </c>
      <c r="O270" s="27">
        <f>IF(tblMovimientos[[#This Row],[Tipo de Movimiento]]="Egreso",tblMovimientos[[#This Row],[Monto (S/)]],"0")</f>
        <v>232.06</v>
      </c>
      <c r="P270" s="29">
        <f>IF(tblMovimientos[[#This Row],[Tipo de Movimiento]]="Ingreso",tblMovimientos[[#This Row],[Ingreso]],-tblMovimientos[[#This Row],[Egreso]])</f>
        <v>-232.06</v>
      </c>
    </row>
    <row r="271" spans="2:16" x14ac:dyDescent="0.3">
      <c r="B271" s="41">
        <v>46181</v>
      </c>
      <c r="C271" s="4" t="s">
        <v>35</v>
      </c>
      <c r="D271" s="43" t="s">
        <v>126</v>
      </c>
      <c r="E271" s="4" t="s">
        <v>37</v>
      </c>
      <c r="F271" s="43" t="s">
        <v>10</v>
      </c>
      <c r="G271" s="43" t="s">
        <v>38</v>
      </c>
      <c r="H271" s="4" t="str">
        <f>IFERROR(_xlfn.XLOOKUP(G271,Listas!E:E,Listas!F:F,""),"")</f>
        <v>Operativo</v>
      </c>
      <c r="I271" s="48" t="str">
        <f>IFERROR(_xlfn.XLOOKUP(G271,Listas!E:E,Listas!G:G,""),"")</f>
        <v>Externo</v>
      </c>
      <c r="J271" s="45">
        <v>739.52</v>
      </c>
      <c r="K271" s="5">
        <v>-739.52</v>
      </c>
      <c r="L271" s="15" t="s">
        <v>128</v>
      </c>
      <c r="M271" s="46">
        <v>1451.1500000000015</v>
      </c>
      <c r="N271" s="27" t="str">
        <f>IF(tblMovimientos[[#This Row],[Tipo de Movimiento]]="Ingreso",tblMovimientos[[#This Row],[Monto (S/)]],"0")</f>
        <v>0</v>
      </c>
      <c r="O271" s="27">
        <f>IF(tblMovimientos[[#This Row],[Tipo de Movimiento]]="Egreso",tblMovimientos[[#This Row],[Monto (S/)]],"0")</f>
        <v>739.52</v>
      </c>
      <c r="P271" s="29">
        <f>IF(tblMovimientos[[#This Row],[Tipo de Movimiento]]="Ingreso",tblMovimientos[[#This Row],[Ingreso]],-tblMovimientos[[#This Row],[Egreso]])</f>
        <v>-739.52</v>
      </c>
    </row>
    <row r="272" spans="2:16" x14ac:dyDescent="0.3">
      <c r="B272" s="41">
        <v>46182</v>
      </c>
      <c r="C272" s="4" t="s">
        <v>35</v>
      </c>
      <c r="D272" s="43" t="s">
        <v>126</v>
      </c>
      <c r="E272" s="4" t="s">
        <v>37</v>
      </c>
      <c r="F272" s="43" t="s">
        <v>10</v>
      </c>
      <c r="G272" s="43" t="s">
        <v>38</v>
      </c>
      <c r="H272" s="4" t="str">
        <f>IFERROR(_xlfn.XLOOKUP(G272,Listas!E:E,Listas!F:F,""),"")</f>
        <v>Operativo</v>
      </c>
      <c r="I272" s="48" t="str">
        <f>IFERROR(_xlfn.XLOOKUP(G272,Listas!E:E,Listas!G:G,""),"")</f>
        <v>Externo</v>
      </c>
      <c r="J272" s="45">
        <v>46.76</v>
      </c>
      <c r="K272" s="5">
        <v>-46.76</v>
      </c>
      <c r="L272" s="15" t="s">
        <v>128</v>
      </c>
      <c r="M272" s="46">
        <v>1289.7300000000014</v>
      </c>
      <c r="N272" s="27" t="str">
        <f>IF(tblMovimientos[[#This Row],[Tipo de Movimiento]]="Ingreso",tblMovimientos[[#This Row],[Monto (S/)]],"0")</f>
        <v>0</v>
      </c>
      <c r="O272" s="27">
        <f>IF(tblMovimientos[[#This Row],[Tipo de Movimiento]]="Egreso",tblMovimientos[[#This Row],[Monto (S/)]],"0")</f>
        <v>46.76</v>
      </c>
      <c r="P272" s="29">
        <f>IF(tblMovimientos[[#This Row],[Tipo de Movimiento]]="Ingreso",tblMovimientos[[#This Row],[Ingreso]],-tblMovimientos[[#This Row],[Egreso]])</f>
        <v>-46.76</v>
      </c>
    </row>
    <row r="273" spans="2:16" x14ac:dyDescent="0.3">
      <c r="B273" s="41">
        <v>46182</v>
      </c>
      <c r="C273" s="4" t="s">
        <v>35</v>
      </c>
      <c r="D273" s="43" t="s">
        <v>126</v>
      </c>
      <c r="E273" s="4" t="s">
        <v>37</v>
      </c>
      <c r="F273" s="43" t="s">
        <v>10</v>
      </c>
      <c r="G273" s="43" t="s">
        <v>38</v>
      </c>
      <c r="H273" s="4" t="str">
        <f>IFERROR(_xlfn.XLOOKUP(G273,Listas!E:E,Listas!F:F,""),"")</f>
        <v>Operativo</v>
      </c>
      <c r="I273" s="48" t="str">
        <f>IFERROR(_xlfn.XLOOKUP(G273,Listas!E:E,Listas!G:G,""),"")</f>
        <v>Externo</v>
      </c>
      <c r="J273" s="45">
        <v>114.66</v>
      </c>
      <c r="K273" s="5">
        <v>-114.66</v>
      </c>
      <c r="L273" s="15" t="s">
        <v>128</v>
      </c>
      <c r="M273" s="46">
        <v>1289.7300000000014</v>
      </c>
      <c r="N273" s="27" t="str">
        <f>IF(tblMovimientos[[#This Row],[Tipo de Movimiento]]="Ingreso",tblMovimientos[[#This Row],[Monto (S/)]],"0")</f>
        <v>0</v>
      </c>
      <c r="O273" s="27">
        <f>IF(tblMovimientos[[#This Row],[Tipo de Movimiento]]="Egreso",tblMovimientos[[#This Row],[Monto (S/)]],"0")</f>
        <v>114.66</v>
      </c>
      <c r="P273" s="29">
        <f>IF(tblMovimientos[[#This Row],[Tipo de Movimiento]]="Ingreso",tblMovimientos[[#This Row],[Ingreso]],-tblMovimientos[[#This Row],[Egreso]])</f>
        <v>-114.66</v>
      </c>
    </row>
    <row r="274" spans="2:16" x14ac:dyDescent="0.3">
      <c r="B274" s="41">
        <v>46182</v>
      </c>
      <c r="C274" s="4" t="s">
        <v>21</v>
      </c>
      <c r="D274" s="43" t="s">
        <v>104</v>
      </c>
      <c r="E274" s="4" t="s">
        <v>37</v>
      </c>
      <c r="F274" s="43" t="s">
        <v>10</v>
      </c>
      <c r="G274" s="43" t="s">
        <v>44</v>
      </c>
      <c r="H274" s="4" t="str">
        <f>IFERROR(_xlfn.XLOOKUP(G274,Listas!E:E,Listas!F:F,""),"")</f>
        <v>Operativo</v>
      </c>
      <c r="I274" s="48" t="str">
        <f>IFERROR(_xlfn.XLOOKUP(G274,Listas!E:E,Listas!G:G,""),"")</f>
        <v>Externo</v>
      </c>
      <c r="J274" s="45">
        <v>2462.62</v>
      </c>
      <c r="K274" s="5">
        <v>-2462.62</v>
      </c>
      <c r="L274" s="15" t="s">
        <v>128</v>
      </c>
      <c r="M274" s="46">
        <v>383792.01999999932</v>
      </c>
      <c r="N274" s="27" t="str">
        <f>IF(tblMovimientos[[#This Row],[Tipo de Movimiento]]="Ingreso",tblMovimientos[[#This Row],[Monto (S/)]],"0")</f>
        <v>0</v>
      </c>
      <c r="O274" s="27">
        <f>IF(tblMovimientos[[#This Row],[Tipo de Movimiento]]="Egreso",tblMovimientos[[#This Row],[Monto (S/)]],"0")</f>
        <v>2462.62</v>
      </c>
      <c r="P274" s="29">
        <f>IF(tblMovimientos[[#This Row],[Tipo de Movimiento]]="Ingreso",tblMovimientos[[#This Row],[Ingreso]],-tblMovimientos[[#This Row],[Egreso]])</f>
        <v>-2462.62</v>
      </c>
    </row>
    <row r="275" spans="2:16" x14ac:dyDescent="0.3">
      <c r="B275" s="41">
        <v>46182</v>
      </c>
      <c r="C275" s="4" t="s">
        <v>21</v>
      </c>
      <c r="D275" s="43" t="s">
        <v>101</v>
      </c>
      <c r="E275" s="4" t="s">
        <v>36</v>
      </c>
      <c r="F275" s="43" t="s">
        <v>10</v>
      </c>
      <c r="G275" s="43" t="s">
        <v>38</v>
      </c>
      <c r="H275" s="4" t="str">
        <f>IFERROR(_xlfn.XLOOKUP(G275,Listas!E:E,Listas!F:F,""),"")</f>
        <v>Operativo</v>
      </c>
      <c r="I275" s="48" t="str">
        <f>IFERROR(_xlfn.XLOOKUP(G275,Listas!E:E,Listas!G:G,""),"")</f>
        <v>Externo</v>
      </c>
      <c r="J275" s="45">
        <v>1291.6500000000001</v>
      </c>
      <c r="K275" s="5">
        <v>-1291.6500000000001</v>
      </c>
      <c r="L275" s="15" t="s">
        <v>128</v>
      </c>
      <c r="M275" s="46">
        <v>16344.88</v>
      </c>
      <c r="N275" s="27" t="str">
        <f>IF(tblMovimientos[[#This Row],[Tipo de Movimiento]]="Ingreso",tblMovimientos[[#This Row],[Monto (S/)]],"0")</f>
        <v>0</v>
      </c>
      <c r="O275" s="27">
        <f>IF(tblMovimientos[[#This Row],[Tipo de Movimiento]]="Egreso",tblMovimientos[[#This Row],[Monto (S/)]],"0")</f>
        <v>1291.6500000000001</v>
      </c>
      <c r="P275" s="29">
        <f>IF(tblMovimientos[[#This Row],[Tipo de Movimiento]]="Ingreso",tblMovimientos[[#This Row],[Ingreso]],-tblMovimientos[[#This Row],[Egreso]])</f>
        <v>-1291.6500000000001</v>
      </c>
    </row>
    <row r="276" spans="2:16" x14ac:dyDescent="0.3">
      <c r="B276" s="41">
        <v>46182</v>
      </c>
      <c r="C276" s="4" t="s">
        <v>17</v>
      </c>
      <c r="D276" s="43" t="s">
        <v>94</v>
      </c>
      <c r="E276" s="4" t="s">
        <v>36</v>
      </c>
      <c r="F276" s="43" t="s">
        <v>9</v>
      </c>
      <c r="G276" s="43" t="s">
        <v>72</v>
      </c>
      <c r="H276" s="4" t="str">
        <f>IFERROR(_xlfn.XLOOKUP(G276,Listas!E:E,Listas!F:F,""),"")</f>
        <v>Operativo</v>
      </c>
      <c r="I276" s="48" t="str">
        <f>IFERROR(_xlfn.XLOOKUP(G276,Listas!E:E,Listas!G:G,""),"")</f>
        <v>Externo</v>
      </c>
      <c r="J276" s="45">
        <v>113987.15</v>
      </c>
      <c r="K276" s="5">
        <v>113987.15</v>
      </c>
      <c r="L276" s="15" t="s">
        <v>128</v>
      </c>
      <c r="M276" s="46">
        <v>122476.72999999998</v>
      </c>
      <c r="N276" s="27">
        <f>IF(tblMovimientos[[#This Row],[Tipo de Movimiento]]="Ingreso",tblMovimientos[[#This Row],[Monto (S/)]],"0")</f>
        <v>113987.15</v>
      </c>
      <c r="O276" s="27" t="str">
        <f>IF(tblMovimientos[[#This Row],[Tipo de Movimiento]]="Egreso",tblMovimientos[[#This Row],[Monto (S/)]],"0")</f>
        <v>0</v>
      </c>
      <c r="P276" s="29">
        <f>IF(tblMovimientos[[#This Row],[Tipo de Movimiento]]="Ingreso",tblMovimientos[[#This Row],[Ingreso]],-tblMovimientos[[#This Row],[Egreso]])</f>
        <v>113987.15</v>
      </c>
    </row>
    <row r="277" spans="2:16" x14ac:dyDescent="0.3">
      <c r="B277" s="41">
        <v>46183</v>
      </c>
      <c r="C277" s="4" t="s">
        <v>17</v>
      </c>
      <c r="D277" s="43" t="s">
        <v>95</v>
      </c>
      <c r="E277" s="4" t="s">
        <v>37</v>
      </c>
      <c r="F277" s="43" t="s">
        <v>9</v>
      </c>
      <c r="G277" s="43" t="s">
        <v>76</v>
      </c>
      <c r="H277" s="4" t="str">
        <f>IFERROR(_xlfn.XLOOKUP(G277,Listas!E:E,Listas!F:F,""),"")</f>
        <v>Financiamiento</v>
      </c>
      <c r="I277" s="48" t="str">
        <f>IFERROR(_xlfn.XLOOKUP(G277,Listas!E:E,Listas!G:G,""),"")</f>
        <v>Externo</v>
      </c>
      <c r="J277" s="45">
        <v>255000</v>
      </c>
      <c r="K277" s="5">
        <v>255000</v>
      </c>
      <c r="L277" s="15" t="s">
        <v>128</v>
      </c>
      <c r="M277" s="46">
        <v>1974648.53</v>
      </c>
      <c r="N277" s="27">
        <f>IF(tblMovimientos[[#This Row],[Tipo de Movimiento]]="Ingreso",tblMovimientos[[#This Row],[Monto (S/)]],"0")</f>
        <v>255000</v>
      </c>
      <c r="O277" s="27" t="str">
        <f>IF(tblMovimientos[[#This Row],[Tipo de Movimiento]]="Egreso",tblMovimientos[[#This Row],[Monto (S/)]],"0")</f>
        <v>0</v>
      </c>
      <c r="P277" s="29">
        <f>IF(tblMovimientos[[#This Row],[Tipo de Movimiento]]="Ingreso",tblMovimientos[[#This Row],[Ingreso]],-tblMovimientos[[#This Row],[Egreso]])</f>
        <v>255000</v>
      </c>
    </row>
    <row r="278" spans="2:16" x14ac:dyDescent="0.3">
      <c r="B278" s="41">
        <v>46183</v>
      </c>
      <c r="C278" s="4" t="s">
        <v>17</v>
      </c>
      <c r="D278" s="43" t="s">
        <v>95</v>
      </c>
      <c r="E278" s="4" t="s">
        <v>37</v>
      </c>
      <c r="F278" s="43" t="s">
        <v>9</v>
      </c>
      <c r="G278" s="43" t="s">
        <v>76</v>
      </c>
      <c r="H278" s="4" t="str">
        <f>IFERROR(_xlfn.XLOOKUP(G278,Listas!E:E,Listas!F:F,""),"")</f>
        <v>Financiamiento</v>
      </c>
      <c r="I278" s="48" t="str">
        <f>IFERROR(_xlfn.XLOOKUP(G278,Listas!E:E,Listas!G:G,""),"")</f>
        <v>Externo</v>
      </c>
      <c r="J278" s="45">
        <v>1000000</v>
      </c>
      <c r="K278" s="5">
        <v>1000000</v>
      </c>
      <c r="L278" s="15" t="s">
        <v>128</v>
      </c>
      <c r="M278" s="46">
        <v>1974648.53</v>
      </c>
      <c r="N278" s="27">
        <f>IF(tblMovimientos[[#This Row],[Tipo de Movimiento]]="Ingreso",tblMovimientos[[#This Row],[Monto (S/)]],"0")</f>
        <v>1000000</v>
      </c>
      <c r="O278" s="27" t="str">
        <f>IF(tblMovimientos[[#This Row],[Tipo de Movimiento]]="Egreso",tblMovimientos[[#This Row],[Monto (S/)]],"0")</f>
        <v>0</v>
      </c>
      <c r="P278" s="29">
        <f>IF(tblMovimientos[[#This Row],[Tipo de Movimiento]]="Ingreso",tblMovimientos[[#This Row],[Ingreso]],-tblMovimientos[[#This Row],[Egreso]])</f>
        <v>1000000</v>
      </c>
    </row>
    <row r="279" spans="2:16" x14ac:dyDescent="0.3">
      <c r="B279" s="41">
        <v>46183</v>
      </c>
      <c r="C279" s="4" t="s">
        <v>20</v>
      </c>
      <c r="D279" s="43" t="s">
        <v>100</v>
      </c>
      <c r="E279" s="4" t="s">
        <v>36</v>
      </c>
      <c r="F279" s="43" t="s">
        <v>9</v>
      </c>
      <c r="G279" s="43" t="s">
        <v>72</v>
      </c>
      <c r="H279" s="4" t="str">
        <f>IFERROR(_xlfn.XLOOKUP(G279,Listas!E:E,Listas!F:F,""),"")</f>
        <v>Operativo</v>
      </c>
      <c r="I279" s="48" t="str">
        <f>IFERROR(_xlfn.XLOOKUP(G279,Listas!E:E,Listas!G:G,""),"")</f>
        <v>Externo</v>
      </c>
      <c r="J279" s="45">
        <v>14761.57</v>
      </c>
      <c r="K279" s="5">
        <v>14761.57</v>
      </c>
      <c r="L279" s="15" t="s">
        <v>128</v>
      </c>
      <c r="M279" s="46">
        <v>744306.80999999982</v>
      </c>
      <c r="N279" s="27">
        <f>IF(tblMovimientos[[#This Row],[Tipo de Movimiento]]="Ingreso",tblMovimientos[[#This Row],[Monto (S/)]],"0")</f>
        <v>14761.57</v>
      </c>
      <c r="O279" s="27" t="str">
        <f>IF(tblMovimientos[[#This Row],[Tipo de Movimiento]]="Egreso",tblMovimientos[[#This Row],[Monto (S/)]],"0")</f>
        <v>0</v>
      </c>
      <c r="P279" s="29">
        <f>IF(tblMovimientos[[#This Row],[Tipo de Movimiento]]="Ingreso",tblMovimientos[[#This Row],[Ingreso]],-tblMovimientos[[#This Row],[Egreso]])</f>
        <v>14761.57</v>
      </c>
    </row>
    <row r="280" spans="2:16" x14ac:dyDescent="0.3">
      <c r="B280" s="41">
        <v>46183</v>
      </c>
      <c r="C280" s="4" t="s">
        <v>17</v>
      </c>
      <c r="D280" s="43" t="s">
        <v>94</v>
      </c>
      <c r="E280" s="4" t="s">
        <v>36</v>
      </c>
      <c r="F280" s="43" t="s">
        <v>9</v>
      </c>
      <c r="G280" s="43" t="s">
        <v>72</v>
      </c>
      <c r="H280" s="4" t="str">
        <f>IFERROR(_xlfn.XLOOKUP(G280,Listas!E:E,Listas!F:F,""),"")</f>
        <v>Operativo</v>
      </c>
      <c r="I280" s="48" t="str">
        <f>IFERROR(_xlfn.XLOOKUP(G280,Listas!E:E,Listas!G:G,""),"")</f>
        <v>Externo</v>
      </c>
      <c r="J280" s="45">
        <v>99279.52</v>
      </c>
      <c r="K280" s="5">
        <v>99279.52</v>
      </c>
      <c r="L280" s="15" t="s">
        <v>128</v>
      </c>
      <c r="M280" s="46">
        <v>308841.39</v>
      </c>
      <c r="N280" s="27">
        <f>IF(tblMovimientos[[#This Row],[Tipo de Movimiento]]="Ingreso",tblMovimientos[[#This Row],[Monto (S/)]],"0")</f>
        <v>99279.52</v>
      </c>
      <c r="O280" s="27" t="str">
        <f>IF(tblMovimientos[[#This Row],[Tipo de Movimiento]]="Egreso",tblMovimientos[[#This Row],[Monto (S/)]],"0")</f>
        <v>0</v>
      </c>
      <c r="P280" s="29">
        <f>IF(tblMovimientos[[#This Row],[Tipo de Movimiento]]="Ingreso",tblMovimientos[[#This Row],[Ingreso]],-tblMovimientos[[#This Row],[Egreso]])</f>
        <v>99279.52</v>
      </c>
    </row>
    <row r="281" spans="2:16" x14ac:dyDescent="0.3">
      <c r="B281" s="41">
        <v>46183</v>
      </c>
      <c r="C281" s="4" t="s">
        <v>17</v>
      </c>
      <c r="D281" s="43" t="s">
        <v>94</v>
      </c>
      <c r="E281" s="4" t="s">
        <v>36</v>
      </c>
      <c r="F281" s="43" t="s">
        <v>9</v>
      </c>
      <c r="G281" s="43" t="s">
        <v>72</v>
      </c>
      <c r="H281" s="4" t="str">
        <f>IFERROR(_xlfn.XLOOKUP(G281,Listas!E:E,Listas!F:F,""),"")</f>
        <v>Operativo</v>
      </c>
      <c r="I281" s="48" t="str">
        <f>IFERROR(_xlfn.XLOOKUP(G281,Listas!E:E,Listas!G:G,""),"")</f>
        <v>Externo</v>
      </c>
      <c r="J281" s="45">
        <v>87085.14</v>
      </c>
      <c r="K281" s="5">
        <v>87085.14</v>
      </c>
      <c r="L281" s="15" t="s">
        <v>128</v>
      </c>
      <c r="M281" s="46">
        <v>308841.39</v>
      </c>
      <c r="N281" s="27">
        <f>IF(tblMovimientos[[#This Row],[Tipo de Movimiento]]="Ingreso",tblMovimientos[[#This Row],[Monto (S/)]],"0")</f>
        <v>87085.14</v>
      </c>
      <c r="O281" s="27" t="str">
        <f>IF(tblMovimientos[[#This Row],[Tipo de Movimiento]]="Egreso",tblMovimientos[[#This Row],[Monto (S/)]],"0")</f>
        <v>0</v>
      </c>
      <c r="P281" s="29">
        <f>IF(tblMovimientos[[#This Row],[Tipo de Movimiento]]="Ingreso",tblMovimientos[[#This Row],[Ingreso]],-tblMovimientos[[#This Row],[Egreso]])</f>
        <v>87085.14</v>
      </c>
    </row>
    <row r="282" spans="2:16" x14ac:dyDescent="0.3">
      <c r="B282" s="41">
        <v>46183</v>
      </c>
      <c r="C282" s="4" t="s">
        <v>33</v>
      </c>
      <c r="D282" s="43" t="s">
        <v>124</v>
      </c>
      <c r="E282" s="4" t="s">
        <v>36</v>
      </c>
      <c r="F282" s="43" t="s">
        <v>10</v>
      </c>
      <c r="G282" s="43" t="s">
        <v>38</v>
      </c>
      <c r="H282" s="4" t="str">
        <f>IFERROR(_xlfn.XLOOKUP(G282,Listas!E:E,Listas!F:F,""),"")</f>
        <v>Operativo</v>
      </c>
      <c r="I282" s="48" t="str">
        <f>IFERROR(_xlfn.XLOOKUP(G282,Listas!E:E,Listas!G:G,""),"")</f>
        <v>Externo</v>
      </c>
      <c r="J282" s="45">
        <v>89.25</v>
      </c>
      <c r="K282" s="5">
        <v>-89.25</v>
      </c>
      <c r="L282" s="15" t="s">
        <v>128</v>
      </c>
      <c r="M282" s="46">
        <v>24743.98</v>
      </c>
      <c r="N282" s="27" t="str">
        <f>IF(tblMovimientos[[#This Row],[Tipo de Movimiento]]="Ingreso",tblMovimientos[[#This Row],[Monto (S/)]],"0")</f>
        <v>0</v>
      </c>
      <c r="O282" s="27">
        <f>IF(tblMovimientos[[#This Row],[Tipo de Movimiento]]="Egreso",tblMovimientos[[#This Row],[Monto (S/)]],"0")</f>
        <v>89.25</v>
      </c>
      <c r="P282" s="29">
        <f>IF(tblMovimientos[[#This Row],[Tipo de Movimiento]]="Ingreso",tblMovimientos[[#This Row],[Ingreso]],-tblMovimientos[[#This Row],[Egreso]])</f>
        <v>-89.25</v>
      </c>
    </row>
    <row r="283" spans="2:16" x14ac:dyDescent="0.3">
      <c r="B283" s="41">
        <v>46184</v>
      </c>
      <c r="C283" s="4" t="str">
        <f>_xlfn.XLOOKUP(tblMovimientos[[#This Row],[Cuenta Bancaria]],Listas!$B:$B,Listas!$A:$A,"")</f>
        <v>Go Blue</v>
      </c>
      <c r="D283" s="43" t="s">
        <v>126</v>
      </c>
      <c r="E283" s="4" t="str">
        <f>_xlfn.XLOOKUP(tblMovimientos[[#This Row],[Cuenta Bancaria]],Listas!$B:$B,Listas!$C:$C,"")</f>
        <v xml:space="preserve">Amerant Bank </v>
      </c>
      <c r="F283" s="43" t="s">
        <v>10</v>
      </c>
      <c r="G283" s="43" t="s">
        <v>44</v>
      </c>
      <c r="H283" s="4" t="str">
        <f>IFERROR(_xlfn.XLOOKUP(G283,Listas!E:E,Listas!F:F,""),"")</f>
        <v>Operativo</v>
      </c>
      <c r="I283" s="48" t="str">
        <f>IFERROR(_xlfn.XLOOKUP(G283,Listas!E:E,Listas!G:G,""),"")</f>
        <v>Externo</v>
      </c>
      <c r="J283" s="45">
        <v>15</v>
      </c>
      <c r="K283" s="5">
        <f>IF(F283="Ingreso",J283,-J283)</f>
        <v>-15</v>
      </c>
      <c r="L283" s="15" t="s">
        <v>128</v>
      </c>
      <c r="M283" s="46">
        <f>SUMIFS('Saldos Iniciales'!$D$2:$D$38,'Saldos Iniciales'!$A$2:$A$38,C283,'Saldos Iniciales'!$B$2:$B$38,D283)+SUMIFS($K$1:$K$432,$C$1:$C$432,C283,$D$1:$D$432,D283,$B$1:$B$432,"&lt;="&amp;B283)</f>
        <v>48774.73</v>
      </c>
      <c r="N283" s="27" t="str">
        <f>IF(tblMovimientos[[#This Row],[Tipo de Movimiento]]="Ingreso",tblMovimientos[[#This Row],[Monto (S/)]],"0")</f>
        <v>0</v>
      </c>
      <c r="O283" s="27">
        <f>IF(tblMovimientos[[#This Row],[Tipo de Movimiento]]="Egreso",tblMovimientos[[#This Row],[Monto (S/)]],"0")</f>
        <v>15</v>
      </c>
      <c r="P283" s="29">
        <f>IF(tblMovimientos[[#This Row],[Tipo de Movimiento]]="Ingreso",tblMovimientos[[#This Row],[Ingreso]],-tblMovimientos[[#This Row],[Egreso]])</f>
        <v>-15</v>
      </c>
    </row>
    <row r="284" spans="2:16" x14ac:dyDescent="0.3">
      <c r="B284" s="41">
        <v>46184</v>
      </c>
      <c r="C284" s="4" t="s">
        <v>20</v>
      </c>
      <c r="D284" s="43" t="s">
        <v>100</v>
      </c>
      <c r="E284" s="4" t="s">
        <v>36</v>
      </c>
      <c r="F284" s="43" t="s">
        <v>10</v>
      </c>
      <c r="G284" s="43" t="s">
        <v>61</v>
      </c>
      <c r="H284" s="4" t="str">
        <f>IFERROR(_xlfn.XLOOKUP(G284,Listas!E:E,Listas!F:F,""),"")</f>
        <v>Operativo</v>
      </c>
      <c r="I284" s="48" t="str">
        <f>IFERROR(_xlfn.XLOOKUP(G284,Listas!E:E,Listas!G:G,""),"")</f>
        <v>Externo</v>
      </c>
      <c r="J284" s="45">
        <v>60000</v>
      </c>
      <c r="K284" s="5">
        <v>-60000</v>
      </c>
      <c r="L284" s="15" t="s">
        <v>128</v>
      </c>
      <c r="M284" s="46">
        <v>564626.20999999985</v>
      </c>
      <c r="N284" s="27" t="str">
        <f>IF(tblMovimientos[[#This Row],[Tipo de Movimiento]]="Ingreso",tblMovimientos[[#This Row],[Monto (S/)]],"0")</f>
        <v>0</v>
      </c>
      <c r="O284" s="27">
        <f>IF(tblMovimientos[[#This Row],[Tipo de Movimiento]]="Egreso",tblMovimientos[[#This Row],[Monto (S/)]],"0")</f>
        <v>60000</v>
      </c>
      <c r="P284" s="29">
        <f>IF(tblMovimientos[[#This Row],[Tipo de Movimiento]]="Ingreso",tblMovimientos[[#This Row],[Ingreso]],-tblMovimientos[[#This Row],[Egreso]])</f>
        <v>-60000</v>
      </c>
    </row>
    <row r="285" spans="2:16" x14ac:dyDescent="0.3">
      <c r="B285" s="41">
        <v>46184</v>
      </c>
      <c r="C285" s="4" t="s">
        <v>20</v>
      </c>
      <c r="D285" s="43" t="s">
        <v>100</v>
      </c>
      <c r="E285" s="4" t="s">
        <v>36</v>
      </c>
      <c r="F285" s="43" t="s">
        <v>10</v>
      </c>
      <c r="G285" s="43" t="s">
        <v>51</v>
      </c>
      <c r="H285" s="4" t="str">
        <f>IFERROR(_xlfn.XLOOKUP(G285,Listas!E:E,Listas!F:F,""),"")</f>
        <v>Financiamiento</v>
      </c>
      <c r="I285" s="48" t="str">
        <f>IFERROR(_xlfn.XLOOKUP(G285,Listas!E:E,Listas!G:G,""),"")</f>
        <v>Externo</v>
      </c>
      <c r="J285" s="45">
        <v>119680.6</v>
      </c>
      <c r="K285" s="5">
        <v>-119680.6</v>
      </c>
      <c r="L285" s="15" t="s">
        <v>128</v>
      </c>
      <c r="M285" s="46">
        <v>564626.20999999985</v>
      </c>
      <c r="N285" s="27" t="str">
        <f>IF(tblMovimientos[[#This Row],[Tipo de Movimiento]]="Ingreso",tblMovimientos[[#This Row],[Monto (S/)]],"0")</f>
        <v>0</v>
      </c>
      <c r="O285" s="27">
        <f>IF(tblMovimientos[[#This Row],[Tipo de Movimiento]]="Egreso",tblMovimientos[[#This Row],[Monto (S/)]],"0")</f>
        <v>119680.6</v>
      </c>
      <c r="P285" s="29">
        <f>IF(tblMovimientos[[#This Row],[Tipo de Movimiento]]="Ingreso",tblMovimientos[[#This Row],[Ingreso]],-tblMovimientos[[#This Row],[Egreso]])</f>
        <v>-119680.6</v>
      </c>
    </row>
    <row r="286" spans="2:16" x14ac:dyDescent="0.3">
      <c r="B286" s="41">
        <v>46184</v>
      </c>
      <c r="C286" s="4" t="s">
        <v>17</v>
      </c>
      <c r="D286" s="43" t="s">
        <v>95</v>
      </c>
      <c r="E286" s="4" t="s">
        <v>37</v>
      </c>
      <c r="F286" s="43" t="s">
        <v>10</v>
      </c>
      <c r="G286" s="43" t="s">
        <v>46</v>
      </c>
      <c r="H286" s="4" t="str">
        <f>IFERROR(_xlfn.XLOOKUP(G286,Listas!E:E,Listas!F:F,""),"")</f>
        <v>Financiamiento</v>
      </c>
      <c r="I286" s="48" t="str">
        <f>IFERROR(_xlfn.XLOOKUP(G286,Listas!E:E,Listas!G:G,""),"")</f>
        <v>Externo</v>
      </c>
      <c r="J286" s="45">
        <v>2916.67</v>
      </c>
      <c r="K286" s="5">
        <v>-2916.67</v>
      </c>
      <c r="L286" s="15" t="s">
        <v>128</v>
      </c>
      <c r="M286" s="46">
        <v>1523687.4200000002</v>
      </c>
      <c r="N286" s="27" t="str">
        <f>IF(tblMovimientos[[#This Row],[Tipo de Movimiento]]="Ingreso",tblMovimientos[[#This Row],[Monto (S/)]],"0")</f>
        <v>0</v>
      </c>
      <c r="O286" s="27">
        <f>IF(tblMovimientos[[#This Row],[Tipo de Movimiento]]="Egreso",tblMovimientos[[#This Row],[Monto (S/)]],"0")</f>
        <v>2916.67</v>
      </c>
      <c r="P286" s="29">
        <f>IF(tblMovimientos[[#This Row],[Tipo de Movimiento]]="Ingreso",tblMovimientos[[#This Row],[Ingreso]],-tblMovimientos[[#This Row],[Egreso]])</f>
        <v>-2916.67</v>
      </c>
    </row>
    <row r="287" spans="2:16" x14ac:dyDescent="0.3">
      <c r="B287" s="41">
        <v>46184</v>
      </c>
      <c r="C287" s="4" t="s">
        <v>17</v>
      </c>
      <c r="D287" s="43" t="s">
        <v>95</v>
      </c>
      <c r="E287" s="4" t="s">
        <v>37</v>
      </c>
      <c r="F287" s="43" t="s">
        <v>10</v>
      </c>
      <c r="G287" s="43" t="s">
        <v>46</v>
      </c>
      <c r="H287" s="4" t="str">
        <f>IFERROR(_xlfn.XLOOKUP(G287,Listas!E:E,Listas!F:F,""),"")</f>
        <v>Financiamiento</v>
      </c>
      <c r="I287" s="48" t="str">
        <f>IFERROR(_xlfn.XLOOKUP(G287,Listas!E:E,Listas!G:G,""),"")</f>
        <v>Externo</v>
      </c>
      <c r="J287" s="45">
        <v>5166.67</v>
      </c>
      <c r="K287" s="5">
        <v>-5166.67</v>
      </c>
      <c r="L287" s="15" t="s">
        <v>128</v>
      </c>
      <c r="M287" s="46">
        <v>1523687.4200000002</v>
      </c>
      <c r="N287" s="27" t="str">
        <f>IF(tblMovimientos[[#This Row],[Tipo de Movimiento]]="Ingreso",tblMovimientos[[#This Row],[Monto (S/)]],"0")</f>
        <v>0</v>
      </c>
      <c r="O287" s="27">
        <f>IF(tblMovimientos[[#This Row],[Tipo de Movimiento]]="Egreso",tblMovimientos[[#This Row],[Monto (S/)]],"0")</f>
        <v>5166.67</v>
      </c>
      <c r="P287" s="29">
        <f>IF(tblMovimientos[[#This Row],[Tipo de Movimiento]]="Ingreso",tblMovimientos[[#This Row],[Ingreso]],-tblMovimientos[[#This Row],[Egreso]])</f>
        <v>-5166.67</v>
      </c>
    </row>
    <row r="288" spans="2:16" x14ac:dyDescent="0.3">
      <c r="B288" s="41">
        <v>46184</v>
      </c>
      <c r="C288" s="4" t="s">
        <v>17</v>
      </c>
      <c r="D288" s="43" t="s">
        <v>95</v>
      </c>
      <c r="E288" s="4" t="s">
        <v>37</v>
      </c>
      <c r="F288" s="43" t="s">
        <v>10</v>
      </c>
      <c r="G288" s="43" t="s">
        <v>46</v>
      </c>
      <c r="H288" s="4" t="str">
        <f>IFERROR(_xlfn.XLOOKUP(G288,Listas!E:E,Listas!F:F,""),"")</f>
        <v>Financiamiento</v>
      </c>
      <c r="I288" s="48" t="str">
        <f>IFERROR(_xlfn.XLOOKUP(G288,Listas!E:E,Listas!G:G,""),"")</f>
        <v>Externo</v>
      </c>
      <c r="J288" s="45">
        <v>27083.33</v>
      </c>
      <c r="K288" s="5">
        <v>-27083.33</v>
      </c>
      <c r="L288" s="15" t="s">
        <v>128</v>
      </c>
      <c r="M288" s="46">
        <v>1523687.4200000002</v>
      </c>
      <c r="N288" s="27" t="str">
        <f>IF(tblMovimientos[[#This Row],[Tipo de Movimiento]]="Ingreso",tblMovimientos[[#This Row],[Monto (S/)]],"0")</f>
        <v>0</v>
      </c>
      <c r="O288" s="27">
        <f>IF(tblMovimientos[[#This Row],[Tipo de Movimiento]]="Egreso",tblMovimientos[[#This Row],[Monto (S/)]],"0")</f>
        <v>27083.33</v>
      </c>
      <c r="P288" s="29">
        <f>IF(tblMovimientos[[#This Row],[Tipo de Movimiento]]="Ingreso",tblMovimientos[[#This Row],[Ingreso]],-tblMovimientos[[#This Row],[Egreso]])</f>
        <v>-27083.33</v>
      </c>
    </row>
    <row r="289" spans="1:16" x14ac:dyDescent="0.3">
      <c r="B289" s="41">
        <v>46184</v>
      </c>
      <c r="C289" s="4" t="s">
        <v>17</v>
      </c>
      <c r="D289" s="43" t="s">
        <v>95</v>
      </c>
      <c r="E289" s="4" t="s">
        <v>37</v>
      </c>
      <c r="F289" s="43" t="s">
        <v>10</v>
      </c>
      <c r="G289" s="43" t="s">
        <v>61</v>
      </c>
      <c r="H289" s="4" t="str">
        <f>IFERROR(_xlfn.XLOOKUP(G289,Listas!E:E,Listas!F:F,""),"")</f>
        <v>Operativo</v>
      </c>
      <c r="I289" s="48" t="str">
        <f>IFERROR(_xlfn.XLOOKUP(G289,Listas!E:E,Listas!G:G,""),"")</f>
        <v>Externo</v>
      </c>
      <c r="J289" s="45">
        <v>40000</v>
      </c>
      <c r="K289" s="5">
        <v>-40000</v>
      </c>
      <c r="L289" s="15" t="s">
        <v>128</v>
      </c>
      <c r="M289" s="46">
        <v>1523687.4200000002</v>
      </c>
      <c r="N289" s="27" t="str">
        <f>IF(tblMovimientos[[#This Row],[Tipo de Movimiento]]="Ingreso",tblMovimientos[[#This Row],[Monto (S/)]],"0")</f>
        <v>0</v>
      </c>
      <c r="O289" s="27">
        <f>IF(tblMovimientos[[#This Row],[Tipo de Movimiento]]="Egreso",tblMovimientos[[#This Row],[Monto (S/)]],"0")</f>
        <v>40000</v>
      </c>
      <c r="P289" s="29">
        <f>IF(tblMovimientos[[#This Row],[Tipo de Movimiento]]="Ingreso",tblMovimientos[[#This Row],[Ingreso]],-tblMovimientos[[#This Row],[Egreso]])</f>
        <v>-40000</v>
      </c>
    </row>
    <row r="290" spans="1:16" x14ac:dyDescent="0.3">
      <c r="B290" s="41">
        <v>46184</v>
      </c>
      <c r="C290" s="4" t="s">
        <v>17</v>
      </c>
      <c r="D290" s="43" t="s">
        <v>95</v>
      </c>
      <c r="E290" s="4" t="s">
        <v>37</v>
      </c>
      <c r="F290" s="43" t="s">
        <v>10</v>
      </c>
      <c r="G290" s="43" t="s">
        <v>46</v>
      </c>
      <c r="H290" s="4" t="str">
        <f>IFERROR(_xlfn.XLOOKUP(G290,Listas!E:E,Listas!F:F,""),"")</f>
        <v>Financiamiento</v>
      </c>
      <c r="I290" s="48" t="str">
        <f>IFERROR(_xlfn.XLOOKUP(G290,Listas!E:E,Listas!G:G,""),"")</f>
        <v>Externo</v>
      </c>
      <c r="J290" s="45">
        <v>57866.67</v>
      </c>
      <c r="K290" s="5">
        <v>-57866.67</v>
      </c>
      <c r="L290" s="15" t="s">
        <v>128</v>
      </c>
      <c r="M290" s="46">
        <v>1523687.4200000002</v>
      </c>
      <c r="N290" s="27" t="str">
        <f>IF(tblMovimientos[[#This Row],[Tipo de Movimiento]]="Ingreso",tblMovimientos[[#This Row],[Monto (S/)]],"0")</f>
        <v>0</v>
      </c>
      <c r="O290" s="27">
        <f>IF(tblMovimientos[[#This Row],[Tipo de Movimiento]]="Egreso",tblMovimientos[[#This Row],[Monto (S/)]],"0")</f>
        <v>57866.67</v>
      </c>
      <c r="P290" s="29">
        <f>IF(tblMovimientos[[#This Row],[Tipo de Movimiento]]="Ingreso",tblMovimientos[[#This Row],[Ingreso]],-tblMovimientos[[#This Row],[Egreso]])</f>
        <v>-57866.67</v>
      </c>
    </row>
    <row r="291" spans="1:16" x14ac:dyDescent="0.3">
      <c r="B291" s="41">
        <v>46184</v>
      </c>
      <c r="C291" s="4" t="s">
        <v>17</v>
      </c>
      <c r="D291" s="43" t="s">
        <v>95</v>
      </c>
      <c r="E291" s="4" t="s">
        <v>37</v>
      </c>
      <c r="F291" s="43" t="s">
        <v>10</v>
      </c>
      <c r="G291" s="43" t="s">
        <v>61</v>
      </c>
      <c r="H291" s="4" t="str">
        <f>IFERROR(_xlfn.XLOOKUP(G291,Listas!E:E,Listas!F:F,""),"")</f>
        <v>Operativo</v>
      </c>
      <c r="I291" s="48" t="str">
        <f>IFERROR(_xlfn.XLOOKUP(G291,Listas!E:E,Listas!G:G,""),"")</f>
        <v>Externo</v>
      </c>
      <c r="J291" s="45">
        <v>60000</v>
      </c>
      <c r="K291" s="5">
        <v>-60000</v>
      </c>
      <c r="L291" s="15" t="s">
        <v>128</v>
      </c>
      <c r="M291" s="46">
        <v>1523687.4200000002</v>
      </c>
      <c r="N291" s="27" t="str">
        <f>IF(tblMovimientos[[#This Row],[Tipo de Movimiento]]="Ingreso",tblMovimientos[[#This Row],[Monto (S/)]],"0")</f>
        <v>0</v>
      </c>
      <c r="O291" s="27">
        <f>IF(tblMovimientos[[#This Row],[Tipo de Movimiento]]="Egreso",tblMovimientos[[#This Row],[Monto (S/)]],"0")</f>
        <v>60000</v>
      </c>
      <c r="P291" s="29">
        <f>IF(tblMovimientos[[#This Row],[Tipo de Movimiento]]="Ingreso",tblMovimientos[[#This Row],[Ingreso]],-tblMovimientos[[#This Row],[Egreso]])</f>
        <v>-60000</v>
      </c>
    </row>
    <row r="292" spans="1:16" x14ac:dyDescent="0.3">
      <c r="B292" s="41">
        <v>46184</v>
      </c>
      <c r="C292" s="4" t="s">
        <v>17</v>
      </c>
      <c r="D292" s="43" t="s">
        <v>95</v>
      </c>
      <c r="E292" s="4" t="s">
        <v>37</v>
      </c>
      <c r="F292" s="43" t="s">
        <v>10</v>
      </c>
      <c r="G292" s="43" t="s">
        <v>46</v>
      </c>
      <c r="H292" s="4" t="str">
        <f>IFERROR(_xlfn.XLOOKUP(G292,Listas!E:E,Listas!F:F,""),"")</f>
        <v>Financiamiento</v>
      </c>
      <c r="I292" s="48" t="str">
        <f>IFERROR(_xlfn.XLOOKUP(G292,Listas!E:E,Listas!G:G,""),"")</f>
        <v>Externo</v>
      </c>
      <c r="J292" s="45">
        <v>72333.33</v>
      </c>
      <c r="K292" s="5">
        <v>-72333.33</v>
      </c>
      <c r="L292" s="15" t="s">
        <v>128</v>
      </c>
      <c r="M292" s="46">
        <v>1523687.4200000002</v>
      </c>
      <c r="N292" s="27" t="str">
        <f>IF(tblMovimientos[[#This Row],[Tipo de Movimiento]]="Ingreso",tblMovimientos[[#This Row],[Monto (S/)]],"0")</f>
        <v>0</v>
      </c>
      <c r="O292" s="27">
        <f>IF(tblMovimientos[[#This Row],[Tipo de Movimiento]]="Egreso",tblMovimientos[[#This Row],[Monto (S/)]],"0")</f>
        <v>72333.33</v>
      </c>
      <c r="P292" s="29">
        <f>IF(tblMovimientos[[#This Row],[Tipo de Movimiento]]="Ingreso",tblMovimientos[[#This Row],[Ingreso]],-tblMovimientos[[#This Row],[Egreso]])</f>
        <v>-72333.33</v>
      </c>
    </row>
    <row r="293" spans="1:16" x14ac:dyDescent="0.3">
      <c r="B293" s="41">
        <v>46184</v>
      </c>
      <c r="C293" s="4" t="s">
        <v>17</v>
      </c>
      <c r="D293" s="43" t="s">
        <v>95</v>
      </c>
      <c r="E293" s="4" t="s">
        <v>37</v>
      </c>
      <c r="F293" s="43" t="s">
        <v>10</v>
      </c>
      <c r="G293" s="43" t="s">
        <v>46</v>
      </c>
      <c r="H293" s="4" t="str">
        <f>IFERROR(_xlfn.XLOOKUP(G293,Listas!E:E,Listas!F:F,""),"")</f>
        <v>Financiamiento</v>
      </c>
      <c r="I293" s="48" t="str">
        <f>IFERROR(_xlfn.XLOOKUP(G293,Listas!E:E,Listas!G:G,""),"")</f>
        <v>Externo</v>
      </c>
      <c r="J293" s="45">
        <v>85594.44</v>
      </c>
      <c r="K293" s="5">
        <v>-85594.44</v>
      </c>
      <c r="L293" s="15" t="s">
        <v>128</v>
      </c>
      <c r="M293" s="46">
        <v>1523687.4200000002</v>
      </c>
      <c r="N293" s="27" t="str">
        <f>IF(tblMovimientos[[#This Row],[Tipo de Movimiento]]="Ingreso",tblMovimientos[[#This Row],[Monto (S/)]],"0")</f>
        <v>0</v>
      </c>
      <c r="O293" s="27">
        <f>IF(tblMovimientos[[#This Row],[Tipo de Movimiento]]="Egreso",tblMovimientos[[#This Row],[Monto (S/)]],"0")</f>
        <v>85594.44</v>
      </c>
      <c r="P293" s="29">
        <f>IF(tblMovimientos[[#This Row],[Tipo de Movimiento]]="Ingreso",tblMovimientos[[#This Row],[Ingreso]],-tblMovimientos[[#This Row],[Egreso]])</f>
        <v>-85594.44</v>
      </c>
    </row>
    <row r="294" spans="1:16" x14ac:dyDescent="0.3">
      <c r="B294" s="41">
        <v>46184</v>
      </c>
      <c r="C294" s="4" t="s">
        <v>17</v>
      </c>
      <c r="D294" s="43" t="s">
        <v>95</v>
      </c>
      <c r="E294" s="4" t="s">
        <v>37</v>
      </c>
      <c r="F294" s="43" t="s">
        <v>10</v>
      </c>
      <c r="G294" s="43" t="s">
        <v>61</v>
      </c>
      <c r="H294" s="4" t="str">
        <f>IFERROR(_xlfn.XLOOKUP(G294,Listas!E:E,Listas!F:F,""),"")</f>
        <v>Operativo</v>
      </c>
      <c r="I294" s="48" t="str">
        <f>IFERROR(_xlfn.XLOOKUP(G294,Listas!E:E,Listas!G:G,""),"")</f>
        <v>Externo</v>
      </c>
      <c r="J294" s="45">
        <v>100000</v>
      </c>
      <c r="K294" s="5">
        <v>-100000</v>
      </c>
      <c r="L294" s="15" t="s">
        <v>128</v>
      </c>
      <c r="M294" s="46">
        <v>1523687.4200000002</v>
      </c>
      <c r="N294" s="27" t="str">
        <f>IF(tblMovimientos[[#This Row],[Tipo de Movimiento]]="Ingreso",tblMovimientos[[#This Row],[Monto (S/)]],"0")</f>
        <v>0</v>
      </c>
      <c r="O294" s="27">
        <f>IF(tblMovimientos[[#This Row],[Tipo de Movimiento]]="Egreso",tblMovimientos[[#This Row],[Monto (S/)]],"0")</f>
        <v>100000</v>
      </c>
      <c r="P294" s="29">
        <f>IF(tblMovimientos[[#This Row],[Tipo de Movimiento]]="Ingreso",tblMovimientos[[#This Row],[Ingreso]],-tblMovimientos[[#This Row],[Egreso]])</f>
        <v>-100000</v>
      </c>
    </row>
    <row r="295" spans="1:16" x14ac:dyDescent="0.3">
      <c r="B295" s="41">
        <v>46184</v>
      </c>
      <c r="C295" s="4" t="s">
        <v>22</v>
      </c>
      <c r="D295" s="43" t="s">
        <v>111</v>
      </c>
      <c r="E295" s="4" t="s">
        <v>37</v>
      </c>
      <c r="F295" s="43" t="s">
        <v>9</v>
      </c>
      <c r="G295" s="43" t="s">
        <v>75</v>
      </c>
      <c r="H295" s="4" t="str">
        <f>IFERROR(_xlfn.XLOOKUP(G295,Listas!E:E,Listas!F:F,""),"")</f>
        <v>Financiamiento</v>
      </c>
      <c r="I295" s="48" t="str">
        <f>IFERROR(_xlfn.XLOOKUP(G295,Listas!E:E,Listas!G:G,""),"")</f>
        <v>Interno</v>
      </c>
      <c r="J295" s="45">
        <v>50000</v>
      </c>
      <c r="K295" s="5">
        <v>50000</v>
      </c>
      <c r="L295" s="15" t="s">
        <v>128</v>
      </c>
      <c r="M295" s="46">
        <v>1717.6000000000058</v>
      </c>
      <c r="N295" s="27">
        <f>IF(tblMovimientos[[#This Row],[Tipo de Movimiento]]="Ingreso",tblMovimientos[[#This Row],[Monto (S/)]],"0")</f>
        <v>50000</v>
      </c>
      <c r="O295" s="27" t="str">
        <f>IF(tblMovimientos[[#This Row],[Tipo de Movimiento]]="Egreso",tblMovimientos[[#This Row],[Monto (S/)]],"0")</f>
        <v>0</v>
      </c>
      <c r="P295" s="29">
        <f>IF(tblMovimientos[[#This Row],[Tipo de Movimiento]]="Ingreso",tblMovimientos[[#This Row],[Ingreso]],-tblMovimientos[[#This Row],[Egreso]])</f>
        <v>50000</v>
      </c>
    </row>
    <row r="296" spans="1:16" x14ac:dyDescent="0.3">
      <c r="B296" s="41">
        <v>46184</v>
      </c>
      <c r="C296" s="4" t="s">
        <v>22</v>
      </c>
      <c r="D296" s="43" t="s">
        <v>111</v>
      </c>
      <c r="E296" s="4" t="s">
        <v>37</v>
      </c>
      <c r="F296" s="43" t="s">
        <v>10</v>
      </c>
      <c r="G296" s="43" t="s">
        <v>64</v>
      </c>
      <c r="H296" s="4" t="str">
        <f>IFERROR(_xlfn.XLOOKUP(G296,Listas!E:E,Listas!F:F,""),"")</f>
        <v>Operativo</v>
      </c>
      <c r="I296" s="48" t="str">
        <f>IFERROR(_xlfn.XLOOKUP(G296,Listas!E:E,Listas!G:G,""),"")</f>
        <v>Interno</v>
      </c>
      <c r="J296" s="45">
        <v>50000</v>
      </c>
      <c r="K296" s="5">
        <v>-50000</v>
      </c>
      <c r="L296" s="15" t="s">
        <v>128</v>
      </c>
      <c r="M296" s="46">
        <v>1717.6000000000058</v>
      </c>
      <c r="N296" s="27" t="str">
        <f>IF(tblMovimientos[[#This Row],[Tipo de Movimiento]]="Ingreso",tblMovimientos[[#This Row],[Monto (S/)]],"0")</f>
        <v>0</v>
      </c>
      <c r="O296" s="27">
        <f>IF(tblMovimientos[[#This Row],[Tipo de Movimiento]]="Egreso",tblMovimientos[[#This Row],[Monto (S/)]],"0")</f>
        <v>50000</v>
      </c>
      <c r="P296" s="29">
        <f>IF(tblMovimientos[[#This Row],[Tipo de Movimiento]]="Ingreso",tblMovimientos[[#This Row],[Ingreso]],-tblMovimientos[[#This Row],[Egreso]])</f>
        <v>-50000</v>
      </c>
    </row>
    <row r="297" spans="1:16" x14ac:dyDescent="0.3">
      <c r="B297" s="41">
        <v>46184</v>
      </c>
      <c r="C297" s="4" t="s">
        <v>21</v>
      </c>
      <c r="D297" s="43" t="s">
        <v>104</v>
      </c>
      <c r="E297" s="4" t="s">
        <v>37</v>
      </c>
      <c r="F297" s="43" t="s">
        <v>10</v>
      </c>
      <c r="G297" s="43" t="s">
        <v>38</v>
      </c>
      <c r="H297" s="4" t="str">
        <f>IFERROR(_xlfn.XLOOKUP(G297,Listas!E:E,Listas!F:F,""),"")</f>
        <v>Operativo</v>
      </c>
      <c r="I297" s="48" t="str">
        <f>IFERROR(_xlfn.XLOOKUP(G297,Listas!E:E,Listas!G:G,""),"")</f>
        <v>Externo</v>
      </c>
      <c r="J297" s="45">
        <v>295</v>
      </c>
      <c r="K297" s="5">
        <v>-295</v>
      </c>
      <c r="L297" s="15" t="s">
        <v>128</v>
      </c>
      <c r="M297" s="46">
        <v>18249.799999999348</v>
      </c>
      <c r="N297" s="27" t="str">
        <f>IF(tblMovimientos[[#This Row],[Tipo de Movimiento]]="Ingreso",tblMovimientos[[#This Row],[Monto (S/)]],"0")</f>
        <v>0</v>
      </c>
      <c r="O297" s="27">
        <f>IF(tblMovimientos[[#This Row],[Tipo de Movimiento]]="Egreso",tblMovimientos[[#This Row],[Monto (S/)]],"0")</f>
        <v>295</v>
      </c>
      <c r="P297" s="29">
        <f>IF(tblMovimientos[[#This Row],[Tipo de Movimiento]]="Ingreso",tblMovimientos[[#This Row],[Ingreso]],-tblMovimientos[[#This Row],[Egreso]])</f>
        <v>-295</v>
      </c>
    </row>
    <row r="298" spans="1:16" x14ac:dyDescent="0.3">
      <c r="B298" s="41">
        <v>46184</v>
      </c>
      <c r="C298" s="4" t="s">
        <v>21</v>
      </c>
      <c r="D298" s="43" t="s">
        <v>104</v>
      </c>
      <c r="E298" s="4" t="s">
        <v>37</v>
      </c>
      <c r="F298" s="43" t="s">
        <v>10</v>
      </c>
      <c r="G298" s="43" t="s">
        <v>46</v>
      </c>
      <c r="H298" s="4" t="str">
        <f>IFERROR(_xlfn.XLOOKUP(G298,Listas!E:E,Listas!F:F,""),"")</f>
        <v>Financiamiento</v>
      </c>
      <c r="I298" s="48" t="str">
        <f>IFERROR(_xlfn.XLOOKUP(G298,Listas!E:E,Listas!G:G,""),"")</f>
        <v>Externo</v>
      </c>
      <c r="J298" s="45">
        <v>7319.44</v>
      </c>
      <c r="K298" s="5">
        <v>-7319.44</v>
      </c>
      <c r="L298" s="15" t="s">
        <v>128</v>
      </c>
      <c r="M298" s="46">
        <v>18249.799999999348</v>
      </c>
      <c r="N298" s="27" t="str">
        <f>IF(tblMovimientos[[#This Row],[Tipo de Movimiento]]="Ingreso",tblMovimientos[[#This Row],[Monto (S/)]],"0")</f>
        <v>0</v>
      </c>
      <c r="O298" s="27">
        <f>IF(tblMovimientos[[#This Row],[Tipo de Movimiento]]="Egreso",tblMovimientos[[#This Row],[Monto (S/)]],"0")</f>
        <v>7319.44</v>
      </c>
      <c r="P298" s="29">
        <f>IF(tblMovimientos[[#This Row],[Tipo de Movimiento]]="Ingreso",tblMovimientos[[#This Row],[Ingreso]],-tblMovimientos[[#This Row],[Egreso]])</f>
        <v>-7319.44</v>
      </c>
    </row>
    <row r="299" spans="1:16" x14ac:dyDescent="0.3">
      <c r="B299" s="41">
        <v>46184</v>
      </c>
      <c r="C299" s="4" t="s">
        <v>21</v>
      </c>
      <c r="D299" s="43" t="s">
        <v>104</v>
      </c>
      <c r="E299" s="4" t="s">
        <v>37</v>
      </c>
      <c r="F299" s="43" t="s">
        <v>10</v>
      </c>
      <c r="G299" s="43" t="s">
        <v>48</v>
      </c>
      <c r="H299" s="4" t="str">
        <f>IFERROR(_xlfn.XLOOKUP(G299,Listas!E:E,Listas!F:F,""),"")</f>
        <v>Financiamiento</v>
      </c>
      <c r="I299" s="48" t="str">
        <f>IFERROR(_xlfn.XLOOKUP(G299,Listas!E:E,Listas!G:G,""),"")</f>
        <v>Externo</v>
      </c>
      <c r="J299" s="45">
        <v>55455.56</v>
      </c>
      <c r="K299" s="5">
        <v>-55455.56</v>
      </c>
      <c r="L299" s="15" t="s">
        <v>128</v>
      </c>
      <c r="M299" s="46">
        <v>18249.799999999348</v>
      </c>
      <c r="N299" s="27" t="str">
        <f>IF(tblMovimientos[[#This Row],[Tipo de Movimiento]]="Ingreso",tblMovimientos[[#This Row],[Monto (S/)]],"0")</f>
        <v>0</v>
      </c>
      <c r="O299" s="27">
        <f>IF(tblMovimientos[[#This Row],[Tipo de Movimiento]]="Egreso",tblMovimientos[[#This Row],[Monto (S/)]],"0")</f>
        <v>55455.56</v>
      </c>
      <c r="P299" s="29">
        <f>IF(tblMovimientos[[#This Row],[Tipo de Movimiento]]="Ingreso",tblMovimientos[[#This Row],[Ingreso]],-tblMovimientos[[#This Row],[Egreso]])</f>
        <v>-55455.56</v>
      </c>
    </row>
    <row r="300" spans="1:16" x14ac:dyDescent="0.3">
      <c r="B300" s="41">
        <v>46184</v>
      </c>
      <c r="C300" s="4" t="s">
        <v>21</v>
      </c>
      <c r="D300" s="43" t="s">
        <v>104</v>
      </c>
      <c r="E300" s="4" t="s">
        <v>37</v>
      </c>
      <c r="F300" s="43" t="s">
        <v>10</v>
      </c>
      <c r="G300" s="43" t="s">
        <v>48</v>
      </c>
      <c r="H300" s="4" t="str">
        <f>IFERROR(_xlfn.XLOOKUP(G300,Listas!E:E,Listas!F:F,""),"")</f>
        <v>Financiamiento</v>
      </c>
      <c r="I300" s="48" t="str">
        <f>IFERROR(_xlfn.XLOOKUP(G300,Listas!E:E,Listas!G:G,""),"")</f>
        <v>Externo</v>
      </c>
      <c r="J300" s="45">
        <v>102472.22</v>
      </c>
      <c r="K300" s="5">
        <v>-102472.22</v>
      </c>
      <c r="L300" s="15" t="s">
        <v>128</v>
      </c>
      <c r="M300" s="46">
        <v>18249.799999999348</v>
      </c>
      <c r="N300" s="27" t="str">
        <f>IF(tblMovimientos[[#This Row],[Tipo de Movimiento]]="Ingreso",tblMovimientos[[#This Row],[Monto (S/)]],"0")</f>
        <v>0</v>
      </c>
      <c r="O300" s="27">
        <f>IF(tblMovimientos[[#This Row],[Tipo de Movimiento]]="Egreso",tblMovimientos[[#This Row],[Monto (S/)]],"0")</f>
        <v>102472.22</v>
      </c>
      <c r="P300" s="29">
        <f>IF(tblMovimientos[[#This Row],[Tipo de Movimiento]]="Ingreso",tblMovimientos[[#This Row],[Ingreso]],-tblMovimientos[[#This Row],[Egreso]])</f>
        <v>-102472.22</v>
      </c>
    </row>
    <row r="301" spans="1:16" x14ac:dyDescent="0.3">
      <c r="B301" s="41">
        <v>46184</v>
      </c>
      <c r="C301" s="4" t="s">
        <v>21</v>
      </c>
      <c r="D301" s="43" t="s">
        <v>104</v>
      </c>
      <c r="E301" s="4" t="s">
        <v>37</v>
      </c>
      <c r="F301" s="43" t="s">
        <v>10</v>
      </c>
      <c r="G301" s="43" t="s">
        <v>64</v>
      </c>
      <c r="H301" s="4" t="str">
        <f>IFERROR(_xlfn.XLOOKUP(G301,Listas!E:E,Listas!F:F,""),"")</f>
        <v>Operativo</v>
      </c>
      <c r="I301" s="48" t="str">
        <f>IFERROR(_xlfn.XLOOKUP(G301,Listas!E:E,Listas!G:G,""),"")</f>
        <v>Interno</v>
      </c>
      <c r="J301" s="45">
        <v>50000</v>
      </c>
      <c r="K301" s="5">
        <v>-50000</v>
      </c>
      <c r="L301" s="15" t="s">
        <v>128</v>
      </c>
      <c r="M301" s="46">
        <v>18249.799999999348</v>
      </c>
      <c r="N301" s="27" t="str">
        <f>IF(tblMovimientos[[#This Row],[Tipo de Movimiento]]="Ingreso",tblMovimientos[[#This Row],[Monto (S/)]],"0")</f>
        <v>0</v>
      </c>
      <c r="O301" s="27">
        <f>IF(tblMovimientos[[#This Row],[Tipo de Movimiento]]="Egreso",tblMovimientos[[#This Row],[Monto (S/)]],"0")</f>
        <v>50000</v>
      </c>
      <c r="P301" s="29">
        <f>IF(tblMovimientos[[#This Row],[Tipo de Movimiento]]="Ingreso",tblMovimientos[[#This Row],[Ingreso]],-tblMovimientos[[#This Row],[Egreso]])</f>
        <v>-50000</v>
      </c>
    </row>
    <row r="302" spans="1:16" x14ac:dyDescent="0.3">
      <c r="B302" s="41">
        <v>46184</v>
      </c>
      <c r="C302" s="4" t="s">
        <v>21</v>
      </c>
      <c r="D302" s="43" t="s">
        <v>104</v>
      </c>
      <c r="E302" s="4" t="s">
        <v>37</v>
      </c>
      <c r="F302" s="43" t="s">
        <v>10</v>
      </c>
      <c r="G302" s="43" t="s">
        <v>64</v>
      </c>
      <c r="H302" s="4" t="str">
        <f>IFERROR(_xlfn.XLOOKUP(G302,Listas!E:E,Listas!F:F,""),"")</f>
        <v>Operativo</v>
      </c>
      <c r="I302" s="48" t="str">
        <f>IFERROR(_xlfn.XLOOKUP(G302,Listas!E:E,Listas!G:G,""),"")</f>
        <v>Interno</v>
      </c>
      <c r="J302" s="45">
        <v>50000</v>
      </c>
      <c r="K302" s="5">
        <v>-50000</v>
      </c>
      <c r="L302" s="15" t="s">
        <v>128</v>
      </c>
      <c r="M302" s="46">
        <v>18249.799999999348</v>
      </c>
      <c r="N302" s="27" t="str">
        <f>IF(tblMovimientos[[#This Row],[Tipo de Movimiento]]="Ingreso",tblMovimientos[[#This Row],[Monto (S/)]],"0")</f>
        <v>0</v>
      </c>
      <c r="O302" s="27">
        <f>IF(tblMovimientos[[#This Row],[Tipo de Movimiento]]="Egreso",tblMovimientos[[#This Row],[Monto (S/)]],"0")</f>
        <v>50000</v>
      </c>
      <c r="P302" s="29">
        <f>IF(tblMovimientos[[#This Row],[Tipo de Movimiento]]="Ingreso",tblMovimientos[[#This Row],[Ingreso]],-tblMovimientos[[#This Row],[Egreso]])</f>
        <v>-50000</v>
      </c>
    </row>
    <row r="303" spans="1:16" x14ac:dyDescent="0.3">
      <c r="A303" s="47"/>
      <c r="B303" s="41">
        <v>46184</v>
      </c>
      <c r="C303" s="48" t="s">
        <v>21</v>
      </c>
      <c r="D303" s="43" t="s">
        <v>104</v>
      </c>
      <c r="E303" s="48" t="s">
        <v>37</v>
      </c>
      <c r="F303" s="43" t="s">
        <v>10</v>
      </c>
      <c r="G303" s="43" t="s">
        <v>52</v>
      </c>
      <c r="H303" s="4" t="str">
        <f>IFERROR(_xlfn.XLOOKUP(G303,Listas!E:E,Listas!F:F,""),"")</f>
        <v>Inversion</v>
      </c>
      <c r="I303" s="48" t="str">
        <f>IFERROR(_xlfn.XLOOKUP(G303,Listas!E:E,Listas!G:G,""),"")</f>
        <v>Externo</v>
      </c>
      <c r="J303" s="45">
        <v>100000</v>
      </c>
      <c r="K303" s="49">
        <v>-100000</v>
      </c>
      <c r="L303" s="15" t="s">
        <v>128</v>
      </c>
      <c r="M303" s="46">
        <v>18249.799999999348</v>
      </c>
      <c r="N303" s="27" t="str">
        <f>IF(tblMovimientos[[#This Row],[Tipo de Movimiento]]="Ingreso",tblMovimientos[[#This Row],[Monto (S/)]],"0")</f>
        <v>0</v>
      </c>
      <c r="O303" s="27">
        <f>IF(tblMovimientos[[#This Row],[Tipo de Movimiento]]="Egreso",tblMovimientos[[#This Row],[Monto (S/)]],"0")</f>
        <v>100000</v>
      </c>
      <c r="P303" s="29">
        <f>IF(tblMovimientos[[#This Row],[Tipo de Movimiento]]="Ingreso",tblMovimientos[[#This Row],[Ingreso]],-tblMovimientos[[#This Row],[Egreso]])</f>
        <v>-100000</v>
      </c>
    </row>
    <row r="304" spans="1:16" x14ac:dyDescent="0.3">
      <c r="B304" s="41">
        <v>46184</v>
      </c>
      <c r="C304" s="4" t="s">
        <v>34</v>
      </c>
      <c r="D304" s="43" t="s">
        <v>125</v>
      </c>
      <c r="E304" s="48" t="s">
        <v>37</v>
      </c>
      <c r="F304" s="43" t="s">
        <v>9</v>
      </c>
      <c r="G304" s="43" t="s">
        <v>75</v>
      </c>
      <c r="H304" s="4" t="str">
        <f>IFERROR(_xlfn.XLOOKUP(G304,Listas!E:E,Listas!F:F,""),"")</f>
        <v>Financiamiento</v>
      </c>
      <c r="I304" s="48" t="str">
        <f>IFERROR(_xlfn.XLOOKUP(G304,Listas!E:E,Listas!G:G,""),"")</f>
        <v>Interno</v>
      </c>
      <c r="J304" s="45">
        <v>50000</v>
      </c>
      <c r="K304" s="49">
        <v>50000</v>
      </c>
      <c r="L304" s="15" t="s">
        <v>128</v>
      </c>
      <c r="M304" s="46">
        <v>345</v>
      </c>
      <c r="N304" s="27">
        <f>IF(tblMovimientos[[#This Row],[Tipo de Movimiento]]="Ingreso",tblMovimientos[[#This Row],[Monto (S/)]],"0")</f>
        <v>50000</v>
      </c>
      <c r="O304" s="27" t="str">
        <f>IF(tblMovimientos[[#This Row],[Tipo de Movimiento]]="Egreso",tblMovimientos[[#This Row],[Monto (S/)]],"0")</f>
        <v>0</v>
      </c>
      <c r="P304" s="29">
        <f>IF(tblMovimientos[[#This Row],[Tipo de Movimiento]]="Ingreso",tblMovimientos[[#This Row],[Ingreso]],-tblMovimientos[[#This Row],[Egreso]])</f>
        <v>50000</v>
      </c>
    </row>
    <row r="305" spans="2:16" x14ac:dyDescent="0.3">
      <c r="B305" s="41">
        <v>46184</v>
      </c>
      <c r="C305" s="4" t="s">
        <v>34</v>
      </c>
      <c r="D305" s="43" t="s">
        <v>125</v>
      </c>
      <c r="E305" s="48" t="s">
        <v>37</v>
      </c>
      <c r="F305" s="43" t="s">
        <v>10</v>
      </c>
      <c r="G305" s="43" t="s">
        <v>64</v>
      </c>
      <c r="H305" s="4" t="str">
        <f>IFERROR(_xlfn.XLOOKUP(G305,Listas!E:E,Listas!F:F,""),"")</f>
        <v>Operativo</v>
      </c>
      <c r="I305" s="48" t="str">
        <f>IFERROR(_xlfn.XLOOKUP(G305,Listas!E:E,Listas!G:G,""),"")</f>
        <v>Interno</v>
      </c>
      <c r="J305" s="45">
        <v>50000</v>
      </c>
      <c r="K305" s="49">
        <v>-50000</v>
      </c>
      <c r="L305" s="15" t="s">
        <v>128</v>
      </c>
      <c r="M305" s="46">
        <v>345</v>
      </c>
      <c r="N305" s="27" t="str">
        <f>IF(tblMovimientos[[#This Row],[Tipo de Movimiento]]="Ingreso",tblMovimientos[[#This Row],[Monto (S/)]],"0")</f>
        <v>0</v>
      </c>
      <c r="O305" s="27">
        <f>IF(tblMovimientos[[#This Row],[Tipo de Movimiento]]="Egreso",tblMovimientos[[#This Row],[Monto (S/)]],"0")</f>
        <v>50000</v>
      </c>
      <c r="P305" s="29">
        <f>IF(tblMovimientos[[#This Row],[Tipo de Movimiento]]="Ingreso",tblMovimientos[[#This Row],[Ingreso]],-tblMovimientos[[#This Row],[Egreso]])</f>
        <v>-50000</v>
      </c>
    </row>
    <row r="306" spans="2:16" x14ac:dyDescent="0.3">
      <c r="B306" s="41">
        <v>46184</v>
      </c>
      <c r="C306" s="4" t="str">
        <f>_xlfn.XLOOKUP(tblMovimientos[[#This Row],[Cuenta Bancaria]],Listas!$B:$B,Listas!$A:$A,"")</f>
        <v>Go Blue</v>
      </c>
      <c r="D306" s="43" t="s">
        <v>126</v>
      </c>
      <c r="E306" s="48" t="str">
        <f>_xlfn.XLOOKUP(tblMovimientos[[#This Row],[Cuenta Bancaria]],Listas!$B:$B,Listas!$C:$C,"")</f>
        <v xml:space="preserve">Amerant Bank </v>
      </c>
      <c r="F306" s="43" t="s">
        <v>10</v>
      </c>
      <c r="G306" s="43" t="s">
        <v>38</v>
      </c>
      <c r="H306" s="4" t="str">
        <f>IFERROR(_xlfn.XLOOKUP(G306,Listas!E:E,Listas!F:F,""),"")</f>
        <v>Operativo</v>
      </c>
      <c r="I306" s="48" t="str">
        <f>IFERROR(_xlfn.XLOOKUP(G306,Listas!E:E,Listas!G:G,""),"")</f>
        <v>Externo</v>
      </c>
      <c r="J306" s="45">
        <v>2500</v>
      </c>
      <c r="K306" s="49">
        <f t="shared" ref="K306:K337" si="0">IF(F306="Ingreso",J306,-J306)</f>
        <v>-2500</v>
      </c>
      <c r="L306" s="15" t="s">
        <v>128</v>
      </c>
      <c r="M306" s="46">
        <f>SUMIFS('Saldos Iniciales'!$D$2:$D$38,'Saldos Iniciales'!$A$2:$A$38,C306,'Saldos Iniciales'!$B$2:$B$38,D306)+SUMIFS($K$1:$K$432,$C$1:$C$432,C306,$D$1:$D$432,D306,$B$1:$B$432,"&lt;="&amp;B306)</f>
        <v>48774.73</v>
      </c>
      <c r="N306" s="27" t="str">
        <f>IF(tblMovimientos[[#This Row],[Tipo de Movimiento]]="Ingreso",tblMovimientos[[#This Row],[Monto (S/)]],"0")</f>
        <v>0</v>
      </c>
      <c r="O306" s="27">
        <f>IF(tblMovimientos[[#This Row],[Tipo de Movimiento]]="Egreso",tblMovimientos[[#This Row],[Monto (S/)]],"0")</f>
        <v>2500</v>
      </c>
      <c r="P306" s="29">
        <f>IF(tblMovimientos[[#This Row],[Tipo de Movimiento]]="Ingreso",tblMovimientos[[#This Row],[Ingreso]],-tblMovimientos[[#This Row],[Egreso]])</f>
        <v>-2500</v>
      </c>
    </row>
    <row r="307" spans="2:16" x14ac:dyDescent="0.3">
      <c r="B307" s="41">
        <v>46184</v>
      </c>
      <c r="C307" s="48" t="str">
        <f>_xlfn.XLOOKUP(tblMovimientos[[#This Row],[Cuenta Bancaria]],Listas!$B:$B,Listas!$A:$A,"")</f>
        <v>Go Blue</v>
      </c>
      <c r="D307" s="43" t="s">
        <v>126</v>
      </c>
      <c r="E307" s="48" t="str">
        <f>_xlfn.XLOOKUP(tblMovimientos[[#This Row],[Cuenta Bancaria]],Listas!$B:$B,Listas!$C:$C,"")</f>
        <v xml:space="preserve">Amerant Bank </v>
      </c>
      <c r="F307" s="43" t="s">
        <v>9</v>
      </c>
      <c r="G307" s="43" t="s">
        <v>75</v>
      </c>
      <c r="H307" s="4" t="str">
        <f>IFERROR(_xlfn.XLOOKUP(G307,Listas!E:E,Listas!F:F,""),"")</f>
        <v>Financiamiento</v>
      </c>
      <c r="I307" s="48" t="str">
        <f>IFERROR(_xlfn.XLOOKUP(G307,Listas!E:E,Listas!G:G,""),"")</f>
        <v>Interno</v>
      </c>
      <c r="J307" s="45">
        <v>50000</v>
      </c>
      <c r="K307" s="49">
        <f t="shared" si="0"/>
        <v>50000</v>
      </c>
      <c r="L307" s="15" t="s">
        <v>128</v>
      </c>
      <c r="M307" s="46">
        <f>SUMIFS('Saldos Iniciales'!$D$2:$D$38,'Saldos Iniciales'!$A$2:$A$38,C307,'Saldos Iniciales'!$B$2:$B$38,D307)+SUMIFS($K$1:$K$432,$C$1:$C$432,C307,$D$1:$D$432,D307,$B$1:$B$432,"&lt;="&amp;B307)</f>
        <v>48774.73</v>
      </c>
      <c r="N307" s="27">
        <f>IF(tblMovimientos[[#This Row],[Tipo de Movimiento]]="Ingreso",tblMovimientos[[#This Row],[Monto (S/)]],"0")</f>
        <v>50000</v>
      </c>
      <c r="O307" s="27" t="str">
        <f>IF(tblMovimientos[[#This Row],[Tipo de Movimiento]]="Egreso",tblMovimientos[[#This Row],[Monto (S/)]],"0")</f>
        <v>0</v>
      </c>
      <c r="P307" s="29">
        <f>IF(tblMovimientos[[#This Row],[Tipo de Movimiento]]="Ingreso",tblMovimientos[[#This Row],[Ingreso]],-tblMovimientos[[#This Row],[Egreso]])</f>
        <v>50000</v>
      </c>
    </row>
    <row r="308" spans="2:16" x14ac:dyDescent="0.3">
      <c r="B308" s="41">
        <v>46185</v>
      </c>
      <c r="C308" s="4" t="str">
        <f>_xlfn.XLOOKUP(tblMovimientos[[#This Row],[Cuenta Bancaria]],Listas!$B:$B,Listas!$A:$A,"")</f>
        <v>SSP Capital</v>
      </c>
      <c r="D308" s="43" t="s">
        <v>101</v>
      </c>
      <c r="E308" s="48" t="str">
        <f>_xlfn.XLOOKUP(tblMovimientos[[#This Row],[Cuenta Bancaria]],Listas!$B:$B,Listas!$C:$C,"")</f>
        <v>Bank of America</v>
      </c>
      <c r="F308" s="43" t="s">
        <v>10</v>
      </c>
      <c r="G308" s="43" t="s">
        <v>38</v>
      </c>
      <c r="H308" s="4" t="str">
        <f>IFERROR(_xlfn.XLOOKUP(G308,Listas!E:E,Listas!F:F,""),"")</f>
        <v>Operativo</v>
      </c>
      <c r="I308" s="48" t="str">
        <f>IFERROR(_xlfn.XLOOKUP(G308,Listas!E:E,Listas!G:G,""),"")</f>
        <v>Externo</v>
      </c>
      <c r="J308" s="45">
        <v>1383</v>
      </c>
      <c r="K308" s="49">
        <f t="shared" si="0"/>
        <v>-1383</v>
      </c>
      <c r="L308" s="15" t="s">
        <v>128</v>
      </c>
      <c r="M308" s="46">
        <f>SUMIFS('Saldos Iniciales'!$D$2:$D$38,'Saldos Iniciales'!$A$2:$A$38,C308,'Saldos Iniciales'!$B$2:$B$38,D308)+SUMIFS($K$1:$K$432,$C$1:$C$432,C308,$D$1:$D$432,D308,$B$1:$B$432,"&lt;="&amp;B308)</f>
        <v>14961.88</v>
      </c>
      <c r="N308" s="27" t="str">
        <f>IF(tblMovimientos[[#This Row],[Tipo de Movimiento]]="Ingreso",tblMovimientos[[#This Row],[Monto (S/)]],"0")</f>
        <v>0</v>
      </c>
      <c r="O308" s="27">
        <f>IF(tblMovimientos[[#This Row],[Tipo de Movimiento]]="Egreso",tblMovimientos[[#This Row],[Monto (S/)]],"0")</f>
        <v>1383</v>
      </c>
      <c r="P308" s="29">
        <f>IF(tblMovimientos[[#This Row],[Tipo de Movimiento]]="Ingreso",tblMovimientos[[#This Row],[Ingreso]],-tblMovimientos[[#This Row],[Egreso]])</f>
        <v>-1383</v>
      </c>
    </row>
    <row r="309" spans="2:16" x14ac:dyDescent="0.3">
      <c r="B309" s="41">
        <v>46185</v>
      </c>
      <c r="C309" s="4" t="str">
        <f>_xlfn.XLOOKUP(tblMovimientos[[#This Row],[Cuenta Bancaria]],Listas!$B:$B,Listas!$A:$A,"")</f>
        <v>2515 Overbrook</v>
      </c>
      <c r="D309" s="43" t="s">
        <v>121</v>
      </c>
      <c r="E309" s="48" t="str">
        <f>_xlfn.XLOOKUP(tblMovimientos[[#This Row],[Cuenta Bancaria]],Listas!$B:$B,Listas!$C:$C,"")</f>
        <v>Bank of America</v>
      </c>
      <c r="F309" s="43" t="s">
        <v>9</v>
      </c>
      <c r="G309" s="43" t="s">
        <v>81</v>
      </c>
      <c r="H309" s="4" t="str">
        <f>IFERROR(_xlfn.XLOOKUP(G309,Listas!E:E,Listas!F:F,""),"")</f>
        <v>Operativo</v>
      </c>
      <c r="I309" s="48" t="str">
        <f>IFERROR(_xlfn.XLOOKUP(G309,Listas!E:E,Listas!G:G,""),"")</f>
        <v>Externo</v>
      </c>
      <c r="J309" s="45">
        <v>2000</v>
      </c>
      <c r="K309" s="49">
        <f t="shared" si="0"/>
        <v>2000</v>
      </c>
      <c r="L309" s="15" t="s">
        <v>128</v>
      </c>
      <c r="M309" s="46">
        <f>SUMIFS('Saldos Iniciales'!$D$2:$D$38,'Saldos Iniciales'!$A$2:$A$38,C309,'Saldos Iniciales'!$B$2:$B$38,D309)+SUMIFS($K$1:$K$432,$C$1:$C$432,C309,$D$1:$D$432,D309,$B$1:$B$432,"&lt;="&amp;B309)</f>
        <v>27459.549999999963</v>
      </c>
      <c r="N309" s="27">
        <f>IF(tblMovimientos[[#This Row],[Tipo de Movimiento]]="Ingreso",tblMovimientos[[#This Row],[Monto (S/)]],"0")</f>
        <v>2000</v>
      </c>
      <c r="O309" s="27" t="str">
        <f>IF(tblMovimientos[[#This Row],[Tipo de Movimiento]]="Egreso",tblMovimientos[[#This Row],[Monto (S/)]],"0")</f>
        <v>0</v>
      </c>
      <c r="P309" s="29">
        <f>IF(tblMovimientos[[#This Row],[Tipo de Movimiento]]="Ingreso",tblMovimientos[[#This Row],[Ingreso]],-tblMovimientos[[#This Row],[Egreso]])</f>
        <v>2000</v>
      </c>
    </row>
    <row r="310" spans="2:16" x14ac:dyDescent="0.3">
      <c r="B310" s="41">
        <v>46185</v>
      </c>
      <c r="C310" s="4" t="str">
        <f>_xlfn.XLOOKUP(tblMovimientos[[#This Row],[Cuenta Bancaria]],Listas!$B:$B,Listas!$A:$A,"")</f>
        <v>3628 Thomas Ave</v>
      </c>
      <c r="D310" s="43" t="s">
        <v>124</v>
      </c>
      <c r="E310" s="48" t="str">
        <f>_xlfn.XLOOKUP(tblMovimientos[[#This Row],[Cuenta Bancaria]],Listas!$B:$B,Listas!$C:$C,"")</f>
        <v>Bank of America</v>
      </c>
      <c r="F310" s="43" t="s">
        <v>10</v>
      </c>
      <c r="G310" s="43" t="s">
        <v>38</v>
      </c>
      <c r="H310" s="4" t="str">
        <f>IFERROR(_xlfn.XLOOKUP(G310,Listas!E:E,Listas!F:F,""),"")</f>
        <v>Operativo</v>
      </c>
      <c r="I310" s="48" t="str">
        <f>IFERROR(_xlfn.XLOOKUP(G310,Listas!E:E,Listas!G:G,""),"")</f>
        <v>Externo</v>
      </c>
      <c r="J310" s="45">
        <v>259.13</v>
      </c>
      <c r="K310" s="49">
        <f t="shared" si="0"/>
        <v>-259.13</v>
      </c>
      <c r="L310" s="15" t="s">
        <v>128</v>
      </c>
      <c r="M310" s="46">
        <f>SUMIFS('Saldos Iniciales'!$D$2:$D$38,'Saldos Iniciales'!$A$2:$A$38,C310,'Saldos Iniciales'!$B$2:$B$38,D310)+SUMIFS($K$1:$K$432,$C$1:$C$432,C310,$D$1:$D$432,D310,$B$1:$B$432,"&lt;="&amp;B310)</f>
        <v>24484.85</v>
      </c>
      <c r="N310" s="27" t="str">
        <f>IF(tblMovimientos[[#This Row],[Tipo de Movimiento]]="Ingreso",tblMovimientos[[#This Row],[Monto (S/)]],"0")</f>
        <v>0</v>
      </c>
      <c r="O310" s="27">
        <f>IF(tblMovimientos[[#This Row],[Tipo de Movimiento]]="Egreso",tblMovimientos[[#This Row],[Monto (S/)]],"0")</f>
        <v>259.13</v>
      </c>
      <c r="P310" s="29">
        <f>IF(tblMovimientos[[#This Row],[Tipo de Movimiento]]="Ingreso",tblMovimientos[[#This Row],[Ingreso]],-tblMovimientos[[#This Row],[Egreso]])</f>
        <v>-259.13</v>
      </c>
    </row>
    <row r="311" spans="2:16" x14ac:dyDescent="0.3">
      <c r="B311" s="41">
        <v>46185</v>
      </c>
      <c r="C311" s="48" t="str">
        <f>_xlfn.XLOOKUP(tblMovimientos[[#This Row],[Cuenta Bancaria]],Listas!$B:$B,Listas!$A:$A,"")</f>
        <v>SSP Capital</v>
      </c>
      <c r="D311" s="43" t="s">
        <v>104</v>
      </c>
      <c r="E311" s="48" t="str">
        <f>_xlfn.XLOOKUP(tblMovimientos[[#This Row],[Cuenta Bancaria]],Listas!$B:$B,Listas!$C:$C,"")</f>
        <v xml:space="preserve">Amerant Bank </v>
      </c>
      <c r="F311" s="43" t="s">
        <v>9</v>
      </c>
      <c r="G311" s="43" t="s">
        <v>76</v>
      </c>
      <c r="H311" s="4" t="str">
        <f>IFERROR(_xlfn.XLOOKUP(G311,Listas!E:E,Listas!F:F,""),"")</f>
        <v>Financiamiento</v>
      </c>
      <c r="I311" s="48" t="str">
        <f>IFERROR(_xlfn.XLOOKUP(G311,Listas!E:E,Listas!G:G,""),"")</f>
        <v>Externo</v>
      </c>
      <c r="J311" s="45">
        <v>2970000</v>
      </c>
      <c r="K311" s="49">
        <f t="shared" si="0"/>
        <v>2970000</v>
      </c>
      <c r="L311" s="15" t="s">
        <v>128</v>
      </c>
      <c r="M311" s="46">
        <f>SUMIFS('Saldos Iniciales'!$D$2:$D$38,'Saldos Iniciales'!$A$2:$A$38,C311,'Saldos Iniciales'!$B$2:$B$38,D311)+SUMIFS($K$1:$K$432,$C$1:$C$432,C311,$D$1:$D$432,D311,$B$1:$B$432,"&lt;="&amp;B311)</f>
        <v>2988249.7999999993</v>
      </c>
      <c r="N311" s="27">
        <f>IF(tblMovimientos[[#This Row],[Tipo de Movimiento]]="Ingreso",tblMovimientos[[#This Row],[Monto (S/)]],"0")</f>
        <v>2970000</v>
      </c>
      <c r="O311" s="27" t="str">
        <f>IF(tblMovimientos[[#This Row],[Tipo de Movimiento]]="Egreso",tblMovimientos[[#This Row],[Monto (S/)]],"0")</f>
        <v>0</v>
      </c>
      <c r="P311" s="29">
        <f>IF(tblMovimientos[[#This Row],[Tipo de Movimiento]]="Ingreso",tblMovimientos[[#This Row],[Ingreso]],-tblMovimientos[[#This Row],[Egreso]])</f>
        <v>2970000</v>
      </c>
    </row>
    <row r="312" spans="2:16" x14ac:dyDescent="0.3">
      <c r="B312" s="41">
        <v>46188</v>
      </c>
      <c r="C312" s="4" t="str">
        <f>_xlfn.XLOOKUP(tblMovimientos[[#This Row],[Cuenta Bancaria]],Listas!$B:$B,Listas!$A:$A,"")</f>
        <v>Go Blue</v>
      </c>
      <c r="D312" s="43" t="s">
        <v>126</v>
      </c>
      <c r="E312" s="48" t="str">
        <f>_xlfn.XLOOKUP(tblMovimientos[[#This Row],[Cuenta Bancaria]],Listas!$B:$B,Listas!$C:$C,"")</f>
        <v xml:space="preserve">Amerant Bank </v>
      </c>
      <c r="F312" s="43" t="s">
        <v>10</v>
      </c>
      <c r="G312" s="43" t="s">
        <v>38</v>
      </c>
      <c r="H312" s="4" t="str">
        <f>IFERROR(_xlfn.XLOOKUP(G312,Listas!E:E,Listas!F:F,""),"")</f>
        <v>Operativo</v>
      </c>
      <c r="I312" s="48" t="str">
        <f>IFERROR(_xlfn.XLOOKUP(G312,Listas!E:E,Listas!G:G,""),"")</f>
        <v>Externo</v>
      </c>
      <c r="J312" s="45">
        <v>50</v>
      </c>
      <c r="K312" s="49">
        <f t="shared" si="0"/>
        <v>-50</v>
      </c>
      <c r="L312" s="15" t="s">
        <v>128</v>
      </c>
      <c r="M312" s="46">
        <f>SUMIFS('Saldos Iniciales'!$D$2:$D$38,'Saldos Iniciales'!$A$2:$A$38,C312,'Saldos Iniciales'!$B$2:$B$38,D312)+SUMIFS($K$1:$K$432,$C$1:$C$432,C312,$D$1:$D$432,D312,$B$1:$B$432,"&lt;="&amp;B312)</f>
        <v>48724.73</v>
      </c>
      <c r="N312" s="27" t="str">
        <f>IF(tblMovimientos[[#This Row],[Tipo de Movimiento]]="Ingreso",tblMovimientos[[#This Row],[Monto (S/)]],"0")</f>
        <v>0</v>
      </c>
      <c r="O312" s="27">
        <f>IF(tblMovimientos[[#This Row],[Tipo de Movimiento]]="Egreso",tblMovimientos[[#This Row],[Monto (S/)]],"0")</f>
        <v>50</v>
      </c>
      <c r="P312" s="29">
        <f>IF(tblMovimientos[[#This Row],[Tipo de Movimiento]]="Ingreso",tblMovimientos[[#This Row],[Ingreso]],-tblMovimientos[[#This Row],[Egreso]])</f>
        <v>-50</v>
      </c>
    </row>
    <row r="313" spans="2:16" x14ac:dyDescent="0.3">
      <c r="B313" s="41">
        <v>46188</v>
      </c>
      <c r="C313" s="4" t="str">
        <f>_xlfn.XLOOKUP(tblMovimientos[[#This Row],[Cuenta Bancaria]],Listas!$B:$B,Listas!$A:$A,"")</f>
        <v>CFT Group</v>
      </c>
      <c r="D313" s="43" t="s">
        <v>95</v>
      </c>
      <c r="E313" s="48" t="str">
        <f>_xlfn.XLOOKUP(tblMovimientos[[#This Row],[Cuenta Bancaria]],Listas!$B:$B,Listas!$C:$C,"")</f>
        <v xml:space="preserve">Amerant Bank </v>
      </c>
      <c r="F313" s="43" t="s">
        <v>9</v>
      </c>
      <c r="G313" s="43" t="s">
        <v>85</v>
      </c>
      <c r="H313" s="4" t="str">
        <f>IFERROR(_xlfn.XLOOKUP(G313,Listas!E:E,Listas!F:F,""),"")</f>
        <v>Operativo</v>
      </c>
      <c r="I313" s="48" t="str">
        <f>IFERROR(_xlfn.XLOOKUP(G313,Listas!E:E,Listas!G:G,""),"")</f>
        <v>Interno</v>
      </c>
      <c r="J313" s="45">
        <v>270000</v>
      </c>
      <c r="K313" s="49">
        <f t="shared" si="0"/>
        <v>270000</v>
      </c>
      <c r="L313" s="15" t="s">
        <v>128</v>
      </c>
      <c r="M313" s="46">
        <f>SUMIFS('Saldos Iniciales'!$D$2:$D$38,'Saldos Iniciales'!$A$2:$A$38,C313,'Saldos Iniciales'!$B$2:$B$38,D313)+SUMIFS($K$1:$K$432,$C$1:$C$432,C313,$D$1:$D$432,D313,$B$1:$B$432,"&lt;="&amp;B313)</f>
        <v>968878.52000000025</v>
      </c>
      <c r="N313" s="27">
        <f>IF(tblMovimientos[[#This Row],[Tipo de Movimiento]]="Ingreso",tblMovimientos[[#This Row],[Monto (S/)]],"0")</f>
        <v>270000</v>
      </c>
      <c r="O313" s="27" t="str">
        <f>IF(tblMovimientos[[#This Row],[Tipo de Movimiento]]="Egreso",tblMovimientos[[#This Row],[Monto (S/)]],"0")</f>
        <v>0</v>
      </c>
      <c r="P313" s="29">
        <f>IF(tblMovimientos[[#This Row],[Tipo de Movimiento]]="Ingreso",tblMovimientos[[#This Row],[Ingreso]],-tblMovimientos[[#This Row],[Egreso]])</f>
        <v>270000</v>
      </c>
    </row>
    <row r="314" spans="2:16" x14ac:dyDescent="0.3">
      <c r="B314" s="41">
        <v>46188</v>
      </c>
      <c r="C314" s="4" t="str">
        <f>_xlfn.XLOOKUP(tblMovimientos[[#This Row],[Cuenta Bancaria]],Listas!$B:$B,Listas!$A:$A,"")</f>
        <v>CFT Group</v>
      </c>
      <c r="D314" s="43" t="s">
        <v>95</v>
      </c>
      <c r="E314" s="48" t="str">
        <f>_xlfn.XLOOKUP(tblMovimientos[[#This Row],[Cuenta Bancaria]],Listas!$B:$B,Listas!$C:$C,"")</f>
        <v xml:space="preserve">Amerant Bank </v>
      </c>
      <c r="F314" s="43" t="s">
        <v>10</v>
      </c>
      <c r="G314" s="43" t="s">
        <v>48</v>
      </c>
      <c r="H314" s="4" t="str">
        <f>IFERROR(_xlfn.XLOOKUP(G314,Listas!E:E,Listas!F:F,""),"")</f>
        <v>Financiamiento</v>
      </c>
      <c r="I314" s="48" t="str">
        <f>IFERROR(_xlfn.XLOOKUP(G314,Listas!E:E,Listas!G:G,""),"")</f>
        <v>Externo</v>
      </c>
      <c r="J314" s="45">
        <v>2366.67</v>
      </c>
      <c r="K314" s="49">
        <f t="shared" si="0"/>
        <v>-2366.67</v>
      </c>
      <c r="L314" s="15" t="s">
        <v>128</v>
      </c>
      <c r="M314" s="46">
        <f>SUMIFS('Saldos Iniciales'!$D$2:$D$38,'Saldos Iniciales'!$A$2:$A$38,C314,'Saldos Iniciales'!$B$2:$B$38,D314)+SUMIFS($K$1:$K$432,$C$1:$C$432,C314,$D$1:$D$432,D314,$B$1:$B$432,"&lt;="&amp;B314)</f>
        <v>968878.52000000025</v>
      </c>
      <c r="N314" s="27" t="str">
        <f>IF(tblMovimientos[[#This Row],[Tipo de Movimiento]]="Ingreso",tblMovimientos[[#This Row],[Monto (S/)]],"0")</f>
        <v>0</v>
      </c>
      <c r="O314" s="27">
        <f>IF(tblMovimientos[[#This Row],[Tipo de Movimiento]]="Egreso",tblMovimientos[[#This Row],[Monto (S/)]],"0")</f>
        <v>2366.67</v>
      </c>
      <c r="P314" s="29">
        <f>IF(tblMovimientos[[#This Row],[Tipo de Movimiento]]="Ingreso",tblMovimientos[[#This Row],[Ingreso]],-tblMovimientos[[#This Row],[Egreso]])</f>
        <v>-2366.67</v>
      </c>
    </row>
    <row r="315" spans="2:16" x14ac:dyDescent="0.3">
      <c r="B315" s="41">
        <v>46188</v>
      </c>
      <c r="C315" s="48" t="str">
        <f>_xlfn.XLOOKUP(tblMovimientos[[#This Row],[Cuenta Bancaria]],Listas!$B:$B,Listas!$A:$A,"")</f>
        <v>CFT Group</v>
      </c>
      <c r="D315" s="43" t="s">
        <v>95</v>
      </c>
      <c r="E315" s="48" t="str">
        <f>_xlfn.XLOOKUP(tblMovimientos[[#This Row],[Cuenta Bancaria]],Listas!$B:$B,Listas!$C:$C,"")</f>
        <v xml:space="preserve">Amerant Bank </v>
      </c>
      <c r="F315" s="43" t="s">
        <v>10</v>
      </c>
      <c r="G315" s="43" t="s">
        <v>48</v>
      </c>
      <c r="H315" s="4" t="str">
        <f>IFERROR(_xlfn.XLOOKUP(G315,Listas!E:E,Listas!F:F,""),"")</f>
        <v>Financiamiento</v>
      </c>
      <c r="I315" s="48" t="str">
        <f>IFERROR(_xlfn.XLOOKUP(G315,Listas!E:E,Listas!G:G,""),"")</f>
        <v>Externo</v>
      </c>
      <c r="J315" s="45">
        <v>3500</v>
      </c>
      <c r="K315" s="49">
        <f t="shared" si="0"/>
        <v>-3500</v>
      </c>
      <c r="L315" s="15" t="s">
        <v>128</v>
      </c>
      <c r="M315" s="46">
        <f>SUMIFS('Saldos Iniciales'!$D$2:$D$38,'Saldos Iniciales'!$A$2:$A$38,C315,'Saldos Iniciales'!$B$2:$B$38,D315)+SUMIFS($K$1:$K$432,$C$1:$C$432,C315,$D$1:$D$432,D315,$B$1:$B$432,"&lt;="&amp;B315)</f>
        <v>968878.52000000025</v>
      </c>
      <c r="N315" s="27" t="str">
        <f>IF(tblMovimientos[[#This Row],[Tipo de Movimiento]]="Ingreso",tblMovimientos[[#This Row],[Monto (S/)]],"0")</f>
        <v>0</v>
      </c>
      <c r="O315" s="27">
        <f>IF(tblMovimientos[[#This Row],[Tipo de Movimiento]]="Egreso",tblMovimientos[[#This Row],[Monto (S/)]],"0")</f>
        <v>3500</v>
      </c>
      <c r="P315" s="29">
        <f>IF(tblMovimientos[[#This Row],[Tipo de Movimiento]]="Ingreso",tblMovimientos[[#This Row],[Ingreso]],-tblMovimientos[[#This Row],[Egreso]])</f>
        <v>-3500</v>
      </c>
    </row>
    <row r="316" spans="2:16" x14ac:dyDescent="0.3">
      <c r="B316" s="41">
        <v>46188</v>
      </c>
      <c r="C316" s="4" t="str">
        <f>_xlfn.XLOOKUP(tblMovimientos[[#This Row],[Cuenta Bancaria]],Listas!$B:$B,Listas!$A:$A,"")</f>
        <v>CFT Group</v>
      </c>
      <c r="D316" s="43" t="s">
        <v>95</v>
      </c>
      <c r="E316" s="48" t="str">
        <f>_xlfn.XLOOKUP(tblMovimientos[[#This Row],[Cuenta Bancaria]],Listas!$B:$B,Listas!$C:$C,"")</f>
        <v xml:space="preserve">Amerant Bank </v>
      </c>
      <c r="F316" s="43" t="s">
        <v>10</v>
      </c>
      <c r="G316" s="43" t="s">
        <v>48</v>
      </c>
      <c r="H316" s="4" t="str">
        <f>IFERROR(_xlfn.XLOOKUP(G316,Listas!E:E,Listas!F:F,""),"")</f>
        <v>Financiamiento</v>
      </c>
      <c r="I316" s="48" t="str">
        <f>IFERROR(_xlfn.XLOOKUP(G316,Listas!E:E,Listas!G:G,""),"")</f>
        <v>Externo</v>
      </c>
      <c r="J316" s="45">
        <v>10608.89</v>
      </c>
      <c r="K316" s="49">
        <f t="shared" si="0"/>
        <v>-10608.89</v>
      </c>
      <c r="L316" s="15" t="s">
        <v>128</v>
      </c>
      <c r="M316" s="46">
        <f>SUMIFS('Saldos Iniciales'!$D$2:$D$38,'Saldos Iniciales'!$A$2:$A$38,C316,'Saldos Iniciales'!$B$2:$B$38,D316)+SUMIFS($K$1:$K$432,$C$1:$C$432,C316,$D$1:$D$432,D316,$B$1:$B$432,"&lt;="&amp;B316)</f>
        <v>968878.52000000025</v>
      </c>
      <c r="N316" s="27" t="str">
        <f>IF(tblMovimientos[[#This Row],[Tipo de Movimiento]]="Ingreso",tblMovimientos[[#This Row],[Monto (S/)]],"0")</f>
        <v>0</v>
      </c>
      <c r="O316" s="27">
        <f>IF(tblMovimientos[[#This Row],[Tipo de Movimiento]]="Egreso",tblMovimientos[[#This Row],[Monto (S/)]],"0")</f>
        <v>10608.89</v>
      </c>
      <c r="P316" s="29">
        <f>IF(tblMovimientos[[#This Row],[Tipo de Movimiento]]="Ingreso",tblMovimientos[[#This Row],[Ingreso]],-tblMovimientos[[#This Row],[Egreso]])</f>
        <v>-10608.89</v>
      </c>
    </row>
    <row r="317" spans="2:16" x14ac:dyDescent="0.3">
      <c r="B317" s="41">
        <v>46188</v>
      </c>
      <c r="C317" s="4" t="str">
        <f>_xlfn.XLOOKUP(tblMovimientos[[#This Row],[Cuenta Bancaria]],Listas!$B:$B,Listas!$A:$A,"")</f>
        <v>CFT Group</v>
      </c>
      <c r="D317" s="43" t="s">
        <v>95</v>
      </c>
      <c r="E317" s="48" t="str">
        <f>_xlfn.XLOOKUP(tblMovimientos[[#This Row],[Cuenta Bancaria]],Listas!$B:$B,Listas!$C:$C,"")</f>
        <v xml:space="preserve">Amerant Bank </v>
      </c>
      <c r="F317" s="43" t="s">
        <v>10</v>
      </c>
      <c r="G317" s="43" t="s">
        <v>48</v>
      </c>
      <c r="H317" s="4" t="str">
        <f>IFERROR(_xlfn.XLOOKUP(G317,Listas!E:E,Listas!F:F,""),"")</f>
        <v>Financiamiento</v>
      </c>
      <c r="I317" s="48" t="str">
        <f>IFERROR(_xlfn.XLOOKUP(G317,Listas!E:E,Listas!G:G,""),"")</f>
        <v>Externo</v>
      </c>
      <c r="J317" s="45">
        <v>12055.56</v>
      </c>
      <c r="K317" s="49">
        <f t="shared" si="0"/>
        <v>-12055.56</v>
      </c>
      <c r="L317" s="15" t="s">
        <v>128</v>
      </c>
      <c r="M317" s="46">
        <f>SUMIFS('Saldos Iniciales'!$D$2:$D$38,'Saldos Iniciales'!$A$2:$A$38,C317,'Saldos Iniciales'!$B$2:$B$38,D317)+SUMIFS($K$1:$K$432,$C$1:$C$432,C317,$D$1:$D$432,D317,$B$1:$B$432,"&lt;="&amp;B317)</f>
        <v>968878.52000000025</v>
      </c>
      <c r="N317" s="27" t="str">
        <f>IF(tblMovimientos[[#This Row],[Tipo de Movimiento]]="Ingreso",tblMovimientos[[#This Row],[Monto (S/)]],"0")</f>
        <v>0</v>
      </c>
      <c r="O317" s="27">
        <f>IF(tblMovimientos[[#This Row],[Tipo de Movimiento]]="Egreso",tblMovimientos[[#This Row],[Monto (S/)]],"0")</f>
        <v>12055.56</v>
      </c>
      <c r="P317" s="29">
        <f>IF(tblMovimientos[[#This Row],[Tipo de Movimiento]]="Ingreso",tblMovimientos[[#This Row],[Ingreso]],-tblMovimientos[[#This Row],[Egreso]])</f>
        <v>-12055.56</v>
      </c>
    </row>
    <row r="318" spans="2:16" x14ac:dyDescent="0.3">
      <c r="B318" s="41">
        <v>46188</v>
      </c>
      <c r="C318" s="4" t="str">
        <f>_xlfn.XLOOKUP(tblMovimientos[[#This Row],[Cuenta Bancaria]],Listas!$B:$B,Listas!$A:$A,"")</f>
        <v>CFT Group</v>
      </c>
      <c r="D318" s="43" t="s">
        <v>95</v>
      </c>
      <c r="E318" s="48" t="str">
        <f>_xlfn.XLOOKUP(tblMovimientos[[#This Row],[Cuenta Bancaria]],Listas!$B:$B,Listas!$C:$C,"")</f>
        <v xml:space="preserve">Amerant Bank </v>
      </c>
      <c r="F318" s="43" t="s">
        <v>10</v>
      </c>
      <c r="G318" s="43" t="s">
        <v>48</v>
      </c>
      <c r="H318" s="4" t="str">
        <f>IFERROR(_xlfn.XLOOKUP(G318,Listas!E:E,Listas!F:F,""),"")</f>
        <v>Financiamiento</v>
      </c>
      <c r="I318" s="48" t="str">
        <f>IFERROR(_xlfn.XLOOKUP(G318,Listas!E:E,Listas!G:G,""),"")</f>
        <v>Externo</v>
      </c>
      <c r="J318" s="45">
        <v>22166.67</v>
      </c>
      <c r="K318" s="49">
        <f t="shared" si="0"/>
        <v>-22166.67</v>
      </c>
      <c r="L318" s="15" t="s">
        <v>128</v>
      </c>
      <c r="M318" s="46">
        <f>SUMIFS('Saldos Iniciales'!$D$2:$D$38,'Saldos Iniciales'!$A$2:$A$38,C318,'Saldos Iniciales'!$B$2:$B$38,D318)+SUMIFS($K$1:$K$432,$C$1:$C$432,C318,$D$1:$D$432,D318,$B$1:$B$432,"&lt;="&amp;B318)</f>
        <v>968878.52000000025</v>
      </c>
      <c r="N318" s="27" t="str">
        <f>IF(tblMovimientos[[#This Row],[Tipo de Movimiento]]="Ingreso",tblMovimientos[[#This Row],[Monto (S/)]],"0")</f>
        <v>0</v>
      </c>
      <c r="O318" s="27">
        <f>IF(tblMovimientos[[#This Row],[Tipo de Movimiento]]="Egreso",tblMovimientos[[#This Row],[Monto (S/)]],"0")</f>
        <v>22166.67</v>
      </c>
      <c r="P318" s="29">
        <f>IF(tblMovimientos[[#This Row],[Tipo de Movimiento]]="Ingreso",tblMovimientos[[#This Row],[Ingreso]],-tblMovimientos[[#This Row],[Egreso]])</f>
        <v>-22166.67</v>
      </c>
    </row>
    <row r="319" spans="2:16" x14ac:dyDescent="0.3">
      <c r="B319" s="41">
        <v>46188</v>
      </c>
      <c r="C319" s="48" t="str">
        <f>_xlfn.XLOOKUP(tblMovimientos[[#This Row],[Cuenta Bancaria]],Listas!$B:$B,Listas!$A:$A,"")</f>
        <v>CFT Group</v>
      </c>
      <c r="D319" s="43" t="s">
        <v>95</v>
      </c>
      <c r="E319" s="48" t="str">
        <f>_xlfn.XLOOKUP(tblMovimientos[[#This Row],[Cuenta Bancaria]],Listas!$B:$B,Listas!$C:$C,"")</f>
        <v xml:space="preserve">Amerant Bank </v>
      </c>
      <c r="F319" s="43" t="s">
        <v>10</v>
      </c>
      <c r="G319" s="43" t="s">
        <v>48</v>
      </c>
      <c r="H319" s="4" t="str">
        <f>IFERROR(_xlfn.XLOOKUP(G319,Listas!E:E,Listas!F:F,""),"")</f>
        <v>Financiamiento</v>
      </c>
      <c r="I319" s="48" t="str">
        <f>IFERROR(_xlfn.XLOOKUP(G319,Listas!E:E,Listas!G:G,""),"")</f>
        <v>Externo</v>
      </c>
      <c r="J319" s="45">
        <v>24111.11</v>
      </c>
      <c r="K319" s="49">
        <f t="shared" si="0"/>
        <v>-24111.11</v>
      </c>
      <c r="L319" s="15" t="s">
        <v>128</v>
      </c>
      <c r="M319" s="46">
        <f>SUMIFS('Saldos Iniciales'!$D$2:$D$38,'Saldos Iniciales'!$A$2:$A$38,C319,'Saldos Iniciales'!$B$2:$B$38,D319)+SUMIFS($K$1:$K$432,$C$1:$C$432,C319,$D$1:$D$432,D319,$B$1:$B$432,"&lt;="&amp;B319)</f>
        <v>968878.52000000025</v>
      </c>
      <c r="N319" s="27" t="str">
        <f>IF(tblMovimientos[[#This Row],[Tipo de Movimiento]]="Ingreso",tblMovimientos[[#This Row],[Monto (S/)]],"0")</f>
        <v>0</v>
      </c>
      <c r="O319" s="27">
        <f>IF(tblMovimientos[[#This Row],[Tipo de Movimiento]]="Egreso",tblMovimientos[[#This Row],[Monto (S/)]],"0")</f>
        <v>24111.11</v>
      </c>
      <c r="P319" s="29">
        <f>IF(tblMovimientos[[#This Row],[Tipo de Movimiento]]="Ingreso",tblMovimientos[[#This Row],[Ingreso]],-tblMovimientos[[#This Row],[Egreso]])</f>
        <v>-24111.11</v>
      </c>
    </row>
    <row r="320" spans="2:16" x14ac:dyDescent="0.3">
      <c r="B320" s="41">
        <v>46188</v>
      </c>
      <c r="C320" s="4" t="str">
        <f>_xlfn.XLOOKUP(tblMovimientos[[#This Row],[Cuenta Bancaria]],Listas!$B:$B,Listas!$A:$A,"")</f>
        <v>CFT Group</v>
      </c>
      <c r="D320" s="43" t="s">
        <v>95</v>
      </c>
      <c r="E320" s="48" t="str">
        <f>_xlfn.XLOOKUP(tblMovimientos[[#This Row],[Cuenta Bancaria]],Listas!$B:$B,Listas!$C:$C,"")</f>
        <v xml:space="preserve">Amerant Bank </v>
      </c>
      <c r="F320" s="43" t="s">
        <v>10</v>
      </c>
      <c r="G320" s="43" t="s">
        <v>61</v>
      </c>
      <c r="H320" s="4" t="str">
        <f>IFERROR(_xlfn.XLOOKUP(G320,Listas!E:E,Listas!F:F,""),"")</f>
        <v>Operativo</v>
      </c>
      <c r="I320" s="48" t="str">
        <f>IFERROR(_xlfn.XLOOKUP(G320,Listas!E:E,Listas!G:G,""),"")</f>
        <v>Externo</v>
      </c>
      <c r="J320" s="45">
        <v>40000</v>
      </c>
      <c r="K320" s="49">
        <f t="shared" si="0"/>
        <v>-40000</v>
      </c>
      <c r="L320" s="15" t="s">
        <v>128</v>
      </c>
      <c r="M320" s="46">
        <f>SUMIFS('Saldos Iniciales'!$D$2:$D$38,'Saldos Iniciales'!$A$2:$A$38,C320,'Saldos Iniciales'!$B$2:$B$38,D320)+SUMIFS($K$1:$K$432,$C$1:$C$432,C320,$D$1:$D$432,D320,$B$1:$B$432,"&lt;="&amp;B320)</f>
        <v>968878.52000000025</v>
      </c>
      <c r="N320" s="27" t="str">
        <f>IF(tblMovimientos[[#This Row],[Tipo de Movimiento]]="Ingreso",tblMovimientos[[#This Row],[Monto (S/)]],"0")</f>
        <v>0</v>
      </c>
      <c r="O320" s="27">
        <f>IF(tblMovimientos[[#This Row],[Tipo de Movimiento]]="Egreso",tblMovimientos[[#This Row],[Monto (S/)]],"0")</f>
        <v>40000</v>
      </c>
      <c r="P320" s="29">
        <f>IF(tblMovimientos[[#This Row],[Tipo de Movimiento]]="Ingreso",tblMovimientos[[#This Row],[Ingreso]],-tblMovimientos[[#This Row],[Egreso]])</f>
        <v>-40000</v>
      </c>
    </row>
    <row r="321" spans="1:16" x14ac:dyDescent="0.3">
      <c r="B321" s="41">
        <v>46188</v>
      </c>
      <c r="C321" s="4" t="str">
        <f>_xlfn.XLOOKUP(tblMovimientos[[#This Row],[Cuenta Bancaria]],Listas!$B:$B,Listas!$A:$A,"")</f>
        <v>CFT Group</v>
      </c>
      <c r="D321" s="43" t="s">
        <v>95</v>
      </c>
      <c r="E321" s="48" t="str">
        <f>_xlfn.XLOOKUP(tblMovimientos[[#This Row],[Cuenta Bancaria]],Listas!$B:$B,Listas!$C:$C,"")</f>
        <v xml:space="preserve">Amerant Bank </v>
      </c>
      <c r="F321" s="43" t="s">
        <v>10</v>
      </c>
      <c r="G321" s="43" t="s">
        <v>61</v>
      </c>
      <c r="H321" s="4" t="str">
        <f>IFERROR(_xlfn.XLOOKUP(G321,Listas!E:E,Listas!F:F,""),"")</f>
        <v>Operativo</v>
      </c>
      <c r="I321" s="48" t="str">
        <f>IFERROR(_xlfn.XLOOKUP(G321,Listas!E:E,Listas!G:G,""),"")</f>
        <v>Externo</v>
      </c>
      <c r="J321" s="45">
        <v>60000</v>
      </c>
      <c r="K321" s="49">
        <f t="shared" si="0"/>
        <v>-60000</v>
      </c>
      <c r="L321" s="15" t="s">
        <v>128</v>
      </c>
      <c r="M321" s="46">
        <f>SUMIFS('Saldos Iniciales'!$D$2:$D$38,'Saldos Iniciales'!$A$2:$A$38,C321,'Saldos Iniciales'!$B$2:$B$38,D321)+SUMIFS($K$1:$K$432,$C$1:$C$432,C321,$D$1:$D$432,D321,$B$1:$B$432,"&lt;="&amp;B321)</f>
        <v>968878.52000000025</v>
      </c>
      <c r="N321" s="27" t="str">
        <f>IF(tblMovimientos[[#This Row],[Tipo de Movimiento]]="Ingreso",tblMovimientos[[#This Row],[Monto (S/)]],"0")</f>
        <v>0</v>
      </c>
      <c r="O321" s="27">
        <f>IF(tblMovimientos[[#This Row],[Tipo de Movimiento]]="Egreso",tblMovimientos[[#This Row],[Monto (S/)]],"0")</f>
        <v>60000</v>
      </c>
      <c r="P321" s="29">
        <f>IF(tblMovimientos[[#This Row],[Tipo de Movimiento]]="Ingreso",tblMovimientos[[#This Row],[Ingreso]],-tblMovimientos[[#This Row],[Egreso]])</f>
        <v>-60000</v>
      </c>
    </row>
    <row r="322" spans="1:16" x14ac:dyDescent="0.3">
      <c r="B322" s="41">
        <v>46188</v>
      </c>
      <c r="C322" s="4" t="str">
        <f>_xlfn.XLOOKUP(tblMovimientos[[#This Row],[Cuenta Bancaria]],Listas!$B:$B,Listas!$A:$A,"")</f>
        <v>CFT Group</v>
      </c>
      <c r="D322" s="43" t="s">
        <v>95</v>
      </c>
      <c r="E322" s="48" t="str">
        <f>_xlfn.XLOOKUP(tblMovimientos[[#This Row],[Cuenta Bancaria]],Listas!$B:$B,Listas!$C:$C,"")</f>
        <v xml:space="preserve">Amerant Bank </v>
      </c>
      <c r="F322" s="43" t="s">
        <v>10</v>
      </c>
      <c r="G322" s="43" t="s">
        <v>61</v>
      </c>
      <c r="H322" s="4" t="str">
        <f>IFERROR(_xlfn.XLOOKUP(G322,Listas!E:E,Listas!F:F,""),"")</f>
        <v>Operativo</v>
      </c>
      <c r="I322" s="48" t="str">
        <f>IFERROR(_xlfn.XLOOKUP(G322,Listas!E:E,Listas!G:G,""),"")</f>
        <v>Externo</v>
      </c>
      <c r="J322" s="45">
        <v>100000</v>
      </c>
      <c r="K322" s="49">
        <f t="shared" si="0"/>
        <v>-100000</v>
      </c>
      <c r="L322" s="15" t="s">
        <v>128</v>
      </c>
      <c r="M322" s="46">
        <f>SUMIFS('Saldos Iniciales'!$D$2:$D$38,'Saldos Iniciales'!$A$2:$A$38,C322,'Saldos Iniciales'!$B$2:$B$38,D322)+SUMIFS($K$1:$K$432,$C$1:$C$432,C322,$D$1:$D$432,D322,$B$1:$B$432,"&lt;="&amp;B322)</f>
        <v>968878.52000000025</v>
      </c>
      <c r="N322" s="27" t="str">
        <f>IF(tblMovimientos[[#This Row],[Tipo de Movimiento]]="Ingreso",tblMovimientos[[#This Row],[Monto (S/)]],"0")</f>
        <v>0</v>
      </c>
      <c r="O322" s="27">
        <f>IF(tblMovimientos[[#This Row],[Tipo de Movimiento]]="Egreso",tblMovimientos[[#This Row],[Monto (S/)]],"0")</f>
        <v>100000</v>
      </c>
      <c r="P322" s="29">
        <f>IF(tblMovimientos[[#This Row],[Tipo de Movimiento]]="Ingreso",tblMovimientos[[#This Row],[Ingreso]],-tblMovimientos[[#This Row],[Egreso]])</f>
        <v>-100000</v>
      </c>
    </row>
    <row r="323" spans="1:16" x14ac:dyDescent="0.3">
      <c r="B323" s="41">
        <v>46188</v>
      </c>
      <c r="C323" s="48" t="str">
        <f>_xlfn.XLOOKUP(tblMovimientos[[#This Row],[Cuenta Bancaria]],Listas!$B:$B,Listas!$A:$A,"")</f>
        <v>CFT Group</v>
      </c>
      <c r="D323" s="43" t="s">
        <v>95</v>
      </c>
      <c r="E323" s="48" t="str">
        <f>_xlfn.XLOOKUP(tblMovimientos[[#This Row],[Cuenta Bancaria]],Listas!$B:$B,Listas!$C:$C,"")</f>
        <v xml:space="preserve">Amerant Bank </v>
      </c>
      <c r="F323" s="43" t="s">
        <v>10</v>
      </c>
      <c r="G323" s="43" t="s">
        <v>61</v>
      </c>
      <c r="H323" s="4" t="str">
        <f>IFERROR(_xlfn.XLOOKUP(G323,Listas!E:E,Listas!F:F,""),"")</f>
        <v>Operativo</v>
      </c>
      <c r="I323" s="48" t="str">
        <f>IFERROR(_xlfn.XLOOKUP(G323,Listas!E:E,Listas!G:G,""),"")</f>
        <v>Externo</v>
      </c>
      <c r="J323" s="45">
        <v>150000</v>
      </c>
      <c r="K323" s="49">
        <f t="shared" si="0"/>
        <v>-150000</v>
      </c>
      <c r="L323" s="15" t="s">
        <v>128</v>
      </c>
      <c r="M323" s="46">
        <f>SUMIFS('Saldos Iniciales'!$D$2:$D$38,'Saldos Iniciales'!$A$2:$A$38,C323,'Saldos Iniciales'!$B$2:$B$38,D323)+SUMIFS($K$1:$K$432,$C$1:$C$432,C323,$D$1:$D$432,D323,$B$1:$B$432,"&lt;="&amp;B323)</f>
        <v>968878.52000000025</v>
      </c>
      <c r="N323" s="27" t="str">
        <f>IF(tblMovimientos[[#This Row],[Tipo de Movimiento]]="Ingreso",tblMovimientos[[#This Row],[Monto (S/)]],"0")</f>
        <v>0</v>
      </c>
      <c r="O323" s="27">
        <f>IF(tblMovimientos[[#This Row],[Tipo de Movimiento]]="Egreso",tblMovimientos[[#This Row],[Monto (S/)]],"0")</f>
        <v>150000</v>
      </c>
      <c r="P323" s="29">
        <f>IF(tblMovimientos[[#This Row],[Tipo de Movimiento]]="Ingreso",tblMovimientos[[#This Row],[Ingreso]],-tblMovimientos[[#This Row],[Egreso]])</f>
        <v>-150000</v>
      </c>
    </row>
    <row r="324" spans="1:16" x14ac:dyDescent="0.3">
      <c r="B324" s="41">
        <v>46188</v>
      </c>
      <c r="C324" s="4" t="str">
        <f>_xlfn.XLOOKUP(tblMovimientos[[#This Row],[Cuenta Bancaria]],Listas!$B:$B,Listas!$A:$A,"")</f>
        <v>CFT Group</v>
      </c>
      <c r="D324" s="43" t="s">
        <v>95</v>
      </c>
      <c r="E324" s="48" t="str">
        <f>_xlfn.XLOOKUP(tblMovimientos[[#This Row],[Cuenta Bancaria]],Listas!$B:$B,Listas!$C:$C,"")</f>
        <v xml:space="preserve">Amerant Bank </v>
      </c>
      <c r="F324" s="43" t="s">
        <v>10</v>
      </c>
      <c r="G324" s="43" t="s">
        <v>61</v>
      </c>
      <c r="H324" s="4" t="str">
        <f>IFERROR(_xlfn.XLOOKUP(G324,Listas!E:E,Listas!F:F,""),"")</f>
        <v>Operativo</v>
      </c>
      <c r="I324" s="48" t="str">
        <f>IFERROR(_xlfn.XLOOKUP(G324,Listas!E:E,Listas!G:G,""),"")</f>
        <v>Externo</v>
      </c>
      <c r="J324" s="45">
        <v>200000</v>
      </c>
      <c r="K324" s="49">
        <f t="shared" si="0"/>
        <v>-200000</v>
      </c>
      <c r="L324" s="15" t="s">
        <v>128</v>
      </c>
      <c r="M324" s="46">
        <f>SUMIFS('Saldos Iniciales'!$D$2:$D$38,'Saldos Iniciales'!$A$2:$A$38,C324,'Saldos Iniciales'!$B$2:$B$38,D324)+SUMIFS($K$1:$K$432,$C$1:$C$432,C324,$D$1:$D$432,D324,$B$1:$B$432,"&lt;="&amp;B324)</f>
        <v>968878.52000000025</v>
      </c>
      <c r="N324" s="27" t="str">
        <f>IF(tblMovimientos[[#This Row],[Tipo de Movimiento]]="Ingreso",tblMovimientos[[#This Row],[Monto (S/)]],"0")</f>
        <v>0</v>
      </c>
      <c r="O324" s="27">
        <f>IF(tblMovimientos[[#This Row],[Tipo de Movimiento]]="Egreso",tblMovimientos[[#This Row],[Monto (S/)]],"0")</f>
        <v>200000</v>
      </c>
      <c r="P324" s="29">
        <f>IF(tblMovimientos[[#This Row],[Tipo de Movimiento]]="Ingreso",tblMovimientos[[#This Row],[Ingreso]],-tblMovimientos[[#This Row],[Egreso]])</f>
        <v>-200000</v>
      </c>
    </row>
    <row r="325" spans="1:16" x14ac:dyDescent="0.3">
      <c r="B325" s="41">
        <v>46188</v>
      </c>
      <c r="C325" s="4" t="str">
        <f>_xlfn.XLOOKUP(tblMovimientos[[#This Row],[Cuenta Bancaria]],Listas!$B:$B,Listas!$A:$A,"")</f>
        <v>CFT Group</v>
      </c>
      <c r="D325" s="43" t="s">
        <v>95</v>
      </c>
      <c r="E325" s="48" t="str">
        <f>_xlfn.XLOOKUP(tblMovimientos[[#This Row],[Cuenta Bancaria]],Listas!$B:$B,Listas!$C:$C,"")</f>
        <v xml:space="preserve">Amerant Bank </v>
      </c>
      <c r="F325" s="43" t="s">
        <v>10</v>
      </c>
      <c r="G325" s="43" t="s">
        <v>61</v>
      </c>
      <c r="H325" s="4" t="str">
        <f>IFERROR(_xlfn.XLOOKUP(G325,Listas!E:E,Listas!F:F,""),"")</f>
        <v>Operativo</v>
      </c>
      <c r="I325" s="48" t="str">
        <f>IFERROR(_xlfn.XLOOKUP(G325,Listas!E:E,Listas!G:G,""),"")</f>
        <v>Externo</v>
      </c>
      <c r="J325" s="45">
        <v>200000</v>
      </c>
      <c r="K325" s="49">
        <f t="shared" si="0"/>
        <v>-200000</v>
      </c>
      <c r="L325" s="15" t="s">
        <v>128</v>
      </c>
      <c r="M325" s="46">
        <f>SUMIFS('Saldos Iniciales'!$D$2:$D$38,'Saldos Iniciales'!$A$2:$A$38,C325,'Saldos Iniciales'!$B$2:$B$38,D325)+SUMIFS($K$1:$K$432,$C$1:$C$432,C325,$D$1:$D$432,D325,$B$1:$B$432,"&lt;="&amp;B325)</f>
        <v>968878.52000000025</v>
      </c>
      <c r="N325" s="27" t="str">
        <f>IF(tblMovimientos[[#This Row],[Tipo de Movimiento]]="Ingreso",tblMovimientos[[#This Row],[Monto (S/)]],"0")</f>
        <v>0</v>
      </c>
      <c r="O325" s="27">
        <f>IF(tblMovimientos[[#This Row],[Tipo de Movimiento]]="Egreso",tblMovimientos[[#This Row],[Monto (S/)]],"0")</f>
        <v>200000</v>
      </c>
      <c r="P325" s="29">
        <f>IF(tblMovimientos[[#This Row],[Tipo de Movimiento]]="Ingreso",tblMovimientos[[#This Row],[Ingreso]],-tblMovimientos[[#This Row],[Egreso]])</f>
        <v>-200000</v>
      </c>
    </row>
    <row r="326" spans="1:16" x14ac:dyDescent="0.3">
      <c r="B326" s="41">
        <v>46188</v>
      </c>
      <c r="C326" s="4" t="str">
        <f>_xlfn.XLOOKUP(tblMovimientos[[#This Row],[Cuenta Bancaria]],Listas!$B:$B,Listas!$A:$A,"")</f>
        <v>SSP Capital</v>
      </c>
      <c r="D326" s="43" t="s">
        <v>104</v>
      </c>
      <c r="E326" s="48" t="str">
        <f>_xlfn.XLOOKUP(tblMovimientos[[#This Row],[Cuenta Bancaria]],Listas!$B:$B,Listas!$C:$C,"")</f>
        <v xml:space="preserve">Amerant Bank </v>
      </c>
      <c r="F326" s="43" t="s">
        <v>10</v>
      </c>
      <c r="G326" s="43" t="s">
        <v>48</v>
      </c>
      <c r="H326" s="4" t="str">
        <f>IFERROR(_xlfn.XLOOKUP(G326,Listas!E:E,Listas!F:F,""),"")</f>
        <v>Financiamiento</v>
      </c>
      <c r="I326" s="48" t="str">
        <f>IFERROR(_xlfn.XLOOKUP(G326,Listas!E:E,Listas!G:G,""),"")</f>
        <v>Externo</v>
      </c>
      <c r="J326" s="45">
        <v>26250</v>
      </c>
      <c r="K326" s="49">
        <f t="shared" si="0"/>
        <v>-26250</v>
      </c>
      <c r="L326" s="15" t="s">
        <v>128</v>
      </c>
      <c r="M326" s="46">
        <f>SUMIFS('Saldos Iniciales'!$D$2:$D$38,'Saldos Iniciales'!$A$2:$A$38,C326,'Saldos Iniciales'!$B$2:$B$38,D326)+SUMIFS($K$1:$K$432,$C$1:$C$432,C326,$D$1:$D$432,D326,$B$1:$B$432,"&lt;="&amp;B326)</f>
        <v>2502067.6299999994</v>
      </c>
      <c r="N326" s="27" t="str">
        <f>IF(tblMovimientos[[#This Row],[Tipo de Movimiento]]="Ingreso",tblMovimientos[[#This Row],[Monto (S/)]],"0")</f>
        <v>0</v>
      </c>
      <c r="O326" s="27">
        <f>IF(tblMovimientos[[#This Row],[Tipo de Movimiento]]="Egreso",tblMovimientos[[#This Row],[Monto (S/)]],"0")</f>
        <v>26250</v>
      </c>
      <c r="P326" s="29">
        <f>IF(tblMovimientos[[#This Row],[Tipo de Movimiento]]="Ingreso",tblMovimientos[[#This Row],[Ingreso]],-tblMovimientos[[#This Row],[Egreso]])</f>
        <v>-26250</v>
      </c>
    </row>
    <row r="327" spans="1:16" x14ac:dyDescent="0.3">
      <c r="B327" s="41">
        <v>46188</v>
      </c>
      <c r="C327" s="48" t="str">
        <f>_xlfn.XLOOKUP(tblMovimientos[[#This Row],[Cuenta Bancaria]],Listas!$B:$B,Listas!$A:$A,"")</f>
        <v>SSP Capital</v>
      </c>
      <c r="D327" s="43" t="s">
        <v>104</v>
      </c>
      <c r="E327" s="48" t="str">
        <f>_xlfn.XLOOKUP(tblMovimientos[[#This Row],[Cuenta Bancaria]],Listas!$B:$B,Listas!$C:$C,"")</f>
        <v xml:space="preserve">Amerant Bank </v>
      </c>
      <c r="F327" s="43" t="s">
        <v>10</v>
      </c>
      <c r="G327" s="43" t="s">
        <v>48</v>
      </c>
      <c r="H327" s="4" t="str">
        <f>IFERROR(_xlfn.XLOOKUP(G327,Listas!E:E,Listas!F:F,""),"")</f>
        <v>Financiamiento</v>
      </c>
      <c r="I327" s="48" t="str">
        <f>IFERROR(_xlfn.XLOOKUP(G327,Listas!E:E,Listas!G:G,""),"")</f>
        <v>Externo</v>
      </c>
      <c r="J327" s="45">
        <v>32435</v>
      </c>
      <c r="K327" s="49">
        <f t="shared" si="0"/>
        <v>-32435</v>
      </c>
      <c r="L327" s="15" t="s">
        <v>128</v>
      </c>
      <c r="M327" s="46">
        <f>SUMIFS('Saldos Iniciales'!$D$2:$D$38,'Saldos Iniciales'!$A$2:$A$38,C327,'Saldos Iniciales'!$B$2:$B$38,D327)+SUMIFS($K$1:$K$432,$C$1:$C$432,C327,$D$1:$D$432,D327,$B$1:$B$432,"&lt;="&amp;B327)</f>
        <v>2502067.6299999994</v>
      </c>
      <c r="N327" s="27" t="str">
        <f>IF(tblMovimientos[[#This Row],[Tipo de Movimiento]]="Ingreso",tblMovimientos[[#This Row],[Monto (S/)]],"0")</f>
        <v>0</v>
      </c>
      <c r="O327" s="27">
        <f>IF(tblMovimientos[[#This Row],[Tipo de Movimiento]]="Egreso",tblMovimientos[[#This Row],[Monto (S/)]],"0")</f>
        <v>32435</v>
      </c>
      <c r="P327" s="29">
        <f>IF(tblMovimientos[[#This Row],[Tipo de Movimiento]]="Ingreso",tblMovimientos[[#This Row],[Ingreso]],-tblMovimientos[[#This Row],[Egreso]])</f>
        <v>-32435</v>
      </c>
    </row>
    <row r="328" spans="1:16" x14ac:dyDescent="0.3">
      <c r="B328" s="41">
        <v>46188</v>
      </c>
      <c r="C328" s="4" t="str">
        <f>_xlfn.XLOOKUP(tblMovimientos[[#This Row],[Cuenta Bancaria]],Listas!$B:$B,Listas!$A:$A,"")</f>
        <v>SSP Capital</v>
      </c>
      <c r="D328" s="43" t="s">
        <v>104</v>
      </c>
      <c r="E328" s="48" t="str">
        <f>_xlfn.XLOOKUP(tblMovimientos[[#This Row],[Cuenta Bancaria]],Listas!$B:$B,Listas!$C:$C,"")</f>
        <v xml:space="preserve">Amerant Bank </v>
      </c>
      <c r="F328" s="43" t="s">
        <v>10</v>
      </c>
      <c r="G328" s="43" t="s">
        <v>48</v>
      </c>
      <c r="H328" s="4" t="str">
        <f>IFERROR(_xlfn.XLOOKUP(G328,Listas!E:E,Listas!F:F,""),"")</f>
        <v>Financiamiento</v>
      </c>
      <c r="I328" s="48" t="str">
        <f>IFERROR(_xlfn.XLOOKUP(G328,Listas!E:E,Listas!G:G,""),"")</f>
        <v>Externo</v>
      </c>
      <c r="J328" s="45">
        <v>49583.34</v>
      </c>
      <c r="K328" s="49">
        <f t="shared" si="0"/>
        <v>-49583.34</v>
      </c>
      <c r="L328" s="15" t="s">
        <v>128</v>
      </c>
      <c r="M328" s="46">
        <f>SUMIFS('Saldos Iniciales'!$D$2:$D$38,'Saldos Iniciales'!$A$2:$A$38,C328,'Saldos Iniciales'!$B$2:$B$38,D328)+SUMIFS($K$1:$K$432,$C$1:$C$432,C328,$D$1:$D$432,D328,$B$1:$B$432,"&lt;="&amp;B328)</f>
        <v>2502067.6299999994</v>
      </c>
      <c r="N328" s="27" t="str">
        <f>IF(tblMovimientos[[#This Row],[Tipo de Movimiento]]="Ingreso",tblMovimientos[[#This Row],[Monto (S/)]],"0")</f>
        <v>0</v>
      </c>
      <c r="O328" s="27">
        <f>IF(tblMovimientos[[#This Row],[Tipo de Movimiento]]="Egreso",tblMovimientos[[#This Row],[Monto (S/)]],"0")</f>
        <v>49583.34</v>
      </c>
      <c r="P328" s="29">
        <f>IF(tblMovimientos[[#This Row],[Tipo de Movimiento]]="Ingreso",tblMovimientos[[#This Row],[Ingreso]],-tblMovimientos[[#This Row],[Egreso]])</f>
        <v>-49583.34</v>
      </c>
    </row>
    <row r="329" spans="1:16" x14ac:dyDescent="0.3">
      <c r="B329" s="41">
        <v>46188</v>
      </c>
      <c r="C329" s="4" t="str">
        <f>_xlfn.XLOOKUP(tblMovimientos[[#This Row],[Cuenta Bancaria]],Listas!$B:$B,Listas!$A:$A,"")</f>
        <v>SSP Capital</v>
      </c>
      <c r="D329" s="43" t="s">
        <v>104</v>
      </c>
      <c r="E329" s="48" t="str">
        <f>_xlfn.XLOOKUP(tblMovimientos[[#This Row],[Cuenta Bancaria]],Listas!$B:$B,Listas!$C:$C,"")</f>
        <v xml:space="preserve">Amerant Bank </v>
      </c>
      <c r="F329" s="43" t="s">
        <v>10</v>
      </c>
      <c r="G329" s="43" t="s">
        <v>48</v>
      </c>
      <c r="H329" s="4" t="str">
        <f>IFERROR(_xlfn.XLOOKUP(G329,Listas!E:E,Listas!F:F,""),"")</f>
        <v>Financiamiento</v>
      </c>
      <c r="I329" s="48" t="str">
        <f>IFERROR(_xlfn.XLOOKUP(G329,Listas!E:E,Listas!G:G,""),"")</f>
        <v>Externo</v>
      </c>
      <c r="J329" s="45">
        <v>23313.83</v>
      </c>
      <c r="K329" s="49">
        <f t="shared" si="0"/>
        <v>-23313.83</v>
      </c>
      <c r="L329" s="15" t="s">
        <v>128</v>
      </c>
      <c r="M329" s="46">
        <f>SUMIFS('Saldos Iniciales'!$D$2:$D$38,'Saldos Iniciales'!$A$2:$A$38,C329,'Saldos Iniciales'!$B$2:$B$38,D329)+SUMIFS($K$1:$K$432,$C$1:$C$432,C329,$D$1:$D$432,D329,$B$1:$B$432,"&lt;="&amp;B329)</f>
        <v>2502067.6299999994</v>
      </c>
      <c r="N329" s="27" t="str">
        <f>IF(tblMovimientos[[#This Row],[Tipo de Movimiento]]="Ingreso",tblMovimientos[[#This Row],[Monto (S/)]],"0")</f>
        <v>0</v>
      </c>
      <c r="O329" s="27">
        <f>IF(tblMovimientos[[#This Row],[Tipo de Movimiento]]="Egreso",tblMovimientos[[#This Row],[Monto (S/)]],"0")</f>
        <v>23313.83</v>
      </c>
      <c r="P329" s="29">
        <f>IF(tblMovimientos[[#This Row],[Tipo de Movimiento]]="Ingreso",tblMovimientos[[#This Row],[Ingreso]],-tblMovimientos[[#This Row],[Egreso]])</f>
        <v>-23313.83</v>
      </c>
    </row>
    <row r="330" spans="1:16" x14ac:dyDescent="0.3">
      <c r="B330" s="41">
        <v>46188</v>
      </c>
      <c r="C330" s="4" t="str">
        <f>_xlfn.XLOOKUP(tblMovimientos[[#This Row],[Cuenta Bancaria]],Listas!$B:$B,Listas!$A:$A,"")</f>
        <v>SSP Capital</v>
      </c>
      <c r="D330" s="43" t="s">
        <v>104</v>
      </c>
      <c r="E330" s="48" t="str">
        <f>_xlfn.XLOOKUP(tblMovimientos[[#This Row],[Cuenta Bancaria]],Listas!$B:$B,Listas!$C:$C,"")</f>
        <v xml:space="preserve">Amerant Bank </v>
      </c>
      <c r="F330" s="43" t="s">
        <v>10</v>
      </c>
      <c r="G330" s="43" t="s">
        <v>64</v>
      </c>
      <c r="H330" s="4" t="str">
        <f>IFERROR(_xlfn.XLOOKUP(G330,Listas!E:E,Listas!F:F,""),"")</f>
        <v>Operativo</v>
      </c>
      <c r="I330" s="48" t="str">
        <f>IFERROR(_xlfn.XLOOKUP(G330,Listas!E:E,Listas!G:G,""),"")</f>
        <v>Interno</v>
      </c>
      <c r="J330" s="45">
        <v>54600</v>
      </c>
      <c r="K330" s="49">
        <f t="shared" si="0"/>
        <v>-54600</v>
      </c>
      <c r="L330" s="15" t="s">
        <v>128</v>
      </c>
      <c r="M330" s="46">
        <f>SUMIFS('Saldos Iniciales'!$D$2:$D$38,'Saldos Iniciales'!$A$2:$A$38,C330,'Saldos Iniciales'!$B$2:$B$38,D330)+SUMIFS($K$1:$K$432,$C$1:$C$432,C330,$D$1:$D$432,D330,$B$1:$B$432,"&lt;="&amp;B330)</f>
        <v>2502067.6299999994</v>
      </c>
      <c r="N330" s="27" t="str">
        <f>IF(tblMovimientos[[#This Row],[Tipo de Movimiento]]="Ingreso",tblMovimientos[[#This Row],[Monto (S/)]],"0")</f>
        <v>0</v>
      </c>
      <c r="O330" s="27">
        <f>IF(tblMovimientos[[#This Row],[Tipo de Movimiento]]="Egreso",tblMovimientos[[#This Row],[Monto (S/)]],"0")</f>
        <v>54600</v>
      </c>
      <c r="P330" s="29">
        <f>IF(tblMovimientos[[#This Row],[Tipo de Movimiento]]="Ingreso",tblMovimientos[[#This Row],[Ingreso]],-tblMovimientos[[#This Row],[Egreso]])</f>
        <v>-54600</v>
      </c>
    </row>
    <row r="331" spans="1:16" x14ac:dyDescent="0.3">
      <c r="B331" s="41">
        <v>46188</v>
      </c>
      <c r="C331" s="48" t="str">
        <f>_xlfn.XLOOKUP(tblMovimientos[[#This Row],[Cuenta Bancaria]],Listas!$B:$B,Listas!$A:$A,"")</f>
        <v>SSP Capital</v>
      </c>
      <c r="D331" s="43" t="s">
        <v>104</v>
      </c>
      <c r="E331" s="48" t="str">
        <f>_xlfn.XLOOKUP(tblMovimientos[[#This Row],[Cuenta Bancaria]],Listas!$B:$B,Listas!$C:$C,"")</f>
        <v xml:space="preserve">Amerant Bank </v>
      </c>
      <c r="F331" s="43" t="s">
        <v>10</v>
      </c>
      <c r="G331" s="43" t="s">
        <v>61</v>
      </c>
      <c r="H331" s="4" t="str">
        <f>IFERROR(_xlfn.XLOOKUP(G331,Listas!E:E,Listas!F:F,""),"")</f>
        <v>Operativo</v>
      </c>
      <c r="I331" s="48" t="str">
        <f>IFERROR(_xlfn.XLOOKUP(G331,Listas!E:E,Listas!G:G,""),"")</f>
        <v>Externo</v>
      </c>
      <c r="J331" s="45">
        <v>300000</v>
      </c>
      <c r="K331" s="49">
        <f t="shared" si="0"/>
        <v>-300000</v>
      </c>
      <c r="L331" s="15" t="s">
        <v>128</v>
      </c>
      <c r="M331" s="46">
        <f>SUMIFS('Saldos Iniciales'!$D$2:$D$38,'Saldos Iniciales'!$A$2:$A$38,C331,'Saldos Iniciales'!$B$2:$B$38,D331)+SUMIFS($K$1:$K$432,$C$1:$C$432,C331,$D$1:$D$432,D331,$B$1:$B$432,"&lt;="&amp;B331)</f>
        <v>2502067.6299999994</v>
      </c>
      <c r="N331" s="27" t="str">
        <f>IF(tblMovimientos[[#This Row],[Tipo de Movimiento]]="Ingreso",tblMovimientos[[#This Row],[Monto (S/)]],"0")</f>
        <v>0</v>
      </c>
      <c r="O331" s="27">
        <f>IF(tblMovimientos[[#This Row],[Tipo de Movimiento]]="Egreso",tblMovimientos[[#This Row],[Monto (S/)]],"0")</f>
        <v>300000</v>
      </c>
      <c r="P331" s="29">
        <f>IF(tblMovimientos[[#This Row],[Tipo de Movimiento]]="Ingreso",tblMovimientos[[#This Row],[Ingreso]],-tblMovimientos[[#This Row],[Egreso]])</f>
        <v>-300000</v>
      </c>
    </row>
    <row r="332" spans="1:16" x14ac:dyDescent="0.3">
      <c r="B332" s="41">
        <v>46188</v>
      </c>
      <c r="C332" s="4" t="str">
        <f>_xlfn.XLOOKUP(tblMovimientos[[#This Row],[Cuenta Bancaria]],Listas!$B:$B,Listas!$A:$A,"")</f>
        <v>SSP Capital</v>
      </c>
      <c r="D332" s="43" t="s">
        <v>102</v>
      </c>
      <c r="E332" s="48" t="str">
        <f>_xlfn.XLOOKUP(tblMovimientos[[#This Row],[Cuenta Bancaria]],Listas!$B:$B,Listas!$C:$C,"")</f>
        <v>Bank of America</v>
      </c>
      <c r="F332" s="43" t="s">
        <v>10</v>
      </c>
      <c r="G332" s="43" t="s">
        <v>44</v>
      </c>
      <c r="H332" s="4" t="str">
        <f>IFERROR(_xlfn.XLOOKUP(G332,Listas!E:E,Listas!F:F,""),"")</f>
        <v>Operativo</v>
      </c>
      <c r="I332" s="48" t="str">
        <f>IFERROR(_xlfn.XLOOKUP(G332,Listas!E:E,Listas!G:G,""),"")</f>
        <v>Externo</v>
      </c>
      <c r="J332" s="45">
        <v>29.42</v>
      </c>
      <c r="K332" s="49">
        <f t="shared" si="0"/>
        <v>-29.42</v>
      </c>
      <c r="L332" s="15" t="s">
        <v>128</v>
      </c>
      <c r="M332" s="46">
        <f>SUMIFS('Saldos Iniciales'!$D$2:$D$38,'Saldos Iniciales'!$A$2:$A$38,C332,'Saldos Iniciales'!$B$2:$B$38,D332)+SUMIFS($K$1:$K$432,$C$1:$C$432,C332,$D$1:$D$432,D332,$B$1:$B$432,"&lt;="&amp;B332)</f>
        <v>533.58000000000004</v>
      </c>
      <c r="N332" s="27" t="str">
        <f>IF(tblMovimientos[[#This Row],[Tipo de Movimiento]]="Ingreso",tblMovimientos[[#This Row],[Monto (S/)]],"0")</f>
        <v>0</v>
      </c>
      <c r="O332" s="27">
        <f>IF(tblMovimientos[[#This Row],[Tipo de Movimiento]]="Egreso",tblMovimientos[[#This Row],[Monto (S/)]],"0")</f>
        <v>29.42</v>
      </c>
      <c r="P332" s="29">
        <f>IF(tblMovimientos[[#This Row],[Tipo de Movimiento]]="Ingreso",tblMovimientos[[#This Row],[Ingreso]],-tblMovimientos[[#This Row],[Egreso]])</f>
        <v>-29.42</v>
      </c>
    </row>
    <row r="333" spans="1:16" x14ac:dyDescent="0.3">
      <c r="A333" s="47"/>
      <c r="B333" s="41">
        <v>46188</v>
      </c>
      <c r="C333" s="4" t="str">
        <f>_xlfn.XLOOKUP(tblMovimientos[[#This Row],[Cuenta Bancaria]],Listas!$B:$B,Listas!$A:$A,"")</f>
        <v>A&amp;M Imports</v>
      </c>
      <c r="D333" s="43" t="s">
        <v>100</v>
      </c>
      <c r="E333" s="48" t="str">
        <f>_xlfn.XLOOKUP(tblMovimientos[[#This Row],[Cuenta Bancaria]],Listas!$B:$B,Listas!$C:$C,"")</f>
        <v>Bank of America</v>
      </c>
      <c r="F333" s="43" t="s">
        <v>10</v>
      </c>
      <c r="G333" s="43" t="s">
        <v>61</v>
      </c>
      <c r="H333" s="4" t="str">
        <f>IFERROR(_xlfn.XLOOKUP(G333,Listas!E:E,Listas!F:F,""),"")</f>
        <v>Operativo</v>
      </c>
      <c r="I333" s="48" t="str">
        <f>IFERROR(_xlfn.XLOOKUP(G333,Listas!E:E,Listas!G:G,""),"")</f>
        <v>Externo</v>
      </c>
      <c r="J333" s="45">
        <v>60000</v>
      </c>
      <c r="K333" s="49">
        <f t="shared" si="0"/>
        <v>-60000</v>
      </c>
      <c r="L333" s="15" t="s">
        <v>128</v>
      </c>
      <c r="M333" s="46">
        <f>SUMIFS('Saldos Iniciales'!$D$2:$D$38,'Saldos Iniciales'!$A$2:$A$38,C333,'Saldos Iniciales'!$B$2:$B$38,D333)+SUMIFS($K$1:$K$432,$C$1:$C$432,C333,$D$1:$D$432,D333,$B$1:$B$432,"&lt;="&amp;B333)</f>
        <v>503904.80999999982</v>
      </c>
      <c r="N333" s="27" t="str">
        <f>IF(tblMovimientos[[#This Row],[Tipo de Movimiento]]="Ingreso",tblMovimientos[[#This Row],[Monto (S/)]],"0")</f>
        <v>0</v>
      </c>
      <c r="O333" s="27">
        <f>IF(tblMovimientos[[#This Row],[Tipo de Movimiento]]="Egreso",tblMovimientos[[#This Row],[Monto (S/)]],"0")</f>
        <v>60000</v>
      </c>
      <c r="P333" s="29">
        <f>IF(tblMovimientos[[#This Row],[Tipo de Movimiento]]="Ingreso",tblMovimientos[[#This Row],[Ingreso]],-tblMovimientos[[#This Row],[Egreso]])</f>
        <v>-60000</v>
      </c>
    </row>
    <row r="334" spans="1:16" x14ac:dyDescent="0.3">
      <c r="B334" s="41">
        <v>46188</v>
      </c>
      <c r="C334" s="4" t="str">
        <f>_xlfn.XLOOKUP(tblMovimientos[[#This Row],[Cuenta Bancaria]],Listas!$B:$B,Listas!$A:$A,"")</f>
        <v>A&amp;M Imports</v>
      </c>
      <c r="D334" s="43" t="s">
        <v>100</v>
      </c>
      <c r="E334" s="4" t="str">
        <f>_xlfn.XLOOKUP(tblMovimientos[[#This Row],[Cuenta Bancaria]],Listas!$B:$B,Listas!$C:$C,"")</f>
        <v>Bank of America</v>
      </c>
      <c r="F334" s="43" t="s">
        <v>10</v>
      </c>
      <c r="G334" s="43" t="s">
        <v>44</v>
      </c>
      <c r="H334" s="4" t="str">
        <f>IFERROR(_xlfn.XLOOKUP(G334,Listas!E:E,Listas!F:F,""),"")</f>
        <v>Operativo</v>
      </c>
      <c r="I334" s="48" t="str">
        <f>IFERROR(_xlfn.XLOOKUP(G334,Listas!E:E,Listas!G:G,""),"")</f>
        <v>Externo</v>
      </c>
      <c r="J334" s="45">
        <v>721.4</v>
      </c>
      <c r="K334" s="49">
        <f t="shared" si="0"/>
        <v>-721.4</v>
      </c>
      <c r="L334" s="15" t="s">
        <v>128</v>
      </c>
      <c r="M334" s="46">
        <f>SUMIFS('Saldos Iniciales'!$D$2:$D$38,'Saldos Iniciales'!$A$2:$A$38,C334,'Saldos Iniciales'!$B$2:$B$38,D334)+SUMIFS($K$1:$K$432,$C$1:$C$432,C334,$D$1:$D$432,D334,$B$1:$B$432,"&lt;="&amp;B334)</f>
        <v>503904.80999999982</v>
      </c>
      <c r="N334" s="27" t="str">
        <f>IF(tblMovimientos[[#This Row],[Tipo de Movimiento]]="Ingreso",tblMovimientos[[#This Row],[Monto (S/)]],"0")</f>
        <v>0</v>
      </c>
      <c r="O334" s="27">
        <f>IF(tblMovimientos[[#This Row],[Tipo de Movimiento]]="Egreso",tblMovimientos[[#This Row],[Monto (S/)]],"0")</f>
        <v>721.4</v>
      </c>
      <c r="P334" s="29">
        <f>IF(tblMovimientos[[#This Row],[Tipo de Movimiento]]="Ingreso",tblMovimientos[[#This Row],[Ingreso]],-tblMovimientos[[#This Row],[Egreso]])</f>
        <v>-721.4</v>
      </c>
    </row>
    <row r="335" spans="1:16" x14ac:dyDescent="0.3">
      <c r="B335" s="41">
        <v>46188</v>
      </c>
      <c r="C335" s="4" t="str">
        <f>_xlfn.XLOOKUP(tblMovimientos[[#This Row],[Cuenta Bancaria]],Listas!$B:$B,Listas!$A:$A,"")</f>
        <v>CFT Group</v>
      </c>
      <c r="D335" s="43" t="s">
        <v>94</v>
      </c>
      <c r="E335" s="4" t="str">
        <f>_xlfn.XLOOKUP(tblMovimientos[[#This Row],[Cuenta Bancaria]],Listas!$B:$B,Listas!$C:$C,"")</f>
        <v>Bank of America</v>
      </c>
      <c r="F335" s="43" t="s">
        <v>10</v>
      </c>
      <c r="G335" s="43" t="s">
        <v>64</v>
      </c>
      <c r="H335" s="4" t="str">
        <f>IFERROR(_xlfn.XLOOKUP(G335,Listas!E:E,Listas!F:F,""),"")</f>
        <v>Operativo</v>
      </c>
      <c r="I335" s="48" t="str">
        <f>IFERROR(_xlfn.XLOOKUP(G335,Listas!E:E,Listas!G:G,""),"")</f>
        <v>Interno</v>
      </c>
      <c r="J335" s="45">
        <v>270000</v>
      </c>
      <c r="K335" s="49">
        <f t="shared" si="0"/>
        <v>-270000</v>
      </c>
      <c r="L335" s="15" t="s">
        <v>128</v>
      </c>
      <c r="M335" s="46">
        <f>SUMIFS('Saldos Iniciales'!$D$2:$D$38,'Saldos Iniciales'!$A$2:$A$38,C335,'Saldos Iniciales'!$B$2:$B$38,D335)+SUMIFS($K$1:$K$432,$C$1:$C$432,C335,$D$1:$D$432,D335,$B$1:$B$432,"&lt;="&amp;B335)</f>
        <v>11841.389999999985</v>
      </c>
      <c r="N335" s="27" t="str">
        <f>IF(tblMovimientos[[#This Row],[Tipo de Movimiento]]="Ingreso",tblMovimientos[[#This Row],[Monto (S/)]],"0")</f>
        <v>0</v>
      </c>
      <c r="O335" s="27">
        <f>IF(tblMovimientos[[#This Row],[Tipo de Movimiento]]="Egreso",tblMovimientos[[#This Row],[Monto (S/)]],"0")</f>
        <v>270000</v>
      </c>
      <c r="P335" s="29">
        <f>IF(tblMovimientos[[#This Row],[Tipo de Movimiento]]="Ingreso",tblMovimientos[[#This Row],[Ingreso]],-tblMovimientos[[#This Row],[Egreso]])</f>
        <v>-270000</v>
      </c>
    </row>
    <row r="336" spans="1:16" x14ac:dyDescent="0.3">
      <c r="B336" s="41">
        <v>46188</v>
      </c>
      <c r="C336" s="4" t="str">
        <f>_xlfn.XLOOKUP(tblMovimientos[[#This Row],[Cuenta Bancaria]],Listas!$B:$B,Listas!$A:$A,"")</f>
        <v>CFT Group</v>
      </c>
      <c r="D336" s="43" t="s">
        <v>94</v>
      </c>
      <c r="E336" s="4" t="str">
        <f>_xlfn.XLOOKUP(tblMovimientos[[#This Row],[Cuenta Bancaria]],Listas!$B:$B,Listas!$C:$C,"")</f>
        <v>Bank of America</v>
      </c>
      <c r="F336" s="43" t="s">
        <v>10</v>
      </c>
      <c r="G336" s="43" t="s">
        <v>62</v>
      </c>
      <c r="H336" s="4" t="str">
        <f>IFERROR(_xlfn.XLOOKUP(G336,Listas!E:E,Listas!F:F,""),"")</f>
        <v>Operativo</v>
      </c>
      <c r="I336" s="48" t="str">
        <f>IFERROR(_xlfn.XLOOKUP(G336,Listas!E:E,Listas!G:G,""),"")</f>
        <v>Interno</v>
      </c>
      <c r="J336" s="45">
        <v>12000</v>
      </c>
      <c r="K336" s="49">
        <f t="shared" si="0"/>
        <v>-12000</v>
      </c>
      <c r="L336" s="15" t="s">
        <v>128</v>
      </c>
      <c r="M336" s="46">
        <f>SUMIFS('Saldos Iniciales'!$D$2:$D$38,'Saldos Iniciales'!$A$2:$A$38,C336,'Saldos Iniciales'!$B$2:$B$38,D336)+SUMIFS($K$1:$K$432,$C$1:$C$432,C336,$D$1:$D$432,D336,$B$1:$B$432,"&lt;="&amp;B336)</f>
        <v>11841.389999999985</v>
      </c>
      <c r="N336" s="27" t="str">
        <f>IF(tblMovimientos[[#This Row],[Tipo de Movimiento]]="Ingreso",tblMovimientos[[#This Row],[Monto (S/)]],"0")</f>
        <v>0</v>
      </c>
      <c r="O336" s="27">
        <f>IF(tblMovimientos[[#This Row],[Tipo de Movimiento]]="Egreso",tblMovimientos[[#This Row],[Monto (S/)]],"0")</f>
        <v>12000</v>
      </c>
      <c r="P336" s="29">
        <f>IF(tblMovimientos[[#This Row],[Tipo de Movimiento]]="Ingreso",tblMovimientos[[#This Row],[Ingreso]],-tblMovimientos[[#This Row],[Egreso]])</f>
        <v>-12000</v>
      </c>
    </row>
    <row r="337" spans="1:16" x14ac:dyDescent="0.3">
      <c r="B337" s="41">
        <v>46188</v>
      </c>
      <c r="C337" s="4" t="str">
        <f>_xlfn.XLOOKUP(tblMovimientos[[#This Row],[Cuenta Bancaria]],Listas!$B:$B,Listas!$A:$A,"")</f>
        <v>CFT Group</v>
      </c>
      <c r="D337" s="43" t="s">
        <v>94</v>
      </c>
      <c r="E337" s="4" t="str">
        <f>_xlfn.XLOOKUP(tblMovimientos[[#This Row],[Cuenta Bancaria]],Listas!$B:$B,Listas!$C:$C,"")</f>
        <v>Bank of America</v>
      </c>
      <c r="F337" s="43" t="s">
        <v>10</v>
      </c>
      <c r="G337" s="43" t="s">
        <v>62</v>
      </c>
      <c r="H337" s="4" t="str">
        <f>IFERROR(_xlfn.XLOOKUP(G337,Listas!E:E,Listas!F:F,""),"")</f>
        <v>Operativo</v>
      </c>
      <c r="I337" s="48" t="str">
        <f>IFERROR(_xlfn.XLOOKUP(G337,Listas!E:E,Listas!G:G,""),"")</f>
        <v>Interno</v>
      </c>
      <c r="J337" s="45">
        <v>15000</v>
      </c>
      <c r="K337" s="49">
        <f t="shared" si="0"/>
        <v>-15000</v>
      </c>
      <c r="L337" s="15" t="s">
        <v>128</v>
      </c>
      <c r="M337" s="46">
        <f>SUMIFS('Saldos Iniciales'!$D$2:$D$38,'Saldos Iniciales'!$A$2:$A$38,C337,'Saldos Iniciales'!$B$2:$B$38,D337)+SUMIFS($K$1:$K$432,$C$1:$C$432,C337,$D$1:$D$432,D337,$B$1:$B$432,"&lt;="&amp;B337)</f>
        <v>11841.389999999985</v>
      </c>
      <c r="N337" s="27" t="str">
        <f>IF(tblMovimientos[[#This Row],[Tipo de Movimiento]]="Ingreso",tblMovimientos[[#This Row],[Monto (S/)]],"0")</f>
        <v>0</v>
      </c>
      <c r="O337" s="27">
        <f>IF(tblMovimientos[[#This Row],[Tipo de Movimiento]]="Egreso",tblMovimientos[[#This Row],[Monto (S/)]],"0")</f>
        <v>15000</v>
      </c>
      <c r="P337" s="29">
        <f>IF(tblMovimientos[[#This Row],[Tipo de Movimiento]]="Ingreso",tblMovimientos[[#This Row],[Ingreso]],-tblMovimientos[[#This Row],[Egreso]])</f>
        <v>-15000</v>
      </c>
    </row>
    <row r="338" spans="1:16" x14ac:dyDescent="0.3">
      <c r="B338" s="41">
        <v>46188</v>
      </c>
      <c r="C338" s="4" t="str">
        <f>_xlfn.XLOOKUP(tblMovimientos[[#This Row],[Cuenta Bancaria]],Listas!$B:$B,Listas!$A:$A,"")</f>
        <v>2515 Overbrook</v>
      </c>
      <c r="D338" s="43" t="s">
        <v>121</v>
      </c>
      <c r="E338" s="4" t="str">
        <f>_xlfn.XLOOKUP(tblMovimientos[[#This Row],[Cuenta Bancaria]],Listas!$B:$B,Listas!$C:$C,"")</f>
        <v>Bank of America</v>
      </c>
      <c r="F338" s="43" t="s">
        <v>9</v>
      </c>
      <c r="G338" s="43" t="s">
        <v>81</v>
      </c>
      <c r="H338" s="4" t="str">
        <f>IFERROR(_xlfn.XLOOKUP(G338,Listas!E:E,Listas!F:F,""),"")</f>
        <v>Operativo</v>
      </c>
      <c r="I338" s="48" t="str">
        <f>IFERROR(_xlfn.XLOOKUP(G338,Listas!E:E,Listas!G:G,""),"")</f>
        <v>Externo</v>
      </c>
      <c r="J338" s="45">
        <v>2000</v>
      </c>
      <c r="K338" s="49">
        <f t="shared" ref="K338:K369" si="1">IF(F338="Ingreso",J338,-J338)</f>
        <v>2000</v>
      </c>
      <c r="L338" s="15" t="s">
        <v>128</v>
      </c>
      <c r="M338" s="46">
        <f>SUMIFS('Saldos Iniciales'!$D$2:$D$38,'Saldos Iniciales'!$A$2:$A$38,C338,'Saldos Iniciales'!$B$2:$B$38,D338)+SUMIFS($K$1:$K$432,$C$1:$C$432,C338,$D$1:$D$432,D338,$B$1:$B$432,"&lt;="&amp;B338)</f>
        <v>29459.549999999963</v>
      </c>
      <c r="N338" s="27">
        <f>IF(tblMovimientos[[#This Row],[Tipo de Movimiento]]="Ingreso",tblMovimientos[[#This Row],[Monto (S/)]],"0")</f>
        <v>2000</v>
      </c>
      <c r="O338" s="27" t="str">
        <f>IF(tblMovimientos[[#This Row],[Tipo de Movimiento]]="Egreso",tblMovimientos[[#This Row],[Monto (S/)]],"0")</f>
        <v>0</v>
      </c>
      <c r="P338" s="29">
        <f>IF(tblMovimientos[[#This Row],[Tipo de Movimiento]]="Ingreso",tblMovimientos[[#This Row],[Ingreso]],-tblMovimientos[[#This Row],[Egreso]])</f>
        <v>2000</v>
      </c>
    </row>
    <row r="339" spans="1:16" x14ac:dyDescent="0.3">
      <c r="B339" s="41">
        <v>46188</v>
      </c>
      <c r="C339" s="4" t="str">
        <f>_xlfn.XLOOKUP(tblMovimientos[[#This Row],[Cuenta Bancaria]],Listas!$B:$B,Listas!$A:$A,"")</f>
        <v>3628 Thomas Ave</v>
      </c>
      <c r="D339" s="43" t="s">
        <v>124</v>
      </c>
      <c r="E339" s="4" t="str">
        <f>_xlfn.XLOOKUP(tblMovimientos[[#This Row],[Cuenta Bancaria]],Listas!$B:$B,Listas!$C:$C,"")</f>
        <v>Bank of America</v>
      </c>
      <c r="F339" s="43" t="s">
        <v>10</v>
      </c>
      <c r="G339" s="43" t="s">
        <v>38</v>
      </c>
      <c r="H339" s="4" t="str">
        <f>IFERROR(_xlfn.XLOOKUP(G339,Listas!E:E,Listas!F:F,""),"")</f>
        <v>Operativo</v>
      </c>
      <c r="I339" s="48" t="str">
        <f>IFERROR(_xlfn.XLOOKUP(G339,Listas!E:E,Listas!G:G,""),"")</f>
        <v>Externo</v>
      </c>
      <c r="J339" s="45">
        <v>4000</v>
      </c>
      <c r="K339" s="49">
        <f t="shared" si="1"/>
        <v>-4000</v>
      </c>
      <c r="L339" s="15" t="s">
        <v>128</v>
      </c>
      <c r="M339" s="46">
        <f>SUMIFS('Saldos Iniciales'!$D$2:$D$38,'Saldos Iniciales'!$A$2:$A$38,C339,'Saldos Iniciales'!$B$2:$B$38,D339)+SUMIFS($K$1:$K$432,$C$1:$C$432,C339,$D$1:$D$432,D339,$B$1:$B$432,"&lt;="&amp;B339)</f>
        <v>20484.849999999999</v>
      </c>
      <c r="N339" s="27" t="str">
        <f>IF(tblMovimientos[[#This Row],[Tipo de Movimiento]]="Ingreso",tblMovimientos[[#This Row],[Monto (S/)]],"0")</f>
        <v>0</v>
      </c>
      <c r="O339" s="27">
        <f>IF(tblMovimientos[[#This Row],[Tipo de Movimiento]]="Egreso",tblMovimientos[[#This Row],[Monto (S/)]],"0")</f>
        <v>4000</v>
      </c>
      <c r="P339" s="29">
        <f>IF(tblMovimientos[[#This Row],[Tipo de Movimiento]]="Ingreso",tblMovimientos[[#This Row],[Ingreso]],-tblMovimientos[[#This Row],[Egreso]])</f>
        <v>-4000</v>
      </c>
    </row>
    <row r="340" spans="1:16" x14ac:dyDescent="0.3">
      <c r="B340" s="41">
        <v>46188</v>
      </c>
      <c r="C340" s="4" t="str">
        <f>_xlfn.XLOOKUP(tblMovimientos[[#This Row],[Cuenta Bancaria]],Listas!$B:$B,Listas!$A:$A,"")</f>
        <v>SSP Capital</v>
      </c>
      <c r="D340" s="43" t="s">
        <v>106</v>
      </c>
      <c r="E340" s="4" t="str">
        <f>_xlfn.XLOOKUP(tblMovimientos[[#This Row],[Cuenta Bancaria]],Listas!$B:$B,Listas!$C:$C,"")</f>
        <v xml:space="preserve">Amerant Bank </v>
      </c>
      <c r="F340" s="43" t="s">
        <v>9</v>
      </c>
      <c r="G340" s="43" t="s">
        <v>85</v>
      </c>
      <c r="H340" s="4" t="str">
        <f>IFERROR(_xlfn.XLOOKUP(G340,Listas!E:E,Listas!F:F,""),"")</f>
        <v>Operativo</v>
      </c>
      <c r="I340" s="48" t="str">
        <f>IFERROR(_xlfn.XLOOKUP(G340,Listas!E:E,Listas!G:G,""),"")</f>
        <v>Interno</v>
      </c>
      <c r="J340" s="45">
        <v>54600</v>
      </c>
      <c r="K340" s="49">
        <f t="shared" si="1"/>
        <v>54600</v>
      </c>
      <c r="L340" s="15" t="s">
        <v>128</v>
      </c>
      <c r="M340" s="46">
        <f>SUMIFS('Saldos Iniciales'!$D$2:$D$38,'Saldos Iniciales'!$A$2:$A$38,C340,'Saldos Iniciales'!$B$2:$B$38,D340)+SUMIFS($K$1:$K$432,$C$1:$C$432,C340,$D$1:$D$432,D340,$B$1:$B$432,"&lt;="&amp;B340)</f>
        <v>804412.95</v>
      </c>
      <c r="N340" s="27">
        <f>IF(tblMovimientos[[#This Row],[Tipo de Movimiento]]="Ingreso",tblMovimientos[[#This Row],[Monto (S/)]],"0")</f>
        <v>54600</v>
      </c>
      <c r="O340" s="27" t="str">
        <f>IF(tblMovimientos[[#This Row],[Tipo de Movimiento]]="Egreso",tblMovimientos[[#This Row],[Monto (S/)]],"0")</f>
        <v>0</v>
      </c>
      <c r="P340" s="29">
        <f>IF(tblMovimientos[[#This Row],[Tipo de Movimiento]]="Ingreso",tblMovimientos[[#This Row],[Ingreso]],-tblMovimientos[[#This Row],[Egreso]])</f>
        <v>54600</v>
      </c>
    </row>
    <row r="341" spans="1:16" x14ac:dyDescent="0.3">
      <c r="B341" s="41">
        <v>46189</v>
      </c>
      <c r="C341" s="4" t="str">
        <f>_xlfn.XLOOKUP(tblMovimientos[[#This Row],[Cuenta Bancaria]],Listas!$B:$B,Listas!$A:$A,"")</f>
        <v>Go Blue</v>
      </c>
      <c r="D341" s="43" t="s">
        <v>126</v>
      </c>
      <c r="E341" s="4" t="str">
        <f>_xlfn.XLOOKUP(tblMovimientos[[#This Row],[Cuenta Bancaria]],Listas!$B:$B,Listas!$C:$C,"")</f>
        <v xml:space="preserve">Amerant Bank </v>
      </c>
      <c r="F341" s="43" t="s">
        <v>10</v>
      </c>
      <c r="G341" s="43" t="s">
        <v>38</v>
      </c>
      <c r="H341" s="4" t="str">
        <f>IFERROR(_xlfn.XLOOKUP(G341,Listas!E:E,Listas!F:F,""),"")</f>
        <v>Operativo</v>
      </c>
      <c r="I341" s="48" t="str">
        <f>IFERROR(_xlfn.XLOOKUP(G341,Listas!E:E,Listas!G:G,""),"")</f>
        <v>Externo</v>
      </c>
      <c r="J341" s="45">
        <v>522</v>
      </c>
      <c r="K341" s="49">
        <f t="shared" si="1"/>
        <v>-522</v>
      </c>
      <c r="L341" s="15" t="s">
        <v>128</v>
      </c>
      <c r="M341" s="46">
        <f>SUMIFS('Saldos Iniciales'!$D$2:$D$38,'Saldos Iniciales'!$A$2:$A$38,C341,'Saldos Iniciales'!$B$2:$B$38,D341)+SUMIFS($K$1:$K$432,$C$1:$C$432,C341,$D$1:$D$432,D341,$B$1:$B$432,"&lt;="&amp;B341)</f>
        <v>46041.01</v>
      </c>
      <c r="N341" s="27" t="str">
        <f>IF(tblMovimientos[[#This Row],[Tipo de Movimiento]]="Ingreso",tblMovimientos[[#This Row],[Monto (S/)]],"0")</f>
        <v>0</v>
      </c>
      <c r="O341" s="27">
        <f>IF(tblMovimientos[[#This Row],[Tipo de Movimiento]]="Egreso",tblMovimientos[[#This Row],[Monto (S/)]],"0")</f>
        <v>522</v>
      </c>
      <c r="P341" s="29">
        <f>IF(tblMovimientos[[#This Row],[Tipo de Movimiento]]="Ingreso",tblMovimientos[[#This Row],[Ingreso]],-tblMovimientos[[#This Row],[Egreso]])</f>
        <v>-522</v>
      </c>
    </row>
    <row r="342" spans="1:16" x14ac:dyDescent="0.3">
      <c r="B342" s="41">
        <v>46189</v>
      </c>
      <c r="C342" s="4" t="str">
        <f>_xlfn.XLOOKUP(tblMovimientos[[#This Row],[Cuenta Bancaria]],Listas!$B:$B,Listas!$A:$A,"")</f>
        <v>Go Blue</v>
      </c>
      <c r="D342" s="43" t="s">
        <v>126</v>
      </c>
      <c r="E342" s="4" t="str">
        <f>_xlfn.XLOOKUP(tblMovimientos[[#This Row],[Cuenta Bancaria]],Listas!$B:$B,Listas!$C:$C,"")</f>
        <v xml:space="preserve">Amerant Bank </v>
      </c>
      <c r="F342" s="43" t="s">
        <v>10</v>
      </c>
      <c r="G342" s="43" t="s">
        <v>38</v>
      </c>
      <c r="H342" s="4" t="str">
        <f>IFERROR(_xlfn.XLOOKUP(G342,Listas!E:E,Listas!F:F,""),"")</f>
        <v>Operativo</v>
      </c>
      <c r="I342" s="48" t="str">
        <f>IFERROR(_xlfn.XLOOKUP(G342,Listas!E:E,Listas!G:G,""),"")</f>
        <v>Externo</v>
      </c>
      <c r="J342" s="45">
        <v>2161.7199999999998</v>
      </c>
      <c r="K342" s="49">
        <f t="shared" si="1"/>
        <v>-2161.7199999999998</v>
      </c>
      <c r="L342" s="15" t="s">
        <v>128</v>
      </c>
      <c r="M342" s="46">
        <f>SUMIFS('Saldos Iniciales'!$D$2:$D$38,'Saldos Iniciales'!$A$2:$A$38,C342,'Saldos Iniciales'!$B$2:$B$38,D342)+SUMIFS($K$1:$K$432,$C$1:$C$432,C342,$D$1:$D$432,D342,$B$1:$B$432,"&lt;="&amp;B342)</f>
        <v>46041.01</v>
      </c>
      <c r="N342" s="27" t="str">
        <f>IF(tblMovimientos[[#This Row],[Tipo de Movimiento]]="Ingreso",tblMovimientos[[#This Row],[Monto (S/)]],"0")</f>
        <v>0</v>
      </c>
      <c r="O342" s="27">
        <f>IF(tblMovimientos[[#This Row],[Tipo de Movimiento]]="Egreso",tblMovimientos[[#This Row],[Monto (S/)]],"0")</f>
        <v>2161.7199999999998</v>
      </c>
      <c r="P342" s="29">
        <f>IF(tblMovimientos[[#This Row],[Tipo de Movimiento]]="Ingreso",tblMovimientos[[#This Row],[Ingreso]],-tblMovimientos[[#This Row],[Egreso]])</f>
        <v>-2161.7199999999998</v>
      </c>
    </row>
    <row r="343" spans="1:16" x14ac:dyDescent="0.3">
      <c r="B343" s="41">
        <v>46189</v>
      </c>
      <c r="C343" s="4" t="str">
        <f>_xlfn.XLOOKUP(tblMovimientos[[#This Row],[Cuenta Bancaria]],Listas!$B:$B,Listas!$A:$A,"")</f>
        <v>SSP Capital</v>
      </c>
      <c r="D343" s="43" t="s">
        <v>101</v>
      </c>
      <c r="E343" s="4" t="str">
        <f>_xlfn.XLOOKUP(tblMovimientos[[#This Row],[Cuenta Bancaria]],Listas!$B:$B,Listas!$C:$C,"")</f>
        <v>Bank of America</v>
      </c>
      <c r="F343" s="43" t="s">
        <v>10</v>
      </c>
      <c r="G343" s="43" t="s">
        <v>38</v>
      </c>
      <c r="H343" s="4" t="str">
        <f>IFERROR(_xlfn.XLOOKUP(G343,Listas!E:E,Listas!F:F,""),"")</f>
        <v>Operativo</v>
      </c>
      <c r="I343" s="48" t="str">
        <f>IFERROR(_xlfn.XLOOKUP(G343,Listas!E:E,Listas!G:G,""),"")</f>
        <v>Externo</v>
      </c>
      <c r="J343" s="45">
        <v>2490.36</v>
      </c>
      <c r="K343" s="49">
        <f t="shared" si="1"/>
        <v>-2490.36</v>
      </c>
      <c r="L343" s="15" t="s">
        <v>128</v>
      </c>
      <c r="M343" s="46">
        <f>SUMIFS('Saldos Iniciales'!$D$2:$D$38,'Saldos Iniciales'!$A$2:$A$38,C343,'Saldos Iniciales'!$B$2:$B$38,D343)+SUMIFS($K$1:$K$432,$C$1:$C$432,C343,$D$1:$D$432,D343,$B$1:$B$432,"&lt;="&amp;B343)</f>
        <v>12471.52</v>
      </c>
      <c r="N343" s="27" t="str">
        <f>IF(tblMovimientos[[#This Row],[Tipo de Movimiento]]="Ingreso",tblMovimientos[[#This Row],[Monto (S/)]],"0")</f>
        <v>0</v>
      </c>
      <c r="O343" s="27">
        <f>IF(tblMovimientos[[#This Row],[Tipo de Movimiento]]="Egreso",tblMovimientos[[#This Row],[Monto (S/)]],"0")</f>
        <v>2490.36</v>
      </c>
      <c r="P343" s="29">
        <f>IF(tblMovimientos[[#This Row],[Tipo de Movimiento]]="Ingreso",tblMovimientos[[#This Row],[Ingreso]],-tblMovimientos[[#This Row],[Egreso]])</f>
        <v>-2490.36</v>
      </c>
    </row>
    <row r="344" spans="1:16" x14ac:dyDescent="0.3">
      <c r="A344" s="47"/>
      <c r="B344" s="41">
        <v>46189</v>
      </c>
      <c r="C344" s="4" t="str">
        <f>_xlfn.XLOOKUP(tblMovimientos[[#This Row],[Cuenta Bancaria]],Listas!$B:$B,Listas!$A:$A,"")</f>
        <v>CFT Group</v>
      </c>
      <c r="D344" s="43" t="s">
        <v>94</v>
      </c>
      <c r="E344" s="48" t="str">
        <f>_xlfn.XLOOKUP(tblMovimientos[[#This Row],[Cuenta Bancaria]],Listas!$B:$B,Listas!$C:$C,"")</f>
        <v>Bank of America</v>
      </c>
      <c r="F344" s="43" t="s">
        <v>9</v>
      </c>
      <c r="G344" s="43" t="s">
        <v>72</v>
      </c>
      <c r="H344" s="48" t="str">
        <f>IFERROR(_xlfn.XLOOKUP(G344,Listas!E:E,Listas!F:F,""),"")</f>
        <v>Operativo</v>
      </c>
      <c r="I344" s="48" t="str">
        <f>IFERROR(_xlfn.XLOOKUP(G344,Listas!E:E,Listas!G:G,""),"")</f>
        <v>Externo</v>
      </c>
      <c r="J344" s="45">
        <v>100392.81</v>
      </c>
      <c r="K344" s="49">
        <f t="shared" si="1"/>
        <v>100392.81</v>
      </c>
      <c r="L344" s="15" t="s">
        <v>128</v>
      </c>
      <c r="M344" s="46">
        <f>SUMIFS('Saldos Iniciales'!$D$2:$D$38,'Saldos Iniciales'!$A$2:$A$38,C344,'Saldos Iniciales'!$B$2:$B$38,D344)+SUMIFS($K$1:$K$432,$C$1:$C$432,C344,$D$1:$D$432,D344,$B$1:$B$432,"&lt;="&amp;B344)</f>
        <v>112224.19999999998</v>
      </c>
      <c r="N344" s="27">
        <f>IF(tblMovimientos[[#This Row],[Tipo de Movimiento]]="Ingreso",tblMovimientos[[#This Row],[Monto (S/)]],"0")</f>
        <v>100392.81</v>
      </c>
      <c r="O344" s="27" t="str">
        <f>IF(tblMovimientos[[#This Row],[Tipo de Movimiento]]="Egreso",tblMovimientos[[#This Row],[Monto (S/)]],"0")</f>
        <v>0</v>
      </c>
      <c r="P344" s="29">
        <f>IF(tblMovimientos[[#This Row],[Tipo de Movimiento]]="Ingreso",tblMovimientos[[#This Row],[Ingreso]],-tblMovimientos[[#This Row],[Egreso]])</f>
        <v>100392.81</v>
      </c>
    </row>
    <row r="345" spans="1:16" x14ac:dyDescent="0.3">
      <c r="B345" s="41">
        <v>46189</v>
      </c>
      <c r="C345" s="4" t="str">
        <f>_xlfn.XLOOKUP(tblMovimientos[[#This Row],[Cuenta Bancaria]],Listas!$B:$B,Listas!$A:$A,"")</f>
        <v>CFT Group</v>
      </c>
      <c r="D345" s="43" t="s">
        <v>94</v>
      </c>
      <c r="E345" s="4" t="str">
        <f>_xlfn.XLOOKUP(tblMovimientos[[#This Row],[Cuenta Bancaria]],Listas!$B:$B,Listas!$C:$C,"")</f>
        <v>Bank of America</v>
      </c>
      <c r="F345" s="43" t="s">
        <v>10</v>
      </c>
      <c r="G345" s="43" t="s">
        <v>44</v>
      </c>
      <c r="H345" s="4" t="str">
        <f>IFERROR(_xlfn.XLOOKUP(G345,Listas!E:E,Listas!F:F,""),"")</f>
        <v>Operativo</v>
      </c>
      <c r="I345" s="48" t="str">
        <f>IFERROR(_xlfn.XLOOKUP(G345,Listas!E:E,Listas!G:G,""),"")</f>
        <v>Externo</v>
      </c>
      <c r="J345" s="45">
        <v>5</v>
      </c>
      <c r="K345" s="49">
        <f t="shared" si="1"/>
        <v>-5</v>
      </c>
      <c r="L345" s="15" t="s">
        <v>128</v>
      </c>
      <c r="M345" s="46">
        <f>SUMIFS('Saldos Iniciales'!$D$2:$D$38,'Saldos Iniciales'!$A$2:$A$38,C345,'Saldos Iniciales'!$B$2:$B$38,D345)+SUMIFS($K$1:$K$432,$C$1:$C$432,C345,$D$1:$D$432,D345,$B$1:$B$432,"&lt;="&amp;B345)</f>
        <v>112224.19999999998</v>
      </c>
      <c r="N345" s="27" t="str">
        <f>IF(tblMovimientos[[#This Row],[Tipo de Movimiento]]="Ingreso",tblMovimientos[[#This Row],[Monto (S/)]],"0")</f>
        <v>0</v>
      </c>
      <c r="O345" s="27">
        <f>IF(tblMovimientos[[#This Row],[Tipo de Movimiento]]="Egreso",tblMovimientos[[#This Row],[Monto (S/)]],"0")</f>
        <v>5</v>
      </c>
      <c r="P345" s="29">
        <f>IF(tblMovimientos[[#This Row],[Tipo de Movimiento]]="Ingreso",tblMovimientos[[#This Row],[Ingreso]],-tblMovimientos[[#This Row],[Egreso]])</f>
        <v>-5</v>
      </c>
    </row>
    <row r="346" spans="1:16" x14ac:dyDescent="0.3">
      <c r="B346" s="41">
        <v>46189</v>
      </c>
      <c r="C346" s="4" t="str">
        <f>_xlfn.XLOOKUP(tblMovimientos[[#This Row],[Cuenta Bancaria]],Listas!$B:$B,Listas!$A:$A,"")</f>
        <v>CFT Group</v>
      </c>
      <c r="D346" s="43" t="s">
        <v>94</v>
      </c>
      <c r="E346" s="4" t="str">
        <f>_xlfn.XLOOKUP(tblMovimientos[[#This Row],[Cuenta Bancaria]],Listas!$B:$B,Listas!$C:$C,"")</f>
        <v>Bank of America</v>
      </c>
      <c r="F346" s="43" t="s">
        <v>10</v>
      </c>
      <c r="G346" s="43" t="s">
        <v>44</v>
      </c>
      <c r="H346" s="4" t="str">
        <f>IFERROR(_xlfn.XLOOKUP(G346,Listas!E:E,Listas!F:F,""),"")</f>
        <v>Operativo</v>
      </c>
      <c r="I346" s="48" t="str">
        <f>IFERROR(_xlfn.XLOOKUP(G346,Listas!E:E,Listas!G:G,""),"")</f>
        <v>Externo</v>
      </c>
      <c r="J346" s="45">
        <v>5</v>
      </c>
      <c r="K346" s="49">
        <f t="shared" si="1"/>
        <v>-5</v>
      </c>
      <c r="L346" s="15" t="s">
        <v>128</v>
      </c>
      <c r="M346" s="46">
        <f>SUMIFS('Saldos Iniciales'!$D$2:$D$38,'Saldos Iniciales'!$A$2:$A$38,C346,'Saldos Iniciales'!$B$2:$B$38,D346)+SUMIFS($K$1:$K$432,$C$1:$C$432,C346,$D$1:$D$432,D346,$B$1:$B$432,"&lt;="&amp;B346)</f>
        <v>112224.19999999998</v>
      </c>
      <c r="N346" s="27" t="str">
        <f>IF(tblMovimientos[[#This Row],[Tipo de Movimiento]]="Ingreso",tblMovimientos[[#This Row],[Monto (S/)]],"0")</f>
        <v>0</v>
      </c>
      <c r="O346" s="27">
        <f>IF(tblMovimientos[[#This Row],[Tipo de Movimiento]]="Egreso",tblMovimientos[[#This Row],[Monto (S/)]],"0")</f>
        <v>5</v>
      </c>
      <c r="P346" s="29">
        <f>IF(tblMovimientos[[#This Row],[Tipo de Movimiento]]="Ingreso",tblMovimientos[[#This Row],[Ingreso]],-tblMovimientos[[#This Row],[Egreso]])</f>
        <v>-5</v>
      </c>
    </row>
    <row r="347" spans="1:16" x14ac:dyDescent="0.3">
      <c r="B347" s="41">
        <v>46189</v>
      </c>
      <c r="C347" s="4" t="str">
        <f>_xlfn.XLOOKUP(tblMovimientos[[#This Row],[Cuenta Bancaria]],Listas!$B:$B,Listas!$A:$A,"")</f>
        <v>112 Florida Ave</v>
      </c>
      <c r="D347" s="43" t="s">
        <v>123</v>
      </c>
      <c r="E347" s="4" t="str">
        <f>_xlfn.XLOOKUP(tblMovimientos[[#This Row],[Cuenta Bancaria]],Listas!$B:$B,Listas!$C:$C,"")</f>
        <v>Bank of America</v>
      </c>
      <c r="F347" s="43" t="s">
        <v>9</v>
      </c>
      <c r="G347" s="43" t="s">
        <v>75</v>
      </c>
      <c r="H347" s="4" t="str">
        <f>IFERROR(_xlfn.XLOOKUP(G347,Listas!E:E,Listas!F:F,""),"")</f>
        <v>Financiamiento</v>
      </c>
      <c r="I347" s="48" t="str">
        <f>IFERROR(_xlfn.XLOOKUP(G347,Listas!E:E,Listas!G:G,""),"")</f>
        <v>Interno</v>
      </c>
      <c r="J347" s="45">
        <v>15000</v>
      </c>
      <c r="K347" s="49">
        <f t="shared" si="1"/>
        <v>15000</v>
      </c>
      <c r="L347" s="15" t="s">
        <v>128</v>
      </c>
      <c r="M347" s="46">
        <f>SUMIFS('Saldos Iniciales'!$D$2:$D$38,'Saldos Iniciales'!$A$2:$A$38,C347,'Saldos Iniciales'!$B$2:$B$38,D347)+SUMIFS($K$1:$K$432,$C$1:$C$432,C347,$D$1:$D$432,D347,$B$1:$B$432,"&lt;="&amp;B347)</f>
        <v>20321.43</v>
      </c>
      <c r="N347" s="27">
        <f>IF(tblMovimientos[[#This Row],[Tipo de Movimiento]]="Ingreso",tblMovimientos[[#This Row],[Monto (S/)]],"0")</f>
        <v>15000</v>
      </c>
      <c r="O347" s="27" t="str">
        <f>IF(tblMovimientos[[#This Row],[Tipo de Movimiento]]="Egreso",tblMovimientos[[#This Row],[Monto (S/)]],"0")</f>
        <v>0</v>
      </c>
      <c r="P347" s="29">
        <f>IF(tblMovimientos[[#This Row],[Tipo de Movimiento]]="Ingreso",tblMovimientos[[#This Row],[Ingreso]],-tblMovimientos[[#This Row],[Egreso]])</f>
        <v>15000</v>
      </c>
    </row>
    <row r="348" spans="1:16" x14ac:dyDescent="0.3">
      <c r="B348" s="41">
        <v>46189</v>
      </c>
      <c r="C348" s="4" t="str">
        <f>_xlfn.XLOOKUP(tblMovimientos[[#This Row],[Cuenta Bancaria]],Listas!$B:$B,Listas!$A:$A,"")</f>
        <v>3628 Thomas Ave</v>
      </c>
      <c r="D348" s="43" t="s">
        <v>124</v>
      </c>
      <c r="E348" s="4" t="str">
        <f>_xlfn.XLOOKUP(tblMovimientos[[#This Row],[Cuenta Bancaria]],Listas!$B:$B,Listas!$C:$C,"")</f>
        <v>Bank of America</v>
      </c>
      <c r="F348" s="43" t="s">
        <v>10</v>
      </c>
      <c r="G348" s="43" t="s">
        <v>38</v>
      </c>
      <c r="H348" s="4" t="str">
        <f>IFERROR(_xlfn.XLOOKUP(G348,Listas!E:E,Listas!F:F,""),"")</f>
        <v>Operativo</v>
      </c>
      <c r="I348" s="48" t="str">
        <f>IFERROR(_xlfn.XLOOKUP(G348,Listas!E:E,Listas!G:G,""),"")</f>
        <v>Externo</v>
      </c>
      <c r="J348" s="45">
        <v>173.5</v>
      </c>
      <c r="K348" s="49">
        <f t="shared" si="1"/>
        <v>-173.5</v>
      </c>
      <c r="L348" s="15" t="s">
        <v>128</v>
      </c>
      <c r="M348" s="46">
        <f>SUMIFS('Saldos Iniciales'!$D$2:$D$38,'Saldos Iniciales'!$A$2:$A$38,C348,'Saldos Iniciales'!$B$2:$B$38,D348)+SUMIFS($K$1:$K$432,$C$1:$C$432,C348,$D$1:$D$432,D348,$B$1:$B$432,"&lt;="&amp;B348)</f>
        <v>19811.349999999999</v>
      </c>
      <c r="N348" s="27" t="str">
        <f>IF(tblMovimientos[[#This Row],[Tipo de Movimiento]]="Ingreso",tblMovimientos[[#This Row],[Monto (S/)]],"0")</f>
        <v>0</v>
      </c>
      <c r="O348" s="27">
        <f>IF(tblMovimientos[[#This Row],[Tipo de Movimiento]]="Egreso",tblMovimientos[[#This Row],[Monto (S/)]],"0")</f>
        <v>173.5</v>
      </c>
      <c r="P348" s="29">
        <f>IF(tblMovimientos[[#This Row],[Tipo de Movimiento]]="Ingreso",tblMovimientos[[#This Row],[Ingreso]],-tblMovimientos[[#This Row],[Egreso]])</f>
        <v>-173.5</v>
      </c>
    </row>
    <row r="349" spans="1:16" x14ac:dyDescent="0.3">
      <c r="B349" s="41">
        <v>46189</v>
      </c>
      <c r="C349" s="4" t="str">
        <f>_xlfn.XLOOKUP(tblMovimientos[[#This Row],[Cuenta Bancaria]],Listas!$B:$B,Listas!$A:$A,"")</f>
        <v>3628 Thomas Ave</v>
      </c>
      <c r="D349" s="43" t="s">
        <v>124</v>
      </c>
      <c r="E349" s="4" t="str">
        <f>_xlfn.XLOOKUP(tblMovimientos[[#This Row],[Cuenta Bancaria]],Listas!$B:$B,Listas!$C:$C,"")</f>
        <v>Bank of America</v>
      </c>
      <c r="F349" s="43" t="s">
        <v>10</v>
      </c>
      <c r="G349" s="43" t="s">
        <v>38</v>
      </c>
      <c r="H349" s="4" t="str">
        <f>IFERROR(_xlfn.XLOOKUP(G349,Listas!E:E,Listas!F:F,""),"")</f>
        <v>Operativo</v>
      </c>
      <c r="I349" s="48" t="str">
        <f>IFERROR(_xlfn.XLOOKUP(G349,Listas!E:E,Listas!G:G,""),"")</f>
        <v>Externo</v>
      </c>
      <c r="J349" s="45">
        <v>220</v>
      </c>
      <c r="K349" s="49">
        <f t="shared" si="1"/>
        <v>-220</v>
      </c>
      <c r="L349" s="15" t="s">
        <v>128</v>
      </c>
      <c r="M349" s="46">
        <f>SUMIFS('Saldos Iniciales'!$D$2:$D$38,'Saldos Iniciales'!$A$2:$A$38,C349,'Saldos Iniciales'!$B$2:$B$38,D349)+SUMIFS($K$1:$K$432,$C$1:$C$432,C349,$D$1:$D$432,D349,$B$1:$B$432,"&lt;="&amp;B349)</f>
        <v>19811.349999999999</v>
      </c>
      <c r="N349" s="27" t="str">
        <f>IF(tblMovimientos[[#This Row],[Tipo de Movimiento]]="Ingreso",tblMovimientos[[#This Row],[Monto (S/)]],"0")</f>
        <v>0</v>
      </c>
      <c r="O349" s="27">
        <f>IF(tblMovimientos[[#This Row],[Tipo de Movimiento]]="Egreso",tblMovimientos[[#This Row],[Monto (S/)]],"0")</f>
        <v>220</v>
      </c>
      <c r="P349" s="29">
        <f>IF(tblMovimientos[[#This Row],[Tipo de Movimiento]]="Ingreso",tblMovimientos[[#This Row],[Ingreso]],-tblMovimientos[[#This Row],[Egreso]])</f>
        <v>-220</v>
      </c>
    </row>
    <row r="350" spans="1:16" x14ac:dyDescent="0.3">
      <c r="A350" s="47"/>
      <c r="B350" s="41">
        <v>46189</v>
      </c>
      <c r="C350" s="4" t="str">
        <f>_xlfn.XLOOKUP(tblMovimientos[[#This Row],[Cuenta Bancaria]],Listas!$B:$B,Listas!$A:$A,"")</f>
        <v>3628 Thomas Ave</v>
      </c>
      <c r="D350" s="43" t="s">
        <v>124</v>
      </c>
      <c r="E350" s="4" t="str">
        <f>_xlfn.XLOOKUP(tblMovimientos[[#This Row],[Cuenta Bancaria]],Listas!$B:$B,Listas!$C:$C,"")</f>
        <v>Bank of America</v>
      </c>
      <c r="F350" s="43" t="s">
        <v>10</v>
      </c>
      <c r="G350" s="43" t="s">
        <v>38</v>
      </c>
      <c r="H350" s="48" t="str">
        <f>IFERROR(_xlfn.XLOOKUP(G350,Listas!E:E,Listas!F:F,""),"")</f>
        <v>Operativo</v>
      </c>
      <c r="I350" s="48" t="str">
        <f>IFERROR(_xlfn.XLOOKUP(G350,Listas!E:E,Listas!G:G,""),"")</f>
        <v>Externo</v>
      </c>
      <c r="J350" s="45">
        <v>80</v>
      </c>
      <c r="K350" s="49">
        <f t="shared" si="1"/>
        <v>-80</v>
      </c>
      <c r="L350" s="15" t="s">
        <v>128</v>
      </c>
      <c r="M350" s="46">
        <f>SUMIFS('Saldos Iniciales'!$D$2:$D$38,'Saldos Iniciales'!$A$2:$A$38,C350,'Saldos Iniciales'!$B$2:$B$38,D350)+SUMIFS($K$1:$K$432,$C$1:$C$432,C350,$D$1:$D$432,D350,$B$1:$B$432,"&lt;="&amp;B350)</f>
        <v>19811.349999999999</v>
      </c>
      <c r="N350" s="27" t="str">
        <f>IF(tblMovimientos[[#This Row],[Tipo de Movimiento]]="Ingreso",tblMovimientos[[#This Row],[Monto (S/)]],"0")</f>
        <v>0</v>
      </c>
      <c r="O350" s="27">
        <f>IF(tblMovimientos[[#This Row],[Tipo de Movimiento]]="Egreso",tblMovimientos[[#This Row],[Monto (S/)]],"0")</f>
        <v>80</v>
      </c>
      <c r="P350" s="29">
        <f>IF(tblMovimientos[[#This Row],[Tipo de Movimiento]]="Ingreso",tblMovimientos[[#This Row],[Ingreso]],-tblMovimientos[[#This Row],[Egreso]])</f>
        <v>-80</v>
      </c>
    </row>
    <row r="351" spans="1:16" x14ac:dyDescent="0.3">
      <c r="B351" s="41">
        <v>46189</v>
      </c>
      <c r="C351" s="4" t="str">
        <f>_xlfn.XLOOKUP(tblMovimientos[[#This Row],[Cuenta Bancaria]],Listas!$B:$B,Listas!$A:$A,"")</f>
        <v>3628 Thomas Ave</v>
      </c>
      <c r="D351" s="43" t="s">
        <v>124</v>
      </c>
      <c r="E351" s="4" t="str">
        <f>_xlfn.XLOOKUP(tblMovimientos[[#This Row],[Cuenta Bancaria]],Listas!$B:$B,Listas!$C:$C,"")</f>
        <v>Bank of America</v>
      </c>
      <c r="F351" s="43" t="s">
        <v>10</v>
      </c>
      <c r="G351" s="43" t="s">
        <v>38</v>
      </c>
      <c r="H351" s="4" t="str">
        <f>IFERROR(_xlfn.XLOOKUP(G351,Listas!E:E,Listas!F:F,""),"")</f>
        <v>Operativo</v>
      </c>
      <c r="I351" s="48" t="str">
        <f>IFERROR(_xlfn.XLOOKUP(G351,Listas!E:E,Listas!G:G,""),"")</f>
        <v>Externo</v>
      </c>
      <c r="J351" s="45">
        <v>200</v>
      </c>
      <c r="K351" s="49">
        <f t="shared" si="1"/>
        <v>-200</v>
      </c>
      <c r="L351" s="15" t="s">
        <v>128</v>
      </c>
      <c r="M351" s="46">
        <f>SUMIFS('Saldos Iniciales'!$D$2:$D$38,'Saldos Iniciales'!$A$2:$A$38,C351,'Saldos Iniciales'!$B$2:$B$38,D351)+SUMIFS($K$1:$K$432,$C$1:$C$432,C351,$D$1:$D$432,D351,$B$1:$B$432,"&lt;="&amp;B351)</f>
        <v>19811.349999999999</v>
      </c>
      <c r="N351" s="27" t="str">
        <f>IF(tblMovimientos[[#This Row],[Tipo de Movimiento]]="Ingreso",tblMovimientos[[#This Row],[Monto (S/)]],"0")</f>
        <v>0</v>
      </c>
      <c r="O351" s="27">
        <f>IF(tblMovimientos[[#This Row],[Tipo de Movimiento]]="Egreso",tblMovimientos[[#This Row],[Monto (S/)]],"0")</f>
        <v>200</v>
      </c>
      <c r="P351" s="29">
        <f>IF(tblMovimientos[[#This Row],[Tipo de Movimiento]]="Ingreso",tblMovimientos[[#This Row],[Ingreso]],-tblMovimientos[[#This Row],[Egreso]])</f>
        <v>-200</v>
      </c>
    </row>
    <row r="352" spans="1:16" x14ac:dyDescent="0.3">
      <c r="A352" s="47"/>
      <c r="B352" s="41">
        <v>46190</v>
      </c>
      <c r="C352" s="4" t="str">
        <f>_xlfn.XLOOKUP(tblMovimientos[[#This Row],[Cuenta Bancaria]],Listas!$B:$B,Listas!$A:$A,"")</f>
        <v>Go Blue</v>
      </c>
      <c r="D352" s="43" t="s">
        <v>126</v>
      </c>
      <c r="E352" s="48" t="str">
        <f>_xlfn.XLOOKUP(tblMovimientos[[#This Row],[Cuenta Bancaria]],Listas!$B:$B,Listas!$C:$C,"")</f>
        <v xml:space="preserve">Amerant Bank </v>
      </c>
      <c r="F352" s="43" t="s">
        <v>10</v>
      </c>
      <c r="G352" s="43" t="s">
        <v>38</v>
      </c>
      <c r="H352" s="48" t="str">
        <f>IFERROR(_xlfn.XLOOKUP(G352,Listas!E:E,Listas!F:F,""),"")</f>
        <v>Operativo</v>
      </c>
      <c r="I352" s="48" t="str">
        <f>IFERROR(_xlfn.XLOOKUP(G352,Listas!E:E,Listas!G:G,""),"")</f>
        <v>Externo</v>
      </c>
      <c r="J352" s="45">
        <v>1000</v>
      </c>
      <c r="K352" s="49">
        <f t="shared" si="1"/>
        <v>-1000</v>
      </c>
      <c r="L352" s="15" t="s">
        <v>128</v>
      </c>
      <c r="M352" s="46">
        <f>SUMIFS('Saldos Iniciales'!$D$2:$D$38,'Saldos Iniciales'!$A$2:$A$38,C352,'Saldos Iniciales'!$B$2:$B$38,D352)+SUMIFS($K$1:$K$432,$C$1:$C$432,C352,$D$1:$D$432,D352,$B$1:$B$432,"&lt;="&amp;B352)</f>
        <v>45041.01</v>
      </c>
      <c r="N352" s="27" t="str">
        <f>IF(tblMovimientos[[#This Row],[Tipo de Movimiento]]="Ingreso",tblMovimientos[[#This Row],[Monto (S/)]],"0")</f>
        <v>0</v>
      </c>
      <c r="O352" s="27">
        <f>IF(tblMovimientos[[#This Row],[Tipo de Movimiento]]="Egreso",tblMovimientos[[#This Row],[Monto (S/)]],"0")</f>
        <v>1000</v>
      </c>
      <c r="P352" s="29">
        <f>IF(tblMovimientos[[#This Row],[Tipo de Movimiento]]="Ingreso",tblMovimientos[[#This Row],[Ingreso]],-tblMovimientos[[#This Row],[Egreso]])</f>
        <v>-1000</v>
      </c>
    </row>
    <row r="353" spans="1:16" x14ac:dyDescent="0.3">
      <c r="B353" s="41">
        <v>46190</v>
      </c>
      <c r="C353" s="4" t="str">
        <f>_xlfn.XLOOKUP(tblMovimientos[[#This Row],[Cuenta Bancaria]],Listas!$B:$B,Listas!$A:$A,"")</f>
        <v>SSP Capital</v>
      </c>
      <c r="D353" s="43" t="s">
        <v>101</v>
      </c>
      <c r="E353" s="4" t="str">
        <f>_xlfn.XLOOKUP(tblMovimientos[[#This Row],[Cuenta Bancaria]],Listas!$B:$B,Listas!$C:$C,"")</f>
        <v>Bank of America</v>
      </c>
      <c r="F353" s="43" t="s">
        <v>10</v>
      </c>
      <c r="G353" s="43" t="s">
        <v>38</v>
      </c>
      <c r="H353" s="4" t="str">
        <f>IFERROR(_xlfn.XLOOKUP(G353,Listas!E:E,Listas!F:F,""),"")</f>
        <v>Operativo</v>
      </c>
      <c r="I353" s="48" t="str">
        <f>IFERROR(_xlfn.XLOOKUP(G353,Listas!E:E,Listas!G:G,""),"")</f>
        <v>Externo</v>
      </c>
      <c r="J353" s="45">
        <v>2383.4899999999998</v>
      </c>
      <c r="K353" s="49">
        <f t="shared" si="1"/>
        <v>-2383.4899999999998</v>
      </c>
      <c r="L353" s="15" t="s">
        <v>128</v>
      </c>
      <c r="M353" s="46">
        <f>SUMIFS('Saldos Iniciales'!$D$2:$D$38,'Saldos Iniciales'!$A$2:$A$38,C353,'Saldos Iniciales'!$B$2:$B$38,D353)+SUMIFS($K$1:$K$432,$C$1:$C$432,C353,$D$1:$D$432,D353,$B$1:$B$432,"&lt;="&amp;B353)</f>
        <v>10088.029999999999</v>
      </c>
      <c r="N353" s="27" t="str">
        <f>IF(tblMovimientos[[#This Row],[Tipo de Movimiento]]="Ingreso",tblMovimientos[[#This Row],[Monto (S/)]],"0")</f>
        <v>0</v>
      </c>
      <c r="O353" s="27">
        <f>IF(tblMovimientos[[#This Row],[Tipo de Movimiento]]="Egreso",tblMovimientos[[#This Row],[Monto (S/)]],"0")</f>
        <v>2383.4899999999998</v>
      </c>
      <c r="P353" s="29">
        <f>IF(tblMovimientos[[#This Row],[Tipo de Movimiento]]="Ingreso",tblMovimientos[[#This Row],[Ingreso]],-tblMovimientos[[#This Row],[Egreso]])</f>
        <v>-2383.4899999999998</v>
      </c>
    </row>
    <row r="354" spans="1:16" x14ac:dyDescent="0.3">
      <c r="B354" s="41">
        <v>46190</v>
      </c>
      <c r="C354" s="4" t="str">
        <f>_xlfn.XLOOKUP(tblMovimientos[[#This Row],[Cuenta Bancaria]],Listas!$B:$B,Listas!$A:$A,"")</f>
        <v>CFT Group</v>
      </c>
      <c r="D354" s="43" t="s">
        <v>94</v>
      </c>
      <c r="E354" s="4" t="str">
        <f>_xlfn.XLOOKUP(tblMovimientos[[#This Row],[Cuenta Bancaria]],Listas!$B:$B,Listas!$C:$C,"")</f>
        <v>Bank of America</v>
      </c>
      <c r="F354" s="43" t="s">
        <v>9</v>
      </c>
      <c r="G354" s="43" t="s">
        <v>75</v>
      </c>
      <c r="H354" s="4" t="str">
        <f>IFERROR(_xlfn.XLOOKUP(G354,Listas!E:E,Listas!F:F,""),"")</f>
        <v>Financiamiento</v>
      </c>
      <c r="I354" s="48" t="str">
        <f>IFERROR(_xlfn.XLOOKUP(G354,Listas!E:E,Listas!G:G,""),"")</f>
        <v>Interno</v>
      </c>
      <c r="J354" s="45">
        <v>12000</v>
      </c>
      <c r="K354" s="49">
        <f t="shared" si="1"/>
        <v>12000</v>
      </c>
      <c r="L354" s="15" t="s">
        <v>128</v>
      </c>
      <c r="M354" s="46">
        <f>SUMIFS('Saldos Iniciales'!$D$2:$D$38,'Saldos Iniciales'!$A$2:$A$38,C354,'Saldos Iniciales'!$B$2:$B$38,D354)+SUMIFS($K$1:$K$432,$C$1:$C$432,C354,$D$1:$D$432,D354,$B$1:$B$432,"&lt;="&amp;B354)</f>
        <v>124224.19999999998</v>
      </c>
      <c r="N354" s="27">
        <f>IF(tblMovimientos[[#This Row],[Tipo de Movimiento]]="Ingreso",tblMovimientos[[#This Row],[Monto (S/)]],"0")</f>
        <v>12000</v>
      </c>
      <c r="O354" s="27" t="str">
        <f>IF(tblMovimientos[[#This Row],[Tipo de Movimiento]]="Egreso",tblMovimientos[[#This Row],[Monto (S/)]],"0")</f>
        <v>0</v>
      </c>
      <c r="P354" s="29">
        <f>IF(tblMovimientos[[#This Row],[Tipo de Movimiento]]="Ingreso",tblMovimientos[[#This Row],[Ingreso]],-tblMovimientos[[#This Row],[Egreso]])</f>
        <v>12000</v>
      </c>
    </row>
    <row r="355" spans="1:16" x14ac:dyDescent="0.3">
      <c r="B355" s="41">
        <v>46190</v>
      </c>
      <c r="C355" s="4" t="str">
        <f>_xlfn.XLOOKUP(tblMovimientos[[#This Row],[Cuenta Bancaria]],Listas!$B:$B,Listas!$A:$A,"")</f>
        <v>3628 Thomas Ave</v>
      </c>
      <c r="D355" s="43" t="s">
        <v>124</v>
      </c>
      <c r="E355" s="4" t="str">
        <f>_xlfn.XLOOKUP(tblMovimientos[[#This Row],[Cuenta Bancaria]],Listas!$B:$B,Listas!$C:$C,"")</f>
        <v>Bank of America</v>
      </c>
      <c r="F355" s="43" t="s">
        <v>10</v>
      </c>
      <c r="G355" s="43" t="s">
        <v>38</v>
      </c>
      <c r="H355" s="4" t="str">
        <f>IFERROR(_xlfn.XLOOKUP(G355,Listas!E:E,Listas!F:F,""),"")</f>
        <v>Operativo</v>
      </c>
      <c r="I355" s="48" t="str">
        <f>IFERROR(_xlfn.XLOOKUP(G355,Listas!E:E,Listas!G:G,""),"")</f>
        <v>Externo</v>
      </c>
      <c r="J355" s="45">
        <v>2200</v>
      </c>
      <c r="K355" s="49">
        <f t="shared" si="1"/>
        <v>-2200</v>
      </c>
      <c r="L355" s="15" t="s">
        <v>128</v>
      </c>
      <c r="M355" s="46">
        <f>SUMIFS('Saldos Iniciales'!$D$2:$D$38,'Saldos Iniciales'!$A$2:$A$38,C355,'Saldos Iniciales'!$B$2:$B$38,D355)+SUMIFS($K$1:$K$432,$C$1:$C$432,C355,$D$1:$D$432,D355,$B$1:$B$432,"&lt;="&amp;B355)</f>
        <v>16681.349999999999</v>
      </c>
      <c r="N355" s="27" t="str">
        <f>IF(tblMovimientos[[#This Row],[Tipo de Movimiento]]="Ingreso",tblMovimientos[[#This Row],[Monto (S/)]],"0")</f>
        <v>0</v>
      </c>
      <c r="O355" s="27">
        <f>IF(tblMovimientos[[#This Row],[Tipo de Movimiento]]="Egreso",tblMovimientos[[#This Row],[Monto (S/)]],"0")</f>
        <v>2200</v>
      </c>
      <c r="P355" s="29">
        <f>IF(tblMovimientos[[#This Row],[Tipo de Movimiento]]="Ingreso",tblMovimientos[[#This Row],[Ingreso]],-tblMovimientos[[#This Row],[Egreso]])</f>
        <v>-2200</v>
      </c>
    </row>
    <row r="356" spans="1:16" x14ac:dyDescent="0.3">
      <c r="B356" s="41">
        <v>46190</v>
      </c>
      <c r="C356" s="4" t="str">
        <f>_xlfn.XLOOKUP(tblMovimientos[[#This Row],[Cuenta Bancaria]],Listas!$B:$B,Listas!$A:$A,"")</f>
        <v>3628 Thomas Ave</v>
      </c>
      <c r="D356" s="43" t="s">
        <v>124</v>
      </c>
      <c r="E356" s="4" t="str">
        <f>_xlfn.XLOOKUP(tblMovimientos[[#This Row],[Cuenta Bancaria]],Listas!$B:$B,Listas!$C:$C,"")</f>
        <v>Bank of America</v>
      </c>
      <c r="F356" s="43" t="s">
        <v>10</v>
      </c>
      <c r="G356" s="43" t="s">
        <v>38</v>
      </c>
      <c r="H356" s="4" t="str">
        <f>IFERROR(_xlfn.XLOOKUP(G356,Listas!E:E,Listas!F:F,""),"")</f>
        <v>Operativo</v>
      </c>
      <c r="I356" s="48" t="str">
        <f>IFERROR(_xlfn.XLOOKUP(G356,Listas!E:E,Listas!G:G,""),"")</f>
        <v>Externo</v>
      </c>
      <c r="J356" s="45">
        <v>900</v>
      </c>
      <c r="K356" s="49">
        <f t="shared" si="1"/>
        <v>-900</v>
      </c>
      <c r="L356" s="15" t="s">
        <v>128</v>
      </c>
      <c r="M356" s="46">
        <f>SUMIFS('Saldos Iniciales'!$D$2:$D$38,'Saldos Iniciales'!$A$2:$A$38,C356,'Saldos Iniciales'!$B$2:$B$38,D356)+SUMIFS($K$1:$K$432,$C$1:$C$432,C356,$D$1:$D$432,D356,$B$1:$B$432,"&lt;="&amp;B356)</f>
        <v>16681.349999999999</v>
      </c>
      <c r="N356" s="27" t="str">
        <f>IF(tblMovimientos[[#This Row],[Tipo de Movimiento]]="Ingreso",tblMovimientos[[#This Row],[Monto (S/)]],"0")</f>
        <v>0</v>
      </c>
      <c r="O356" s="27">
        <f>IF(tblMovimientos[[#This Row],[Tipo de Movimiento]]="Egreso",tblMovimientos[[#This Row],[Monto (S/)]],"0")</f>
        <v>900</v>
      </c>
      <c r="P356" s="29">
        <f>IF(tblMovimientos[[#This Row],[Tipo de Movimiento]]="Ingreso",tblMovimientos[[#This Row],[Ingreso]],-tblMovimientos[[#This Row],[Egreso]])</f>
        <v>-900</v>
      </c>
    </row>
    <row r="357" spans="1:16" x14ac:dyDescent="0.3">
      <c r="B357" s="41">
        <v>46190</v>
      </c>
      <c r="C357" s="4" t="str">
        <f>_xlfn.XLOOKUP(tblMovimientos[[#This Row],[Cuenta Bancaria]],Listas!$B:$B,Listas!$A:$A,"")</f>
        <v>3628 Thomas Ave</v>
      </c>
      <c r="D357" s="43" t="s">
        <v>124</v>
      </c>
      <c r="E357" s="4" t="str">
        <f>_xlfn.XLOOKUP(tblMovimientos[[#This Row],[Cuenta Bancaria]],Listas!$B:$B,Listas!$C:$C,"")</f>
        <v>Bank of America</v>
      </c>
      <c r="F357" s="43" t="s">
        <v>10</v>
      </c>
      <c r="G357" s="43" t="s">
        <v>44</v>
      </c>
      <c r="H357" s="4" t="str">
        <f>IFERROR(_xlfn.XLOOKUP(G357,Listas!E:E,Listas!F:F,""),"")</f>
        <v>Operativo</v>
      </c>
      <c r="I357" s="48" t="str">
        <f>IFERROR(_xlfn.XLOOKUP(G357,Listas!E:E,Listas!G:G,""),"")</f>
        <v>Externo</v>
      </c>
      <c r="J357" s="45">
        <v>30</v>
      </c>
      <c r="K357" s="49">
        <f t="shared" si="1"/>
        <v>-30</v>
      </c>
      <c r="L357" s="15" t="s">
        <v>128</v>
      </c>
      <c r="M357" s="46">
        <f>SUMIFS('Saldos Iniciales'!$D$2:$D$38,'Saldos Iniciales'!$A$2:$A$38,C357,'Saldos Iniciales'!$B$2:$B$38,D357)+SUMIFS($K$1:$K$432,$C$1:$C$432,C357,$D$1:$D$432,D357,$B$1:$B$432,"&lt;="&amp;B357)</f>
        <v>16681.349999999999</v>
      </c>
      <c r="N357" s="27" t="str">
        <f>IF(tblMovimientos[[#This Row],[Tipo de Movimiento]]="Ingreso",tblMovimientos[[#This Row],[Monto (S/)]],"0")</f>
        <v>0</v>
      </c>
      <c r="O357" s="27">
        <f>IF(tblMovimientos[[#This Row],[Tipo de Movimiento]]="Egreso",tblMovimientos[[#This Row],[Monto (S/)]],"0")</f>
        <v>30</v>
      </c>
      <c r="P357" s="29">
        <f>IF(tblMovimientos[[#This Row],[Tipo de Movimiento]]="Ingreso",tblMovimientos[[#This Row],[Ingreso]],-tblMovimientos[[#This Row],[Egreso]])</f>
        <v>-30</v>
      </c>
    </row>
    <row r="358" spans="1:16" x14ac:dyDescent="0.3">
      <c r="B358" s="41">
        <v>46191</v>
      </c>
      <c r="C358" s="4" t="str">
        <f>_xlfn.XLOOKUP(tblMovimientos[[#This Row],[Cuenta Bancaria]],Listas!$B:$B,Listas!$A:$A,"")</f>
        <v>SSP Capital</v>
      </c>
      <c r="D358" s="43" t="s">
        <v>102</v>
      </c>
      <c r="E358" s="4" t="str">
        <f>_xlfn.XLOOKUP(tblMovimientos[[#This Row],[Cuenta Bancaria]],Listas!$B:$B,Listas!$C:$C,"")</f>
        <v>Bank of America</v>
      </c>
      <c r="F358" s="43" t="s">
        <v>10</v>
      </c>
      <c r="G358" s="43" t="s">
        <v>38</v>
      </c>
      <c r="H358" s="4" t="str">
        <f>IFERROR(_xlfn.XLOOKUP(G358,Listas!E:E,Listas!F:F,""),"")</f>
        <v>Operativo</v>
      </c>
      <c r="I358" s="48" t="str">
        <f>IFERROR(_xlfn.XLOOKUP(G358,Listas!E:E,Listas!G:G,""),"")</f>
        <v>Externo</v>
      </c>
      <c r="J358" s="45">
        <v>166.66</v>
      </c>
      <c r="K358" s="49">
        <f t="shared" si="1"/>
        <v>-166.66</v>
      </c>
      <c r="L358" s="15" t="s">
        <v>128</v>
      </c>
      <c r="M358" s="46">
        <f>SUMIFS('Saldos Iniciales'!$D$2:$D$38,'Saldos Iniciales'!$A$2:$A$38,C358,'Saldos Iniciales'!$B$2:$B$38,D358)+SUMIFS($K$1:$K$432,$C$1:$C$432,C358,$D$1:$D$432,D358,$B$1:$B$432,"&lt;="&amp;B358)</f>
        <v>366.92000000000007</v>
      </c>
      <c r="N358" s="27" t="str">
        <f>IF(tblMovimientos[[#This Row],[Tipo de Movimiento]]="Ingreso",tblMovimientos[[#This Row],[Monto (S/)]],"0")</f>
        <v>0</v>
      </c>
      <c r="O358" s="27">
        <f>IF(tblMovimientos[[#This Row],[Tipo de Movimiento]]="Egreso",tblMovimientos[[#This Row],[Monto (S/)]],"0")</f>
        <v>166.66</v>
      </c>
      <c r="P358" s="29">
        <f>IF(tblMovimientos[[#This Row],[Tipo de Movimiento]]="Ingreso",tblMovimientos[[#This Row],[Ingreso]],-tblMovimientos[[#This Row],[Egreso]])</f>
        <v>-166.66</v>
      </c>
    </row>
    <row r="359" spans="1:16" x14ac:dyDescent="0.3">
      <c r="B359" s="41">
        <v>46195</v>
      </c>
      <c r="C359" s="4" t="str">
        <f>_xlfn.XLOOKUP(tblMovimientos[[#This Row],[Cuenta Bancaria]],Listas!$B:$B,Listas!$A:$A,"")</f>
        <v>SSP Capital</v>
      </c>
      <c r="D359" s="43" t="s">
        <v>101</v>
      </c>
      <c r="E359" s="58" t="str">
        <f>_xlfn.XLOOKUP(tblMovimientos[[#This Row],[Cuenta Bancaria]],Listas!$B:$B,Listas!$C:$C,"")</f>
        <v>Bank of America</v>
      </c>
      <c r="F359" s="43" t="s">
        <v>10</v>
      </c>
      <c r="G359" s="43" t="s">
        <v>38</v>
      </c>
      <c r="H359" s="4" t="str">
        <f>IFERROR(_xlfn.XLOOKUP(G359,Listas!E:E,Listas!F:F,""),"")</f>
        <v>Operativo</v>
      </c>
      <c r="I359" s="48" t="str">
        <f>IFERROR(_xlfn.XLOOKUP(G359,Listas!E:E,Listas!G:G,""),"")</f>
        <v>Externo</v>
      </c>
      <c r="J359" s="45">
        <v>737.04</v>
      </c>
      <c r="K359" s="49">
        <f t="shared" si="1"/>
        <v>-737.04</v>
      </c>
      <c r="L359" s="15" t="s">
        <v>128</v>
      </c>
      <c r="M359" s="46">
        <f>SUMIFS('Saldos Iniciales'!$D$2:$D$38,'Saldos Iniciales'!$A$2:$A$38,C359,'Saldos Iniciales'!$B$2:$B$38,D359)+SUMIFS($K$1:$K$432,$C$1:$C$432,C359,$D$1:$D$432,D359,$B$1:$B$432,"&lt;="&amp;B359)</f>
        <v>9259.99</v>
      </c>
      <c r="N359" s="27" t="str">
        <f>IF(tblMovimientos[[#This Row],[Tipo de Movimiento]]="Ingreso",tblMovimientos[[#This Row],[Monto (S/)]],"0")</f>
        <v>0</v>
      </c>
      <c r="O359" s="27">
        <f>IF(tblMovimientos[[#This Row],[Tipo de Movimiento]]="Egreso",tblMovimientos[[#This Row],[Monto (S/)]],"0")</f>
        <v>737.04</v>
      </c>
      <c r="P359" s="29">
        <f>IF(tblMovimientos[[#This Row],[Tipo de Movimiento]]="Ingreso",tblMovimientos[[#This Row],[Ingreso]],-tblMovimientos[[#This Row],[Egreso]])</f>
        <v>-737.04</v>
      </c>
    </row>
    <row r="360" spans="1:16" x14ac:dyDescent="0.3">
      <c r="B360" s="41">
        <v>46195</v>
      </c>
      <c r="C360" s="4" t="str">
        <f>_xlfn.XLOOKUP(tblMovimientos[[#This Row],[Cuenta Bancaria]],Listas!$B:$B,Listas!$A:$A,"")</f>
        <v>SSP Capital</v>
      </c>
      <c r="D360" s="43" t="s">
        <v>101</v>
      </c>
      <c r="E360" s="58" t="str">
        <f>_xlfn.XLOOKUP(tblMovimientos[[#This Row],[Cuenta Bancaria]],Listas!$B:$B,Listas!$C:$C,"")</f>
        <v>Bank of America</v>
      </c>
      <c r="F360" s="43" t="s">
        <v>10</v>
      </c>
      <c r="G360" s="43" t="s">
        <v>41</v>
      </c>
      <c r="H360" s="4" t="str">
        <f>IFERROR(_xlfn.XLOOKUP(G360,Listas!E:E,Listas!F:F,""),"")</f>
        <v>Operativo</v>
      </c>
      <c r="I360" s="48" t="str">
        <f>IFERROR(_xlfn.XLOOKUP(G360,Listas!E:E,Listas!G:G,""),"")</f>
        <v>Externo</v>
      </c>
      <c r="J360" s="45">
        <v>91</v>
      </c>
      <c r="K360" s="5">
        <f t="shared" si="1"/>
        <v>-91</v>
      </c>
      <c r="L360" s="15" t="s">
        <v>128</v>
      </c>
      <c r="M360" s="46">
        <f>SUMIFS('Saldos Iniciales'!$D$2:$D$38,'Saldos Iniciales'!$A$2:$A$38,C360,'Saldos Iniciales'!$B$2:$B$38,D360)+SUMIFS($K$1:$K$432,$C$1:$C$432,C360,$D$1:$D$432,D360,$B$1:$B$432,"&lt;="&amp;B360)</f>
        <v>9259.99</v>
      </c>
      <c r="N360" s="27" t="str">
        <f>IF(tblMovimientos[[#This Row],[Tipo de Movimiento]]="Ingreso",tblMovimientos[[#This Row],[Monto (S/)]],"0")</f>
        <v>0</v>
      </c>
      <c r="O360" s="27">
        <f>IF(tblMovimientos[[#This Row],[Tipo de Movimiento]]="Egreso",tblMovimientos[[#This Row],[Monto (S/)]],"0")</f>
        <v>91</v>
      </c>
      <c r="P360" s="29">
        <f>IF(tblMovimientos[[#This Row],[Tipo de Movimiento]]="Ingreso",tblMovimientos[[#This Row],[Ingreso]],-tblMovimientos[[#This Row],[Egreso]])</f>
        <v>-91</v>
      </c>
    </row>
    <row r="361" spans="1:16" x14ac:dyDescent="0.3">
      <c r="B361" s="41">
        <v>46195</v>
      </c>
      <c r="C361" s="4" t="str">
        <f>_xlfn.XLOOKUP(tblMovimientos[[#This Row],[Cuenta Bancaria]],Listas!$B:$B,Listas!$A:$A,"")</f>
        <v>2515 Overbrook</v>
      </c>
      <c r="D361" s="43" t="s">
        <v>121</v>
      </c>
      <c r="E361" s="58" t="str">
        <f>_xlfn.XLOOKUP(tblMovimientos[[#This Row],[Cuenta Bancaria]],Listas!$B:$B,Listas!$C:$C,"")</f>
        <v>Bank of America</v>
      </c>
      <c r="F361" s="43" t="s">
        <v>9</v>
      </c>
      <c r="G361" s="43" t="s">
        <v>81</v>
      </c>
      <c r="H361" s="4" t="str">
        <f>IFERROR(_xlfn.XLOOKUP(G361,Listas!E:E,Listas!F:F,""),"")</f>
        <v>Operativo</v>
      </c>
      <c r="I361" s="48" t="str">
        <f>IFERROR(_xlfn.XLOOKUP(G361,Listas!E:E,Listas!G:G,""),"")</f>
        <v>Externo</v>
      </c>
      <c r="J361" s="45">
        <v>1250</v>
      </c>
      <c r="K361" s="5">
        <f t="shared" si="1"/>
        <v>1250</v>
      </c>
      <c r="L361" s="15" t="s">
        <v>128</v>
      </c>
      <c r="M361" s="46">
        <f>SUMIFS('Saldos Iniciales'!$D$2:$D$38,'Saldos Iniciales'!$A$2:$A$38,C361,'Saldos Iniciales'!$B$2:$B$38,D361)+SUMIFS($K$1:$K$432,$C$1:$C$432,C361,$D$1:$D$432,D361,$B$1:$B$432,"&lt;="&amp;B361)</f>
        <v>30709.549999999963</v>
      </c>
      <c r="N361" s="27">
        <f>IF(tblMovimientos[[#This Row],[Tipo de Movimiento]]="Ingreso",tblMovimientos[[#This Row],[Monto (S/)]],"0")</f>
        <v>1250</v>
      </c>
      <c r="O361" s="27" t="str">
        <f>IF(tblMovimientos[[#This Row],[Tipo de Movimiento]]="Egreso",tblMovimientos[[#This Row],[Monto (S/)]],"0")</f>
        <v>0</v>
      </c>
      <c r="P361" s="29">
        <f>IF(tblMovimientos[[#This Row],[Tipo de Movimiento]]="Ingreso",tblMovimientos[[#This Row],[Ingreso]],-tblMovimientos[[#This Row],[Egreso]])</f>
        <v>1250</v>
      </c>
    </row>
    <row r="362" spans="1:16" x14ac:dyDescent="0.3">
      <c r="B362" s="41">
        <v>46195</v>
      </c>
      <c r="C362" s="4" t="str">
        <f>_xlfn.XLOOKUP(tblMovimientos[[#This Row],[Cuenta Bancaria]],Listas!$B:$B,Listas!$A:$A,"")</f>
        <v>CFT Group</v>
      </c>
      <c r="D362" s="43" t="s">
        <v>95</v>
      </c>
      <c r="E362" s="58" t="str">
        <f>_xlfn.XLOOKUP(tblMovimientos[[#This Row],[Cuenta Bancaria]],Listas!$B:$B,Listas!$C:$C,"")</f>
        <v xml:space="preserve">Amerant Bank </v>
      </c>
      <c r="F362" s="43" t="s">
        <v>9</v>
      </c>
      <c r="G362" s="43" t="s">
        <v>72</v>
      </c>
      <c r="H362" s="4" t="str">
        <f>IFERROR(_xlfn.XLOOKUP(G362,Listas!E:E,Listas!F:F,""),"")</f>
        <v>Operativo</v>
      </c>
      <c r="I362" s="48" t="str">
        <f>IFERROR(_xlfn.XLOOKUP(G362,Listas!E:E,Listas!G:G,""),"")</f>
        <v>Externo</v>
      </c>
      <c r="J362" s="45">
        <v>114973.39</v>
      </c>
      <c r="K362" s="5">
        <f t="shared" si="1"/>
        <v>114973.39</v>
      </c>
      <c r="L362" s="15" t="s">
        <v>128</v>
      </c>
      <c r="M362" s="46">
        <f>SUMIFS('Saldos Iniciales'!$D$2:$D$38,'Saldos Iniciales'!$A$2:$A$38,C362,'Saldos Iniciales'!$B$2:$B$38,D362)+SUMIFS($K$1:$K$432,$C$1:$C$432,C362,$D$1:$D$432,D362,$B$1:$B$432,"&lt;="&amp;B362)</f>
        <v>7483851.9100000001</v>
      </c>
      <c r="N362" s="27">
        <f>IF(tblMovimientos[[#This Row],[Tipo de Movimiento]]="Ingreso",tblMovimientos[[#This Row],[Monto (S/)]],"0")</f>
        <v>114973.39</v>
      </c>
      <c r="O362" s="27" t="str">
        <f>IF(tblMovimientos[[#This Row],[Tipo de Movimiento]]="Egreso",tblMovimientos[[#This Row],[Monto (S/)]],"0")</f>
        <v>0</v>
      </c>
      <c r="P362" s="29">
        <f>IF(tblMovimientos[[#This Row],[Tipo de Movimiento]]="Ingreso",tblMovimientos[[#This Row],[Ingreso]],-tblMovimientos[[#This Row],[Egreso]])</f>
        <v>114973.39</v>
      </c>
    </row>
    <row r="363" spans="1:16" x14ac:dyDescent="0.3">
      <c r="A363" s="47"/>
      <c r="B363" s="41">
        <v>46195</v>
      </c>
      <c r="C363" s="48" t="str">
        <f>_xlfn.XLOOKUP(tblMovimientos[[#This Row],[Cuenta Bancaria]],Listas!$B:$B,Listas!$A:$A,"")</f>
        <v>CFT Group</v>
      </c>
      <c r="D363" s="43" t="s">
        <v>95</v>
      </c>
      <c r="E363" s="59" t="str">
        <f>_xlfn.XLOOKUP(tblMovimientos[[#This Row],[Cuenta Bancaria]],Listas!$B:$B,Listas!$C:$C,"")</f>
        <v xml:space="preserve">Amerant Bank </v>
      </c>
      <c r="F363" s="43" t="s">
        <v>9</v>
      </c>
      <c r="G363" s="43" t="s">
        <v>72</v>
      </c>
      <c r="H363" s="48" t="str">
        <f>IFERROR(_xlfn.XLOOKUP(G363,Listas!E:E,Listas!F:F,""),"")</f>
        <v>Operativo</v>
      </c>
      <c r="I363" s="48" t="str">
        <f>IFERROR(_xlfn.XLOOKUP(G363,Listas!E:E,Listas!G:G,""),"")</f>
        <v>Externo</v>
      </c>
      <c r="J363" s="45">
        <v>6400000</v>
      </c>
      <c r="K363" s="49">
        <f t="shared" si="1"/>
        <v>6400000</v>
      </c>
      <c r="L363" s="15" t="s">
        <v>128</v>
      </c>
      <c r="M363" s="60">
        <f>SUMIFS('Saldos Iniciales'!$D$2:$D$38,'Saldos Iniciales'!$A$2:$A$38,C363,'Saldos Iniciales'!$B$2:$B$38,D363)+SUMIFS($K$1:$K$432,$C$1:$C$432,C363,$D$1:$D$432,D363,$B$1:$B$432,"&lt;="&amp;B363)</f>
        <v>7483851.9100000001</v>
      </c>
      <c r="N363" s="27">
        <f>IF(tblMovimientos[[#This Row],[Tipo de Movimiento]]="Ingreso",tblMovimientos[[#This Row],[Monto (S/)]],"0")</f>
        <v>6400000</v>
      </c>
      <c r="O363" s="27" t="str">
        <f>IF(tblMovimientos[[#This Row],[Tipo de Movimiento]]="Egreso",tblMovimientos[[#This Row],[Monto (S/)]],"0")</f>
        <v>0</v>
      </c>
      <c r="P363" s="29">
        <f>IF(tblMovimientos[[#This Row],[Tipo de Movimiento]]="Ingreso",tblMovimientos[[#This Row],[Ingreso]],-tblMovimientos[[#This Row],[Egreso]])</f>
        <v>6400000</v>
      </c>
    </row>
    <row r="364" spans="1:16" x14ac:dyDescent="0.3">
      <c r="A364" s="47"/>
      <c r="B364" s="41">
        <v>46195</v>
      </c>
      <c r="C364" s="48" t="str">
        <f>_xlfn.XLOOKUP(tblMovimientos[[#This Row],[Cuenta Bancaria]],Listas!$B:$B,Listas!$A:$A,"")</f>
        <v>Go Blue</v>
      </c>
      <c r="D364" s="43" t="s">
        <v>126</v>
      </c>
      <c r="E364" s="59" t="str">
        <f>_xlfn.XLOOKUP(tblMovimientos[[#This Row],[Cuenta Bancaria]],Listas!$B:$B,Listas!$C:$C,"")</f>
        <v xml:space="preserve">Amerant Bank </v>
      </c>
      <c r="F364" s="43" t="s">
        <v>10</v>
      </c>
      <c r="G364" s="43" t="s">
        <v>38</v>
      </c>
      <c r="H364" s="48" t="str">
        <f>IFERROR(_xlfn.XLOOKUP(G364,Listas!E:E,Listas!F:F,""),"")</f>
        <v>Operativo</v>
      </c>
      <c r="I364" s="48" t="str">
        <f>IFERROR(_xlfn.XLOOKUP(G364,Listas!E:E,Listas!G:G,""),"")</f>
        <v>Externo</v>
      </c>
      <c r="J364" s="45">
        <v>224.68</v>
      </c>
      <c r="K364" s="5">
        <f t="shared" si="1"/>
        <v>-224.68</v>
      </c>
      <c r="L364" s="15" t="s">
        <v>128</v>
      </c>
      <c r="M364" s="46">
        <f>SUMIFS('Saldos Iniciales'!$D$2:$D$38,'Saldos Iniciales'!$A$2:$A$38,C364,'Saldos Iniciales'!$B$2:$B$38,D364)+SUMIFS($K$1:$K$432,$C$1:$C$432,C364,$D$1:$D$432,D364,$B$1:$B$432,"&lt;="&amp;B364)</f>
        <v>44816.33</v>
      </c>
      <c r="N364" s="27" t="str">
        <f>IF(tblMovimientos[[#This Row],[Tipo de Movimiento]]="Ingreso",tblMovimientos[[#This Row],[Monto (S/)]],"0")</f>
        <v>0</v>
      </c>
      <c r="O364" s="27">
        <f>IF(tblMovimientos[[#This Row],[Tipo de Movimiento]]="Egreso",tblMovimientos[[#This Row],[Monto (S/)]],"0")</f>
        <v>224.68</v>
      </c>
      <c r="P364" s="29">
        <f>IF(tblMovimientos[[#This Row],[Tipo de Movimiento]]="Ingreso",tblMovimientos[[#This Row],[Ingreso]],-tblMovimientos[[#This Row],[Egreso]])</f>
        <v>-224.68</v>
      </c>
    </row>
    <row r="365" spans="1:16" x14ac:dyDescent="0.3">
      <c r="B365" s="41">
        <v>46196</v>
      </c>
      <c r="C365" s="48" t="str">
        <f>_xlfn.XLOOKUP(tblMovimientos[[#This Row],[Cuenta Bancaria]],Listas!$B:$B,Listas!$A:$A,"")</f>
        <v>Go Blue</v>
      </c>
      <c r="D365" s="43" t="s">
        <v>126</v>
      </c>
      <c r="E365" s="58" t="str">
        <f>_xlfn.XLOOKUP(tblMovimientos[[#This Row],[Cuenta Bancaria]],Listas!$B:$B,Listas!$C:$C,"")</f>
        <v xml:space="preserve">Amerant Bank </v>
      </c>
      <c r="F365" s="43" t="s">
        <v>10</v>
      </c>
      <c r="G365" s="43" t="s">
        <v>38</v>
      </c>
      <c r="H365" s="4" t="str">
        <f>IFERROR(_xlfn.XLOOKUP(G365,Listas!E:E,Listas!F:F,""),"")</f>
        <v>Operativo</v>
      </c>
      <c r="I365" s="48" t="str">
        <f>IFERROR(_xlfn.XLOOKUP(G365,Listas!E:E,Listas!G:G,""),"")</f>
        <v>Externo</v>
      </c>
      <c r="J365" s="45">
        <v>42.79</v>
      </c>
      <c r="K365" s="5">
        <f t="shared" si="1"/>
        <v>-42.79</v>
      </c>
      <c r="L365" s="15" t="s">
        <v>128</v>
      </c>
      <c r="M365" s="46">
        <f>SUMIFS('Saldos Iniciales'!$D$2:$D$38,'Saldos Iniciales'!$A$2:$A$38,C365,'Saldos Iniciales'!$B$2:$B$38,D365)+SUMIFS($K$1:$K$432,$C$1:$C$432,C365,$D$1:$D$432,D365,$B$1:$B$432,"&lt;="&amp;B365)</f>
        <v>44687.96</v>
      </c>
      <c r="N365" s="27" t="str">
        <f>IF(tblMovimientos[[#This Row],[Tipo de Movimiento]]="Ingreso",tblMovimientos[[#This Row],[Monto (S/)]],"0")</f>
        <v>0</v>
      </c>
      <c r="O365" s="27">
        <f>IF(tblMovimientos[[#This Row],[Tipo de Movimiento]]="Egreso",tblMovimientos[[#This Row],[Monto (S/)]],"0")</f>
        <v>42.79</v>
      </c>
      <c r="P365" s="29">
        <f>IF(tblMovimientos[[#This Row],[Tipo de Movimiento]]="Ingreso",tblMovimientos[[#This Row],[Ingreso]],-tblMovimientos[[#This Row],[Egreso]])</f>
        <v>-42.79</v>
      </c>
    </row>
    <row r="366" spans="1:16" x14ac:dyDescent="0.3">
      <c r="B366" s="41">
        <v>46196</v>
      </c>
      <c r="C366" s="48" t="str">
        <f>_xlfn.XLOOKUP(tblMovimientos[[#This Row],[Cuenta Bancaria]],Listas!$B:$B,Listas!$A:$A,"")</f>
        <v>Go Blue</v>
      </c>
      <c r="D366" s="43" t="s">
        <v>126</v>
      </c>
      <c r="E366" s="58" t="str">
        <f>_xlfn.XLOOKUP(tblMovimientos[[#This Row],[Cuenta Bancaria]],Listas!$B:$B,Listas!$C:$C,"")</f>
        <v xml:space="preserve">Amerant Bank </v>
      </c>
      <c r="F366" s="43" t="s">
        <v>10</v>
      </c>
      <c r="G366" s="43" t="s">
        <v>38</v>
      </c>
      <c r="H366" s="4" t="str">
        <f>IFERROR(_xlfn.XLOOKUP(G366,Listas!E:E,Listas!F:F,""),"")</f>
        <v>Operativo</v>
      </c>
      <c r="I366" s="48" t="str">
        <f>IFERROR(_xlfn.XLOOKUP(G366,Listas!E:E,Listas!G:G,""),"")</f>
        <v>Externo</v>
      </c>
      <c r="J366" s="45">
        <v>42.79</v>
      </c>
      <c r="K366" s="49">
        <f t="shared" si="1"/>
        <v>-42.79</v>
      </c>
      <c r="L366" s="15" t="s">
        <v>128</v>
      </c>
      <c r="M366" s="60">
        <f>SUMIFS('Saldos Iniciales'!$D$2:$D$38,'Saldos Iniciales'!$A$2:$A$38,C366,'Saldos Iniciales'!$B$2:$B$38,D366)+SUMIFS($K$1:$K$432,$C$1:$C$432,C366,$D$1:$D$432,D366,$B$1:$B$432,"&lt;="&amp;B366)</f>
        <v>44687.96</v>
      </c>
      <c r="N366" s="27" t="str">
        <f>IF(tblMovimientos[[#This Row],[Tipo de Movimiento]]="Ingreso",tblMovimientos[[#This Row],[Monto (S/)]],"0")</f>
        <v>0</v>
      </c>
      <c r="O366" s="27">
        <f>IF(tblMovimientos[[#This Row],[Tipo de Movimiento]]="Egreso",tblMovimientos[[#This Row],[Monto (S/)]],"0")</f>
        <v>42.79</v>
      </c>
      <c r="P366" s="29">
        <f>IF(tblMovimientos[[#This Row],[Tipo de Movimiento]]="Ingreso",tblMovimientos[[#This Row],[Ingreso]],-tblMovimientos[[#This Row],[Egreso]])</f>
        <v>-42.79</v>
      </c>
    </row>
    <row r="367" spans="1:16" x14ac:dyDescent="0.3">
      <c r="A367" s="47"/>
      <c r="B367" s="41">
        <v>46196</v>
      </c>
      <c r="C367" s="48" t="str">
        <f>_xlfn.XLOOKUP(tblMovimientos[[#This Row],[Cuenta Bancaria]],Listas!$B:$B,Listas!$A:$A,"")</f>
        <v>Go Blue</v>
      </c>
      <c r="D367" s="43" t="s">
        <v>126</v>
      </c>
      <c r="E367" s="59" t="str">
        <f>_xlfn.XLOOKUP(tblMovimientos[[#This Row],[Cuenta Bancaria]],Listas!$B:$B,Listas!$C:$C,"")</f>
        <v xml:space="preserve">Amerant Bank </v>
      </c>
      <c r="F367" s="43" t="s">
        <v>10</v>
      </c>
      <c r="G367" s="43" t="s">
        <v>38</v>
      </c>
      <c r="H367" s="48" t="str">
        <f>IFERROR(_xlfn.XLOOKUP(G367,Listas!E:E,Listas!F:F,""),"")</f>
        <v>Operativo</v>
      </c>
      <c r="I367" s="48" t="str">
        <f>IFERROR(_xlfn.XLOOKUP(G367,Listas!E:E,Listas!G:G,""),"")</f>
        <v>Externo</v>
      </c>
      <c r="J367" s="45">
        <v>42.79</v>
      </c>
      <c r="K367" s="5">
        <f t="shared" si="1"/>
        <v>-42.79</v>
      </c>
      <c r="L367" s="15" t="s">
        <v>128</v>
      </c>
      <c r="M367" s="46">
        <f>SUMIFS('Saldos Iniciales'!$D$2:$D$38,'Saldos Iniciales'!$A$2:$A$38,C367,'Saldos Iniciales'!$B$2:$B$38,D367)+SUMIFS($K$1:$K$432,$C$1:$C$432,C367,$D$1:$D$432,D367,$B$1:$B$432,"&lt;="&amp;B367)</f>
        <v>44687.96</v>
      </c>
      <c r="N367" s="27" t="str">
        <f>IF(tblMovimientos[[#This Row],[Tipo de Movimiento]]="Ingreso",tblMovimientos[[#This Row],[Monto (S/)]],"0")</f>
        <v>0</v>
      </c>
      <c r="O367" s="27">
        <f>IF(tblMovimientos[[#This Row],[Tipo de Movimiento]]="Egreso",tblMovimientos[[#This Row],[Monto (S/)]],"0")</f>
        <v>42.79</v>
      </c>
      <c r="P367" s="29">
        <f>IF(tblMovimientos[[#This Row],[Tipo de Movimiento]]="Ingreso",tblMovimientos[[#This Row],[Ingreso]],-tblMovimientos[[#This Row],[Egreso]])</f>
        <v>-42.79</v>
      </c>
    </row>
    <row r="368" spans="1:16" x14ac:dyDescent="0.3">
      <c r="B368" s="41">
        <v>46197</v>
      </c>
      <c r="C368" s="48" t="str">
        <f>_xlfn.XLOOKUP(tblMovimientos[[#This Row],[Cuenta Bancaria]],Listas!$B:$B,Listas!$A:$A,"")</f>
        <v>A&amp;M Imports</v>
      </c>
      <c r="D368" s="43" t="s">
        <v>100</v>
      </c>
      <c r="E368" s="58" t="str">
        <f>_xlfn.XLOOKUP(tblMovimientos[[#This Row],[Cuenta Bancaria]],Listas!$B:$B,Listas!$C:$C,"")</f>
        <v>Bank of America</v>
      </c>
      <c r="F368" s="43" t="s">
        <v>9</v>
      </c>
      <c r="G368" s="43" t="s">
        <v>68</v>
      </c>
      <c r="H368" s="4" t="str">
        <f>IFERROR(_xlfn.XLOOKUP(G368,Listas!E:E,Listas!F:F,""),"")</f>
        <v>Operativo</v>
      </c>
      <c r="I368" s="48" t="str">
        <f>IFERROR(_xlfn.XLOOKUP(G368,Listas!E:E,Listas!G:G,""),"")</f>
        <v>Externo</v>
      </c>
      <c r="J368" s="45">
        <v>23134.93</v>
      </c>
      <c r="K368" s="5">
        <f t="shared" si="1"/>
        <v>23134.93</v>
      </c>
      <c r="L368" s="15" t="s">
        <v>128</v>
      </c>
      <c r="M368" s="46">
        <f>SUMIFS('Saldos Iniciales'!$D$2:$D$38,'Saldos Iniciales'!$A$2:$A$38,C368,'Saldos Iniciales'!$B$2:$B$38,D368)+SUMIFS($K$1:$K$432,$C$1:$C$432,C368,$D$1:$D$432,D368,$B$1:$B$432,"&lt;="&amp;B368)</f>
        <v>532766.72999999986</v>
      </c>
      <c r="N368" s="27">
        <f>IF(tblMovimientos[[#This Row],[Tipo de Movimiento]]="Ingreso",tblMovimientos[[#This Row],[Monto (S/)]],"0")</f>
        <v>23134.93</v>
      </c>
      <c r="O368" s="27" t="str">
        <f>IF(tblMovimientos[[#This Row],[Tipo de Movimiento]]="Egreso",tblMovimientos[[#This Row],[Monto (S/)]],"0")</f>
        <v>0</v>
      </c>
      <c r="P368" s="29">
        <f>IF(tblMovimientos[[#This Row],[Tipo de Movimiento]]="Ingreso",tblMovimientos[[#This Row],[Ingreso]],-tblMovimientos[[#This Row],[Egreso]])</f>
        <v>23134.93</v>
      </c>
    </row>
    <row r="369" spans="1:16" x14ac:dyDescent="0.3">
      <c r="B369" s="41">
        <v>46197</v>
      </c>
      <c r="C369" s="48" t="str">
        <f>_xlfn.XLOOKUP(tblMovimientos[[#This Row],[Cuenta Bancaria]],Listas!$B:$B,Listas!$A:$A,"")</f>
        <v>A&amp;M Imports</v>
      </c>
      <c r="D369" s="43" t="s">
        <v>100</v>
      </c>
      <c r="E369" s="58" t="str">
        <f>_xlfn.XLOOKUP(tblMovimientos[[#This Row],[Cuenta Bancaria]],Listas!$B:$B,Listas!$C:$C,"")</f>
        <v>Bank of America</v>
      </c>
      <c r="F369" s="43" t="s">
        <v>9</v>
      </c>
      <c r="G369" s="43" t="s">
        <v>68</v>
      </c>
      <c r="H369" s="4" t="str">
        <f>IFERROR(_xlfn.XLOOKUP(G369,Listas!E:E,Listas!F:F,""),"")</f>
        <v>Operativo</v>
      </c>
      <c r="I369" s="48" t="str">
        <f>IFERROR(_xlfn.XLOOKUP(G369,Listas!E:E,Listas!G:G,""),"")</f>
        <v>Externo</v>
      </c>
      <c r="J369" s="45">
        <v>5726.99</v>
      </c>
      <c r="K369" s="49">
        <f t="shared" si="1"/>
        <v>5726.99</v>
      </c>
      <c r="L369" s="15" t="s">
        <v>128</v>
      </c>
      <c r="M369" s="60">
        <f>SUMIFS('Saldos Iniciales'!$D$2:$D$38,'Saldos Iniciales'!$A$2:$A$38,C369,'Saldos Iniciales'!$B$2:$B$38,D369)+SUMIFS($K$1:$K$432,$C$1:$C$432,C369,$D$1:$D$432,D369,$B$1:$B$432,"&lt;="&amp;B369)</f>
        <v>532766.72999999986</v>
      </c>
      <c r="N369" s="27">
        <f>IF(tblMovimientos[[#This Row],[Tipo de Movimiento]]="Ingreso",tblMovimientos[[#This Row],[Monto (S/)]],"0")</f>
        <v>5726.99</v>
      </c>
      <c r="O369" s="27" t="str">
        <f>IF(tblMovimientos[[#This Row],[Tipo de Movimiento]]="Egreso",tblMovimientos[[#This Row],[Monto (S/)]],"0")</f>
        <v>0</v>
      </c>
      <c r="P369" s="29">
        <f>IF(tblMovimientos[[#This Row],[Tipo de Movimiento]]="Ingreso",tblMovimientos[[#This Row],[Ingreso]],-tblMovimientos[[#This Row],[Egreso]])</f>
        <v>5726.99</v>
      </c>
    </row>
    <row r="370" spans="1:16" x14ac:dyDescent="0.3">
      <c r="B370" s="41">
        <v>46197</v>
      </c>
      <c r="C370" s="48" t="str">
        <f>_xlfn.XLOOKUP(tblMovimientos[[#This Row],[Cuenta Bancaria]],Listas!$B:$B,Listas!$A:$A,"")</f>
        <v>CFT Group</v>
      </c>
      <c r="D370" s="43" t="s">
        <v>94</v>
      </c>
      <c r="E370" s="58" t="str">
        <f>_xlfn.XLOOKUP(tblMovimientos[[#This Row],[Cuenta Bancaria]],Listas!$B:$B,Listas!$C:$C,"")</f>
        <v>Bank of America</v>
      </c>
      <c r="F370" s="43" t="s">
        <v>9</v>
      </c>
      <c r="G370" s="43" t="s">
        <v>72</v>
      </c>
      <c r="H370" s="4" t="str">
        <f>IFERROR(_xlfn.XLOOKUP(G370,Listas!E:E,Listas!F:F,""),"")</f>
        <v>Operativo</v>
      </c>
      <c r="I370" s="48" t="str">
        <f>IFERROR(_xlfn.XLOOKUP(G370,Listas!E:E,Listas!G:G,""),"")</f>
        <v>Externo</v>
      </c>
      <c r="J370" s="45">
        <v>67069.119999999995</v>
      </c>
      <c r="K370" s="5">
        <f t="shared" ref="K370:K398" si="2">IF(F370="Ingreso",J370,-J370)</f>
        <v>67069.119999999995</v>
      </c>
      <c r="L370" s="15" t="s">
        <v>128</v>
      </c>
      <c r="M370" s="46">
        <f>SUMIFS('Saldos Iniciales'!$D$2:$D$38,'Saldos Iniciales'!$A$2:$A$38,C370,'Saldos Iniciales'!$B$2:$B$38,D370)+SUMIFS($K$1:$K$432,$C$1:$C$432,C370,$D$1:$D$432,D370,$B$1:$B$432,"&lt;="&amp;B370)</f>
        <v>191293.31999999998</v>
      </c>
      <c r="N370" s="27">
        <f>IF(tblMovimientos[[#This Row],[Tipo de Movimiento]]="Ingreso",tblMovimientos[[#This Row],[Monto (S/)]],"0")</f>
        <v>67069.119999999995</v>
      </c>
      <c r="O370" s="27" t="str">
        <f>IF(tblMovimientos[[#This Row],[Tipo de Movimiento]]="Egreso",tblMovimientos[[#This Row],[Monto (S/)]],"0")</f>
        <v>0</v>
      </c>
      <c r="P370" s="29">
        <f>IF(tblMovimientos[[#This Row],[Tipo de Movimiento]]="Ingreso",tblMovimientos[[#This Row],[Ingreso]],-tblMovimientos[[#This Row],[Egreso]])</f>
        <v>67069.119999999995</v>
      </c>
    </row>
    <row r="371" spans="1:16" x14ac:dyDescent="0.3">
      <c r="B371" s="41">
        <v>46197</v>
      </c>
      <c r="C371" s="48" t="str">
        <f>_xlfn.XLOOKUP(tblMovimientos[[#This Row],[Cuenta Bancaria]],Listas!$B:$B,Listas!$A:$A,"")</f>
        <v>M1B</v>
      </c>
      <c r="D371" s="43" t="s">
        <v>97</v>
      </c>
      <c r="E371" s="58" t="str">
        <f>_xlfn.XLOOKUP(tblMovimientos[[#This Row],[Cuenta Bancaria]],Listas!$B:$B,Listas!$C:$C,"")</f>
        <v xml:space="preserve">Amerant Bank </v>
      </c>
      <c r="F371" s="43" t="s">
        <v>9</v>
      </c>
      <c r="G371" s="43" t="s">
        <v>68</v>
      </c>
      <c r="H371" s="4" t="str">
        <f>IFERROR(_xlfn.XLOOKUP(G371,Listas!E:E,Listas!F:F,""),"")</f>
        <v>Operativo</v>
      </c>
      <c r="I371" s="48" t="str">
        <f>IFERROR(_xlfn.XLOOKUP(G371,Listas!E:E,Listas!G:G,""),"")</f>
        <v>Externo</v>
      </c>
      <c r="J371" s="45">
        <v>457.74</v>
      </c>
      <c r="K371" s="49">
        <f t="shared" si="2"/>
        <v>457.74</v>
      </c>
      <c r="L371" s="15" t="s">
        <v>128</v>
      </c>
      <c r="M371" s="60">
        <f>SUMIFS('Saldos Iniciales'!$D$2:$D$38,'Saldos Iniciales'!$A$2:$A$38,C371,'Saldos Iniciales'!$B$2:$B$38,D371)+SUMIFS($K$1:$K$432,$C$1:$C$432,C371,$D$1:$D$432,D371,$B$1:$B$432,"&lt;="&amp;B371)</f>
        <v>67386.190000000177</v>
      </c>
      <c r="N371" s="27">
        <f>IF(tblMovimientos[[#This Row],[Tipo de Movimiento]]="Ingreso",tblMovimientos[[#This Row],[Monto (S/)]],"0")</f>
        <v>457.74</v>
      </c>
      <c r="O371" s="27" t="str">
        <f>IF(tblMovimientos[[#This Row],[Tipo de Movimiento]]="Egreso",tblMovimientos[[#This Row],[Monto (S/)]],"0")</f>
        <v>0</v>
      </c>
      <c r="P371" s="29">
        <f>IF(tblMovimientos[[#This Row],[Tipo de Movimiento]]="Ingreso",tblMovimientos[[#This Row],[Ingreso]],-tblMovimientos[[#This Row],[Egreso]])</f>
        <v>457.74</v>
      </c>
    </row>
    <row r="372" spans="1:16" x14ac:dyDescent="0.3">
      <c r="A372" s="47"/>
      <c r="B372" s="41">
        <v>46197</v>
      </c>
      <c r="C372" s="48" t="str">
        <f>_xlfn.XLOOKUP(tblMovimientos[[#This Row],[Cuenta Bancaria]],Listas!$B:$B,Listas!$A:$A,"")</f>
        <v>M1B</v>
      </c>
      <c r="D372" s="43" t="s">
        <v>97</v>
      </c>
      <c r="E372" s="59" t="str">
        <f>_xlfn.XLOOKUP(tblMovimientos[[#This Row],[Cuenta Bancaria]],Listas!$B:$B,Listas!$C:$C,"")</f>
        <v xml:space="preserve">Amerant Bank </v>
      </c>
      <c r="F372" s="43" t="s">
        <v>9</v>
      </c>
      <c r="G372" s="43" t="s">
        <v>68</v>
      </c>
      <c r="H372" s="48" t="str">
        <f>IFERROR(_xlfn.XLOOKUP(G372,Listas!E:E,Listas!F:F,""),"")</f>
        <v>Operativo</v>
      </c>
      <c r="I372" s="48" t="str">
        <f>IFERROR(_xlfn.XLOOKUP(G372,Listas!E:E,Listas!G:G,""),"")</f>
        <v>Externo</v>
      </c>
      <c r="J372" s="45">
        <v>2552.06</v>
      </c>
      <c r="K372" s="5">
        <f t="shared" si="2"/>
        <v>2552.06</v>
      </c>
      <c r="L372" s="15" t="s">
        <v>128</v>
      </c>
      <c r="M372" s="46">
        <f>SUMIFS('Saldos Iniciales'!$D$2:$D$38,'Saldos Iniciales'!$A$2:$A$38,C372,'Saldos Iniciales'!$B$2:$B$38,D372)+SUMIFS($K$1:$K$432,$C$1:$C$432,C372,$D$1:$D$432,D372,$B$1:$B$432,"&lt;="&amp;B372)</f>
        <v>67386.190000000177</v>
      </c>
      <c r="N372" s="27">
        <f>IF(tblMovimientos[[#This Row],[Tipo de Movimiento]]="Ingreso",tblMovimientos[[#This Row],[Monto (S/)]],"0")</f>
        <v>2552.06</v>
      </c>
      <c r="O372" s="27" t="str">
        <f>IF(tblMovimientos[[#This Row],[Tipo de Movimiento]]="Egreso",tblMovimientos[[#This Row],[Monto (S/)]],"0")</f>
        <v>0</v>
      </c>
      <c r="P372" s="29">
        <f>IF(tblMovimientos[[#This Row],[Tipo de Movimiento]]="Ingreso",tblMovimientos[[#This Row],[Ingreso]],-tblMovimientos[[#This Row],[Egreso]])</f>
        <v>2552.06</v>
      </c>
    </row>
    <row r="373" spans="1:16" x14ac:dyDescent="0.3">
      <c r="B373" s="41">
        <v>46198</v>
      </c>
      <c r="C373" s="48" t="str">
        <f>_xlfn.XLOOKUP(tblMovimientos[[#This Row],[Cuenta Bancaria]],Listas!$B:$B,Listas!$A:$A,"")</f>
        <v>A&amp;M Imports</v>
      </c>
      <c r="D373" s="43" t="s">
        <v>100</v>
      </c>
      <c r="E373" s="58" t="str">
        <f>_xlfn.XLOOKUP(tblMovimientos[[#This Row],[Cuenta Bancaria]],Listas!$B:$B,Listas!$C:$C,"")</f>
        <v>Bank of America</v>
      </c>
      <c r="F373" s="43" t="s">
        <v>10</v>
      </c>
      <c r="G373" s="43" t="s">
        <v>61</v>
      </c>
      <c r="H373" s="4" t="str">
        <f>IFERROR(_xlfn.XLOOKUP(G373,Listas!E:E,Listas!F:F,""),"")</f>
        <v>Operativo</v>
      </c>
      <c r="I373" s="48" t="str">
        <f>IFERROR(_xlfn.XLOOKUP(G373,Listas!E:E,Listas!G:G,""),"")</f>
        <v>Externo</v>
      </c>
      <c r="J373" s="45">
        <v>60000</v>
      </c>
      <c r="K373" s="5">
        <f t="shared" si="2"/>
        <v>-60000</v>
      </c>
      <c r="L373" s="15" t="s">
        <v>128</v>
      </c>
      <c r="M373" s="46">
        <f>SUMIFS('Saldos Iniciales'!$D$2:$D$38,'Saldos Iniciales'!$A$2:$A$38,C373,'Saldos Iniciales'!$B$2:$B$38,D373)+SUMIFS($K$1:$K$432,$C$1:$C$432,C373,$D$1:$D$432,D373,$B$1:$B$432,"&lt;="&amp;B373)</f>
        <v>472766.72999999986</v>
      </c>
      <c r="N373" s="27" t="str">
        <f>IF(tblMovimientos[[#This Row],[Tipo de Movimiento]]="Ingreso",tblMovimientos[[#This Row],[Monto (S/)]],"0")</f>
        <v>0</v>
      </c>
      <c r="O373" s="27">
        <f>IF(tblMovimientos[[#This Row],[Tipo de Movimiento]]="Egreso",tblMovimientos[[#This Row],[Monto (S/)]],"0")</f>
        <v>60000</v>
      </c>
      <c r="P373" s="29">
        <f>IF(tblMovimientos[[#This Row],[Tipo de Movimiento]]="Ingreso",tblMovimientos[[#This Row],[Ingreso]],-tblMovimientos[[#This Row],[Egreso]])</f>
        <v>-60000</v>
      </c>
    </row>
    <row r="374" spans="1:16" x14ac:dyDescent="0.3">
      <c r="B374" s="41">
        <v>46198</v>
      </c>
      <c r="C374" s="48" t="str">
        <f>_xlfn.XLOOKUP(tblMovimientos[[#This Row],[Cuenta Bancaria]],Listas!$B:$B,Listas!$A:$A,"")</f>
        <v>CFT Group</v>
      </c>
      <c r="D374" s="43" t="s">
        <v>94</v>
      </c>
      <c r="E374" s="58" t="str">
        <f>_xlfn.XLOOKUP(tblMovimientos[[#This Row],[Cuenta Bancaria]],Listas!$B:$B,Listas!$C:$C,"")</f>
        <v>Bank of America</v>
      </c>
      <c r="F374" s="43" t="s">
        <v>10</v>
      </c>
      <c r="G374" s="43" t="s">
        <v>62</v>
      </c>
      <c r="H374" s="4" t="str">
        <f>IFERROR(_xlfn.XLOOKUP(G374,Listas!E:E,Listas!F:F,""),"")</f>
        <v>Operativo</v>
      </c>
      <c r="I374" s="48" t="str">
        <f>IFERROR(_xlfn.XLOOKUP(G374,Listas!E:E,Listas!G:G,""),"")</f>
        <v>Interno</v>
      </c>
      <c r="J374" s="45">
        <v>150000</v>
      </c>
      <c r="K374" s="5">
        <f t="shared" si="2"/>
        <v>-150000</v>
      </c>
      <c r="L374" s="15" t="s">
        <v>128</v>
      </c>
      <c r="M374" s="46">
        <f>SUMIFS('Saldos Iniciales'!$D$2:$D$38,'Saldos Iniciales'!$A$2:$A$38,C374,'Saldos Iniciales'!$B$2:$B$38,D374)+SUMIFS($K$1:$K$432,$C$1:$C$432,C374,$D$1:$D$432,D374,$B$1:$B$432,"&lt;="&amp;B374)</f>
        <v>29293.319999999978</v>
      </c>
      <c r="N374" s="27" t="str">
        <f>IF(tblMovimientos[[#This Row],[Tipo de Movimiento]]="Ingreso",tblMovimientos[[#This Row],[Monto (S/)]],"0")</f>
        <v>0</v>
      </c>
      <c r="O374" s="27">
        <f>IF(tblMovimientos[[#This Row],[Tipo de Movimiento]]="Egreso",tblMovimientos[[#This Row],[Monto (S/)]],"0")</f>
        <v>150000</v>
      </c>
      <c r="P374" s="29">
        <f>IF(tblMovimientos[[#This Row],[Tipo de Movimiento]]="Ingreso",tblMovimientos[[#This Row],[Ingreso]],-tblMovimientos[[#This Row],[Egreso]])</f>
        <v>-150000</v>
      </c>
    </row>
    <row r="375" spans="1:16" x14ac:dyDescent="0.3">
      <c r="B375" s="41">
        <v>46198</v>
      </c>
      <c r="C375" s="48" t="str">
        <f>_xlfn.XLOOKUP(tblMovimientos[[#This Row],[Cuenta Bancaria]],Listas!$B:$B,Listas!$A:$A,"")</f>
        <v>CFT Group</v>
      </c>
      <c r="D375" s="43" t="s">
        <v>94</v>
      </c>
      <c r="E375" s="58" t="str">
        <f>_xlfn.XLOOKUP(tblMovimientos[[#This Row],[Cuenta Bancaria]],Listas!$B:$B,Listas!$C:$C,"")</f>
        <v>Bank of America</v>
      </c>
      <c r="F375" s="43" t="s">
        <v>10</v>
      </c>
      <c r="G375" s="43" t="s">
        <v>62</v>
      </c>
      <c r="H375" s="4" t="str">
        <f>IFERROR(_xlfn.XLOOKUP(G375,Listas!E:E,Listas!F:F,""),"")</f>
        <v>Operativo</v>
      </c>
      <c r="I375" s="48" t="str">
        <f>IFERROR(_xlfn.XLOOKUP(G375,Listas!E:E,Listas!G:G,""),"")</f>
        <v>Interno</v>
      </c>
      <c r="J375" s="45">
        <v>12000</v>
      </c>
      <c r="K375" s="49">
        <f t="shared" si="2"/>
        <v>-12000</v>
      </c>
      <c r="L375" s="15" t="s">
        <v>128</v>
      </c>
      <c r="M375" s="60">
        <f>SUMIFS('Saldos Iniciales'!$D$2:$D$38,'Saldos Iniciales'!$A$2:$A$38,C375,'Saldos Iniciales'!$B$2:$B$38,D375)+SUMIFS($K$1:$K$432,$C$1:$C$432,C375,$D$1:$D$432,D375,$B$1:$B$432,"&lt;="&amp;B375)</f>
        <v>29293.319999999978</v>
      </c>
      <c r="N375" s="27" t="str">
        <f>IF(tblMovimientos[[#This Row],[Tipo de Movimiento]]="Ingreso",tblMovimientos[[#This Row],[Monto (S/)]],"0")</f>
        <v>0</v>
      </c>
      <c r="O375" s="27">
        <f>IF(tblMovimientos[[#This Row],[Tipo de Movimiento]]="Egreso",tblMovimientos[[#This Row],[Monto (S/)]],"0")</f>
        <v>12000</v>
      </c>
      <c r="P375" s="29">
        <f>IF(tblMovimientos[[#This Row],[Tipo de Movimiento]]="Ingreso",tblMovimientos[[#This Row],[Ingreso]],-tblMovimientos[[#This Row],[Egreso]])</f>
        <v>-12000</v>
      </c>
    </row>
    <row r="376" spans="1:16" x14ac:dyDescent="0.3">
      <c r="B376" s="41">
        <v>46198</v>
      </c>
      <c r="C376" s="48" t="str">
        <f>_xlfn.XLOOKUP(tblMovimientos[[#This Row],[Cuenta Bancaria]],Listas!$B:$B,Listas!$A:$A,"")</f>
        <v>3628 Thomas Ave</v>
      </c>
      <c r="D376" s="43" t="s">
        <v>124</v>
      </c>
      <c r="E376" s="58" t="str">
        <f>_xlfn.XLOOKUP(tblMovimientos[[#This Row],[Cuenta Bancaria]],Listas!$B:$B,Listas!$C:$C,"")</f>
        <v>Bank of America</v>
      </c>
      <c r="F376" s="43" t="s">
        <v>9</v>
      </c>
      <c r="G376" s="43" t="s">
        <v>75</v>
      </c>
      <c r="H376" s="4" t="str">
        <f>IFERROR(_xlfn.XLOOKUP(G376,Listas!E:E,Listas!F:F,""),"")</f>
        <v>Financiamiento</v>
      </c>
      <c r="I376" s="48" t="str">
        <f>IFERROR(_xlfn.XLOOKUP(G376,Listas!E:E,Listas!G:G,""),"")</f>
        <v>Interno</v>
      </c>
      <c r="J376" s="45">
        <v>12000</v>
      </c>
      <c r="K376" s="5">
        <f t="shared" si="2"/>
        <v>12000</v>
      </c>
      <c r="L376" s="15" t="s">
        <v>128</v>
      </c>
      <c r="M376" s="46">
        <f>SUMIFS('Saldos Iniciales'!$D$2:$D$38,'Saldos Iniciales'!$A$2:$A$38,C376,'Saldos Iniciales'!$B$2:$B$38,D376)+SUMIFS($K$1:$K$432,$C$1:$C$432,C376,$D$1:$D$432,D376,$B$1:$B$432,"&lt;="&amp;B376)</f>
        <v>28473.599999999999</v>
      </c>
      <c r="N376" s="27">
        <f>IF(tblMovimientos[[#This Row],[Tipo de Movimiento]]="Ingreso",tblMovimientos[[#This Row],[Monto (S/)]],"0")</f>
        <v>12000</v>
      </c>
      <c r="O376" s="27" t="str">
        <f>IF(tblMovimientos[[#This Row],[Tipo de Movimiento]]="Egreso",tblMovimientos[[#This Row],[Monto (S/)]],"0")</f>
        <v>0</v>
      </c>
      <c r="P376" s="29">
        <f>IF(tblMovimientos[[#This Row],[Tipo de Movimiento]]="Ingreso",tblMovimientos[[#This Row],[Ingreso]],-tblMovimientos[[#This Row],[Egreso]])</f>
        <v>12000</v>
      </c>
    </row>
    <row r="377" spans="1:16" x14ac:dyDescent="0.3">
      <c r="B377" s="41">
        <v>46198</v>
      </c>
      <c r="C377" s="48" t="str">
        <f>_xlfn.XLOOKUP(tblMovimientos[[#This Row],[Cuenta Bancaria]],Listas!$B:$B,Listas!$A:$A,"")</f>
        <v>3628 Thomas Ave</v>
      </c>
      <c r="D377" s="43" t="s">
        <v>124</v>
      </c>
      <c r="E377" s="58" t="str">
        <f>_xlfn.XLOOKUP(tblMovimientos[[#This Row],[Cuenta Bancaria]],Listas!$B:$B,Listas!$C:$C,"")</f>
        <v>Bank of America</v>
      </c>
      <c r="F377" s="43" t="s">
        <v>10</v>
      </c>
      <c r="G377" s="43" t="s">
        <v>38</v>
      </c>
      <c r="H377" s="4" t="str">
        <f>IFERROR(_xlfn.XLOOKUP(G377,Listas!E:E,Listas!F:F,""),"")</f>
        <v>Operativo</v>
      </c>
      <c r="I377" s="48" t="str">
        <f>IFERROR(_xlfn.XLOOKUP(G377,Listas!E:E,Listas!G:G,""),"")</f>
        <v>Externo</v>
      </c>
      <c r="J377" s="45">
        <v>207.75</v>
      </c>
      <c r="K377" s="49">
        <f t="shared" si="2"/>
        <v>-207.75</v>
      </c>
      <c r="L377" s="15" t="s">
        <v>128</v>
      </c>
      <c r="M377" s="60">
        <f>SUMIFS('Saldos Iniciales'!$D$2:$D$38,'Saldos Iniciales'!$A$2:$A$38,C377,'Saldos Iniciales'!$B$2:$B$38,D377)+SUMIFS($K$1:$K$432,$C$1:$C$432,C377,$D$1:$D$432,D377,$B$1:$B$432,"&lt;="&amp;B377)</f>
        <v>28473.599999999999</v>
      </c>
      <c r="N377" s="27" t="str">
        <f>IF(tblMovimientos[[#This Row],[Tipo de Movimiento]]="Ingreso",tblMovimientos[[#This Row],[Monto (S/)]],"0")</f>
        <v>0</v>
      </c>
      <c r="O377" s="27">
        <f>IF(tblMovimientos[[#This Row],[Tipo de Movimiento]]="Egreso",tblMovimientos[[#This Row],[Monto (S/)]],"0")</f>
        <v>207.75</v>
      </c>
      <c r="P377" s="29">
        <f>IF(tblMovimientos[[#This Row],[Tipo de Movimiento]]="Ingreso",tblMovimientos[[#This Row],[Ingreso]],-tblMovimientos[[#This Row],[Egreso]])</f>
        <v>-207.75</v>
      </c>
    </row>
    <row r="378" spans="1:16" x14ac:dyDescent="0.3">
      <c r="B378" s="41">
        <v>46198</v>
      </c>
      <c r="C378" s="48" t="str">
        <f>_xlfn.XLOOKUP(tblMovimientos[[#This Row],[Cuenta Bancaria]],Listas!$B:$B,Listas!$A:$A,"")</f>
        <v>CFT Group</v>
      </c>
      <c r="D378" s="43" t="s">
        <v>95</v>
      </c>
      <c r="E378" s="58" t="str">
        <f>_xlfn.XLOOKUP(tblMovimientos[[#This Row],[Cuenta Bancaria]],Listas!$B:$B,Listas!$C:$C,"")</f>
        <v xml:space="preserve">Amerant Bank </v>
      </c>
      <c r="F378" s="43" t="s">
        <v>9</v>
      </c>
      <c r="H378" s="4">
        <f>IFERROR(_xlfn.XLOOKUP(G378,Listas!E:E,Listas!F:F,""),"")</f>
        <v>0</v>
      </c>
      <c r="I378" s="48">
        <f>IFERROR(_xlfn.XLOOKUP(G378,Listas!E:E,Listas!G:G,""),"")</f>
        <v>0</v>
      </c>
      <c r="J378" s="45">
        <v>10000</v>
      </c>
      <c r="K378" s="5">
        <f t="shared" si="2"/>
        <v>10000</v>
      </c>
      <c r="L378" s="15" t="s">
        <v>128</v>
      </c>
      <c r="M378" s="46">
        <f>SUMIFS('Saldos Iniciales'!$D$2:$D$38,'Saldos Iniciales'!$A$2:$A$38,C378,'Saldos Iniciales'!$B$2:$B$38,D378)+SUMIFS($K$1:$K$432,$C$1:$C$432,C378,$D$1:$D$432,D378,$B$1:$B$432,"&lt;="&amp;B378)</f>
        <v>6201976.9100000001</v>
      </c>
      <c r="N378" s="27">
        <f>IF(tblMovimientos[[#This Row],[Tipo de Movimiento]]="Ingreso",tblMovimientos[[#This Row],[Monto (S/)]],"0")</f>
        <v>10000</v>
      </c>
      <c r="O378" s="27" t="str">
        <f>IF(tblMovimientos[[#This Row],[Tipo de Movimiento]]="Egreso",tblMovimientos[[#This Row],[Monto (S/)]],"0")</f>
        <v>0</v>
      </c>
      <c r="P378" s="29">
        <f>IF(tblMovimientos[[#This Row],[Tipo de Movimiento]]="Ingreso",tblMovimientos[[#This Row],[Ingreso]],-tblMovimientos[[#This Row],[Egreso]])</f>
        <v>10000</v>
      </c>
    </row>
    <row r="379" spans="1:16" x14ac:dyDescent="0.3">
      <c r="B379" s="41">
        <v>46198</v>
      </c>
      <c r="C379" s="48" t="str">
        <f>_xlfn.XLOOKUP(tblMovimientos[[#This Row],[Cuenta Bancaria]],Listas!$B:$B,Listas!$A:$A,"")</f>
        <v>CFT Group</v>
      </c>
      <c r="D379" s="43" t="s">
        <v>95</v>
      </c>
      <c r="E379" s="58" t="str">
        <f>_xlfn.XLOOKUP(tblMovimientos[[#This Row],[Cuenta Bancaria]],Listas!$B:$B,Listas!$C:$C,"")</f>
        <v xml:space="preserve">Amerant Bank </v>
      </c>
      <c r="F379" s="43" t="s">
        <v>9</v>
      </c>
      <c r="G379" s="43" t="s">
        <v>75</v>
      </c>
      <c r="H379" s="4" t="str">
        <f>IFERROR(_xlfn.XLOOKUP(G379,Listas!E:E,Listas!F:F,""),"")</f>
        <v>Financiamiento</v>
      </c>
      <c r="I379" s="48" t="str">
        <f>IFERROR(_xlfn.XLOOKUP(G379,Listas!E:E,Listas!G:G,""),"")</f>
        <v>Interno</v>
      </c>
      <c r="J379" s="45">
        <v>150000</v>
      </c>
      <c r="K379" s="5">
        <f t="shared" si="2"/>
        <v>150000</v>
      </c>
      <c r="L379" s="15" t="s">
        <v>128</v>
      </c>
      <c r="M379" s="46">
        <f>SUMIFS('Saldos Iniciales'!$D$2:$D$38,'Saldos Iniciales'!$A$2:$A$38,C379,'Saldos Iniciales'!$B$2:$B$38,D379)+SUMIFS($K$1:$K$432,$C$1:$C$432,C379,$D$1:$D$432,D379,$B$1:$B$432,"&lt;="&amp;B379)</f>
        <v>6201976.9100000001</v>
      </c>
      <c r="N379" s="27">
        <f>IF(tblMovimientos[[#This Row],[Tipo de Movimiento]]="Ingreso",tblMovimientos[[#This Row],[Monto (S/)]],"0")</f>
        <v>150000</v>
      </c>
      <c r="O379" s="27" t="str">
        <f>IF(tblMovimientos[[#This Row],[Tipo de Movimiento]]="Egreso",tblMovimientos[[#This Row],[Monto (S/)]],"0")</f>
        <v>0</v>
      </c>
      <c r="P379" s="29">
        <f>IF(tblMovimientos[[#This Row],[Tipo de Movimiento]]="Ingreso",tblMovimientos[[#This Row],[Ingreso]],-tblMovimientos[[#This Row],[Egreso]])</f>
        <v>150000</v>
      </c>
    </row>
    <row r="380" spans="1:16" x14ac:dyDescent="0.3">
      <c r="B380" s="41">
        <v>46198</v>
      </c>
      <c r="C380" s="48" t="str">
        <f>_xlfn.XLOOKUP(tblMovimientos[[#This Row],[Cuenta Bancaria]],Listas!$B:$B,Listas!$A:$A,"")</f>
        <v>CFT Group</v>
      </c>
      <c r="D380" s="43" t="s">
        <v>95</v>
      </c>
      <c r="E380" s="58" t="str">
        <f>_xlfn.XLOOKUP(tblMovimientos[[#This Row],[Cuenta Bancaria]],Listas!$B:$B,Listas!$C:$C,"")</f>
        <v xml:space="preserve">Amerant Bank </v>
      </c>
      <c r="F380" s="43" t="s">
        <v>9</v>
      </c>
      <c r="G380" s="43" t="s">
        <v>77</v>
      </c>
      <c r="H380" s="4" t="str">
        <f>IFERROR(_xlfn.XLOOKUP(G380,Listas!E:E,Listas!F:F,""),"")</f>
        <v>Inversion</v>
      </c>
      <c r="I380" s="48" t="str">
        <f>IFERROR(_xlfn.XLOOKUP(G380,Listas!E:E,Listas!G:G,""),"")</f>
        <v>Interno</v>
      </c>
      <c r="J380" s="45">
        <v>500000</v>
      </c>
      <c r="K380" s="5">
        <f t="shared" si="2"/>
        <v>500000</v>
      </c>
      <c r="L380" s="15" t="s">
        <v>128</v>
      </c>
      <c r="M380" s="46">
        <f>SUMIFS('Saldos Iniciales'!$D$2:$D$38,'Saldos Iniciales'!$A$2:$A$38,C380,'Saldos Iniciales'!$B$2:$B$38,D380)+SUMIFS($K$1:$K$432,$C$1:$C$432,C380,$D$1:$D$432,D380,$B$1:$B$432,"&lt;="&amp;B380)</f>
        <v>6201976.9100000001</v>
      </c>
      <c r="N380" s="27">
        <f>IF(tblMovimientos[[#This Row],[Tipo de Movimiento]]="Ingreso",tblMovimientos[[#This Row],[Monto (S/)]],"0")</f>
        <v>500000</v>
      </c>
      <c r="O380" s="27" t="str">
        <f>IF(tblMovimientos[[#This Row],[Tipo de Movimiento]]="Egreso",tblMovimientos[[#This Row],[Monto (S/)]],"0")</f>
        <v>0</v>
      </c>
      <c r="P380" s="29">
        <f>IF(tblMovimientos[[#This Row],[Tipo de Movimiento]]="Ingreso",tblMovimientos[[#This Row],[Ingreso]],-tblMovimientos[[#This Row],[Egreso]])</f>
        <v>500000</v>
      </c>
    </row>
    <row r="381" spans="1:16" x14ac:dyDescent="0.3">
      <c r="B381" s="41">
        <v>46198</v>
      </c>
      <c r="C381" s="48" t="str">
        <f>_xlfn.XLOOKUP(tblMovimientos[[#This Row],[Cuenta Bancaria]],Listas!$B:$B,Listas!$A:$A,"")</f>
        <v>CFT Group</v>
      </c>
      <c r="D381" s="43" t="s">
        <v>95</v>
      </c>
      <c r="E381" s="58" t="str">
        <f>_xlfn.XLOOKUP(tblMovimientos[[#This Row],[Cuenta Bancaria]],Listas!$B:$B,Listas!$C:$C,"")</f>
        <v xml:space="preserve">Amerant Bank </v>
      </c>
      <c r="F381" s="43" t="s">
        <v>10</v>
      </c>
      <c r="G381" s="43" t="s">
        <v>46</v>
      </c>
      <c r="H381" s="4" t="str">
        <f>IFERROR(_xlfn.XLOOKUP(G381,Listas!E:E,Listas!F:F,""),"")</f>
        <v>Financiamiento</v>
      </c>
      <c r="I381" s="48" t="str">
        <f>IFERROR(_xlfn.XLOOKUP(G381,Listas!E:E,Listas!G:G,""),"")</f>
        <v>Externo</v>
      </c>
      <c r="J381" s="45">
        <v>10000</v>
      </c>
      <c r="K381" s="49">
        <f t="shared" si="2"/>
        <v>-10000</v>
      </c>
      <c r="L381" s="15" t="s">
        <v>128</v>
      </c>
      <c r="M381" s="60">
        <f>SUMIFS('Saldos Iniciales'!$D$2:$D$38,'Saldos Iniciales'!$A$2:$A$38,C381,'Saldos Iniciales'!$B$2:$B$38,D381)+SUMIFS($K$1:$K$432,$C$1:$C$432,C381,$D$1:$D$432,D381,$B$1:$B$432,"&lt;="&amp;B381)</f>
        <v>6201976.9100000001</v>
      </c>
      <c r="N381" s="27" t="str">
        <f>IF(tblMovimientos[[#This Row],[Tipo de Movimiento]]="Ingreso",tblMovimientos[[#This Row],[Monto (S/)]],"0")</f>
        <v>0</v>
      </c>
      <c r="O381" s="27">
        <f>IF(tblMovimientos[[#This Row],[Tipo de Movimiento]]="Egreso",tblMovimientos[[#This Row],[Monto (S/)]],"0")</f>
        <v>10000</v>
      </c>
      <c r="P381" s="29">
        <f>IF(tblMovimientos[[#This Row],[Tipo de Movimiento]]="Ingreso",tblMovimientos[[#This Row],[Ingreso]],-tblMovimientos[[#This Row],[Egreso]])</f>
        <v>-10000</v>
      </c>
    </row>
    <row r="382" spans="1:16" x14ac:dyDescent="0.3">
      <c r="B382" s="41">
        <v>46198</v>
      </c>
      <c r="C382" s="48" t="str">
        <f>_xlfn.XLOOKUP(tblMovimientos[[#This Row],[Cuenta Bancaria]],Listas!$B:$B,Listas!$A:$A,"")</f>
        <v>CFT Group</v>
      </c>
      <c r="D382" s="43" t="s">
        <v>95</v>
      </c>
      <c r="E382" s="58" t="str">
        <f>_xlfn.XLOOKUP(tblMovimientos[[#This Row],[Cuenta Bancaria]],Listas!$B:$B,Listas!$C:$C,"")</f>
        <v xml:space="preserve">Amerant Bank </v>
      </c>
      <c r="F382" s="43" t="s">
        <v>10</v>
      </c>
      <c r="G382" s="43" t="s">
        <v>46</v>
      </c>
      <c r="H382" s="4" t="str">
        <f>IFERROR(_xlfn.XLOOKUP(G382,Listas!E:E,Listas!F:F,""),"")</f>
        <v>Financiamiento</v>
      </c>
      <c r="I382" s="48" t="str">
        <f>IFERROR(_xlfn.XLOOKUP(G382,Listas!E:E,Listas!G:G,""),"")</f>
        <v>Externo</v>
      </c>
      <c r="J382" s="45">
        <v>10833.33</v>
      </c>
      <c r="K382" s="5">
        <f t="shared" si="2"/>
        <v>-10833.33</v>
      </c>
      <c r="L382" s="15" t="s">
        <v>128</v>
      </c>
      <c r="M382" s="46">
        <f>SUMIFS('Saldos Iniciales'!$D$2:$D$38,'Saldos Iniciales'!$A$2:$A$38,C382,'Saldos Iniciales'!$B$2:$B$38,D382)+SUMIFS($K$1:$K$432,$C$1:$C$432,C382,$D$1:$D$432,D382,$B$1:$B$432,"&lt;="&amp;B382)</f>
        <v>6201976.9100000001</v>
      </c>
      <c r="N382" s="27" t="str">
        <f>IF(tblMovimientos[[#This Row],[Tipo de Movimiento]]="Ingreso",tblMovimientos[[#This Row],[Monto (S/)]],"0")</f>
        <v>0</v>
      </c>
      <c r="O382" s="27">
        <f>IF(tblMovimientos[[#This Row],[Tipo de Movimiento]]="Egreso",tblMovimientos[[#This Row],[Monto (S/)]],"0")</f>
        <v>10833.33</v>
      </c>
      <c r="P382" s="29">
        <f>IF(tblMovimientos[[#This Row],[Tipo de Movimiento]]="Ingreso",tblMovimientos[[#This Row],[Ingreso]],-tblMovimientos[[#This Row],[Egreso]])</f>
        <v>-10833.33</v>
      </c>
    </row>
    <row r="383" spans="1:16" x14ac:dyDescent="0.3">
      <c r="B383" s="41">
        <v>46198</v>
      </c>
      <c r="C383" s="48" t="str">
        <f>_xlfn.XLOOKUP(tblMovimientos[[#This Row],[Cuenta Bancaria]],Listas!$B:$B,Listas!$A:$A,"")</f>
        <v>CFT Group</v>
      </c>
      <c r="D383" s="43" t="s">
        <v>95</v>
      </c>
      <c r="E383" s="58" t="str">
        <f>_xlfn.XLOOKUP(tblMovimientos[[#This Row],[Cuenta Bancaria]],Listas!$B:$B,Listas!$C:$C,"")</f>
        <v xml:space="preserve">Amerant Bank </v>
      </c>
      <c r="F383" s="43" t="s">
        <v>10</v>
      </c>
      <c r="G383" s="43" t="s">
        <v>46</v>
      </c>
      <c r="H383" s="4" t="str">
        <f>IFERROR(_xlfn.XLOOKUP(G383,Listas!E:E,Listas!F:F,""),"")</f>
        <v>Financiamiento</v>
      </c>
      <c r="I383" s="48" t="str">
        <f>IFERROR(_xlfn.XLOOKUP(G383,Listas!E:E,Listas!G:G,""),"")</f>
        <v>Externo</v>
      </c>
      <c r="J383" s="45">
        <v>71041.67</v>
      </c>
      <c r="K383" s="5">
        <f t="shared" si="2"/>
        <v>-71041.67</v>
      </c>
      <c r="L383" s="15" t="s">
        <v>128</v>
      </c>
      <c r="M383" s="46">
        <f>SUMIFS('Saldos Iniciales'!$D$2:$D$38,'Saldos Iniciales'!$A$2:$A$38,C383,'Saldos Iniciales'!$B$2:$B$38,D383)+SUMIFS($K$1:$K$432,$C$1:$C$432,C383,$D$1:$D$432,D383,$B$1:$B$432,"&lt;="&amp;B383)</f>
        <v>6201976.9100000001</v>
      </c>
      <c r="N383" s="27" t="str">
        <f>IF(tblMovimientos[[#This Row],[Tipo de Movimiento]]="Ingreso",tblMovimientos[[#This Row],[Monto (S/)]],"0")</f>
        <v>0</v>
      </c>
      <c r="O383" s="27">
        <f>IF(tblMovimientos[[#This Row],[Tipo de Movimiento]]="Egreso",tblMovimientos[[#This Row],[Monto (S/)]],"0")</f>
        <v>71041.67</v>
      </c>
      <c r="P383" s="29">
        <f>IF(tblMovimientos[[#This Row],[Tipo de Movimiento]]="Ingreso",tblMovimientos[[#This Row],[Ingreso]],-tblMovimientos[[#This Row],[Egreso]])</f>
        <v>-71041.67</v>
      </c>
    </row>
    <row r="384" spans="1:16" x14ac:dyDescent="0.3">
      <c r="B384" s="41">
        <v>46198</v>
      </c>
      <c r="C384" s="48" t="str">
        <f>_xlfn.XLOOKUP(tblMovimientos[[#This Row],[Cuenta Bancaria]],Listas!$B:$B,Listas!$A:$A,"")</f>
        <v>CFT Group</v>
      </c>
      <c r="D384" s="43" t="s">
        <v>95</v>
      </c>
      <c r="E384" s="58" t="str">
        <f>_xlfn.XLOOKUP(tblMovimientos[[#This Row],[Cuenta Bancaria]],Listas!$B:$B,Listas!$C:$C,"")</f>
        <v xml:space="preserve">Amerant Bank </v>
      </c>
      <c r="F384" s="43" t="s">
        <v>10</v>
      </c>
      <c r="G384" s="43" t="s">
        <v>62</v>
      </c>
      <c r="H384" s="4" t="str">
        <f>IFERROR(_xlfn.XLOOKUP(G384,Listas!E:E,Listas!F:F,""),"")</f>
        <v>Operativo</v>
      </c>
      <c r="I384" s="48" t="str">
        <f>IFERROR(_xlfn.XLOOKUP(G384,Listas!E:E,Listas!G:G,""),"")</f>
        <v>Interno</v>
      </c>
      <c r="J384" s="45">
        <v>1850000</v>
      </c>
      <c r="K384" s="5">
        <f t="shared" si="2"/>
        <v>-1850000</v>
      </c>
      <c r="L384" s="15" t="s">
        <v>128</v>
      </c>
      <c r="M384" s="46">
        <f>SUMIFS('Saldos Iniciales'!$D$2:$D$38,'Saldos Iniciales'!$A$2:$A$38,C384,'Saldos Iniciales'!$B$2:$B$38,D384)+SUMIFS($K$1:$K$432,$C$1:$C$432,C384,$D$1:$D$432,D384,$B$1:$B$432,"&lt;="&amp;B384)</f>
        <v>6201976.9100000001</v>
      </c>
      <c r="N384" s="27" t="str">
        <f>IF(tblMovimientos[[#This Row],[Tipo de Movimiento]]="Ingreso",tblMovimientos[[#This Row],[Monto (S/)]],"0")</f>
        <v>0</v>
      </c>
      <c r="O384" s="27">
        <f>IF(tblMovimientos[[#This Row],[Tipo de Movimiento]]="Egreso",tblMovimientos[[#This Row],[Monto (S/)]],"0")</f>
        <v>1850000</v>
      </c>
      <c r="P384" s="29">
        <f>IF(tblMovimientos[[#This Row],[Tipo de Movimiento]]="Ingreso",tblMovimientos[[#This Row],[Ingreso]],-tblMovimientos[[#This Row],[Egreso]])</f>
        <v>-1850000</v>
      </c>
    </row>
    <row r="385" spans="2:16" x14ac:dyDescent="0.3">
      <c r="B385" s="41">
        <v>46198</v>
      </c>
      <c r="C385" s="48" t="str">
        <f>_xlfn.XLOOKUP(tblMovimientos[[#This Row],[Cuenta Bancaria]],Listas!$B:$B,Listas!$A:$A,"")</f>
        <v>Cross Family Trust</v>
      </c>
      <c r="D385" s="43" t="s">
        <v>111</v>
      </c>
      <c r="E385" s="58" t="str">
        <f>_xlfn.XLOOKUP(tblMovimientos[[#This Row],[Cuenta Bancaria]],Listas!$B:$B,Listas!$C:$C,"")</f>
        <v xml:space="preserve">Amerant Bank </v>
      </c>
      <c r="F385" s="43" t="s">
        <v>9</v>
      </c>
      <c r="G385" s="43" t="s">
        <v>79</v>
      </c>
      <c r="H385" s="4" t="str">
        <f>IFERROR(_xlfn.XLOOKUP(G385,Listas!E:E,Listas!F:F,""),"")</f>
        <v>Inversion</v>
      </c>
      <c r="I385" s="48" t="str">
        <f>IFERROR(_xlfn.XLOOKUP(G385,Listas!E:E,Listas!G:G,""),"")</f>
        <v>Externo</v>
      </c>
      <c r="J385" s="45">
        <v>150000</v>
      </c>
      <c r="K385" s="49">
        <f t="shared" si="2"/>
        <v>150000</v>
      </c>
      <c r="L385" s="15" t="s">
        <v>128</v>
      </c>
      <c r="M385" s="60">
        <f>SUMIFS('Saldos Iniciales'!$D$2:$D$38,'Saldos Iniciales'!$A$2:$A$38,C385,'Saldos Iniciales'!$B$2:$B$38,D385)+SUMIFS($K$1:$K$432,$C$1:$C$432,C385,$D$1:$D$432,D385,$B$1:$B$432,"&lt;="&amp;B385)</f>
        <v>1881717.6</v>
      </c>
      <c r="N385" s="27">
        <f>IF(tblMovimientos[[#This Row],[Tipo de Movimiento]]="Ingreso",tblMovimientos[[#This Row],[Monto (S/)]],"0")</f>
        <v>150000</v>
      </c>
      <c r="O385" s="27" t="str">
        <f>IF(tblMovimientos[[#This Row],[Tipo de Movimiento]]="Egreso",tblMovimientos[[#This Row],[Monto (S/)]],"0")</f>
        <v>0</v>
      </c>
      <c r="P385" s="29">
        <f>IF(tblMovimientos[[#This Row],[Tipo de Movimiento]]="Ingreso",tblMovimientos[[#This Row],[Ingreso]],-tblMovimientos[[#This Row],[Egreso]])</f>
        <v>150000</v>
      </c>
    </row>
    <row r="386" spans="2:16" x14ac:dyDescent="0.3">
      <c r="B386" s="41">
        <v>46198</v>
      </c>
      <c r="C386" s="48" t="str">
        <f>_xlfn.XLOOKUP(tblMovimientos[[#This Row],[Cuenta Bancaria]],Listas!$B:$B,Listas!$A:$A,"")</f>
        <v>Cross Family Trust</v>
      </c>
      <c r="D386" s="43" t="s">
        <v>111</v>
      </c>
      <c r="E386" s="58" t="str">
        <f>_xlfn.XLOOKUP(tblMovimientos[[#This Row],[Cuenta Bancaria]],Listas!$B:$B,Listas!$C:$C,"")</f>
        <v xml:space="preserve">Amerant Bank </v>
      </c>
      <c r="F386" s="43" t="s">
        <v>9</v>
      </c>
      <c r="G386" s="43" t="s">
        <v>79</v>
      </c>
      <c r="H386" s="4" t="str">
        <f>IFERROR(_xlfn.XLOOKUP(G386,Listas!E:E,Listas!F:F,""),"")</f>
        <v>Inversion</v>
      </c>
      <c r="I386" s="48" t="str">
        <f>IFERROR(_xlfn.XLOOKUP(G386,Listas!E:E,Listas!G:G,""),"")</f>
        <v>Externo</v>
      </c>
      <c r="J386" s="45">
        <v>2380000</v>
      </c>
      <c r="K386" s="5">
        <f t="shared" si="2"/>
        <v>2380000</v>
      </c>
      <c r="L386" s="15" t="s">
        <v>128</v>
      </c>
      <c r="M386" s="46">
        <f>SUMIFS('Saldos Iniciales'!$D$2:$D$38,'Saldos Iniciales'!$A$2:$A$38,C386,'Saldos Iniciales'!$B$2:$B$38,D386)+SUMIFS($K$1:$K$432,$C$1:$C$432,C386,$D$1:$D$432,D386,$B$1:$B$432,"&lt;="&amp;B386)</f>
        <v>1881717.6</v>
      </c>
      <c r="N386" s="27">
        <f>IF(tblMovimientos[[#This Row],[Tipo de Movimiento]]="Ingreso",tblMovimientos[[#This Row],[Monto (S/)]],"0")</f>
        <v>2380000</v>
      </c>
      <c r="O386" s="27" t="str">
        <f>IF(tblMovimientos[[#This Row],[Tipo de Movimiento]]="Egreso",tblMovimientos[[#This Row],[Monto (S/)]],"0")</f>
        <v>0</v>
      </c>
      <c r="P386" s="29">
        <f>IF(tblMovimientos[[#This Row],[Tipo de Movimiento]]="Ingreso",tblMovimientos[[#This Row],[Ingreso]],-tblMovimientos[[#This Row],[Egreso]])</f>
        <v>2380000</v>
      </c>
    </row>
    <row r="387" spans="2:16" x14ac:dyDescent="0.3">
      <c r="B387" s="41">
        <v>46198</v>
      </c>
      <c r="C387" s="48" t="str">
        <f>_xlfn.XLOOKUP(tblMovimientos[[#This Row],[Cuenta Bancaria]],Listas!$B:$B,Listas!$A:$A,"")</f>
        <v>Cross Family Trust</v>
      </c>
      <c r="D387" s="43" t="s">
        <v>111</v>
      </c>
      <c r="E387" s="58" t="str">
        <f>_xlfn.XLOOKUP(tblMovimientos[[#This Row],[Cuenta Bancaria]],Listas!$B:$B,Listas!$C:$C,"")</f>
        <v xml:space="preserve">Amerant Bank </v>
      </c>
      <c r="F387" s="43" t="s">
        <v>10</v>
      </c>
      <c r="G387" s="43" t="s">
        <v>60</v>
      </c>
      <c r="H387" s="4" t="str">
        <f>IFERROR(_xlfn.XLOOKUP(G387,Listas!E:E,Listas!F:F,""),"")</f>
        <v>Inversion</v>
      </c>
      <c r="I387" s="48" t="str">
        <f>IFERROR(_xlfn.XLOOKUP(G387,Listas!E:E,Listas!G:G,""),"")</f>
        <v>Interno</v>
      </c>
      <c r="J387" s="45">
        <v>150000</v>
      </c>
      <c r="K387" s="5">
        <f t="shared" si="2"/>
        <v>-150000</v>
      </c>
      <c r="L387" s="15" t="s">
        <v>128</v>
      </c>
      <c r="M387" s="46">
        <f>SUMIFS('Saldos Iniciales'!$D$2:$D$38,'Saldos Iniciales'!$A$2:$A$38,C387,'Saldos Iniciales'!$B$2:$B$38,D387)+SUMIFS($K$1:$K$432,$C$1:$C$432,C387,$D$1:$D$432,D387,$B$1:$B$432,"&lt;="&amp;B387)</f>
        <v>1881717.6</v>
      </c>
      <c r="N387" s="27" t="str">
        <f>IF(tblMovimientos[[#This Row],[Tipo de Movimiento]]="Ingreso",tblMovimientos[[#This Row],[Monto (S/)]],"0")</f>
        <v>0</v>
      </c>
      <c r="O387" s="27">
        <f>IF(tblMovimientos[[#This Row],[Tipo de Movimiento]]="Egreso",tblMovimientos[[#This Row],[Monto (S/)]],"0")</f>
        <v>150000</v>
      </c>
      <c r="P387" s="29">
        <f>IF(tblMovimientos[[#This Row],[Tipo de Movimiento]]="Ingreso",tblMovimientos[[#This Row],[Ingreso]],-tblMovimientos[[#This Row],[Egreso]])</f>
        <v>-150000</v>
      </c>
    </row>
    <row r="388" spans="2:16" x14ac:dyDescent="0.3">
      <c r="B388" s="41">
        <v>46198</v>
      </c>
      <c r="C388" s="48" t="str">
        <f>_xlfn.XLOOKUP(tblMovimientos[[#This Row],[Cuenta Bancaria]],Listas!$B:$B,Listas!$A:$A,"")</f>
        <v>Cross Family Trust</v>
      </c>
      <c r="D388" s="43" t="s">
        <v>111</v>
      </c>
      <c r="E388" s="58" t="str">
        <f>_xlfn.XLOOKUP(tblMovimientos[[#This Row],[Cuenta Bancaria]],Listas!$B:$B,Listas!$C:$C,"")</f>
        <v xml:space="preserve">Amerant Bank </v>
      </c>
      <c r="F388" s="43" t="s">
        <v>10</v>
      </c>
      <c r="G388" s="43" t="s">
        <v>53</v>
      </c>
      <c r="H388" s="4" t="str">
        <f>IFERROR(_xlfn.XLOOKUP(G388,Listas!E:E,Listas!F:F,""),"")</f>
        <v>Inversion</v>
      </c>
      <c r="I388" s="48" t="str">
        <f>IFERROR(_xlfn.XLOOKUP(G388,Listas!E:E,Listas!G:G,""),"")</f>
        <v>Interno</v>
      </c>
      <c r="J388" s="45">
        <v>500000</v>
      </c>
      <c r="K388" s="5">
        <f t="shared" si="2"/>
        <v>-500000</v>
      </c>
      <c r="L388" s="15" t="s">
        <v>128</v>
      </c>
      <c r="M388" s="46">
        <f>SUMIFS('Saldos Iniciales'!$D$2:$D$38,'Saldos Iniciales'!$A$2:$A$38,C388,'Saldos Iniciales'!$B$2:$B$38,D388)+SUMIFS($K$1:$K$432,$C$1:$C$432,C388,$D$1:$D$432,D388,$B$1:$B$432,"&lt;="&amp;B388)</f>
        <v>1881717.6</v>
      </c>
      <c r="N388" s="27" t="str">
        <f>IF(tblMovimientos[[#This Row],[Tipo de Movimiento]]="Ingreso",tblMovimientos[[#This Row],[Monto (S/)]],"0")</f>
        <v>0</v>
      </c>
      <c r="O388" s="27">
        <f>IF(tblMovimientos[[#This Row],[Tipo de Movimiento]]="Egreso",tblMovimientos[[#This Row],[Monto (S/)]],"0")</f>
        <v>500000</v>
      </c>
      <c r="P388" s="29">
        <f>IF(tblMovimientos[[#This Row],[Tipo de Movimiento]]="Ingreso",tblMovimientos[[#This Row],[Ingreso]],-tblMovimientos[[#This Row],[Egreso]])</f>
        <v>-500000</v>
      </c>
    </row>
    <row r="389" spans="2:16" x14ac:dyDescent="0.3">
      <c r="B389" s="41">
        <v>46198</v>
      </c>
      <c r="C389" s="48" t="str">
        <f>_xlfn.XLOOKUP(tblMovimientos[[#This Row],[Cuenta Bancaria]],Listas!$B:$B,Listas!$A:$A,"")</f>
        <v>SSP Capital</v>
      </c>
      <c r="D389" s="43" t="s">
        <v>104</v>
      </c>
      <c r="E389" s="58" t="str">
        <f>_xlfn.XLOOKUP(tblMovimientos[[#This Row],[Cuenta Bancaria]],Listas!$B:$B,Listas!$C:$C,"")</f>
        <v xml:space="preserve">Amerant Bank </v>
      </c>
      <c r="F389" s="43" t="s">
        <v>9</v>
      </c>
      <c r="G389" s="43" t="s">
        <v>75</v>
      </c>
      <c r="H389" s="4" t="str">
        <f>IFERROR(_xlfn.XLOOKUP(G389,Listas!E:E,Listas!F:F,""),"")</f>
        <v>Financiamiento</v>
      </c>
      <c r="I389" s="48" t="str">
        <f>IFERROR(_xlfn.XLOOKUP(G389,Listas!E:E,Listas!G:G,""),"")</f>
        <v>Interno</v>
      </c>
      <c r="J389" s="45">
        <v>1850000</v>
      </c>
      <c r="K389" s="49">
        <f t="shared" si="2"/>
        <v>1850000</v>
      </c>
      <c r="L389" s="15" t="s">
        <v>128</v>
      </c>
      <c r="M389" s="60">
        <f>SUMIFS('Saldos Iniciales'!$D$2:$D$38,'Saldos Iniciales'!$A$2:$A$38,C389,'Saldos Iniciales'!$B$2:$B$38,D389)+SUMIFS($K$1:$K$432,$C$1:$C$432,C389,$D$1:$D$432,D389,$B$1:$B$432,"&lt;="&amp;B389)</f>
        <v>1109351.6499999994</v>
      </c>
      <c r="N389" s="27">
        <f>IF(tblMovimientos[[#This Row],[Tipo de Movimiento]]="Ingreso",tblMovimientos[[#This Row],[Monto (S/)]],"0")</f>
        <v>1850000</v>
      </c>
      <c r="O389" s="27" t="str">
        <f>IF(tblMovimientos[[#This Row],[Tipo de Movimiento]]="Egreso",tblMovimientos[[#This Row],[Monto (S/)]],"0")</f>
        <v>0</v>
      </c>
      <c r="P389" s="29">
        <f>IF(tblMovimientos[[#This Row],[Tipo de Movimiento]]="Ingreso",tblMovimientos[[#This Row],[Ingreso]],-tblMovimientos[[#This Row],[Egreso]])</f>
        <v>1850000</v>
      </c>
    </row>
    <row r="390" spans="2:16" x14ac:dyDescent="0.3">
      <c r="B390" s="41">
        <v>46198</v>
      </c>
      <c r="C390" s="48" t="str">
        <f>_xlfn.XLOOKUP(tblMovimientos[[#This Row],[Cuenta Bancaria]],Listas!$B:$B,Listas!$A:$A,"")</f>
        <v>SSP Capital</v>
      </c>
      <c r="D390" s="43" t="s">
        <v>104</v>
      </c>
      <c r="E390" s="58" t="str">
        <f>_xlfn.XLOOKUP(tblMovimientos[[#This Row],[Cuenta Bancaria]],Listas!$B:$B,Listas!$C:$C,"")</f>
        <v xml:space="preserve">Amerant Bank </v>
      </c>
      <c r="F390" s="43" t="s">
        <v>10</v>
      </c>
      <c r="G390" s="43" t="s">
        <v>46</v>
      </c>
      <c r="H390" s="4" t="str">
        <f>IFERROR(_xlfn.XLOOKUP(G390,Listas!E:E,Listas!F:F,""),"")</f>
        <v>Financiamiento</v>
      </c>
      <c r="I390" s="48" t="str">
        <f>IFERROR(_xlfn.XLOOKUP(G390,Listas!E:E,Listas!G:G,""),"")</f>
        <v>Externo</v>
      </c>
      <c r="J390" s="45">
        <v>4071.45</v>
      </c>
      <c r="K390" s="5">
        <f t="shared" si="2"/>
        <v>-4071.45</v>
      </c>
      <c r="L390" s="15" t="s">
        <v>128</v>
      </c>
      <c r="M390" s="46">
        <f>SUMIFS('Saldos Iniciales'!$D$2:$D$38,'Saldos Iniciales'!$A$2:$A$38,C390,'Saldos Iniciales'!$B$2:$B$38,D390)+SUMIFS($K$1:$K$432,$C$1:$C$432,C390,$D$1:$D$432,D390,$B$1:$B$432,"&lt;="&amp;B390)</f>
        <v>1109351.6499999994</v>
      </c>
      <c r="N390" s="27" t="str">
        <f>IF(tblMovimientos[[#This Row],[Tipo de Movimiento]]="Ingreso",tblMovimientos[[#This Row],[Monto (S/)]],"0")</f>
        <v>0</v>
      </c>
      <c r="O390" s="27">
        <f>IF(tblMovimientos[[#This Row],[Tipo de Movimiento]]="Egreso",tblMovimientos[[#This Row],[Monto (S/)]],"0")</f>
        <v>4071.45</v>
      </c>
      <c r="P390" s="29">
        <f>IF(tblMovimientos[[#This Row],[Tipo de Movimiento]]="Ingreso",tblMovimientos[[#This Row],[Ingreso]],-tblMovimientos[[#This Row],[Egreso]])</f>
        <v>-4071.45</v>
      </c>
    </row>
    <row r="391" spans="2:16" x14ac:dyDescent="0.3">
      <c r="B391" s="41">
        <v>46198</v>
      </c>
      <c r="C391" s="48" t="str">
        <f>_xlfn.XLOOKUP(tblMovimientos[[#This Row],[Cuenta Bancaria]],Listas!$B:$B,Listas!$A:$A,"")</f>
        <v>SSP Capital</v>
      </c>
      <c r="D391" s="43" t="s">
        <v>104</v>
      </c>
      <c r="E391" s="58" t="str">
        <f>_xlfn.XLOOKUP(tblMovimientos[[#This Row],[Cuenta Bancaria]],Listas!$B:$B,Listas!$C:$C,"")</f>
        <v xml:space="preserve">Amerant Bank </v>
      </c>
      <c r="F391" s="43" t="s">
        <v>10</v>
      </c>
      <c r="G391" s="43" t="s">
        <v>46</v>
      </c>
      <c r="H391" s="4" t="str">
        <f>IFERROR(_xlfn.XLOOKUP(G391,Listas!E:E,Listas!F:F,""),"")</f>
        <v>Financiamiento</v>
      </c>
      <c r="I391" s="48" t="str">
        <f>IFERROR(_xlfn.XLOOKUP(G391,Listas!E:E,Listas!G:G,""),"")</f>
        <v>Externo</v>
      </c>
      <c r="J391" s="45">
        <v>8400</v>
      </c>
      <c r="K391" s="5">
        <f t="shared" si="2"/>
        <v>-8400</v>
      </c>
      <c r="L391" s="15" t="s">
        <v>128</v>
      </c>
      <c r="M391" s="46">
        <f>SUMIFS('Saldos Iniciales'!$D$2:$D$38,'Saldos Iniciales'!$A$2:$A$38,C391,'Saldos Iniciales'!$B$2:$B$38,D391)+SUMIFS($K$1:$K$432,$C$1:$C$432,C391,$D$1:$D$432,D391,$B$1:$B$432,"&lt;="&amp;B391)</f>
        <v>1109351.6499999994</v>
      </c>
      <c r="N391" s="27" t="str">
        <f>IF(tblMovimientos[[#This Row],[Tipo de Movimiento]]="Ingreso",tblMovimientos[[#This Row],[Monto (S/)]],"0")</f>
        <v>0</v>
      </c>
      <c r="O391" s="27">
        <f>IF(tblMovimientos[[#This Row],[Tipo de Movimiento]]="Egreso",tblMovimientos[[#This Row],[Monto (S/)]],"0")</f>
        <v>8400</v>
      </c>
      <c r="P391" s="29">
        <f>IF(tblMovimientos[[#This Row],[Tipo de Movimiento]]="Ingreso",tblMovimientos[[#This Row],[Ingreso]],-tblMovimientos[[#This Row],[Egreso]])</f>
        <v>-8400</v>
      </c>
    </row>
    <row r="392" spans="2:16" x14ac:dyDescent="0.3">
      <c r="B392" s="41">
        <v>46198</v>
      </c>
      <c r="C392" s="48" t="str">
        <f>_xlfn.XLOOKUP(tblMovimientos[[#This Row],[Cuenta Bancaria]],Listas!$B:$B,Listas!$A:$A,"")</f>
        <v>SSP Capital</v>
      </c>
      <c r="D392" s="43" t="s">
        <v>104</v>
      </c>
      <c r="E392" s="58" t="str">
        <f>_xlfn.XLOOKUP(tblMovimientos[[#This Row],[Cuenta Bancaria]],Listas!$B:$B,Listas!$C:$C,"")</f>
        <v xml:space="preserve">Amerant Bank </v>
      </c>
      <c r="F392" s="43" t="s">
        <v>10</v>
      </c>
      <c r="G392" s="43" t="s">
        <v>46</v>
      </c>
      <c r="H392" s="4" t="str">
        <f>IFERROR(_xlfn.XLOOKUP(G392,Listas!E:E,Listas!F:F,""),"")</f>
        <v>Financiamiento</v>
      </c>
      <c r="I392" s="48" t="str">
        <f>IFERROR(_xlfn.XLOOKUP(G392,Listas!E:E,Listas!G:G,""),"")</f>
        <v>Externo</v>
      </c>
      <c r="J392" s="45">
        <v>8666.67</v>
      </c>
      <c r="K392" s="5">
        <f t="shared" si="2"/>
        <v>-8666.67</v>
      </c>
      <c r="L392" s="15" t="s">
        <v>128</v>
      </c>
      <c r="M392" s="46">
        <f>SUMIFS('Saldos Iniciales'!$D$2:$D$38,'Saldos Iniciales'!$A$2:$A$38,C392,'Saldos Iniciales'!$B$2:$B$38,D392)+SUMIFS($K$1:$K$432,$C$1:$C$432,C392,$D$1:$D$432,D392,$B$1:$B$432,"&lt;="&amp;B392)</f>
        <v>1109351.6499999994</v>
      </c>
      <c r="N392" s="27" t="str">
        <f>IF(tblMovimientos[[#This Row],[Tipo de Movimiento]]="Ingreso",tblMovimientos[[#This Row],[Monto (S/)]],"0")</f>
        <v>0</v>
      </c>
      <c r="O392" s="27">
        <f>IF(tblMovimientos[[#This Row],[Tipo de Movimiento]]="Egreso",tblMovimientos[[#This Row],[Monto (S/)]],"0")</f>
        <v>8666.67</v>
      </c>
      <c r="P392" s="29">
        <f>IF(tblMovimientos[[#This Row],[Tipo de Movimiento]]="Ingreso",tblMovimientos[[#This Row],[Ingreso]],-tblMovimientos[[#This Row],[Egreso]])</f>
        <v>-8666.67</v>
      </c>
    </row>
    <row r="393" spans="2:16" x14ac:dyDescent="0.3">
      <c r="B393" s="41">
        <v>46198</v>
      </c>
      <c r="C393" s="48" t="str">
        <f>_xlfn.XLOOKUP(tblMovimientos[[#This Row],[Cuenta Bancaria]],Listas!$B:$B,Listas!$A:$A,"")</f>
        <v>SSP Capital</v>
      </c>
      <c r="D393" s="43" t="s">
        <v>104</v>
      </c>
      <c r="E393" s="58" t="str">
        <f>_xlfn.XLOOKUP(tblMovimientos[[#This Row],[Cuenta Bancaria]],Listas!$B:$B,Listas!$C:$C,"")</f>
        <v xml:space="preserve">Amerant Bank </v>
      </c>
      <c r="F393" s="43" t="s">
        <v>10</v>
      </c>
      <c r="G393" s="43" t="s">
        <v>46</v>
      </c>
      <c r="H393" s="4" t="str">
        <f>IFERROR(_xlfn.XLOOKUP(G393,Listas!E:E,Listas!F:F,""),"")</f>
        <v>Financiamiento</v>
      </c>
      <c r="I393" s="48" t="str">
        <f>IFERROR(_xlfn.XLOOKUP(G393,Listas!E:E,Listas!G:G,""),"")</f>
        <v>Externo</v>
      </c>
      <c r="J393" s="45">
        <v>10753.2</v>
      </c>
      <c r="K393" s="49">
        <f t="shared" si="2"/>
        <v>-10753.2</v>
      </c>
      <c r="L393" s="15" t="s">
        <v>128</v>
      </c>
      <c r="M393" s="60">
        <f>SUMIFS('Saldos Iniciales'!$D$2:$D$38,'Saldos Iniciales'!$A$2:$A$38,C393,'Saldos Iniciales'!$B$2:$B$38,D393)+SUMIFS($K$1:$K$432,$C$1:$C$432,C393,$D$1:$D$432,D393,$B$1:$B$432,"&lt;="&amp;B393)</f>
        <v>1109351.6499999994</v>
      </c>
      <c r="N393" s="27" t="str">
        <f>IF(tblMovimientos[[#This Row],[Tipo de Movimiento]]="Ingreso",tblMovimientos[[#This Row],[Monto (S/)]],"0")</f>
        <v>0</v>
      </c>
      <c r="O393" s="27">
        <f>IF(tblMovimientos[[#This Row],[Tipo de Movimiento]]="Egreso",tblMovimientos[[#This Row],[Monto (S/)]],"0")</f>
        <v>10753.2</v>
      </c>
      <c r="P393" s="29">
        <f>IF(tblMovimientos[[#This Row],[Tipo de Movimiento]]="Ingreso",tblMovimientos[[#This Row],[Ingreso]],-tblMovimientos[[#This Row],[Egreso]])</f>
        <v>-10753.2</v>
      </c>
    </row>
    <row r="394" spans="2:16" x14ac:dyDescent="0.3">
      <c r="B394" s="41">
        <v>46198</v>
      </c>
      <c r="C394" s="48" t="str">
        <f>_xlfn.XLOOKUP(tblMovimientos[[#This Row],[Cuenta Bancaria]],Listas!$B:$B,Listas!$A:$A,"")</f>
        <v>SSP Capital</v>
      </c>
      <c r="D394" s="43" t="s">
        <v>104</v>
      </c>
      <c r="E394" s="58" t="str">
        <f>_xlfn.XLOOKUP(tblMovimientos[[#This Row],[Cuenta Bancaria]],Listas!$B:$B,Listas!$C:$C,"")</f>
        <v xml:space="preserve">Amerant Bank </v>
      </c>
      <c r="F394" s="43" t="s">
        <v>10</v>
      </c>
      <c r="G394" s="43" t="s">
        <v>46</v>
      </c>
      <c r="H394" s="4" t="str">
        <f>IFERROR(_xlfn.XLOOKUP(G394,Listas!E:E,Listas!F:F,""),"")</f>
        <v>Financiamiento</v>
      </c>
      <c r="I394" s="48" t="str">
        <f>IFERROR(_xlfn.XLOOKUP(G394,Listas!E:E,Listas!G:G,""),"")</f>
        <v>Externo</v>
      </c>
      <c r="J394" s="45">
        <v>33463.550000000003</v>
      </c>
      <c r="K394" s="5">
        <f t="shared" si="2"/>
        <v>-33463.550000000003</v>
      </c>
      <c r="L394" s="15" t="s">
        <v>128</v>
      </c>
      <c r="M394" s="46">
        <f>SUMIFS('Saldos Iniciales'!$D$2:$D$38,'Saldos Iniciales'!$A$2:$A$38,C394,'Saldos Iniciales'!$B$2:$B$38,D394)+SUMIFS($K$1:$K$432,$C$1:$C$432,C394,$D$1:$D$432,D394,$B$1:$B$432,"&lt;="&amp;B394)</f>
        <v>1109351.6499999994</v>
      </c>
      <c r="N394" s="27" t="str">
        <f>IF(tblMovimientos[[#This Row],[Tipo de Movimiento]]="Ingreso",tblMovimientos[[#This Row],[Monto (S/)]],"0")</f>
        <v>0</v>
      </c>
      <c r="O394" s="27">
        <f>IF(tblMovimientos[[#This Row],[Tipo de Movimiento]]="Egreso",tblMovimientos[[#This Row],[Monto (S/)]],"0")</f>
        <v>33463.550000000003</v>
      </c>
      <c r="P394" s="29">
        <f>IF(tblMovimientos[[#This Row],[Tipo de Movimiento]]="Ingreso",tblMovimientos[[#This Row],[Ingreso]],-tblMovimientos[[#This Row],[Egreso]])</f>
        <v>-33463.550000000003</v>
      </c>
    </row>
    <row r="395" spans="2:16" x14ac:dyDescent="0.3">
      <c r="B395" s="41">
        <v>46198</v>
      </c>
      <c r="C395" s="48" t="str">
        <f>_xlfn.XLOOKUP(tblMovimientos[[#This Row],[Cuenta Bancaria]],Listas!$B:$B,Listas!$A:$A,"")</f>
        <v>SSP Capital</v>
      </c>
      <c r="D395" s="43" t="s">
        <v>104</v>
      </c>
      <c r="E395" s="58" t="str">
        <f>_xlfn.XLOOKUP(tblMovimientos[[#This Row],[Cuenta Bancaria]],Listas!$B:$B,Listas!$C:$C,"")</f>
        <v xml:space="preserve">Amerant Bank </v>
      </c>
      <c r="F395" s="43" t="s">
        <v>10</v>
      </c>
      <c r="G395" s="43" t="s">
        <v>46</v>
      </c>
      <c r="H395" s="4" t="str">
        <f>IFERROR(_xlfn.XLOOKUP(G395,Listas!E:E,Listas!F:F,""),"")</f>
        <v>Financiamiento</v>
      </c>
      <c r="I395" s="48" t="str">
        <f>IFERROR(_xlfn.XLOOKUP(G395,Listas!E:E,Listas!G:G,""),"")</f>
        <v>Externo</v>
      </c>
      <c r="J395" s="45">
        <v>47361.11</v>
      </c>
      <c r="K395" s="5">
        <f t="shared" si="2"/>
        <v>-47361.11</v>
      </c>
      <c r="L395" s="15" t="s">
        <v>128</v>
      </c>
      <c r="M395" s="46">
        <f>SUMIFS('Saldos Iniciales'!$D$2:$D$38,'Saldos Iniciales'!$A$2:$A$38,C395,'Saldos Iniciales'!$B$2:$B$38,D395)+SUMIFS($K$1:$K$432,$C$1:$C$432,C395,$D$1:$D$432,D395,$B$1:$B$432,"&lt;="&amp;B395)</f>
        <v>1109351.6499999994</v>
      </c>
      <c r="N395" s="27" t="str">
        <f>IF(tblMovimientos[[#This Row],[Tipo de Movimiento]]="Ingreso",tblMovimientos[[#This Row],[Monto (S/)]],"0")</f>
        <v>0</v>
      </c>
      <c r="O395" s="27">
        <f>IF(tblMovimientos[[#This Row],[Tipo de Movimiento]]="Egreso",tblMovimientos[[#This Row],[Monto (S/)]],"0")</f>
        <v>47361.11</v>
      </c>
      <c r="P395" s="29">
        <f>IF(tblMovimientos[[#This Row],[Tipo de Movimiento]]="Ingreso",tblMovimientos[[#This Row],[Ingreso]],-tblMovimientos[[#This Row],[Egreso]])</f>
        <v>-47361.11</v>
      </c>
    </row>
    <row r="396" spans="2:16" x14ac:dyDescent="0.3">
      <c r="B396" s="41">
        <v>46198</v>
      </c>
      <c r="C396" s="48" t="str">
        <f>_xlfn.XLOOKUP(tblMovimientos[[#This Row],[Cuenta Bancaria]],Listas!$B:$B,Listas!$A:$A,"")</f>
        <v>SSP Capital</v>
      </c>
      <c r="D396" s="43" t="s">
        <v>104</v>
      </c>
      <c r="E396" s="58" t="str">
        <f>_xlfn.XLOOKUP(tblMovimientos[[#This Row],[Cuenta Bancaria]],Listas!$B:$B,Listas!$C:$C,"")</f>
        <v xml:space="preserve">Amerant Bank </v>
      </c>
      <c r="F396" s="43" t="s">
        <v>10</v>
      </c>
      <c r="G396" s="43" t="s">
        <v>60</v>
      </c>
      <c r="H396" s="4" t="str">
        <f>IFERROR(_xlfn.XLOOKUP(G396,Listas!E:E,Listas!F:F,""),"")</f>
        <v>Inversion</v>
      </c>
      <c r="I396" s="48" t="str">
        <f>IFERROR(_xlfn.XLOOKUP(G396,Listas!E:E,Listas!G:G,""),"")</f>
        <v>Interno</v>
      </c>
      <c r="J396" s="45">
        <v>310000</v>
      </c>
      <c r="K396" s="5">
        <f t="shared" si="2"/>
        <v>-310000</v>
      </c>
      <c r="L396" s="15" t="s">
        <v>128</v>
      </c>
      <c r="M396" s="46">
        <f>SUMIFS('Saldos Iniciales'!$D$2:$D$38,'Saldos Iniciales'!$A$2:$A$38,C396,'Saldos Iniciales'!$B$2:$B$38,D396)+SUMIFS($K$1:$K$432,$C$1:$C$432,C396,$D$1:$D$432,D396,$B$1:$B$432,"&lt;="&amp;B396)</f>
        <v>1109351.6499999994</v>
      </c>
      <c r="N396" s="27" t="str">
        <f>IF(tblMovimientos[[#This Row],[Tipo de Movimiento]]="Ingreso",tblMovimientos[[#This Row],[Monto (S/)]],"0")</f>
        <v>0</v>
      </c>
      <c r="O396" s="27">
        <f>IF(tblMovimientos[[#This Row],[Tipo de Movimiento]]="Egreso",tblMovimientos[[#This Row],[Monto (S/)]],"0")</f>
        <v>310000</v>
      </c>
      <c r="P396" s="29">
        <f>IF(tblMovimientos[[#This Row],[Tipo de Movimiento]]="Ingreso",tblMovimientos[[#This Row],[Ingreso]],-tblMovimientos[[#This Row],[Egreso]])</f>
        <v>-310000</v>
      </c>
    </row>
    <row r="397" spans="2:16" x14ac:dyDescent="0.3">
      <c r="B397" s="41">
        <v>46198</v>
      </c>
      <c r="C397" s="48" t="str">
        <f>_xlfn.XLOOKUP(tblMovimientos[[#This Row],[Cuenta Bancaria]],Listas!$B:$B,Listas!$A:$A,"")</f>
        <v>SSP Capital</v>
      </c>
      <c r="D397" s="43" t="s">
        <v>104</v>
      </c>
      <c r="E397" s="58" t="str">
        <f>_xlfn.XLOOKUP(tblMovimientos[[#This Row],[Cuenta Bancaria]],Listas!$B:$B,Listas!$C:$C,"")</f>
        <v xml:space="preserve">Amerant Bank </v>
      </c>
      <c r="F397" s="43" t="s">
        <v>10</v>
      </c>
      <c r="G397" s="43" t="s">
        <v>60</v>
      </c>
      <c r="H397" s="4" t="str">
        <f>IFERROR(_xlfn.XLOOKUP(G397,Listas!E:E,Listas!F:F,""),"")</f>
        <v>Inversion</v>
      </c>
      <c r="I397" s="48" t="str">
        <f>IFERROR(_xlfn.XLOOKUP(G397,Listas!E:E,Listas!G:G,""),"")</f>
        <v>Interno</v>
      </c>
      <c r="J397" s="45">
        <v>90000</v>
      </c>
      <c r="K397" s="49">
        <f t="shared" si="2"/>
        <v>-90000</v>
      </c>
      <c r="L397" s="15" t="s">
        <v>128</v>
      </c>
      <c r="M397" s="60">
        <f>SUMIFS('Saldos Iniciales'!$D$2:$D$38,'Saldos Iniciales'!$A$2:$A$38,C397,'Saldos Iniciales'!$B$2:$B$38,D397)+SUMIFS($K$1:$K$432,$C$1:$C$432,C397,$D$1:$D$432,D397,$B$1:$B$432,"&lt;="&amp;B397)</f>
        <v>1109351.6499999994</v>
      </c>
      <c r="N397" s="27" t="str">
        <f>IF(tblMovimientos[[#This Row],[Tipo de Movimiento]]="Ingreso",tblMovimientos[[#This Row],[Monto (S/)]],"0")</f>
        <v>0</v>
      </c>
      <c r="O397" s="27">
        <f>IF(tblMovimientos[[#This Row],[Tipo de Movimiento]]="Egreso",tblMovimientos[[#This Row],[Monto (S/)]],"0")</f>
        <v>90000</v>
      </c>
      <c r="P397" s="29">
        <f>IF(tblMovimientos[[#This Row],[Tipo de Movimiento]]="Ingreso",tblMovimientos[[#This Row],[Ingreso]],-tblMovimientos[[#This Row],[Egreso]])</f>
        <v>-90000</v>
      </c>
    </row>
    <row r="398" spans="2:16" x14ac:dyDescent="0.3">
      <c r="B398" s="41">
        <v>46198</v>
      </c>
      <c r="C398" s="48" t="str">
        <f>_xlfn.XLOOKUP(tblMovimientos[[#This Row],[Cuenta Bancaria]],Listas!$B:$B,Listas!$A:$A,"")</f>
        <v>SSP Capital</v>
      </c>
      <c r="D398" s="43" t="s">
        <v>104</v>
      </c>
      <c r="E398" s="58" t="str">
        <f>_xlfn.XLOOKUP(tblMovimientos[[#This Row],[Cuenta Bancaria]],Listas!$B:$B,Listas!$C:$C,"")</f>
        <v xml:space="preserve">Amerant Bank </v>
      </c>
      <c r="F398" s="43" t="s">
        <v>10</v>
      </c>
      <c r="G398" s="43" t="s">
        <v>62</v>
      </c>
      <c r="H398" s="4" t="str">
        <f>IFERROR(_xlfn.XLOOKUP(G398,Listas!E:E,Listas!F:F,""),"")</f>
        <v>Operativo</v>
      </c>
      <c r="I398" s="48" t="str">
        <f>IFERROR(_xlfn.XLOOKUP(G398,Listas!E:E,Listas!G:G,""),"")</f>
        <v>Interno</v>
      </c>
      <c r="J398" s="45">
        <v>150000</v>
      </c>
      <c r="K398" s="5">
        <f t="shared" si="2"/>
        <v>-150000</v>
      </c>
      <c r="L398" s="15" t="s">
        <v>128</v>
      </c>
      <c r="M398" s="46">
        <f>SUMIFS('Saldos Iniciales'!$D$2:$D$38,'Saldos Iniciales'!$A$2:$A$38,C398,'Saldos Iniciales'!$B$2:$B$38,D398)+SUMIFS($K$1:$K$432,$C$1:$C$432,C398,$D$1:$D$432,D398,$B$1:$B$432,"&lt;="&amp;B398)</f>
        <v>1109351.6499999994</v>
      </c>
      <c r="N398" s="27" t="str">
        <f>IF(tblMovimientos[[#This Row],[Tipo de Movimiento]]="Ingreso",tblMovimientos[[#This Row],[Monto (S/)]],"0")</f>
        <v>0</v>
      </c>
      <c r="O398" s="27">
        <f>IF(tblMovimientos[[#This Row],[Tipo de Movimiento]]="Egreso",tblMovimientos[[#This Row],[Monto (S/)]],"0")</f>
        <v>150000</v>
      </c>
      <c r="P398" s="29">
        <f>IF(tblMovimientos[[#This Row],[Tipo de Movimiento]]="Ingreso",tblMovimientos[[#This Row],[Ingreso]],-tblMovimientos[[#This Row],[Egreso]])</f>
        <v>-150000</v>
      </c>
    </row>
    <row r="399" spans="2:16" x14ac:dyDescent="0.3">
      <c r="B399" s="41">
        <v>46198</v>
      </c>
      <c r="C399" s="48" t="str">
        <f>_xlfn.XLOOKUP(tblMovimientos[[#This Row],[Cuenta Bancaria]],Listas!$B:$B,Listas!$A:$A,"")</f>
        <v>SSP Capital</v>
      </c>
      <c r="D399" s="43" t="s">
        <v>104</v>
      </c>
      <c r="E399" s="58" t="str">
        <f>_xlfn.XLOOKUP(tblMovimientos[[#This Row],[Cuenta Bancaria]],Listas!$B:$B,Listas!$C:$C,"")</f>
        <v xml:space="preserve">Amerant Bank </v>
      </c>
      <c r="F399" s="43" t="s">
        <v>10</v>
      </c>
      <c r="G399" s="43" t="s">
        <v>61</v>
      </c>
      <c r="H399" s="4" t="str">
        <f>IFERROR(_xlfn.XLOOKUP(G399,Listas!E:E,Listas!F:F,""),"")</f>
        <v>Operativo</v>
      </c>
      <c r="I399" s="48" t="str">
        <f>IFERROR(_xlfn.XLOOKUP(G399,Listas!E:E,Listas!G:G,""),"")</f>
        <v>Externo</v>
      </c>
      <c r="J399" s="45">
        <v>200000</v>
      </c>
      <c r="K399" s="5">
        <f t="shared" ref="K399:K424" si="3">IF(F399="Ingreso",J399,-J399)</f>
        <v>-200000</v>
      </c>
      <c r="L399" s="15" t="s">
        <v>128</v>
      </c>
      <c r="M399" s="46">
        <f>SUMIFS('Saldos Iniciales'!$D$2:$D$38,'Saldos Iniciales'!$A$2:$A$38,C399,'Saldos Iniciales'!$B$2:$B$38,D399)+SUMIFS($K$1:$K$432,$C$1:$C$432,C399,$D$1:$D$432,D399,$B$1:$B$432,"&lt;="&amp;B399)</f>
        <v>1109351.6499999994</v>
      </c>
      <c r="N399" s="27" t="str">
        <f>IF(tblMovimientos[[#This Row],[Tipo de Movimiento]]="Ingreso",tblMovimientos[[#This Row],[Monto (S/)]],"0")</f>
        <v>0</v>
      </c>
      <c r="O399" s="27">
        <f>IF(tblMovimientos[[#This Row],[Tipo de Movimiento]]="Egreso",tblMovimientos[[#This Row],[Monto (S/)]],"0")</f>
        <v>200000</v>
      </c>
      <c r="P399" s="29">
        <f>IF(tblMovimientos[[#This Row],[Tipo de Movimiento]]="Ingreso",tblMovimientos[[#This Row],[Ingreso]],-tblMovimientos[[#This Row],[Egreso]])</f>
        <v>-200000</v>
      </c>
    </row>
    <row r="400" spans="2:16" x14ac:dyDescent="0.3">
      <c r="B400" s="41">
        <v>46198</v>
      </c>
      <c r="C400" s="48" t="str">
        <f>_xlfn.XLOOKUP(tblMovimientos[[#This Row],[Cuenta Bancaria]],Listas!$B:$B,Listas!$A:$A,"")</f>
        <v>SSP Capital</v>
      </c>
      <c r="D400" s="43" t="s">
        <v>104</v>
      </c>
      <c r="E400" s="58" t="str">
        <f>_xlfn.XLOOKUP(tblMovimientos[[#This Row],[Cuenta Bancaria]],Listas!$B:$B,Listas!$C:$C,"")</f>
        <v xml:space="preserve">Amerant Bank </v>
      </c>
      <c r="F400" s="43" t="s">
        <v>10</v>
      </c>
      <c r="G400" s="43" t="s">
        <v>60</v>
      </c>
      <c r="H400" s="4" t="str">
        <f>IFERROR(_xlfn.XLOOKUP(G400,Listas!E:E,Listas!F:F,""),"")</f>
        <v>Inversion</v>
      </c>
      <c r="I400" s="48" t="str">
        <f>IFERROR(_xlfn.XLOOKUP(G400,Listas!E:E,Listas!G:G,""),"")</f>
        <v>Interno</v>
      </c>
      <c r="J400" s="45">
        <v>2380000</v>
      </c>
      <c r="K400" s="5">
        <f t="shared" si="3"/>
        <v>-2380000</v>
      </c>
      <c r="L400" s="15" t="s">
        <v>128</v>
      </c>
      <c r="M400" s="46">
        <f>SUMIFS('Saldos Iniciales'!$D$2:$D$38,'Saldos Iniciales'!$A$2:$A$38,C400,'Saldos Iniciales'!$B$2:$B$38,D400)+SUMIFS($K$1:$K$432,$C$1:$C$432,C400,$D$1:$D$432,D400,$B$1:$B$432,"&lt;="&amp;B400)</f>
        <v>1109351.6499999994</v>
      </c>
      <c r="N400" s="27" t="str">
        <f>IF(tblMovimientos[[#This Row],[Tipo de Movimiento]]="Ingreso",tblMovimientos[[#This Row],[Monto (S/)]],"0")</f>
        <v>0</v>
      </c>
      <c r="O400" s="27">
        <f>IF(tblMovimientos[[#This Row],[Tipo de Movimiento]]="Egreso",tblMovimientos[[#This Row],[Monto (S/)]],"0")</f>
        <v>2380000</v>
      </c>
      <c r="P400" s="29">
        <f>IF(tblMovimientos[[#This Row],[Tipo de Movimiento]]="Ingreso",tblMovimientos[[#This Row],[Ingreso]],-tblMovimientos[[#This Row],[Egreso]])</f>
        <v>-2380000</v>
      </c>
    </row>
    <row r="401" spans="1:16" x14ac:dyDescent="0.3">
      <c r="B401" s="41">
        <v>46198</v>
      </c>
      <c r="C401" s="48" t="str">
        <f>_xlfn.XLOOKUP(tblMovimientos[[#This Row],[Cuenta Bancaria]],Listas!$B:$B,Listas!$A:$A,"")</f>
        <v>Go Blue</v>
      </c>
      <c r="D401" s="43" t="s">
        <v>126</v>
      </c>
      <c r="E401" s="58" t="str">
        <f>_xlfn.XLOOKUP(tblMovimientos[[#This Row],[Cuenta Bancaria]],Listas!$B:$B,Listas!$C:$C,"")</f>
        <v xml:space="preserve">Amerant Bank </v>
      </c>
      <c r="F401" s="43" t="s">
        <v>10</v>
      </c>
      <c r="G401" s="43" t="s">
        <v>38</v>
      </c>
      <c r="H401" s="4" t="str">
        <f>IFERROR(_xlfn.XLOOKUP(G401,Listas!E:E,Listas!F:F,""),"")</f>
        <v>Operativo</v>
      </c>
      <c r="I401" s="48" t="str">
        <f>IFERROR(_xlfn.XLOOKUP(G401,Listas!E:E,Listas!G:G,""),"")</f>
        <v>Externo</v>
      </c>
      <c r="J401" s="45">
        <v>1896.6</v>
      </c>
      <c r="K401" s="49">
        <f t="shared" si="3"/>
        <v>-1896.6</v>
      </c>
      <c r="L401" s="15" t="s">
        <v>128</v>
      </c>
      <c r="M401" s="60">
        <f>SUMIFS('Saldos Iniciales'!$D$2:$D$38,'Saldos Iniciales'!$A$2:$A$38,C401,'Saldos Iniciales'!$B$2:$B$38,D401)+SUMIFS($K$1:$K$432,$C$1:$C$432,C401,$D$1:$D$432,D401,$B$1:$B$432,"&lt;="&amp;B401)</f>
        <v>32732.080000000002</v>
      </c>
      <c r="N401" s="27" t="str">
        <f>IF(tblMovimientos[[#This Row],[Tipo de Movimiento]]="Ingreso",tblMovimientos[[#This Row],[Monto (S/)]],"0")</f>
        <v>0</v>
      </c>
      <c r="O401" s="27">
        <f>IF(tblMovimientos[[#This Row],[Tipo de Movimiento]]="Egreso",tblMovimientos[[#This Row],[Monto (S/)]],"0")</f>
        <v>1896.6</v>
      </c>
      <c r="P401" s="29">
        <f>IF(tblMovimientos[[#This Row],[Tipo de Movimiento]]="Ingreso",tblMovimientos[[#This Row],[Ingreso]],-tblMovimientos[[#This Row],[Egreso]])</f>
        <v>-1896.6</v>
      </c>
    </row>
    <row r="402" spans="1:16" x14ac:dyDescent="0.3">
      <c r="B402" s="41">
        <v>46198</v>
      </c>
      <c r="C402" s="48" t="str">
        <f>_xlfn.XLOOKUP(tblMovimientos[[#This Row],[Cuenta Bancaria]],Listas!$B:$B,Listas!$A:$A,"")</f>
        <v>Go Blue</v>
      </c>
      <c r="D402" s="43" t="s">
        <v>126</v>
      </c>
      <c r="E402" s="58" t="str">
        <f>_xlfn.XLOOKUP(tblMovimientos[[#This Row],[Cuenta Bancaria]],Listas!$B:$B,Listas!$C:$C,"")</f>
        <v xml:space="preserve">Amerant Bank </v>
      </c>
      <c r="F402" s="43" t="s">
        <v>10</v>
      </c>
      <c r="G402" s="43" t="s">
        <v>44</v>
      </c>
      <c r="H402" s="4" t="str">
        <f>IFERROR(_xlfn.XLOOKUP(G402,Listas!E:E,Listas!F:F,""),"")</f>
        <v>Operativo</v>
      </c>
      <c r="I402" s="48" t="str">
        <f>IFERROR(_xlfn.XLOOKUP(G402,Listas!E:E,Listas!G:G,""),"")</f>
        <v>Externo</v>
      </c>
      <c r="J402" s="45">
        <v>15</v>
      </c>
      <c r="K402" s="5">
        <f t="shared" si="3"/>
        <v>-15</v>
      </c>
      <c r="L402" s="15" t="s">
        <v>128</v>
      </c>
      <c r="M402" s="46">
        <f>SUMIFS('Saldos Iniciales'!$D$2:$D$38,'Saldos Iniciales'!$A$2:$A$38,C402,'Saldos Iniciales'!$B$2:$B$38,D402)+SUMIFS($K$1:$K$432,$C$1:$C$432,C402,$D$1:$D$432,D402,$B$1:$B$432,"&lt;="&amp;B402)</f>
        <v>32732.080000000002</v>
      </c>
      <c r="N402" s="27" t="str">
        <f>IF(tblMovimientos[[#This Row],[Tipo de Movimiento]]="Ingreso",tblMovimientos[[#This Row],[Monto (S/)]],"0")</f>
        <v>0</v>
      </c>
      <c r="O402" s="27">
        <f>IF(tblMovimientos[[#This Row],[Tipo de Movimiento]]="Egreso",tblMovimientos[[#This Row],[Monto (S/)]],"0")</f>
        <v>15</v>
      </c>
      <c r="P402" s="29">
        <f>IF(tblMovimientos[[#This Row],[Tipo de Movimiento]]="Ingreso",tblMovimientos[[#This Row],[Ingreso]],-tblMovimientos[[#This Row],[Egreso]])</f>
        <v>-15</v>
      </c>
    </row>
    <row r="403" spans="1:16" x14ac:dyDescent="0.3">
      <c r="B403" s="41">
        <v>46198</v>
      </c>
      <c r="C403" s="48" t="str">
        <f>_xlfn.XLOOKUP(tblMovimientos[[#This Row],[Cuenta Bancaria]],Listas!$B:$B,Listas!$A:$A,"")</f>
        <v>Go Blue</v>
      </c>
      <c r="D403" s="43" t="s">
        <v>126</v>
      </c>
      <c r="E403" s="58" t="str">
        <f>_xlfn.XLOOKUP(tblMovimientos[[#This Row],[Cuenta Bancaria]],Listas!$B:$B,Listas!$C:$C,"")</f>
        <v xml:space="preserve">Amerant Bank </v>
      </c>
      <c r="F403" s="43" t="s">
        <v>10</v>
      </c>
      <c r="G403" s="43" t="s">
        <v>38</v>
      </c>
      <c r="H403" s="4" t="str">
        <f>IFERROR(_xlfn.XLOOKUP(G403,Listas!E:E,Listas!F:F,""),"")</f>
        <v>Operativo</v>
      </c>
      <c r="I403" s="48" t="str">
        <f>IFERROR(_xlfn.XLOOKUP(G403,Listas!E:E,Listas!G:G,""),"")</f>
        <v>Externo</v>
      </c>
      <c r="J403" s="45">
        <v>2500</v>
      </c>
      <c r="K403" s="5">
        <f t="shared" si="3"/>
        <v>-2500</v>
      </c>
      <c r="L403" s="15" t="s">
        <v>128</v>
      </c>
      <c r="M403" s="46">
        <f>SUMIFS('Saldos Iniciales'!$D$2:$D$38,'Saldos Iniciales'!$A$2:$A$38,C403,'Saldos Iniciales'!$B$2:$B$38,D403)+SUMIFS($K$1:$K$432,$C$1:$C$432,C403,$D$1:$D$432,D403,$B$1:$B$432,"&lt;="&amp;B403)</f>
        <v>32732.080000000002</v>
      </c>
      <c r="N403" s="27" t="str">
        <f>IF(tblMovimientos[[#This Row],[Tipo de Movimiento]]="Ingreso",tblMovimientos[[#This Row],[Monto (S/)]],"0")</f>
        <v>0</v>
      </c>
      <c r="O403" s="27">
        <f>IF(tblMovimientos[[#This Row],[Tipo de Movimiento]]="Egreso",tblMovimientos[[#This Row],[Monto (S/)]],"0")</f>
        <v>2500</v>
      </c>
      <c r="P403" s="29">
        <f>IF(tblMovimientos[[#This Row],[Tipo de Movimiento]]="Ingreso",tblMovimientos[[#This Row],[Ingreso]],-tblMovimientos[[#This Row],[Egreso]])</f>
        <v>-2500</v>
      </c>
    </row>
    <row r="404" spans="1:16" x14ac:dyDescent="0.3">
      <c r="B404" s="41">
        <v>46198</v>
      </c>
      <c r="C404" s="48" t="str">
        <f>_xlfn.XLOOKUP(tblMovimientos[[#This Row],[Cuenta Bancaria]],Listas!$B:$B,Listas!$A:$A,"")</f>
        <v>Go Blue</v>
      </c>
      <c r="D404" s="43" t="s">
        <v>126</v>
      </c>
      <c r="E404" s="58" t="str">
        <f>_xlfn.XLOOKUP(tblMovimientos[[#This Row],[Cuenta Bancaria]],Listas!$B:$B,Listas!$C:$C,"")</f>
        <v xml:space="preserve">Amerant Bank </v>
      </c>
      <c r="F404" s="43" t="s">
        <v>10</v>
      </c>
      <c r="G404" s="43" t="s">
        <v>44</v>
      </c>
      <c r="H404" s="4" t="str">
        <f>IFERROR(_xlfn.XLOOKUP(G404,Listas!E:E,Listas!F:F,""),"")</f>
        <v>Operativo</v>
      </c>
      <c r="I404" s="48" t="str">
        <f>IFERROR(_xlfn.XLOOKUP(G404,Listas!E:E,Listas!G:G,""),"")</f>
        <v>Externo</v>
      </c>
      <c r="J404" s="45">
        <v>15</v>
      </c>
      <c r="K404" s="5">
        <f t="shared" si="3"/>
        <v>-15</v>
      </c>
      <c r="L404" s="15" t="s">
        <v>128</v>
      </c>
      <c r="M404" s="46">
        <f>SUMIFS('Saldos Iniciales'!$D$2:$D$38,'Saldos Iniciales'!$A$2:$A$38,C404,'Saldos Iniciales'!$B$2:$B$38,D404)+SUMIFS($K$1:$K$432,$C$1:$C$432,C404,$D$1:$D$432,D404,$B$1:$B$432,"&lt;="&amp;B404)</f>
        <v>32732.080000000002</v>
      </c>
      <c r="N404" s="27" t="str">
        <f>IF(tblMovimientos[[#This Row],[Tipo de Movimiento]]="Ingreso",tblMovimientos[[#This Row],[Monto (S/)]],"0")</f>
        <v>0</v>
      </c>
      <c r="O404" s="27">
        <f>IF(tblMovimientos[[#This Row],[Tipo de Movimiento]]="Egreso",tblMovimientos[[#This Row],[Monto (S/)]],"0")</f>
        <v>15</v>
      </c>
      <c r="P404" s="29">
        <f>IF(tblMovimientos[[#This Row],[Tipo de Movimiento]]="Ingreso",tblMovimientos[[#This Row],[Ingreso]],-tblMovimientos[[#This Row],[Egreso]])</f>
        <v>-15</v>
      </c>
    </row>
    <row r="405" spans="1:16" x14ac:dyDescent="0.3">
      <c r="B405" s="41">
        <v>46198</v>
      </c>
      <c r="C405" s="48" t="str">
        <f>_xlfn.XLOOKUP(tblMovimientos[[#This Row],[Cuenta Bancaria]],Listas!$B:$B,Listas!$A:$A,"")</f>
        <v>Go Blue</v>
      </c>
      <c r="D405" s="43" t="s">
        <v>126</v>
      </c>
      <c r="E405" s="58" t="str">
        <f>_xlfn.XLOOKUP(tblMovimientos[[#This Row],[Cuenta Bancaria]],Listas!$B:$B,Listas!$C:$C,"")</f>
        <v xml:space="preserve">Amerant Bank </v>
      </c>
      <c r="F405" s="43" t="s">
        <v>10</v>
      </c>
      <c r="G405" s="43" t="s">
        <v>38</v>
      </c>
      <c r="H405" s="4" t="str">
        <f>IFERROR(_xlfn.XLOOKUP(G405,Listas!E:E,Listas!F:F,""),"")</f>
        <v>Operativo</v>
      </c>
      <c r="I405" s="48" t="str">
        <f>IFERROR(_xlfn.XLOOKUP(G405,Listas!E:E,Listas!G:G,""),"")</f>
        <v>Externo</v>
      </c>
      <c r="J405" s="45">
        <v>2577.2800000000002</v>
      </c>
      <c r="K405" s="49">
        <f t="shared" si="3"/>
        <v>-2577.2800000000002</v>
      </c>
      <c r="L405" s="15" t="s">
        <v>128</v>
      </c>
      <c r="M405" s="60">
        <f>SUMIFS('Saldos Iniciales'!$D$2:$D$38,'Saldos Iniciales'!$A$2:$A$38,C405,'Saldos Iniciales'!$B$2:$B$38,D405)+SUMIFS($K$1:$K$432,$C$1:$C$432,C405,$D$1:$D$432,D405,$B$1:$B$432,"&lt;="&amp;B405)</f>
        <v>32732.080000000002</v>
      </c>
      <c r="N405" s="27" t="str">
        <f>IF(tblMovimientos[[#This Row],[Tipo de Movimiento]]="Ingreso",tblMovimientos[[#This Row],[Monto (S/)]],"0")</f>
        <v>0</v>
      </c>
      <c r="O405" s="27">
        <f>IF(tblMovimientos[[#This Row],[Tipo de Movimiento]]="Egreso",tblMovimientos[[#This Row],[Monto (S/)]],"0")</f>
        <v>2577.2800000000002</v>
      </c>
      <c r="P405" s="29">
        <f>IF(tblMovimientos[[#This Row],[Tipo de Movimiento]]="Ingreso",tblMovimientos[[#This Row],[Ingreso]],-tblMovimientos[[#This Row],[Egreso]])</f>
        <v>-2577.2800000000002</v>
      </c>
    </row>
    <row r="406" spans="1:16" x14ac:dyDescent="0.3">
      <c r="A406" s="47"/>
      <c r="B406" s="41">
        <v>46198</v>
      </c>
      <c r="C406" s="48" t="str">
        <f>_xlfn.XLOOKUP(tblMovimientos[[#This Row],[Cuenta Bancaria]],Listas!$B:$B,Listas!$A:$A,"")</f>
        <v>Go Blue</v>
      </c>
      <c r="D406" s="43" t="s">
        <v>126</v>
      </c>
      <c r="E406" s="59" t="str">
        <f>_xlfn.XLOOKUP(tblMovimientos[[#This Row],[Cuenta Bancaria]],Listas!$B:$B,Listas!$C:$C,"")</f>
        <v xml:space="preserve">Amerant Bank </v>
      </c>
      <c r="F406" s="43" t="s">
        <v>10</v>
      </c>
      <c r="G406" s="43" t="s">
        <v>44</v>
      </c>
      <c r="H406" s="48" t="str">
        <f>IFERROR(_xlfn.XLOOKUP(G406,Listas!E:E,Listas!F:F,""),"")</f>
        <v>Operativo</v>
      </c>
      <c r="I406" s="48" t="str">
        <f>IFERROR(_xlfn.XLOOKUP(G406,Listas!E:E,Listas!G:G,""),"")</f>
        <v>Externo</v>
      </c>
      <c r="J406" s="45">
        <v>15</v>
      </c>
      <c r="K406" s="5">
        <f t="shared" si="3"/>
        <v>-15</v>
      </c>
      <c r="L406" s="15" t="s">
        <v>128</v>
      </c>
      <c r="M406" s="46">
        <f>SUMIFS('Saldos Iniciales'!$D$2:$D$38,'Saldos Iniciales'!$A$2:$A$38,C406,'Saldos Iniciales'!$B$2:$B$38,D406)+SUMIFS($K$1:$K$432,$C$1:$C$432,C406,$D$1:$D$432,D406,$B$1:$B$432,"&lt;="&amp;B406)</f>
        <v>32732.080000000002</v>
      </c>
      <c r="N406" s="27" t="str">
        <f>IF(tblMovimientos[[#This Row],[Tipo de Movimiento]]="Ingreso",tblMovimientos[[#This Row],[Monto (S/)]],"0")</f>
        <v>0</v>
      </c>
      <c r="O406" s="27">
        <f>IF(tblMovimientos[[#This Row],[Tipo de Movimiento]]="Egreso",tblMovimientos[[#This Row],[Monto (S/)]],"0")</f>
        <v>15</v>
      </c>
      <c r="P406" s="29">
        <f>IF(tblMovimientos[[#This Row],[Tipo de Movimiento]]="Ingreso",tblMovimientos[[#This Row],[Ingreso]],-tblMovimientos[[#This Row],[Egreso]])</f>
        <v>-15</v>
      </c>
    </row>
    <row r="407" spans="1:16" x14ac:dyDescent="0.3">
      <c r="B407" s="41">
        <v>46198</v>
      </c>
      <c r="C407" s="48" t="str">
        <f>_xlfn.XLOOKUP(tblMovimientos[[#This Row],[Cuenta Bancaria]],Listas!$B:$B,Listas!$A:$A,"")</f>
        <v>Go Blue</v>
      </c>
      <c r="D407" s="43" t="s">
        <v>126</v>
      </c>
      <c r="E407" s="58" t="str">
        <f>_xlfn.XLOOKUP(tblMovimientos[[#This Row],[Cuenta Bancaria]],Listas!$B:$B,Listas!$C:$C,"")</f>
        <v xml:space="preserve">Amerant Bank </v>
      </c>
      <c r="F407" s="43" t="s">
        <v>10</v>
      </c>
      <c r="G407" s="43" t="s">
        <v>38</v>
      </c>
      <c r="H407" s="4" t="str">
        <f>IFERROR(_xlfn.XLOOKUP(G407,Listas!E:E,Listas!F:F,""),"")</f>
        <v>Operativo</v>
      </c>
      <c r="I407" s="48" t="str">
        <f>IFERROR(_xlfn.XLOOKUP(G407,Listas!E:E,Listas!G:G,""),"")</f>
        <v>Externo</v>
      </c>
      <c r="J407" s="45">
        <v>4922</v>
      </c>
      <c r="K407" s="49">
        <f t="shared" si="3"/>
        <v>-4922</v>
      </c>
      <c r="L407" s="15" t="s">
        <v>128</v>
      </c>
      <c r="M407" s="60">
        <f>SUMIFS('Saldos Iniciales'!$D$2:$D$38,'Saldos Iniciales'!$A$2:$A$38,C407,'Saldos Iniciales'!$B$2:$B$38,D407)+SUMIFS($K$1:$K$432,$C$1:$C$432,C407,$D$1:$D$432,D407,$B$1:$B$432,"&lt;="&amp;B407)</f>
        <v>32732.080000000002</v>
      </c>
      <c r="N407" s="27" t="str">
        <f>IF(tblMovimientos[[#This Row],[Tipo de Movimiento]]="Ingreso",tblMovimientos[[#This Row],[Monto (S/)]],"0")</f>
        <v>0</v>
      </c>
      <c r="O407" s="27">
        <f>IF(tblMovimientos[[#This Row],[Tipo de Movimiento]]="Egreso",tblMovimientos[[#This Row],[Monto (S/)]],"0")</f>
        <v>4922</v>
      </c>
      <c r="P407" s="29">
        <f>IF(tblMovimientos[[#This Row],[Tipo de Movimiento]]="Ingreso",tblMovimientos[[#This Row],[Ingreso]],-tblMovimientos[[#This Row],[Egreso]])</f>
        <v>-4922</v>
      </c>
    </row>
    <row r="408" spans="1:16" x14ac:dyDescent="0.3">
      <c r="B408" s="41">
        <v>46198</v>
      </c>
      <c r="C408" s="48" t="str">
        <f>_xlfn.XLOOKUP(tblMovimientos[[#This Row],[Cuenta Bancaria]],Listas!$B:$B,Listas!$A:$A,"")</f>
        <v>Go Blue</v>
      </c>
      <c r="D408" s="43" t="s">
        <v>126</v>
      </c>
      <c r="E408" s="58" t="str">
        <f>_xlfn.XLOOKUP(tblMovimientos[[#This Row],[Cuenta Bancaria]],Listas!$B:$B,Listas!$C:$C,"")</f>
        <v xml:space="preserve">Amerant Bank </v>
      </c>
      <c r="F408" s="43" t="s">
        <v>10</v>
      </c>
      <c r="G408" s="43" t="s">
        <v>44</v>
      </c>
      <c r="H408" s="4" t="str">
        <f>IFERROR(_xlfn.XLOOKUP(G408,Listas!E:E,Listas!F:F,""),"")</f>
        <v>Operativo</v>
      </c>
      <c r="I408" s="48" t="str">
        <f>IFERROR(_xlfn.XLOOKUP(G408,Listas!E:E,Listas!G:G,""),"")</f>
        <v>Externo</v>
      </c>
      <c r="J408" s="45">
        <v>15</v>
      </c>
      <c r="K408" s="5">
        <f t="shared" si="3"/>
        <v>-15</v>
      </c>
      <c r="L408" s="15" t="s">
        <v>128</v>
      </c>
      <c r="M408" s="46">
        <f>SUMIFS('Saldos Iniciales'!$D$2:$D$38,'Saldos Iniciales'!$A$2:$A$38,C408,'Saldos Iniciales'!$B$2:$B$38,D408)+SUMIFS($K$1:$K$432,$C$1:$C$432,C408,$D$1:$D$432,D408,$B$1:$B$432,"&lt;="&amp;B408)</f>
        <v>32732.080000000002</v>
      </c>
      <c r="N408" s="27" t="str">
        <f>IF(tblMovimientos[[#This Row],[Tipo de Movimiento]]="Ingreso",tblMovimientos[[#This Row],[Monto (S/)]],"0")</f>
        <v>0</v>
      </c>
      <c r="O408" s="27">
        <f>IF(tblMovimientos[[#This Row],[Tipo de Movimiento]]="Egreso",tblMovimientos[[#This Row],[Monto (S/)]],"0")</f>
        <v>15</v>
      </c>
      <c r="P408" s="29">
        <f>IF(tblMovimientos[[#This Row],[Tipo de Movimiento]]="Ingreso",tblMovimientos[[#This Row],[Ingreso]],-tblMovimientos[[#This Row],[Egreso]])</f>
        <v>-15</v>
      </c>
    </row>
    <row r="409" spans="1:16" x14ac:dyDescent="0.3">
      <c r="B409" s="41">
        <v>46199</v>
      </c>
      <c r="C409" s="48" t="str">
        <f>_xlfn.XLOOKUP(tblMovimientos[[#This Row],[Cuenta Bancaria]],Listas!$B:$B,Listas!$A:$A,"")</f>
        <v>SSP Capital</v>
      </c>
      <c r="D409" s="43" t="s">
        <v>101</v>
      </c>
      <c r="E409" s="58" t="str">
        <f>_xlfn.XLOOKUP(tblMovimientos[[#This Row],[Cuenta Bancaria]],Listas!$B:$B,Listas!$C:$C,"")</f>
        <v>Bank of America</v>
      </c>
      <c r="F409" s="43" t="s">
        <v>10</v>
      </c>
      <c r="G409" s="43" t="s">
        <v>38</v>
      </c>
      <c r="H409" s="4" t="str">
        <f>IFERROR(_xlfn.XLOOKUP(G409,Listas!E:E,Listas!F:F,""),"")</f>
        <v>Operativo</v>
      </c>
      <c r="I409" s="48" t="str">
        <f>IFERROR(_xlfn.XLOOKUP(G409,Listas!E:E,Listas!G:G,""),"")</f>
        <v>Externo</v>
      </c>
      <c r="J409" s="45">
        <v>762.99</v>
      </c>
      <c r="K409" s="5">
        <f t="shared" si="3"/>
        <v>-762.99</v>
      </c>
      <c r="L409" s="15" t="s">
        <v>128</v>
      </c>
      <c r="M409" s="46">
        <f>SUMIFS('Saldos Iniciales'!$D$2:$D$38,'Saldos Iniciales'!$A$2:$A$38,C409,'Saldos Iniciales'!$B$2:$B$38,D409)+SUMIFS($K$1:$K$432,$C$1:$C$432,C409,$D$1:$D$432,D409,$B$1:$B$432,"&lt;="&amp;B409)</f>
        <v>8497</v>
      </c>
      <c r="N409" s="27" t="str">
        <f>IF(tblMovimientos[[#This Row],[Tipo de Movimiento]]="Ingreso",tblMovimientos[[#This Row],[Monto (S/)]],"0")</f>
        <v>0</v>
      </c>
      <c r="O409" s="27">
        <f>IF(tblMovimientos[[#This Row],[Tipo de Movimiento]]="Egreso",tblMovimientos[[#This Row],[Monto (S/)]],"0")</f>
        <v>762.99</v>
      </c>
      <c r="P409" s="29">
        <f>IF(tblMovimientos[[#This Row],[Tipo de Movimiento]]="Ingreso",tblMovimientos[[#This Row],[Ingreso]],-tblMovimientos[[#This Row],[Egreso]])</f>
        <v>-762.99</v>
      </c>
    </row>
    <row r="410" spans="1:16" x14ac:dyDescent="0.3">
      <c r="B410" s="41">
        <v>46199</v>
      </c>
      <c r="C410" s="48" t="str">
        <f>_xlfn.XLOOKUP(tblMovimientos[[#This Row],[Cuenta Bancaria]],Listas!$B:$B,Listas!$A:$A,"")</f>
        <v>CFT Group</v>
      </c>
      <c r="D410" s="43" t="s">
        <v>94</v>
      </c>
      <c r="E410" s="58" t="str">
        <f>_xlfn.XLOOKUP(tblMovimientos[[#This Row],[Cuenta Bancaria]],Listas!$B:$B,Listas!$C:$C,"")</f>
        <v>Bank of America</v>
      </c>
      <c r="F410" s="43" t="s">
        <v>10</v>
      </c>
      <c r="G410" s="43" t="s">
        <v>49</v>
      </c>
      <c r="H410" s="4" t="str">
        <f>IFERROR(_xlfn.XLOOKUP(G410,Listas!E:E,Listas!F:F,""),"")</f>
        <v>Financiamiento</v>
      </c>
      <c r="I410" s="48" t="str">
        <f>IFERROR(_xlfn.XLOOKUP(G410,Listas!E:E,Listas!G:G,""),"")</f>
        <v>Externo</v>
      </c>
      <c r="J410" s="45">
        <v>850</v>
      </c>
      <c r="K410" s="5">
        <f t="shared" si="3"/>
        <v>-850</v>
      </c>
      <c r="L410" s="15" t="s">
        <v>128</v>
      </c>
      <c r="M410" s="46">
        <f>SUMIFS('Saldos Iniciales'!$D$2:$D$38,'Saldos Iniciales'!$A$2:$A$38,C410,'Saldos Iniciales'!$B$2:$B$38,D410)+SUMIFS($K$1:$K$432,$C$1:$C$432,C410,$D$1:$D$432,D410,$B$1:$B$432,"&lt;="&amp;B410)</f>
        <v>28413.319999999978</v>
      </c>
      <c r="N410" s="27" t="str">
        <f>IF(tblMovimientos[[#This Row],[Tipo de Movimiento]]="Ingreso",tblMovimientos[[#This Row],[Monto (S/)]],"0")</f>
        <v>0</v>
      </c>
      <c r="O410" s="27">
        <f>IF(tblMovimientos[[#This Row],[Tipo de Movimiento]]="Egreso",tblMovimientos[[#This Row],[Monto (S/)]],"0")</f>
        <v>850</v>
      </c>
      <c r="P410" s="29">
        <f>IF(tblMovimientos[[#This Row],[Tipo de Movimiento]]="Ingreso",tblMovimientos[[#This Row],[Ingreso]],-tblMovimientos[[#This Row],[Egreso]])</f>
        <v>-850</v>
      </c>
    </row>
    <row r="411" spans="1:16" x14ac:dyDescent="0.3">
      <c r="B411" s="41">
        <v>46199</v>
      </c>
      <c r="C411" s="48" t="str">
        <f>_xlfn.XLOOKUP(tblMovimientos[[#This Row],[Cuenta Bancaria]],Listas!$B:$B,Listas!$A:$A,"")</f>
        <v>CFT Group</v>
      </c>
      <c r="D411" s="43" t="s">
        <v>94</v>
      </c>
      <c r="E411" s="58" t="str">
        <f>_xlfn.XLOOKUP(tblMovimientos[[#This Row],[Cuenta Bancaria]],Listas!$B:$B,Listas!$C:$C,"")</f>
        <v>Bank of America</v>
      </c>
      <c r="F411" s="43" t="s">
        <v>10</v>
      </c>
      <c r="G411" s="43" t="s">
        <v>44</v>
      </c>
      <c r="H411" s="4" t="str">
        <f>IFERROR(_xlfn.XLOOKUP(G411,Listas!E:E,Listas!F:F,""),"")</f>
        <v>Operativo</v>
      </c>
      <c r="I411" s="48" t="str">
        <f>IFERROR(_xlfn.XLOOKUP(G411,Listas!E:E,Listas!G:G,""),"")</f>
        <v>Externo</v>
      </c>
      <c r="J411" s="45">
        <v>30</v>
      </c>
      <c r="K411" s="49">
        <f t="shared" si="3"/>
        <v>-30</v>
      </c>
      <c r="L411" s="15" t="s">
        <v>128</v>
      </c>
      <c r="M411" s="60">
        <f>SUMIFS('Saldos Iniciales'!$D$2:$D$38,'Saldos Iniciales'!$A$2:$A$38,C411,'Saldos Iniciales'!$B$2:$B$38,D411)+SUMIFS($K$1:$K$432,$C$1:$C$432,C411,$D$1:$D$432,D411,$B$1:$B$432,"&lt;="&amp;B411)</f>
        <v>28413.319999999978</v>
      </c>
      <c r="N411" s="27" t="str">
        <f>IF(tblMovimientos[[#This Row],[Tipo de Movimiento]]="Ingreso",tblMovimientos[[#This Row],[Monto (S/)]],"0")</f>
        <v>0</v>
      </c>
      <c r="O411" s="27">
        <f>IF(tblMovimientos[[#This Row],[Tipo de Movimiento]]="Egreso",tblMovimientos[[#This Row],[Monto (S/)]],"0")</f>
        <v>30</v>
      </c>
      <c r="P411" s="29">
        <f>IF(tblMovimientos[[#This Row],[Tipo de Movimiento]]="Ingreso",tblMovimientos[[#This Row],[Ingreso]],-tblMovimientos[[#This Row],[Egreso]])</f>
        <v>-30</v>
      </c>
    </row>
    <row r="412" spans="1:16" x14ac:dyDescent="0.3">
      <c r="B412" s="41">
        <v>46199</v>
      </c>
      <c r="C412" s="48" t="str">
        <f>_xlfn.XLOOKUP(tblMovimientos[[#This Row],[Cuenta Bancaria]],Listas!$B:$B,Listas!$A:$A,"")</f>
        <v>3628 Thomas Ave</v>
      </c>
      <c r="D412" s="43" t="s">
        <v>124</v>
      </c>
      <c r="E412" s="58" t="str">
        <f>_xlfn.XLOOKUP(tblMovimientos[[#This Row],[Cuenta Bancaria]],Listas!$B:$B,Listas!$C:$C,"")</f>
        <v>Bank of America</v>
      </c>
      <c r="F412" s="43" t="s">
        <v>10</v>
      </c>
      <c r="G412" s="43" t="s">
        <v>44</v>
      </c>
      <c r="H412" s="4" t="str">
        <f>IFERROR(_xlfn.XLOOKUP(G412,Listas!E:E,Listas!F:F,""),"")</f>
        <v>Operativo</v>
      </c>
      <c r="I412" s="48" t="str">
        <f>IFERROR(_xlfn.XLOOKUP(G412,Listas!E:E,Listas!G:G,""),"")</f>
        <v>Externo</v>
      </c>
      <c r="J412" s="45">
        <v>15</v>
      </c>
      <c r="K412" s="5">
        <f t="shared" si="3"/>
        <v>-15</v>
      </c>
      <c r="L412" s="15" t="s">
        <v>128</v>
      </c>
      <c r="M412" s="46">
        <f>SUMIFS('Saldos Iniciales'!$D$2:$D$38,'Saldos Iniciales'!$A$2:$A$38,C412,'Saldos Iniciales'!$B$2:$B$38,D412)+SUMIFS($K$1:$K$432,$C$1:$C$432,C412,$D$1:$D$432,D412,$B$1:$B$432,"&lt;="&amp;B412)</f>
        <v>28458.6</v>
      </c>
      <c r="N412" s="27" t="str">
        <f>IF(tblMovimientos[[#This Row],[Tipo de Movimiento]]="Ingreso",tblMovimientos[[#This Row],[Monto (S/)]],"0")</f>
        <v>0</v>
      </c>
      <c r="O412" s="27">
        <f>IF(tblMovimientos[[#This Row],[Tipo de Movimiento]]="Egreso",tblMovimientos[[#This Row],[Monto (S/)]],"0")</f>
        <v>15</v>
      </c>
      <c r="P412" s="29">
        <f>IF(tblMovimientos[[#This Row],[Tipo de Movimiento]]="Ingreso",tblMovimientos[[#This Row],[Ingreso]],-tblMovimientos[[#This Row],[Egreso]])</f>
        <v>-15</v>
      </c>
    </row>
    <row r="413" spans="1:16" x14ac:dyDescent="0.3">
      <c r="B413" s="41">
        <v>46199</v>
      </c>
      <c r="C413" s="48" t="str">
        <f>_xlfn.XLOOKUP(tblMovimientos[[#This Row],[Cuenta Bancaria]],Listas!$B:$B,Listas!$A:$A,"")</f>
        <v>CFT Group</v>
      </c>
      <c r="D413" s="43" t="s">
        <v>95</v>
      </c>
      <c r="E413" s="58" t="str">
        <f>_xlfn.XLOOKUP(tblMovimientos[[#This Row],[Cuenta Bancaria]],Listas!$B:$B,Listas!$C:$C,"")</f>
        <v xml:space="preserve">Amerant Bank </v>
      </c>
      <c r="F413" s="43" t="s">
        <v>10</v>
      </c>
      <c r="G413" s="43" t="s">
        <v>46</v>
      </c>
      <c r="H413" s="4" t="str">
        <f>IFERROR(_xlfn.XLOOKUP(G413,Listas!E:E,Listas!F:F,""),"")</f>
        <v>Financiamiento</v>
      </c>
      <c r="I413" s="48" t="str">
        <f>IFERROR(_xlfn.XLOOKUP(G413,Listas!E:E,Listas!G:G,""),"")</f>
        <v>Externo</v>
      </c>
      <c r="J413" s="45">
        <v>10000</v>
      </c>
      <c r="K413" s="5">
        <f t="shared" si="3"/>
        <v>-10000</v>
      </c>
      <c r="L413" s="15" t="s">
        <v>128</v>
      </c>
      <c r="M413" s="46">
        <f>SUMIFS('Saldos Iniciales'!$D$2:$D$38,'Saldos Iniciales'!$A$2:$A$38,C413,'Saldos Iniciales'!$B$2:$B$38,D413)+SUMIFS($K$1:$K$432,$C$1:$C$432,C413,$D$1:$D$432,D413,$B$1:$B$432,"&lt;="&amp;B413)</f>
        <v>6191976.9100000001</v>
      </c>
      <c r="N413" s="27" t="str">
        <f>IF(tblMovimientos[[#This Row],[Tipo de Movimiento]]="Ingreso",tblMovimientos[[#This Row],[Monto (S/)]],"0")</f>
        <v>0</v>
      </c>
      <c r="O413" s="27">
        <f>IF(tblMovimientos[[#This Row],[Tipo de Movimiento]]="Egreso",tblMovimientos[[#This Row],[Monto (S/)]],"0")</f>
        <v>10000</v>
      </c>
      <c r="P413" s="29">
        <f>IF(tblMovimientos[[#This Row],[Tipo de Movimiento]]="Ingreso",tblMovimientos[[#This Row],[Ingreso]],-tblMovimientos[[#This Row],[Egreso]])</f>
        <v>-10000</v>
      </c>
    </row>
    <row r="414" spans="1:16" x14ac:dyDescent="0.3">
      <c r="B414" s="41">
        <v>46199</v>
      </c>
      <c r="C414" s="48" t="str">
        <f>_xlfn.XLOOKUP(tblMovimientos[[#This Row],[Cuenta Bancaria]],Listas!$B:$B,Listas!$A:$A,"")</f>
        <v>Cross Family Trust</v>
      </c>
      <c r="D414" s="43" t="s">
        <v>111</v>
      </c>
      <c r="E414" s="58" t="str">
        <f>_xlfn.XLOOKUP(tblMovimientos[[#This Row],[Cuenta Bancaria]],Listas!$B:$B,Listas!$C:$C,"")</f>
        <v xml:space="preserve">Amerant Bank </v>
      </c>
      <c r="F414" s="43" t="s">
        <v>10</v>
      </c>
      <c r="G414" s="43" t="s">
        <v>60</v>
      </c>
      <c r="H414" s="4" t="str">
        <f>IFERROR(_xlfn.XLOOKUP(G414,Listas!E:E,Listas!F:F,""),"")</f>
        <v>Inversion</v>
      </c>
      <c r="I414" s="48" t="str">
        <f>IFERROR(_xlfn.XLOOKUP(G414,Listas!E:E,Listas!G:G,""),"")</f>
        <v>Interno</v>
      </c>
      <c r="J414" s="45">
        <v>600000</v>
      </c>
      <c r="K414" s="5">
        <f t="shared" si="3"/>
        <v>-600000</v>
      </c>
      <c r="L414" s="15" t="s">
        <v>128</v>
      </c>
      <c r="M414" s="46">
        <f>SUMIFS('Saldos Iniciales'!$D$2:$D$38,'Saldos Iniciales'!$A$2:$A$38,C414,'Saldos Iniciales'!$B$2:$B$38,D414)+SUMIFS($K$1:$K$432,$C$1:$C$432,C414,$D$1:$D$432,D414,$B$1:$B$432,"&lt;="&amp;B414)</f>
        <v>1281717.6000000001</v>
      </c>
      <c r="N414" s="27" t="str">
        <f>IF(tblMovimientos[[#This Row],[Tipo de Movimiento]]="Ingreso",tblMovimientos[[#This Row],[Monto (S/)]],"0")</f>
        <v>0</v>
      </c>
      <c r="O414" s="27">
        <f>IF(tblMovimientos[[#This Row],[Tipo de Movimiento]]="Egreso",tblMovimientos[[#This Row],[Monto (S/)]],"0")</f>
        <v>600000</v>
      </c>
      <c r="P414" s="29">
        <f>IF(tblMovimientos[[#This Row],[Tipo de Movimiento]]="Ingreso",tblMovimientos[[#This Row],[Ingreso]],-tblMovimientos[[#This Row],[Egreso]])</f>
        <v>-600000</v>
      </c>
    </row>
    <row r="415" spans="1:16" x14ac:dyDescent="0.3">
      <c r="B415" s="41">
        <v>46199</v>
      </c>
      <c r="C415" s="48" t="str">
        <f>_xlfn.XLOOKUP(tblMovimientos[[#This Row],[Cuenta Bancaria]],Listas!$B:$B,Listas!$A:$A,"")</f>
        <v>Go Blue</v>
      </c>
      <c r="D415" s="43" t="s">
        <v>126</v>
      </c>
      <c r="E415" s="58" t="str">
        <f>_xlfn.XLOOKUP(tblMovimientos[[#This Row],[Cuenta Bancaria]],Listas!$B:$B,Listas!$C:$C,"")</f>
        <v xml:space="preserve">Amerant Bank </v>
      </c>
      <c r="F415" s="43" t="s">
        <v>10</v>
      </c>
      <c r="G415" s="43" t="s">
        <v>38</v>
      </c>
      <c r="H415" s="4" t="str">
        <f>IFERROR(_xlfn.XLOOKUP(G415,Listas!E:E,Listas!F:F,""),"")</f>
        <v>Operativo</v>
      </c>
      <c r="I415" s="48" t="str">
        <f>IFERROR(_xlfn.XLOOKUP(G415,Listas!E:E,Listas!G:G,""),"")</f>
        <v>Externo</v>
      </c>
      <c r="J415" s="45">
        <v>3091.79</v>
      </c>
      <c r="K415" s="49">
        <f t="shared" si="3"/>
        <v>-3091.79</v>
      </c>
      <c r="L415" s="15" t="s">
        <v>128</v>
      </c>
      <c r="M415" s="60">
        <f>SUMIFS('Saldos Iniciales'!$D$2:$D$38,'Saldos Iniciales'!$A$2:$A$38,C415,'Saldos Iniciales'!$B$2:$B$38,D415)+SUMIFS($K$1:$K$432,$C$1:$C$432,C415,$D$1:$D$432,D415,$B$1:$B$432,"&lt;="&amp;B415)</f>
        <v>24625.29</v>
      </c>
      <c r="N415" s="27" t="str">
        <f>IF(tblMovimientos[[#This Row],[Tipo de Movimiento]]="Ingreso",tblMovimientos[[#This Row],[Monto (S/)]],"0")</f>
        <v>0</v>
      </c>
      <c r="O415" s="27">
        <f>IF(tblMovimientos[[#This Row],[Tipo de Movimiento]]="Egreso",tblMovimientos[[#This Row],[Monto (S/)]],"0")</f>
        <v>3091.79</v>
      </c>
      <c r="P415" s="29">
        <f>IF(tblMovimientos[[#This Row],[Tipo de Movimiento]]="Ingreso",tblMovimientos[[#This Row],[Ingreso]],-tblMovimientos[[#This Row],[Egreso]])</f>
        <v>-3091.79</v>
      </c>
    </row>
    <row r="416" spans="1:16" x14ac:dyDescent="0.3">
      <c r="B416" s="41">
        <v>46199</v>
      </c>
      <c r="C416" s="48" t="str">
        <f>_xlfn.XLOOKUP(tblMovimientos[[#This Row],[Cuenta Bancaria]],Listas!$B:$B,Listas!$A:$A,"")</f>
        <v>Go Blue</v>
      </c>
      <c r="D416" s="43" t="s">
        <v>126</v>
      </c>
      <c r="E416" s="58" t="str">
        <f>_xlfn.XLOOKUP(tblMovimientos[[#This Row],[Cuenta Bancaria]],Listas!$B:$B,Listas!$C:$C,"")</f>
        <v xml:space="preserve">Amerant Bank </v>
      </c>
      <c r="F416" s="43" t="s">
        <v>10</v>
      </c>
      <c r="G416" s="43" t="s">
        <v>44</v>
      </c>
      <c r="H416" s="4" t="str">
        <f>IFERROR(_xlfn.XLOOKUP(G416,Listas!E:E,Listas!F:F,""),"")</f>
        <v>Operativo</v>
      </c>
      <c r="I416" s="48" t="str">
        <f>IFERROR(_xlfn.XLOOKUP(G416,Listas!E:E,Listas!G:G,""),"")</f>
        <v>Externo</v>
      </c>
      <c r="J416" s="45">
        <v>15</v>
      </c>
      <c r="K416" s="5">
        <f t="shared" si="3"/>
        <v>-15</v>
      </c>
      <c r="L416" s="15" t="s">
        <v>128</v>
      </c>
      <c r="M416" s="46">
        <f>SUMIFS('Saldos Iniciales'!$D$2:$D$38,'Saldos Iniciales'!$A$2:$A$38,C416,'Saldos Iniciales'!$B$2:$B$38,D416)+SUMIFS($K$1:$K$432,$C$1:$C$432,C416,$D$1:$D$432,D416,$B$1:$B$432,"&lt;="&amp;B416)</f>
        <v>24625.29</v>
      </c>
      <c r="N416" s="27" t="str">
        <f>IF(tblMovimientos[[#This Row],[Tipo de Movimiento]]="Ingreso",tblMovimientos[[#This Row],[Monto (S/)]],"0")</f>
        <v>0</v>
      </c>
      <c r="O416" s="27">
        <f>IF(tblMovimientos[[#This Row],[Tipo de Movimiento]]="Egreso",tblMovimientos[[#This Row],[Monto (S/)]],"0")</f>
        <v>15</v>
      </c>
      <c r="P416" s="29">
        <f>IF(tblMovimientos[[#This Row],[Tipo de Movimiento]]="Ingreso",tblMovimientos[[#This Row],[Ingreso]],-tblMovimientos[[#This Row],[Egreso]])</f>
        <v>-15</v>
      </c>
    </row>
    <row r="417" spans="1:16" x14ac:dyDescent="0.3">
      <c r="B417" s="41">
        <v>46199</v>
      </c>
      <c r="C417" s="48" t="str">
        <f>_xlfn.XLOOKUP(tblMovimientos[[#This Row],[Cuenta Bancaria]],Listas!$B:$B,Listas!$A:$A,"")</f>
        <v>Go Blue</v>
      </c>
      <c r="D417" s="43" t="s">
        <v>126</v>
      </c>
      <c r="E417" s="58" t="str">
        <f>_xlfn.XLOOKUP(tblMovimientos[[#This Row],[Cuenta Bancaria]],Listas!$B:$B,Listas!$C:$C,"")</f>
        <v xml:space="preserve">Amerant Bank </v>
      </c>
      <c r="F417" s="43" t="s">
        <v>10</v>
      </c>
      <c r="H417" s="4">
        <f>IFERROR(_xlfn.XLOOKUP(G417,Listas!E:E,Listas!F:F,""),"")</f>
        <v>0</v>
      </c>
      <c r="I417" s="48">
        <f>IFERROR(_xlfn.XLOOKUP(G417,Listas!E:E,Listas!G:G,""),"")</f>
        <v>0</v>
      </c>
      <c r="J417" s="45">
        <v>5000</v>
      </c>
      <c r="K417" s="5">
        <f t="shared" si="3"/>
        <v>-5000</v>
      </c>
      <c r="L417" s="15" t="s">
        <v>128</v>
      </c>
      <c r="M417" s="46">
        <f>SUMIFS('Saldos Iniciales'!$D$2:$D$38,'Saldos Iniciales'!$A$2:$A$38,C417,'Saldos Iniciales'!$B$2:$B$38,D417)+SUMIFS($K$1:$K$432,$C$1:$C$432,C417,$D$1:$D$432,D417,$B$1:$B$432,"&lt;="&amp;B417)</f>
        <v>24625.29</v>
      </c>
      <c r="N417" s="27" t="str">
        <f>IF(tblMovimientos[[#This Row],[Tipo de Movimiento]]="Ingreso",tblMovimientos[[#This Row],[Monto (S/)]],"0")</f>
        <v>0</v>
      </c>
      <c r="O417" s="27">
        <f>IF(tblMovimientos[[#This Row],[Tipo de Movimiento]]="Egreso",tblMovimientos[[#This Row],[Monto (S/)]],"0")</f>
        <v>5000</v>
      </c>
      <c r="P417" s="29">
        <f>IF(tblMovimientos[[#This Row],[Tipo de Movimiento]]="Ingreso",tblMovimientos[[#This Row],[Ingreso]],-tblMovimientos[[#This Row],[Egreso]])</f>
        <v>-5000</v>
      </c>
    </row>
    <row r="418" spans="1:16" x14ac:dyDescent="0.3">
      <c r="B418" s="41">
        <v>46202</v>
      </c>
      <c r="C418" s="48" t="str">
        <f>_xlfn.XLOOKUP(tblMovimientos[[#This Row],[Cuenta Bancaria]],Listas!$B:$B,Listas!$A:$A,"")</f>
        <v>A&amp;M Imports</v>
      </c>
      <c r="D418" s="43" t="s">
        <v>100</v>
      </c>
      <c r="E418" s="58" t="str">
        <f>_xlfn.XLOOKUP(tblMovimientos[[#This Row],[Cuenta Bancaria]],Listas!$B:$B,Listas!$C:$C,"")</f>
        <v>Bank of America</v>
      </c>
      <c r="F418" s="43" t="s">
        <v>9</v>
      </c>
      <c r="G418" s="43" t="s">
        <v>82</v>
      </c>
      <c r="H418" s="4" t="str">
        <f>IFERROR(_xlfn.XLOOKUP(G418,Listas!E:E,Listas!F:F,""),"")</f>
        <v>Operativo</v>
      </c>
      <c r="I418" s="48" t="str">
        <f>IFERROR(_xlfn.XLOOKUP(G418,Listas!E:E,Listas!G:G,""),"")</f>
        <v>Externo</v>
      </c>
      <c r="J418" s="45">
        <v>16978.900000000001</v>
      </c>
      <c r="K418" s="5">
        <f t="shared" si="3"/>
        <v>16978.900000000001</v>
      </c>
      <c r="L418" s="15" t="s">
        <v>128</v>
      </c>
      <c r="M418" s="46">
        <f>SUMIFS('Saldos Iniciales'!$D$2:$D$38,'Saldos Iniciales'!$A$2:$A$38,C418,'Saldos Iniciales'!$B$2:$B$38,D418)+SUMIFS($K$1:$K$432,$C$1:$C$432,C418,$D$1:$D$432,D418,$B$1:$B$432,"&lt;="&amp;B418)</f>
        <v>489745.62999999989</v>
      </c>
      <c r="N418" s="27">
        <f>IF(tblMovimientos[[#This Row],[Tipo de Movimiento]]="Ingreso",tblMovimientos[[#This Row],[Monto (S/)]],"0")</f>
        <v>16978.900000000001</v>
      </c>
      <c r="O418" s="27" t="str">
        <f>IF(tblMovimientos[[#This Row],[Tipo de Movimiento]]="Egreso",tblMovimientos[[#This Row],[Monto (S/)]],"0")</f>
        <v>0</v>
      </c>
      <c r="P418" s="29">
        <f>IF(tblMovimientos[[#This Row],[Tipo de Movimiento]]="Ingreso",tblMovimientos[[#This Row],[Ingreso]],-tblMovimientos[[#This Row],[Egreso]])</f>
        <v>16978.900000000001</v>
      </c>
    </row>
    <row r="419" spans="1:16" x14ac:dyDescent="0.3">
      <c r="B419" s="41">
        <v>46202</v>
      </c>
      <c r="C419" s="48" t="str">
        <f>_xlfn.XLOOKUP(tblMovimientos[[#This Row],[Cuenta Bancaria]],Listas!$B:$B,Listas!$A:$A,"")</f>
        <v>CFT Group</v>
      </c>
      <c r="D419" s="43" t="s">
        <v>94</v>
      </c>
      <c r="E419" s="58" t="str">
        <f>_xlfn.XLOOKUP(tblMovimientos[[#This Row],[Cuenta Bancaria]],Listas!$B:$B,Listas!$C:$C,"")</f>
        <v>Bank of America</v>
      </c>
      <c r="F419" s="43" t="s">
        <v>9</v>
      </c>
      <c r="G419" s="43" t="s">
        <v>68</v>
      </c>
      <c r="H419" s="4" t="str">
        <f>IFERROR(_xlfn.XLOOKUP(G419,Listas!E:E,Listas!F:F,""),"")</f>
        <v>Operativo</v>
      </c>
      <c r="I419" s="48" t="str">
        <f>IFERROR(_xlfn.XLOOKUP(G419,Listas!E:E,Listas!G:G,""),"")</f>
        <v>Externo</v>
      </c>
      <c r="J419" s="45">
        <v>6021.16</v>
      </c>
      <c r="K419" s="49">
        <f t="shared" si="3"/>
        <v>6021.16</v>
      </c>
      <c r="L419" s="15" t="s">
        <v>128</v>
      </c>
      <c r="M419" s="60">
        <f>SUMIFS('Saldos Iniciales'!$D$2:$D$38,'Saldos Iniciales'!$A$2:$A$38,C419,'Saldos Iniciales'!$B$2:$B$38,D419)+SUMIFS($K$1:$K$432,$C$1:$C$432,C419,$D$1:$D$432,D419,$B$1:$B$432,"&lt;="&amp;B419)</f>
        <v>39532.419999999984</v>
      </c>
      <c r="N419" s="27">
        <f>IF(tblMovimientos[[#This Row],[Tipo de Movimiento]]="Ingreso",tblMovimientos[[#This Row],[Monto (S/)]],"0")</f>
        <v>6021.16</v>
      </c>
      <c r="O419" s="27" t="str">
        <f>IF(tblMovimientos[[#This Row],[Tipo de Movimiento]]="Egreso",tblMovimientos[[#This Row],[Monto (S/)]],"0")</f>
        <v>0</v>
      </c>
      <c r="P419" s="29">
        <f>IF(tblMovimientos[[#This Row],[Tipo de Movimiento]]="Ingreso",tblMovimientos[[#This Row],[Ingreso]],-tblMovimientos[[#This Row],[Egreso]])</f>
        <v>6021.16</v>
      </c>
    </row>
    <row r="420" spans="1:16" x14ac:dyDescent="0.3">
      <c r="B420" s="41">
        <v>46202</v>
      </c>
      <c r="C420" s="48" t="str">
        <f>_xlfn.XLOOKUP(tblMovimientos[[#This Row],[Cuenta Bancaria]],Listas!$B:$B,Listas!$A:$A,"")</f>
        <v>CFT Group</v>
      </c>
      <c r="D420" s="43" t="s">
        <v>94</v>
      </c>
      <c r="E420" s="58" t="str">
        <f>_xlfn.XLOOKUP(tblMovimientos[[#This Row],[Cuenta Bancaria]],Listas!$B:$B,Listas!$C:$C,"")</f>
        <v>Bank of America</v>
      </c>
      <c r="F420" s="43" t="s">
        <v>9</v>
      </c>
      <c r="G420" s="43" t="s">
        <v>68</v>
      </c>
      <c r="H420" s="4" t="str">
        <f>IFERROR(_xlfn.XLOOKUP(G420,Listas!E:E,Listas!F:F,""),"")</f>
        <v>Operativo</v>
      </c>
      <c r="I420" s="48" t="str">
        <f>IFERROR(_xlfn.XLOOKUP(G420,Listas!E:E,Listas!G:G,""),"")</f>
        <v>Externo</v>
      </c>
      <c r="J420" s="45">
        <v>5097.9399999999996</v>
      </c>
      <c r="K420" s="5">
        <f t="shared" si="3"/>
        <v>5097.9399999999996</v>
      </c>
      <c r="L420" s="15" t="s">
        <v>128</v>
      </c>
      <c r="M420" s="46">
        <f>SUMIFS('Saldos Iniciales'!$D$2:$D$38,'Saldos Iniciales'!$A$2:$A$38,C420,'Saldos Iniciales'!$B$2:$B$38,D420)+SUMIFS($K$1:$K$432,$C$1:$C$432,C420,$D$1:$D$432,D420,$B$1:$B$432,"&lt;="&amp;B420)</f>
        <v>39532.419999999984</v>
      </c>
      <c r="N420" s="27">
        <f>IF(tblMovimientos[[#This Row],[Tipo de Movimiento]]="Ingreso",tblMovimientos[[#This Row],[Monto (S/)]],"0")</f>
        <v>5097.9399999999996</v>
      </c>
      <c r="O420" s="27" t="str">
        <f>IF(tblMovimientos[[#This Row],[Tipo de Movimiento]]="Egreso",tblMovimientos[[#This Row],[Monto (S/)]],"0")</f>
        <v>0</v>
      </c>
      <c r="P420" s="29">
        <f>IF(tblMovimientos[[#This Row],[Tipo de Movimiento]]="Ingreso",tblMovimientos[[#This Row],[Ingreso]],-tblMovimientos[[#This Row],[Egreso]])</f>
        <v>5097.9399999999996</v>
      </c>
    </row>
    <row r="421" spans="1:16" x14ac:dyDescent="0.3">
      <c r="B421" s="41">
        <v>46202</v>
      </c>
      <c r="C421" s="48" t="str">
        <f>_xlfn.XLOOKUP(tblMovimientos[[#This Row],[Cuenta Bancaria]],Listas!$B:$B,Listas!$A:$A,"")</f>
        <v>Cross Family Trust</v>
      </c>
      <c r="D421" s="43" t="s">
        <v>111</v>
      </c>
      <c r="E421" s="58" t="str">
        <f>_xlfn.XLOOKUP(tblMovimientos[[#This Row],[Cuenta Bancaria]],Listas!$B:$B,Listas!$C:$C,"")</f>
        <v xml:space="preserve">Amerant Bank </v>
      </c>
      <c r="F421" s="43" t="s">
        <v>10</v>
      </c>
      <c r="G421" s="43" t="s">
        <v>60</v>
      </c>
      <c r="H421" s="4" t="str">
        <f>IFERROR(_xlfn.XLOOKUP(G421,Listas!E:E,Listas!F:F,""),"")</f>
        <v>Inversion</v>
      </c>
      <c r="I421" s="48" t="str">
        <f>IFERROR(_xlfn.XLOOKUP(G421,Listas!E:E,Listas!G:G,""),"")</f>
        <v>Interno</v>
      </c>
      <c r="J421" s="45">
        <v>1000000</v>
      </c>
      <c r="K421" s="49">
        <f t="shared" si="3"/>
        <v>-1000000</v>
      </c>
      <c r="L421" s="15" t="s">
        <v>128</v>
      </c>
      <c r="M421" s="60">
        <f>SUMIFS('Saldos Iniciales'!$D$2:$D$38,'Saldos Iniciales'!$A$2:$A$38,C421,'Saldos Iniciales'!$B$2:$B$38,D421)+SUMIFS($K$1:$K$432,$C$1:$C$432,C421,$D$1:$D$432,D421,$B$1:$B$432,"&lt;="&amp;B421)</f>
        <v>281717.59999999998</v>
      </c>
      <c r="N421" s="27" t="str">
        <f>IF(tblMovimientos[[#This Row],[Tipo de Movimiento]]="Ingreso",tblMovimientos[[#This Row],[Monto (S/)]],"0")</f>
        <v>0</v>
      </c>
      <c r="O421" s="27">
        <f>IF(tblMovimientos[[#This Row],[Tipo de Movimiento]]="Egreso",tblMovimientos[[#This Row],[Monto (S/)]],"0")</f>
        <v>1000000</v>
      </c>
      <c r="P421" s="29">
        <f>IF(tblMovimientos[[#This Row],[Tipo de Movimiento]]="Ingreso",tblMovimientos[[#This Row],[Ingreso]],-tblMovimientos[[#This Row],[Egreso]])</f>
        <v>-1000000</v>
      </c>
    </row>
    <row r="422" spans="1:16" x14ac:dyDescent="0.3">
      <c r="B422" s="41">
        <v>46202</v>
      </c>
      <c r="C422" s="48" t="str">
        <f>_xlfn.XLOOKUP(tblMovimientos[[#This Row],[Cuenta Bancaria]],Listas!$B:$B,Listas!$A:$A,"")</f>
        <v>SSP Capital</v>
      </c>
      <c r="D422" s="43" t="s">
        <v>104</v>
      </c>
      <c r="E422" s="58" t="str">
        <f>_xlfn.XLOOKUP(tblMovimientos[[#This Row],[Cuenta Bancaria]],Listas!$B:$B,Listas!$C:$C,"")</f>
        <v xml:space="preserve">Amerant Bank </v>
      </c>
      <c r="F422" s="43" t="s">
        <v>10</v>
      </c>
      <c r="G422" s="43" t="s">
        <v>40</v>
      </c>
      <c r="H422" s="4" t="str">
        <f>IFERROR(_xlfn.XLOOKUP(G422,Listas!E:E,Listas!F:F,""),"")</f>
        <v>Operativo</v>
      </c>
      <c r="I422" s="48" t="str">
        <f>IFERROR(_xlfn.XLOOKUP(G422,Listas!E:E,Listas!G:G,""),"")</f>
        <v>Externo</v>
      </c>
      <c r="J422" s="45">
        <v>164221.79999999999</v>
      </c>
      <c r="K422" s="5">
        <f t="shared" si="3"/>
        <v>-164221.79999999999</v>
      </c>
      <c r="L422" s="15" t="s">
        <v>128</v>
      </c>
      <c r="M422" s="46">
        <f>SUMIFS('Saldos Iniciales'!$D$2:$D$38,'Saldos Iniciales'!$A$2:$A$38,C422,'Saldos Iniciales'!$B$2:$B$38,D422)+SUMIFS($K$1:$K$432,$C$1:$C$432,C422,$D$1:$D$432,D422,$B$1:$B$432,"&lt;="&amp;B422)</f>
        <v>945129.84999999939</v>
      </c>
      <c r="N422" s="27" t="str">
        <f>IF(tblMovimientos[[#This Row],[Tipo de Movimiento]]="Ingreso",tblMovimientos[[#This Row],[Monto (S/)]],"0")</f>
        <v>0</v>
      </c>
      <c r="O422" s="27">
        <f>IF(tblMovimientos[[#This Row],[Tipo de Movimiento]]="Egreso",tblMovimientos[[#This Row],[Monto (S/)]],"0")</f>
        <v>164221.79999999999</v>
      </c>
      <c r="P422" s="29">
        <f>IF(tblMovimientos[[#This Row],[Tipo de Movimiento]]="Ingreso",tblMovimientos[[#This Row],[Ingreso]],-tblMovimientos[[#This Row],[Egreso]])</f>
        <v>-164221.79999999999</v>
      </c>
    </row>
    <row r="423" spans="1:16" x14ac:dyDescent="0.3">
      <c r="B423" s="41">
        <v>46202</v>
      </c>
      <c r="C423" s="48" t="str">
        <f>_xlfn.XLOOKUP(tblMovimientos[[#This Row],[Cuenta Bancaria]],Listas!$B:$B,Listas!$A:$A,"")</f>
        <v>Go Blue</v>
      </c>
      <c r="D423" s="43" t="s">
        <v>126</v>
      </c>
      <c r="E423" s="58" t="str">
        <f>_xlfn.XLOOKUP(tblMovimientos[[#This Row],[Cuenta Bancaria]],Listas!$B:$B,Listas!$C:$C,"")</f>
        <v xml:space="preserve">Amerant Bank </v>
      </c>
      <c r="F423" s="43" t="s">
        <v>10</v>
      </c>
      <c r="G423" s="43" t="s">
        <v>38</v>
      </c>
      <c r="H423" s="4" t="str">
        <f>IFERROR(_xlfn.XLOOKUP(G423,Listas!E:E,Listas!F:F,""),"")</f>
        <v>Operativo</v>
      </c>
      <c r="I423" s="48" t="str">
        <f>IFERROR(_xlfn.XLOOKUP(G423,Listas!E:E,Listas!G:G,""),"")</f>
        <v>Externo</v>
      </c>
      <c r="J423" s="45">
        <v>45.86</v>
      </c>
      <c r="K423" s="5">
        <f t="shared" si="3"/>
        <v>-45.86</v>
      </c>
      <c r="L423" s="15" t="s">
        <v>128</v>
      </c>
      <c r="M423" s="46">
        <f>SUMIFS('Saldos Iniciales'!$D$2:$D$38,'Saldos Iniciales'!$A$2:$A$38,C423,'Saldos Iniciales'!$B$2:$B$38,D423)+SUMIFS($K$1:$K$432,$C$1:$C$432,C423,$D$1:$D$432,D423,$B$1:$B$432,"&lt;="&amp;B423)</f>
        <v>18579.43</v>
      </c>
      <c r="N423" s="27" t="str">
        <f>IF(tblMovimientos[[#This Row],[Tipo de Movimiento]]="Ingreso",tblMovimientos[[#This Row],[Monto (S/)]],"0")</f>
        <v>0</v>
      </c>
      <c r="O423" s="27">
        <f>IF(tblMovimientos[[#This Row],[Tipo de Movimiento]]="Egreso",tblMovimientos[[#This Row],[Monto (S/)]],"0")</f>
        <v>45.86</v>
      </c>
      <c r="P423" s="29">
        <f>IF(tblMovimientos[[#This Row],[Tipo de Movimiento]]="Ingreso",tblMovimientos[[#This Row],[Ingreso]],-tblMovimientos[[#This Row],[Egreso]])</f>
        <v>-45.86</v>
      </c>
    </row>
    <row r="424" spans="1:16" x14ac:dyDescent="0.3">
      <c r="A424" s="47"/>
      <c r="B424" s="41">
        <v>46202</v>
      </c>
      <c r="C424" s="48" t="str">
        <f>_xlfn.XLOOKUP(tblMovimientos[[#This Row],[Cuenta Bancaria]],Listas!$B:$B,Listas!$A:$A,"")</f>
        <v>Go Blue</v>
      </c>
      <c r="D424" s="43" t="s">
        <v>126</v>
      </c>
      <c r="E424" s="59" t="str">
        <f>_xlfn.XLOOKUP(tblMovimientos[[#This Row],[Cuenta Bancaria]],Listas!$B:$B,Listas!$C:$C,"")</f>
        <v xml:space="preserve">Amerant Bank </v>
      </c>
      <c r="F424" s="43" t="s">
        <v>10</v>
      </c>
      <c r="H424" s="48">
        <f>IFERROR(_xlfn.XLOOKUP(G424,Listas!E:E,Listas!F:F,""),"")</f>
        <v>0</v>
      </c>
      <c r="I424" s="48">
        <f>IFERROR(_xlfn.XLOOKUP(G424,Listas!E:E,Listas!G:G,""),"")</f>
        <v>0</v>
      </c>
      <c r="J424" s="45">
        <v>6000</v>
      </c>
      <c r="K424" s="5">
        <f t="shared" si="3"/>
        <v>-6000</v>
      </c>
      <c r="L424" s="15" t="s">
        <v>128</v>
      </c>
      <c r="M424" s="46">
        <f>SUMIFS('Saldos Iniciales'!$D$2:$D$38,'Saldos Iniciales'!$A$2:$A$38,C424,'Saldos Iniciales'!$B$2:$B$38,D424)+SUMIFS($K$1:$K$432,$C$1:$C$432,C424,$D$1:$D$432,D424,$B$1:$B$432,"&lt;="&amp;B424)</f>
        <v>18579.43</v>
      </c>
      <c r="N424" s="27" t="str">
        <f>IF(tblMovimientos[[#This Row],[Tipo de Movimiento]]="Ingreso",tblMovimientos[[#This Row],[Monto (S/)]],"0")</f>
        <v>0</v>
      </c>
      <c r="O424" s="27">
        <f>IF(tblMovimientos[[#This Row],[Tipo de Movimiento]]="Egreso",tblMovimientos[[#This Row],[Monto (S/)]],"0")</f>
        <v>6000</v>
      </c>
      <c r="P424" s="29">
        <f>IF(tblMovimientos[[#This Row],[Tipo de Movimiento]]="Ingreso",tblMovimientos[[#This Row],[Ingreso]],-tblMovimientos[[#This Row],[Egreso]])</f>
        <v>-6000</v>
      </c>
    </row>
    <row r="425" spans="1:16" x14ac:dyDescent="0.3">
      <c r="B425" s="41">
        <v>46203</v>
      </c>
      <c r="C425" s="48" t="str">
        <f>_xlfn.XLOOKUP(tblMovimientos[[#This Row],[Cuenta Bancaria]],Listas!$B:$B,Listas!$A:$A,"")</f>
        <v>M1B</v>
      </c>
      <c r="D425" s="43" t="s">
        <v>97</v>
      </c>
      <c r="E425" s="58" t="str">
        <f>_xlfn.XLOOKUP(tblMovimientos[[#This Row],[Cuenta Bancaria]],Listas!$B:$B,Listas!$C:$C,"")</f>
        <v xml:space="preserve">Amerant Bank </v>
      </c>
      <c r="F425" s="43" t="s">
        <v>9</v>
      </c>
      <c r="G425" s="43" t="s">
        <v>68</v>
      </c>
      <c r="H425" s="68" t="str">
        <f>IFERROR(_xlfn.XLOOKUP(G425,Listas!E:E,Listas!F:F,""),"")</f>
        <v>Operativo</v>
      </c>
      <c r="I425" s="48" t="str">
        <f>IFERROR(_xlfn.XLOOKUP(G425,Listas!E:E,Listas!G:G,""),"")</f>
        <v>Externo</v>
      </c>
      <c r="J425" s="45">
        <v>6753.49</v>
      </c>
      <c r="K425" s="5">
        <f t="shared" ref="K425:K432" si="4">IF(F425="Ingreso",J425,-J425)</f>
        <v>6753.49</v>
      </c>
      <c r="L425" s="15" t="s">
        <v>128</v>
      </c>
      <c r="M425" s="46">
        <f>SUMIFS('Saldos Iniciales'!$D$2:$D$38,'Saldos Iniciales'!$A$2:$A$38,C425,'Saldos Iniciales'!$B$2:$B$38,D425)+SUMIFS($K$1:$K$432,$C$1:$C$432,C425,$D$1:$D$432,D425,$B$1:$B$432,"&lt;="&amp;B425)</f>
        <v>74139.680000000168</v>
      </c>
      <c r="N425" s="27">
        <f>IF(tblMovimientos[[#This Row],[Tipo de Movimiento]]="Ingreso",tblMovimientos[[#This Row],[Monto (S/)]],"0")</f>
        <v>6753.49</v>
      </c>
      <c r="O425" s="27" t="str">
        <f>IF(tblMovimientos[[#This Row],[Tipo de Movimiento]]="Egreso",tblMovimientos[[#This Row],[Monto (S/)]],"0")</f>
        <v>0</v>
      </c>
      <c r="P425" s="29">
        <f>IF(tblMovimientos[[#This Row],[Tipo de Movimiento]]="Ingreso",tblMovimientos[[#This Row],[Ingreso]],-tblMovimientos[[#This Row],[Egreso]])</f>
        <v>6753.49</v>
      </c>
    </row>
    <row r="426" spans="1:16" x14ac:dyDescent="0.3">
      <c r="B426" s="41">
        <v>46203</v>
      </c>
      <c r="C426" s="48" t="str">
        <f>_xlfn.XLOOKUP(tblMovimientos[[#This Row],[Cuenta Bancaria]],Listas!$B:$B,Listas!$A:$A,"")</f>
        <v>SSP Capital</v>
      </c>
      <c r="D426" s="43" t="s">
        <v>106</v>
      </c>
      <c r="E426" s="58" t="str">
        <f>_xlfn.XLOOKUP(tblMovimientos[[#This Row],[Cuenta Bancaria]],Listas!$B:$B,Listas!$C:$C,"")</f>
        <v xml:space="preserve">Amerant Bank </v>
      </c>
      <c r="F426" s="43" t="s">
        <v>9</v>
      </c>
      <c r="G426" s="43" t="s">
        <v>84</v>
      </c>
      <c r="H426" s="68" t="str">
        <f>IFERROR(_xlfn.XLOOKUP(G426,Listas!E:E,Listas!F:F,""),"")</f>
        <v>Operativo</v>
      </c>
      <c r="I426" s="48" t="str">
        <f>IFERROR(_xlfn.XLOOKUP(G426,Listas!E:E,Listas!G:G,""),"")</f>
        <v>Externo</v>
      </c>
      <c r="J426" s="45">
        <v>2267.66</v>
      </c>
      <c r="K426" s="5">
        <f t="shared" si="4"/>
        <v>2267.66</v>
      </c>
      <c r="L426" s="15" t="s">
        <v>128</v>
      </c>
      <c r="M426" s="46">
        <f>SUMIFS('Saldos Iniciales'!$D$2:$D$38,'Saldos Iniciales'!$A$2:$A$38,C426,'Saldos Iniciales'!$B$2:$B$38,D426)+SUMIFS($K$1:$K$432,$C$1:$C$432,C426,$D$1:$D$432,D426,$B$1:$B$432,"&lt;="&amp;B426)</f>
        <v>806680.61</v>
      </c>
      <c r="N426" s="27">
        <f>IF(tblMovimientos[[#This Row],[Tipo de Movimiento]]="Ingreso",tblMovimientos[[#This Row],[Monto (S/)]],"0")</f>
        <v>2267.66</v>
      </c>
      <c r="O426" s="27" t="str">
        <f>IF(tblMovimientos[[#This Row],[Tipo de Movimiento]]="Egreso",tblMovimientos[[#This Row],[Monto (S/)]],"0")</f>
        <v>0</v>
      </c>
      <c r="P426" s="29">
        <f>IF(tblMovimientos[[#This Row],[Tipo de Movimiento]]="Ingreso",tblMovimientos[[#This Row],[Ingreso]],-tblMovimientos[[#This Row],[Egreso]])</f>
        <v>2267.66</v>
      </c>
    </row>
    <row r="427" spans="1:16" x14ac:dyDescent="0.3">
      <c r="B427" s="41">
        <v>46203</v>
      </c>
      <c r="C427" s="48" t="str">
        <f>_xlfn.XLOOKUP(tblMovimientos[[#This Row],[Cuenta Bancaria]],Listas!$B:$B,Listas!$A:$A,"")</f>
        <v>SSP Capital</v>
      </c>
      <c r="D427" s="43" t="s">
        <v>104</v>
      </c>
      <c r="E427" s="58" t="str">
        <f>_xlfn.XLOOKUP(tblMovimientos[[#This Row],[Cuenta Bancaria]],Listas!$B:$B,Listas!$C:$C,"")</f>
        <v xml:space="preserve">Amerant Bank </v>
      </c>
      <c r="F427" s="43" t="s">
        <v>10</v>
      </c>
      <c r="G427" s="43" t="s">
        <v>42</v>
      </c>
      <c r="H427" s="68" t="str">
        <f>IFERROR(_xlfn.XLOOKUP(G427,Listas!E:E,Listas!F:F,""),"")</f>
        <v>Operativo</v>
      </c>
      <c r="I427" s="48" t="str">
        <f>IFERROR(_xlfn.XLOOKUP(G427,Listas!E:E,Listas!G:G,""),"")</f>
        <v>Externo</v>
      </c>
      <c r="J427" s="45">
        <v>73431.09</v>
      </c>
      <c r="K427" s="5">
        <f t="shared" si="4"/>
        <v>-73431.09</v>
      </c>
      <c r="L427" s="15" t="s">
        <v>128</v>
      </c>
      <c r="M427" s="46">
        <f>SUMIFS('Saldos Iniciales'!$D$2:$D$38,'Saldos Iniciales'!$A$2:$A$38,C427,'Saldos Iniciales'!$B$2:$B$38,D427)+SUMIFS($K$1:$K$432,$C$1:$C$432,C427,$D$1:$D$432,D427,$B$1:$B$432,"&lt;="&amp;B427)</f>
        <v>871698.75999999943</v>
      </c>
      <c r="N427" s="27" t="str">
        <f>IF(tblMovimientos[[#This Row],[Tipo de Movimiento]]="Ingreso",tblMovimientos[[#This Row],[Monto (S/)]],"0")</f>
        <v>0</v>
      </c>
      <c r="O427" s="27">
        <f>IF(tblMovimientos[[#This Row],[Tipo de Movimiento]]="Egreso",tblMovimientos[[#This Row],[Monto (S/)]],"0")</f>
        <v>73431.09</v>
      </c>
      <c r="P427" s="29">
        <f>IF(tblMovimientos[[#This Row],[Tipo de Movimiento]]="Ingreso",tblMovimientos[[#This Row],[Ingreso]],-tblMovimientos[[#This Row],[Egreso]])</f>
        <v>-73431.09</v>
      </c>
    </row>
    <row r="428" spans="1:16" x14ac:dyDescent="0.3">
      <c r="B428" s="41">
        <v>46203</v>
      </c>
      <c r="C428" s="48" t="str">
        <f>_xlfn.XLOOKUP(tblMovimientos[[#This Row],[Cuenta Bancaria]],Listas!$B:$B,Listas!$A:$A,"")</f>
        <v>SSP Capital</v>
      </c>
      <c r="D428" s="43" t="s">
        <v>101</v>
      </c>
      <c r="E428" s="58" t="str">
        <f>_xlfn.XLOOKUP(tblMovimientos[[#This Row],[Cuenta Bancaria]],Listas!$B:$B,Listas!$C:$C,"")</f>
        <v>Bank of America</v>
      </c>
      <c r="F428" s="43" t="s">
        <v>10</v>
      </c>
      <c r="G428" s="43" t="s">
        <v>38</v>
      </c>
      <c r="H428" s="68" t="str">
        <f>IFERROR(_xlfn.XLOOKUP(G428,Listas!E:E,Listas!F:F,""),"")</f>
        <v>Operativo</v>
      </c>
      <c r="I428" s="48" t="str">
        <f>IFERROR(_xlfn.XLOOKUP(G428,Listas!E:E,Listas!G:G,""),"")</f>
        <v>Externo</v>
      </c>
      <c r="J428" s="45">
        <v>526.75</v>
      </c>
      <c r="K428" s="5">
        <f t="shared" si="4"/>
        <v>-526.75</v>
      </c>
      <c r="L428" s="15" t="s">
        <v>128</v>
      </c>
      <c r="M428" s="46">
        <f>SUMIFS('Saldos Iniciales'!$D$2:$D$38,'Saldos Iniciales'!$A$2:$A$38,C428,'Saldos Iniciales'!$B$2:$B$38,D428)+SUMIFS($K$1:$K$432,$C$1:$C$432,C428,$D$1:$D$432,D428,$B$1:$B$432,"&lt;="&amp;B428)</f>
        <v>7777.24</v>
      </c>
      <c r="N428" s="27" t="str">
        <f>IF(tblMovimientos[[#This Row],[Tipo de Movimiento]]="Ingreso",tblMovimientos[[#This Row],[Monto (S/)]],"0")</f>
        <v>0</v>
      </c>
      <c r="O428" s="27">
        <f>IF(tblMovimientos[[#This Row],[Tipo de Movimiento]]="Egreso",tblMovimientos[[#This Row],[Monto (S/)]],"0")</f>
        <v>526.75</v>
      </c>
      <c r="P428" s="29">
        <f>IF(tblMovimientos[[#This Row],[Tipo de Movimiento]]="Ingreso",tblMovimientos[[#This Row],[Ingreso]],-tblMovimientos[[#This Row],[Egreso]])</f>
        <v>-526.75</v>
      </c>
    </row>
    <row r="429" spans="1:16" x14ac:dyDescent="0.3">
      <c r="B429" s="41">
        <v>46203</v>
      </c>
      <c r="C429" s="48" t="str">
        <f>_xlfn.XLOOKUP(tblMovimientos[[#This Row],[Cuenta Bancaria]],Listas!$B:$B,Listas!$A:$A,"")</f>
        <v>SSP Capital</v>
      </c>
      <c r="D429" s="43" t="s">
        <v>101</v>
      </c>
      <c r="E429" s="58" t="str">
        <f>_xlfn.XLOOKUP(tblMovimientos[[#This Row],[Cuenta Bancaria]],Listas!$B:$B,Listas!$C:$C,"")</f>
        <v>Bank of America</v>
      </c>
      <c r="F429" s="43" t="s">
        <v>10</v>
      </c>
      <c r="G429" s="43" t="s">
        <v>38</v>
      </c>
      <c r="H429" s="68" t="str">
        <f>IFERROR(_xlfn.XLOOKUP(G429,Listas!E:E,Listas!F:F,""),"")</f>
        <v>Operativo</v>
      </c>
      <c r="I429" s="48" t="str">
        <f>IFERROR(_xlfn.XLOOKUP(G429,Listas!E:E,Listas!G:G,""),"")</f>
        <v>Externo</v>
      </c>
      <c r="J429" s="45">
        <v>193.01</v>
      </c>
      <c r="K429" s="5">
        <f t="shared" si="4"/>
        <v>-193.01</v>
      </c>
      <c r="L429" s="15" t="s">
        <v>128</v>
      </c>
      <c r="M429" s="46">
        <f>SUMIFS('Saldos Iniciales'!$D$2:$D$38,'Saldos Iniciales'!$A$2:$A$38,C429,'Saldos Iniciales'!$B$2:$B$38,D429)+SUMIFS($K$1:$K$432,$C$1:$C$432,C429,$D$1:$D$432,D429,$B$1:$B$432,"&lt;="&amp;B429)</f>
        <v>7777.24</v>
      </c>
      <c r="N429" s="27" t="str">
        <f>IF(tblMovimientos[[#This Row],[Tipo de Movimiento]]="Ingreso",tblMovimientos[[#This Row],[Monto (S/)]],"0")</f>
        <v>0</v>
      </c>
      <c r="O429" s="27">
        <f>IF(tblMovimientos[[#This Row],[Tipo de Movimiento]]="Egreso",tblMovimientos[[#This Row],[Monto (S/)]],"0")</f>
        <v>193.01</v>
      </c>
      <c r="P429" s="29">
        <f>IF(tblMovimientos[[#This Row],[Tipo de Movimiento]]="Ingreso",tblMovimientos[[#This Row],[Ingreso]],-tblMovimientos[[#This Row],[Egreso]])</f>
        <v>-193.01</v>
      </c>
    </row>
    <row r="430" spans="1:16" x14ac:dyDescent="0.3">
      <c r="B430" s="41">
        <v>46203</v>
      </c>
      <c r="C430" s="48" t="str">
        <f>_xlfn.XLOOKUP(tblMovimientos[[#This Row],[Cuenta Bancaria]],Listas!$B:$B,Listas!$A:$A,"")</f>
        <v>CFT Group</v>
      </c>
      <c r="D430" s="43" t="s">
        <v>94</v>
      </c>
      <c r="E430" s="58" t="str">
        <f>_xlfn.XLOOKUP(tblMovimientos[[#This Row],[Cuenta Bancaria]],Listas!$B:$B,Listas!$C:$C,"")</f>
        <v>Bank of America</v>
      </c>
      <c r="F430" s="43" t="s">
        <v>10</v>
      </c>
      <c r="G430" s="43" t="s">
        <v>38</v>
      </c>
      <c r="H430" s="68" t="str">
        <f>IFERROR(_xlfn.XLOOKUP(G430,Listas!E:E,Listas!F:F,""),"")</f>
        <v>Operativo</v>
      </c>
      <c r="I430" s="48" t="str">
        <f>IFERROR(_xlfn.XLOOKUP(G430,Listas!E:E,Listas!G:G,""),"")</f>
        <v>Externo</v>
      </c>
      <c r="J430" s="45">
        <v>2977.94</v>
      </c>
      <c r="K430" s="5">
        <f t="shared" si="4"/>
        <v>-2977.94</v>
      </c>
      <c r="L430" s="15" t="s">
        <v>128</v>
      </c>
      <c r="M430" s="46">
        <f>SUMIFS('Saldos Iniciales'!$D$2:$D$38,'Saldos Iniciales'!$A$2:$A$38,C430,'Saldos Iniciales'!$B$2:$B$38,D430)+SUMIFS($K$1:$K$432,$C$1:$C$432,C430,$D$1:$D$432,D430,$B$1:$B$432,"&lt;="&amp;B430)</f>
        <v>35943.359999999986</v>
      </c>
      <c r="N430" s="27" t="str">
        <f>IF(tblMovimientos[[#This Row],[Tipo de Movimiento]]="Ingreso",tblMovimientos[[#This Row],[Monto (S/)]],"0")</f>
        <v>0</v>
      </c>
      <c r="O430" s="27">
        <f>IF(tblMovimientos[[#This Row],[Tipo de Movimiento]]="Egreso",tblMovimientos[[#This Row],[Monto (S/)]],"0")</f>
        <v>2977.94</v>
      </c>
      <c r="P430" s="29">
        <f>IF(tblMovimientos[[#This Row],[Tipo de Movimiento]]="Ingreso",tblMovimientos[[#This Row],[Ingreso]],-tblMovimientos[[#This Row],[Egreso]])</f>
        <v>-2977.94</v>
      </c>
    </row>
    <row r="431" spans="1:16" x14ac:dyDescent="0.3">
      <c r="B431" s="41">
        <v>46203</v>
      </c>
      <c r="C431" s="48" t="str">
        <f>_xlfn.XLOOKUP(tblMovimientos[[#This Row],[Cuenta Bancaria]],Listas!$B:$B,Listas!$A:$A,"")</f>
        <v>CFT Group</v>
      </c>
      <c r="D431" s="43" t="s">
        <v>94</v>
      </c>
      <c r="E431" s="58" t="str">
        <f>_xlfn.XLOOKUP(tblMovimientos[[#This Row],[Cuenta Bancaria]],Listas!$B:$B,Listas!$C:$C,"")</f>
        <v>Bank of America</v>
      </c>
      <c r="F431" s="43" t="s">
        <v>10</v>
      </c>
      <c r="G431" s="43" t="s">
        <v>40</v>
      </c>
      <c r="H431" s="68" t="str">
        <f>IFERROR(_xlfn.XLOOKUP(G431,Listas!E:E,Listas!F:F,""),"")</f>
        <v>Operativo</v>
      </c>
      <c r="I431" s="48" t="str">
        <f>IFERROR(_xlfn.XLOOKUP(G431,Listas!E:E,Listas!G:G,""),"")</f>
        <v>Externo</v>
      </c>
      <c r="J431" s="45">
        <v>611.12</v>
      </c>
      <c r="K431" s="5">
        <f t="shared" si="4"/>
        <v>-611.12</v>
      </c>
      <c r="L431" s="15" t="s">
        <v>128</v>
      </c>
      <c r="M431" s="46">
        <f>SUMIFS('Saldos Iniciales'!$D$2:$D$38,'Saldos Iniciales'!$A$2:$A$38,C431,'Saldos Iniciales'!$B$2:$B$38,D431)+SUMIFS($K$1:$K$432,$C$1:$C$432,C431,$D$1:$D$432,D431,$B$1:$B$432,"&lt;="&amp;B431)</f>
        <v>35943.359999999986</v>
      </c>
      <c r="N431" s="27" t="str">
        <f>IF(tblMovimientos[[#This Row],[Tipo de Movimiento]]="Ingreso",tblMovimientos[[#This Row],[Monto (S/)]],"0")</f>
        <v>0</v>
      </c>
      <c r="O431" s="27">
        <f>IF(tblMovimientos[[#This Row],[Tipo de Movimiento]]="Egreso",tblMovimientos[[#This Row],[Monto (S/)]],"0")</f>
        <v>611.12</v>
      </c>
      <c r="P431" s="29">
        <f>IF(tblMovimientos[[#This Row],[Tipo de Movimiento]]="Ingreso",tblMovimientos[[#This Row],[Ingreso]],-tblMovimientos[[#This Row],[Egreso]])</f>
        <v>-611.12</v>
      </c>
    </row>
    <row r="432" spans="1:16" x14ac:dyDescent="0.3">
      <c r="A432" s="47"/>
      <c r="B432" s="69">
        <v>46203</v>
      </c>
      <c r="C432" s="48" t="str">
        <f>_xlfn.XLOOKUP(tblMovimientos[[#This Row],[Cuenta Bancaria]],Listas!$B:$B,Listas!$A:$A,"")</f>
        <v>Cross Family Trust</v>
      </c>
      <c r="D432" s="70" t="s">
        <v>110</v>
      </c>
      <c r="E432" s="59" t="str">
        <f>_xlfn.XLOOKUP(tblMovimientos[[#This Row],[Cuenta Bancaria]],Listas!$B:$B,Listas!$C:$C,"")</f>
        <v>Bank of America</v>
      </c>
      <c r="F432" s="70" t="s">
        <v>10</v>
      </c>
      <c r="G432" s="70" t="s">
        <v>38</v>
      </c>
      <c r="H432" s="71" t="str">
        <f>IFERROR(_xlfn.XLOOKUP(G432,Listas!E:E,Listas!F:F,""),"")</f>
        <v>Operativo</v>
      </c>
      <c r="I432" s="48" t="str">
        <f>IFERROR(_xlfn.XLOOKUP(G432,Listas!E:E,Listas!G:G,""),"")</f>
        <v>Externo</v>
      </c>
      <c r="J432" s="72">
        <v>6000</v>
      </c>
      <c r="K432" s="5">
        <f t="shared" si="4"/>
        <v>-6000</v>
      </c>
      <c r="L432" s="15" t="s">
        <v>128</v>
      </c>
      <c r="M432" s="46">
        <f>SUMIFS('Saldos Iniciales'!$D$2:$D$38,'Saldos Iniciales'!$A$2:$A$38,C432,'Saldos Iniciales'!$B$2:$B$38,D432)+SUMIFS($K$1:$K$432,$C$1:$C$432,C432,$D$1:$D$432,D432,$B$1:$B$432,"&lt;="&amp;B432)</f>
        <v>45206.89</v>
      </c>
      <c r="N432" s="27" t="str">
        <f>IF(tblMovimientos[[#This Row],[Tipo de Movimiento]]="Ingreso",tblMovimientos[[#This Row],[Monto (S/)]],"0")</f>
        <v>0</v>
      </c>
      <c r="O432" s="27">
        <f>IF(tblMovimientos[[#This Row],[Tipo de Movimiento]]="Egreso",tblMovimientos[[#This Row],[Monto (S/)]],"0")</f>
        <v>6000</v>
      </c>
      <c r="P432" s="29">
        <f>IF(tblMovimientos[[#This Row],[Tipo de Movimiento]]="Ingreso",tblMovimientos[[#This Row],[Ingreso]],-tblMovimientos[[#This Row],[Egreso]])</f>
        <v>-6000</v>
      </c>
    </row>
  </sheetData>
  <phoneticPr fontId="5" type="noConversion"/>
  <pageMargins left="0.75" right="0.75" top="1" bottom="1" header="0.511811023622047" footer="0.511811023622047"/>
  <pageSetup paperSize="9" orientation="portrait" horizontalDpi="300" verticalDpi="300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xr:uid="{7C0C725B-A7FB-4D85-9B63-4AE4C3487A06}">
          <x14:formula1>
            <xm:f>Listas!$A$2:$A$34</xm:f>
          </x14:formula1>
          <xm:sqref>C2:C432</xm:sqref>
        </x14:dataValidation>
        <x14:dataValidation type="list" allowBlank="1" xr:uid="{AAA2F2FB-5D82-4852-BA68-E541EA956BD2}">
          <x14:formula1>
            <xm:f>Listas!$B$2:$B$34</xm:f>
          </x14:formula1>
          <xm:sqref>D2:D432</xm:sqref>
        </x14:dataValidation>
        <x14:dataValidation type="list" allowBlank="1" xr:uid="{DC8BA3D2-F104-4639-8653-545CA2BBE131}">
          <x14:formula1>
            <xm:f>Listas!$E$2:$E$52</xm:f>
          </x14:formula1>
          <xm:sqref>G2:G432</xm:sqref>
        </x14:dataValidation>
        <x14:dataValidation type="list" allowBlank="1" xr:uid="{00000000-0002-0000-0000-000002000000}">
          <x14:formula1>
            <xm:f>Listas!$D$2:$D$3</xm:f>
          </x14:formula1>
          <x14:formula2>
            <xm:f>0</xm:f>
          </x14:formula2>
          <xm:sqref>F2:F432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63948-315C-4558-A458-E02399FDAC5E}">
  <sheetPr>
    <tabColor rgb="FFFF0000"/>
  </sheetPr>
  <dimension ref="A1:E9"/>
  <sheetViews>
    <sheetView zoomScale="70" workbookViewId="0">
      <pane ySplit="1" topLeftCell="A2" activePane="bottomLeft" state="frozen"/>
      <selection pane="bottomLeft" activeCell="C2" sqref="C2"/>
    </sheetView>
  </sheetViews>
  <sheetFormatPr baseColWidth="10" defaultRowHeight="14.4" x14ac:dyDescent="0.3"/>
  <cols>
    <col min="1" max="1" width="29.6640625" customWidth="1"/>
    <col min="2" max="2" width="14.77734375" customWidth="1"/>
    <col min="3" max="5" width="25.88671875" customWidth="1"/>
  </cols>
  <sheetData>
    <row r="1" spans="1:5" ht="22.05" customHeight="1" x14ac:dyDescent="0.3">
      <c r="A1" s="30" t="s">
        <v>127</v>
      </c>
      <c r="B1" s="30" t="s">
        <v>163</v>
      </c>
      <c r="C1" s="30" t="s">
        <v>165</v>
      </c>
      <c r="D1" s="30" t="s">
        <v>168</v>
      </c>
      <c r="E1" s="31" t="s">
        <v>164</v>
      </c>
    </row>
    <row r="2" spans="1:5" x14ac:dyDescent="0.3">
      <c r="A2" s="33" t="s">
        <v>36</v>
      </c>
      <c r="B2" s="34">
        <f>COUNTIF('Saldos Iniciales'!B:B,"*"&amp;A2&amp;"*")</f>
        <v>14</v>
      </c>
      <c r="C2" s="36">
        <f>SUMIF('Saldos Iniciales'!B:B,"*"&amp;A2&amp;"*",'Saldos Iniciales'!D:D)</f>
        <v>416678.25999999989</v>
      </c>
      <c r="D2" s="36">
        <f>SUMIF(tblMovimientos[Banco],"*"&amp;A2&amp;"*",tblMovimientos[Monto con signo])</f>
        <v>335991.34000000014</v>
      </c>
      <c r="E2" s="39">
        <f>C2+D2</f>
        <v>752669.60000000009</v>
      </c>
    </row>
    <row r="3" spans="1:5" x14ac:dyDescent="0.3">
      <c r="A3" s="33" t="s">
        <v>166</v>
      </c>
      <c r="B3" s="34">
        <f>COUNTIF('Saldos Iniciales'!B:B,"*"&amp;A3&amp;"*")</f>
        <v>11</v>
      </c>
      <c r="C3" s="36">
        <f>SUMIF('Saldos Iniciales'!B:B,"*"&amp;A3&amp;"*",'Saldos Iniciales'!D:D)</f>
        <v>1162008.1799999997</v>
      </c>
      <c r="D3" s="36">
        <f>SUMIF(tblMovimientos[Banco],"*"&amp;A3&amp;"*",tblMovimientos[Monto con signo])</f>
        <v>7095182.3900000071</v>
      </c>
      <c r="E3" s="39">
        <f t="shared" ref="E3:E9" si="0">C3+D3</f>
        <v>8257190.5700000068</v>
      </c>
    </row>
    <row r="4" spans="1:5" x14ac:dyDescent="0.3">
      <c r="A4" s="33" t="s">
        <v>152</v>
      </c>
      <c r="B4" s="34">
        <f>COUNTIF('Saldos Iniciales'!B:B,"*"&amp;A4&amp;"*")</f>
        <v>3</v>
      </c>
      <c r="C4" s="36">
        <f>SUMIF('Saldos Iniciales'!B:B,"*"&amp;A4&amp;"*",'Saldos Iniciales'!D:D)</f>
        <v>16509.96</v>
      </c>
      <c r="D4" s="36">
        <f>SUMIF(tblMovimientos[Banco],"*"&amp;A4&amp;"*",tblMovimientos[Monto con signo])</f>
        <v>-127.72999999999999</v>
      </c>
      <c r="E4" s="39">
        <f t="shared" si="0"/>
        <v>16382.23</v>
      </c>
    </row>
    <row r="5" spans="1:5" x14ac:dyDescent="0.3">
      <c r="A5" s="33" t="s">
        <v>153</v>
      </c>
      <c r="B5" s="34">
        <f>COUNTIF('Saldos Iniciales'!B:B,"*"&amp;A5&amp;"*")</f>
        <v>1</v>
      </c>
      <c r="C5" s="36">
        <f>SUMIF('Saldos Iniciales'!B:B,"*"&amp;A5&amp;"*",'Saldos Iniciales'!D:D)</f>
        <v>57206.89</v>
      </c>
      <c r="D5" s="36">
        <f>SUMIF(tblMovimientos[Banco],"*"&amp;A5&amp;"*",tblMovimientos[Monto con signo])</f>
        <v>0</v>
      </c>
      <c r="E5" s="39">
        <f t="shared" si="0"/>
        <v>57206.89</v>
      </c>
    </row>
    <row r="6" spans="1:5" x14ac:dyDescent="0.3">
      <c r="A6" s="33" t="s">
        <v>154</v>
      </c>
      <c r="B6" s="34">
        <f>COUNTIF('Saldos Iniciales'!B:B,"*"&amp;A6&amp;"*")</f>
        <v>1</v>
      </c>
      <c r="C6" s="36">
        <f>SUMIF('Saldos Iniciales'!B:B,"*"&amp;A6&amp;"*",'Saldos Iniciales'!D:D)</f>
        <v>808.82999999999993</v>
      </c>
      <c r="D6" s="36">
        <f>SUMIF(tblMovimientos[Banco],"*"&amp;A6&amp;"*",tblMovimientos[Monto con signo])</f>
        <v>419.13999999999987</v>
      </c>
      <c r="E6" s="39">
        <f t="shared" si="0"/>
        <v>1227.9699999999998</v>
      </c>
    </row>
    <row r="7" spans="1:5" x14ac:dyDescent="0.3">
      <c r="A7" s="33" t="s">
        <v>155</v>
      </c>
      <c r="B7" s="34">
        <f>COUNTIF('Saldos Iniciales'!B:B,"*"&amp;A7&amp;"*")</f>
        <v>1</v>
      </c>
      <c r="C7" s="36">
        <f>SUMIF('Saldos Iniciales'!B:B,"*"&amp;A7&amp;"*",'Saldos Iniciales'!D:D)</f>
        <v>3364.94</v>
      </c>
      <c r="D7" s="36">
        <f>SUMIF(tblMovimientos[Banco],"*"&amp;A7&amp;"*",tblMovimientos[Monto con signo])</f>
        <v>-15</v>
      </c>
      <c r="E7" s="39">
        <f t="shared" si="0"/>
        <v>3349.94</v>
      </c>
    </row>
    <row r="8" spans="1:5" x14ac:dyDescent="0.3">
      <c r="A8" s="33" t="s">
        <v>156</v>
      </c>
      <c r="B8" s="34">
        <f>COUNTIF('Saldos Iniciales'!B:B,"*"&amp;A8&amp;"*")</f>
        <v>1</v>
      </c>
      <c r="C8" s="36">
        <f>SUMIF('Saldos Iniciales'!B:B,"*"&amp;A8&amp;"*",'Saldos Iniciales'!D:D)</f>
        <v>0</v>
      </c>
      <c r="D8" s="36">
        <f>SUMIF(tblMovimientos[Banco],"*"&amp;A8&amp;"*",tblMovimientos[Monto con signo])</f>
        <v>0</v>
      </c>
      <c r="E8" s="39">
        <f t="shared" si="0"/>
        <v>0</v>
      </c>
    </row>
    <row r="9" spans="1:5" x14ac:dyDescent="0.3">
      <c r="A9" s="32" t="s">
        <v>167</v>
      </c>
      <c r="B9" s="35">
        <f>COUNTIF('Saldos Iniciales'!B:B,"*"&amp;A9&amp;"*")</f>
        <v>1</v>
      </c>
      <c r="C9" s="37">
        <f>SUMIF('Saldos Iniciales'!B:B,"*"&amp;A9&amp;"*",'Saldos Iniciales'!D:D)</f>
        <v>0</v>
      </c>
      <c r="D9" s="36">
        <f>SUMIF(tblMovimientos[Banco],"*"&amp;A9&amp;"*",tblMovimientos[Monto con signo])</f>
        <v>0</v>
      </c>
      <c r="E9" s="39">
        <f t="shared" si="0"/>
        <v>0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R35"/>
  <sheetViews>
    <sheetView zoomScale="70" zoomScaleNormal="70" workbookViewId="0">
      <pane xSplit="3" ySplit="1" topLeftCell="L2" activePane="bottomRight" state="frozen"/>
      <selection pane="topRight" activeCell="C1" sqref="C1"/>
      <selection pane="bottomLeft" activeCell="A5" sqref="A5"/>
      <selection pane="bottomRight" activeCell="M2" sqref="M2:M34"/>
    </sheetView>
  </sheetViews>
  <sheetFormatPr baseColWidth="10" defaultColWidth="8.6640625" defaultRowHeight="14.4" outlineLevelCol="1" x14ac:dyDescent="0.3"/>
  <cols>
    <col min="1" max="1" width="8.21875" customWidth="1"/>
    <col min="2" max="2" width="24" customWidth="1"/>
    <col min="3" max="3" width="45.6640625" bestFit="1" customWidth="1"/>
    <col min="4" max="4" width="20.77734375" bestFit="1" customWidth="1"/>
    <col min="5" max="5" width="14.44140625" hidden="1" customWidth="1" outlineLevel="1"/>
    <col min="6" max="6" width="14.21875" hidden="1" customWidth="1" outlineLevel="1"/>
    <col min="7" max="7" width="17.5546875" hidden="1" customWidth="1" outlineLevel="1"/>
    <col min="8" max="8" width="19.5546875" bestFit="1" customWidth="1" collapsed="1"/>
    <col min="9" max="9" width="20.77734375" bestFit="1" customWidth="1"/>
    <col min="10" max="10" width="14.6640625" customWidth="1" outlineLevel="1"/>
    <col min="11" max="11" width="16" bestFit="1" customWidth="1" outlineLevel="1"/>
    <col min="12" max="12" width="14.21875" customWidth="1" outlineLevel="1"/>
    <col min="13" max="13" width="19.5546875" bestFit="1" customWidth="1"/>
    <col min="14" max="14" width="20.77734375" bestFit="1" customWidth="1"/>
    <col min="15" max="15" width="16.5546875" bestFit="1" customWidth="1"/>
    <col min="16" max="16" width="16" bestFit="1" customWidth="1"/>
    <col min="17" max="17" width="17.5546875" bestFit="1" customWidth="1"/>
    <col min="18" max="18" width="15.6640625" bestFit="1" customWidth="1"/>
  </cols>
  <sheetData>
    <row r="1" spans="1:18" x14ac:dyDescent="0.3">
      <c r="A1" s="2" t="s">
        <v>1</v>
      </c>
      <c r="B1" s="2" t="s">
        <v>2</v>
      </c>
      <c r="C1" s="2" t="s">
        <v>13</v>
      </c>
      <c r="D1" s="1" t="s">
        <v>136</v>
      </c>
      <c r="E1" s="1" t="s">
        <v>137</v>
      </c>
      <c r="F1" s="1" t="s">
        <v>138</v>
      </c>
      <c r="G1" s="1" t="s">
        <v>147</v>
      </c>
      <c r="H1" s="1" t="s">
        <v>135</v>
      </c>
      <c r="I1" s="1" t="s">
        <v>139</v>
      </c>
      <c r="J1" s="1" t="s">
        <v>140</v>
      </c>
      <c r="K1" s="1" t="s">
        <v>141</v>
      </c>
      <c r="L1" s="1" t="s">
        <v>148</v>
      </c>
      <c r="M1" s="1" t="s">
        <v>142</v>
      </c>
      <c r="N1" s="1" t="s">
        <v>143</v>
      </c>
      <c r="O1" s="1" t="s">
        <v>144</v>
      </c>
      <c r="P1" s="1" t="s">
        <v>145</v>
      </c>
      <c r="Q1" s="1" t="s">
        <v>149</v>
      </c>
      <c r="R1" s="1" t="s">
        <v>146</v>
      </c>
    </row>
    <row r="2" spans="1:18" x14ac:dyDescent="0.3">
      <c r="A2" s="11" t="s">
        <v>93</v>
      </c>
      <c r="B2" s="11" t="s">
        <v>17</v>
      </c>
      <c r="C2" s="11" t="s">
        <v>94</v>
      </c>
      <c r="D2" s="18">
        <v>132689.04999999999</v>
      </c>
      <c r="E2" s="46">
        <v>994464.58000000007</v>
      </c>
      <c r="F2" s="46">
        <v>933664.04999999993</v>
      </c>
      <c r="G2" s="17">
        <v>60800.530000000144</v>
      </c>
      <c r="H2" s="12">
        <f>D2+E2-F2</f>
        <v>193489.58000000019</v>
      </c>
      <c r="I2" s="50">
        <f>H2</f>
        <v>193489.58000000019</v>
      </c>
      <c r="J2" s="46">
        <f>SUMIFS(Movimientos!$J$1:$J$432,Movimientos!$C$1:$C$432,$B2,Movimientos!$D$1:$D$432,$C2,Movimientos!$L$1:$L$432,A$3,Movimientos!$F$1:$F$432,"Ingreso")</f>
        <v>490932.83999999997</v>
      </c>
      <c r="K2" s="46">
        <f>SUMIFS(Movimientos!$J$1:$J$432,Movimientos!$C$1:$C$432,$B2,Movimientos!$D$1:$D$432,$C2,Movimientos!$L$1:$L$432,A$3,Movimientos!$F$1:$F$432,"Egreso")</f>
        <v>648479.05999999994</v>
      </c>
      <c r="L2" s="7">
        <f>+J2-K2</f>
        <v>-157546.21999999997</v>
      </c>
      <c r="M2" s="12">
        <f>I2+J2-K2</f>
        <v>35943.360000000219</v>
      </c>
      <c r="N2" s="5">
        <f>M2</f>
        <v>35943.360000000219</v>
      </c>
      <c r="O2" s="46">
        <f>SUMIFS(Movimientos!$J$1:$J$432,Movimientos!$C$1:$C$432,$B2,Movimientos!$D$1:$D$432,$C2,Movimientos!$L$1:$L$432,A$4,Movimientos!$F$1:$F$432,"Ingreso")</f>
        <v>0</v>
      </c>
      <c r="P2" s="46">
        <f>SUMIFS(Movimientos!$J$1:$J$432,Movimientos!$C$1:$C$432,$B2,Movimientos!$D$1:$D$432,$C2,Movimientos!$L$1:$L$432,A$4,Movimientos!$F$1:$F$432,"Egreso")</f>
        <v>0</v>
      </c>
      <c r="Q2" s="7">
        <f>+O2-P2</f>
        <v>0</v>
      </c>
      <c r="R2" s="12">
        <f>N2+O2-P2</f>
        <v>35943.360000000219</v>
      </c>
    </row>
    <row r="3" spans="1:18" x14ac:dyDescent="0.3">
      <c r="A3" s="11" t="s">
        <v>128</v>
      </c>
      <c r="B3" s="11" t="s">
        <v>17</v>
      </c>
      <c r="C3" s="11" t="s">
        <v>95</v>
      </c>
      <c r="D3" s="18">
        <v>62799.530000000261</v>
      </c>
      <c r="E3" s="46">
        <v>2605274</v>
      </c>
      <c r="F3" s="46">
        <v>1883425.0000000002</v>
      </c>
      <c r="G3" s="17">
        <v>721848.99999999977</v>
      </c>
      <c r="H3" s="12">
        <f>D3+E3-F3</f>
        <v>784648.53</v>
      </c>
      <c r="I3" s="50">
        <f>H3</f>
        <v>784648.53</v>
      </c>
      <c r="J3" s="46">
        <f>SUMIFS(Movimientos!$J$1:$J$432,Movimientos!$C$1:$C$432,$B3,Movimientos!$D$1:$D$432,$C3,Movimientos!$L$1:$L$432,A$3,Movimientos!$F$1:$F$432,"Ingreso")</f>
        <v>8884973.3900000006</v>
      </c>
      <c r="K3" s="46">
        <f>SUMIFS(Movimientos!$J$1:$J$432,Movimientos!$C$1:$C$432,$B3,Movimientos!$D$1:$D$432,$C3,Movimientos!$L$1:$L$432,A$3,Movimientos!$F$1:$F$432,"Egreso")</f>
        <v>3477645.0100000002</v>
      </c>
      <c r="L3" s="7">
        <f t="shared" ref="L3:L34" si="0">+J3-K3</f>
        <v>5407328.3800000008</v>
      </c>
      <c r="M3" s="12">
        <f>I3+J3-K3</f>
        <v>6191976.9100000001</v>
      </c>
      <c r="N3" s="5">
        <f>M3</f>
        <v>6191976.9100000001</v>
      </c>
      <c r="O3" s="46">
        <f>SUMIFS(Movimientos!$J$1:$J$432,Movimientos!$C$1:$C$432,$B3,Movimientos!$D$1:$D$432,$C3,Movimientos!$L$1:$L$432,A$4,Movimientos!$F$1:$F$432,"Ingreso")</f>
        <v>0</v>
      </c>
      <c r="P3" s="46">
        <f>SUMIFS(Movimientos!$J$1:$J$432,Movimientos!$C$1:$C$432,$B3,Movimientos!$D$1:$D$432,$C3,Movimientos!$L$1:$L$432,A$4,Movimientos!$F$1:$F$432,"Egreso")</f>
        <v>0</v>
      </c>
      <c r="Q3" s="7">
        <f t="shared" ref="Q3:Q34" si="1">+O3-P3</f>
        <v>0</v>
      </c>
      <c r="R3" s="12">
        <f>N3+O3-P3</f>
        <v>6191976.9100000001</v>
      </c>
    </row>
    <row r="4" spans="1:18" x14ac:dyDescent="0.3">
      <c r="A4" s="11" t="s">
        <v>129</v>
      </c>
      <c r="B4" s="11" t="s">
        <v>17</v>
      </c>
      <c r="C4" s="11" t="s">
        <v>96</v>
      </c>
      <c r="D4" s="18">
        <v>5274.85</v>
      </c>
      <c r="E4" s="46">
        <v>0</v>
      </c>
      <c r="F4" s="46">
        <v>18.82</v>
      </c>
      <c r="G4" s="17">
        <v>-18.82</v>
      </c>
      <c r="H4" s="12">
        <f>D4+E4-F4</f>
        <v>5256.0300000000007</v>
      </c>
      <c r="I4" s="50">
        <f>H4</f>
        <v>5256.0300000000007</v>
      </c>
      <c r="J4" s="46">
        <f>SUMIFS(Movimientos!$J$1:$J$432,Movimientos!$C$1:$C$432,$B4,Movimientos!$D$1:$D$432,$C4,Movimientos!$L$1:$L$432,A$3,Movimientos!$F$1:$F$432,"Ingreso")</f>
        <v>0</v>
      </c>
      <c r="K4" s="46">
        <f>SUMIFS(Movimientos!$J$1:$J$432,Movimientos!$C$1:$C$432,$B4,Movimientos!$D$1:$D$432,$C4,Movimientos!$L$1:$L$432,A$3,Movimientos!$F$1:$F$432,"Egreso")</f>
        <v>0</v>
      </c>
      <c r="L4" s="7">
        <f t="shared" si="0"/>
        <v>0</v>
      </c>
      <c r="M4" s="12">
        <f>I4+J4-K4</f>
        <v>5256.0300000000007</v>
      </c>
      <c r="N4" s="5">
        <f>M4</f>
        <v>5256.0300000000007</v>
      </c>
      <c r="O4" s="46">
        <f>SUMIFS(Movimientos!$J$1:$J$432,Movimientos!$C$1:$C$432,$B4,Movimientos!$D$1:$D$432,$C4,Movimientos!$L$1:$L$432,A$4,Movimientos!$F$1:$F$432,"Ingreso")</f>
        <v>0</v>
      </c>
      <c r="P4" s="46">
        <f>SUMIFS(Movimientos!$J$1:$J$432,Movimientos!$C$1:$C$432,$B4,Movimientos!$D$1:$D$432,$C4,Movimientos!$L$1:$L$432,A$4,Movimientos!$F$1:$F$432,"Egreso")</f>
        <v>0</v>
      </c>
      <c r="Q4" s="7">
        <f t="shared" si="1"/>
        <v>0</v>
      </c>
      <c r="R4" s="12">
        <f>N4+O4-P4</f>
        <v>5256.0300000000007</v>
      </c>
    </row>
    <row r="5" spans="1:18" x14ac:dyDescent="0.3">
      <c r="A5" s="11" t="s">
        <v>132</v>
      </c>
      <c r="B5" s="11" t="s">
        <v>18</v>
      </c>
      <c r="C5" s="11" t="s">
        <v>97</v>
      </c>
      <c r="D5" s="18">
        <v>39539.53999999995</v>
      </c>
      <c r="E5" s="46">
        <v>1787857.7400000002</v>
      </c>
      <c r="F5" s="46">
        <v>1770000</v>
      </c>
      <c r="G5" s="17">
        <v>17857.740000000224</v>
      </c>
      <c r="H5" s="12">
        <f>D5+E5-F5</f>
        <v>57397.280000000261</v>
      </c>
      <c r="I5" s="50">
        <f>H5</f>
        <v>57397.280000000261</v>
      </c>
      <c r="J5" s="46">
        <f>SUMIFS(Movimientos!$J$1:$J$432,Movimientos!$C$1:$C$432,$B5,Movimientos!$D$1:$D$432,$C5,Movimientos!$L$1:$L$432,A$3,Movimientos!$F$1:$F$432,"Ingreso")</f>
        <v>16742.400000000001</v>
      </c>
      <c r="K5" s="46">
        <f>SUMIFS(Movimientos!$J$1:$J$432,Movimientos!$C$1:$C$432,$B5,Movimientos!$D$1:$D$432,$C5,Movimientos!$L$1:$L$432,A$3,Movimientos!$F$1:$F$432,"Egreso")</f>
        <v>0</v>
      </c>
      <c r="L5" s="7">
        <f t="shared" si="0"/>
        <v>16742.400000000001</v>
      </c>
      <c r="M5" s="12">
        <f>I5+J5-K5</f>
        <v>74139.680000000255</v>
      </c>
      <c r="N5" s="5">
        <f>M5</f>
        <v>74139.680000000255</v>
      </c>
      <c r="O5" s="46">
        <f>SUMIFS(Movimientos!$J$1:$J$432,Movimientos!$C$1:$C$432,$B5,Movimientos!$D$1:$D$432,$C5,Movimientos!$L$1:$L$432,A$4,Movimientos!$F$1:$F$432,"Ingreso")</f>
        <v>0</v>
      </c>
      <c r="P5" s="46">
        <f>SUMIFS(Movimientos!$J$1:$J$432,Movimientos!$C$1:$C$432,$B5,Movimientos!$D$1:$D$432,$C5,Movimientos!$L$1:$L$432,A$4,Movimientos!$F$1:$F$432,"Egreso")</f>
        <v>0</v>
      </c>
      <c r="Q5" s="7">
        <f t="shared" si="1"/>
        <v>0</v>
      </c>
      <c r="R5" s="12">
        <f>N5+O5-P5</f>
        <v>74139.680000000255</v>
      </c>
    </row>
    <row r="6" spans="1:18" x14ac:dyDescent="0.3">
      <c r="A6" s="11" t="s">
        <v>133</v>
      </c>
      <c r="B6" s="11" t="s">
        <v>18</v>
      </c>
      <c r="C6" s="11" t="s">
        <v>98</v>
      </c>
      <c r="D6" s="18">
        <v>5000</v>
      </c>
      <c r="E6" s="46">
        <v>0</v>
      </c>
      <c r="F6" s="46">
        <v>0</v>
      </c>
      <c r="G6" s="17">
        <v>0</v>
      </c>
      <c r="H6" s="12">
        <f>D6+E6-F6</f>
        <v>5000</v>
      </c>
      <c r="I6" s="50">
        <f>H6</f>
        <v>5000</v>
      </c>
      <c r="J6" s="46">
        <f>SUMIFS(Movimientos!$J$1:$J$432,Movimientos!$C$1:$C$432,$B6,Movimientos!$D$1:$D$432,$C6,Movimientos!$L$1:$L$432,A$3,Movimientos!$F$1:$F$432,"Ingreso")</f>
        <v>0</v>
      </c>
      <c r="K6" s="46">
        <f>SUMIFS(Movimientos!$J$1:$J$432,Movimientos!$C$1:$C$432,$B6,Movimientos!$D$1:$D$432,$C6,Movimientos!$L$1:$L$432,A$3,Movimientos!$F$1:$F$432,"Egreso")</f>
        <v>0</v>
      </c>
      <c r="L6" s="7">
        <f t="shared" si="0"/>
        <v>0</v>
      </c>
      <c r="M6" s="12">
        <f>I6+J6-K6</f>
        <v>5000</v>
      </c>
      <c r="N6" s="5">
        <f>M6</f>
        <v>5000</v>
      </c>
      <c r="O6" s="46">
        <f>SUMIFS(Movimientos!$J$1:$J$432,Movimientos!$C$1:$C$432,$B6,Movimientos!$D$1:$D$432,$C6,Movimientos!$L$1:$L$432,A$4,Movimientos!$F$1:$F$432,"Ingreso")</f>
        <v>0</v>
      </c>
      <c r="P6" s="46">
        <f>SUMIFS(Movimientos!$J$1:$J$432,Movimientos!$C$1:$C$432,$B6,Movimientos!$D$1:$D$432,$C6,Movimientos!$L$1:$L$432,A$4,Movimientos!$F$1:$F$432,"Egreso")</f>
        <v>0</v>
      </c>
      <c r="Q6" s="7">
        <f t="shared" si="1"/>
        <v>0</v>
      </c>
      <c r="R6" s="12">
        <f>N6+O6-P6</f>
        <v>5000</v>
      </c>
    </row>
    <row r="7" spans="1:18" x14ac:dyDescent="0.3">
      <c r="A7" s="11" t="s">
        <v>134</v>
      </c>
      <c r="B7" s="11" t="s">
        <v>19</v>
      </c>
      <c r="C7" s="11" t="s">
        <v>99</v>
      </c>
      <c r="D7" s="18">
        <v>1669.89</v>
      </c>
      <c r="E7" s="46">
        <v>0</v>
      </c>
      <c r="F7" s="46">
        <v>0</v>
      </c>
      <c r="G7" s="17">
        <v>0</v>
      </c>
      <c r="H7" s="12">
        <f t="shared" ref="H7:H34" si="2">D7+E7-F7</f>
        <v>1669.89</v>
      </c>
      <c r="I7" s="50">
        <f t="shared" ref="I7:I34" si="3">H7</f>
        <v>1669.89</v>
      </c>
      <c r="J7" s="46">
        <f>SUMIFS(Movimientos!$J$1:$J$432,Movimientos!$C$1:$C$432,$B7,Movimientos!$D$1:$D$432,$C7,Movimientos!$L$1:$L$432,A$3,Movimientos!$F$1:$F$432,"Ingreso")</f>
        <v>0</v>
      </c>
      <c r="K7" s="46">
        <f>SUMIFS(Movimientos!$J$1:$J$432,Movimientos!$C$1:$C$432,$B7,Movimientos!$D$1:$D$432,$C7,Movimientos!$L$1:$L$432,A$3,Movimientos!$F$1:$F$432,"Egreso")</f>
        <v>0</v>
      </c>
      <c r="L7" s="7">
        <f t="shared" si="0"/>
        <v>0</v>
      </c>
      <c r="M7" s="12">
        <f t="shared" ref="M7:M34" si="4">I7+J7-K7</f>
        <v>1669.89</v>
      </c>
      <c r="N7" s="5">
        <f t="shared" ref="N7:N34" si="5">M7</f>
        <v>1669.89</v>
      </c>
      <c r="O7" s="46">
        <f>SUMIFS(Movimientos!$J$1:$J$432,Movimientos!$C$1:$C$432,$B7,Movimientos!$D$1:$D$432,$C7,Movimientos!$L$1:$L$432,A$4,Movimientos!$F$1:$F$432,"Ingreso")</f>
        <v>0</v>
      </c>
      <c r="P7" s="46">
        <f>SUMIFS(Movimientos!$J$1:$J$432,Movimientos!$C$1:$C$432,$B7,Movimientos!$D$1:$D$432,$C7,Movimientos!$L$1:$L$432,A$4,Movimientos!$F$1:$F$432,"Egreso")</f>
        <v>0</v>
      </c>
      <c r="Q7" s="7">
        <f t="shared" si="1"/>
        <v>0</v>
      </c>
      <c r="R7" s="12">
        <f t="shared" ref="R7:R34" si="6">N7+O7-P7</f>
        <v>1669.89</v>
      </c>
    </row>
    <row r="8" spans="1:18" x14ac:dyDescent="0.3">
      <c r="A8" s="11"/>
      <c r="B8" s="11" t="s">
        <v>20</v>
      </c>
      <c r="C8" s="11" t="s">
        <v>100</v>
      </c>
      <c r="D8" s="18">
        <v>177088.59</v>
      </c>
      <c r="E8" s="46">
        <v>2810870.3299999996</v>
      </c>
      <c r="F8" s="46">
        <v>2563105.7999999998</v>
      </c>
      <c r="G8" s="17">
        <v>247764.5299999998</v>
      </c>
      <c r="H8" s="12">
        <f t="shared" si="2"/>
        <v>424853.11999999965</v>
      </c>
      <c r="I8" s="50">
        <f t="shared" si="3"/>
        <v>424853.11999999965</v>
      </c>
      <c r="J8" s="46">
        <f>SUMIFS(Movimientos!$J$1:$J$432,Movimientos!$C$1:$C$432,$B8,Movimientos!$D$1:$D$432,$C8,Movimientos!$L$1:$L$432,A$3,Movimientos!$F$1:$F$432,"Ingreso")</f>
        <v>440602.39</v>
      </c>
      <c r="K8" s="46">
        <f>SUMIFS(Movimientos!$J$1:$J$432,Movimientos!$C$1:$C$432,$B8,Movimientos!$D$1:$D$432,$C8,Movimientos!$L$1:$L$432,A$3,Movimientos!$F$1:$F$432,"Egreso")</f>
        <v>375709.88</v>
      </c>
      <c r="L8" s="7">
        <f t="shared" si="0"/>
        <v>64892.510000000009</v>
      </c>
      <c r="M8" s="12">
        <f t="shared" si="4"/>
        <v>489745.62999999966</v>
      </c>
      <c r="N8" s="5">
        <f t="shared" si="5"/>
        <v>489745.62999999966</v>
      </c>
      <c r="O8" s="46">
        <f>SUMIFS(Movimientos!$J$1:$J$432,Movimientos!$C$1:$C$432,$B8,Movimientos!$D$1:$D$432,$C8,Movimientos!$L$1:$L$432,A$4,Movimientos!$F$1:$F$432,"Ingreso")</f>
        <v>0</v>
      </c>
      <c r="P8" s="46">
        <f>SUMIFS(Movimientos!$J$1:$J$432,Movimientos!$C$1:$C$432,$B8,Movimientos!$D$1:$D$432,$C8,Movimientos!$L$1:$L$432,A$4,Movimientos!$F$1:$F$432,"Egreso")</f>
        <v>0</v>
      </c>
      <c r="Q8" s="7">
        <f t="shared" si="1"/>
        <v>0</v>
      </c>
      <c r="R8" s="12">
        <f t="shared" si="6"/>
        <v>489745.62999999966</v>
      </c>
    </row>
    <row r="9" spans="1:18" x14ac:dyDescent="0.3">
      <c r="A9" s="11"/>
      <c r="B9" s="11" t="s">
        <v>21</v>
      </c>
      <c r="C9" s="11" t="s">
        <v>101</v>
      </c>
      <c r="D9" s="18">
        <v>12379.18</v>
      </c>
      <c r="E9" s="46">
        <v>15321.74</v>
      </c>
      <c r="F9" s="46">
        <v>16857.71</v>
      </c>
      <c r="G9" s="17">
        <v>-1535.9699999999993</v>
      </c>
      <c r="H9" s="12">
        <f t="shared" si="2"/>
        <v>10843.21</v>
      </c>
      <c r="I9" s="50">
        <f t="shared" si="3"/>
        <v>10843.21</v>
      </c>
      <c r="J9" s="46">
        <f>SUMIFS(Movimientos!$J$1:$J$432,Movimientos!$C$1:$C$432,$B9,Movimientos!$D$1:$D$432,$C9,Movimientos!$L$1:$L$432,A$3,Movimientos!$F$1:$F$432,"Ingreso")</f>
        <v>15307.88</v>
      </c>
      <c r="K9" s="46">
        <f>SUMIFS(Movimientos!$J$1:$J$432,Movimientos!$C$1:$C$432,$B9,Movimientos!$D$1:$D$432,$C9,Movimientos!$L$1:$L$432,A$3,Movimientos!$F$1:$F$432,"Egreso")</f>
        <v>18373.849999999999</v>
      </c>
      <c r="L9" s="7">
        <f t="shared" si="0"/>
        <v>-3065.9699999999993</v>
      </c>
      <c r="M9" s="12">
        <f t="shared" si="4"/>
        <v>7777.239999999998</v>
      </c>
      <c r="N9" s="5">
        <f t="shared" si="5"/>
        <v>7777.239999999998</v>
      </c>
      <c r="O9" s="46">
        <f>SUMIFS(Movimientos!$J$1:$J$432,Movimientos!$C$1:$C$432,$B9,Movimientos!$D$1:$D$432,$C9,Movimientos!$L$1:$L$432,A$4,Movimientos!$F$1:$F$432,"Ingreso")</f>
        <v>0</v>
      </c>
      <c r="P9" s="46">
        <f>SUMIFS(Movimientos!$J$1:$J$432,Movimientos!$C$1:$C$432,$B9,Movimientos!$D$1:$D$432,$C9,Movimientos!$L$1:$L$432,A$4,Movimientos!$F$1:$F$432,"Egreso")</f>
        <v>0</v>
      </c>
      <c r="Q9" s="7">
        <f t="shared" si="1"/>
        <v>0</v>
      </c>
      <c r="R9" s="12">
        <f t="shared" si="6"/>
        <v>7777.239999999998</v>
      </c>
    </row>
    <row r="10" spans="1:18" x14ac:dyDescent="0.3">
      <c r="A10" s="11"/>
      <c r="B10" s="11" t="s">
        <v>21</v>
      </c>
      <c r="C10" s="11" t="s">
        <v>102</v>
      </c>
      <c r="D10" s="18">
        <v>759.07</v>
      </c>
      <c r="E10" s="46">
        <v>0</v>
      </c>
      <c r="F10" s="46">
        <v>196.07</v>
      </c>
      <c r="G10" s="17">
        <v>-196.07</v>
      </c>
      <c r="H10" s="12">
        <f t="shared" si="2"/>
        <v>563</v>
      </c>
      <c r="I10" s="50">
        <f t="shared" si="3"/>
        <v>563</v>
      </c>
      <c r="J10" s="46">
        <f>SUMIFS(Movimientos!$J$1:$J$432,Movimientos!$C$1:$C$432,$B10,Movimientos!$D$1:$D$432,$C10,Movimientos!$L$1:$L$432,A$3,Movimientos!$F$1:$F$432,"Ingreso")</f>
        <v>0</v>
      </c>
      <c r="K10" s="46">
        <f>SUMIFS(Movimientos!$J$1:$J$432,Movimientos!$C$1:$C$432,$B10,Movimientos!$D$1:$D$432,$C10,Movimientos!$L$1:$L$432,A$3,Movimientos!$F$1:$F$432,"Egreso")</f>
        <v>196.07999999999998</v>
      </c>
      <c r="L10" s="7">
        <f t="shared" si="0"/>
        <v>-196.07999999999998</v>
      </c>
      <c r="M10" s="12">
        <f t="shared" si="4"/>
        <v>366.92</v>
      </c>
      <c r="N10" s="5">
        <f t="shared" si="5"/>
        <v>366.92</v>
      </c>
      <c r="O10" s="46">
        <f>SUMIFS(Movimientos!$J$1:$J$432,Movimientos!$C$1:$C$432,$B10,Movimientos!$D$1:$D$432,$C10,Movimientos!$L$1:$L$432,A$4,Movimientos!$F$1:$F$432,"Ingreso")</f>
        <v>0</v>
      </c>
      <c r="P10" s="46">
        <f>SUMIFS(Movimientos!$J$1:$J$432,Movimientos!$C$1:$C$432,$B10,Movimientos!$D$1:$D$432,$C10,Movimientos!$L$1:$L$432,A$4,Movimientos!$F$1:$F$432,"Egreso")</f>
        <v>0</v>
      </c>
      <c r="Q10" s="7">
        <f t="shared" si="1"/>
        <v>0</v>
      </c>
      <c r="R10" s="12">
        <f t="shared" si="6"/>
        <v>366.92</v>
      </c>
    </row>
    <row r="11" spans="1:18" x14ac:dyDescent="0.3">
      <c r="A11" s="11"/>
      <c r="B11" s="11" t="s">
        <v>21</v>
      </c>
      <c r="C11" s="11" t="s">
        <v>103</v>
      </c>
      <c r="D11" s="18">
        <v>0</v>
      </c>
      <c r="E11" s="46">
        <v>0</v>
      </c>
      <c r="F11" s="46">
        <v>0</v>
      </c>
      <c r="G11" s="17">
        <v>0</v>
      </c>
      <c r="H11" s="12">
        <f t="shared" si="2"/>
        <v>0</v>
      </c>
      <c r="I11" s="50">
        <f t="shared" si="3"/>
        <v>0</v>
      </c>
      <c r="J11" s="46">
        <f>SUMIFS(Movimientos!$J$1:$J$432,Movimientos!$C$1:$C$432,$B11,Movimientos!$D$1:$D$432,$C11,Movimientos!$L$1:$L$432,A$3,Movimientos!$F$1:$F$432,"Ingreso")</f>
        <v>0</v>
      </c>
      <c r="K11" s="46">
        <f>SUMIFS(Movimientos!$J$1:$J$432,Movimientos!$C$1:$C$432,$B11,Movimientos!$D$1:$D$432,$C11,Movimientos!$L$1:$L$432,A$3,Movimientos!$F$1:$F$432,"Egreso")</f>
        <v>0</v>
      </c>
      <c r="L11" s="7">
        <f t="shared" si="0"/>
        <v>0</v>
      </c>
      <c r="M11" s="12">
        <f t="shared" si="4"/>
        <v>0</v>
      </c>
      <c r="N11" s="5">
        <f t="shared" si="5"/>
        <v>0</v>
      </c>
      <c r="O11" s="46">
        <f>SUMIFS(Movimientos!$J$1:$J$432,Movimientos!$C$1:$C$432,$B11,Movimientos!$D$1:$D$432,$C11,Movimientos!$L$1:$L$432,A$4,Movimientos!$F$1:$F$432,"Ingreso")</f>
        <v>0</v>
      </c>
      <c r="P11" s="46">
        <f>SUMIFS(Movimientos!$J$1:$J$432,Movimientos!$C$1:$C$432,$B11,Movimientos!$D$1:$D$432,$C11,Movimientos!$L$1:$L$432,A$4,Movimientos!$F$1:$F$432,"Egreso")</f>
        <v>0</v>
      </c>
      <c r="Q11" s="7">
        <f t="shared" si="1"/>
        <v>0</v>
      </c>
      <c r="R11" s="12">
        <f t="shared" si="6"/>
        <v>0</v>
      </c>
    </row>
    <row r="12" spans="1:18" x14ac:dyDescent="0.3">
      <c r="A12" s="11"/>
      <c r="B12" s="11" t="s">
        <v>21</v>
      </c>
      <c r="C12" s="11" t="s">
        <v>104</v>
      </c>
      <c r="D12" s="18">
        <v>219857.81999999937</v>
      </c>
      <c r="E12" s="46">
        <v>1689975</v>
      </c>
      <c r="F12" s="46">
        <v>1664911.5100000002</v>
      </c>
      <c r="G12" s="17">
        <v>25063.489999999758</v>
      </c>
      <c r="H12" s="12">
        <f t="shared" si="2"/>
        <v>244921.30999999912</v>
      </c>
      <c r="I12" s="50">
        <f t="shared" si="3"/>
        <v>244921.30999999912</v>
      </c>
      <c r="J12" s="46">
        <f>SUMIFS(Movimientos!$J$1:$J$432,Movimientos!$C$1:$C$432,$B12,Movimientos!$D$1:$D$432,$C12,Movimientos!$L$1:$L$432,A$3,Movimientos!$F$1:$F$432,"Ingreso")</f>
        <v>4970000</v>
      </c>
      <c r="K12" s="46">
        <f>SUMIFS(Movimientos!$J$1:$J$432,Movimientos!$C$1:$C$432,$B12,Movimientos!$D$1:$D$432,$C12,Movimientos!$L$1:$L$432,A$3,Movimientos!$F$1:$F$432,"Egreso")</f>
        <v>4343222.55</v>
      </c>
      <c r="L12" s="7">
        <f t="shared" si="0"/>
        <v>626777.45000000019</v>
      </c>
      <c r="M12" s="12">
        <f t="shared" si="4"/>
        <v>871698.75999999885</v>
      </c>
      <c r="N12" s="5">
        <f t="shared" si="5"/>
        <v>871698.75999999885</v>
      </c>
      <c r="O12" s="46">
        <f>SUMIFS(Movimientos!$J$1:$J$432,Movimientos!$C$1:$C$432,$B12,Movimientos!$D$1:$D$432,$C12,Movimientos!$L$1:$L$432,A$4,Movimientos!$F$1:$F$432,"Ingreso")</f>
        <v>0</v>
      </c>
      <c r="P12" s="46">
        <f>SUMIFS(Movimientos!$J$1:$J$432,Movimientos!$C$1:$C$432,$B12,Movimientos!$D$1:$D$432,$C12,Movimientos!$L$1:$L$432,A$4,Movimientos!$F$1:$F$432,"Egreso")</f>
        <v>0</v>
      </c>
      <c r="Q12" s="7">
        <f t="shared" si="1"/>
        <v>0</v>
      </c>
      <c r="R12" s="12">
        <f t="shared" si="6"/>
        <v>871698.75999999885</v>
      </c>
    </row>
    <row r="13" spans="1:18" x14ac:dyDescent="0.3">
      <c r="A13" s="11"/>
      <c r="B13" s="11" t="s">
        <v>21</v>
      </c>
      <c r="C13" s="11" t="s">
        <v>105</v>
      </c>
      <c r="D13" s="18">
        <v>4870.1099999999997</v>
      </c>
      <c r="E13" s="46">
        <v>0</v>
      </c>
      <c r="F13" s="46">
        <v>108.91</v>
      </c>
      <c r="G13" s="17">
        <v>-108.91</v>
      </c>
      <c r="H13" s="12">
        <f t="shared" si="2"/>
        <v>4761.2</v>
      </c>
      <c r="I13" s="50">
        <f t="shared" si="3"/>
        <v>4761.2</v>
      </c>
      <c r="J13" s="46">
        <f>SUMIFS(Movimientos!$J$1:$J$432,Movimientos!$C$1:$C$432,$B13,Movimientos!$D$1:$D$432,$C13,Movimientos!$L$1:$L$432,A$3,Movimientos!$F$1:$F$432,"Ingreso")</f>
        <v>0</v>
      </c>
      <c r="K13" s="46">
        <f>SUMIFS(Movimientos!$J$1:$J$432,Movimientos!$C$1:$C$432,$B13,Movimientos!$D$1:$D$432,$C13,Movimientos!$L$1:$L$432,A$3,Movimientos!$F$1:$F$432,"Egreso")</f>
        <v>0</v>
      </c>
      <c r="L13" s="7">
        <f t="shared" si="0"/>
        <v>0</v>
      </c>
      <c r="M13" s="12">
        <f t="shared" si="4"/>
        <v>4761.2</v>
      </c>
      <c r="N13" s="5">
        <f t="shared" si="5"/>
        <v>4761.2</v>
      </c>
      <c r="O13" s="46">
        <f>SUMIFS(Movimientos!$J$1:$J$432,Movimientos!$C$1:$C$432,$B13,Movimientos!$D$1:$D$432,$C13,Movimientos!$L$1:$L$432,A$4,Movimientos!$F$1:$F$432,"Ingreso")</f>
        <v>0</v>
      </c>
      <c r="P13" s="46">
        <f>SUMIFS(Movimientos!$J$1:$J$432,Movimientos!$C$1:$C$432,$B13,Movimientos!$D$1:$D$432,$C13,Movimientos!$L$1:$L$432,A$4,Movimientos!$F$1:$F$432,"Egreso")</f>
        <v>0</v>
      </c>
      <c r="Q13" s="7">
        <f t="shared" si="1"/>
        <v>0</v>
      </c>
      <c r="R13" s="12">
        <f t="shared" si="6"/>
        <v>4761.2</v>
      </c>
    </row>
    <row r="14" spans="1:18" x14ac:dyDescent="0.3">
      <c r="A14" s="11"/>
      <c r="B14" s="11" t="s">
        <v>21</v>
      </c>
      <c r="C14" s="11" t="s">
        <v>106</v>
      </c>
      <c r="D14" s="18">
        <v>747521.2</v>
      </c>
      <c r="E14" s="46">
        <v>2291.75</v>
      </c>
      <c r="F14" s="46">
        <v>0</v>
      </c>
      <c r="G14" s="17">
        <v>2291.75</v>
      </c>
      <c r="H14" s="12">
        <f t="shared" si="2"/>
        <v>749812.95</v>
      </c>
      <c r="I14" s="50">
        <f t="shared" si="3"/>
        <v>749812.95</v>
      </c>
      <c r="J14" s="46">
        <f>SUMIFS(Movimientos!$J$1:$J$432,Movimientos!$C$1:$C$432,$B14,Movimientos!$D$1:$D$432,$C14,Movimientos!$L$1:$L$432,A$3,Movimientos!$F$1:$F$432,"Ingreso")</f>
        <v>56867.66</v>
      </c>
      <c r="K14" s="46">
        <f>SUMIFS(Movimientos!$J$1:$J$432,Movimientos!$C$1:$C$432,$B14,Movimientos!$D$1:$D$432,$C14,Movimientos!$L$1:$L$432,A$3,Movimientos!$F$1:$F$432,"Egreso")</f>
        <v>0</v>
      </c>
      <c r="L14" s="7">
        <f t="shared" si="0"/>
        <v>56867.66</v>
      </c>
      <c r="M14" s="12">
        <f t="shared" si="4"/>
        <v>806680.61</v>
      </c>
      <c r="N14" s="5">
        <f t="shared" si="5"/>
        <v>806680.61</v>
      </c>
      <c r="O14" s="46">
        <f>SUMIFS(Movimientos!$J$1:$J$432,Movimientos!$C$1:$C$432,$B14,Movimientos!$D$1:$D$432,$C14,Movimientos!$L$1:$L$432,A$4,Movimientos!$F$1:$F$432,"Ingreso")</f>
        <v>0</v>
      </c>
      <c r="P14" s="46">
        <f>SUMIFS(Movimientos!$J$1:$J$432,Movimientos!$C$1:$C$432,$B14,Movimientos!$D$1:$D$432,$C14,Movimientos!$L$1:$L$432,A$4,Movimientos!$F$1:$F$432,"Egreso")</f>
        <v>0</v>
      </c>
      <c r="Q14" s="7">
        <f t="shared" si="1"/>
        <v>0</v>
      </c>
      <c r="R14" s="12">
        <f t="shared" si="6"/>
        <v>806680.61</v>
      </c>
    </row>
    <row r="15" spans="1:18" x14ac:dyDescent="0.3">
      <c r="A15" s="11"/>
      <c r="B15" s="11" t="s">
        <v>21</v>
      </c>
      <c r="C15" s="11" t="s">
        <v>107</v>
      </c>
      <c r="D15" s="18">
        <v>5000</v>
      </c>
      <c r="E15" s="46">
        <v>0</v>
      </c>
      <c r="F15" s="46">
        <v>0</v>
      </c>
      <c r="G15" s="17">
        <v>0</v>
      </c>
      <c r="H15" s="12">
        <f t="shared" si="2"/>
        <v>5000</v>
      </c>
      <c r="I15" s="50">
        <f t="shared" si="3"/>
        <v>5000</v>
      </c>
      <c r="J15" s="46">
        <f>SUMIFS(Movimientos!$J$1:$J$432,Movimientos!$C$1:$C$432,$B15,Movimientos!$D$1:$D$432,$C15,Movimientos!$L$1:$L$432,A$3,Movimientos!$F$1:$F$432,"Ingreso")</f>
        <v>0</v>
      </c>
      <c r="K15" s="46">
        <f>SUMIFS(Movimientos!$J$1:$J$432,Movimientos!$C$1:$C$432,$B15,Movimientos!$D$1:$D$432,$C15,Movimientos!$L$1:$L$432,A$3,Movimientos!$F$1:$F$432,"Egreso")</f>
        <v>0</v>
      </c>
      <c r="L15" s="7">
        <f t="shared" si="0"/>
        <v>0</v>
      </c>
      <c r="M15" s="12">
        <f t="shared" si="4"/>
        <v>5000</v>
      </c>
      <c r="N15" s="5">
        <f t="shared" si="5"/>
        <v>5000</v>
      </c>
      <c r="O15" s="46">
        <f>SUMIFS(Movimientos!$J$1:$J$432,Movimientos!$C$1:$C$432,$B15,Movimientos!$D$1:$D$432,$C15,Movimientos!$L$1:$L$432,A$4,Movimientos!$F$1:$F$432,"Ingreso")</f>
        <v>0</v>
      </c>
      <c r="P15" s="46">
        <f>SUMIFS(Movimientos!$J$1:$J$432,Movimientos!$C$1:$C$432,$B15,Movimientos!$D$1:$D$432,$C15,Movimientos!$L$1:$L$432,A$4,Movimientos!$F$1:$F$432,"Egreso")</f>
        <v>0</v>
      </c>
      <c r="Q15" s="7">
        <f t="shared" si="1"/>
        <v>0</v>
      </c>
      <c r="R15" s="12">
        <f t="shared" si="6"/>
        <v>5000</v>
      </c>
    </row>
    <row r="16" spans="1:18" x14ac:dyDescent="0.3">
      <c r="A16" s="11"/>
      <c r="B16" s="11" t="s">
        <v>22</v>
      </c>
      <c r="C16" s="11" t="s">
        <v>108</v>
      </c>
      <c r="D16" s="18">
        <v>57206.89</v>
      </c>
      <c r="E16" s="46">
        <v>0</v>
      </c>
      <c r="F16" s="46">
        <v>0</v>
      </c>
      <c r="G16" s="17">
        <v>0</v>
      </c>
      <c r="H16" s="12">
        <f t="shared" si="2"/>
        <v>57206.89</v>
      </c>
      <c r="I16" s="50">
        <f t="shared" si="3"/>
        <v>57206.89</v>
      </c>
      <c r="J16" s="46">
        <f>SUMIFS(Movimientos!$J$1:$J$432,Movimientos!$C$1:$C$432,$B16,Movimientos!$D$1:$D$432,$C16,Movimientos!$L$1:$L$432,A$3,Movimientos!$F$1:$F$432,"Ingreso")</f>
        <v>0</v>
      </c>
      <c r="K16" s="46">
        <f>SUMIFS(Movimientos!$J$1:$J$432,Movimientos!$C$1:$C$432,$B16,Movimientos!$D$1:$D$432,$C16,Movimientos!$L$1:$L$432,A$3,Movimientos!$F$1:$F$432,"Egreso")</f>
        <v>0</v>
      </c>
      <c r="L16" s="7">
        <f t="shared" si="0"/>
        <v>0</v>
      </c>
      <c r="M16" s="12">
        <f t="shared" si="4"/>
        <v>57206.89</v>
      </c>
      <c r="N16" s="5">
        <f t="shared" si="5"/>
        <v>57206.89</v>
      </c>
      <c r="O16" s="46">
        <f>SUMIFS(Movimientos!$J$1:$J$432,Movimientos!$C$1:$C$432,$B16,Movimientos!$D$1:$D$432,$C16,Movimientos!$L$1:$L$432,A$4,Movimientos!$F$1:$F$432,"Ingreso")</f>
        <v>0</v>
      </c>
      <c r="P16" s="46">
        <f>SUMIFS(Movimientos!$J$1:$J$432,Movimientos!$C$1:$C$432,$B16,Movimientos!$D$1:$D$432,$C16,Movimientos!$L$1:$L$432,A$4,Movimientos!$F$1:$F$432,"Egreso")</f>
        <v>0</v>
      </c>
      <c r="Q16" s="7">
        <f t="shared" si="1"/>
        <v>0</v>
      </c>
      <c r="R16" s="12">
        <f t="shared" si="6"/>
        <v>57206.89</v>
      </c>
    </row>
    <row r="17" spans="1:18" x14ac:dyDescent="0.3">
      <c r="A17" s="11"/>
      <c r="B17" s="11" t="s">
        <v>22</v>
      </c>
      <c r="C17" s="11" t="s">
        <v>109</v>
      </c>
      <c r="D17" s="18">
        <v>6365</v>
      </c>
      <c r="E17" s="46">
        <v>0</v>
      </c>
      <c r="F17" s="46">
        <v>0</v>
      </c>
      <c r="G17" s="17">
        <v>0</v>
      </c>
      <c r="H17" s="12">
        <f t="shared" si="2"/>
        <v>6365</v>
      </c>
      <c r="I17" s="50">
        <f t="shared" si="3"/>
        <v>6365</v>
      </c>
      <c r="J17" s="46">
        <f>SUMIFS(Movimientos!$J$1:$J$432,Movimientos!$C$1:$C$432,$B17,Movimientos!$D$1:$D$432,$C17,Movimientos!$L$1:$L$432,A$3,Movimientos!$F$1:$F$432,"Ingreso")</f>
        <v>0</v>
      </c>
      <c r="K17" s="46">
        <f>SUMIFS(Movimientos!$J$1:$J$432,Movimientos!$C$1:$C$432,$B17,Movimientos!$D$1:$D$432,$C17,Movimientos!$L$1:$L$432,A$3,Movimientos!$F$1:$F$432,"Egreso")</f>
        <v>0</v>
      </c>
      <c r="L17" s="7">
        <f t="shared" si="0"/>
        <v>0</v>
      </c>
      <c r="M17" s="12">
        <f t="shared" si="4"/>
        <v>6365</v>
      </c>
      <c r="N17" s="5">
        <f t="shared" si="5"/>
        <v>6365</v>
      </c>
      <c r="O17" s="46">
        <f>SUMIFS(Movimientos!$J$1:$J$432,Movimientos!$C$1:$C$432,$B17,Movimientos!$D$1:$D$432,$C17,Movimientos!$L$1:$L$432,A$4,Movimientos!$F$1:$F$432,"Ingreso")</f>
        <v>0</v>
      </c>
      <c r="P17" s="46">
        <f>SUMIFS(Movimientos!$J$1:$J$432,Movimientos!$C$1:$C$432,$B17,Movimientos!$D$1:$D$432,$C17,Movimientos!$L$1:$L$432,A$4,Movimientos!$F$1:$F$432,"Egreso")</f>
        <v>0</v>
      </c>
      <c r="Q17" s="7">
        <f t="shared" si="1"/>
        <v>0</v>
      </c>
      <c r="R17" s="12">
        <f t="shared" si="6"/>
        <v>6365</v>
      </c>
    </row>
    <row r="18" spans="1:18" x14ac:dyDescent="0.3">
      <c r="A18" s="11"/>
      <c r="B18" s="11" t="s">
        <v>22</v>
      </c>
      <c r="C18" s="11" t="s">
        <v>110</v>
      </c>
      <c r="D18" s="18">
        <v>13221.89</v>
      </c>
      <c r="E18" s="46">
        <v>50000</v>
      </c>
      <c r="F18" s="46">
        <v>6015</v>
      </c>
      <c r="G18" s="17">
        <v>43985</v>
      </c>
      <c r="H18" s="12">
        <f t="shared" si="2"/>
        <v>57206.89</v>
      </c>
      <c r="I18" s="50">
        <f t="shared" si="3"/>
        <v>57206.89</v>
      </c>
      <c r="J18" s="46">
        <f>SUMIFS(Movimientos!$J$1:$J$432,Movimientos!$C$1:$C$432,$B18,Movimientos!$D$1:$D$432,$C18,Movimientos!$L$1:$L$432,A$3,Movimientos!$F$1:$F$432,"Ingreso")</f>
        <v>0</v>
      </c>
      <c r="K18" s="46">
        <f>SUMIFS(Movimientos!$J$1:$J$432,Movimientos!$C$1:$C$432,$B18,Movimientos!$D$1:$D$432,$C18,Movimientos!$L$1:$L$432,A$3,Movimientos!$F$1:$F$432,"Egreso")</f>
        <v>12000</v>
      </c>
      <c r="L18" s="7">
        <f t="shared" si="0"/>
        <v>-12000</v>
      </c>
      <c r="M18" s="12">
        <f t="shared" si="4"/>
        <v>45206.89</v>
      </c>
      <c r="N18" s="5">
        <f t="shared" si="5"/>
        <v>45206.89</v>
      </c>
      <c r="O18" s="46">
        <f>SUMIFS(Movimientos!$J$1:$J$432,Movimientos!$C$1:$C$432,$B18,Movimientos!$D$1:$D$432,$C18,Movimientos!$L$1:$L$432,A$4,Movimientos!$F$1:$F$432,"Ingreso")</f>
        <v>0</v>
      </c>
      <c r="P18" s="46">
        <f>SUMIFS(Movimientos!$J$1:$J$432,Movimientos!$C$1:$C$432,$B18,Movimientos!$D$1:$D$432,$C18,Movimientos!$L$1:$L$432,A$4,Movimientos!$F$1:$F$432,"Egreso")</f>
        <v>0</v>
      </c>
      <c r="Q18" s="7">
        <f t="shared" si="1"/>
        <v>0</v>
      </c>
      <c r="R18" s="12">
        <f t="shared" si="6"/>
        <v>45206.89</v>
      </c>
    </row>
    <row r="19" spans="1:18" x14ac:dyDescent="0.3">
      <c r="A19" s="11"/>
      <c r="B19" s="11" t="s">
        <v>22</v>
      </c>
      <c r="C19" s="11" t="s">
        <v>111</v>
      </c>
      <c r="D19" s="18">
        <v>65717.600000000006</v>
      </c>
      <c r="E19" s="46">
        <v>0</v>
      </c>
      <c r="F19" s="46">
        <v>55000</v>
      </c>
      <c r="G19" s="17">
        <v>-55000</v>
      </c>
      <c r="H19" s="12">
        <f t="shared" si="2"/>
        <v>10717.600000000006</v>
      </c>
      <c r="I19" s="50">
        <f t="shared" si="3"/>
        <v>10717.600000000006</v>
      </c>
      <c r="J19" s="46">
        <f>SUMIFS(Movimientos!$J$1:$J$432,Movimientos!$C$1:$C$432,$B19,Movimientos!$D$1:$D$432,$C19,Movimientos!$L$1:$L$432,A$3,Movimientos!$F$1:$F$432,"Ingreso")</f>
        <v>2580000</v>
      </c>
      <c r="K19" s="46">
        <f>SUMIFS(Movimientos!$J$1:$J$432,Movimientos!$C$1:$C$432,$B19,Movimientos!$D$1:$D$432,$C19,Movimientos!$L$1:$L$432,A$3,Movimientos!$F$1:$F$432,"Egreso")</f>
        <v>2309000</v>
      </c>
      <c r="L19" s="7">
        <f t="shared" si="0"/>
        <v>271000</v>
      </c>
      <c r="M19" s="12">
        <f t="shared" si="4"/>
        <v>281717.60000000009</v>
      </c>
      <c r="N19" s="5">
        <f t="shared" si="5"/>
        <v>281717.60000000009</v>
      </c>
      <c r="O19" s="46">
        <f>SUMIFS(Movimientos!$J$1:$J$432,Movimientos!$C$1:$C$432,$B19,Movimientos!$D$1:$D$432,$C19,Movimientos!$L$1:$L$432,A$4,Movimientos!$F$1:$F$432,"Ingreso")</f>
        <v>0</v>
      </c>
      <c r="P19" s="46">
        <f>SUMIFS(Movimientos!$J$1:$J$432,Movimientos!$C$1:$C$432,$B19,Movimientos!$D$1:$D$432,$C19,Movimientos!$L$1:$L$432,A$4,Movimientos!$F$1:$F$432,"Egreso")</f>
        <v>0</v>
      </c>
      <c r="Q19" s="7">
        <f t="shared" si="1"/>
        <v>0</v>
      </c>
      <c r="R19" s="12">
        <f t="shared" si="6"/>
        <v>281717.60000000009</v>
      </c>
    </row>
    <row r="20" spans="1:18" x14ac:dyDescent="0.3">
      <c r="A20" s="11"/>
      <c r="B20" s="11" t="s">
        <v>23</v>
      </c>
      <c r="C20" s="11" t="s">
        <v>112</v>
      </c>
      <c r="D20" s="18">
        <v>13088.589999999997</v>
      </c>
      <c r="E20" s="46">
        <v>1575001.78</v>
      </c>
      <c r="F20" s="46">
        <v>1500000</v>
      </c>
      <c r="G20" s="17">
        <v>75001.780000000028</v>
      </c>
      <c r="H20" s="12">
        <f t="shared" si="2"/>
        <v>88090.370000000112</v>
      </c>
      <c r="I20" s="50">
        <f t="shared" si="3"/>
        <v>88090.370000000112</v>
      </c>
      <c r="J20" s="46">
        <f>SUMIFS(Movimientos!$J$1:$J$432,Movimientos!$C$1:$C$432,$B20,Movimientos!$D$1:$D$432,$C20,Movimientos!$L$1:$L$432,A$3,Movimientos!$F$1:$F$432,"Ingreso")</f>
        <v>0</v>
      </c>
      <c r="K20" s="46">
        <f>SUMIFS(Movimientos!$J$1:$J$432,Movimientos!$C$1:$C$432,$B20,Movimientos!$D$1:$D$432,$C20,Movimientos!$L$1:$L$432,A$3,Movimientos!$F$1:$F$432,"Egreso")</f>
        <v>0</v>
      </c>
      <c r="L20" s="7">
        <f t="shared" si="0"/>
        <v>0</v>
      </c>
      <c r="M20" s="12">
        <f t="shared" si="4"/>
        <v>88090.370000000112</v>
      </c>
      <c r="N20" s="5">
        <f t="shared" si="5"/>
        <v>88090.370000000112</v>
      </c>
      <c r="O20" s="46">
        <f>SUMIFS(Movimientos!$J$1:$J$432,Movimientos!$C$1:$C$432,$B20,Movimientos!$D$1:$D$432,$C20,Movimientos!$L$1:$L$432,A$4,Movimientos!$F$1:$F$432,"Ingreso")</f>
        <v>0</v>
      </c>
      <c r="P20" s="46">
        <f>SUMIFS(Movimientos!$J$1:$J$432,Movimientos!$C$1:$C$432,$B20,Movimientos!$D$1:$D$432,$C20,Movimientos!$L$1:$L$432,A$4,Movimientos!$F$1:$F$432,"Egreso")</f>
        <v>0</v>
      </c>
      <c r="Q20" s="7">
        <f t="shared" si="1"/>
        <v>0</v>
      </c>
      <c r="R20" s="12">
        <f t="shared" si="6"/>
        <v>88090.370000000112</v>
      </c>
    </row>
    <row r="21" spans="1:18" x14ac:dyDescent="0.3">
      <c r="A21" s="11"/>
      <c r="B21" s="11" t="s">
        <v>24</v>
      </c>
      <c r="C21" s="11" t="s">
        <v>113</v>
      </c>
      <c r="D21" s="18">
        <v>808.82999999999993</v>
      </c>
      <c r="E21" s="46">
        <v>3000</v>
      </c>
      <c r="F21" s="46">
        <v>2580.86</v>
      </c>
      <c r="G21" s="17">
        <v>419.13999999999987</v>
      </c>
      <c r="H21" s="12">
        <f t="shared" si="2"/>
        <v>1227.9699999999998</v>
      </c>
      <c r="I21" s="50">
        <f t="shared" si="3"/>
        <v>1227.9699999999998</v>
      </c>
      <c r="J21" s="46">
        <f>SUMIFS(Movimientos!$J$1:$J$432,Movimientos!$C$1:$C$432,$B21,Movimientos!$D$1:$D$432,$C21,Movimientos!$L$1:$L$432,A$3,Movimientos!$F$1:$F$432,"Ingreso")</f>
        <v>0</v>
      </c>
      <c r="K21" s="46">
        <f>SUMIFS(Movimientos!$J$1:$J$432,Movimientos!$C$1:$C$432,$B21,Movimientos!$D$1:$D$432,$C21,Movimientos!$L$1:$L$432,A$3,Movimientos!$F$1:$F$432,"Egreso")</f>
        <v>0</v>
      </c>
      <c r="L21" s="7">
        <f t="shared" si="0"/>
        <v>0</v>
      </c>
      <c r="M21" s="12">
        <f t="shared" si="4"/>
        <v>1227.9699999999998</v>
      </c>
      <c r="N21" s="5">
        <f t="shared" si="5"/>
        <v>1227.9699999999998</v>
      </c>
      <c r="O21" s="46">
        <f>SUMIFS(Movimientos!$J$1:$J$432,Movimientos!$C$1:$C$432,$B21,Movimientos!$D$1:$D$432,$C21,Movimientos!$L$1:$L$432,A$4,Movimientos!$F$1:$F$432,"Ingreso")</f>
        <v>0</v>
      </c>
      <c r="P21" s="46">
        <f>SUMIFS(Movimientos!$J$1:$J$432,Movimientos!$C$1:$C$432,$B21,Movimientos!$D$1:$D$432,$C21,Movimientos!$L$1:$L$432,A$4,Movimientos!$F$1:$F$432,"Egreso")</f>
        <v>0</v>
      </c>
      <c r="Q21" s="7">
        <f t="shared" si="1"/>
        <v>0</v>
      </c>
      <c r="R21" s="12">
        <f t="shared" si="6"/>
        <v>1227.9699999999998</v>
      </c>
    </row>
    <row r="22" spans="1:18" x14ac:dyDescent="0.3">
      <c r="A22" s="11"/>
      <c r="B22" s="11" t="s">
        <v>25</v>
      </c>
      <c r="C22" s="11" t="s">
        <v>114</v>
      </c>
      <c r="D22" s="18">
        <v>144.25</v>
      </c>
      <c r="E22" s="46">
        <v>0</v>
      </c>
      <c r="F22" s="46">
        <v>29.95</v>
      </c>
      <c r="G22" s="17">
        <v>-29.95</v>
      </c>
      <c r="H22" s="12">
        <f t="shared" si="2"/>
        <v>114.3</v>
      </c>
      <c r="I22" s="50">
        <f t="shared" si="3"/>
        <v>114.3</v>
      </c>
      <c r="J22" s="46">
        <f>SUMIFS(Movimientos!$J$1:$J$432,Movimientos!$C$1:$C$432,$B22,Movimientos!$D$1:$D$432,$C22,Movimientos!$L$1:$L$432,A$3,Movimientos!$F$1:$F$432,"Ingreso")</f>
        <v>0</v>
      </c>
      <c r="K22" s="46">
        <f>SUMIFS(Movimientos!$J$1:$J$432,Movimientos!$C$1:$C$432,$B22,Movimientos!$D$1:$D$432,$C22,Movimientos!$L$1:$L$432,A$3,Movimientos!$F$1:$F$432,"Egreso")</f>
        <v>29.95</v>
      </c>
      <c r="L22" s="7">
        <f t="shared" si="0"/>
        <v>-29.95</v>
      </c>
      <c r="M22" s="12">
        <f t="shared" si="4"/>
        <v>84.35</v>
      </c>
      <c r="N22" s="5">
        <f t="shared" si="5"/>
        <v>84.35</v>
      </c>
      <c r="O22" s="46">
        <f>SUMIFS(Movimientos!$J$1:$J$432,Movimientos!$C$1:$C$432,$B22,Movimientos!$D$1:$D$432,$C22,Movimientos!$L$1:$L$432,A$4,Movimientos!$F$1:$F$432,"Ingreso")</f>
        <v>0</v>
      </c>
      <c r="P22" s="46">
        <f>SUMIFS(Movimientos!$J$1:$J$432,Movimientos!$C$1:$C$432,$B22,Movimientos!$D$1:$D$432,$C22,Movimientos!$L$1:$L$432,A$4,Movimientos!$F$1:$F$432,"Egreso")</f>
        <v>0</v>
      </c>
      <c r="Q22" s="7">
        <f t="shared" si="1"/>
        <v>0</v>
      </c>
      <c r="R22" s="12">
        <f t="shared" si="6"/>
        <v>84.35</v>
      </c>
    </row>
    <row r="23" spans="1:18" x14ac:dyDescent="0.3">
      <c r="A23" s="11"/>
      <c r="B23" s="11" t="s">
        <v>26</v>
      </c>
      <c r="C23" s="11" t="s">
        <v>115</v>
      </c>
      <c r="D23" s="18">
        <v>2297.67</v>
      </c>
      <c r="E23" s="46">
        <v>0</v>
      </c>
      <c r="F23" s="46">
        <v>29.95</v>
      </c>
      <c r="G23" s="17">
        <v>-29.95</v>
      </c>
      <c r="H23" s="12">
        <f t="shared" si="2"/>
        <v>2267.7200000000003</v>
      </c>
      <c r="I23" s="50">
        <f t="shared" si="3"/>
        <v>2267.7200000000003</v>
      </c>
      <c r="J23" s="46">
        <f>SUMIFS(Movimientos!$J$1:$J$432,Movimientos!$C$1:$C$432,$B23,Movimientos!$D$1:$D$432,$C23,Movimientos!$L$1:$L$432,A$3,Movimientos!$F$1:$F$432,"Ingreso")</f>
        <v>0</v>
      </c>
      <c r="K23" s="46">
        <f>SUMIFS(Movimientos!$J$1:$J$432,Movimientos!$C$1:$C$432,$B23,Movimientos!$D$1:$D$432,$C23,Movimientos!$L$1:$L$432,A$3,Movimientos!$F$1:$F$432,"Egreso")</f>
        <v>29.95</v>
      </c>
      <c r="L23" s="7">
        <f t="shared" si="0"/>
        <v>-29.95</v>
      </c>
      <c r="M23" s="12">
        <f t="shared" si="4"/>
        <v>2237.7700000000004</v>
      </c>
      <c r="N23" s="5">
        <f t="shared" si="5"/>
        <v>2237.7700000000004</v>
      </c>
      <c r="O23" s="46">
        <f>SUMIFS(Movimientos!$J$1:$J$432,Movimientos!$C$1:$C$432,$B23,Movimientos!$D$1:$D$432,$C23,Movimientos!$L$1:$L$432,A$4,Movimientos!$F$1:$F$432,"Ingreso")</f>
        <v>0</v>
      </c>
      <c r="P23" s="46">
        <f>SUMIFS(Movimientos!$J$1:$J$432,Movimientos!$C$1:$C$432,$B23,Movimientos!$D$1:$D$432,$C23,Movimientos!$L$1:$L$432,A$4,Movimientos!$F$1:$F$432,"Egreso")</f>
        <v>0</v>
      </c>
      <c r="Q23" s="7">
        <f t="shared" si="1"/>
        <v>0</v>
      </c>
      <c r="R23" s="12">
        <f t="shared" si="6"/>
        <v>2237.7700000000004</v>
      </c>
    </row>
    <row r="24" spans="1:18" x14ac:dyDescent="0.3">
      <c r="A24" s="11"/>
      <c r="B24" s="11" t="s">
        <v>27</v>
      </c>
      <c r="C24" s="11" t="s">
        <v>116</v>
      </c>
      <c r="D24" s="18">
        <v>3364.94</v>
      </c>
      <c r="E24" s="46">
        <v>0</v>
      </c>
      <c r="F24" s="46">
        <v>15</v>
      </c>
      <c r="G24" s="17">
        <v>-15</v>
      </c>
      <c r="H24" s="12">
        <f t="shared" si="2"/>
        <v>3349.94</v>
      </c>
      <c r="I24" s="50">
        <f t="shared" si="3"/>
        <v>3349.94</v>
      </c>
      <c r="J24" s="46">
        <f>SUMIFS(Movimientos!$J$1:$J$432,Movimientos!$C$1:$C$432,$B24,Movimientos!$D$1:$D$432,$C24,Movimientos!$L$1:$L$432,A$3,Movimientos!$F$1:$F$432,"Ingreso")</f>
        <v>0</v>
      </c>
      <c r="K24" s="46">
        <f>SUMIFS(Movimientos!$J$1:$J$432,Movimientos!$C$1:$C$432,$B24,Movimientos!$D$1:$D$432,$C24,Movimientos!$L$1:$L$432,A$3,Movimientos!$F$1:$F$432,"Egreso")</f>
        <v>0</v>
      </c>
      <c r="L24" s="7">
        <f t="shared" si="0"/>
        <v>0</v>
      </c>
      <c r="M24" s="12">
        <f t="shared" si="4"/>
        <v>3349.94</v>
      </c>
      <c r="N24" s="5">
        <f t="shared" si="5"/>
        <v>3349.94</v>
      </c>
      <c r="O24" s="46">
        <f>SUMIFS(Movimientos!$J$1:$J$432,Movimientos!$C$1:$C$432,$B24,Movimientos!$D$1:$D$432,$C24,Movimientos!$L$1:$L$432,A$4,Movimientos!$F$1:$F$432,"Ingreso")</f>
        <v>0</v>
      </c>
      <c r="P24" s="46">
        <f>SUMIFS(Movimientos!$J$1:$J$432,Movimientos!$C$1:$C$432,$B24,Movimientos!$D$1:$D$432,$C24,Movimientos!$L$1:$L$432,A$4,Movimientos!$F$1:$F$432,"Egreso")</f>
        <v>0</v>
      </c>
      <c r="Q24" s="7">
        <f t="shared" si="1"/>
        <v>0</v>
      </c>
      <c r="R24" s="12">
        <f t="shared" si="6"/>
        <v>3349.94</v>
      </c>
    </row>
    <row r="25" spans="1:18" x14ac:dyDescent="0.3">
      <c r="A25" s="11"/>
      <c r="B25" s="11" t="s">
        <v>28</v>
      </c>
      <c r="C25" s="11" t="s">
        <v>117</v>
      </c>
      <c r="D25" s="18">
        <v>1968.99</v>
      </c>
      <c r="E25" s="46">
        <v>0</v>
      </c>
      <c r="F25" s="46">
        <v>0</v>
      </c>
      <c r="G25" s="17">
        <v>0</v>
      </c>
      <c r="H25" s="12">
        <f t="shared" si="2"/>
        <v>1968.99</v>
      </c>
      <c r="I25" s="50">
        <f t="shared" si="3"/>
        <v>1968.99</v>
      </c>
      <c r="J25" s="46">
        <f>SUMIFS(Movimientos!$J$1:$J$432,Movimientos!$C$1:$C$432,$B25,Movimientos!$D$1:$D$432,$C25,Movimientos!$L$1:$L$432,A$3,Movimientos!$F$1:$F$432,"Ingreso")</f>
        <v>0</v>
      </c>
      <c r="K25" s="46">
        <f>SUMIFS(Movimientos!$J$1:$J$432,Movimientos!$C$1:$C$432,$B25,Movimientos!$D$1:$D$432,$C25,Movimientos!$L$1:$L$432,A$3,Movimientos!$F$1:$F$432,"Egreso")</f>
        <v>0</v>
      </c>
      <c r="L25" s="7">
        <f t="shared" si="0"/>
        <v>0</v>
      </c>
      <c r="M25" s="12">
        <f t="shared" si="4"/>
        <v>1968.99</v>
      </c>
      <c r="N25" s="5">
        <f t="shared" si="5"/>
        <v>1968.99</v>
      </c>
      <c r="O25" s="46">
        <f>SUMIFS(Movimientos!$J$1:$J$432,Movimientos!$C$1:$C$432,$B25,Movimientos!$D$1:$D$432,$C25,Movimientos!$L$1:$L$432,A$4,Movimientos!$F$1:$F$432,"Ingreso")</f>
        <v>0</v>
      </c>
      <c r="P25" s="46">
        <f>SUMIFS(Movimientos!$J$1:$J$432,Movimientos!$C$1:$C$432,$B25,Movimientos!$D$1:$D$432,$C25,Movimientos!$L$1:$L$432,A$4,Movimientos!$F$1:$F$432,"Egreso")</f>
        <v>0</v>
      </c>
      <c r="Q25" s="7">
        <f t="shared" si="1"/>
        <v>0</v>
      </c>
      <c r="R25" s="12">
        <f t="shared" si="6"/>
        <v>1968.99</v>
      </c>
    </row>
    <row r="26" spans="1:18" x14ac:dyDescent="0.3">
      <c r="A26" s="11"/>
      <c r="B26" s="11" t="s">
        <v>29</v>
      </c>
      <c r="C26" s="11" t="s">
        <v>118</v>
      </c>
      <c r="D26" s="18">
        <v>0</v>
      </c>
      <c r="E26" s="46">
        <v>0</v>
      </c>
      <c r="F26" s="46">
        <v>0</v>
      </c>
      <c r="G26" s="17">
        <v>0</v>
      </c>
      <c r="H26" s="12">
        <f t="shared" si="2"/>
        <v>0</v>
      </c>
      <c r="I26" s="50">
        <f t="shared" si="3"/>
        <v>0</v>
      </c>
      <c r="J26" s="46">
        <f>SUMIFS(Movimientos!$J$1:$J$432,Movimientos!$C$1:$C$432,$B26,Movimientos!$D$1:$D$432,$C26,Movimientos!$L$1:$L$432,A$3,Movimientos!$F$1:$F$432,"Ingreso")</f>
        <v>0</v>
      </c>
      <c r="K26" s="46">
        <f>SUMIFS(Movimientos!$J$1:$J$432,Movimientos!$C$1:$C$432,$B26,Movimientos!$D$1:$D$432,$C26,Movimientos!$L$1:$L$432,A$3,Movimientos!$F$1:$F$432,"Egreso")</f>
        <v>0</v>
      </c>
      <c r="L26" s="7">
        <f t="shared" si="0"/>
        <v>0</v>
      </c>
      <c r="M26" s="12">
        <f t="shared" si="4"/>
        <v>0</v>
      </c>
      <c r="N26" s="5">
        <f t="shared" si="5"/>
        <v>0</v>
      </c>
      <c r="O26" s="46">
        <f>SUMIFS(Movimientos!$J$1:$J$432,Movimientos!$C$1:$C$432,$B26,Movimientos!$D$1:$D$432,$C26,Movimientos!$L$1:$L$432,A$4,Movimientos!$F$1:$F$432,"Ingreso")</f>
        <v>0</v>
      </c>
      <c r="P26" s="46">
        <f>SUMIFS(Movimientos!$J$1:$J$432,Movimientos!$C$1:$C$432,$B26,Movimientos!$D$1:$D$432,$C26,Movimientos!$L$1:$L$432,A$4,Movimientos!$F$1:$F$432,"Egreso")</f>
        <v>0</v>
      </c>
      <c r="Q26" s="7">
        <f t="shared" si="1"/>
        <v>0</v>
      </c>
      <c r="R26" s="12">
        <f t="shared" si="6"/>
        <v>0</v>
      </c>
    </row>
    <row r="27" spans="1:18" x14ac:dyDescent="0.3">
      <c r="A27" s="11"/>
      <c r="B27" s="11" t="s">
        <v>29</v>
      </c>
      <c r="C27" s="11" t="s">
        <v>119</v>
      </c>
      <c r="D27" s="18">
        <v>901.34</v>
      </c>
      <c r="E27" s="46">
        <v>0</v>
      </c>
      <c r="F27" s="46">
        <v>0</v>
      </c>
      <c r="G27" s="17">
        <v>0</v>
      </c>
      <c r="H27" s="12">
        <f t="shared" si="2"/>
        <v>901.34</v>
      </c>
      <c r="I27" s="50">
        <f t="shared" si="3"/>
        <v>901.34</v>
      </c>
      <c r="J27" s="46">
        <f>SUMIFS(Movimientos!$J$1:$J$432,Movimientos!$C$1:$C$432,$B27,Movimientos!$D$1:$D$432,$C27,Movimientos!$L$1:$L$432,A$3,Movimientos!$F$1:$F$432,"Ingreso")</f>
        <v>0</v>
      </c>
      <c r="K27" s="46">
        <f>SUMIFS(Movimientos!$J$1:$J$432,Movimientos!$C$1:$C$432,$B27,Movimientos!$D$1:$D$432,$C27,Movimientos!$L$1:$L$432,A$3,Movimientos!$F$1:$F$432,"Egreso")</f>
        <v>518.65</v>
      </c>
      <c r="L27" s="7">
        <f t="shared" si="0"/>
        <v>-518.65</v>
      </c>
      <c r="M27" s="12">
        <f t="shared" si="4"/>
        <v>382.69000000000005</v>
      </c>
      <c r="N27" s="5">
        <f t="shared" si="5"/>
        <v>382.69000000000005</v>
      </c>
      <c r="O27" s="46">
        <f>SUMIFS(Movimientos!$J$1:$J$432,Movimientos!$C$1:$C$432,$B27,Movimientos!$D$1:$D$432,$C27,Movimientos!$L$1:$L$432,A$4,Movimientos!$F$1:$F$432,"Ingreso")</f>
        <v>0</v>
      </c>
      <c r="P27" s="46">
        <f>SUMIFS(Movimientos!$J$1:$J$432,Movimientos!$C$1:$C$432,$B27,Movimientos!$D$1:$D$432,$C27,Movimientos!$L$1:$L$432,A$4,Movimientos!$F$1:$F$432,"Egreso")</f>
        <v>0</v>
      </c>
      <c r="Q27" s="7">
        <f t="shared" si="1"/>
        <v>0</v>
      </c>
      <c r="R27" s="12">
        <f t="shared" si="6"/>
        <v>382.69000000000005</v>
      </c>
    </row>
    <row r="28" spans="1:18" x14ac:dyDescent="0.3">
      <c r="A28" s="11"/>
      <c r="B28" s="11" t="s">
        <v>30</v>
      </c>
      <c r="C28" s="11" t="s">
        <v>120</v>
      </c>
      <c r="D28" s="18">
        <v>1460.08</v>
      </c>
      <c r="E28" s="46">
        <v>0</v>
      </c>
      <c r="F28" s="46">
        <v>16</v>
      </c>
      <c r="G28" s="17">
        <v>-16</v>
      </c>
      <c r="H28" s="12">
        <f t="shared" si="2"/>
        <v>1444.08</v>
      </c>
      <c r="I28" s="50">
        <f t="shared" si="3"/>
        <v>1444.08</v>
      </c>
      <c r="J28" s="46">
        <f>SUMIFS(Movimientos!$J$1:$J$432,Movimientos!$C$1:$C$432,$B28,Movimientos!$D$1:$D$432,$C28,Movimientos!$L$1:$L$432,A$3,Movimientos!$F$1:$F$432,"Ingreso")</f>
        <v>0</v>
      </c>
      <c r="K28" s="46">
        <f>SUMIFS(Movimientos!$J$1:$J$432,Movimientos!$C$1:$C$432,$B28,Movimientos!$D$1:$D$432,$C28,Movimientos!$L$1:$L$432,A$3,Movimientos!$F$1:$F$432,"Egreso")</f>
        <v>16</v>
      </c>
      <c r="L28" s="7">
        <f t="shared" si="0"/>
        <v>-16</v>
      </c>
      <c r="M28" s="12">
        <f t="shared" si="4"/>
        <v>1428.08</v>
      </c>
      <c r="N28" s="5">
        <f t="shared" si="5"/>
        <v>1428.08</v>
      </c>
      <c r="O28" s="46">
        <f>SUMIFS(Movimientos!$J$1:$J$432,Movimientos!$C$1:$C$432,$B28,Movimientos!$D$1:$D$432,$C28,Movimientos!$L$1:$L$432,A$4,Movimientos!$F$1:$F$432,"Ingreso")</f>
        <v>0</v>
      </c>
      <c r="P28" s="46">
        <f>SUMIFS(Movimientos!$J$1:$J$432,Movimientos!$C$1:$C$432,$B28,Movimientos!$D$1:$D$432,$C28,Movimientos!$L$1:$L$432,A$4,Movimientos!$F$1:$F$432,"Egreso")</f>
        <v>0</v>
      </c>
      <c r="Q28" s="7">
        <f t="shared" si="1"/>
        <v>0</v>
      </c>
      <c r="R28" s="12">
        <f t="shared" si="6"/>
        <v>1428.08</v>
      </c>
    </row>
    <row r="29" spans="1:18" x14ac:dyDescent="0.3">
      <c r="A29" s="11"/>
      <c r="B29" s="11" t="s">
        <v>31</v>
      </c>
      <c r="C29" s="11" t="s">
        <v>121</v>
      </c>
      <c r="D29" s="18">
        <v>26266.509999999962</v>
      </c>
      <c r="E29" s="46">
        <v>25250</v>
      </c>
      <c r="F29" s="46">
        <v>16408.330000000002</v>
      </c>
      <c r="G29" s="17">
        <v>8841.6699999999983</v>
      </c>
      <c r="H29" s="12">
        <f t="shared" si="2"/>
        <v>35108.179999999964</v>
      </c>
      <c r="I29" s="50">
        <f t="shared" si="3"/>
        <v>35108.179999999964</v>
      </c>
      <c r="J29" s="46">
        <f>SUMIFS(Movimientos!$J$1:$J$432,Movimientos!$C$1:$C$432,$B29,Movimientos!$D$1:$D$432,$C29,Movimientos!$L$1:$L$432,A$3,Movimientos!$F$1:$F$432,"Ingreso")</f>
        <v>5250</v>
      </c>
      <c r="K29" s="46">
        <f>SUMIFS(Movimientos!$J$1:$J$432,Movimientos!$C$1:$C$432,$B29,Movimientos!$D$1:$D$432,$C29,Movimientos!$L$1:$L$432,A$3,Movimientos!$F$1:$F$432,"Egreso")</f>
        <v>9648.6299999999992</v>
      </c>
      <c r="L29" s="7">
        <f t="shared" si="0"/>
        <v>-4398.6299999999992</v>
      </c>
      <c r="M29" s="12">
        <f t="shared" si="4"/>
        <v>30709.549999999967</v>
      </c>
      <c r="N29" s="5">
        <f t="shared" si="5"/>
        <v>30709.549999999967</v>
      </c>
      <c r="O29" s="46">
        <f>SUMIFS(Movimientos!$J$1:$J$432,Movimientos!$C$1:$C$432,$B29,Movimientos!$D$1:$D$432,$C29,Movimientos!$L$1:$L$432,A$4,Movimientos!$F$1:$F$432,"Ingreso")</f>
        <v>0</v>
      </c>
      <c r="P29" s="46">
        <f>SUMIFS(Movimientos!$J$1:$J$432,Movimientos!$C$1:$C$432,$B29,Movimientos!$D$1:$D$432,$C29,Movimientos!$L$1:$L$432,A$4,Movimientos!$F$1:$F$432,"Egreso")</f>
        <v>0</v>
      </c>
      <c r="Q29" s="7">
        <f t="shared" si="1"/>
        <v>0</v>
      </c>
      <c r="R29" s="12">
        <f t="shared" si="6"/>
        <v>30709.549999999967</v>
      </c>
    </row>
    <row r="30" spans="1:18" x14ac:dyDescent="0.3">
      <c r="A30" s="11"/>
      <c r="B30" s="11" t="s">
        <v>31</v>
      </c>
      <c r="C30" s="11" t="s">
        <v>122</v>
      </c>
      <c r="D30" s="18">
        <v>350.42</v>
      </c>
      <c r="E30" s="46">
        <v>0</v>
      </c>
      <c r="F30" s="46">
        <v>10</v>
      </c>
      <c r="G30" s="17">
        <v>-10</v>
      </c>
      <c r="H30" s="12">
        <f t="shared" si="2"/>
        <v>340.42</v>
      </c>
      <c r="I30" s="50">
        <f t="shared" si="3"/>
        <v>340.42</v>
      </c>
      <c r="J30" s="46">
        <f>SUMIFS(Movimientos!$J$1:$J$432,Movimientos!$C$1:$C$432,$B30,Movimientos!$D$1:$D$432,$C30,Movimientos!$L$1:$L$432,A$3,Movimientos!$F$1:$F$432,"Ingreso")</f>
        <v>0</v>
      </c>
      <c r="K30" s="46">
        <f>SUMIFS(Movimientos!$J$1:$J$432,Movimientos!$C$1:$C$432,$B30,Movimientos!$D$1:$D$432,$C30,Movimientos!$L$1:$L$432,A$3,Movimientos!$F$1:$F$432,"Egreso")</f>
        <v>10</v>
      </c>
      <c r="L30" s="7">
        <f t="shared" si="0"/>
        <v>-10</v>
      </c>
      <c r="M30" s="12">
        <f t="shared" si="4"/>
        <v>330.42</v>
      </c>
      <c r="N30" s="5">
        <f t="shared" si="5"/>
        <v>330.42</v>
      </c>
      <c r="O30" s="46">
        <f>SUMIFS(Movimientos!$J$1:$J$432,Movimientos!$C$1:$C$432,$B30,Movimientos!$D$1:$D$432,$C30,Movimientos!$L$1:$L$432,A$4,Movimientos!$F$1:$F$432,"Ingreso")</f>
        <v>0</v>
      </c>
      <c r="P30" s="46">
        <f>SUMIFS(Movimientos!$J$1:$J$432,Movimientos!$C$1:$C$432,$B30,Movimientos!$D$1:$D$432,$C30,Movimientos!$L$1:$L$432,A$4,Movimientos!$F$1:$F$432,"Egreso")</f>
        <v>0</v>
      </c>
      <c r="Q30" s="7">
        <f t="shared" si="1"/>
        <v>0</v>
      </c>
      <c r="R30" s="12">
        <f t="shared" si="6"/>
        <v>330.42</v>
      </c>
    </row>
    <row r="31" spans="1:18" x14ac:dyDescent="0.3">
      <c r="A31" s="11"/>
      <c r="B31" s="11" t="s">
        <v>32</v>
      </c>
      <c r="C31" s="11" t="s">
        <v>123</v>
      </c>
      <c r="D31" s="18">
        <v>9902.5400000000009</v>
      </c>
      <c r="E31" s="46">
        <v>16750</v>
      </c>
      <c r="F31" s="46">
        <v>11532.48</v>
      </c>
      <c r="G31" s="17">
        <v>5217.5200000000004</v>
      </c>
      <c r="H31" s="12">
        <f t="shared" si="2"/>
        <v>15120.060000000001</v>
      </c>
      <c r="I31" s="50">
        <f t="shared" si="3"/>
        <v>15120.060000000001</v>
      </c>
      <c r="J31" s="46">
        <f>SUMIFS(Movimientos!$J$1:$J$432,Movimientos!$C$1:$C$432,$B31,Movimientos!$D$1:$D$432,$C31,Movimientos!$L$1:$L$432,A$3,Movimientos!$F$1:$F$432,"Ingreso")</f>
        <v>15000</v>
      </c>
      <c r="K31" s="46">
        <f>SUMIFS(Movimientos!$J$1:$J$432,Movimientos!$C$1:$C$432,$B31,Movimientos!$D$1:$D$432,$C31,Movimientos!$L$1:$L$432,A$3,Movimientos!$F$1:$F$432,"Egreso")</f>
        <v>9798.6299999999992</v>
      </c>
      <c r="L31" s="7">
        <f t="shared" si="0"/>
        <v>5201.3700000000008</v>
      </c>
      <c r="M31" s="12">
        <f t="shared" si="4"/>
        <v>20321.43</v>
      </c>
      <c r="N31" s="5">
        <f t="shared" si="5"/>
        <v>20321.43</v>
      </c>
      <c r="O31" s="46">
        <f>SUMIFS(Movimientos!$J$1:$J$432,Movimientos!$C$1:$C$432,$B31,Movimientos!$D$1:$D$432,$C31,Movimientos!$L$1:$L$432,A$4,Movimientos!$F$1:$F$432,"Ingreso")</f>
        <v>0</v>
      </c>
      <c r="P31" s="46">
        <f>SUMIFS(Movimientos!$J$1:$J$432,Movimientos!$C$1:$C$432,$B31,Movimientos!$D$1:$D$432,$C31,Movimientos!$L$1:$L$432,A$4,Movimientos!$F$1:$F$432,"Egreso")</f>
        <v>0</v>
      </c>
      <c r="Q31" s="7">
        <f t="shared" si="1"/>
        <v>0</v>
      </c>
      <c r="R31" s="12">
        <f t="shared" si="6"/>
        <v>20321.43</v>
      </c>
    </row>
    <row r="32" spans="1:18" x14ac:dyDescent="0.3">
      <c r="A32" s="11"/>
      <c r="B32" s="11" t="s">
        <v>33</v>
      </c>
      <c r="C32" s="11" t="s">
        <v>124</v>
      </c>
      <c r="D32" s="18">
        <v>25061.43</v>
      </c>
      <c r="E32" s="46">
        <v>21650</v>
      </c>
      <c r="F32" s="46">
        <v>13105.160000000002</v>
      </c>
      <c r="G32" s="17">
        <v>8544.8399999999983</v>
      </c>
      <c r="H32" s="12">
        <f t="shared" si="2"/>
        <v>33606.269999999997</v>
      </c>
      <c r="I32" s="50">
        <f t="shared" si="3"/>
        <v>33606.269999999997</v>
      </c>
      <c r="J32" s="46">
        <f>SUMIFS(Movimientos!$J$1:$J$432,Movimientos!$C$1:$C$432,$B32,Movimientos!$D$1:$D$432,$C32,Movimientos!$L$1:$L$432,A$3,Movimientos!$F$1:$F$432,"Ingreso")</f>
        <v>12000</v>
      </c>
      <c r="K32" s="46">
        <f>SUMIFS(Movimientos!$J$1:$J$432,Movimientos!$C$1:$C$432,$B32,Movimientos!$D$1:$D$432,$C32,Movimientos!$L$1:$L$432,A$3,Movimientos!$F$1:$F$432,"Egreso")</f>
        <v>17147.669999999998</v>
      </c>
      <c r="L32" s="7">
        <f t="shared" si="0"/>
        <v>-5147.6699999999983</v>
      </c>
      <c r="M32" s="12">
        <f t="shared" si="4"/>
        <v>28458.6</v>
      </c>
      <c r="N32" s="5">
        <f t="shared" si="5"/>
        <v>28458.6</v>
      </c>
      <c r="O32" s="46">
        <f>SUMIFS(Movimientos!$J$1:$J$432,Movimientos!$C$1:$C$432,$B32,Movimientos!$D$1:$D$432,$C32,Movimientos!$L$1:$L$432,A$4,Movimientos!$F$1:$F$432,"Ingreso")</f>
        <v>0</v>
      </c>
      <c r="P32" s="46">
        <f>SUMIFS(Movimientos!$J$1:$J$432,Movimientos!$C$1:$C$432,$B32,Movimientos!$D$1:$D$432,$C32,Movimientos!$L$1:$L$432,A$4,Movimientos!$F$1:$F$432,"Egreso")</f>
        <v>0</v>
      </c>
      <c r="Q32" s="7">
        <f t="shared" si="1"/>
        <v>0</v>
      </c>
      <c r="R32" s="12">
        <f t="shared" si="6"/>
        <v>28458.6</v>
      </c>
    </row>
    <row r="33" spans="1:18" x14ac:dyDescent="0.3">
      <c r="A33" s="11"/>
      <c r="B33" s="11" t="s">
        <v>34</v>
      </c>
      <c r="C33" s="11" t="s">
        <v>125</v>
      </c>
      <c r="D33" s="18">
        <v>345</v>
      </c>
      <c r="E33" s="46">
        <v>10000</v>
      </c>
      <c r="F33" s="46">
        <v>10000</v>
      </c>
      <c r="G33" s="17">
        <v>0</v>
      </c>
      <c r="H33" s="12">
        <f t="shared" si="2"/>
        <v>345</v>
      </c>
      <c r="I33" s="50">
        <f t="shared" si="3"/>
        <v>345</v>
      </c>
      <c r="J33" s="46">
        <f>SUMIFS(Movimientos!$J$1:$J$432,Movimientos!$C$1:$C$432,$B33,Movimientos!$D$1:$D$432,$C33,Movimientos!$L$1:$L$432,A$3,Movimientos!$F$1:$F$432,"Ingreso")</f>
        <v>59000</v>
      </c>
      <c r="K33" s="46">
        <f>SUMIFS(Movimientos!$J$1:$J$432,Movimientos!$C$1:$C$432,$B33,Movimientos!$D$1:$D$432,$C33,Movimientos!$L$1:$L$432,A$3,Movimientos!$F$1:$F$432,"Egreso")</f>
        <v>59000</v>
      </c>
      <c r="L33" s="7">
        <f t="shared" si="0"/>
        <v>0</v>
      </c>
      <c r="M33" s="12">
        <f t="shared" si="4"/>
        <v>345</v>
      </c>
      <c r="N33" s="5">
        <f t="shared" si="5"/>
        <v>345</v>
      </c>
      <c r="O33" s="46">
        <f>SUMIFS(Movimientos!$J$1:$J$432,Movimientos!$C$1:$C$432,$B33,Movimientos!$D$1:$D$432,$C33,Movimientos!$L$1:$L$432,A$4,Movimientos!$F$1:$F$432,"Ingreso")</f>
        <v>0</v>
      </c>
      <c r="P33" s="46">
        <f>SUMIFS(Movimientos!$J$1:$J$432,Movimientos!$C$1:$C$432,$B33,Movimientos!$D$1:$D$432,$C33,Movimientos!$L$1:$L$432,A$4,Movimientos!$F$1:$F$432,"Egreso")</f>
        <v>0</v>
      </c>
      <c r="Q33" s="7">
        <f t="shared" si="1"/>
        <v>0</v>
      </c>
      <c r="R33" s="12">
        <f t="shared" si="6"/>
        <v>345</v>
      </c>
    </row>
    <row r="34" spans="1:18" x14ac:dyDescent="0.3">
      <c r="A34" s="11"/>
      <c r="B34" s="11" t="s">
        <v>35</v>
      </c>
      <c r="C34" s="11" t="s">
        <v>126</v>
      </c>
      <c r="D34" s="18">
        <v>13656.26</v>
      </c>
      <c r="E34" s="46">
        <v>55000</v>
      </c>
      <c r="F34" s="46">
        <v>59580.020000000004</v>
      </c>
      <c r="G34" s="17">
        <v>-4580.0200000000041</v>
      </c>
      <c r="H34" s="12">
        <f t="shared" si="2"/>
        <v>9076.2399999999907</v>
      </c>
      <c r="I34" s="50">
        <f t="shared" si="3"/>
        <v>9076.2399999999907</v>
      </c>
      <c r="J34" s="46">
        <f>SUMIFS(Movimientos!$J$1:$J$432,Movimientos!$C$1:$C$432,$B34,Movimientos!$D$1:$D$432,$C34,Movimientos!$L$1:$L$432,A$3,Movimientos!$F$1:$F$432,"Ingreso")</f>
        <v>59000</v>
      </c>
      <c r="K34" s="46">
        <f>SUMIFS(Movimientos!$J$1:$J$432,Movimientos!$C$1:$C$432,$B34,Movimientos!$D$1:$D$432,$C34,Movimientos!$L$1:$L$432,A$3,Movimientos!$F$1:$F$432,"Egreso")</f>
        <v>49496.810000000005</v>
      </c>
      <c r="L34" s="7">
        <f t="shared" si="0"/>
        <v>9503.1899999999951</v>
      </c>
      <c r="M34" s="12">
        <f t="shared" si="4"/>
        <v>18579.429999999986</v>
      </c>
      <c r="N34" s="5">
        <f t="shared" si="5"/>
        <v>18579.429999999986</v>
      </c>
      <c r="O34" s="46">
        <f>SUMIFS(Movimientos!$J$1:$J$432,Movimientos!$C$1:$C$432,$B34,Movimientos!$D$1:$D$432,$C34,Movimientos!$L$1:$L$432,A$4,Movimientos!$F$1:$F$432,"Ingreso")</f>
        <v>0</v>
      </c>
      <c r="P34" s="46">
        <f>SUMIFS(Movimientos!$J$1:$J$432,Movimientos!$C$1:$C$432,$B34,Movimientos!$D$1:$D$432,$C34,Movimientos!$L$1:$L$432,A$4,Movimientos!$F$1:$F$432,"Egreso")</f>
        <v>0</v>
      </c>
      <c r="Q34" s="7">
        <f t="shared" si="1"/>
        <v>0</v>
      </c>
      <c r="R34" s="12">
        <f t="shared" si="6"/>
        <v>18579.429999999986</v>
      </c>
    </row>
    <row r="35" spans="1:18" x14ac:dyDescent="0.3">
      <c r="C35" s="38"/>
    </row>
  </sheetData>
  <autoFilter ref="A1:C34" xr:uid="{00000000-0001-0000-0200-000000000000}"/>
  <phoneticPr fontId="5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C67C2E-828B-4D23-9B42-F6AFA48BBA5B}">
  <dimension ref="A1:V62"/>
  <sheetViews>
    <sheetView showGridLines="0" zoomScale="80" zoomScaleNormal="80" workbookViewId="0">
      <pane xSplit="2" ySplit="1" topLeftCell="C40" activePane="bottomRight" state="frozen"/>
      <selection pane="topRight" activeCell="C1" sqref="C1"/>
      <selection pane="bottomLeft" activeCell="A2" sqref="A2"/>
      <selection pane="bottomRight" activeCell="H68" sqref="H68"/>
    </sheetView>
  </sheetViews>
  <sheetFormatPr baseColWidth="10" defaultRowHeight="14.4" outlineLevelRow="1" x14ac:dyDescent="0.3"/>
  <cols>
    <col min="1" max="1" width="5.6640625" customWidth="1"/>
    <col min="2" max="2" width="11.5546875" bestFit="1" customWidth="1"/>
    <col min="3" max="3" width="16.33203125" bestFit="1" customWidth="1"/>
    <col min="4" max="4" width="13.5546875" bestFit="1" customWidth="1"/>
    <col min="5" max="5" width="9.77734375" bestFit="1" customWidth="1"/>
    <col min="6" max="6" width="14.77734375" customWidth="1"/>
    <col min="7" max="7" width="13.5546875" bestFit="1" customWidth="1"/>
    <col min="8" max="8" width="18.5546875" customWidth="1"/>
    <col min="9" max="9" width="20" customWidth="1"/>
    <col min="10" max="10" width="11.5546875" customWidth="1"/>
    <col min="11" max="11" width="20.77734375" customWidth="1"/>
    <col min="12" max="12" width="13.44140625" customWidth="1"/>
    <col min="13" max="13" width="9.77734375" bestFit="1" customWidth="1"/>
    <col min="14" max="14" width="18.88671875" customWidth="1"/>
    <col min="15" max="15" width="9.88671875" customWidth="1"/>
    <col min="16" max="16" width="24.109375" customWidth="1"/>
    <col min="17" max="17" width="17.33203125" customWidth="1"/>
    <col min="18" max="18" width="16.5546875" customWidth="1"/>
    <col min="19" max="19" width="18.44140625" customWidth="1"/>
    <col min="20" max="20" width="19.88671875" customWidth="1"/>
    <col min="21" max="21" width="10.88671875" bestFit="1" customWidth="1"/>
    <col min="22" max="22" width="20.44140625" customWidth="1"/>
    <col min="24" max="24" width="18.109375" customWidth="1"/>
  </cols>
  <sheetData>
    <row r="1" spans="1:22" ht="37.950000000000003" customHeight="1" x14ac:dyDescent="0.3">
      <c r="A1" s="19" t="s">
        <v>150</v>
      </c>
      <c r="B1" s="20" t="s">
        <v>1</v>
      </c>
      <c r="C1" s="20" t="s">
        <v>17</v>
      </c>
      <c r="D1" s="20" t="s">
        <v>18</v>
      </c>
      <c r="E1" s="20" t="s">
        <v>19</v>
      </c>
      <c r="F1" s="20" t="s">
        <v>20</v>
      </c>
      <c r="G1" s="20" t="s">
        <v>21</v>
      </c>
      <c r="H1" s="20" t="s">
        <v>22</v>
      </c>
      <c r="I1" s="20" t="s">
        <v>23</v>
      </c>
      <c r="J1" s="20" t="s">
        <v>24</v>
      </c>
      <c r="K1" s="20" t="s">
        <v>25</v>
      </c>
      <c r="L1" s="20" t="s">
        <v>26</v>
      </c>
      <c r="M1" s="20" t="s">
        <v>27</v>
      </c>
      <c r="N1" s="20" t="s">
        <v>28</v>
      </c>
      <c r="O1" s="20" t="s">
        <v>29</v>
      </c>
      <c r="P1" s="20" t="s">
        <v>30</v>
      </c>
      <c r="Q1" s="20" t="s">
        <v>31</v>
      </c>
      <c r="R1" s="20" t="s">
        <v>32</v>
      </c>
      <c r="S1" s="20" t="s">
        <v>33</v>
      </c>
      <c r="T1" s="20" t="s">
        <v>34</v>
      </c>
      <c r="U1" s="20" t="s">
        <v>35</v>
      </c>
      <c r="V1" s="21" t="s">
        <v>151</v>
      </c>
    </row>
    <row r="2" spans="1:22" x14ac:dyDescent="0.3">
      <c r="A2" s="22">
        <v>1</v>
      </c>
      <c r="B2" s="23">
        <v>46143</v>
      </c>
      <c r="C2" s="24">
        <v>200763.43000000025</v>
      </c>
      <c r="D2" s="24">
        <v>51288.029999999948</v>
      </c>
      <c r="E2" s="24">
        <v>1669.89</v>
      </c>
      <c r="F2" s="24">
        <v>589990.30000000005</v>
      </c>
      <c r="G2" s="24">
        <v>990387.37999999931</v>
      </c>
      <c r="H2" s="24">
        <v>142511.38</v>
      </c>
      <c r="I2" s="24">
        <v>13088.589999999997</v>
      </c>
      <c r="J2" s="24">
        <v>808.82999999999993</v>
      </c>
      <c r="K2" s="24">
        <v>114.3</v>
      </c>
      <c r="L2" s="24">
        <v>2267.7200000000003</v>
      </c>
      <c r="M2" s="24">
        <v>3364.94</v>
      </c>
      <c r="N2" s="24">
        <v>1968.99</v>
      </c>
      <c r="O2" s="24">
        <v>901.34</v>
      </c>
      <c r="P2" s="24">
        <v>1444.08</v>
      </c>
      <c r="Q2" s="24">
        <v>23262.599999999962</v>
      </c>
      <c r="R2" s="24">
        <v>6853.9100000000017</v>
      </c>
      <c r="S2" s="24">
        <v>21338.39</v>
      </c>
      <c r="T2" s="24">
        <v>345</v>
      </c>
      <c r="U2" s="24">
        <v>13491.26</v>
      </c>
      <c r="V2" s="25">
        <v>2065860.3599999996</v>
      </c>
    </row>
    <row r="3" spans="1:22" outlineLevel="1" x14ac:dyDescent="0.3">
      <c r="A3" s="22">
        <f>+A2+1</f>
        <v>2</v>
      </c>
      <c r="B3" s="23">
        <v>46144</v>
      </c>
      <c r="C3" s="24">
        <v>200763.43000000025</v>
      </c>
      <c r="D3" s="24">
        <v>51288.029999999948</v>
      </c>
      <c r="E3" s="24">
        <v>1669.89</v>
      </c>
      <c r="F3" s="24">
        <v>589990.30000000005</v>
      </c>
      <c r="G3" s="24">
        <v>990387.37999999931</v>
      </c>
      <c r="H3" s="24">
        <v>142511.38</v>
      </c>
      <c r="I3" s="24">
        <v>13088.589999999997</v>
      </c>
      <c r="J3" s="24">
        <v>808.82999999999993</v>
      </c>
      <c r="K3" s="24">
        <v>114.3</v>
      </c>
      <c r="L3" s="24">
        <v>2267.7200000000003</v>
      </c>
      <c r="M3" s="24">
        <v>3364.94</v>
      </c>
      <c r="N3" s="24">
        <v>1968.99</v>
      </c>
      <c r="O3" s="24">
        <v>901.34</v>
      </c>
      <c r="P3" s="24">
        <v>1444.08</v>
      </c>
      <c r="Q3" s="24">
        <v>23262.599999999962</v>
      </c>
      <c r="R3" s="24">
        <v>6853.9100000000017</v>
      </c>
      <c r="S3" s="24">
        <v>21338.39</v>
      </c>
      <c r="T3" s="24">
        <v>345</v>
      </c>
      <c r="U3" s="24">
        <v>13491.26</v>
      </c>
      <c r="V3" s="25">
        <v>2065860.3599999996</v>
      </c>
    </row>
    <row r="4" spans="1:22" outlineLevel="1" x14ac:dyDescent="0.3">
      <c r="A4" s="22">
        <f t="shared" ref="A4:A59" si="0">+A3+1</f>
        <v>3</v>
      </c>
      <c r="B4" s="23">
        <v>46145</v>
      </c>
      <c r="C4" s="24">
        <v>200763.43000000025</v>
      </c>
      <c r="D4" s="24">
        <v>51288.029999999948</v>
      </c>
      <c r="E4" s="24">
        <v>1669.89</v>
      </c>
      <c r="F4" s="24">
        <v>589990.30000000005</v>
      </c>
      <c r="G4" s="24">
        <v>990387.37999999931</v>
      </c>
      <c r="H4" s="24">
        <v>142511.38</v>
      </c>
      <c r="I4" s="24">
        <v>13088.589999999997</v>
      </c>
      <c r="J4" s="24">
        <v>808.82999999999993</v>
      </c>
      <c r="K4" s="24">
        <v>114.3</v>
      </c>
      <c r="L4" s="24">
        <v>2267.7200000000003</v>
      </c>
      <c r="M4" s="24">
        <v>3364.94</v>
      </c>
      <c r="N4" s="24">
        <v>1968.99</v>
      </c>
      <c r="O4" s="24">
        <v>901.34</v>
      </c>
      <c r="P4" s="24">
        <v>1444.08</v>
      </c>
      <c r="Q4" s="24">
        <v>23262.599999999962</v>
      </c>
      <c r="R4" s="24">
        <v>6853.9100000000017</v>
      </c>
      <c r="S4" s="24">
        <v>21338.39</v>
      </c>
      <c r="T4" s="24">
        <v>345</v>
      </c>
      <c r="U4" s="24">
        <v>13491.26</v>
      </c>
      <c r="V4" s="25">
        <v>2065860.3599999996</v>
      </c>
    </row>
    <row r="5" spans="1:22" outlineLevel="1" x14ac:dyDescent="0.3">
      <c r="A5" s="22">
        <f t="shared" si="0"/>
        <v>4</v>
      </c>
      <c r="B5" s="23">
        <v>46146</v>
      </c>
      <c r="C5" s="24">
        <v>200763.43000000025</v>
      </c>
      <c r="D5" s="24">
        <v>51288.029999999948</v>
      </c>
      <c r="E5" s="24">
        <v>1669.89</v>
      </c>
      <c r="F5" s="24">
        <v>589990.30000000005</v>
      </c>
      <c r="G5" s="24">
        <v>1790387.3799999994</v>
      </c>
      <c r="H5" s="24">
        <v>136511.38</v>
      </c>
      <c r="I5" s="24">
        <v>13088.589999999997</v>
      </c>
      <c r="J5" s="24">
        <v>808.82999999999993</v>
      </c>
      <c r="K5" s="24">
        <v>114.3</v>
      </c>
      <c r="L5" s="24">
        <v>2267.7200000000003</v>
      </c>
      <c r="M5" s="24">
        <v>3364.94</v>
      </c>
      <c r="N5" s="24">
        <v>1968.99</v>
      </c>
      <c r="O5" s="24">
        <v>901.34</v>
      </c>
      <c r="P5" s="24">
        <v>1444.08</v>
      </c>
      <c r="Q5" s="24">
        <v>23247.599999999962</v>
      </c>
      <c r="R5" s="24">
        <v>6853.9100000000017</v>
      </c>
      <c r="S5" s="24">
        <v>21338.39</v>
      </c>
      <c r="T5" s="24">
        <v>345</v>
      </c>
      <c r="U5" s="24">
        <v>8782.25</v>
      </c>
      <c r="V5" s="25">
        <v>2855136.35</v>
      </c>
    </row>
    <row r="6" spans="1:22" outlineLevel="1" x14ac:dyDescent="0.3">
      <c r="A6" s="22">
        <f t="shared" si="0"/>
        <v>5</v>
      </c>
      <c r="B6" s="23">
        <v>46147</v>
      </c>
      <c r="C6" s="24">
        <v>197763.43000000025</v>
      </c>
      <c r="D6" s="24">
        <v>51288.029999999948</v>
      </c>
      <c r="E6" s="24">
        <v>1669.89</v>
      </c>
      <c r="F6" s="24">
        <v>989990.29999999993</v>
      </c>
      <c r="G6" s="24">
        <v>1088892.0899999994</v>
      </c>
      <c r="H6" s="24">
        <v>121511.38</v>
      </c>
      <c r="I6" s="24">
        <v>813088.59</v>
      </c>
      <c r="J6" s="24">
        <v>3768.83</v>
      </c>
      <c r="K6" s="24">
        <v>114.3</v>
      </c>
      <c r="L6" s="24">
        <v>2267.7200000000003</v>
      </c>
      <c r="M6" s="24">
        <v>3364.94</v>
      </c>
      <c r="N6" s="24">
        <v>1968.99</v>
      </c>
      <c r="O6" s="24">
        <v>901.34</v>
      </c>
      <c r="P6" s="24">
        <v>1444.08</v>
      </c>
      <c r="Q6" s="24">
        <v>23247.599999999962</v>
      </c>
      <c r="R6" s="24">
        <v>6853.9100000000017</v>
      </c>
      <c r="S6" s="24">
        <v>21338.39</v>
      </c>
      <c r="T6" s="24">
        <v>345</v>
      </c>
      <c r="U6" s="24">
        <v>8782.25</v>
      </c>
      <c r="V6" s="25">
        <v>3338601.0599999996</v>
      </c>
    </row>
    <row r="7" spans="1:22" outlineLevel="1" x14ac:dyDescent="0.3">
      <c r="A7" s="22">
        <f t="shared" si="0"/>
        <v>6</v>
      </c>
      <c r="B7" s="23">
        <v>46148</v>
      </c>
      <c r="C7" s="24">
        <v>197763.43000000025</v>
      </c>
      <c r="D7" s="24">
        <v>626288.02999999991</v>
      </c>
      <c r="E7" s="24">
        <v>1669.89</v>
      </c>
      <c r="F7" s="24">
        <v>989990.29999999993</v>
      </c>
      <c r="G7" s="24">
        <v>961212.30999999924</v>
      </c>
      <c r="H7" s="24">
        <v>121511.38</v>
      </c>
      <c r="I7" s="24">
        <v>813088.59</v>
      </c>
      <c r="J7" s="24">
        <v>3768.83</v>
      </c>
      <c r="K7" s="24">
        <v>114.3</v>
      </c>
      <c r="L7" s="24">
        <v>2267.7200000000003</v>
      </c>
      <c r="M7" s="24">
        <v>3364.94</v>
      </c>
      <c r="N7" s="24">
        <v>1968.99</v>
      </c>
      <c r="O7" s="24">
        <v>901.34</v>
      </c>
      <c r="P7" s="24">
        <v>1444.08</v>
      </c>
      <c r="Q7" s="24">
        <v>23247.599999999962</v>
      </c>
      <c r="R7" s="24">
        <v>5135.0600000000013</v>
      </c>
      <c r="S7" s="24">
        <v>21338.39</v>
      </c>
      <c r="T7" s="24">
        <v>345</v>
      </c>
      <c r="U7" s="24">
        <v>8782.25</v>
      </c>
      <c r="V7" s="25">
        <v>3784202.4299999997</v>
      </c>
    </row>
    <row r="8" spans="1:22" outlineLevel="1" x14ac:dyDescent="0.3">
      <c r="A8" s="22">
        <f t="shared" si="0"/>
        <v>7</v>
      </c>
      <c r="B8" s="23">
        <v>46149</v>
      </c>
      <c r="C8" s="24">
        <v>447763.43000000028</v>
      </c>
      <c r="D8" s="24">
        <v>56288.029999999941</v>
      </c>
      <c r="E8" s="24">
        <v>1669.89</v>
      </c>
      <c r="F8" s="24">
        <v>274668.55999999994</v>
      </c>
      <c r="G8" s="24">
        <v>926213.13999999932</v>
      </c>
      <c r="H8" s="24">
        <v>121511.38</v>
      </c>
      <c r="I8" s="24">
        <v>1513088.59</v>
      </c>
      <c r="J8" s="24">
        <v>3768.83</v>
      </c>
      <c r="K8" s="24">
        <v>114.3</v>
      </c>
      <c r="L8" s="24">
        <v>2267.7200000000003</v>
      </c>
      <c r="M8" s="24">
        <v>3364.94</v>
      </c>
      <c r="N8" s="24">
        <v>1968.99</v>
      </c>
      <c r="O8" s="24">
        <v>901.34</v>
      </c>
      <c r="P8" s="24">
        <v>1444.08</v>
      </c>
      <c r="Q8" s="24">
        <v>23247.599999999962</v>
      </c>
      <c r="R8" s="24">
        <v>15135.060000000001</v>
      </c>
      <c r="S8" s="24">
        <v>31338.39</v>
      </c>
      <c r="T8" s="24">
        <v>345</v>
      </c>
      <c r="U8" s="24">
        <v>8782.25</v>
      </c>
      <c r="V8" s="25">
        <v>3433881.52</v>
      </c>
    </row>
    <row r="9" spans="1:22" outlineLevel="1" x14ac:dyDescent="0.3">
      <c r="A9" s="22">
        <f t="shared" si="0"/>
        <v>8</v>
      </c>
      <c r="B9" s="23">
        <v>46150</v>
      </c>
      <c r="C9" s="24">
        <v>512927.75000000023</v>
      </c>
      <c r="D9" s="24">
        <v>58840.089999999938</v>
      </c>
      <c r="E9" s="24">
        <v>1669.89</v>
      </c>
      <c r="F9" s="24">
        <v>792366.49999999988</v>
      </c>
      <c r="G9" s="24">
        <v>923830.41999999923</v>
      </c>
      <c r="H9" s="24">
        <v>121511.38</v>
      </c>
      <c r="I9" s="24">
        <v>13088.589999999997</v>
      </c>
      <c r="J9" s="24">
        <v>3768.83</v>
      </c>
      <c r="K9" s="24">
        <v>114.3</v>
      </c>
      <c r="L9" s="24">
        <v>2267.7200000000003</v>
      </c>
      <c r="M9" s="24">
        <v>3349.94</v>
      </c>
      <c r="N9" s="24">
        <v>1968.99</v>
      </c>
      <c r="O9" s="24">
        <v>901.34</v>
      </c>
      <c r="P9" s="24">
        <v>1444.08</v>
      </c>
      <c r="Q9" s="24">
        <v>20592.599999999962</v>
      </c>
      <c r="R9" s="24">
        <v>15120.060000000001</v>
      </c>
      <c r="S9" s="24">
        <v>31323.39</v>
      </c>
      <c r="T9" s="24">
        <v>345</v>
      </c>
      <c r="U9" s="24">
        <v>23782.25</v>
      </c>
      <c r="V9" s="25">
        <v>2529213.1199999996</v>
      </c>
    </row>
    <row r="10" spans="1:22" ht="13.8" customHeight="1" outlineLevel="1" x14ac:dyDescent="0.3">
      <c r="A10" s="22">
        <f t="shared" si="0"/>
        <v>9</v>
      </c>
      <c r="B10" s="23">
        <v>46151</v>
      </c>
      <c r="C10" s="24">
        <v>512927.75000000023</v>
      </c>
      <c r="D10" s="24">
        <v>58840.089999999938</v>
      </c>
      <c r="E10" s="24">
        <v>1669.89</v>
      </c>
      <c r="F10" s="24">
        <v>792366.49999999988</v>
      </c>
      <c r="G10" s="24">
        <v>923830.41999999923</v>
      </c>
      <c r="H10" s="24">
        <v>121511.38</v>
      </c>
      <c r="I10" s="24">
        <v>13088.589999999997</v>
      </c>
      <c r="J10" s="24">
        <v>3768.83</v>
      </c>
      <c r="K10" s="24">
        <v>114.3</v>
      </c>
      <c r="L10" s="24">
        <v>2267.7200000000003</v>
      </c>
      <c r="M10" s="24">
        <v>3349.94</v>
      </c>
      <c r="N10" s="24">
        <v>1968.99</v>
      </c>
      <c r="O10" s="24">
        <v>901.34</v>
      </c>
      <c r="P10" s="24">
        <v>1444.08</v>
      </c>
      <c r="Q10" s="24">
        <v>20592.599999999962</v>
      </c>
      <c r="R10" s="24">
        <v>15120.060000000001</v>
      </c>
      <c r="S10" s="24">
        <v>31323.39</v>
      </c>
      <c r="T10" s="24">
        <v>345</v>
      </c>
      <c r="U10" s="24">
        <v>23782.25</v>
      </c>
      <c r="V10" s="25">
        <v>2529213.1199999996</v>
      </c>
    </row>
    <row r="11" spans="1:22" outlineLevel="1" x14ac:dyDescent="0.3">
      <c r="A11" s="22">
        <f t="shared" si="0"/>
        <v>10</v>
      </c>
      <c r="B11" s="23">
        <v>46152</v>
      </c>
      <c r="C11" s="24">
        <v>512927.75000000023</v>
      </c>
      <c r="D11" s="24">
        <v>58840.089999999938</v>
      </c>
      <c r="E11" s="24">
        <v>1669.89</v>
      </c>
      <c r="F11" s="24">
        <v>792366.49999999988</v>
      </c>
      <c r="G11" s="24">
        <v>923830.41999999923</v>
      </c>
      <c r="H11" s="24">
        <v>121511.38</v>
      </c>
      <c r="I11" s="24">
        <v>13088.589999999997</v>
      </c>
      <c r="J11" s="24">
        <v>3768.83</v>
      </c>
      <c r="K11" s="24">
        <v>114.3</v>
      </c>
      <c r="L11" s="24">
        <v>2267.7200000000003</v>
      </c>
      <c r="M11" s="24">
        <v>3349.94</v>
      </c>
      <c r="N11" s="24">
        <v>1968.99</v>
      </c>
      <c r="O11" s="24">
        <v>901.34</v>
      </c>
      <c r="P11" s="24">
        <v>1444.08</v>
      </c>
      <c r="Q11" s="24">
        <v>20592.599999999962</v>
      </c>
      <c r="R11" s="24">
        <v>15120.060000000001</v>
      </c>
      <c r="S11" s="24">
        <v>31323.39</v>
      </c>
      <c r="T11" s="24">
        <v>345</v>
      </c>
      <c r="U11" s="24">
        <v>23782.25</v>
      </c>
      <c r="V11" s="25">
        <v>2529213.1199999996</v>
      </c>
    </row>
    <row r="12" spans="1:22" outlineLevel="1" x14ac:dyDescent="0.3">
      <c r="A12" s="22">
        <f t="shared" si="0"/>
        <v>11</v>
      </c>
      <c r="B12" s="23">
        <v>46153</v>
      </c>
      <c r="C12" s="24">
        <v>512927.75000000023</v>
      </c>
      <c r="D12" s="24">
        <v>58840.089999999938</v>
      </c>
      <c r="E12" s="24">
        <v>1669.89</v>
      </c>
      <c r="F12" s="24">
        <v>1368366.5</v>
      </c>
      <c r="G12" s="24">
        <v>1162513.7699999993</v>
      </c>
      <c r="H12" s="24">
        <v>121511.38</v>
      </c>
      <c r="I12" s="24">
        <v>13088.589999999997</v>
      </c>
      <c r="J12" s="24">
        <v>3768.83</v>
      </c>
      <c r="K12" s="24">
        <v>114.3</v>
      </c>
      <c r="L12" s="24">
        <v>2267.7200000000003</v>
      </c>
      <c r="M12" s="24">
        <v>3349.94</v>
      </c>
      <c r="N12" s="24">
        <v>1968.99</v>
      </c>
      <c r="O12" s="24">
        <v>901.34</v>
      </c>
      <c r="P12" s="24">
        <v>1444.08</v>
      </c>
      <c r="Q12" s="24">
        <v>19092.599999999962</v>
      </c>
      <c r="R12" s="24">
        <v>15120.060000000001</v>
      </c>
      <c r="S12" s="24">
        <v>31323.39</v>
      </c>
      <c r="T12" s="24">
        <v>345</v>
      </c>
      <c r="U12" s="24">
        <v>16956.59</v>
      </c>
      <c r="V12" s="25">
        <v>3335570.8099999996</v>
      </c>
    </row>
    <row r="13" spans="1:22" outlineLevel="1" x14ac:dyDescent="0.3">
      <c r="A13" s="22">
        <f t="shared" si="0"/>
        <v>12</v>
      </c>
      <c r="B13" s="23">
        <v>46154</v>
      </c>
      <c r="C13" s="24">
        <v>606714.4700000002</v>
      </c>
      <c r="D13" s="24">
        <v>58840.089999999938</v>
      </c>
      <c r="E13" s="24">
        <v>1669.89</v>
      </c>
      <c r="F13" s="24">
        <v>1226185.8999999999</v>
      </c>
      <c r="G13" s="24">
        <v>1162404.8599999992</v>
      </c>
      <c r="H13" s="24">
        <v>121511.38</v>
      </c>
      <c r="I13" s="24">
        <v>13088.589999999997</v>
      </c>
      <c r="J13" s="24">
        <v>3768.83</v>
      </c>
      <c r="K13" s="24">
        <v>114.3</v>
      </c>
      <c r="L13" s="24">
        <v>2267.7200000000003</v>
      </c>
      <c r="M13" s="24">
        <v>3349.94</v>
      </c>
      <c r="N13" s="24">
        <v>1968.99</v>
      </c>
      <c r="O13" s="24">
        <v>901.34</v>
      </c>
      <c r="P13" s="24">
        <v>1444.08</v>
      </c>
      <c r="Q13" s="24">
        <v>19092.599999999962</v>
      </c>
      <c r="R13" s="24">
        <v>15120.060000000001</v>
      </c>
      <c r="S13" s="24">
        <v>31323.39</v>
      </c>
      <c r="T13" s="24">
        <v>345</v>
      </c>
      <c r="U13" s="24">
        <v>16741.59</v>
      </c>
      <c r="V13" s="25">
        <v>3286853.0199999991</v>
      </c>
    </row>
    <row r="14" spans="1:22" outlineLevel="1" x14ac:dyDescent="0.3">
      <c r="A14" s="22">
        <f t="shared" si="0"/>
        <v>13</v>
      </c>
      <c r="B14" s="23">
        <v>46155</v>
      </c>
      <c r="C14" s="24">
        <v>606714.4700000002</v>
      </c>
      <c r="D14" s="24">
        <v>58840.089999999938</v>
      </c>
      <c r="E14" s="24">
        <v>1669.89</v>
      </c>
      <c r="F14" s="24">
        <v>1242679.67</v>
      </c>
      <c r="G14" s="24">
        <v>1162404.8599999992</v>
      </c>
      <c r="H14" s="24">
        <v>121511.38</v>
      </c>
      <c r="I14" s="24">
        <v>13090.369999999997</v>
      </c>
      <c r="J14" s="24">
        <v>2498.3999999999996</v>
      </c>
      <c r="K14" s="24">
        <v>114.3</v>
      </c>
      <c r="L14" s="24">
        <v>2267.7200000000003</v>
      </c>
      <c r="M14" s="24">
        <v>3349.94</v>
      </c>
      <c r="N14" s="24">
        <v>1968.99</v>
      </c>
      <c r="O14" s="24">
        <v>901.34</v>
      </c>
      <c r="P14" s="24">
        <v>1444.08</v>
      </c>
      <c r="Q14" s="24">
        <v>18242.599999999962</v>
      </c>
      <c r="R14" s="24">
        <v>15120.060000000001</v>
      </c>
      <c r="S14" s="24">
        <v>31323.39</v>
      </c>
      <c r="T14" s="24">
        <v>345</v>
      </c>
      <c r="U14" s="24">
        <v>16741.59</v>
      </c>
      <c r="V14" s="25">
        <v>3301228.1399999997</v>
      </c>
    </row>
    <row r="15" spans="1:22" outlineLevel="1" x14ac:dyDescent="0.3">
      <c r="A15" s="22">
        <f t="shared" si="0"/>
        <v>14</v>
      </c>
      <c r="B15" s="23">
        <v>46156</v>
      </c>
      <c r="C15" s="24">
        <v>165752.81000000023</v>
      </c>
      <c r="D15" s="24">
        <v>59760.159999999938</v>
      </c>
      <c r="E15" s="24">
        <v>1669.89</v>
      </c>
      <c r="F15" s="24">
        <v>832679.66999999981</v>
      </c>
      <c r="G15" s="24">
        <v>952193.18999999925</v>
      </c>
      <c r="H15" s="24">
        <v>121511.38</v>
      </c>
      <c r="I15" s="24">
        <v>13090.369999999997</v>
      </c>
      <c r="J15" s="24">
        <v>2498.3999999999996</v>
      </c>
      <c r="K15" s="24">
        <v>114.3</v>
      </c>
      <c r="L15" s="24">
        <v>2267.7200000000003</v>
      </c>
      <c r="M15" s="24">
        <v>3349.94</v>
      </c>
      <c r="N15" s="24">
        <v>1968.99</v>
      </c>
      <c r="O15" s="24">
        <v>901.34</v>
      </c>
      <c r="P15" s="24">
        <v>1444.08</v>
      </c>
      <c r="Q15" s="24">
        <v>18242.599999999962</v>
      </c>
      <c r="R15" s="24">
        <v>15120.060000000001</v>
      </c>
      <c r="S15" s="24">
        <v>31323.39</v>
      </c>
      <c r="T15" s="24">
        <v>345</v>
      </c>
      <c r="U15" s="24">
        <v>14226.59</v>
      </c>
      <c r="V15" s="25">
        <v>2238459.8799999994</v>
      </c>
    </row>
    <row r="16" spans="1:22" outlineLevel="1" x14ac:dyDescent="0.3">
      <c r="A16" s="22">
        <f t="shared" si="0"/>
        <v>15</v>
      </c>
      <c r="B16" s="23">
        <v>46157</v>
      </c>
      <c r="C16" s="24">
        <v>165752.81000000023</v>
      </c>
      <c r="D16" s="24">
        <v>59760.159999999938</v>
      </c>
      <c r="E16" s="24">
        <v>1669.89</v>
      </c>
      <c r="F16" s="24">
        <v>832076.20999999985</v>
      </c>
      <c r="G16" s="24">
        <v>952163.77999999933</v>
      </c>
      <c r="H16" s="24">
        <v>121511.38</v>
      </c>
      <c r="I16" s="24">
        <v>13090.369999999997</v>
      </c>
      <c r="J16" s="24">
        <v>2498.3999999999996</v>
      </c>
      <c r="K16" s="24">
        <v>114.3</v>
      </c>
      <c r="L16" s="24">
        <v>2267.7200000000003</v>
      </c>
      <c r="M16" s="24">
        <v>3349.94</v>
      </c>
      <c r="N16" s="24">
        <v>1968.99</v>
      </c>
      <c r="O16" s="24">
        <v>901.34</v>
      </c>
      <c r="P16" s="24">
        <v>1444.08</v>
      </c>
      <c r="Q16" s="24">
        <v>18242.599999999962</v>
      </c>
      <c r="R16" s="24">
        <v>15120.060000000001</v>
      </c>
      <c r="S16" s="24">
        <v>27011.27</v>
      </c>
      <c r="T16" s="24">
        <v>345</v>
      </c>
      <c r="U16" s="24">
        <v>14176.59</v>
      </c>
      <c r="V16" s="25">
        <v>2233464.8899999997</v>
      </c>
    </row>
    <row r="17" spans="1:22" outlineLevel="1" x14ac:dyDescent="0.3">
      <c r="A17" s="22">
        <f t="shared" si="0"/>
        <v>16</v>
      </c>
      <c r="B17" s="23">
        <v>46158</v>
      </c>
      <c r="C17" s="24">
        <v>165752.81000000023</v>
      </c>
      <c r="D17" s="24">
        <v>59760.159999999938</v>
      </c>
      <c r="E17" s="24">
        <v>1669.89</v>
      </c>
      <c r="F17" s="24">
        <v>832076.20999999985</v>
      </c>
      <c r="G17" s="24">
        <v>952163.77999999933</v>
      </c>
      <c r="H17" s="24">
        <v>121511.38</v>
      </c>
      <c r="I17" s="24">
        <v>13090.369999999997</v>
      </c>
      <c r="J17" s="24">
        <v>2498.3999999999996</v>
      </c>
      <c r="K17" s="24">
        <v>114.3</v>
      </c>
      <c r="L17" s="24">
        <v>2267.7200000000003</v>
      </c>
      <c r="M17" s="24">
        <v>3349.94</v>
      </c>
      <c r="N17" s="24">
        <v>1968.99</v>
      </c>
      <c r="O17" s="24">
        <v>901.34</v>
      </c>
      <c r="P17" s="24">
        <v>1444.08</v>
      </c>
      <c r="Q17" s="24">
        <v>18242.599999999962</v>
      </c>
      <c r="R17" s="24">
        <v>15120.060000000001</v>
      </c>
      <c r="S17" s="24">
        <v>27011.27</v>
      </c>
      <c r="T17" s="24">
        <v>345</v>
      </c>
      <c r="U17" s="24">
        <v>14176.59</v>
      </c>
      <c r="V17" s="25">
        <v>2233464.8899999997</v>
      </c>
    </row>
    <row r="18" spans="1:22" outlineLevel="1" x14ac:dyDescent="0.3">
      <c r="A18" s="22">
        <f t="shared" si="0"/>
        <v>17</v>
      </c>
      <c r="B18" s="23">
        <v>46159</v>
      </c>
      <c r="C18" s="24">
        <v>165752.81000000023</v>
      </c>
      <c r="D18" s="24">
        <v>59760.159999999938</v>
      </c>
      <c r="E18" s="24">
        <v>1669.89</v>
      </c>
      <c r="F18" s="24">
        <v>832076.20999999985</v>
      </c>
      <c r="G18" s="24">
        <v>952163.77999999933</v>
      </c>
      <c r="H18" s="24">
        <v>121511.38</v>
      </c>
      <c r="I18" s="24">
        <v>13090.369999999997</v>
      </c>
      <c r="J18" s="24">
        <v>2498.3999999999996</v>
      </c>
      <c r="K18" s="24">
        <v>114.3</v>
      </c>
      <c r="L18" s="24">
        <v>2267.7200000000003</v>
      </c>
      <c r="M18" s="24">
        <v>3349.94</v>
      </c>
      <c r="N18" s="24">
        <v>1968.99</v>
      </c>
      <c r="O18" s="24">
        <v>901.34</v>
      </c>
      <c r="P18" s="24">
        <v>1444.08</v>
      </c>
      <c r="Q18" s="24">
        <v>18242.599999999962</v>
      </c>
      <c r="R18" s="24">
        <v>15120.060000000001</v>
      </c>
      <c r="S18" s="24">
        <v>27011.27</v>
      </c>
      <c r="T18" s="24">
        <v>345</v>
      </c>
      <c r="U18" s="24">
        <v>14176.59</v>
      </c>
      <c r="V18" s="25">
        <v>2233464.8899999997</v>
      </c>
    </row>
    <row r="19" spans="1:22" outlineLevel="1" x14ac:dyDescent="0.3">
      <c r="A19" s="22">
        <f t="shared" si="0"/>
        <v>18</v>
      </c>
      <c r="B19" s="23">
        <v>46160</v>
      </c>
      <c r="C19" s="24">
        <v>165752.81000000023</v>
      </c>
      <c r="D19" s="24">
        <v>59760.159999999938</v>
      </c>
      <c r="E19" s="24">
        <v>1669.89</v>
      </c>
      <c r="F19" s="24">
        <v>832076.20999999985</v>
      </c>
      <c r="G19" s="24">
        <v>928713.30999999924</v>
      </c>
      <c r="H19" s="24">
        <v>121511.38</v>
      </c>
      <c r="I19" s="24">
        <v>13090.369999999997</v>
      </c>
      <c r="J19" s="24">
        <v>2498.3999999999996</v>
      </c>
      <c r="K19" s="24">
        <v>114.3</v>
      </c>
      <c r="L19" s="24">
        <v>2267.7200000000003</v>
      </c>
      <c r="M19" s="24">
        <v>3349.94</v>
      </c>
      <c r="N19" s="24">
        <v>1968.99</v>
      </c>
      <c r="O19" s="24">
        <v>901.34</v>
      </c>
      <c r="P19" s="24">
        <v>1444.08</v>
      </c>
      <c r="Q19" s="24">
        <v>15463.59999999996</v>
      </c>
      <c r="R19" s="24">
        <v>15120.060000000001</v>
      </c>
      <c r="S19" s="24">
        <v>27006.27</v>
      </c>
      <c r="T19" s="24">
        <v>345</v>
      </c>
      <c r="U19" s="24">
        <v>13941.210000000001</v>
      </c>
      <c r="V19" s="25">
        <v>2206995.0399999996</v>
      </c>
    </row>
    <row r="20" spans="1:22" outlineLevel="1" x14ac:dyDescent="0.3">
      <c r="A20" s="22">
        <f t="shared" si="0"/>
        <v>19</v>
      </c>
      <c r="B20" s="23">
        <v>46161</v>
      </c>
      <c r="C20" s="24">
        <v>815752.81000000029</v>
      </c>
      <c r="D20" s="24">
        <v>59760.159999999938</v>
      </c>
      <c r="E20" s="24">
        <v>1669.89</v>
      </c>
      <c r="F20" s="24">
        <v>832076.20999999985</v>
      </c>
      <c r="G20" s="24">
        <v>925592.77999999933</v>
      </c>
      <c r="H20" s="24">
        <v>91511.38</v>
      </c>
      <c r="I20" s="24">
        <v>13090.369999999997</v>
      </c>
      <c r="J20" s="24">
        <v>2498.3999999999996</v>
      </c>
      <c r="K20" s="24">
        <v>114.3</v>
      </c>
      <c r="L20" s="24">
        <v>2267.7200000000003</v>
      </c>
      <c r="M20" s="24">
        <v>3349.94</v>
      </c>
      <c r="N20" s="24">
        <v>1968.99</v>
      </c>
      <c r="O20" s="24">
        <v>901.34</v>
      </c>
      <c r="P20" s="24">
        <v>1444.08</v>
      </c>
      <c r="Q20" s="24">
        <v>15463.59999999996</v>
      </c>
      <c r="R20" s="24">
        <v>15120.060000000001</v>
      </c>
      <c r="S20" s="24">
        <v>27006.27</v>
      </c>
      <c r="T20" s="24">
        <v>345</v>
      </c>
      <c r="U20" s="24">
        <v>18941.21</v>
      </c>
      <c r="V20" s="25">
        <v>2828874.51</v>
      </c>
    </row>
    <row r="21" spans="1:22" outlineLevel="1" x14ac:dyDescent="0.3">
      <c r="A21" s="22">
        <f t="shared" si="0"/>
        <v>20</v>
      </c>
      <c r="B21" s="23">
        <v>46162</v>
      </c>
      <c r="C21" s="24">
        <v>142321.80000000013</v>
      </c>
      <c r="D21" s="24">
        <v>59760.159999999938</v>
      </c>
      <c r="E21" s="24">
        <v>1669.89</v>
      </c>
      <c r="F21" s="24">
        <v>832076.20999999985</v>
      </c>
      <c r="G21" s="24">
        <v>981189.87999999931</v>
      </c>
      <c r="H21" s="24">
        <v>141496.38</v>
      </c>
      <c r="I21" s="24">
        <v>13090.369999999997</v>
      </c>
      <c r="J21" s="24">
        <v>2498.3999999999996</v>
      </c>
      <c r="K21" s="24">
        <v>114.3</v>
      </c>
      <c r="L21" s="24">
        <v>2267.7200000000003</v>
      </c>
      <c r="M21" s="24">
        <v>3349.94</v>
      </c>
      <c r="N21" s="24">
        <v>1968.99</v>
      </c>
      <c r="O21" s="24">
        <v>901.34</v>
      </c>
      <c r="P21" s="24">
        <v>1444.08</v>
      </c>
      <c r="Q21" s="24">
        <v>15463.59999999996</v>
      </c>
      <c r="R21" s="24">
        <v>15120.060000000001</v>
      </c>
      <c r="S21" s="24">
        <v>29206.27</v>
      </c>
      <c r="T21" s="24">
        <v>345</v>
      </c>
      <c r="U21" s="24">
        <v>8168.0700000000006</v>
      </c>
      <c r="V21" s="25">
        <v>2252452.4599999995</v>
      </c>
    </row>
    <row r="22" spans="1:22" outlineLevel="1" x14ac:dyDescent="0.3">
      <c r="A22" s="22">
        <f t="shared" si="0"/>
        <v>21</v>
      </c>
      <c r="B22" s="23">
        <v>46163</v>
      </c>
      <c r="C22" s="24">
        <v>142321.80000000013</v>
      </c>
      <c r="D22" s="24">
        <v>659760.15999999992</v>
      </c>
      <c r="E22" s="24">
        <v>1669.89</v>
      </c>
      <c r="F22" s="24">
        <v>497076.20999999985</v>
      </c>
      <c r="G22" s="24">
        <v>981189.87999999931</v>
      </c>
      <c r="H22" s="24">
        <v>141496.38</v>
      </c>
      <c r="I22" s="24">
        <v>88090.37</v>
      </c>
      <c r="J22" s="24">
        <v>2498.3999999999996</v>
      </c>
      <c r="K22" s="24">
        <v>114.3</v>
      </c>
      <c r="L22" s="24">
        <v>2267.7200000000003</v>
      </c>
      <c r="M22" s="24">
        <v>3349.94</v>
      </c>
      <c r="N22" s="24">
        <v>1968.99</v>
      </c>
      <c r="O22" s="24">
        <v>901.34</v>
      </c>
      <c r="P22" s="24">
        <v>1444.08</v>
      </c>
      <c r="Q22" s="24">
        <v>15463.59999999996</v>
      </c>
      <c r="R22" s="24">
        <v>15120.060000000001</v>
      </c>
      <c r="S22" s="24">
        <v>29206.27</v>
      </c>
      <c r="T22" s="24">
        <v>345</v>
      </c>
      <c r="U22" s="24">
        <v>8168.0700000000006</v>
      </c>
      <c r="V22" s="25">
        <v>2592452.4599999995</v>
      </c>
    </row>
    <row r="23" spans="1:22" outlineLevel="1" x14ac:dyDescent="0.3">
      <c r="A23" s="22">
        <f t="shared" si="0"/>
        <v>22</v>
      </c>
      <c r="B23" s="23">
        <v>46164</v>
      </c>
      <c r="C23" s="24">
        <v>142321.80000000013</v>
      </c>
      <c r="D23" s="24">
        <v>659760.15999999992</v>
      </c>
      <c r="E23" s="24">
        <v>1669.89</v>
      </c>
      <c r="F23" s="24">
        <v>497076.20999999985</v>
      </c>
      <c r="G23" s="24">
        <v>980426.88999999932</v>
      </c>
      <c r="H23" s="24">
        <v>141496.38</v>
      </c>
      <c r="I23" s="24">
        <v>88090.37</v>
      </c>
      <c r="J23" s="24">
        <v>2498.3999999999996</v>
      </c>
      <c r="K23" s="24">
        <v>114.3</v>
      </c>
      <c r="L23" s="24">
        <v>2267.7200000000003</v>
      </c>
      <c r="M23" s="24">
        <v>3349.94</v>
      </c>
      <c r="N23" s="24">
        <v>1968.99</v>
      </c>
      <c r="O23" s="24">
        <v>901.34</v>
      </c>
      <c r="P23" s="24">
        <v>1444.08</v>
      </c>
      <c r="Q23" s="24">
        <v>15463.59999999996</v>
      </c>
      <c r="R23" s="24">
        <v>15120.060000000001</v>
      </c>
      <c r="S23" s="24">
        <v>29206.27</v>
      </c>
      <c r="T23" s="24">
        <v>345</v>
      </c>
      <c r="U23" s="24">
        <v>8168.0700000000006</v>
      </c>
      <c r="V23" s="25">
        <v>2591689.4699999993</v>
      </c>
    </row>
    <row r="24" spans="1:22" outlineLevel="1" x14ac:dyDescent="0.3">
      <c r="A24" s="22">
        <f t="shared" si="0"/>
        <v>23</v>
      </c>
      <c r="B24" s="23">
        <v>46165</v>
      </c>
      <c r="C24" s="24">
        <v>142321.80000000013</v>
      </c>
      <c r="D24" s="24">
        <v>659760.15999999992</v>
      </c>
      <c r="E24" s="24">
        <v>1669.89</v>
      </c>
      <c r="F24" s="24">
        <v>497076.20999999985</v>
      </c>
      <c r="G24" s="24">
        <v>980426.88999999932</v>
      </c>
      <c r="H24" s="24">
        <v>141496.38</v>
      </c>
      <c r="I24" s="24">
        <v>88090.37</v>
      </c>
      <c r="J24" s="24">
        <v>2498.3999999999996</v>
      </c>
      <c r="K24" s="24">
        <v>114.3</v>
      </c>
      <c r="L24" s="24">
        <v>2267.7200000000003</v>
      </c>
      <c r="M24" s="24">
        <v>3349.94</v>
      </c>
      <c r="N24" s="24">
        <v>1968.99</v>
      </c>
      <c r="O24" s="24">
        <v>901.34</v>
      </c>
      <c r="P24" s="24">
        <v>1444.08</v>
      </c>
      <c r="Q24" s="24">
        <v>15463.59999999996</v>
      </c>
      <c r="R24" s="24">
        <v>15120.060000000001</v>
      </c>
      <c r="S24" s="24">
        <v>29206.27</v>
      </c>
      <c r="T24" s="24">
        <v>345</v>
      </c>
      <c r="U24" s="24">
        <v>8168.0700000000006</v>
      </c>
      <c r="V24" s="25">
        <v>2591689.4699999993</v>
      </c>
    </row>
    <row r="25" spans="1:22" outlineLevel="1" x14ac:dyDescent="0.3">
      <c r="A25" s="22">
        <f t="shared" si="0"/>
        <v>24</v>
      </c>
      <c r="B25" s="23">
        <v>46166</v>
      </c>
      <c r="C25" s="24">
        <v>142321.80000000013</v>
      </c>
      <c r="D25" s="24">
        <v>659760.15999999992</v>
      </c>
      <c r="E25" s="24">
        <v>1669.89</v>
      </c>
      <c r="F25" s="24">
        <v>497076.20999999985</v>
      </c>
      <c r="G25" s="24">
        <v>980426.88999999932</v>
      </c>
      <c r="H25" s="24">
        <v>141496.38</v>
      </c>
      <c r="I25" s="24">
        <v>88090.37</v>
      </c>
      <c r="J25" s="24">
        <v>2498.3999999999996</v>
      </c>
      <c r="K25" s="24">
        <v>114.3</v>
      </c>
      <c r="L25" s="24">
        <v>2267.7200000000003</v>
      </c>
      <c r="M25" s="24">
        <v>3349.94</v>
      </c>
      <c r="N25" s="24">
        <v>1968.99</v>
      </c>
      <c r="O25" s="24">
        <v>901.34</v>
      </c>
      <c r="P25" s="24">
        <v>1444.08</v>
      </c>
      <c r="Q25" s="24">
        <v>15463.59999999996</v>
      </c>
      <c r="R25" s="24">
        <v>15120.060000000001</v>
      </c>
      <c r="S25" s="24">
        <v>29206.27</v>
      </c>
      <c r="T25" s="24">
        <v>345</v>
      </c>
      <c r="U25" s="24">
        <v>8168.0700000000006</v>
      </c>
      <c r="V25" s="25">
        <v>2591689.4699999993</v>
      </c>
    </row>
    <row r="26" spans="1:22" outlineLevel="1" x14ac:dyDescent="0.3">
      <c r="A26" s="22">
        <f t="shared" si="0"/>
        <v>25</v>
      </c>
      <c r="B26" s="23">
        <v>46167</v>
      </c>
      <c r="C26" s="24">
        <v>142321.80000000013</v>
      </c>
      <c r="D26" s="24">
        <v>659760.15999999992</v>
      </c>
      <c r="E26" s="24">
        <v>1669.89</v>
      </c>
      <c r="F26" s="24">
        <v>497076.20999999985</v>
      </c>
      <c r="G26" s="24">
        <v>980426.88999999932</v>
      </c>
      <c r="H26" s="24">
        <v>141496.38</v>
      </c>
      <c r="I26" s="24">
        <v>88090.37</v>
      </c>
      <c r="J26" s="24">
        <v>2498.3999999999996</v>
      </c>
      <c r="K26" s="24">
        <v>114.3</v>
      </c>
      <c r="L26" s="24">
        <v>2267.7200000000003</v>
      </c>
      <c r="M26" s="24">
        <v>3349.94</v>
      </c>
      <c r="N26" s="24">
        <v>1968.99</v>
      </c>
      <c r="O26" s="24">
        <v>901.34</v>
      </c>
      <c r="P26" s="24">
        <v>1444.08</v>
      </c>
      <c r="Q26" s="24">
        <v>15463.59999999996</v>
      </c>
      <c r="R26" s="24">
        <v>15120.060000000001</v>
      </c>
      <c r="S26" s="24">
        <v>29206.27</v>
      </c>
      <c r="T26" s="24">
        <v>345</v>
      </c>
      <c r="U26" s="24">
        <v>8168.0700000000006</v>
      </c>
      <c r="V26" s="25">
        <v>2591689.4699999993</v>
      </c>
    </row>
    <row r="27" spans="1:22" outlineLevel="1" x14ac:dyDescent="0.3">
      <c r="A27" s="22">
        <f t="shared" si="0"/>
        <v>26</v>
      </c>
      <c r="B27" s="23">
        <v>46168</v>
      </c>
      <c r="C27" s="24">
        <v>253154.33000000013</v>
      </c>
      <c r="D27" s="24">
        <v>1259760.1600000001</v>
      </c>
      <c r="E27" s="24">
        <v>1669.89</v>
      </c>
      <c r="F27" s="24">
        <v>497076.20999999985</v>
      </c>
      <c r="G27" s="24">
        <v>980426.88999999932</v>
      </c>
      <c r="H27" s="24">
        <v>141496.38</v>
      </c>
      <c r="I27" s="24">
        <v>88090.37</v>
      </c>
      <c r="J27" s="24">
        <v>2498.3999999999996</v>
      </c>
      <c r="K27" s="24">
        <v>114.3</v>
      </c>
      <c r="L27" s="24">
        <v>2267.7200000000003</v>
      </c>
      <c r="M27" s="24">
        <v>3349.94</v>
      </c>
      <c r="N27" s="24">
        <v>1968.99</v>
      </c>
      <c r="O27" s="24">
        <v>901.34</v>
      </c>
      <c r="P27" s="24">
        <v>1444.08</v>
      </c>
      <c r="Q27" s="24">
        <v>15463.59999999996</v>
      </c>
      <c r="R27" s="24">
        <v>15120.060000000001</v>
      </c>
      <c r="S27" s="24">
        <v>29206.27</v>
      </c>
      <c r="T27" s="24">
        <v>345</v>
      </c>
      <c r="U27" s="24">
        <v>8168.0700000000006</v>
      </c>
      <c r="V27" s="25">
        <v>3302521.9999999991</v>
      </c>
    </row>
    <row r="28" spans="1:22" outlineLevel="1" x14ac:dyDescent="0.3">
      <c r="A28" s="22">
        <f t="shared" si="0"/>
        <v>27</v>
      </c>
      <c r="B28" s="23">
        <v>46169</v>
      </c>
      <c r="C28" s="24">
        <v>259371.70000000013</v>
      </c>
      <c r="D28" s="24">
        <v>1259760.1600000001</v>
      </c>
      <c r="E28" s="24">
        <v>1669.89</v>
      </c>
      <c r="F28" s="24">
        <v>514616.73999999987</v>
      </c>
      <c r="G28" s="24">
        <v>980426.88999999932</v>
      </c>
      <c r="H28" s="24">
        <v>131496.38</v>
      </c>
      <c r="I28" s="24">
        <v>88090.37</v>
      </c>
      <c r="J28" s="24">
        <v>2498.3999999999996</v>
      </c>
      <c r="K28" s="24">
        <v>114.3</v>
      </c>
      <c r="L28" s="24">
        <v>2267.7200000000003</v>
      </c>
      <c r="M28" s="24">
        <v>3349.94</v>
      </c>
      <c r="N28" s="24">
        <v>1968.99</v>
      </c>
      <c r="O28" s="24">
        <v>901.34</v>
      </c>
      <c r="P28" s="24">
        <v>1444.08</v>
      </c>
      <c r="Q28" s="24">
        <v>15463.59999999996</v>
      </c>
      <c r="R28" s="24">
        <v>15120.060000000001</v>
      </c>
      <c r="S28" s="24">
        <v>33606.270000000004</v>
      </c>
      <c r="T28" s="24">
        <v>345</v>
      </c>
      <c r="U28" s="24">
        <v>17588.03</v>
      </c>
      <c r="V28" s="25">
        <v>3330099.8599999994</v>
      </c>
    </row>
    <row r="29" spans="1:22" outlineLevel="1" x14ac:dyDescent="0.3">
      <c r="A29" s="22">
        <f t="shared" si="0"/>
        <v>28</v>
      </c>
      <c r="B29" s="23">
        <v>46170</v>
      </c>
      <c r="C29" s="24">
        <v>986983.19000000006</v>
      </c>
      <c r="D29" s="24">
        <v>62397.280000000173</v>
      </c>
      <c r="E29" s="24">
        <v>1669.89</v>
      </c>
      <c r="F29" s="24">
        <v>376595.84999999986</v>
      </c>
      <c r="G29" s="24">
        <v>1090396.4799999993</v>
      </c>
      <c r="H29" s="24">
        <v>131496.38</v>
      </c>
      <c r="I29" s="24">
        <v>88090.37</v>
      </c>
      <c r="J29" s="24">
        <v>2498.3999999999996</v>
      </c>
      <c r="K29" s="24">
        <v>114.3</v>
      </c>
      <c r="L29" s="24">
        <v>2267.7200000000003</v>
      </c>
      <c r="M29" s="24">
        <v>3349.94</v>
      </c>
      <c r="N29" s="24">
        <v>1968.99</v>
      </c>
      <c r="O29" s="24">
        <v>901.34</v>
      </c>
      <c r="P29" s="24">
        <v>1444.08</v>
      </c>
      <c r="Q29" s="24">
        <v>35463.599999999962</v>
      </c>
      <c r="R29" s="24">
        <v>15120.060000000001</v>
      </c>
      <c r="S29" s="24">
        <v>33606.270000000004</v>
      </c>
      <c r="T29" s="24">
        <v>345</v>
      </c>
      <c r="U29" s="24">
        <v>9076.2400000000016</v>
      </c>
      <c r="V29" s="25">
        <v>2843785.38</v>
      </c>
    </row>
    <row r="30" spans="1:22" outlineLevel="1" x14ac:dyDescent="0.3">
      <c r="A30" s="22">
        <f t="shared" si="0"/>
        <v>29</v>
      </c>
      <c r="B30" s="23">
        <v>46171</v>
      </c>
      <c r="C30" s="24">
        <v>983394.14000000013</v>
      </c>
      <c r="D30" s="24">
        <v>62397.280000000173</v>
      </c>
      <c r="E30" s="24">
        <v>1669.89</v>
      </c>
      <c r="F30" s="24">
        <v>424853.11999999988</v>
      </c>
      <c r="G30" s="24">
        <v>1015901.6699999992</v>
      </c>
      <c r="H30" s="24">
        <v>131496.38</v>
      </c>
      <c r="I30" s="24">
        <v>88090.37</v>
      </c>
      <c r="J30" s="24">
        <v>1227.9699999999998</v>
      </c>
      <c r="K30" s="24">
        <v>114.3</v>
      </c>
      <c r="L30" s="24">
        <v>2267.7200000000003</v>
      </c>
      <c r="M30" s="24">
        <v>3349.94</v>
      </c>
      <c r="N30" s="24">
        <v>1968.99</v>
      </c>
      <c r="O30" s="24">
        <v>901.34</v>
      </c>
      <c r="P30" s="24">
        <v>1444.08</v>
      </c>
      <c r="Q30" s="24">
        <v>35448.599999999962</v>
      </c>
      <c r="R30" s="24">
        <v>15120.060000000001</v>
      </c>
      <c r="S30" s="24">
        <v>33606.270000000004</v>
      </c>
      <c r="T30" s="24">
        <v>345</v>
      </c>
      <c r="U30" s="24">
        <v>9076.2400000000016</v>
      </c>
      <c r="V30" s="25">
        <v>2812673.3600000003</v>
      </c>
    </row>
    <row r="31" spans="1:22" outlineLevel="1" x14ac:dyDescent="0.3">
      <c r="A31" s="22">
        <f t="shared" si="0"/>
        <v>30</v>
      </c>
      <c r="B31" s="23">
        <v>46172</v>
      </c>
      <c r="C31" s="24">
        <v>983394.14000000013</v>
      </c>
      <c r="D31" s="24">
        <v>62397.280000000173</v>
      </c>
      <c r="E31" s="24">
        <v>1669.89</v>
      </c>
      <c r="F31" s="24">
        <v>424853.11999999988</v>
      </c>
      <c r="G31" s="24">
        <v>1015901.6699999992</v>
      </c>
      <c r="H31" s="24">
        <v>131496.38</v>
      </c>
      <c r="I31" s="24">
        <v>88090.37</v>
      </c>
      <c r="J31" s="24">
        <v>1227.9699999999998</v>
      </c>
      <c r="K31" s="24">
        <v>114.3</v>
      </c>
      <c r="L31" s="24">
        <v>2267.7200000000003</v>
      </c>
      <c r="M31" s="24">
        <v>3349.94</v>
      </c>
      <c r="N31" s="24">
        <v>1968.99</v>
      </c>
      <c r="O31" s="24">
        <v>901.34</v>
      </c>
      <c r="P31" s="24">
        <v>1444.08</v>
      </c>
      <c r="Q31" s="24">
        <v>35448.599999999962</v>
      </c>
      <c r="R31" s="24">
        <v>15120.060000000001</v>
      </c>
      <c r="S31" s="24">
        <v>33606.270000000004</v>
      </c>
      <c r="T31" s="24">
        <v>345</v>
      </c>
      <c r="U31" s="24">
        <v>9076.2400000000016</v>
      </c>
      <c r="V31" s="25">
        <v>2812673.3600000003</v>
      </c>
    </row>
    <row r="32" spans="1:22" x14ac:dyDescent="0.3">
      <c r="A32" s="22">
        <f t="shared" si="0"/>
        <v>31</v>
      </c>
      <c r="B32" s="23">
        <v>46173</v>
      </c>
      <c r="C32" s="24">
        <v>983394.14000000013</v>
      </c>
      <c r="D32" s="24">
        <v>62397.280000000173</v>
      </c>
      <c r="E32" s="24">
        <v>1669.89</v>
      </c>
      <c r="F32" s="24">
        <v>424853.11999999988</v>
      </c>
      <c r="G32" s="24">
        <v>1015901.6699999992</v>
      </c>
      <c r="H32" s="24">
        <v>131496.38</v>
      </c>
      <c r="I32" s="24">
        <v>88090.37</v>
      </c>
      <c r="J32" s="24">
        <v>1227.9699999999998</v>
      </c>
      <c r="K32" s="24">
        <v>114.3</v>
      </c>
      <c r="L32" s="24">
        <v>2267.7200000000003</v>
      </c>
      <c r="M32" s="24">
        <v>3349.94</v>
      </c>
      <c r="N32" s="24">
        <v>1968.99</v>
      </c>
      <c r="O32" s="24">
        <v>901.34</v>
      </c>
      <c r="P32" s="24">
        <v>1444.08</v>
      </c>
      <c r="Q32" s="24">
        <v>35448.599999999962</v>
      </c>
      <c r="R32" s="24">
        <v>15120.060000000001</v>
      </c>
      <c r="S32" s="24">
        <v>33606.270000000004</v>
      </c>
      <c r="T32" s="24">
        <v>345</v>
      </c>
      <c r="U32" s="24">
        <v>9076.2400000000016</v>
      </c>
      <c r="V32" s="25">
        <v>2812673.3600000003</v>
      </c>
    </row>
    <row r="33" spans="1:22" x14ac:dyDescent="0.3">
      <c r="A33" s="22">
        <f t="shared" si="0"/>
        <v>32</v>
      </c>
      <c r="B33" s="23">
        <v>46174</v>
      </c>
      <c r="C33" s="24">
        <f>SUMIFS('Saldos Iniciales'!$D:$D,'Saldos Iniciales'!$A:$A,"CFT Group")+SUMIFS(Movimientos!$K$1:$K$432,Movimientos!$C$1:$C$432,"CFT Group",Movimientos!$B$1:$B$432,"&lt;="&amp;$B33)</f>
        <v>983394.14000000013</v>
      </c>
      <c r="D33" s="24">
        <f>SUMIFS('Saldos Iniciales'!$D:$D,'Saldos Iniciales'!$A:$A,"M1B")+SUMIFS(Movimientos!$K$1:$K$432,Movimientos!$C$1:$C$432,"M1B",Movimientos!$B$1:$B$432,"&lt;="&amp;$B33)</f>
        <v>69376.390000000174</v>
      </c>
      <c r="E33" s="24">
        <f>SUMIFS('Saldos Iniciales'!$D:$D,'Saldos Iniciales'!$A:$A,"Durand")+SUMIFS(Movimientos!$K$1:$K$432,Movimientos!$C$1:$C$432,"Durand",Movimientos!$B$1:$B$432,"&lt;="&amp;$B33)</f>
        <v>1669.89</v>
      </c>
      <c r="F33" s="24">
        <f>SUMIFS('Saldos Iniciales'!$D:$D,'Saldos Iniciales'!$A:$A,"A&amp;M Imports")+SUMIFS(Movimientos!$K$1:$K$432,Movimientos!$C$1:$C$432,"A&amp;M Imports",Movimientos!$B$1:$B$432,"&lt;="&amp;$B33)</f>
        <v>804853.11999999988</v>
      </c>
      <c r="G33" s="24">
        <f>SUMIFS('Saldos Iniciales'!$D:$D,'Saldos Iniciales'!$A:$A,"SSP Capital")+SUMIFS(Movimientos!$K$1:$K$432,Movimientos!$C$1:$C$432,"SSP Capital",Movimientos!$B$1:$B$432,"&lt;="&amp;$B33)</f>
        <v>1015901.6699999992</v>
      </c>
      <c r="H33" s="24">
        <f>SUMIFS('Saldos Iniciales'!$D:$D,'Saldos Iniciales'!$A:$A,"Cross Family Trust")+SUMIFS(Movimientos!$K$1:$K$432,Movimientos!$C$1:$C$432,"Cross Family Trust",Movimientos!$B$1:$B$432,"&lt;="&amp;$B33)</f>
        <v>131496.38</v>
      </c>
      <c r="I33" s="24">
        <f>SUMIFS('Saldos Iniciales'!$D:$D,'Saldos Iniciales'!$A:$A,"Cross Security Trust")+SUMIFS(Movimientos!$K$1:$K$432,Movimientos!$C$1:$C$432,"Cross Security Trust",Movimientos!$B$1:$B$432,"&lt;="&amp;$B33)</f>
        <v>88090.37</v>
      </c>
      <c r="J33" s="24">
        <f>SUMIFS('Saldos Iniciales'!$D:$D,'Saldos Iniciales'!$A:$A,"Electrama")+SUMIFS(Movimientos!$K$1:$K$432,Movimientos!$C$1:$C$432,"Electrama",Movimientos!$B$1:$B$432,"&lt;="&amp;$B33)</f>
        <v>1227.9699999999998</v>
      </c>
      <c r="K33" s="24">
        <f>SUMIFS('Saldos Iniciales'!$D:$D,'Saldos Iniciales'!$A:$A,"Sacred Valley Capital")+SUMIFS(Movimientos!$K$1:$K$432,Movimientos!$C$1:$C$432,"Sacred Valley Capital",Movimientos!$B$1:$B$432,"&lt;="&amp;$B33)</f>
        <v>84.35</v>
      </c>
      <c r="L33" s="24">
        <f>SUMIFS('Saldos Iniciales'!$D:$D,'Saldos Iniciales'!$A:$A,"YWC Capital")+SUMIFS(Movimientos!$K$1:$K$432,Movimientos!$C$1:$C$432,"YWC Capital",Movimientos!$B$1:$B$432,"&lt;="&amp;$B33)</f>
        <v>2237.77</v>
      </c>
      <c r="M33" s="24">
        <f>SUMIFS('Saldos Iniciales'!$D:$D,'Saldos Iniciales'!$A:$A,"Soweto")+SUMIFS(Movimientos!$K$1:$K$432,Movimientos!$C$1:$C$432,"Soweto",Movimientos!$B$1:$B$432,"&lt;="&amp;$B33)</f>
        <v>3349.94</v>
      </c>
      <c r="N33" s="24">
        <f>SUMIFS('Saldos Iniciales'!$D:$D,'Saldos Iniciales'!$A:$A,"Green Stone Trust")+SUMIFS(Movimientos!$K$1:$K$432,Movimientos!$C$1:$C$432,"Green Stone Trust",Movimientos!$B$1:$B$432,"&lt;="&amp;$B33)</f>
        <v>1968.99</v>
      </c>
      <c r="O33" s="24">
        <f>SUMIFS('Saldos Iniciales'!$D:$D,'Saldos Iniciales'!$A:$A,"EC Auto")+SUMIFS(Movimientos!$K$1:$K$432,Movimientos!$C$1:$C$432,"EC Auto",Movimientos!$B$1:$B$432,"&lt;="&amp;$B33)</f>
        <v>901.34</v>
      </c>
      <c r="P33" s="24">
        <f>SUMIFS('Saldos Iniciales'!$D:$D,'Saldos Iniciales'!$A:$A,"Arbor Capital Properties")+SUMIFS(Movimientos!$K$1:$K$432,Movimientos!$C$1:$C$432,"Arbor Capital Properties",Movimientos!$B$1:$B$432,"&lt;="&amp;$B33)</f>
        <v>1428.08</v>
      </c>
      <c r="Q33" s="24">
        <f>SUMIFS('Saldos Iniciales'!$D:$D,'Saldos Iniciales'!$A:$A,"2515 Overbrook")+SUMIFS(Movimientos!$K$1:$K$432,Movimientos!$C$1:$C$432,"2515 Overbrook",Movimientos!$B$1:$B$432,"&lt;="&amp;$B33)</f>
        <v>26416.26999999996</v>
      </c>
      <c r="R33" s="24">
        <f>SUMIFS('Saldos Iniciales'!$D:$D,'Saldos Iniciales'!$A:$A,"112 Florida Ave")+SUMIFS(Movimientos!$K$1:$K$432,Movimientos!$C$1:$C$432,"112 Florida Ave",Movimientos!$B$1:$B$432,"&lt;="&amp;$B33)</f>
        <v>5321.4300000000021</v>
      </c>
      <c r="S33" s="24">
        <f>SUMIFS('Saldos Iniciales'!$D:$D,'Saldos Iniciales'!$A:$A,"3628 Thomas Ave")+SUMIFS(Movimientos!$K$1:$K$432,Movimientos!$C$1:$C$432,"3628 Thomas Ave",Movimientos!$B$1:$B$432,"&lt;="&amp;$B33)</f>
        <v>24833.23</v>
      </c>
      <c r="T33" s="24">
        <f>SUMIFS('Saldos Iniciales'!$D:$D,'Saldos Iniciales'!$A:$A,"Green Harbor Trust")+SUMIFS(Movimientos!$K$1:$K$432,Movimientos!$C$1:$C$432,"Green Harbor Trust",Movimientos!$B$1:$B$432,"&lt;="&amp;$B33)</f>
        <v>345</v>
      </c>
      <c r="U33" s="24">
        <f>SUMIFS('Saldos Iniciales'!$D:$D,'Saldos Iniciales'!$A:$A,"Go Blue")+SUMIFS(Movimientos!$K$1:$K$432,Movimientos!$C$1:$C$432,"Go Blue",Movimientos!$B$1:$B$432,"&lt;="&amp;$B33)</f>
        <v>6824.47</v>
      </c>
      <c r="V33" s="25">
        <f t="shared" ref="V33:V39" si="1">SUM(C33:U33)</f>
        <v>3169720.8</v>
      </c>
    </row>
    <row r="34" spans="1:22" outlineLevel="1" x14ac:dyDescent="0.3">
      <c r="A34" s="22">
        <f t="shared" si="0"/>
        <v>33</v>
      </c>
      <c r="B34" s="23">
        <v>46175</v>
      </c>
      <c r="C34" s="24">
        <f>SUMIFS('Saldos Iniciales'!$D:$D,'Saldos Iniciales'!$A:$A,"CFT Group")+SUMIFS(Movimientos!$K$1:$K$432,Movimientos!$C$1:$C$432,"CFT Group",Movimientos!$B$1:$B$432,"&lt;="&amp;$B34)</f>
        <v>983394.14000000013</v>
      </c>
      <c r="D34" s="24">
        <f>SUMIFS('Saldos Iniciales'!$D:$D,'Saldos Iniciales'!$A:$A,"M1B")+SUMIFS(Movimientos!$K$1:$K$432,Movimientos!$C$1:$C$432,"M1B",Movimientos!$B$1:$B$432,"&lt;="&amp;$B34)</f>
        <v>69376.390000000174</v>
      </c>
      <c r="E34" s="24">
        <f>SUMIFS('Saldos Iniciales'!$D:$D,'Saldos Iniciales'!$A:$A,"Durand")+SUMIFS(Movimientos!$K$1:$K$432,Movimientos!$C$1:$C$432,"Durand",Movimientos!$B$1:$B$432,"&lt;="&amp;$B34)</f>
        <v>1669.89</v>
      </c>
      <c r="F34" s="24">
        <f>SUMIFS('Saldos Iniciales'!$D:$D,'Saldos Iniciales'!$A:$A,"A&amp;M Imports")+SUMIFS(Movimientos!$K$1:$K$432,Movimientos!$C$1:$C$432,"A&amp;M Imports",Movimientos!$B$1:$B$432,"&lt;="&amp;$B34)</f>
        <v>804853.11999999988</v>
      </c>
      <c r="G34" s="24">
        <f>SUMIFS('Saldos Iniciales'!$D:$D,'Saldos Iniciales'!$A:$A,"SSP Capital")+SUMIFS(Movimientos!$K$1:$K$432,Movimientos!$C$1:$C$432,"SSP Capital",Movimientos!$B$1:$B$432,"&lt;="&amp;$B34)</f>
        <v>1015901.6699999992</v>
      </c>
      <c r="H34" s="24">
        <f>SUMIFS('Saldos Iniciales'!$D:$D,'Saldos Iniciales'!$A:$A,"Cross Family Trust")+SUMIFS(Movimientos!$K$1:$K$432,Movimientos!$C$1:$C$432,"Cross Family Trust",Movimientos!$B$1:$B$432,"&lt;="&amp;$B34)</f>
        <v>131496.38</v>
      </c>
      <c r="I34" s="24">
        <f>SUMIFS('Saldos Iniciales'!$D:$D,'Saldos Iniciales'!$A:$A,"Cross Security Trust")+SUMIFS(Movimientos!$K$1:$K$432,Movimientos!$C$1:$C$432,"Cross Security Trust",Movimientos!$B$1:$B$432,"&lt;="&amp;$B34)</f>
        <v>88090.37</v>
      </c>
      <c r="J34" s="24">
        <f>SUMIFS('Saldos Iniciales'!$D:$D,'Saldos Iniciales'!$A:$A,"Electrama")+SUMIFS(Movimientos!$K$1:$K$432,Movimientos!$C$1:$C$432,"Electrama",Movimientos!$B$1:$B$432,"&lt;="&amp;$B34)</f>
        <v>1227.9699999999998</v>
      </c>
      <c r="K34" s="24">
        <f>SUMIFS('Saldos Iniciales'!$D:$D,'Saldos Iniciales'!$A:$A,"Sacred Valley Capital")+SUMIFS(Movimientos!$K$1:$K$432,Movimientos!$C$1:$C$432,"Sacred Valley Capital",Movimientos!$B$1:$B$432,"&lt;="&amp;$B34)</f>
        <v>84.35</v>
      </c>
      <c r="L34" s="24">
        <f>SUMIFS('Saldos Iniciales'!$D:$D,'Saldos Iniciales'!$A:$A,"YWC Capital")+SUMIFS(Movimientos!$K$1:$K$432,Movimientos!$C$1:$C$432,"YWC Capital",Movimientos!$B$1:$B$432,"&lt;="&amp;$B34)</f>
        <v>2237.77</v>
      </c>
      <c r="M34" s="24">
        <f>SUMIFS('Saldos Iniciales'!$D:$D,'Saldos Iniciales'!$A:$A,"Soweto")+SUMIFS(Movimientos!$K$1:$K$432,Movimientos!$C$1:$C$432,"Soweto",Movimientos!$B$1:$B$432,"&lt;="&amp;$B34)</f>
        <v>3349.94</v>
      </c>
      <c r="N34" s="24">
        <f>SUMIFS('Saldos Iniciales'!$D:$D,'Saldos Iniciales'!$A:$A,"Green Stone Trust")+SUMIFS(Movimientos!$K$1:$K$432,Movimientos!$C$1:$C$432,"Green Stone Trust",Movimientos!$B$1:$B$432,"&lt;="&amp;$B34)</f>
        <v>1968.99</v>
      </c>
      <c r="O34" s="24">
        <f>SUMIFS('Saldos Iniciales'!$D:$D,'Saldos Iniciales'!$A:$A,"EC Auto")+SUMIFS(Movimientos!$K$1:$K$432,Movimientos!$C$1:$C$432,"EC Auto",Movimientos!$B$1:$B$432,"&lt;="&amp;$B34)</f>
        <v>901.34</v>
      </c>
      <c r="P34" s="24">
        <f>SUMIFS('Saldos Iniciales'!$D:$D,'Saldos Iniciales'!$A:$A,"Arbor Capital Properties")+SUMIFS(Movimientos!$K$1:$K$432,Movimientos!$C$1:$C$432,"Arbor Capital Properties",Movimientos!$B$1:$B$432,"&lt;="&amp;$B34)</f>
        <v>1428.08</v>
      </c>
      <c r="Q34" s="24">
        <f>SUMIFS('Saldos Iniciales'!$D:$D,'Saldos Iniciales'!$A:$A,"2515 Overbrook")+SUMIFS(Movimientos!$K$1:$K$432,Movimientos!$C$1:$C$432,"2515 Overbrook",Movimientos!$B$1:$B$432,"&lt;="&amp;$B34)</f>
        <v>25789.969999999961</v>
      </c>
      <c r="R34" s="24">
        <f>SUMIFS('Saldos Iniciales'!$D:$D,'Saldos Iniciales'!$A:$A,"112 Florida Ave")+SUMIFS(Movimientos!$K$1:$K$432,Movimientos!$C$1:$C$432,"112 Florida Ave",Movimientos!$B$1:$B$432,"&lt;="&amp;$B34)</f>
        <v>5321.4300000000021</v>
      </c>
      <c r="S34" s="24">
        <f>SUMIFS('Saldos Iniciales'!$D:$D,'Saldos Iniciales'!$A:$A,"3628 Thomas Ave")+SUMIFS(Movimientos!$K$1:$K$432,Movimientos!$C$1:$C$432,"3628 Thomas Ave",Movimientos!$B$1:$B$432,"&lt;="&amp;$B34)</f>
        <v>24833.23</v>
      </c>
      <c r="T34" s="24">
        <f>SUMIFS('Saldos Iniciales'!$D:$D,'Saldos Iniciales'!$A:$A,"Green Harbor Trust")+SUMIFS(Movimientos!$K$1:$K$432,Movimientos!$C$1:$C$432,"Green Harbor Trust",Movimientos!$B$1:$B$432,"&lt;="&amp;$B34)</f>
        <v>345</v>
      </c>
      <c r="U34" s="24">
        <f>SUMIFS('Saldos Iniciales'!$D:$D,'Saldos Iniciales'!$A:$A,"Go Blue")+SUMIFS(Movimientos!$K$1:$K$432,Movimientos!$C$1:$C$432,"Go Blue",Movimientos!$B$1:$B$432,"&lt;="&amp;$B34)</f>
        <v>3514.8900000000012</v>
      </c>
      <c r="V34" s="25">
        <f t="shared" si="1"/>
        <v>3165784.9199999995</v>
      </c>
    </row>
    <row r="35" spans="1:22" outlineLevel="1" x14ac:dyDescent="0.3">
      <c r="A35" s="22">
        <f t="shared" si="0"/>
        <v>34</v>
      </c>
      <c r="B35" s="23">
        <v>46176</v>
      </c>
      <c r="C35" s="24">
        <f>SUMIFS('Saldos Iniciales'!$D:$D,'Saldos Iniciales'!$A:$A,"CFT Group")+SUMIFS(Movimientos!$K$1:$K$432,Movimientos!$C$1:$C$432,"CFT Group",Movimientos!$B$1:$B$432,"&lt;="&amp;$B35)</f>
        <v>983394.14000000013</v>
      </c>
      <c r="D35" s="24">
        <f>SUMIFS('Saldos Iniciales'!$D:$D,'Saldos Iniciales'!$A:$A,"M1B")+SUMIFS(Movimientos!$K$1:$K$432,Movimientos!$C$1:$C$432,"M1B",Movimientos!$B$1:$B$432,"&lt;="&amp;$B35)</f>
        <v>69376.390000000174</v>
      </c>
      <c r="E35" s="24">
        <f>SUMIFS('Saldos Iniciales'!$D:$D,'Saldos Iniciales'!$A:$A,"Durand")+SUMIFS(Movimientos!$K$1:$K$432,Movimientos!$C$1:$C$432,"Durand",Movimientos!$B$1:$B$432,"&lt;="&amp;$B35)</f>
        <v>1669.89</v>
      </c>
      <c r="F35" s="24">
        <f>SUMIFS('Saldos Iniciales'!$D:$D,'Saldos Iniciales'!$A:$A,"A&amp;M Imports")+SUMIFS(Movimientos!$K$1:$K$432,Movimientos!$C$1:$C$432,"A&amp;M Imports",Movimientos!$B$1:$B$432,"&lt;="&amp;$B35)</f>
        <v>804853.11999999988</v>
      </c>
      <c r="G35" s="24">
        <f>SUMIFS('Saldos Iniciales'!$D:$D,'Saldos Iniciales'!$A:$A,"SSP Capital")+SUMIFS(Movimientos!$K$1:$K$432,Movimientos!$C$1:$C$432,"SSP Capital",Movimientos!$B$1:$B$432,"&lt;="&amp;$B35)</f>
        <v>1015611.6599999993</v>
      </c>
      <c r="H35" s="24">
        <f>SUMIFS('Saldos Iniciales'!$D:$D,'Saldos Iniciales'!$A:$A,"Cross Family Trust")+SUMIFS(Movimientos!$K$1:$K$432,Movimientos!$C$1:$C$432,"Cross Family Trust",Movimientos!$B$1:$B$432,"&lt;="&amp;$B35)</f>
        <v>125496.38</v>
      </c>
      <c r="I35" s="24">
        <f>SUMIFS('Saldos Iniciales'!$D:$D,'Saldos Iniciales'!$A:$A,"Cross Security Trust")+SUMIFS(Movimientos!$K$1:$K$432,Movimientos!$C$1:$C$432,"Cross Security Trust",Movimientos!$B$1:$B$432,"&lt;="&amp;$B35)</f>
        <v>88090.37</v>
      </c>
      <c r="J35" s="24">
        <f>SUMIFS('Saldos Iniciales'!$D:$D,'Saldos Iniciales'!$A:$A,"Electrama")+SUMIFS(Movimientos!$K$1:$K$432,Movimientos!$C$1:$C$432,"Electrama",Movimientos!$B$1:$B$432,"&lt;="&amp;$B35)</f>
        <v>1227.9699999999998</v>
      </c>
      <c r="K35" s="24">
        <f>SUMIFS('Saldos Iniciales'!$D:$D,'Saldos Iniciales'!$A:$A,"Sacred Valley Capital")+SUMIFS(Movimientos!$K$1:$K$432,Movimientos!$C$1:$C$432,"Sacred Valley Capital",Movimientos!$B$1:$B$432,"&lt;="&amp;$B35)</f>
        <v>84.35</v>
      </c>
      <c r="L35" s="24">
        <f>SUMIFS('Saldos Iniciales'!$D:$D,'Saldos Iniciales'!$A:$A,"YWC Capital")+SUMIFS(Movimientos!$K$1:$K$432,Movimientos!$C$1:$C$432,"YWC Capital",Movimientos!$B$1:$B$432,"&lt;="&amp;$B35)</f>
        <v>2237.77</v>
      </c>
      <c r="M35" s="24">
        <f>SUMIFS('Saldos Iniciales'!$D:$D,'Saldos Iniciales'!$A:$A,"Soweto")+SUMIFS(Movimientos!$K$1:$K$432,Movimientos!$C$1:$C$432,"Soweto",Movimientos!$B$1:$B$432,"&lt;="&amp;$B35)</f>
        <v>3349.94</v>
      </c>
      <c r="N35" s="24">
        <f>SUMIFS('Saldos Iniciales'!$D:$D,'Saldos Iniciales'!$A:$A,"Green Stone Trust")+SUMIFS(Movimientos!$K$1:$K$432,Movimientos!$C$1:$C$432,"Green Stone Trust",Movimientos!$B$1:$B$432,"&lt;="&amp;$B35)</f>
        <v>1968.99</v>
      </c>
      <c r="O35" s="24">
        <f>SUMIFS('Saldos Iniciales'!$D:$D,'Saldos Iniciales'!$A:$A,"EC Auto")+SUMIFS(Movimientos!$K$1:$K$432,Movimientos!$C$1:$C$432,"EC Auto",Movimientos!$B$1:$B$432,"&lt;="&amp;$B35)</f>
        <v>901.34</v>
      </c>
      <c r="P35" s="24">
        <f>SUMIFS('Saldos Iniciales'!$D:$D,'Saldos Iniciales'!$A:$A,"Arbor Capital Properties")+SUMIFS(Movimientos!$K$1:$K$432,Movimientos!$C$1:$C$432,"Arbor Capital Properties",Movimientos!$B$1:$B$432,"&lt;="&amp;$B35)</f>
        <v>1428.08</v>
      </c>
      <c r="Q35" s="24">
        <f>SUMIFS('Saldos Iniciales'!$D:$D,'Saldos Iniciales'!$A:$A,"2515 Overbrook")+SUMIFS(Movimientos!$K$1:$K$432,Movimientos!$C$1:$C$432,"2515 Overbrook",Movimientos!$B$1:$B$432,"&lt;="&amp;$B35)</f>
        <v>25789.969999999961</v>
      </c>
      <c r="R35" s="24">
        <f>SUMIFS('Saldos Iniciales'!$D:$D,'Saldos Iniciales'!$A:$A,"112 Florida Ave")+SUMIFS(Movimientos!$K$1:$K$432,Movimientos!$C$1:$C$432,"112 Florida Ave",Movimientos!$B$1:$B$432,"&lt;="&amp;$B35)</f>
        <v>5321.4300000000021</v>
      </c>
      <c r="S35" s="24">
        <f>SUMIFS('Saldos Iniciales'!$D:$D,'Saldos Iniciales'!$A:$A,"3628 Thomas Ave")+SUMIFS(Movimientos!$K$1:$K$432,Movimientos!$C$1:$C$432,"3628 Thomas Ave",Movimientos!$B$1:$B$432,"&lt;="&amp;$B35)</f>
        <v>24833.23</v>
      </c>
      <c r="T35" s="24">
        <f>SUMIFS('Saldos Iniciales'!$D:$D,'Saldos Iniciales'!$A:$A,"Green Harbor Trust")+SUMIFS(Movimientos!$K$1:$K$432,Movimientos!$C$1:$C$432,"Green Harbor Trust",Movimientos!$B$1:$B$432,"&lt;="&amp;$B35)</f>
        <v>345</v>
      </c>
      <c r="U35" s="24">
        <f>SUMIFS('Saldos Iniciales'!$D:$D,'Saldos Iniciales'!$A:$A,"Go Blue")+SUMIFS(Movimientos!$K$1:$K$432,Movimientos!$C$1:$C$432,"Go Blue",Movimientos!$B$1:$B$432,"&lt;="&amp;$B35)</f>
        <v>3514.8900000000012</v>
      </c>
      <c r="V35" s="25">
        <f t="shared" si="1"/>
        <v>3159494.9099999997</v>
      </c>
    </row>
    <row r="36" spans="1:22" outlineLevel="1" x14ac:dyDescent="0.3">
      <c r="A36" s="22">
        <f t="shared" si="0"/>
        <v>35</v>
      </c>
      <c r="B36" s="23">
        <v>46177</v>
      </c>
      <c r="C36" s="24">
        <f>SUMIFS('Saldos Iniciales'!$D:$D,'Saldos Iniciales'!$A:$A,"CFT Group")+SUMIFS(Movimientos!$K$1:$K$432,Movimientos!$C$1:$C$432,"CFT Group",Movimientos!$B$1:$B$432,"&lt;="&amp;$B36)</f>
        <v>733394.14000000013</v>
      </c>
      <c r="D36" s="24">
        <f>SUMIFS('Saldos Iniciales'!$D:$D,'Saldos Iniciales'!$A:$A,"M1B")+SUMIFS(Movimientos!$K$1:$K$432,Movimientos!$C$1:$C$432,"M1B",Movimientos!$B$1:$B$432,"&lt;="&amp;$B36)</f>
        <v>69376.390000000174</v>
      </c>
      <c r="E36" s="24">
        <f>SUMIFS('Saldos Iniciales'!$D:$D,'Saldos Iniciales'!$A:$A,"Durand")+SUMIFS(Movimientos!$K$1:$K$432,Movimientos!$C$1:$C$432,"Durand",Movimientos!$B$1:$B$432,"&lt;="&amp;$B36)</f>
        <v>1669.89</v>
      </c>
      <c r="F36" s="24">
        <f>SUMIFS('Saldos Iniciales'!$D:$D,'Saldos Iniciales'!$A:$A,"A&amp;M Imports")+SUMIFS(Movimientos!$K$1:$K$432,Movimientos!$C$1:$C$432,"A&amp;M Imports",Movimientos!$B$1:$B$432,"&lt;="&amp;$B36)</f>
        <v>729545.23999999987</v>
      </c>
      <c r="G36" s="24">
        <f>SUMIFS('Saldos Iniciales'!$D:$D,'Saldos Iniciales'!$A:$A,"SSP Capital")+SUMIFS(Movimientos!$K$1:$K$432,Movimientos!$C$1:$C$432,"SSP Capital",Movimientos!$B$1:$B$432,"&lt;="&amp;$B36)</f>
        <v>1171714.4499999993</v>
      </c>
      <c r="H36" s="24">
        <f>SUMIFS('Saldos Iniciales'!$D:$D,'Saldos Iniciales'!$A:$A,"Cross Family Trust")+SUMIFS(Movimientos!$K$1:$K$432,Movimientos!$C$1:$C$432,"Cross Family Trust",Movimientos!$B$1:$B$432,"&lt;="&amp;$B36)</f>
        <v>116496.38</v>
      </c>
      <c r="I36" s="24">
        <f>SUMIFS('Saldos Iniciales'!$D:$D,'Saldos Iniciales'!$A:$A,"Cross Security Trust")+SUMIFS(Movimientos!$K$1:$K$432,Movimientos!$C$1:$C$432,"Cross Security Trust",Movimientos!$B$1:$B$432,"&lt;="&amp;$B36)</f>
        <v>88090.37</v>
      </c>
      <c r="J36" s="24">
        <f>SUMIFS('Saldos Iniciales'!$D:$D,'Saldos Iniciales'!$A:$A,"Electrama")+SUMIFS(Movimientos!$K$1:$K$432,Movimientos!$C$1:$C$432,"Electrama",Movimientos!$B$1:$B$432,"&lt;="&amp;$B36)</f>
        <v>1227.9699999999998</v>
      </c>
      <c r="K36" s="24">
        <f>SUMIFS('Saldos Iniciales'!$D:$D,'Saldos Iniciales'!$A:$A,"Sacred Valley Capital")+SUMIFS(Movimientos!$K$1:$K$432,Movimientos!$C$1:$C$432,"Sacred Valley Capital",Movimientos!$B$1:$B$432,"&lt;="&amp;$B36)</f>
        <v>84.35</v>
      </c>
      <c r="L36" s="24">
        <f>SUMIFS('Saldos Iniciales'!$D:$D,'Saldos Iniciales'!$A:$A,"YWC Capital")+SUMIFS(Movimientos!$K$1:$K$432,Movimientos!$C$1:$C$432,"YWC Capital",Movimientos!$B$1:$B$432,"&lt;="&amp;$B36)</f>
        <v>2237.77</v>
      </c>
      <c r="M36" s="24">
        <f>SUMIFS('Saldos Iniciales'!$D:$D,'Saldos Iniciales'!$A:$A,"Soweto")+SUMIFS(Movimientos!$K$1:$K$432,Movimientos!$C$1:$C$432,"Soweto",Movimientos!$B$1:$B$432,"&lt;="&amp;$B36)</f>
        <v>3349.94</v>
      </c>
      <c r="N36" s="24">
        <f>SUMIFS('Saldos Iniciales'!$D:$D,'Saldos Iniciales'!$A:$A,"Green Stone Trust")+SUMIFS(Movimientos!$K$1:$K$432,Movimientos!$C$1:$C$432,"Green Stone Trust",Movimientos!$B$1:$B$432,"&lt;="&amp;$B36)</f>
        <v>1968.99</v>
      </c>
      <c r="O36" s="24">
        <f>SUMIFS('Saldos Iniciales'!$D:$D,'Saldos Iniciales'!$A:$A,"EC Auto")+SUMIFS(Movimientos!$K$1:$K$432,Movimientos!$C$1:$C$432,"EC Auto",Movimientos!$B$1:$B$432,"&lt;="&amp;$B36)</f>
        <v>382.69000000000005</v>
      </c>
      <c r="P36" s="24">
        <f>SUMIFS('Saldos Iniciales'!$D:$D,'Saldos Iniciales'!$A:$A,"Arbor Capital Properties")+SUMIFS(Movimientos!$K$1:$K$432,Movimientos!$C$1:$C$432,"Arbor Capital Properties",Movimientos!$B$1:$B$432,"&lt;="&amp;$B36)</f>
        <v>1428.08</v>
      </c>
      <c r="Q36" s="24">
        <f>SUMIFS('Saldos Iniciales'!$D:$D,'Saldos Iniciales'!$A:$A,"2515 Overbrook")+SUMIFS(Movimientos!$K$1:$K$432,Movimientos!$C$1:$C$432,"2515 Overbrook",Movimientos!$B$1:$B$432,"&lt;="&amp;$B36)</f>
        <v>25789.969999999961</v>
      </c>
      <c r="R36" s="24">
        <f>SUMIFS('Saldos Iniciales'!$D:$D,'Saldos Iniciales'!$A:$A,"112 Florida Ave")+SUMIFS(Movimientos!$K$1:$K$432,Movimientos!$C$1:$C$432,"112 Florida Ave",Movimientos!$B$1:$B$432,"&lt;="&amp;$B36)</f>
        <v>5321.4300000000021</v>
      </c>
      <c r="S36" s="24">
        <f>SUMIFS('Saldos Iniciales'!$D:$D,'Saldos Iniciales'!$A:$A,"3628 Thomas Ave")+SUMIFS(Movimientos!$K$1:$K$432,Movimientos!$C$1:$C$432,"3628 Thomas Ave",Movimientos!$B$1:$B$432,"&lt;="&amp;$B36)</f>
        <v>24833.23</v>
      </c>
      <c r="T36" s="24">
        <f>SUMIFS('Saldos Iniciales'!$D:$D,'Saldos Iniciales'!$A:$A,"Green Harbor Trust")+SUMIFS(Movimientos!$K$1:$K$432,Movimientos!$C$1:$C$432,"Green Harbor Trust",Movimientos!$B$1:$B$432,"&lt;="&amp;$B36)</f>
        <v>345</v>
      </c>
      <c r="U36" s="24">
        <f>SUMIFS('Saldos Iniciales'!$D:$D,'Saldos Iniciales'!$A:$A,"Go Blue")+SUMIFS(Movimientos!$K$1:$K$432,Movimientos!$C$1:$C$432,"Go Blue",Movimientos!$B$1:$B$432,"&lt;="&amp;$B36)</f>
        <v>2422.7400000000034</v>
      </c>
      <c r="V36" s="25">
        <f t="shared" si="1"/>
        <v>2979679.02</v>
      </c>
    </row>
    <row r="37" spans="1:22" outlineLevel="1" x14ac:dyDescent="0.3">
      <c r="A37" s="22">
        <f t="shared" si="0"/>
        <v>36</v>
      </c>
      <c r="B37" s="23">
        <v>46178</v>
      </c>
      <c r="C37" s="24">
        <f>SUMIFS('Saldos Iniciales'!$D:$D,'Saldos Iniciales'!$A:$A,"CFT Group")+SUMIFS(Movimientos!$K$1:$K$432,Movimientos!$C$1:$C$432,"CFT Group",Movimientos!$B$1:$B$432,"&lt;="&amp;$B37)</f>
        <v>733394.14000000013</v>
      </c>
      <c r="D37" s="24">
        <f>SUMIFS('Saldos Iniciales'!$D:$D,'Saldos Iniciales'!$A:$A,"M1B")+SUMIFS(Movimientos!$K$1:$K$432,Movimientos!$C$1:$C$432,"M1B",Movimientos!$B$1:$B$432,"&lt;="&amp;$B37)</f>
        <v>69376.390000000174</v>
      </c>
      <c r="E37" s="24">
        <f>SUMIFS('Saldos Iniciales'!$D:$D,'Saldos Iniciales'!$A:$A,"Durand")+SUMIFS(Movimientos!$K$1:$K$432,Movimientos!$C$1:$C$432,"Durand",Movimientos!$B$1:$B$432,"&lt;="&amp;$B37)</f>
        <v>1669.89</v>
      </c>
      <c r="F37" s="24">
        <f>SUMIFS('Saldos Iniciales'!$D:$D,'Saldos Iniciales'!$A:$A,"A&amp;M Imports")+SUMIFS(Movimientos!$K$1:$K$432,Movimientos!$C$1:$C$432,"A&amp;M Imports",Movimientos!$B$1:$B$432,"&lt;="&amp;$B37)</f>
        <v>729545.23999999987</v>
      </c>
      <c r="G37" s="24">
        <f>SUMIFS('Saldos Iniciales'!$D:$D,'Saldos Iniciales'!$A:$A,"SSP Capital")+SUMIFS(Movimientos!$K$1:$K$432,Movimientos!$C$1:$C$432,"SSP Capital",Movimientos!$B$1:$B$432,"&lt;="&amp;$B37)</f>
        <v>1164028.3199999994</v>
      </c>
      <c r="H37" s="24">
        <f>SUMIFS('Saldos Iniciales'!$D:$D,'Saldos Iniciales'!$A:$A,"Cross Family Trust")+SUMIFS(Movimientos!$K$1:$K$432,Movimientos!$C$1:$C$432,"Cross Family Trust",Movimientos!$B$1:$B$432,"&lt;="&amp;$B37)</f>
        <v>116496.38</v>
      </c>
      <c r="I37" s="24">
        <f>SUMIFS('Saldos Iniciales'!$D:$D,'Saldos Iniciales'!$A:$A,"Cross Security Trust")+SUMIFS(Movimientos!$K$1:$K$432,Movimientos!$C$1:$C$432,"Cross Security Trust",Movimientos!$B$1:$B$432,"&lt;="&amp;$B37)</f>
        <v>88090.37</v>
      </c>
      <c r="J37" s="24">
        <f>SUMIFS('Saldos Iniciales'!$D:$D,'Saldos Iniciales'!$A:$A,"Electrama")+SUMIFS(Movimientos!$K$1:$K$432,Movimientos!$C$1:$C$432,"Electrama",Movimientos!$B$1:$B$432,"&lt;="&amp;$B37)</f>
        <v>1227.9699999999998</v>
      </c>
      <c r="K37" s="24">
        <f>SUMIFS('Saldos Iniciales'!$D:$D,'Saldos Iniciales'!$A:$A,"Sacred Valley Capital")+SUMIFS(Movimientos!$K$1:$K$432,Movimientos!$C$1:$C$432,"Sacred Valley Capital",Movimientos!$B$1:$B$432,"&lt;="&amp;$B37)</f>
        <v>84.35</v>
      </c>
      <c r="L37" s="24">
        <f>SUMIFS('Saldos Iniciales'!$D:$D,'Saldos Iniciales'!$A:$A,"YWC Capital")+SUMIFS(Movimientos!$K$1:$K$432,Movimientos!$C$1:$C$432,"YWC Capital",Movimientos!$B$1:$B$432,"&lt;="&amp;$B37)</f>
        <v>2237.77</v>
      </c>
      <c r="M37" s="24">
        <f>SUMIFS('Saldos Iniciales'!$D:$D,'Saldos Iniciales'!$A:$A,"Soweto")+SUMIFS(Movimientos!$K$1:$K$432,Movimientos!$C$1:$C$432,"Soweto",Movimientos!$B$1:$B$432,"&lt;="&amp;$B37)</f>
        <v>3349.94</v>
      </c>
      <c r="N37" s="24">
        <f>SUMIFS('Saldos Iniciales'!$D:$D,'Saldos Iniciales'!$A:$A,"Green Stone Trust")+SUMIFS(Movimientos!$K$1:$K$432,Movimientos!$C$1:$C$432,"Green Stone Trust",Movimientos!$B$1:$B$432,"&lt;="&amp;$B37)</f>
        <v>1968.99</v>
      </c>
      <c r="O37" s="24">
        <f>SUMIFS('Saldos Iniciales'!$D:$D,'Saldos Iniciales'!$A:$A,"EC Auto")+SUMIFS(Movimientos!$K$1:$K$432,Movimientos!$C$1:$C$432,"EC Auto",Movimientos!$B$1:$B$432,"&lt;="&amp;$B37)</f>
        <v>382.69000000000005</v>
      </c>
      <c r="P37" s="24">
        <f>SUMIFS('Saldos Iniciales'!$D:$D,'Saldos Iniciales'!$A:$A,"Arbor Capital Properties")+SUMIFS(Movimientos!$K$1:$K$432,Movimientos!$C$1:$C$432,"Arbor Capital Properties",Movimientos!$B$1:$B$432,"&lt;="&amp;$B37)</f>
        <v>1428.08</v>
      </c>
      <c r="Q37" s="24">
        <f>SUMIFS('Saldos Iniciales'!$D:$D,'Saldos Iniciales'!$A:$A,"2515 Overbrook")+SUMIFS(Movimientos!$K$1:$K$432,Movimientos!$C$1:$C$432,"2515 Overbrook",Movimientos!$B$1:$B$432,"&lt;="&amp;$B37)</f>
        <v>25789.969999999961</v>
      </c>
      <c r="R37" s="24">
        <f>SUMIFS('Saldos Iniciales'!$D:$D,'Saldos Iniciales'!$A:$A,"112 Florida Ave")+SUMIFS(Movimientos!$K$1:$K$432,Movimientos!$C$1:$C$432,"112 Florida Ave",Movimientos!$B$1:$B$432,"&lt;="&amp;$B37)</f>
        <v>5321.4300000000021</v>
      </c>
      <c r="S37" s="24">
        <f>SUMIFS('Saldos Iniciales'!$D:$D,'Saldos Iniciales'!$A:$A,"3628 Thomas Ave")+SUMIFS(Movimientos!$K$1:$K$432,Movimientos!$C$1:$C$432,"3628 Thomas Ave",Movimientos!$B$1:$B$432,"&lt;="&amp;$B37)</f>
        <v>24833.23</v>
      </c>
      <c r="T37" s="24">
        <f>SUMIFS('Saldos Iniciales'!$D:$D,'Saldos Iniciales'!$A:$A,"Green Harbor Trust")+SUMIFS(Movimientos!$K$1:$K$432,Movimientos!$C$1:$C$432,"Green Harbor Trust",Movimientos!$B$1:$B$432,"&lt;="&amp;$B37)</f>
        <v>345</v>
      </c>
      <c r="U37" s="24">
        <f>SUMIFS('Saldos Iniciales'!$D:$D,'Saldos Iniciales'!$A:$A,"Go Blue")+SUMIFS(Movimientos!$K$1:$K$432,Movimientos!$C$1:$C$432,"Go Blue",Movimientos!$B$1:$B$432,"&lt;="&amp;$B37)</f>
        <v>2422.7400000000034</v>
      </c>
      <c r="V37" s="25">
        <f t="shared" si="1"/>
        <v>2971992.89</v>
      </c>
    </row>
    <row r="38" spans="1:22" outlineLevel="1" x14ac:dyDescent="0.3">
      <c r="A38" s="22">
        <f t="shared" si="0"/>
        <v>37</v>
      </c>
      <c r="B38" s="23">
        <v>46179</v>
      </c>
      <c r="C38" s="24">
        <f>SUMIFS('Saldos Iniciales'!$D:$D,'Saldos Iniciales'!$A:$A,"CFT Group")+SUMIFS(Movimientos!$K$1:$K$432,Movimientos!$C$1:$C$432,"CFT Group",Movimientos!$B$1:$B$432,"&lt;="&amp;$B38)</f>
        <v>733394.14000000013</v>
      </c>
      <c r="D38" s="24">
        <f>SUMIFS('Saldos Iniciales'!$D:$D,'Saldos Iniciales'!$A:$A,"M1B")+SUMIFS(Movimientos!$K$1:$K$432,Movimientos!$C$1:$C$432,"M1B",Movimientos!$B$1:$B$432,"&lt;="&amp;$B38)</f>
        <v>69376.390000000174</v>
      </c>
      <c r="E38" s="24">
        <f>SUMIFS('Saldos Iniciales'!$D:$D,'Saldos Iniciales'!$A:$A,"Durand")+SUMIFS(Movimientos!$K$1:$K$432,Movimientos!$C$1:$C$432,"Durand",Movimientos!$B$1:$B$432,"&lt;="&amp;$B38)</f>
        <v>1669.89</v>
      </c>
      <c r="F38" s="24">
        <f>SUMIFS('Saldos Iniciales'!$D:$D,'Saldos Iniciales'!$A:$A,"A&amp;M Imports")+SUMIFS(Movimientos!$K$1:$K$432,Movimientos!$C$1:$C$432,"A&amp;M Imports",Movimientos!$B$1:$B$432,"&lt;="&amp;$B38)</f>
        <v>729545.23999999987</v>
      </c>
      <c r="G38" s="24">
        <f>SUMIFS('Saldos Iniciales'!$D:$D,'Saldos Iniciales'!$A:$A,"SSP Capital")+SUMIFS(Movimientos!$K$1:$K$432,Movimientos!$C$1:$C$432,"SSP Capital",Movimientos!$B$1:$B$432,"&lt;="&amp;$B38)</f>
        <v>1164028.3199999994</v>
      </c>
      <c r="H38" s="24">
        <f>SUMIFS('Saldos Iniciales'!$D:$D,'Saldos Iniciales'!$A:$A,"Cross Family Trust")+SUMIFS(Movimientos!$K$1:$K$432,Movimientos!$C$1:$C$432,"Cross Family Trust",Movimientos!$B$1:$B$432,"&lt;="&amp;$B38)</f>
        <v>116496.38</v>
      </c>
      <c r="I38" s="24">
        <f>SUMIFS('Saldos Iniciales'!$D:$D,'Saldos Iniciales'!$A:$A,"Cross Security Trust")+SUMIFS(Movimientos!$K$1:$K$432,Movimientos!$C$1:$C$432,"Cross Security Trust",Movimientos!$B$1:$B$432,"&lt;="&amp;$B38)</f>
        <v>88090.37</v>
      </c>
      <c r="J38" s="24">
        <f>SUMIFS('Saldos Iniciales'!$D:$D,'Saldos Iniciales'!$A:$A,"Electrama")+SUMIFS(Movimientos!$K$1:$K$432,Movimientos!$C$1:$C$432,"Electrama",Movimientos!$B$1:$B$432,"&lt;="&amp;$B38)</f>
        <v>1227.9699999999998</v>
      </c>
      <c r="K38" s="24">
        <f>SUMIFS('Saldos Iniciales'!$D:$D,'Saldos Iniciales'!$A:$A,"Sacred Valley Capital")+SUMIFS(Movimientos!$K$1:$K$432,Movimientos!$C$1:$C$432,"Sacred Valley Capital",Movimientos!$B$1:$B$432,"&lt;="&amp;$B38)</f>
        <v>84.35</v>
      </c>
      <c r="L38" s="24">
        <f>SUMIFS('Saldos Iniciales'!$D:$D,'Saldos Iniciales'!$A:$A,"YWC Capital")+SUMIFS(Movimientos!$K$1:$K$432,Movimientos!$C$1:$C$432,"YWC Capital",Movimientos!$B$1:$B$432,"&lt;="&amp;$B38)</f>
        <v>2237.77</v>
      </c>
      <c r="M38" s="24">
        <f>SUMIFS('Saldos Iniciales'!$D:$D,'Saldos Iniciales'!$A:$A,"Soweto")+SUMIFS(Movimientos!$K$1:$K$432,Movimientos!$C$1:$C$432,"Soweto",Movimientos!$B$1:$B$432,"&lt;="&amp;$B38)</f>
        <v>3349.94</v>
      </c>
      <c r="N38" s="24">
        <f>SUMIFS('Saldos Iniciales'!$D:$D,'Saldos Iniciales'!$A:$A,"Green Stone Trust")+SUMIFS(Movimientos!$K$1:$K$432,Movimientos!$C$1:$C$432,"Green Stone Trust",Movimientos!$B$1:$B$432,"&lt;="&amp;$B38)</f>
        <v>1968.99</v>
      </c>
      <c r="O38" s="24">
        <f>SUMIFS('Saldos Iniciales'!$D:$D,'Saldos Iniciales'!$A:$A,"EC Auto")+SUMIFS(Movimientos!$K$1:$K$432,Movimientos!$C$1:$C$432,"EC Auto",Movimientos!$B$1:$B$432,"&lt;="&amp;$B38)</f>
        <v>382.69000000000005</v>
      </c>
      <c r="P38" s="24">
        <f>SUMIFS('Saldos Iniciales'!$D:$D,'Saldos Iniciales'!$A:$A,"Arbor Capital Properties")+SUMIFS(Movimientos!$K$1:$K$432,Movimientos!$C$1:$C$432,"Arbor Capital Properties",Movimientos!$B$1:$B$432,"&lt;="&amp;$B38)</f>
        <v>1428.08</v>
      </c>
      <c r="Q38" s="24">
        <f>SUMIFS('Saldos Iniciales'!$D:$D,'Saldos Iniciales'!$A:$A,"2515 Overbrook")+SUMIFS(Movimientos!$K$1:$K$432,Movimientos!$C$1:$C$432,"2515 Overbrook",Movimientos!$B$1:$B$432,"&lt;="&amp;$B38)</f>
        <v>25789.969999999961</v>
      </c>
      <c r="R38" s="24">
        <f>SUMIFS('Saldos Iniciales'!$D:$D,'Saldos Iniciales'!$A:$A,"112 Florida Ave")+SUMIFS(Movimientos!$K$1:$K$432,Movimientos!$C$1:$C$432,"112 Florida Ave",Movimientos!$B$1:$B$432,"&lt;="&amp;$B38)</f>
        <v>5321.4300000000021</v>
      </c>
      <c r="S38" s="24">
        <f>SUMIFS('Saldos Iniciales'!$D:$D,'Saldos Iniciales'!$A:$A,"3628 Thomas Ave")+SUMIFS(Movimientos!$K$1:$K$432,Movimientos!$C$1:$C$432,"3628 Thomas Ave",Movimientos!$B$1:$B$432,"&lt;="&amp;$B38)</f>
        <v>24833.23</v>
      </c>
      <c r="T38" s="24">
        <f>SUMIFS('Saldos Iniciales'!$D:$D,'Saldos Iniciales'!$A:$A,"Green Harbor Trust")+SUMIFS(Movimientos!$K$1:$K$432,Movimientos!$C$1:$C$432,"Green Harbor Trust",Movimientos!$B$1:$B$432,"&lt;="&amp;$B38)</f>
        <v>345</v>
      </c>
      <c r="U38" s="24">
        <f>SUMIFS('Saldos Iniciales'!$D:$D,'Saldos Iniciales'!$A:$A,"Go Blue")+SUMIFS(Movimientos!$K$1:$K$432,Movimientos!$C$1:$C$432,"Go Blue",Movimientos!$B$1:$B$432,"&lt;="&amp;$B38)</f>
        <v>2422.7400000000034</v>
      </c>
      <c r="V38" s="25">
        <f t="shared" si="1"/>
        <v>2971992.89</v>
      </c>
    </row>
    <row r="39" spans="1:22" outlineLevel="1" x14ac:dyDescent="0.3">
      <c r="A39" s="22">
        <f t="shared" si="0"/>
        <v>38</v>
      </c>
      <c r="B39" s="23">
        <v>46180</v>
      </c>
      <c r="C39" s="24">
        <f>SUMIFS('Saldos Iniciales'!$D:$D,'Saldos Iniciales'!$A:$A,"CFT Group")+SUMIFS(Movimientos!$K$1:$K$432,Movimientos!$C$1:$C$432,"CFT Group",Movimientos!$B$1:$B$432,"&lt;="&amp;$B39)</f>
        <v>733394.14000000013</v>
      </c>
      <c r="D39" s="24">
        <f>SUMIFS('Saldos Iniciales'!$D:$D,'Saldos Iniciales'!$A:$A,"M1B")+SUMIFS(Movimientos!$K$1:$K$432,Movimientos!$C$1:$C$432,"M1B",Movimientos!$B$1:$B$432,"&lt;="&amp;$B39)</f>
        <v>69376.390000000174</v>
      </c>
      <c r="E39" s="24">
        <f>SUMIFS('Saldos Iniciales'!$D:$D,'Saldos Iniciales'!$A:$A,"Durand")+SUMIFS(Movimientos!$K$1:$K$432,Movimientos!$C$1:$C$432,"Durand",Movimientos!$B$1:$B$432,"&lt;="&amp;$B39)</f>
        <v>1669.89</v>
      </c>
      <c r="F39" s="24">
        <f>SUMIFS('Saldos Iniciales'!$D:$D,'Saldos Iniciales'!$A:$A,"A&amp;M Imports")+SUMIFS(Movimientos!$K$1:$K$432,Movimientos!$C$1:$C$432,"A&amp;M Imports",Movimientos!$B$1:$B$432,"&lt;="&amp;$B39)</f>
        <v>729545.23999999987</v>
      </c>
      <c r="G39" s="24">
        <f>SUMIFS('Saldos Iniciales'!$D:$D,'Saldos Iniciales'!$A:$A,"SSP Capital")+SUMIFS(Movimientos!$K$1:$K$432,Movimientos!$C$1:$C$432,"SSP Capital",Movimientos!$B$1:$B$432,"&lt;="&amp;$B39)</f>
        <v>1164028.3199999994</v>
      </c>
      <c r="H39" s="24">
        <f>SUMIFS('Saldos Iniciales'!$D:$D,'Saldos Iniciales'!$A:$A,"Cross Family Trust")+SUMIFS(Movimientos!$K$1:$K$432,Movimientos!$C$1:$C$432,"Cross Family Trust",Movimientos!$B$1:$B$432,"&lt;="&amp;$B39)</f>
        <v>116496.38</v>
      </c>
      <c r="I39" s="24">
        <f>SUMIFS('Saldos Iniciales'!$D:$D,'Saldos Iniciales'!$A:$A,"Cross Security Trust")+SUMIFS(Movimientos!$K$1:$K$432,Movimientos!$C$1:$C$432,"Cross Security Trust",Movimientos!$B$1:$B$432,"&lt;="&amp;$B39)</f>
        <v>88090.37</v>
      </c>
      <c r="J39" s="24">
        <f>SUMIFS('Saldos Iniciales'!$D:$D,'Saldos Iniciales'!$A:$A,"Electrama")+SUMIFS(Movimientos!$K$1:$K$432,Movimientos!$C$1:$C$432,"Electrama",Movimientos!$B$1:$B$432,"&lt;="&amp;$B39)</f>
        <v>1227.9699999999998</v>
      </c>
      <c r="K39" s="24">
        <f>SUMIFS('Saldos Iniciales'!$D:$D,'Saldos Iniciales'!$A:$A,"Sacred Valley Capital")+SUMIFS(Movimientos!$K$1:$K$432,Movimientos!$C$1:$C$432,"Sacred Valley Capital",Movimientos!$B$1:$B$432,"&lt;="&amp;$B39)</f>
        <v>84.35</v>
      </c>
      <c r="L39" s="24">
        <f>SUMIFS('Saldos Iniciales'!$D:$D,'Saldos Iniciales'!$A:$A,"YWC Capital")+SUMIFS(Movimientos!$K$1:$K$432,Movimientos!$C$1:$C$432,"YWC Capital",Movimientos!$B$1:$B$432,"&lt;="&amp;$B39)</f>
        <v>2237.77</v>
      </c>
      <c r="M39" s="24">
        <f>SUMIFS('Saldos Iniciales'!$D:$D,'Saldos Iniciales'!$A:$A,"Soweto")+SUMIFS(Movimientos!$K$1:$K$432,Movimientos!$C$1:$C$432,"Soweto",Movimientos!$B$1:$B$432,"&lt;="&amp;$B39)</f>
        <v>3349.94</v>
      </c>
      <c r="N39" s="24">
        <f>SUMIFS('Saldos Iniciales'!$D:$D,'Saldos Iniciales'!$A:$A,"Green Stone Trust")+SUMIFS(Movimientos!$K$1:$K$432,Movimientos!$C$1:$C$432,"Green Stone Trust",Movimientos!$B$1:$B$432,"&lt;="&amp;$B39)</f>
        <v>1968.99</v>
      </c>
      <c r="O39" s="24">
        <f>SUMIFS('Saldos Iniciales'!$D:$D,'Saldos Iniciales'!$A:$A,"EC Auto")+SUMIFS(Movimientos!$K$1:$K$432,Movimientos!$C$1:$C$432,"EC Auto",Movimientos!$B$1:$B$432,"&lt;="&amp;$B39)</f>
        <v>382.69000000000005</v>
      </c>
      <c r="P39" s="24">
        <f>SUMIFS('Saldos Iniciales'!$D:$D,'Saldos Iniciales'!$A:$A,"Arbor Capital Properties")+SUMIFS(Movimientos!$K$1:$K$432,Movimientos!$C$1:$C$432,"Arbor Capital Properties",Movimientos!$B$1:$B$432,"&lt;="&amp;$B39)</f>
        <v>1428.08</v>
      </c>
      <c r="Q39" s="24">
        <f>SUMIFS('Saldos Iniciales'!$D:$D,'Saldos Iniciales'!$A:$A,"2515 Overbrook")+SUMIFS(Movimientos!$K$1:$K$432,Movimientos!$C$1:$C$432,"2515 Overbrook",Movimientos!$B$1:$B$432,"&lt;="&amp;$B39)</f>
        <v>25789.969999999961</v>
      </c>
      <c r="R39" s="24">
        <f>SUMIFS('Saldos Iniciales'!$D:$D,'Saldos Iniciales'!$A:$A,"112 Florida Ave")+SUMIFS(Movimientos!$K$1:$K$432,Movimientos!$C$1:$C$432,"112 Florida Ave",Movimientos!$B$1:$B$432,"&lt;="&amp;$B39)</f>
        <v>5321.4300000000021</v>
      </c>
      <c r="S39" s="24">
        <f>SUMIFS('Saldos Iniciales'!$D:$D,'Saldos Iniciales'!$A:$A,"3628 Thomas Ave")+SUMIFS(Movimientos!$K$1:$K$432,Movimientos!$C$1:$C$432,"3628 Thomas Ave",Movimientos!$B$1:$B$432,"&lt;="&amp;$B39)</f>
        <v>24833.23</v>
      </c>
      <c r="T39" s="24">
        <f>SUMIFS('Saldos Iniciales'!$D:$D,'Saldos Iniciales'!$A:$A,"Green Harbor Trust")+SUMIFS(Movimientos!$K$1:$K$432,Movimientos!$C$1:$C$432,"Green Harbor Trust",Movimientos!$B$1:$B$432,"&lt;="&amp;$B39)</f>
        <v>345</v>
      </c>
      <c r="U39" s="24">
        <f>SUMIFS('Saldos Iniciales'!$D:$D,'Saldos Iniciales'!$A:$A,"Go Blue")+SUMIFS(Movimientos!$K$1:$K$432,Movimientos!$C$1:$C$432,"Go Blue",Movimientos!$B$1:$B$432,"&lt;="&amp;$B39)</f>
        <v>2422.7400000000034</v>
      </c>
      <c r="V39" s="25">
        <f t="shared" si="1"/>
        <v>2971992.89</v>
      </c>
    </row>
    <row r="40" spans="1:22" outlineLevel="1" x14ac:dyDescent="0.3">
      <c r="A40" s="22">
        <f t="shared" si="0"/>
        <v>39</v>
      </c>
      <c r="B40" s="23">
        <v>46181</v>
      </c>
      <c r="C40" s="24">
        <f>SUMIFS('Saldos Iniciales'!$D:$D,'Saldos Iniciales'!$A:$A,"CFT Group")+SUMIFS(Movimientos!$K$1:$K$432,Movimientos!$C$1:$C$432,"CFT Group",Movimientos!$B$1:$B$432,"&lt;="&amp;$B40)</f>
        <v>733394.14000000013</v>
      </c>
      <c r="D40" s="24">
        <f>SUMIFS('Saldos Iniciales'!$D:$D,'Saldos Iniciales'!$A:$A,"M1B")+SUMIFS(Movimientos!$K$1:$K$432,Movimientos!$C$1:$C$432,"M1B",Movimientos!$B$1:$B$432,"&lt;="&amp;$B40)</f>
        <v>69376.390000000174</v>
      </c>
      <c r="E40" s="24">
        <f>SUMIFS('Saldos Iniciales'!$D:$D,'Saldos Iniciales'!$A:$A,"Durand")+SUMIFS(Movimientos!$K$1:$K$432,Movimientos!$C$1:$C$432,"Durand",Movimientos!$B$1:$B$432,"&lt;="&amp;$B40)</f>
        <v>1669.89</v>
      </c>
      <c r="F40" s="24">
        <f>SUMIFS('Saldos Iniciales'!$D:$D,'Saldos Iniciales'!$A:$A,"A&amp;M Imports")+SUMIFS(Movimientos!$K$1:$K$432,Movimientos!$C$1:$C$432,"A&amp;M Imports",Movimientos!$B$1:$B$432,"&lt;="&amp;$B40)</f>
        <v>729545.23999999987</v>
      </c>
      <c r="G40" s="24">
        <f>SUMIFS('Saldos Iniciales'!$D:$D,'Saldos Iniciales'!$A:$A,"SSP Capital")+SUMIFS(Movimientos!$K$1:$K$432,Movimientos!$C$1:$C$432,"SSP Capital",Movimientos!$B$1:$B$432,"&lt;="&amp;$B40)</f>
        <v>1164028.3199999994</v>
      </c>
      <c r="H40" s="24">
        <f>SUMIFS('Saldos Iniciales'!$D:$D,'Saldos Iniciales'!$A:$A,"Cross Family Trust")+SUMIFS(Movimientos!$K$1:$K$432,Movimientos!$C$1:$C$432,"Cross Family Trust",Movimientos!$B$1:$B$432,"&lt;="&amp;$B40)</f>
        <v>116496.38</v>
      </c>
      <c r="I40" s="24">
        <f>SUMIFS('Saldos Iniciales'!$D:$D,'Saldos Iniciales'!$A:$A,"Cross Security Trust")+SUMIFS(Movimientos!$K$1:$K$432,Movimientos!$C$1:$C$432,"Cross Security Trust",Movimientos!$B$1:$B$432,"&lt;="&amp;$B40)</f>
        <v>88090.37</v>
      </c>
      <c r="J40" s="24">
        <f>SUMIFS('Saldos Iniciales'!$D:$D,'Saldos Iniciales'!$A:$A,"Electrama")+SUMIFS(Movimientos!$K$1:$K$432,Movimientos!$C$1:$C$432,"Electrama",Movimientos!$B$1:$B$432,"&lt;="&amp;$B40)</f>
        <v>1227.9699999999998</v>
      </c>
      <c r="K40" s="24">
        <f>SUMIFS('Saldos Iniciales'!$D:$D,'Saldos Iniciales'!$A:$A,"Sacred Valley Capital")+SUMIFS(Movimientos!$K$1:$K$432,Movimientos!$C$1:$C$432,"Sacred Valley Capital",Movimientos!$B$1:$B$432,"&lt;="&amp;$B40)</f>
        <v>84.35</v>
      </c>
      <c r="L40" s="24">
        <f>SUMIFS('Saldos Iniciales'!$D:$D,'Saldos Iniciales'!$A:$A,"YWC Capital")+SUMIFS(Movimientos!$K$1:$K$432,Movimientos!$C$1:$C$432,"YWC Capital",Movimientos!$B$1:$B$432,"&lt;="&amp;$B40)</f>
        <v>2237.77</v>
      </c>
      <c r="M40" s="24">
        <f>SUMIFS('Saldos Iniciales'!$D:$D,'Saldos Iniciales'!$A:$A,"Soweto")+SUMIFS(Movimientos!$K$1:$K$432,Movimientos!$C$1:$C$432,"Soweto",Movimientos!$B$1:$B$432,"&lt;="&amp;$B40)</f>
        <v>3349.94</v>
      </c>
      <c r="N40" s="24">
        <f>SUMIFS('Saldos Iniciales'!$D:$D,'Saldos Iniciales'!$A:$A,"Green Stone Trust")+SUMIFS(Movimientos!$K$1:$K$432,Movimientos!$C$1:$C$432,"Green Stone Trust",Movimientos!$B$1:$B$432,"&lt;="&amp;$B40)</f>
        <v>1968.99</v>
      </c>
      <c r="O40" s="24">
        <f>SUMIFS('Saldos Iniciales'!$D:$D,'Saldos Iniciales'!$A:$A,"EC Auto")+SUMIFS(Movimientos!$K$1:$K$432,Movimientos!$C$1:$C$432,"EC Auto",Movimientos!$B$1:$B$432,"&lt;="&amp;$B40)</f>
        <v>382.69000000000005</v>
      </c>
      <c r="P40" s="24">
        <f>SUMIFS('Saldos Iniciales'!$D:$D,'Saldos Iniciales'!$A:$A,"Arbor Capital Properties")+SUMIFS(Movimientos!$K$1:$K$432,Movimientos!$C$1:$C$432,"Arbor Capital Properties",Movimientos!$B$1:$B$432,"&lt;="&amp;$B40)</f>
        <v>1428.08</v>
      </c>
      <c r="Q40" s="24">
        <f>SUMIFS('Saldos Iniciales'!$D:$D,'Saldos Iniciales'!$A:$A,"2515 Overbrook")+SUMIFS(Movimientos!$K$1:$K$432,Movimientos!$C$1:$C$432,"2515 Overbrook",Movimientos!$B$1:$B$432,"&lt;="&amp;$B40)</f>
        <v>25789.969999999961</v>
      </c>
      <c r="R40" s="24">
        <f>SUMIFS('Saldos Iniciales'!$D:$D,'Saldos Iniciales'!$A:$A,"112 Florida Ave")+SUMIFS(Movimientos!$K$1:$K$432,Movimientos!$C$1:$C$432,"112 Florida Ave",Movimientos!$B$1:$B$432,"&lt;="&amp;$B40)</f>
        <v>5321.4300000000021</v>
      </c>
      <c r="S40" s="24">
        <f>SUMIFS('Saldos Iniciales'!$D:$D,'Saldos Iniciales'!$A:$A,"3628 Thomas Ave")+SUMIFS(Movimientos!$K$1:$K$432,Movimientos!$C$1:$C$432,"3628 Thomas Ave",Movimientos!$B$1:$B$432,"&lt;="&amp;$B40)</f>
        <v>24833.23</v>
      </c>
      <c r="T40" s="24">
        <f>SUMIFS('Saldos Iniciales'!$D:$D,'Saldos Iniciales'!$A:$A,"Green Harbor Trust")+SUMIFS(Movimientos!$K$1:$K$432,Movimientos!$C$1:$C$432,"Green Harbor Trust",Movimientos!$B$1:$B$432,"&lt;="&amp;$B40)</f>
        <v>345</v>
      </c>
      <c r="U40" s="24">
        <f>SUMIFS('Saldos Iniciales'!$D:$D,'Saldos Iniciales'!$A:$A,"Go Blue")+SUMIFS(Movimientos!$K$1:$K$432,Movimientos!$C$1:$C$432,"Go Blue",Movimientos!$B$1:$B$432,"&lt;="&amp;$B40)</f>
        <v>1451.1500000000033</v>
      </c>
      <c r="V40" s="25">
        <f t="shared" ref="V40:V43" si="2">SUM(C40:U40)</f>
        <v>2971021.3</v>
      </c>
    </row>
    <row r="41" spans="1:22" outlineLevel="1" x14ac:dyDescent="0.3">
      <c r="A41" s="22">
        <f t="shared" si="0"/>
        <v>40</v>
      </c>
      <c r="B41" s="23">
        <v>46182</v>
      </c>
      <c r="C41" s="24">
        <f>SUMIFS('Saldos Iniciales'!$D:$D,'Saldos Iniciales'!$A:$A,"CFT Group")+SUMIFS(Movimientos!$K$1:$K$432,Movimientos!$C$1:$C$432,"CFT Group",Movimientos!$B$1:$B$432,"&lt;="&amp;$B41)</f>
        <v>847381.29000000015</v>
      </c>
      <c r="D41" s="24">
        <f>SUMIFS('Saldos Iniciales'!$D:$D,'Saldos Iniciales'!$A:$A,"M1B")+SUMIFS(Movimientos!$K$1:$K$432,Movimientos!$C$1:$C$432,"M1B",Movimientos!$B$1:$B$432,"&lt;="&amp;$B41)</f>
        <v>69376.390000000174</v>
      </c>
      <c r="E41" s="24">
        <f>SUMIFS('Saldos Iniciales'!$D:$D,'Saldos Iniciales'!$A:$A,"Durand")+SUMIFS(Movimientos!$K$1:$K$432,Movimientos!$C$1:$C$432,"Durand",Movimientos!$B$1:$B$432,"&lt;="&amp;$B41)</f>
        <v>1669.89</v>
      </c>
      <c r="F41" s="24">
        <f>SUMIFS('Saldos Iniciales'!$D:$D,'Saldos Iniciales'!$A:$A,"A&amp;M Imports")+SUMIFS(Movimientos!$K$1:$K$432,Movimientos!$C$1:$C$432,"A&amp;M Imports",Movimientos!$B$1:$B$432,"&lt;="&amp;$B41)</f>
        <v>729545.23999999987</v>
      </c>
      <c r="G41" s="24">
        <f>SUMIFS('Saldos Iniciales'!$D:$D,'Saldos Iniciales'!$A:$A,"SSP Capital")+SUMIFS(Movimientos!$K$1:$K$432,Movimientos!$C$1:$C$432,"SSP Capital",Movimientos!$B$1:$B$432,"&lt;="&amp;$B41)</f>
        <v>1160274.0499999993</v>
      </c>
      <c r="H41" s="24">
        <f>SUMIFS('Saldos Iniciales'!$D:$D,'Saldos Iniciales'!$A:$A,"Cross Family Trust")+SUMIFS(Movimientos!$K$1:$K$432,Movimientos!$C$1:$C$432,"Cross Family Trust",Movimientos!$B$1:$B$432,"&lt;="&amp;$B41)</f>
        <v>116496.38</v>
      </c>
      <c r="I41" s="24">
        <f>SUMIFS('Saldos Iniciales'!$D:$D,'Saldos Iniciales'!$A:$A,"Cross Security Trust")+SUMIFS(Movimientos!$K$1:$K$432,Movimientos!$C$1:$C$432,"Cross Security Trust",Movimientos!$B$1:$B$432,"&lt;="&amp;$B41)</f>
        <v>88090.37</v>
      </c>
      <c r="J41" s="24">
        <f>SUMIFS('Saldos Iniciales'!$D:$D,'Saldos Iniciales'!$A:$A,"Electrama")+SUMIFS(Movimientos!$K$1:$K$432,Movimientos!$C$1:$C$432,"Electrama",Movimientos!$B$1:$B$432,"&lt;="&amp;$B41)</f>
        <v>1227.9699999999998</v>
      </c>
      <c r="K41" s="24">
        <f>SUMIFS('Saldos Iniciales'!$D:$D,'Saldos Iniciales'!$A:$A,"Sacred Valley Capital")+SUMIFS(Movimientos!$K$1:$K$432,Movimientos!$C$1:$C$432,"Sacred Valley Capital",Movimientos!$B$1:$B$432,"&lt;="&amp;$B41)</f>
        <v>84.35</v>
      </c>
      <c r="L41" s="24">
        <f>SUMIFS('Saldos Iniciales'!$D:$D,'Saldos Iniciales'!$A:$A,"YWC Capital")+SUMIFS(Movimientos!$K$1:$K$432,Movimientos!$C$1:$C$432,"YWC Capital",Movimientos!$B$1:$B$432,"&lt;="&amp;$B41)</f>
        <v>2237.77</v>
      </c>
      <c r="M41" s="24">
        <f>SUMIFS('Saldos Iniciales'!$D:$D,'Saldos Iniciales'!$A:$A,"Soweto")+SUMIFS(Movimientos!$K$1:$K$432,Movimientos!$C$1:$C$432,"Soweto",Movimientos!$B$1:$B$432,"&lt;="&amp;$B41)</f>
        <v>3349.94</v>
      </c>
      <c r="N41" s="24">
        <f>SUMIFS('Saldos Iniciales'!$D:$D,'Saldos Iniciales'!$A:$A,"Green Stone Trust")+SUMIFS(Movimientos!$K$1:$K$432,Movimientos!$C$1:$C$432,"Green Stone Trust",Movimientos!$B$1:$B$432,"&lt;="&amp;$B41)</f>
        <v>1968.99</v>
      </c>
      <c r="O41" s="24">
        <f>SUMIFS('Saldos Iniciales'!$D:$D,'Saldos Iniciales'!$A:$A,"EC Auto")+SUMIFS(Movimientos!$K$1:$K$432,Movimientos!$C$1:$C$432,"EC Auto",Movimientos!$B$1:$B$432,"&lt;="&amp;$B41)</f>
        <v>382.69000000000005</v>
      </c>
      <c r="P41" s="24">
        <f>SUMIFS('Saldos Iniciales'!$D:$D,'Saldos Iniciales'!$A:$A,"Arbor Capital Properties")+SUMIFS(Movimientos!$K$1:$K$432,Movimientos!$C$1:$C$432,"Arbor Capital Properties",Movimientos!$B$1:$B$432,"&lt;="&amp;$B41)</f>
        <v>1428.08</v>
      </c>
      <c r="Q41" s="24">
        <f>SUMIFS('Saldos Iniciales'!$D:$D,'Saldos Iniciales'!$A:$A,"2515 Overbrook")+SUMIFS(Movimientos!$K$1:$K$432,Movimientos!$C$1:$C$432,"2515 Overbrook",Movimientos!$B$1:$B$432,"&lt;="&amp;$B41)</f>
        <v>25789.969999999961</v>
      </c>
      <c r="R41" s="24">
        <f>SUMIFS('Saldos Iniciales'!$D:$D,'Saldos Iniciales'!$A:$A,"112 Florida Ave")+SUMIFS(Movimientos!$K$1:$K$432,Movimientos!$C$1:$C$432,"112 Florida Ave",Movimientos!$B$1:$B$432,"&lt;="&amp;$B41)</f>
        <v>5321.4300000000021</v>
      </c>
      <c r="S41" s="24">
        <f>SUMIFS('Saldos Iniciales'!$D:$D,'Saldos Iniciales'!$A:$A,"3628 Thomas Ave")+SUMIFS(Movimientos!$K$1:$K$432,Movimientos!$C$1:$C$432,"3628 Thomas Ave",Movimientos!$B$1:$B$432,"&lt;="&amp;$B41)</f>
        <v>24833.23</v>
      </c>
      <c r="T41" s="24">
        <f>SUMIFS('Saldos Iniciales'!$D:$D,'Saldos Iniciales'!$A:$A,"Green Harbor Trust")+SUMIFS(Movimientos!$K$1:$K$432,Movimientos!$C$1:$C$432,"Green Harbor Trust",Movimientos!$B$1:$B$432,"&lt;="&amp;$B41)</f>
        <v>345</v>
      </c>
      <c r="U41" s="24">
        <f>SUMIFS('Saldos Iniciales'!$D:$D,'Saldos Iniciales'!$A:$A,"Go Blue")+SUMIFS(Movimientos!$K$1:$K$432,Movimientos!$C$1:$C$432,"Go Blue",Movimientos!$B$1:$B$432,"&lt;="&amp;$B41)</f>
        <v>1289.7300000000032</v>
      </c>
      <c r="V41" s="25">
        <f t="shared" si="2"/>
        <v>3081092.76</v>
      </c>
    </row>
    <row r="42" spans="1:22" outlineLevel="1" x14ac:dyDescent="0.3">
      <c r="A42" s="22">
        <f t="shared" si="0"/>
        <v>41</v>
      </c>
      <c r="B42" s="23">
        <v>46183</v>
      </c>
      <c r="C42" s="24">
        <f>SUMIFS('Saldos Iniciales'!$D:$D,'Saldos Iniciales'!$A:$A,"CFT Group")+SUMIFS(Movimientos!$K$1:$K$432,Movimientos!$C$1:$C$432,"CFT Group",Movimientos!$B$1:$B$432,"&lt;="&amp;$B42)</f>
        <v>2288745.9500000002</v>
      </c>
      <c r="D42" s="24">
        <f>SUMIFS('Saldos Iniciales'!$D:$D,'Saldos Iniciales'!$A:$A,"M1B")+SUMIFS(Movimientos!$K$1:$K$432,Movimientos!$C$1:$C$432,"M1B",Movimientos!$B$1:$B$432,"&lt;="&amp;$B42)</f>
        <v>69376.390000000174</v>
      </c>
      <c r="E42" s="24">
        <f>SUMIFS('Saldos Iniciales'!$D:$D,'Saldos Iniciales'!$A:$A,"Durand")+SUMIFS(Movimientos!$K$1:$K$432,Movimientos!$C$1:$C$432,"Durand",Movimientos!$B$1:$B$432,"&lt;="&amp;$B42)</f>
        <v>1669.89</v>
      </c>
      <c r="F42" s="24">
        <f>SUMIFS('Saldos Iniciales'!$D:$D,'Saldos Iniciales'!$A:$A,"A&amp;M Imports")+SUMIFS(Movimientos!$K$1:$K$432,Movimientos!$C$1:$C$432,"A&amp;M Imports",Movimientos!$B$1:$B$432,"&lt;="&amp;$B42)</f>
        <v>744306.80999999982</v>
      </c>
      <c r="G42" s="24">
        <f>SUMIFS('Saldos Iniciales'!$D:$D,'Saldos Iniciales'!$A:$A,"SSP Capital")+SUMIFS(Movimientos!$K$1:$K$432,Movimientos!$C$1:$C$432,"SSP Capital",Movimientos!$B$1:$B$432,"&lt;="&amp;$B42)</f>
        <v>1160274.0499999993</v>
      </c>
      <c r="H42" s="24">
        <f>SUMIFS('Saldos Iniciales'!$D:$D,'Saldos Iniciales'!$A:$A,"Cross Family Trust")+SUMIFS(Movimientos!$K$1:$K$432,Movimientos!$C$1:$C$432,"Cross Family Trust",Movimientos!$B$1:$B$432,"&lt;="&amp;$B42)</f>
        <v>116496.38</v>
      </c>
      <c r="I42" s="24">
        <f>SUMIFS('Saldos Iniciales'!$D:$D,'Saldos Iniciales'!$A:$A,"Cross Security Trust")+SUMIFS(Movimientos!$K$1:$K$432,Movimientos!$C$1:$C$432,"Cross Security Trust",Movimientos!$B$1:$B$432,"&lt;="&amp;$B42)</f>
        <v>88090.37</v>
      </c>
      <c r="J42" s="24">
        <f>SUMIFS('Saldos Iniciales'!$D:$D,'Saldos Iniciales'!$A:$A,"Electrama")+SUMIFS(Movimientos!$K$1:$K$432,Movimientos!$C$1:$C$432,"Electrama",Movimientos!$B$1:$B$432,"&lt;="&amp;$B42)</f>
        <v>1227.9699999999998</v>
      </c>
      <c r="K42" s="24">
        <f>SUMIFS('Saldos Iniciales'!$D:$D,'Saldos Iniciales'!$A:$A,"Sacred Valley Capital")+SUMIFS(Movimientos!$K$1:$K$432,Movimientos!$C$1:$C$432,"Sacred Valley Capital",Movimientos!$B$1:$B$432,"&lt;="&amp;$B42)</f>
        <v>84.35</v>
      </c>
      <c r="L42" s="24">
        <f>SUMIFS('Saldos Iniciales'!$D:$D,'Saldos Iniciales'!$A:$A,"YWC Capital")+SUMIFS(Movimientos!$K$1:$K$432,Movimientos!$C$1:$C$432,"YWC Capital",Movimientos!$B$1:$B$432,"&lt;="&amp;$B42)</f>
        <v>2237.77</v>
      </c>
      <c r="M42" s="24">
        <f>SUMIFS('Saldos Iniciales'!$D:$D,'Saldos Iniciales'!$A:$A,"Soweto")+SUMIFS(Movimientos!$K$1:$K$432,Movimientos!$C$1:$C$432,"Soweto",Movimientos!$B$1:$B$432,"&lt;="&amp;$B42)</f>
        <v>3349.94</v>
      </c>
      <c r="N42" s="24">
        <f>SUMIFS('Saldos Iniciales'!$D:$D,'Saldos Iniciales'!$A:$A,"Green Stone Trust")+SUMIFS(Movimientos!$K$1:$K$432,Movimientos!$C$1:$C$432,"Green Stone Trust",Movimientos!$B$1:$B$432,"&lt;="&amp;$B42)</f>
        <v>1968.99</v>
      </c>
      <c r="O42" s="24">
        <f>SUMIFS('Saldos Iniciales'!$D:$D,'Saldos Iniciales'!$A:$A,"EC Auto")+SUMIFS(Movimientos!$K$1:$K$432,Movimientos!$C$1:$C$432,"EC Auto",Movimientos!$B$1:$B$432,"&lt;="&amp;$B42)</f>
        <v>382.69000000000005</v>
      </c>
      <c r="P42" s="24">
        <f>SUMIFS('Saldos Iniciales'!$D:$D,'Saldos Iniciales'!$A:$A,"Arbor Capital Properties")+SUMIFS(Movimientos!$K$1:$K$432,Movimientos!$C$1:$C$432,"Arbor Capital Properties",Movimientos!$B$1:$B$432,"&lt;="&amp;$B42)</f>
        <v>1428.08</v>
      </c>
      <c r="Q42" s="24">
        <f>SUMIFS('Saldos Iniciales'!$D:$D,'Saldos Iniciales'!$A:$A,"2515 Overbrook")+SUMIFS(Movimientos!$K$1:$K$432,Movimientos!$C$1:$C$432,"2515 Overbrook",Movimientos!$B$1:$B$432,"&lt;="&amp;$B42)</f>
        <v>25789.969999999961</v>
      </c>
      <c r="R42" s="24">
        <f>SUMIFS('Saldos Iniciales'!$D:$D,'Saldos Iniciales'!$A:$A,"112 Florida Ave")+SUMIFS(Movimientos!$K$1:$K$432,Movimientos!$C$1:$C$432,"112 Florida Ave",Movimientos!$B$1:$B$432,"&lt;="&amp;$B42)</f>
        <v>5321.4300000000021</v>
      </c>
      <c r="S42" s="24">
        <f>SUMIFS('Saldos Iniciales'!$D:$D,'Saldos Iniciales'!$A:$A,"3628 Thomas Ave")+SUMIFS(Movimientos!$K$1:$K$432,Movimientos!$C$1:$C$432,"3628 Thomas Ave",Movimientos!$B$1:$B$432,"&lt;="&amp;$B42)</f>
        <v>24743.98</v>
      </c>
      <c r="T42" s="24">
        <f>SUMIFS('Saldos Iniciales'!$D:$D,'Saldos Iniciales'!$A:$A,"Green Harbor Trust")+SUMIFS(Movimientos!$K$1:$K$432,Movimientos!$C$1:$C$432,"Green Harbor Trust",Movimientos!$B$1:$B$432,"&lt;="&amp;$B42)</f>
        <v>345</v>
      </c>
      <c r="U42" s="24">
        <f>SUMIFS('Saldos Iniciales'!$D:$D,'Saldos Iniciales'!$A:$A,"Go Blue")+SUMIFS(Movimientos!$K$1:$K$432,Movimientos!$C$1:$C$432,"Go Blue",Movimientos!$B$1:$B$432,"&lt;="&amp;$B42)</f>
        <v>1289.7300000000032</v>
      </c>
      <c r="V42" s="25">
        <f t="shared" si="2"/>
        <v>4537129.74</v>
      </c>
    </row>
    <row r="43" spans="1:22" outlineLevel="1" x14ac:dyDescent="0.3">
      <c r="A43" s="22">
        <f t="shared" si="0"/>
        <v>42</v>
      </c>
      <c r="B43" s="23">
        <v>46184</v>
      </c>
      <c r="C43" s="24">
        <f>SUMIFS('Saldos Iniciales'!$D:$D,'Saldos Iniciales'!$A:$A,"CFT Group")+SUMIFS(Movimientos!$K$1:$K$432,Movimientos!$C$1:$C$432,"CFT Group",Movimientos!$B$1:$B$432,"&lt;="&amp;$B43)</f>
        <v>1837784.84</v>
      </c>
      <c r="D43" s="24">
        <f>SUMIFS('Saldos Iniciales'!$D:$D,'Saldos Iniciales'!$A:$A,"M1B")+SUMIFS(Movimientos!$K$1:$K$432,Movimientos!$C$1:$C$432,"M1B",Movimientos!$B$1:$B$432,"&lt;="&amp;$B43)</f>
        <v>69376.390000000174</v>
      </c>
      <c r="E43" s="24">
        <f>SUMIFS('Saldos Iniciales'!$D:$D,'Saldos Iniciales'!$A:$A,"Durand")+SUMIFS(Movimientos!$K$1:$K$432,Movimientos!$C$1:$C$432,"Durand",Movimientos!$B$1:$B$432,"&lt;="&amp;$B43)</f>
        <v>1669.89</v>
      </c>
      <c r="F43" s="24">
        <f>SUMIFS('Saldos Iniciales'!$D:$D,'Saldos Iniciales'!$A:$A,"A&amp;M Imports")+SUMIFS(Movimientos!$K$1:$K$432,Movimientos!$C$1:$C$432,"A&amp;M Imports",Movimientos!$B$1:$B$432,"&lt;="&amp;$B43)</f>
        <v>564626.20999999985</v>
      </c>
      <c r="G43" s="24">
        <f>SUMIFS('Saldos Iniciales'!$D:$D,'Saldos Iniciales'!$A:$A,"SSP Capital")+SUMIFS(Movimientos!$K$1:$K$432,Movimientos!$C$1:$C$432,"SSP Capital",Movimientos!$B$1:$B$432,"&lt;="&amp;$B43)</f>
        <v>794731.82999999926</v>
      </c>
      <c r="H43" s="24">
        <f>SUMIFS('Saldos Iniciales'!$D:$D,'Saldos Iniciales'!$A:$A,"Cross Family Trust")+SUMIFS(Movimientos!$K$1:$K$432,Movimientos!$C$1:$C$432,"Cross Family Trust",Movimientos!$B$1:$B$432,"&lt;="&amp;$B43)</f>
        <v>116496.38</v>
      </c>
      <c r="I43" s="24">
        <f>SUMIFS('Saldos Iniciales'!$D:$D,'Saldos Iniciales'!$A:$A,"Cross Security Trust")+SUMIFS(Movimientos!$K$1:$K$432,Movimientos!$C$1:$C$432,"Cross Security Trust",Movimientos!$B$1:$B$432,"&lt;="&amp;$B43)</f>
        <v>88090.37</v>
      </c>
      <c r="J43" s="24">
        <f>SUMIFS('Saldos Iniciales'!$D:$D,'Saldos Iniciales'!$A:$A,"Electrama")+SUMIFS(Movimientos!$K$1:$K$432,Movimientos!$C$1:$C$432,"Electrama",Movimientos!$B$1:$B$432,"&lt;="&amp;$B43)</f>
        <v>1227.9699999999998</v>
      </c>
      <c r="K43" s="24">
        <f>SUMIFS('Saldos Iniciales'!$D:$D,'Saldos Iniciales'!$A:$A,"Sacred Valley Capital")+SUMIFS(Movimientos!$K$1:$K$432,Movimientos!$C$1:$C$432,"Sacred Valley Capital",Movimientos!$B$1:$B$432,"&lt;="&amp;$B43)</f>
        <v>84.35</v>
      </c>
      <c r="L43" s="24">
        <f>SUMIFS('Saldos Iniciales'!$D:$D,'Saldos Iniciales'!$A:$A,"YWC Capital")+SUMIFS(Movimientos!$K$1:$K$432,Movimientos!$C$1:$C$432,"YWC Capital",Movimientos!$B$1:$B$432,"&lt;="&amp;$B43)</f>
        <v>2237.77</v>
      </c>
      <c r="M43" s="24">
        <f>SUMIFS('Saldos Iniciales'!$D:$D,'Saldos Iniciales'!$A:$A,"Soweto")+SUMIFS(Movimientos!$K$1:$K$432,Movimientos!$C$1:$C$432,"Soweto",Movimientos!$B$1:$B$432,"&lt;="&amp;$B43)</f>
        <v>3349.94</v>
      </c>
      <c r="N43" s="24">
        <f>SUMIFS('Saldos Iniciales'!$D:$D,'Saldos Iniciales'!$A:$A,"Green Stone Trust")+SUMIFS(Movimientos!$K$1:$K$432,Movimientos!$C$1:$C$432,"Green Stone Trust",Movimientos!$B$1:$B$432,"&lt;="&amp;$B43)</f>
        <v>1968.99</v>
      </c>
      <c r="O43" s="24">
        <f>SUMIFS('Saldos Iniciales'!$D:$D,'Saldos Iniciales'!$A:$A,"EC Auto")+SUMIFS(Movimientos!$K$1:$K$432,Movimientos!$C$1:$C$432,"EC Auto",Movimientos!$B$1:$B$432,"&lt;="&amp;$B43)</f>
        <v>382.69000000000005</v>
      </c>
      <c r="P43" s="24">
        <f>SUMIFS('Saldos Iniciales'!$D:$D,'Saldos Iniciales'!$A:$A,"Arbor Capital Properties")+SUMIFS(Movimientos!$K$1:$K$432,Movimientos!$C$1:$C$432,"Arbor Capital Properties",Movimientos!$B$1:$B$432,"&lt;="&amp;$B43)</f>
        <v>1428.08</v>
      </c>
      <c r="Q43" s="24">
        <f>SUMIFS('Saldos Iniciales'!$D:$D,'Saldos Iniciales'!$A:$A,"2515 Overbrook")+SUMIFS(Movimientos!$K$1:$K$432,Movimientos!$C$1:$C$432,"2515 Overbrook",Movimientos!$B$1:$B$432,"&lt;="&amp;$B43)</f>
        <v>25789.969999999961</v>
      </c>
      <c r="R43" s="24">
        <f>SUMIFS('Saldos Iniciales'!$D:$D,'Saldos Iniciales'!$A:$A,"112 Florida Ave")+SUMIFS(Movimientos!$K$1:$K$432,Movimientos!$C$1:$C$432,"112 Florida Ave",Movimientos!$B$1:$B$432,"&lt;="&amp;$B43)</f>
        <v>5321.4300000000021</v>
      </c>
      <c r="S43" s="24">
        <f>SUMIFS('Saldos Iniciales'!$D:$D,'Saldos Iniciales'!$A:$A,"3628 Thomas Ave")+SUMIFS(Movimientos!$K$1:$K$432,Movimientos!$C$1:$C$432,"3628 Thomas Ave",Movimientos!$B$1:$B$432,"&lt;="&amp;$B43)</f>
        <v>24743.98</v>
      </c>
      <c r="T43" s="24">
        <f>SUMIFS('Saldos Iniciales'!$D:$D,'Saldos Iniciales'!$A:$A,"Green Harbor Trust")+SUMIFS(Movimientos!$K$1:$K$432,Movimientos!$C$1:$C$432,"Green Harbor Trust",Movimientos!$B$1:$B$432,"&lt;="&amp;$B43)</f>
        <v>345</v>
      </c>
      <c r="U43" s="24">
        <f>SUMIFS('Saldos Iniciales'!$D:$D,'Saldos Iniciales'!$A:$A,"Go Blue")+SUMIFS(Movimientos!$K$1:$K$432,Movimientos!$C$1:$C$432,"Go Blue",Movimientos!$B$1:$B$432,"&lt;="&amp;$B43)</f>
        <v>48774.73</v>
      </c>
      <c r="V43" s="25">
        <f t="shared" si="2"/>
        <v>3588430.8099999996</v>
      </c>
    </row>
    <row r="44" spans="1:22" outlineLevel="1" x14ac:dyDescent="0.3">
      <c r="A44" s="22">
        <f t="shared" si="0"/>
        <v>43</v>
      </c>
      <c r="B44" s="23">
        <v>46185</v>
      </c>
      <c r="C44" s="24">
        <f>SUMIFS('Saldos Iniciales'!$D:$D,'Saldos Iniciales'!$A:$A,"CFT Group")+SUMIFS(Movimientos!$K$1:$K$432,Movimientos!$C$1:$C$432,"CFT Group",Movimientos!$B$1:$B$432,"&lt;="&amp;$B44)</f>
        <v>1837784.84</v>
      </c>
      <c r="D44" s="24">
        <f>SUMIFS('Saldos Iniciales'!$D:$D,'Saldos Iniciales'!$A:$A,"M1B")+SUMIFS(Movimientos!$K$1:$K$432,Movimientos!$C$1:$C$432,"M1B",Movimientos!$B$1:$B$432,"&lt;="&amp;$B44)</f>
        <v>69376.390000000174</v>
      </c>
      <c r="E44" s="24">
        <f>SUMIFS('Saldos Iniciales'!$D:$D,'Saldos Iniciales'!$A:$A,"Durand")+SUMIFS(Movimientos!$K$1:$K$432,Movimientos!$C$1:$C$432,"Durand",Movimientos!$B$1:$B$432,"&lt;="&amp;$B44)</f>
        <v>1669.89</v>
      </c>
      <c r="F44" s="24">
        <f>SUMIFS('Saldos Iniciales'!$D:$D,'Saldos Iniciales'!$A:$A,"A&amp;M Imports")+SUMIFS(Movimientos!$K$1:$K$432,Movimientos!$C$1:$C$432,"A&amp;M Imports",Movimientos!$B$1:$B$432,"&lt;="&amp;$B44)</f>
        <v>564626.20999999985</v>
      </c>
      <c r="G44" s="24">
        <f>SUMIFS('Saldos Iniciales'!$D:$D,'Saldos Iniciales'!$A:$A,"SSP Capital")+SUMIFS(Movimientos!$K$1:$K$432,Movimientos!$C$1:$C$432,"SSP Capital",Movimientos!$B$1:$B$432,"&lt;="&amp;$B44)</f>
        <v>3763348.8299999996</v>
      </c>
      <c r="H44" s="24">
        <f>SUMIFS('Saldos Iniciales'!$D:$D,'Saldos Iniciales'!$A:$A,"Cross Family Trust")+SUMIFS(Movimientos!$K$1:$K$432,Movimientos!$C$1:$C$432,"Cross Family Trust",Movimientos!$B$1:$B$432,"&lt;="&amp;$B44)</f>
        <v>116496.38</v>
      </c>
      <c r="I44" s="24">
        <f>SUMIFS('Saldos Iniciales'!$D:$D,'Saldos Iniciales'!$A:$A,"Cross Security Trust")+SUMIFS(Movimientos!$K$1:$K$432,Movimientos!$C$1:$C$432,"Cross Security Trust",Movimientos!$B$1:$B$432,"&lt;="&amp;$B44)</f>
        <v>88090.37</v>
      </c>
      <c r="J44" s="24">
        <f>SUMIFS('Saldos Iniciales'!$D:$D,'Saldos Iniciales'!$A:$A,"Electrama")+SUMIFS(Movimientos!$K$1:$K$432,Movimientos!$C$1:$C$432,"Electrama",Movimientos!$B$1:$B$432,"&lt;="&amp;$B44)</f>
        <v>1227.9699999999998</v>
      </c>
      <c r="K44" s="24">
        <f>SUMIFS('Saldos Iniciales'!$D:$D,'Saldos Iniciales'!$A:$A,"Sacred Valley Capital")+SUMIFS(Movimientos!$K$1:$K$432,Movimientos!$C$1:$C$432,"Sacred Valley Capital",Movimientos!$B$1:$B$432,"&lt;="&amp;$B44)</f>
        <v>84.35</v>
      </c>
      <c r="L44" s="24">
        <f>SUMIFS('Saldos Iniciales'!$D:$D,'Saldos Iniciales'!$A:$A,"YWC Capital")+SUMIFS(Movimientos!$K$1:$K$432,Movimientos!$C$1:$C$432,"YWC Capital",Movimientos!$B$1:$B$432,"&lt;="&amp;$B44)</f>
        <v>2237.77</v>
      </c>
      <c r="M44" s="24">
        <f>SUMIFS('Saldos Iniciales'!$D:$D,'Saldos Iniciales'!$A:$A,"Soweto")+SUMIFS(Movimientos!$K$1:$K$432,Movimientos!$C$1:$C$432,"Soweto",Movimientos!$B$1:$B$432,"&lt;="&amp;$B44)</f>
        <v>3349.94</v>
      </c>
      <c r="N44" s="24">
        <f>SUMIFS('Saldos Iniciales'!$D:$D,'Saldos Iniciales'!$A:$A,"Green Stone Trust")+SUMIFS(Movimientos!$K$1:$K$432,Movimientos!$C$1:$C$432,"Green Stone Trust",Movimientos!$B$1:$B$432,"&lt;="&amp;$B44)</f>
        <v>1968.99</v>
      </c>
      <c r="O44" s="24">
        <f>SUMIFS('Saldos Iniciales'!$D:$D,'Saldos Iniciales'!$A:$A,"EC Auto")+SUMIFS(Movimientos!$K$1:$K$432,Movimientos!$C$1:$C$432,"EC Auto",Movimientos!$B$1:$B$432,"&lt;="&amp;$B44)</f>
        <v>382.69000000000005</v>
      </c>
      <c r="P44" s="24">
        <f>SUMIFS('Saldos Iniciales'!$D:$D,'Saldos Iniciales'!$A:$A,"Arbor Capital Properties")+SUMIFS(Movimientos!$K$1:$K$432,Movimientos!$C$1:$C$432,"Arbor Capital Properties",Movimientos!$B$1:$B$432,"&lt;="&amp;$B44)</f>
        <v>1428.08</v>
      </c>
      <c r="Q44" s="24">
        <f>SUMIFS('Saldos Iniciales'!$D:$D,'Saldos Iniciales'!$A:$A,"2515 Overbrook")+SUMIFS(Movimientos!$K$1:$K$432,Movimientos!$C$1:$C$432,"2515 Overbrook",Movimientos!$B$1:$B$432,"&lt;="&amp;$B44)</f>
        <v>27789.969999999961</v>
      </c>
      <c r="R44" s="24">
        <f>SUMIFS('Saldos Iniciales'!$D:$D,'Saldos Iniciales'!$A:$A,"112 Florida Ave")+SUMIFS(Movimientos!$K$1:$K$432,Movimientos!$C$1:$C$432,"112 Florida Ave",Movimientos!$B$1:$B$432,"&lt;="&amp;$B44)</f>
        <v>5321.4300000000021</v>
      </c>
      <c r="S44" s="24">
        <f>SUMIFS('Saldos Iniciales'!$D:$D,'Saldos Iniciales'!$A:$A,"3628 Thomas Ave")+SUMIFS(Movimientos!$K$1:$K$432,Movimientos!$C$1:$C$432,"3628 Thomas Ave",Movimientos!$B$1:$B$432,"&lt;="&amp;$B44)</f>
        <v>24484.85</v>
      </c>
      <c r="T44" s="24">
        <f>SUMIFS('Saldos Iniciales'!$D:$D,'Saldos Iniciales'!$A:$A,"Green Harbor Trust")+SUMIFS(Movimientos!$K$1:$K$432,Movimientos!$C$1:$C$432,"Green Harbor Trust",Movimientos!$B$1:$B$432,"&lt;="&amp;$B44)</f>
        <v>345</v>
      </c>
      <c r="U44" s="24">
        <f>SUMIFS('Saldos Iniciales'!$D:$D,'Saldos Iniciales'!$A:$A,"Go Blue")+SUMIFS(Movimientos!$K$1:$K$432,Movimientos!$C$1:$C$432,"Go Blue",Movimientos!$B$1:$B$432,"&lt;="&amp;$B44)</f>
        <v>48774.73</v>
      </c>
      <c r="V44" s="25">
        <f t="shared" ref="V44:V46" si="3">SUM(C44:U44)</f>
        <v>6558788.6799999997</v>
      </c>
    </row>
    <row r="45" spans="1:22" outlineLevel="1" x14ac:dyDescent="0.3">
      <c r="A45" s="22">
        <f t="shared" si="0"/>
        <v>44</v>
      </c>
      <c r="B45" s="23">
        <v>46186</v>
      </c>
      <c r="C45" s="24">
        <f>SUMIFS('Saldos Iniciales'!$D:$D,'Saldos Iniciales'!$A:$A,"CFT Group")+SUMIFS(Movimientos!$K$1:$K$432,Movimientos!$C$1:$C$432,"CFT Group",Movimientos!$B$1:$B$432,"&lt;="&amp;$B45)</f>
        <v>1837784.84</v>
      </c>
      <c r="D45" s="24">
        <f>SUMIFS('Saldos Iniciales'!$D:$D,'Saldos Iniciales'!$A:$A,"M1B")+SUMIFS(Movimientos!$K$1:$K$432,Movimientos!$C$1:$C$432,"M1B",Movimientos!$B$1:$B$432,"&lt;="&amp;$B45)</f>
        <v>69376.390000000174</v>
      </c>
      <c r="E45" s="24">
        <f>SUMIFS('Saldos Iniciales'!$D:$D,'Saldos Iniciales'!$A:$A,"Durand")+SUMIFS(Movimientos!$K$1:$K$432,Movimientos!$C$1:$C$432,"Durand",Movimientos!$B$1:$B$432,"&lt;="&amp;$B45)</f>
        <v>1669.89</v>
      </c>
      <c r="F45" s="24">
        <f>SUMIFS('Saldos Iniciales'!$D:$D,'Saldos Iniciales'!$A:$A,"A&amp;M Imports")+SUMIFS(Movimientos!$K$1:$K$432,Movimientos!$C$1:$C$432,"A&amp;M Imports",Movimientos!$B$1:$B$432,"&lt;="&amp;$B45)</f>
        <v>564626.20999999985</v>
      </c>
      <c r="G45" s="24">
        <f>SUMIFS('Saldos Iniciales'!$D:$D,'Saldos Iniciales'!$A:$A,"SSP Capital")+SUMIFS(Movimientos!$K$1:$K$432,Movimientos!$C$1:$C$432,"SSP Capital",Movimientos!$B$1:$B$432,"&lt;="&amp;$B45)</f>
        <v>3763348.8299999996</v>
      </c>
      <c r="H45" s="24">
        <f>SUMIFS('Saldos Iniciales'!$D:$D,'Saldos Iniciales'!$A:$A,"Cross Family Trust")+SUMIFS(Movimientos!$K$1:$K$432,Movimientos!$C$1:$C$432,"Cross Family Trust",Movimientos!$B$1:$B$432,"&lt;="&amp;$B45)</f>
        <v>116496.38</v>
      </c>
      <c r="I45" s="24">
        <f>SUMIFS('Saldos Iniciales'!$D:$D,'Saldos Iniciales'!$A:$A,"Cross Security Trust")+SUMIFS(Movimientos!$K$1:$K$432,Movimientos!$C$1:$C$432,"Cross Security Trust",Movimientos!$B$1:$B$432,"&lt;="&amp;$B45)</f>
        <v>88090.37</v>
      </c>
      <c r="J45" s="24">
        <f>SUMIFS('Saldos Iniciales'!$D:$D,'Saldos Iniciales'!$A:$A,"Electrama")+SUMIFS(Movimientos!$K$1:$K$432,Movimientos!$C$1:$C$432,"Electrama",Movimientos!$B$1:$B$432,"&lt;="&amp;$B45)</f>
        <v>1227.9699999999998</v>
      </c>
      <c r="K45" s="24">
        <f>SUMIFS('Saldos Iniciales'!$D:$D,'Saldos Iniciales'!$A:$A,"Sacred Valley Capital")+SUMIFS(Movimientos!$K$1:$K$432,Movimientos!$C$1:$C$432,"Sacred Valley Capital",Movimientos!$B$1:$B$432,"&lt;="&amp;$B45)</f>
        <v>84.35</v>
      </c>
      <c r="L45" s="24">
        <f>SUMIFS('Saldos Iniciales'!$D:$D,'Saldos Iniciales'!$A:$A,"YWC Capital")+SUMIFS(Movimientos!$K$1:$K$432,Movimientos!$C$1:$C$432,"YWC Capital",Movimientos!$B$1:$B$432,"&lt;="&amp;$B45)</f>
        <v>2237.77</v>
      </c>
      <c r="M45" s="24">
        <f>SUMIFS('Saldos Iniciales'!$D:$D,'Saldos Iniciales'!$A:$A,"Soweto")+SUMIFS(Movimientos!$K$1:$K$432,Movimientos!$C$1:$C$432,"Soweto",Movimientos!$B$1:$B$432,"&lt;="&amp;$B45)</f>
        <v>3349.94</v>
      </c>
      <c r="N45" s="24">
        <f>SUMIFS('Saldos Iniciales'!$D:$D,'Saldos Iniciales'!$A:$A,"Green Stone Trust")+SUMIFS(Movimientos!$K$1:$K$432,Movimientos!$C$1:$C$432,"Green Stone Trust",Movimientos!$B$1:$B$432,"&lt;="&amp;$B45)</f>
        <v>1968.99</v>
      </c>
      <c r="O45" s="24">
        <f>SUMIFS('Saldos Iniciales'!$D:$D,'Saldos Iniciales'!$A:$A,"EC Auto")+SUMIFS(Movimientos!$K$1:$K$432,Movimientos!$C$1:$C$432,"EC Auto",Movimientos!$B$1:$B$432,"&lt;="&amp;$B45)</f>
        <v>382.69000000000005</v>
      </c>
      <c r="P45" s="24">
        <f>SUMIFS('Saldos Iniciales'!$D:$D,'Saldos Iniciales'!$A:$A,"Arbor Capital Properties")+SUMIFS(Movimientos!$K$1:$K$432,Movimientos!$C$1:$C$432,"Arbor Capital Properties",Movimientos!$B$1:$B$432,"&lt;="&amp;$B45)</f>
        <v>1428.08</v>
      </c>
      <c r="Q45" s="24">
        <f>SUMIFS('Saldos Iniciales'!$D:$D,'Saldos Iniciales'!$A:$A,"2515 Overbrook")+SUMIFS(Movimientos!$K$1:$K$432,Movimientos!$C$1:$C$432,"2515 Overbrook",Movimientos!$B$1:$B$432,"&lt;="&amp;$B45)</f>
        <v>27789.969999999961</v>
      </c>
      <c r="R45" s="24">
        <f>SUMIFS('Saldos Iniciales'!$D:$D,'Saldos Iniciales'!$A:$A,"112 Florida Ave")+SUMIFS(Movimientos!$K$1:$K$432,Movimientos!$C$1:$C$432,"112 Florida Ave",Movimientos!$B$1:$B$432,"&lt;="&amp;$B45)</f>
        <v>5321.4300000000021</v>
      </c>
      <c r="S45" s="24">
        <f>SUMIFS('Saldos Iniciales'!$D:$D,'Saldos Iniciales'!$A:$A,"3628 Thomas Ave")+SUMIFS(Movimientos!$K$1:$K$432,Movimientos!$C$1:$C$432,"3628 Thomas Ave",Movimientos!$B$1:$B$432,"&lt;="&amp;$B45)</f>
        <v>24484.85</v>
      </c>
      <c r="T45" s="24">
        <f>SUMIFS('Saldos Iniciales'!$D:$D,'Saldos Iniciales'!$A:$A,"Green Harbor Trust")+SUMIFS(Movimientos!$K$1:$K$432,Movimientos!$C$1:$C$432,"Green Harbor Trust",Movimientos!$B$1:$B$432,"&lt;="&amp;$B45)</f>
        <v>345</v>
      </c>
      <c r="U45" s="24">
        <f>SUMIFS('Saldos Iniciales'!$D:$D,'Saldos Iniciales'!$A:$A,"Go Blue")+SUMIFS(Movimientos!$K$1:$K$432,Movimientos!$C$1:$C$432,"Go Blue",Movimientos!$B$1:$B$432,"&lt;="&amp;$B45)</f>
        <v>48774.73</v>
      </c>
      <c r="V45" s="25">
        <f t="shared" si="3"/>
        <v>6558788.6799999997</v>
      </c>
    </row>
    <row r="46" spans="1:22" outlineLevel="1" x14ac:dyDescent="0.3">
      <c r="A46" s="22">
        <f t="shared" si="0"/>
        <v>45</v>
      </c>
      <c r="B46" s="23">
        <v>46187</v>
      </c>
      <c r="C46" s="24">
        <f>SUMIFS('Saldos Iniciales'!$D:$D,'Saldos Iniciales'!$A:$A,"CFT Group")+SUMIFS(Movimientos!$K$1:$K$432,Movimientos!$C$1:$C$432,"CFT Group",Movimientos!$B$1:$B$432,"&lt;="&amp;$B46)</f>
        <v>1837784.84</v>
      </c>
      <c r="D46" s="24">
        <f>SUMIFS('Saldos Iniciales'!$D:$D,'Saldos Iniciales'!$A:$A,"M1B")+SUMIFS(Movimientos!$K$1:$K$432,Movimientos!$C$1:$C$432,"M1B",Movimientos!$B$1:$B$432,"&lt;="&amp;$B46)</f>
        <v>69376.390000000174</v>
      </c>
      <c r="E46" s="24">
        <f>SUMIFS('Saldos Iniciales'!$D:$D,'Saldos Iniciales'!$A:$A,"Durand")+SUMIFS(Movimientos!$K$1:$K$432,Movimientos!$C$1:$C$432,"Durand",Movimientos!$B$1:$B$432,"&lt;="&amp;$B46)</f>
        <v>1669.89</v>
      </c>
      <c r="F46" s="24">
        <f>SUMIFS('Saldos Iniciales'!$D:$D,'Saldos Iniciales'!$A:$A,"A&amp;M Imports")+SUMIFS(Movimientos!$K$1:$K$432,Movimientos!$C$1:$C$432,"A&amp;M Imports",Movimientos!$B$1:$B$432,"&lt;="&amp;$B46)</f>
        <v>564626.20999999985</v>
      </c>
      <c r="G46" s="24">
        <f>SUMIFS('Saldos Iniciales'!$D:$D,'Saldos Iniciales'!$A:$A,"SSP Capital")+SUMIFS(Movimientos!$K$1:$K$432,Movimientos!$C$1:$C$432,"SSP Capital",Movimientos!$B$1:$B$432,"&lt;="&amp;$B46)</f>
        <v>3763348.8299999996</v>
      </c>
      <c r="H46" s="24">
        <f>SUMIFS('Saldos Iniciales'!$D:$D,'Saldos Iniciales'!$A:$A,"Cross Family Trust")+SUMIFS(Movimientos!$K$1:$K$432,Movimientos!$C$1:$C$432,"Cross Family Trust",Movimientos!$B$1:$B$432,"&lt;="&amp;$B46)</f>
        <v>116496.38</v>
      </c>
      <c r="I46" s="24">
        <f>SUMIFS('Saldos Iniciales'!$D:$D,'Saldos Iniciales'!$A:$A,"Cross Security Trust")+SUMIFS(Movimientos!$K$1:$K$432,Movimientos!$C$1:$C$432,"Cross Security Trust",Movimientos!$B$1:$B$432,"&lt;="&amp;$B46)</f>
        <v>88090.37</v>
      </c>
      <c r="J46" s="24">
        <f>SUMIFS('Saldos Iniciales'!$D:$D,'Saldos Iniciales'!$A:$A,"Electrama")+SUMIFS(Movimientos!$K$1:$K$432,Movimientos!$C$1:$C$432,"Electrama",Movimientos!$B$1:$B$432,"&lt;="&amp;$B46)</f>
        <v>1227.9699999999998</v>
      </c>
      <c r="K46" s="24">
        <f>SUMIFS('Saldos Iniciales'!$D:$D,'Saldos Iniciales'!$A:$A,"Sacred Valley Capital")+SUMIFS(Movimientos!$K$1:$K$432,Movimientos!$C$1:$C$432,"Sacred Valley Capital",Movimientos!$B$1:$B$432,"&lt;="&amp;$B46)</f>
        <v>84.35</v>
      </c>
      <c r="L46" s="24">
        <f>SUMIFS('Saldos Iniciales'!$D:$D,'Saldos Iniciales'!$A:$A,"YWC Capital")+SUMIFS(Movimientos!$K$1:$K$432,Movimientos!$C$1:$C$432,"YWC Capital",Movimientos!$B$1:$B$432,"&lt;="&amp;$B46)</f>
        <v>2237.77</v>
      </c>
      <c r="M46" s="24">
        <f>SUMIFS('Saldos Iniciales'!$D:$D,'Saldos Iniciales'!$A:$A,"Soweto")+SUMIFS(Movimientos!$K$1:$K$432,Movimientos!$C$1:$C$432,"Soweto",Movimientos!$B$1:$B$432,"&lt;="&amp;$B46)</f>
        <v>3349.94</v>
      </c>
      <c r="N46" s="24">
        <f>SUMIFS('Saldos Iniciales'!$D:$D,'Saldos Iniciales'!$A:$A,"Green Stone Trust")+SUMIFS(Movimientos!$K$1:$K$432,Movimientos!$C$1:$C$432,"Green Stone Trust",Movimientos!$B$1:$B$432,"&lt;="&amp;$B46)</f>
        <v>1968.99</v>
      </c>
      <c r="O46" s="24">
        <f>SUMIFS('Saldos Iniciales'!$D:$D,'Saldos Iniciales'!$A:$A,"EC Auto")+SUMIFS(Movimientos!$K$1:$K$432,Movimientos!$C$1:$C$432,"EC Auto",Movimientos!$B$1:$B$432,"&lt;="&amp;$B46)</f>
        <v>382.69000000000005</v>
      </c>
      <c r="P46" s="24">
        <f>SUMIFS('Saldos Iniciales'!$D:$D,'Saldos Iniciales'!$A:$A,"Arbor Capital Properties")+SUMIFS(Movimientos!$K$1:$K$432,Movimientos!$C$1:$C$432,"Arbor Capital Properties",Movimientos!$B$1:$B$432,"&lt;="&amp;$B46)</f>
        <v>1428.08</v>
      </c>
      <c r="Q46" s="24">
        <f>SUMIFS('Saldos Iniciales'!$D:$D,'Saldos Iniciales'!$A:$A,"2515 Overbrook")+SUMIFS(Movimientos!$K$1:$K$432,Movimientos!$C$1:$C$432,"2515 Overbrook",Movimientos!$B$1:$B$432,"&lt;="&amp;$B46)</f>
        <v>27789.969999999961</v>
      </c>
      <c r="R46" s="24">
        <f>SUMIFS('Saldos Iniciales'!$D:$D,'Saldos Iniciales'!$A:$A,"112 Florida Ave")+SUMIFS(Movimientos!$K$1:$K$432,Movimientos!$C$1:$C$432,"112 Florida Ave",Movimientos!$B$1:$B$432,"&lt;="&amp;$B46)</f>
        <v>5321.4300000000021</v>
      </c>
      <c r="S46" s="24">
        <f>SUMIFS('Saldos Iniciales'!$D:$D,'Saldos Iniciales'!$A:$A,"3628 Thomas Ave")+SUMIFS(Movimientos!$K$1:$K$432,Movimientos!$C$1:$C$432,"3628 Thomas Ave",Movimientos!$B$1:$B$432,"&lt;="&amp;$B46)</f>
        <v>24484.85</v>
      </c>
      <c r="T46" s="24">
        <f>SUMIFS('Saldos Iniciales'!$D:$D,'Saldos Iniciales'!$A:$A,"Green Harbor Trust")+SUMIFS(Movimientos!$K$1:$K$432,Movimientos!$C$1:$C$432,"Green Harbor Trust",Movimientos!$B$1:$B$432,"&lt;="&amp;$B46)</f>
        <v>345</v>
      </c>
      <c r="U46" s="24">
        <f>SUMIFS('Saldos Iniciales'!$D:$D,'Saldos Iniciales'!$A:$A,"Go Blue")+SUMIFS(Movimientos!$K$1:$K$432,Movimientos!$C$1:$C$432,"Go Blue",Movimientos!$B$1:$B$432,"&lt;="&amp;$B46)</f>
        <v>48774.73</v>
      </c>
      <c r="V46" s="25">
        <f t="shared" si="3"/>
        <v>6558788.6799999997</v>
      </c>
    </row>
    <row r="47" spans="1:22" outlineLevel="1" x14ac:dyDescent="0.3">
      <c r="A47" s="22">
        <f t="shared" si="0"/>
        <v>46</v>
      </c>
      <c r="B47" s="23">
        <v>46188</v>
      </c>
      <c r="C47" s="24">
        <f>SUMIFS('Saldos Iniciales'!$D:$D,'Saldos Iniciales'!$A:$A,"CFT Group")+SUMIFS(Movimientos!$K$1:$K$432,Movimientos!$C$1:$C$432,"CFT Group",Movimientos!$B$1:$B$432,"&lt;="&amp;$B47)</f>
        <v>985975.94000000029</v>
      </c>
      <c r="D47" s="24">
        <f>SUMIFS('Saldos Iniciales'!$D:$D,'Saldos Iniciales'!$A:$A,"M1B")+SUMIFS(Movimientos!$K$1:$K$432,Movimientos!$C$1:$C$432,"M1B",Movimientos!$B$1:$B$432,"&lt;="&amp;$B47)</f>
        <v>69376.390000000174</v>
      </c>
      <c r="E47" s="24">
        <f>SUMIFS('Saldos Iniciales'!$D:$D,'Saldos Iniciales'!$A:$A,"Durand")+SUMIFS(Movimientos!$K$1:$K$432,Movimientos!$C$1:$C$432,"Durand",Movimientos!$B$1:$B$432,"&lt;="&amp;$B47)</f>
        <v>1669.89</v>
      </c>
      <c r="F47" s="24">
        <f>SUMIFS('Saldos Iniciales'!$D:$D,'Saldos Iniciales'!$A:$A,"A&amp;M Imports")+SUMIFS(Movimientos!$K$1:$K$432,Movimientos!$C$1:$C$432,"A&amp;M Imports",Movimientos!$B$1:$B$432,"&lt;="&amp;$B47)</f>
        <v>503904.80999999982</v>
      </c>
      <c r="G47" s="24">
        <f>SUMIFS('Saldos Iniciales'!$D:$D,'Saldos Iniciales'!$A:$A,"SSP Capital")+SUMIFS(Movimientos!$K$1:$K$432,Movimientos!$C$1:$C$432,"SSP Capital",Movimientos!$B$1:$B$432,"&lt;="&amp;$B47)</f>
        <v>3331737.2399999998</v>
      </c>
      <c r="H47" s="24">
        <f>SUMIFS('Saldos Iniciales'!$D:$D,'Saldos Iniciales'!$A:$A,"Cross Family Trust")+SUMIFS(Movimientos!$K$1:$K$432,Movimientos!$C$1:$C$432,"Cross Family Trust",Movimientos!$B$1:$B$432,"&lt;="&amp;$B47)</f>
        <v>116496.38</v>
      </c>
      <c r="I47" s="24">
        <f>SUMIFS('Saldos Iniciales'!$D:$D,'Saldos Iniciales'!$A:$A,"Cross Security Trust")+SUMIFS(Movimientos!$K$1:$K$432,Movimientos!$C$1:$C$432,"Cross Security Trust",Movimientos!$B$1:$B$432,"&lt;="&amp;$B47)</f>
        <v>88090.37</v>
      </c>
      <c r="J47" s="24">
        <f>SUMIFS('Saldos Iniciales'!$D:$D,'Saldos Iniciales'!$A:$A,"Electrama")+SUMIFS(Movimientos!$K$1:$K$432,Movimientos!$C$1:$C$432,"Electrama",Movimientos!$B$1:$B$432,"&lt;="&amp;$B47)</f>
        <v>1227.9699999999998</v>
      </c>
      <c r="K47" s="24">
        <f>SUMIFS('Saldos Iniciales'!$D:$D,'Saldos Iniciales'!$A:$A,"Sacred Valley Capital")+SUMIFS(Movimientos!$K$1:$K$432,Movimientos!$C$1:$C$432,"Sacred Valley Capital",Movimientos!$B$1:$B$432,"&lt;="&amp;$B47)</f>
        <v>84.35</v>
      </c>
      <c r="L47" s="24">
        <f>SUMIFS('Saldos Iniciales'!$D:$D,'Saldos Iniciales'!$A:$A,"YWC Capital")+SUMIFS(Movimientos!$K$1:$K$432,Movimientos!$C$1:$C$432,"YWC Capital",Movimientos!$B$1:$B$432,"&lt;="&amp;$B47)</f>
        <v>2237.77</v>
      </c>
      <c r="M47" s="24">
        <f>SUMIFS('Saldos Iniciales'!$D:$D,'Saldos Iniciales'!$A:$A,"Soweto")+SUMIFS(Movimientos!$K$1:$K$432,Movimientos!$C$1:$C$432,"Soweto",Movimientos!$B$1:$B$432,"&lt;="&amp;$B47)</f>
        <v>3349.94</v>
      </c>
      <c r="N47" s="24">
        <f>SUMIFS('Saldos Iniciales'!$D:$D,'Saldos Iniciales'!$A:$A,"Green Stone Trust")+SUMIFS(Movimientos!$K$1:$K$432,Movimientos!$C$1:$C$432,"Green Stone Trust",Movimientos!$B$1:$B$432,"&lt;="&amp;$B47)</f>
        <v>1968.99</v>
      </c>
      <c r="O47" s="24">
        <f>SUMIFS('Saldos Iniciales'!$D:$D,'Saldos Iniciales'!$A:$A,"EC Auto")+SUMIFS(Movimientos!$K$1:$K$432,Movimientos!$C$1:$C$432,"EC Auto",Movimientos!$B$1:$B$432,"&lt;="&amp;$B47)</f>
        <v>382.69000000000005</v>
      </c>
      <c r="P47" s="24">
        <f>SUMIFS('Saldos Iniciales'!$D:$D,'Saldos Iniciales'!$A:$A,"Arbor Capital Properties")+SUMIFS(Movimientos!$K$1:$K$432,Movimientos!$C$1:$C$432,"Arbor Capital Properties",Movimientos!$B$1:$B$432,"&lt;="&amp;$B47)</f>
        <v>1428.08</v>
      </c>
      <c r="Q47" s="24">
        <f>SUMIFS('Saldos Iniciales'!$D:$D,'Saldos Iniciales'!$A:$A,"2515 Overbrook")+SUMIFS(Movimientos!$K$1:$K$432,Movimientos!$C$1:$C$432,"2515 Overbrook",Movimientos!$B$1:$B$432,"&lt;="&amp;$B47)</f>
        <v>29789.969999999961</v>
      </c>
      <c r="R47" s="24">
        <f>SUMIFS('Saldos Iniciales'!$D:$D,'Saldos Iniciales'!$A:$A,"112 Florida Ave")+SUMIFS(Movimientos!$K$1:$K$432,Movimientos!$C$1:$C$432,"112 Florida Ave",Movimientos!$B$1:$B$432,"&lt;="&amp;$B47)</f>
        <v>5321.4300000000021</v>
      </c>
      <c r="S47" s="24">
        <f>SUMIFS('Saldos Iniciales'!$D:$D,'Saldos Iniciales'!$A:$A,"3628 Thomas Ave")+SUMIFS(Movimientos!$K$1:$K$432,Movimientos!$C$1:$C$432,"3628 Thomas Ave",Movimientos!$B$1:$B$432,"&lt;="&amp;$B47)</f>
        <v>20484.849999999999</v>
      </c>
      <c r="T47" s="24">
        <f>SUMIFS('Saldos Iniciales'!$D:$D,'Saldos Iniciales'!$A:$A,"Green Harbor Trust")+SUMIFS(Movimientos!$K$1:$K$432,Movimientos!$C$1:$C$432,"Green Harbor Trust",Movimientos!$B$1:$B$432,"&lt;="&amp;$B47)</f>
        <v>345</v>
      </c>
      <c r="U47" s="24">
        <f>SUMIFS('Saldos Iniciales'!$D:$D,'Saldos Iniciales'!$A:$A,"Go Blue")+SUMIFS(Movimientos!$K$1:$K$432,Movimientos!$C$1:$C$432,"Go Blue",Movimientos!$B$1:$B$432,"&lt;="&amp;$B47)</f>
        <v>48724.73</v>
      </c>
      <c r="V47" s="25">
        <f t="shared" ref="V47" si="4">SUM(C47:U47)</f>
        <v>5212596.7899999991</v>
      </c>
    </row>
    <row r="48" spans="1:22" outlineLevel="1" x14ac:dyDescent="0.3">
      <c r="A48" s="22">
        <f t="shared" si="0"/>
        <v>47</v>
      </c>
      <c r="B48" s="23">
        <v>46189</v>
      </c>
      <c r="C48" s="24">
        <f>SUMIFS('Saldos Iniciales'!$D:$D,'Saldos Iniciales'!$A:$A,"CFT Group")+SUMIFS(Movimientos!$K$1:$K$432,Movimientos!$C$1:$C$432,"CFT Group",Movimientos!$B$1:$B$432,"&lt;="&amp;$B48)</f>
        <v>1086358.7500000002</v>
      </c>
      <c r="D48" s="24">
        <f>SUMIFS('Saldos Iniciales'!$D:$D,'Saldos Iniciales'!$A:$A,"M1B")+SUMIFS(Movimientos!$K$1:$K$432,Movimientos!$C$1:$C$432,"M1B",Movimientos!$B$1:$B$432,"&lt;="&amp;$B48)</f>
        <v>69376.390000000174</v>
      </c>
      <c r="E48" s="24">
        <f>SUMIFS('Saldos Iniciales'!$D:$D,'Saldos Iniciales'!$A:$A,"Durand")+SUMIFS(Movimientos!$K$1:$K$432,Movimientos!$C$1:$C$432,"Durand",Movimientos!$B$1:$B$432,"&lt;="&amp;$B48)</f>
        <v>1669.89</v>
      </c>
      <c r="F48" s="24">
        <f>SUMIFS('Saldos Iniciales'!$D:$D,'Saldos Iniciales'!$A:$A,"A&amp;M Imports")+SUMIFS(Movimientos!$K$1:$K$432,Movimientos!$C$1:$C$432,"A&amp;M Imports",Movimientos!$B$1:$B$432,"&lt;="&amp;$B48)</f>
        <v>503904.80999999982</v>
      </c>
      <c r="G48" s="24">
        <f>SUMIFS('Saldos Iniciales'!$D:$D,'Saldos Iniciales'!$A:$A,"SSP Capital")+SUMIFS(Movimientos!$K$1:$K$432,Movimientos!$C$1:$C$432,"SSP Capital",Movimientos!$B$1:$B$432,"&lt;="&amp;$B48)</f>
        <v>3329246.88</v>
      </c>
      <c r="H48" s="24">
        <f>SUMIFS('Saldos Iniciales'!$D:$D,'Saldos Iniciales'!$A:$A,"Cross Family Trust")+SUMIFS(Movimientos!$K$1:$K$432,Movimientos!$C$1:$C$432,"Cross Family Trust",Movimientos!$B$1:$B$432,"&lt;="&amp;$B48)</f>
        <v>116496.38</v>
      </c>
      <c r="I48" s="24">
        <f>SUMIFS('Saldos Iniciales'!$D:$D,'Saldos Iniciales'!$A:$A,"Cross Security Trust")+SUMIFS(Movimientos!$K$1:$K$432,Movimientos!$C$1:$C$432,"Cross Security Trust",Movimientos!$B$1:$B$432,"&lt;="&amp;$B48)</f>
        <v>88090.37</v>
      </c>
      <c r="J48" s="24">
        <f>SUMIFS('Saldos Iniciales'!$D:$D,'Saldos Iniciales'!$A:$A,"Electrama")+SUMIFS(Movimientos!$K$1:$K$432,Movimientos!$C$1:$C$432,"Electrama",Movimientos!$B$1:$B$432,"&lt;="&amp;$B48)</f>
        <v>1227.9699999999998</v>
      </c>
      <c r="K48" s="24">
        <f>SUMIFS('Saldos Iniciales'!$D:$D,'Saldos Iniciales'!$A:$A,"Sacred Valley Capital")+SUMIFS(Movimientos!$K$1:$K$432,Movimientos!$C$1:$C$432,"Sacred Valley Capital",Movimientos!$B$1:$B$432,"&lt;="&amp;$B48)</f>
        <v>84.35</v>
      </c>
      <c r="L48" s="24">
        <f>SUMIFS('Saldos Iniciales'!$D:$D,'Saldos Iniciales'!$A:$A,"YWC Capital")+SUMIFS(Movimientos!$K$1:$K$432,Movimientos!$C$1:$C$432,"YWC Capital",Movimientos!$B$1:$B$432,"&lt;="&amp;$B48)</f>
        <v>2237.77</v>
      </c>
      <c r="M48" s="24">
        <f>SUMIFS('Saldos Iniciales'!$D:$D,'Saldos Iniciales'!$A:$A,"Soweto")+SUMIFS(Movimientos!$K$1:$K$432,Movimientos!$C$1:$C$432,"Soweto",Movimientos!$B$1:$B$432,"&lt;="&amp;$B48)</f>
        <v>3349.94</v>
      </c>
      <c r="N48" s="24">
        <f>SUMIFS('Saldos Iniciales'!$D:$D,'Saldos Iniciales'!$A:$A,"Green Stone Trust")+SUMIFS(Movimientos!$K$1:$K$432,Movimientos!$C$1:$C$432,"Green Stone Trust",Movimientos!$B$1:$B$432,"&lt;="&amp;$B48)</f>
        <v>1968.99</v>
      </c>
      <c r="O48" s="24">
        <f>SUMIFS('Saldos Iniciales'!$D:$D,'Saldos Iniciales'!$A:$A,"EC Auto")+SUMIFS(Movimientos!$K$1:$K$432,Movimientos!$C$1:$C$432,"EC Auto",Movimientos!$B$1:$B$432,"&lt;="&amp;$B48)</f>
        <v>382.69000000000005</v>
      </c>
      <c r="P48" s="24">
        <f>SUMIFS('Saldos Iniciales'!$D:$D,'Saldos Iniciales'!$A:$A,"Arbor Capital Properties")+SUMIFS(Movimientos!$K$1:$K$432,Movimientos!$C$1:$C$432,"Arbor Capital Properties",Movimientos!$B$1:$B$432,"&lt;="&amp;$B48)</f>
        <v>1428.08</v>
      </c>
      <c r="Q48" s="24">
        <f>SUMIFS('Saldos Iniciales'!$D:$D,'Saldos Iniciales'!$A:$A,"2515 Overbrook")+SUMIFS(Movimientos!$K$1:$K$432,Movimientos!$C$1:$C$432,"2515 Overbrook",Movimientos!$B$1:$B$432,"&lt;="&amp;$B48)</f>
        <v>29789.969999999961</v>
      </c>
      <c r="R48" s="24">
        <f>SUMIFS('Saldos Iniciales'!$D:$D,'Saldos Iniciales'!$A:$A,"112 Florida Ave")+SUMIFS(Movimientos!$K$1:$K$432,Movimientos!$C$1:$C$432,"112 Florida Ave",Movimientos!$B$1:$B$432,"&lt;="&amp;$B48)</f>
        <v>20321.43</v>
      </c>
      <c r="S48" s="24">
        <f>SUMIFS('Saldos Iniciales'!$D:$D,'Saldos Iniciales'!$A:$A,"3628 Thomas Ave")+SUMIFS(Movimientos!$K$1:$K$432,Movimientos!$C$1:$C$432,"3628 Thomas Ave",Movimientos!$B$1:$B$432,"&lt;="&amp;$B48)</f>
        <v>19811.349999999999</v>
      </c>
      <c r="T48" s="24">
        <f>SUMIFS('Saldos Iniciales'!$D:$D,'Saldos Iniciales'!$A:$A,"Green Harbor Trust")+SUMIFS(Movimientos!$K$1:$K$432,Movimientos!$C$1:$C$432,"Green Harbor Trust",Movimientos!$B$1:$B$432,"&lt;="&amp;$B48)</f>
        <v>345</v>
      </c>
      <c r="U48" s="24">
        <f>SUMIFS('Saldos Iniciales'!$D:$D,'Saldos Iniciales'!$A:$A,"Go Blue")+SUMIFS(Movimientos!$K$1:$K$432,Movimientos!$C$1:$C$432,"Go Blue",Movimientos!$B$1:$B$432,"&lt;="&amp;$B48)</f>
        <v>46041.01</v>
      </c>
      <c r="V48" s="25">
        <f t="shared" ref="V48" si="5">SUM(C48:U48)</f>
        <v>5322132.0199999986</v>
      </c>
    </row>
    <row r="49" spans="1:22" outlineLevel="1" x14ac:dyDescent="0.3">
      <c r="A49" s="22">
        <f t="shared" si="0"/>
        <v>48</v>
      </c>
      <c r="B49" s="23">
        <v>46190</v>
      </c>
      <c r="C49" s="24">
        <f>SUMIFS('Saldos Iniciales'!$D:$D,'Saldos Iniciales'!$A:$A,"CFT Group")+SUMIFS(Movimientos!$K$1:$K$432,Movimientos!$C$1:$C$432,"CFT Group",Movimientos!$B$1:$B$432,"&lt;="&amp;$B49)</f>
        <v>1098358.7500000002</v>
      </c>
      <c r="D49" s="24">
        <f>SUMIFS('Saldos Iniciales'!$D:$D,'Saldos Iniciales'!$A:$A,"M1B")+SUMIFS(Movimientos!$K$1:$K$432,Movimientos!$C$1:$C$432,"M1B",Movimientos!$B$1:$B$432,"&lt;="&amp;$B49)</f>
        <v>69376.390000000174</v>
      </c>
      <c r="E49" s="24">
        <f>SUMIFS('Saldos Iniciales'!$D:$D,'Saldos Iniciales'!$A:$A,"Durand")+SUMIFS(Movimientos!$K$1:$K$432,Movimientos!$C$1:$C$432,"Durand",Movimientos!$B$1:$B$432,"&lt;="&amp;$B49)</f>
        <v>1669.89</v>
      </c>
      <c r="F49" s="24">
        <f>SUMIFS('Saldos Iniciales'!$D:$D,'Saldos Iniciales'!$A:$A,"A&amp;M Imports")+SUMIFS(Movimientos!$K$1:$K$432,Movimientos!$C$1:$C$432,"A&amp;M Imports",Movimientos!$B$1:$B$432,"&lt;="&amp;$B49)</f>
        <v>503904.80999999982</v>
      </c>
      <c r="G49" s="24">
        <f>SUMIFS('Saldos Iniciales'!$D:$D,'Saldos Iniciales'!$A:$A,"SSP Capital")+SUMIFS(Movimientos!$K$1:$K$432,Movimientos!$C$1:$C$432,"SSP Capital",Movimientos!$B$1:$B$432,"&lt;="&amp;$B49)</f>
        <v>3326863.3899999997</v>
      </c>
      <c r="H49" s="24">
        <f>SUMIFS('Saldos Iniciales'!$D:$D,'Saldos Iniciales'!$A:$A,"Cross Family Trust")+SUMIFS(Movimientos!$K$1:$K$432,Movimientos!$C$1:$C$432,"Cross Family Trust",Movimientos!$B$1:$B$432,"&lt;="&amp;$B49)</f>
        <v>116496.38</v>
      </c>
      <c r="I49" s="24">
        <f>SUMIFS('Saldos Iniciales'!$D:$D,'Saldos Iniciales'!$A:$A,"Cross Security Trust")+SUMIFS(Movimientos!$K$1:$K$432,Movimientos!$C$1:$C$432,"Cross Security Trust",Movimientos!$B$1:$B$432,"&lt;="&amp;$B49)</f>
        <v>88090.37</v>
      </c>
      <c r="J49" s="24">
        <f>SUMIFS('Saldos Iniciales'!$D:$D,'Saldos Iniciales'!$A:$A,"Electrama")+SUMIFS(Movimientos!$K$1:$K$432,Movimientos!$C$1:$C$432,"Electrama",Movimientos!$B$1:$B$432,"&lt;="&amp;$B49)</f>
        <v>1227.9699999999998</v>
      </c>
      <c r="K49" s="24">
        <f>SUMIFS('Saldos Iniciales'!$D:$D,'Saldos Iniciales'!$A:$A,"Sacred Valley Capital")+SUMIFS(Movimientos!$K$1:$K$432,Movimientos!$C$1:$C$432,"Sacred Valley Capital",Movimientos!$B$1:$B$432,"&lt;="&amp;$B49)</f>
        <v>84.35</v>
      </c>
      <c r="L49" s="24">
        <f>SUMIFS('Saldos Iniciales'!$D:$D,'Saldos Iniciales'!$A:$A,"YWC Capital")+SUMIFS(Movimientos!$K$1:$K$432,Movimientos!$C$1:$C$432,"YWC Capital",Movimientos!$B$1:$B$432,"&lt;="&amp;$B49)</f>
        <v>2237.77</v>
      </c>
      <c r="M49" s="24">
        <f>SUMIFS('Saldos Iniciales'!$D:$D,'Saldos Iniciales'!$A:$A,"Soweto")+SUMIFS(Movimientos!$K$1:$K$432,Movimientos!$C$1:$C$432,"Soweto",Movimientos!$B$1:$B$432,"&lt;="&amp;$B49)</f>
        <v>3349.94</v>
      </c>
      <c r="N49" s="24">
        <f>SUMIFS('Saldos Iniciales'!$D:$D,'Saldos Iniciales'!$A:$A,"Green Stone Trust")+SUMIFS(Movimientos!$K$1:$K$432,Movimientos!$C$1:$C$432,"Green Stone Trust",Movimientos!$B$1:$B$432,"&lt;="&amp;$B49)</f>
        <v>1968.99</v>
      </c>
      <c r="O49" s="24">
        <f>SUMIFS('Saldos Iniciales'!$D:$D,'Saldos Iniciales'!$A:$A,"EC Auto")+SUMIFS(Movimientos!$K$1:$K$432,Movimientos!$C$1:$C$432,"EC Auto",Movimientos!$B$1:$B$432,"&lt;="&amp;$B49)</f>
        <v>382.69000000000005</v>
      </c>
      <c r="P49" s="24">
        <f>SUMIFS('Saldos Iniciales'!$D:$D,'Saldos Iniciales'!$A:$A,"Arbor Capital Properties")+SUMIFS(Movimientos!$K$1:$K$432,Movimientos!$C$1:$C$432,"Arbor Capital Properties",Movimientos!$B$1:$B$432,"&lt;="&amp;$B49)</f>
        <v>1428.08</v>
      </c>
      <c r="Q49" s="24">
        <f>SUMIFS('Saldos Iniciales'!$D:$D,'Saldos Iniciales'!$A:$A,"2515 Overbrook")+SUMIFS(Movimientos!$K$1:$K$432,Movimientos!$C$1:$C$432,"2515 Overbrook",Movimientos!$B$1:$B$432,"&lt;="&amp;$B49)</f>
        <v>29789.969999999961</v>
      </c>
      <c r="R49" s="24">
        <f>SUMIFS('Saldos Iniciales'!$D:$D,'Saldos Iniciales'!$A:$A,"112 Florida Ave")+SUMIFS(Movimientos!$K$1:$K$432,Movimientos!$C$1:$C$432,"112 Florida Ave",Movimientos!$B$1:$B$432,"&lt;="&amp;$B49)</f>
        <v>20321.43</v>
      </c>
      <c r="S49" s="24">
        <f>SUMIFS('Saldos Iniciales'!$D:$D,'Saldos Iniciales'!$A:$A,"3628 Thomas Ave")+SUMIFS(Movimientos!$K$1:$K$432,Movimientos!$C$1:$C$432,"3628 Thomas Ave",Movimientos!$B$1:$B$432,"&lt;="&amp;$B49)</f>
        <v>16681.349999999999</v>
      </c>
      <c r="T49" s="24">
        <f>SUMIFS('Saldos Iniciales'!$D:$D,'Saldos Iniciales'!$A:$A,"Green Harbor Trust")+SUMIFS(Movimientos!$K$1:$K$432,Movimientos!$C$1:$C$432,"Green Harbor Trust",Movimientos!$B$1:$B$432,"&lt;="&amp;$B49)</f>
        <v>345</v>
      </c>
      <c r="U49" s="24">
        <f>SUMIFS('Saldos Iniciales'!$D:$D,'Saldos Iniciales'!$A:$A,"Go Blue")+SUMIFS(Movimientos!$K$1:$K$432,Movimientos!$C$1:$C$432,"Go Blue",Movimientos!$B$1:$B$432,"&lt;="&amp;$B49)</f>
        <v>45041.01</v>
      </c>
      <c r="V49" s="25">
        <f t="shared" ref="V49" si="6">SUM(C49:U49)</f>
        <v>5327618.5299999984</v>
      </c>
    </row>
    <row r="50" spans="1:22" outlineLevel="1" x14ac:dyDescent="0.3">
      <c r="A50" s="22">
        <f t="shared" si="0"/>
        <v>49</v>
      </c>
      <c r="B50" s="23">
        <v>46191</v>
      </c>
      <c r="C50" s="24">
        <f>SUMIFS('Saldos Iniciales'!$D:$D,'Saldos Iniciales'!$A:$A,"CFT Group")+SUMIFS(Movimientos!$K$1:$K$432,Movimientos!$C$1:$C$432,"CFT Group",Movimientos!$B$1:$B$432,"&lt;="&amp;$B50)</f>
        <v>1098358.7500000002</v>
      </c>
      <c r="D50" s="24">
        <f>SUMIFS('Saldos Iniciales'!$D:$D,'Saldos Iniciales'!$A:$A,"M1B")+SUMIFS(Movimientos!$K$1:$K$432,Movimientos!$C$1:$C$432,"M1B",Movimientos!$B$1:$B$432,"&lt;="&amp;$B50)</f>
        <v>69376.390000000174</v>
      </c>
      <c r="E50" s="24">
        <f>SUMIFS('Saldos Iniciales'!$D:$D,'Saldos Iniciales'!$A:$A,"Durand")+SUMIFS(Movimientos!$K$1:$K$432,Movimientos!$C$1:$C$432,"Durand",Movimientos!$B$1:$B$432,"&lt;="&amp;$B50)</f>
        <v>1669.89</v>
      </c>
      <c r="F50" s="24">
        <f>SUMIFS('Saldos Iniciales'!$D:$D,'Saldos Iniciales'!$A:$A,"A&amp;M Imports")+SUMIFS(Movimientos!$K$1:$K$432,Movimientos!$C$1:$C$432,"A&amp;M Imports",Movimientos!$B$1:$B$432,"&lt;="&amp;$B50)</f>
        <v>503904.80999999982</v>
      </c>
      <c r="G50" s="24">
        <f>SUMIFS('Saldos Iniciales'!$D:$D,'Saldos Iniciales'!$A:$A,"SSP Capital")+SUMIFS(Movimientos!$K$1:$K$432,Movimientos!$C$1:$C$432,"SSP Capital",Movimientos!$B$1:$B$432,"&lt;="&amp;$B50)</f>
        <v>3326696.7299999995</v>
      </c>
      <c r="H50" s="24">
        <f>SUMIFS('Saldos Iniciales'!$D:$D,'Saldos Iniciales'!$A:$A,"Cross Family Trust")+SUMIFS(Movimientos!$K$1:$K$432,Movimientos!$C$1:$C$432,"Cross Family Trust",Movimientos!$B$1:$B$432,"&lt;="&amp;$B50)</f>
        <v>116496.38</v>
      </c>
      <c r="I50" s="24">
        <f>SUMIFS('Saldos Iniciales'!$D:$D,'Saldos Iniciales'!$A:$A,"Cross Security Trust")+SUMIFS(Movimientos!$K$1:$K$432,Movimientos!$C$1:$C$432,"Cross Security Trust",Movimientos!$B$1:$B$432,"&lt;="&amp;$B50)</f>
        <v>88090.37</v>
      </c>
      <c r="J50" s="24">
        <f>SUMIFS('Saldos Iniciales'!$D:$D,'Saldos Iniciales'!$A:$A,"Electrama")+SUMIFS(Movimientos!$K$1:$K$432,Movimientos!$C$1:$C$432,"Electrama",Movimientos!$B$1:$B$432,"&lt;="&amp;$B50)</f>
        <v>1227.9699999999998</v>
      </c>
      <c r="K50" s="24">
        <f>SUMIFS('Saldos Iniciales'!$D:$D,'Saldos Iniciales'!$A:$A,"Sacred Valley Capital")+SUMIFS(Movimientos!$K$1:$K$432,Movimientos!$C$1:$C$432,"Sacred Valley Capital",Movimientos!$B$1:$B$432,"&lt;="&amp;$B50)</f>
        <v>84.35</v>
      </c>
      <c r="L50" s="24">
        <f>SUMIFS('Saldos Iniciales'!$D:$D,'Saldos Iniciales'!$A:$A,"YWC Capital")+SUMIFS(Movimientos!$K$1:$K$432,Movimientos!$C$1:$C$432,"YWC Capital",Movimientos!$B$1:$B$432,"&lt;="&amp;$B50)</f>
        <v>2237.77</v>
      </c>
      <c r="M50" s="24">
        <f>SUMIFS('Saldos Iniciales'!$D:$D,'Saldos Iniciales'!$A:$A,"Soweto")+SUMIFS(Movimientos!$K$1:$K$432,Movimientos!$C$1:$C$432,"Soweto",Movimientos!$B$1:$B$432,"&lt;="&amp;$B50)</f>
        <v>3349.94</v>
      </c>
      <c r="N50" s="24">
        <f>SUMIFS('Saldos Iniciales'!$D:$D,'Saldos Iniciales'!$A:$A,"Green Stone Trust")+SUMIFS(Movimientos!$K$1:$K$432,Movimientos!$C$1:$C$432,"Green Stone Trust",Movimientos!$B$1:$B$432,"&lt;="&amp;$B50)</f>
        <v>1968.99</v>
      </c>
      <c r="O50" s="24">
        <f>SUMIFS('Saldos Iniciales'!$D:$D,'Saldos Iniciales'!$A:$A,"EC Auto")+SUMIFS(Movimientos!$K$1:$K$432,Movimientos!$C$1:$C$432,"EC Auto",Movimientos!$B$1:$B$432,"&lt;="&amp;$B50)</f>
        <v>382.69000000000005</v>
      </c>
      <c r="P50" s="24">
        <f>SUMIFS('Saldos Iniciales'!$D:$D,'Saldos Iniciales'!$A:$A,"Arbor Capital Properties")+SUMIFS(Movimientos!$K$1:$K$432,Movimientos!$C$1:$C$432,"Arbor Capital Properties",Movimientos!$B$1:$B$432,"&lt;="&amp;$B50)</f>
        <v>1428.08</v>
      </c>
      <c r="Q50" s="24">
        <f>SUMIFS('Saldos Iniciales'!$D:$D,'Saldos Iniciales'!$A:$A,"2515 Overbrook")+SUMIFS(Movimientos!$K$1:$K$432,Movimientos!$C$1:$C$432,"2515 Overbrook",Movimientos!$B$1:$B$432,"&lt;="&amp;$B50)</f>
        <v>29789.969999999961</v>
      </c>
      <c r="R50" s="24">
        <f>SUMIFS('Saldos Iniciales'!$D:$D,'Saldos Iniciales'!$A:$A,"112 Florida Ave")+SUMIFS(Movimientos!$K$1:$K$432,Movimientos!$C$1:$C$432,"112 Florida Ave",Movimientos!$B$1:$B$432,"&lt;="&amp;$B50)</f>
        <v>20321.43</v>
      </c>
      <c r="S50" s="24">
        <f>SUMIFS('Saldos Iniciales'!$D:$D,'Saldos Iniciales'!$A:$A,"3628 Thomas Ave")+SUMIFS(Movimientos!$K$1:$K$432,Movimientos!$C$1:$C$432,"3628 Thomas Ave",Movimientos!$B$1:$B$432,"&lt;="&amp;$B50)</f>
        <v>16681.349999999999</v>
      </c>
      <c r="T50" s="24">
        <f>SUMIFS('Saldos Iniciales'!$D:$D,'Saldos Iniciales'!$A:$A,"Green Harbor Trust")+SUMIFS(Movimientos!$K$1:$K$432,Movimientos!$C$1:$C$432,"Green Harbor Trust",Movimientos!$B$1:$B$432,"&lt;="&amp;$B50)</f>
        <v>345</v>
      </c>
      <c r="U50" s="24">
        <f>SUMIFS('Saldos Iniciales'!$D:$D,'Saldos Iniciales'!$A:$A,"Go Blue")+SUMIFS(Movimientos!$K$1:$K$432,Movimientos!$C$1:$C$432,"Go Blue",Movimientos!$B$1:$B$432,"&lt;="&amp;$B50)</f>
        <v>45041.01</v>
      </c>
      <c r="V50" s="25">
        <f t="shared" ref="V50:V51" si="7">SUM(C50:U50)</f>
        <v>5327451.8699999982</v>
      </c>
    </row>
    <row r="51" spans="1:22" outlineLevel="1" x14ac:dyDescent="0.3">
      <c r="A51" s="22">
        <f t="shared" si="0"/>
        <v>50</v>
      </c>
      <c r="B51" s="23">
        <v>46192</v>
      </c>
      <c r="C51" s="24">
        <f>SUMIFS('Saldos Iniciales'!$D:$D,'Saldos Iniciales'!$A:$A,"CFT Group")+SUMIFS(Movimientos!$K$1:$K$432,Movimientos!$C$1:$C$432,"CFT Group",Movimientos!$B$1:$B$432,"&lt;="&amp;$B51)</f>
        <v>1098358.7500000002</v>
      </c>
      <c r="D51" s="24">
        <f>SUMIFS('Saldos Iniciales'!$D:$D,'Saldos Iniciales'!$A:$A,"M1B")+SUMIFS(Movimientos!$K$1:$K$432,Movimientos!$C$1:$C$432,"M1B",Movimientos!$B$1:$B$432,"&lt;="&amp;$B51)</f>
        <v>69376.390000000174</v>
      </c>
      <c r="E51" s="24">
        <f>SUMIFS('Saldos Iniciales'!$D:$D,'Saldos Iniciales'!$A:$A,"Durand")+SUMIFS(Movimientos!$K$1:$K$432,Movimientos!$C$1:$C$432,"Durand",Movimientos!$B$1:$B$432,"&lt;="&amp;$B51)</f>
        <v>1669.89</v>
      </c>
      <c r="F51" s="24">
        <f>SUMIFS('Saldos Iniciales'!$D:$D,'Saldos Iniciales'!$A:$A,"A&amp;M Imports")+SUMIFS(Movimientos!$K$1:$K$432,Movimientos!$C$1:$C$432,"A&amp;M Imports",Movimientos!$B$1:$B$432,"&lt;="&amp;$B51)</f>
        <v>503904.80999999982</v>
      </c>
      <c r="G51" s="24">
        <f>SUMIFS('Saldos Iniciales'!$D:$D,'Saldos Iniciales'!$A:$A,"SSP Capital")+SUMIFS(Movimientos!$K$1:$K$432,Movimientos!$C$1:$C$432,"SSP Capital",Movimientos!$B$1:$B$432,"&lt;="&amp;$B51)</f>
        <v>3326696.7299999995</v>
      </c>
      <c r="H51" s="24">
        <f>SUMIFS('Saldos Iniciales'!$D:$D,'Saldos Iniciales'!$A:$A,"Cross Family Trust")+SUMIFS(Movimientos!$K$1:$K$432,Movimientos!$C$1:$C$432,"Cross Family Trust",Movimientos!$B$1:$B$432,"&lt;="&amp;$B51)</f>
        <v>116496.38</v>
      </c>
      <c r="I51" s="24">
        <f>SUMIFS('Saldos Iniciales'!$D:$D,'Saldos Iniciales'!$A:$A,"Cross Security Trust")+SUMIFS(Movimientos!$K$1:$K$432,Movimientos!$C$1:$C$432,"Cross Security Trust",Movimientos!$B$1:$B$432,"&lt;="&amp;$B51)</f>
        <v>88090.37</v>
      </c>
      <c r="J51" s="24">
        <f>SUMIFS('Saldos Iniciales'!$D:$D,'Saldos Iniciales'!$A:$A,"Electrama")+SUMIFS(Movimientos!$K$1:$K$432,Movimientos!$C$1:$C$432,"Electrama",Movimientos!$B$1:$B$432,"&lt;="&amp;$B51)</f>
        <v>1227.9699999999998</v>
      </c>
      <c r="K51" s="24">
        <f>SUMIFS('Saldos Iniciales'!$D:$D,'Saldos Iniciales'!$A:$A,"Sacred Valley Capital")+SUMIFS(Movimientos!$K$1:$K$432,Movimientos!$C$1:$C$432,"Sacred Valley Capital",Movimientos!$B$1:$B$432,"&lt;="&amp;$B51)</f>
        <v>84.35</v>
      </c>
      <c r="L51" s="24">
        <f>SUMIFS('Saldos Iniciales'!$D:$D,'Saldos Iniciales'!$A:$A,"YWC Capital")+SUMIFS(Movimientos!$K$1:$K$432,Movimientos!$C$1:$C$432,"YWC Capital",Movimientos!$B$1:$B$432,"&lt;="&amp;$B51)</f>
        <v>2237.77</v>
      </c>
      <c r="M51" s="24">
        <f>SUMIFS('Saldos Iniciales'!$D:$D,'Saldos Iniciales'!$A:$A,"Soweto")+SUMIFS(Movimientos!$K$1:$K$432,Movimientos!$C$1:$C$432,"Soweto",Movimientos!$B$1:$B$432,"&lt;="&amp;$B51)</f>
        <v>3349.94</v>
      </c>
      <c r="N51" s="24">
        <f>SUMIFS('Saldos Iniciales'!$D:$D,'Saldos Iniciales'!$A:$A,"Green Stone Trust")+SUMIFS(Movimientos!$K$1:$K$432,Movimientos!$C$1:$C$432,"Green Stone Trust",Movimientos!$B$1:$B$432,"&lt;="&amp;$B51)</f>
        <v>1968.99</v>
      </c>
      <c r="O51" s="24">
        <f>SUMIFS('Saldos Iniciales'!$D:$D,'Saldos Iniciales'!$A:$A,"EC Auto")+SUMIFS(Movimientos!$K$1:$K$432,Movimientos!$C$1:$C$432,"EC Auto",Movimientos!$B$1:$B$432,"&lt;="&amp;$B51)</f>
        <v>382.69000000000005</v>
      </c>
      <c r="P51" s="24">
        <f>SUMIFS('Saldos Iniciales'!$D:$D,'Saldos Iniciales'!$A:$A,"Arbor Capital Properties")+SUMIFS(Movimientos!$K$1:$K$432,Movimientos!$C$1:$C$432,"Arbor Capital Properties",Movimientos!$B$1:$B$432,"&lt;="&amp;$B51)</f>
        <v>1428.08</v>
      </c>
      <c r="Q51" s="24">
        <f>SUMIFS('Saldos Iniciales'!$D:$D,'Saldos Iniciales'!$A:$A,"2515 Overbrook")+SUMIFS(Movimientos!$K$1:$K$432,Movimientos!$C$1:$C$432,"2515 Overbrook",Movimientos!$B$1:$B$432,"&lt;="&amp;$B51)</f>
        <v>29789.969999999961</v>
      </c>
      <c r="R51" s="24">
        <f>SUMIFS('Saldos Iniciales'!$D:$D,'Saldos Iniciales'!$A:$A,"112 Florida Ave")+SUMIFS(Movimientos!$K$1:$K$432,Movimientos!$C$1:$C$432,"112 Florida Ave",Movimientos!$B$1:$B$432,"&lt;="&amp;$B51)</f>
        <v>20321.43</v>
      </c>
      <c r="S51" s="24">
        <f>SUMIFS('Saldos Iniciales'!$D:$D,'Saldos Iniciales'!$A:$A,"3628 Thomas Ave")+SUMIFS(Movimientos!$K$1:$K$432,Movimientos!$C$1:$C$432,"3628 Thomas Ave",Movimientos!$B$1:$B$432,"&lt;="&amp;$B51)</f>
        <v>16681.349999999999</v>
      </c>
      <c r="T51" s="24">
        <f>SUMIFS('Saldos Iniciales'!$D:$D,'Saldos Iniciales'!$A:$A,"Green Harbor Trust")+SUMIFS(Movimientos!$K$1:$K$432,Movimientos!$C$1:$C$432,"Green Harbor Trust",Movimientos!$B$1:$B$432,"&lt;="&amp;$B51)</f>
        <v>345</v>
      </c>
      <c r="U51" s="24">
        <f>SUMIFS('Saldos Iniciales'!$D:$D,'Saldos Iniciales'!$A:$A,"Go Blue")+SUMIFS(Movimientos!$K$1:$K$432,Movimientos!$C$1:$C$432,"Go Blue",Movimientos!$B$1:$B$432,"&lt;="&amp;$B51)</f>
        <v>45041.01</v>
      </c>
      <c r="V51" s="25">
        <f t="shared" si="7"/>
        <v>5327451.8699999982</v>
      </c>
    </row>
    <row r="52" spans="1:22" outlineLevel="1" x14ac:dyDescent="0.3">
      <c r="A52" s="22">
        <f t="shared" si="0"/>
        <v>51</v>
      </c>
      <c r="B52" s="23">
        <v>46193</v>
      </c>
      <c r="C52" s="24">
        <f>SUMIFS('Saldos Iniciales'!$D:$D,'Saldos Iniciales'!$A:$A,"CFT Group")+SUMIFS(Movimientos!$K$1:$K$432,Movimientos!$C$1:$C$432,"CFT Group",Movimientos!$B$1:$B$432,"&lt;="&amp;$B52)</f>
        <v>1098358.7500000002</v>
      </c>
      <c r="D52" s="24">
        <f>SUMIFS('Saldos Iniciales'!$D:$D,'Saldos Iniciales'!$A:$A,"M1B")+SUMIFS(Movimientos!$K$1:$K$432,Movimientos!$C$1:$C$432,"M1B",Movimientos!$B$1:$B$432,"&lt;="&amp;$B52)</f>
        <v>69376.390000000174</v>
      </c>
      <c r="E52" s="24">
        <f>SUMIFS('Saldos Iniciales'!$D:$D,'Saldos Iniciales'!$A:$A,"Durand")+SUMIFS(Movimientos!$K$1:$K$432,Movimientos!$C$1:$C$432,"Durand",Movimientos!$B$1:$B$432,"&lt;="&amp;$B52)</f>
        <v>1669.89</v>
      </c>
      <c r="F52" s="24">
        <f>SUMIFS('Saldos Iniciales'!$D:$D,'Saldos Iniciales'!$A:$A,"A&amp;M Imports")+SUMIFS(Movimientos!$K$1:$K$432,Movimientos!$C$1:$C$432,"A&amp;M Imports",Movimientos!$B$1:$B$432,"&lt;="&amp;$B52)</f>
        <v>503904.80999999982</v>
      </c>
      <c r="G52" s="24">
        <f>SUMIFS('Saldos Iniciales'!$D:$D,'Saldos Iniciales'!$A:$A,"SSP Capital")+SUMIFS(Movimientos!$K$1:$K$432,Movimientos!$C$1:$C$432,"SSP Capital",Movimientos!$B$1:$B$432,"&lt;="&amp;$B52)</f>
        <v>3326696.7299999995</v>
      </c>
      <c r="H52" s="24">
        <f>SUMIFS('Saldos Iniciales'!$D:$D,'Saldos Iniciales'!$A:$A,"Cross Family Trust")+SUMIFS(Movimientos!$K$1:$K$432,Movimientos!$C$1:$C$432,"Cross Family Trust",Movimientos!$B$1:$B$432,"&lt;="&amp;$B52)</f>
        <v>116496.38</v>
      </c>
      <c r="I52" s="24">
        <f>SUMIFS('Saldos Iniciales'!$D:$D,'Saldos Iniciales'!$A:$A,"Cross Security Trust")+SUMIFS(Movimientos!$K$1:$K$432,Movimientos!$C$1:$C$432,"Cross Security Trust",Movimientos!$B$1:$B$432,"&lt;="&amp;$B52)</f>
        <v>88090.37</v>
      </c>
      <c r="J52" s="24">
        <f>SUMIFS('Saldos Iniciales'!$D:$D,'Saldos Iniciales'!$A:$A,"Electrama")+SUMIFS(Movimientos!$K$1:$K$432,Movimientos!$C$1:$C$432,"Electrama",Movimientos!$B$1:$B$432,"&lt;="&amp;$B52)</f>
        <v>1227.9699999999998</v>
      </c>
      <c r="K52" s="24">
        <f>SUMIFS('Saldos Iniciales'!$D:$D,'Saldos Iniciales'!$A:$A,"Sacred Valley Capital")+SUMIFS(Movimientos!$K$1:$K$432,Movimientos!$C$1:$C$432,"Sacred Valley Capital",Movimientos!$B$1:$B$432,"&lt;="&amp;$B52)</f>
        <v>84.35</v>
      </c>
      <c r="L52" s="24">
        <f>SUMIFS('Saldos Iniciales'!$D:$D,'Saldos Iniciales'!$A:$A,"YWC Capital")+SUMIFS(Movimientos!$K$1:$K$432,Movimientos!$C$1:$C$432,"YWC Capital",Movimientos!$B$1:$B$432,"&lt;="&amp;$B52)</f>
        <v>2237.77</v>
      </c>
      <c r="M52" s="24">
        <f>SUMIFS('Saldos Iniciales'!$D:$D,'Saldos Iniciales'!$A:$A,"Soweto")+SUMIFS(Movimientos!$K$1:$K$432,Movimientos!$C$1:$C$432,"Soweto",Movimientos!$B$1:$B$432,"&lt;="&amp;$B52)</f>
        <v>3349.94</v>
      </c>
      <c r="N52" s="24">
        <f>SUMIFS('Saldos Iniciales'!$D:$D,'Saldos Iniciales'!$A:$A,"Green Stone Trust")+SUMIFS(Movimientos!$K$1:$K$432,Movimientos!$C$1:$C$432,"Green Stone Trust",Movimientos!$B$1:$B$432,"&lt;="&amp;$B52)</f>
        <v>1968.99</v>
      </c>
      <c r="O52" s="24">
        <f>SUMIFS('Saldos Iniciales'!$D:$D,'Saldos Iniciales'!$A:$A,"EC Auto")+SUMIFS(Movimientos!$K$1:$K$432,Movimientos!$C$1:$C$432,"EC Auto",Movimientos!$B$1:$B$432,"&lt;="&amp;$B52)</f>
        <v>382.69000000000005</v>
      </c>
      <c r="P52" s="24">
        <f>SUMIFS('Saldos Iniciales'!$D:$D,'Saldos Iniciales'!$A:$A,"Arbor Capital Properties")+SUMIFS(Movimientos!$K$1:$K$432,Movimientos!$C$1:$C$432,"Arbor Capital Properties",Movimientos!$B$1:$B$432,"&lt;="&amp;$B52)</f>
        <v>1428.08</v>
      </c>
      <c r="Q52" s="24">
        <f>SUMIFS('Saldos Iniciales'!$D:$D,'Saldos Iniciales'!$A:$A,"2515 Overbrook")+SUMIFS(Movimientos!$K$1:$K$432,Movimientos!$C$1:$C$432,"2515 Overbrook",Movimientos!$B$1:$B$432,"&lt;="&amp;$B52)</f>
        <v>29789.969999999961</v>
      </c>
      <c r="R52" s="24">
        <f>SUMIFS('Saldos Iniciales'!$D:$D,'Saldos Iniciales'!$A:$A,"112 Florida Ave")+SUMIFS(Movimientos!$K$1:$K$432,Movimientos!$C$1:$C$432,"112 Florida Ave",Movimientos!$B$1:$B$432,"&lt;="&amp;$B52)</f>
        <v>20321.43</v>
      </c>
      <c r="S52" s="24">
        <f>SUMIFS('Saldos Iniciales'!$D:$D,'Saldos Iniciales'!$A:$A,"3628 Thomas Ave")+SUMIFS(Movimientos!$K$1:$K$432,Movimientos!$C$1:$C$432,"3628 Thomas Ave",Movimientos!$B$1:$B$432,"&lt;="&amp;$B52)</f>
        <v>16681.349999999999</v>
      </c>
      <c r="T52" s="24">
        <f>SUMIFS('Saldos Iniciales'!$D:$D,'Saldos Iniciales'!$A:$A,"Green Harbor Trust")+SUMIFS(Movimientos!$K$1:$K$432,Movimientos!$C$1:$C$432,"Green Harbor Trust",Movimientos!$B$1:$B$432,"&lt;="&amp;$B52)</f>
        <v>345</v>
      </c>
      <c r="U52" s="24">
        <f>SUMIFS('Saldos Iniciales'!$D:$D,'Saldos Iniciales'!$A:$A,"Go Blue")+SUMIFS(Movimientos!$K$1:$K$432,Movimientos!$C$1:$C$432,"Go Blue",Movimientos!$B$1:$B$432,"&lt;="&amp;$B52)</f>
        <v>45041.01</v>
      </c>
      <c r="V52" s="25">
        <f t="shared" ref="V52:V53" si="8">SUM(C52:U52)</f>
        <v>5327451.8699999982</v>
      </c>
    </row>
    <row r="53" spans="1:22" outlineLevel="1" x14ac:dyDescent="0.3">
      <c r="A53" s="22">
        <f t="shared" si="0"/>
        <v>52</v>
      </c>
      <c r="B53" s="23">
        <v>46194</v>
      </c>
      <c r="C53" s="24">
        <f>SUMIFS('Saldos Iniciales'!$D:$D,'Saldos Iniciales'!$A:$A,"CFT Group")+SUMIFS(Movimientos!$K$1:$K$432,Movimientos!$C$1:$C$432,"CFT Group",Movimientos!$B$1:$B$432,"&lt;="&amp;$B53)</f>
        <v>1098358.7500000002</v>
      </c>
      <c r="D53" s="24">
        <f>SUMIFS('Saldos Iniciales'!$D:$D,'Saldos Iniciales'!$A:$A,"M1B")+SUMIFS(Movimientos!$K$1:$K$432,Movimientos!$C$1:$C$432,"M1B",Movimientos!$B$1:$B$432,"&lt;="&amp;$B53)</f>
        <v>69376.390000000174</v>
      </c>
      <c r="E53" s="24">
        <f>SUMIFS('Saldos Iniciales'!$D:$D,'Saldos Iniciales'!$A:$A,"Durand")+SUMIFS(Movimientos!$K$1:$K$432,Movimientos!$C$1:$C$432,"Durand",Movimientos!$B$1:$B$432,"&lt;="&amp;$B53)</f>
        <v>1669.89</v>
      </c>
      <c r="F53" s="24">
        <f>SUMIFS('Saldos Iniciales'!$D:$D,'Saldos Iniciales'!$A:$A,"A&amp;M Imports")+SUMIFS(Movimientos!$K$1:$K$432,Movimientos!$C$1:$C$432,"A&amp;M Imports",Movimientos!$B$1:$B$432,"&lt;="&amp;$B53)</f>
        <v>503904.80999999982</v>
      </c>
      <c r="G53" s="24">
        <f>SUMIFS('Saldos Iniciales'!$D:$D,'Saldos Iniciales'!$A:$A,"SSP Capital")+SUMIFS(Movimientos!$K$1:$K$432,Movimientos!$C$1:$C$432,"SSP Capital",Movimientos!$B$1:$B$432,"&lt;="&amp;$B53)</f>
        <v>3326696.7299999995</v>
      </c>
      <c r="H53" s="24">
        <f>SUMIFS('Saldos Iniciales'!$D:$D,'Saldos Iniciales'!$A:$A,"Cross Family Trust")+SUMIFS(Movimientos!$K$1:$K$432,Movimientos!$C$1:$C$432,"Cross Family Trust",Movimientos!$B$1:$B$432,"&lt;="&amp;$B53)</f>
        <v>116496.38</v>
      </c>
      <c r="I53" s="24">
        <f>SUMIFS('Saldos Iniciales'!$D:$D,'Saldos Iniciales'!$A:$A,"Cross Security Trust")+SUMIFS(Movimientos!$K$1:$K$432,Movimientos!$C$1:$C$432,"Cross Security Trust",Movimientos!$B$1:$B$432,"&lt;="&amp;$B53)</f>
        <v>88090.37</v>
      </c>
      <c r="J53" s="24">
        <f>SUMIFS('Saldos Iniciales'!$D:$D,'Saldos Iniciales'!$A:$A,"Electrama")+SUMIFS(Movimientos!$K$1:$K$432,Movimientos!$C$1:$C$432,"Electrama",Movimientos!$B$1:$B$432,"&lt;="&amp;$B53)</f>
        <v>1227.9699999999998</v>
      </c>
      <c r="K53" s="24">
        <f>SUMIFS('Saldos Iniciales'!$D:$D,'Saldos Iniciales'!$A:$A,"Sacred Valley Capital")+SUMIFS(Movimientos!$K$1:$K$432,Movimientos!$C$1:$C$432,"Sacred Valley Capital",Movimientos!$B$1:$B$432,"&lt;="&amp;$B53)</f>
        <v>84.35</v>
      </c>
      <c r="L53" s="24">
        <f>SUMIFS('Saldos Iniciales'!$D:$D,'Saldos Iniciales'!$A:$A,"YWC Capital")+SUMIFS(Movimientos!$K$1:$K$432,Movimientos!$C$1:$C$432,"YWC Capital",Movimientos!$B$1:$B$432,"&lt;="&amp;$B53)</f>
        <v>2237.77</v>
      </c>
      <c r="M53" s="24">
        <f>SUMIFS('Saldos Iniciales'!$D:$D,'Saldos Iniciales'!$A:$A,"Soweto")+SUMIFS(Movimientos!$K$1:$K$432,Movimientos!$C$1:$C$432,"Soweto",Movimientos!$B$1:$B$432,"&lt;="&amp;$B53)</f>
        <v>3349.94</v>
      </c>
      <c r="N53" s="24">
        <f>SUMIFS('Saldos Iniciales'!$D:$D,'Saldos Iniciales'!$A:$A,"Green Stone Trust")+SUMIFS(Movimientos!$K$1:$K$432,Movimientos!$C$1:$C$432,"Green Stone Trust",Movimientos!$B$1:$B$432,"&lt;="&amp;$B53)</f>
        <v>1968.99</v>
      </c>
      <c r="O53" s="24">
        <f>SUMIFS('Saldos Iniciales'!$D:$D,'Saldos Iniciales'!$A:$A,"EC Auto")+SUMIFS(Movimientos!$K$1:$K$432,Movimientos!$C$1:$C$432,"EC Auto",Movimientos!$B$1:$B$432,"&lt;="&amp;$B53)</f>
        <v>382.69000000000005</v>
      </c>
      <c r="P53" s="24">
        <f>SUMIFS('Saldos Iniciales'!$D:$D,'Saldos Iniciales'!$A:$A,"Arbor Capital Properties")+SUMIFS(Movimientos!$K$1:$K$432,Movimientos!$C$1:$C$432,"Arbor Capital Properties",Movimientos!$B$1:$B$432,"&lt;="&amp;$B53)</f>
        <v>1428.08</v>
      </c>
      <c r="Q53" s="24">
        <f>SUMIFS('Saldos Iniciales'!$D:$D,'Saldos Iniciales'!$A:$A,"2515 Overbrook")+SUMIFS(Movimientos!$K$1:$K$432,Movimientos!$C$1:$C$432,"2515 Overbrook",Movimientos!$B$1:$B$432,"&lt;="&amp;$B53)</f>
        <v>29789.969999999961</v>
      </c>
      <c r="R53" s="24">
        <f>SUMIFS('Saldos Iniciales'!$D:$D,'Saldos Iniciales'!$A:$A,"112 Florida Ave")+SUMIFS(Movimientos!$K$1:$K$432,Movimientos!$C$1:$C$432,"112 Florida Ave",Movimientos!$B$1:$B$432,"&lt;="&amp;$B53)</f>
        <v>20321.43</v>
      </c>
      <c r="S53" s="24">
        <f>SUMIFS('Saldos Iniciales'!$D:$D,'Saldos Iniciales'!$A:$A,"3628 Thomas Ave")+SUMIFS(Movimientos!$K$1:$K$432,Movimientos!$C$1:$C$432,"3628 Thomas Ave",Movimientos!$B$1:$B$432,"&lt;="&amp;$B53)</f>
        <v>16681.349999999999</v>
      </c>
      <c r="T53" s="24">
        <f>SUMIFS('Saldos Iniciales'!$D:$D,'Saldos Iniciales'!$A:$A,"Green Harbor Trust")+SUMIFS(Movimientos!$K$1:$K$432,Movimientos!$C$1:$C$432,"Green Harbor Trust",Movimientos!$B$1:$B$432,"&lt;="&amp;$B53)</f>
        <v>345</v>
      </c>
      <c r="U53" s="24">
        <f>SUMIFS('Saldos Iniciales'!$D:$D,'Saldos Iniciales'!$A:$A,"Go Blue")+SUMIFS(Movimientos!$K$1:$K$432,Movimientos!$C$1:$C$432,"Go Blue",Movimientos!$B$1:$B$432,"&lt;="&amp;$B53)</f>
        <v>45041.01</v>
      </c>
      <c r="V53" s="25">
        <f t="shared" si="8"/>
        <v>5327451.8699999982</v>
      </c>
    </row>
    <row r="54" spans="1:22" outlineLevel="1" x14ac:dyDescent="0.3">
      <c r="A54" s="22">
        <f t="shared" si="0"/>
        <v>53</v>
      </c>
      <c r="B54" s="23">
        <v>46195</v>
      </c>
      <c r="C54" s="24">
        <f>SUMIFS('Saldos Iniciales'!$D:$D,'Saldos Iniciales'!$A:$A,"CFT Group")+SUMIFS(Movimientos!$K$1:$K$432,Movimientos!$C$1:$C$432,"CFT Group",Movimientos!$B$1:$B$432,"&lt;="&amp;$B54)</f>
        <v>7613332.1400000006</v>
      </c>
      <c r="D54" s="24">
        <f>SUMIFS('Saldos Iniciales'!$D:$D,'Saldos Iniciales'!$A:$A,"M1B")+SUMIFS(Movimientos!$K$1:$K$432,Movimientos!$C$1:$C$432,"M1B",Movimientos!$B$1:$B$432,"&lt;="&amp;$B54)</f>
        <v>69376.390000000174</v>
      </c>
      <c r="E54" s="24">
        <f>SUMIFS('Saldos Iniciales'!$D:$D,'Saldos Iniciales'!$A:$A,"Durand")+SUMIFS(Movimientos!$K$1:$K$432,Movimientos!$C$1:$C$432,"Durand",Movimientos!$B$1:$B$432,"&lt;="&amp;$B54)</f>
        <v>1669.89</v>
      </c>
      <c r="F54" s="24">
        <f>SUMIFS('Saldos Iniciales'!$D:$D,'Saldos Iniciales'!$A:$A,"A&amp;M Imports")+SUMIFS(Movimientos!$K$1:$K$432,Movimientos!$C$1:$C$432,"A&amp;M Imports",Movimientos!$B$1:$B$432,"&lt;="&amp;$B54)</f>
        <v>503904.80999999982</v>
      </c>
      <c r="G54" s="24">
        <f>SUMIFS('Saldos Iniciales'!$D:$D,'Saldos Iniciales'!$A:$A,"SSP Capital")+SUMIFS(Movimientos!$K$1:$K$432,Movimientos!$C$1:$C$432,"SSP Capital",Movimientos!$B$1:$B$432,"&lt;="&amp;$B54)</f>
        <v>3325868.6899999995</v>
      </c>
      <c r="H54" s="24">
        <f>SUMIFS('Saldos Iniciales'!$D:$D,'Saldos Iniciales'!$A:$A,"Cross Family Trust")+SUMIFS(Movimientos!$K$1:$K$432,Movimientos!$C$1:$C$432,"Cross Family Trust",Movimientos!$B$1:$B$432,"&lt;="&amp;$B54)</f>
        <v>116496.38</v>
      </c>
      <c r="I54" s="24">
        <f>SUMIFS('Saldos Iniciales'!$D:$D,'Saldos Iniciales'!$A:$A,"Cross Security Trust")+SUMIFS(Movimientos!$K$1:$K$432,Movimientos!$C$1:$C$432,"Cross Security Trust",Movimientos!$B$1:$B$432,"&lt;="&amp;$B54)</f>
        <v>88090.37</v>
      </c>
      <c r="J54" s="24">
        <f>SUMIFS('Saldos Iniciales'!$D:$D,'Saldos Iniciales'!$A:$A,"Electrama")+SUMIFS(Movimientos!$K$1:$K$432,Movimientos!$C$1:$C$432,"Electrama",Movimientos!$B$1:$B$432,"&lt;="&amp;$B54)</f>
        <v>1227.9699999999998</v>
      </c>
      <c r="K54" s="24">
        <f>SUMIFS('Saldos Iniciales'!$D:$D,'Saldos Iniciales'!$A:$A,"Sacred Valley Capital")+SUMIFS(Movimientos!$K$1:$K$432,Movimientos!$C$1:$C$432,"Sacred Valley Capital",Movimientos!$B$1:$B$432,"&lt;="&amp;$B54)</f>
        <v>84.35</v>
      </c>
      <c r="L54" s="24">
        <f>SUMIFS('Saldos Iniciales'!$D:$D,'Saldos Iniciales'!$A:$A,"YWC Capital")+SUMIFS(Movimientos!$K$1:$K$432,Movimientos!$C$1:$C$432,"YWC Capital",Movimientos!$B$1:$B$432,"&lt;="&amp;$B54)</f>
        <v>2237.77</v>
      </c>
      <c r="M54" s="24">
        <f>SUMIFS('Saldos Iniciales'!$D:$D,'Saldos Iniciales'!$A:$A,"Soweto")+SUMIFS(Movimientos!$K$1:$K$432,Movimientos!$C$1:$C$432,"Soweto",Movimientos!$B$1:$B$432,"&lt;="&amp;$B54)</f>
        <v>3349.94</v>
      </c>
      <c r="N54" s="24">
        <f>SUMIFS('Saldos Iniciales'!$D:$D,'Saldos Iniciales'!$A:$A,"Green Stone Trust")+SUMIFS(Movimientos!$K$1:$K$432,Movimientos!$C$1:$C$432,"Green Stone Trust",Movimientos!$B$1:$B$432,"&lt;="&amp;$B54)</f>
        <v>1968.99</v>
      </c>
      <c r="O54" s="24">
        <f>SUMIFS('Saldos Iniciales'!$D:$D,'Saldos Iniciales'!$A:$A,"EC Auto")+SUMIFS(Movimientos!$K$1:$K$432,Movimientos!$C$1:$C$432,"EC Auto",Movimientos!$B$1:$B$432,"&lt;="&amp;$B54)</f>
        <v>382.69000000000005</v>
      </c>
      <c r="P54" s="24">
        <f>SUMIFS('Saldos Iniciales'!$D:$D,'Saldos Iniciales'!$A:$A,"Arbor Capital Properties")+SUMIFS(Movimientos!$K$1:$K$432,Movimientos!$C$1:$C$432,"Arbor Capital Properties",Movimientos!$B$1:$B$432,"&lt;="&amp;$B54)</f>
        <v>1428.08</v>
      </c>
      <c r="Q54" s="24">
        <f>SUMIFS('Saldos Iniciales'!$D:$D,'Saldos Iniciales'!$A:$A,"2515 Overbrook")+SUMIFS(Movimientos!$K$1:$K$432,Movimientos!$C$1:$C$432,"2515 Overbrook",Movimientos!$B$1:$B$432,"&lt;="&amp;$B54)</f>
        <v>31039.969999999961</v>
      </c>
      <c r="R54" s="24">
        <f>SUMIFS('Saldos Iniciales'!$D:$D,'Saldos Iniciales'!$A:$A,"112 Florida Ave")+SUMIFS(Movimientos!$K$1:$K$432,Movimientos!$C$1:$C$432,"112 Florida Ave",Movimientos!$B$1:$B$432,"&lt;="&amp;$B54)</f>
        <v>20321.43</v>
      </c>
      <c r="S54" s="24">
        <f>SUMIFS('Saldos Iniciales'!$D:$D,'Saldos Iniciales'!$A:$A,"3628 Thomas Ave")+SUMIFS(Movimientos!$K$1:$K$432,Movimientos!$C$1:$C$432,"3628 Thomas Ave",Movimientos!$B$1:$B$432,"&lt;="&amp;$B54)</f>
        <v>16681.349999999999</v>
      </c>
      <c r="T54" s="24">
        <f>SUMIFS('Saldos Iniciales'!$D:$D,'Saldos Iniciales'!$A:$A,"Green Harbor Trust")+SUMIFS(Movimientos!$K$1:$K$432,Movimientos!$C$1:$C$432,"Green Harbor Trust",Movimientos!$B$1:$B$432,"&lt;="&amp;$B54)</f>
        <v>345</v>
      </c>
      <c r="U54" s="24">
        <f>SUMIFS('Saldos Iniciales'!$D:$D,'Saldos Iniciales'!$A:$A,"Go Blue")+SUMIFS(Movimientos!$K$1:$K$432,Movimientos!$C$1:$C$432,"Go Blue",Movimientos!$B$1:$B$432,"&lt;="&amp;$B54)</f>
        <v>44816.33</v>
      </c>
      <c r="V54" s="25">
        <f t="shared" ref="V54:V55" si="9">SUM(C54:U54)</f>
        <v>11842622.539999999</v>
      </c>
    </row>
    <row r="55" spans="1:22" outlineLevel="1" x14ac:dyDescent="0.3">
      <c r="A55" s="22">
        <f t="shared" si="0"/>
        <v>54</v>
      </c>
      <c r="B55" s="23">
        <v>46196</v>
      </c>
      <c r="C55" s="24">
        <f>SUMIFS('Saldos Iniciales'!$D:$D,'Saldos Iniciales'!$A:$A,"CFT Group")+SUMIFS(Movimientos!$K$1:$K$432,Movimientos!$C$1:$C$432,"CFT Group",Movimientos!$B$1:$B$432,"&lt;="&amp;$B55)</f>
        <v>7613332.1400000006</v>
      </c>
      <c r="D55" s="24">
        <f>SUMIFS('Saldos Iniciales'!$D:$D,'Saldos Iniciales'!$A:$A,"M1B")+SUMIFS(Movimientos!$K$1:$K$432,Movimientos!$C$1:$C$432,"M1B",Movimientos!$B$1:$B$432,"&lt;="&amp;$B55)</f>
        <v>69376.390000000174</v>
      </c>
      <c r="E55" s="24">
        <f>SUMIFS('Saldos Iniciales'!$D:$D,'Saldos Iniciales'!$A:$A,"Durand")+SUMIFS(Movimientos!$K$1:$K$432,Movimientos!$C$1:$C$432,"Durand",Movimientos!$B$1:$B$432,"&lt;="&amp;$B55)</f>
        <v>1669.89</v>
      </c>
      <c r="F55" s="24">
        <f>SUMIFS('Saldos Iniciales'!$D:$D,'Saldos Iniciales'!$A:$A,"A&amp;M Imports")+SUMIFS(Movimientos!$K$1:$K$432,Movimientos!$C$1:$C$432,"A&amp;M Imports",Movimientos!$B$1:$B$432,"&lt;="&amp;$B55)</f>
        <v>503904.80999999982</v>
      </c>
      <c r="G55" s="24">
        <f>SUMIFS('Saldos Iniciales'!$D:$D,'Saldos Iniciales'!$A:$A,"SSP Capital")+SUMIFS(Movimientos!$K$1:$K$432,Movimientos!$C$1:$C$432,"SSP Capital",Movimientos!$B$1:$B$432,"&lt;="&amp;$B55)</f>
        <v>3325868.6899999995</v>
      </c>
      <c r="H55" s="24">
        <f>SUMIFS('Saldos Iniciales'!$D:$D,'Saldos Iniciales'!$A:$A,"Cross Family Trust")+SUMIFS(Movimientos!$K$1:$K$432,Movimientos!$C$1:$C$432,"Cross Family Trust",Movimientos!$B$1:$B$432,"&lt;="&amp;$B55)</f>
        <v>116496.38</v>
      </c>
      <c r="I55" s="24">
        <f>SUMIFS('Saldos Iniciales'!$D:$D,'Saldos Iniciales'!$A:$A,"Cross Security Trust")+SUMIFS(Movimientos!$K$1:$K$432,Movimientos!$C$1:$C$432,"Cross Security Trust",Movimientos!$B$1:$B$432,"&lt;="&amp;$B55)</f>
        <v>88090.37</v>
      </c>
      <c r="J55" s="24">
        <f>SUMIFS('Saldos Iniciales'!$D:$D,'Saldos Iniciales'!$A:$A,"Electrama")+SUMIFS(Movimientos!$K$1:$K$432,Movimientos!$C$1:$C$432,"Electrama",Movimientos!$B$1:$B$432,"&lt;="&amp;$B55)</f>
        <v>1227.9699999999998</v>
      </c>
      <c r="K55" s="24">
        <f>SUMIFS('Saldos Iniciales'!$D:$D,'Saldos Iniciales'!$A:$A,"Sacred Valley Capital")+SUMIFS(Movimientos!$K$1:$K$432,Movimientos!$C$1:$C$432,"Sacred Valley Capital",Movimientos!$B$1:$B$432,"&lt;="&amp;$B55)</f>
        <v>84.35</v>
      </c>
      <c r="L55" s="24">
        <f>SUMIFS('Saldos Iniciales'!$D:$D,'Saldos Iniciales'!$A:$A,"YWC Capital")+SUMIFS(Movimientos!$K$1:$K$432,Movimientos!$C$1:$C$432,"YWC Capital",Movimientos!$B$1:$B$432,"&lt;="&amp;$B55)</f>
        <v>2237.77</v>
      </c>
      <c r="M55" s="24">
        <f>SUMIFS('Saldos Iniciales'!$D:$D,'Saldos Iniciales'!$A:$A,"Soweto")+SUMIFS(Movimientos!$K$1:$K$432,Movimientos!$C$1:$C$432,"Soweto",Movimientos!$B$1:$B$432,"&lt;="&amp;$B55)</f>
        <v>3349.94</v>
      </c>
      <c r="N55" s="24">
        <f>SUMIFS('Saldos Iniciales'!$D:$D,'Saldos Iniciales'!$A:$A,"Green Stone Trust")+SUMIFS(Movimientos!$K$1:$K$432,Movimientos!$C$1:$C$432,"Green Stone Trust",Movimientos!$B$1:$B$432,"&lt;="&amp;$B55)</f>
        <v>1968.99</v>
      </c>
      <c r="O55" s="24">
        <f>SUMIFS('Saldos Iniciales'!$D:$D,'Saldos Iniciales'!$A:$A,"EC Auto")+SUMIFS(Movimientos!$K$1:$K$432,Movimientos!$C$1:$C$432,"EC Auto",Movimientos!$B$1:$B$432,"&lt;="&amp;$B55)</f>
        <v>382.69000000000005</v>
      </c>
      <c r="P55" s="24">
        <f>SUMIFS('Saldos Iniciales'!$D:$D,'Saldos Iniciales'!$A:$A,"Arbor Capital Properties")+SUMIFS(Movimientos!$K$1:$K$432,Movimientos!$C$1:$C$432,"Arbor Capital Properties",Movimientos!$B$1:$B$432,"&lt;="&amp;$B55)</f>
        <v>1428.08</v>
      </c>
      <c r="Q55" s="24">
        <f>SUMIFS('Saldos Iniciales'!$D:$D,'Saldos Iniciales'!$A:$A,"2515 Overbrook")+SUMIFS(Movimientos!$K$1:$K$432,Movimientos!$C$1:$C$432,"2515 Overbrook",Movimientos!$B$1:$B$432,"&lt;="&amp;$B55)</f>
        <v>31039.969999999961</v>
      </c>
      <c r="R55" s="24">
        <f>SUMIFS('Saldos Iniciales'!$D:$D,'Saldos Iniciales'!$A:$A,"112 Florida Ave")+SUMIFS(Movimientos!$K$1:$K$432,Movimientos!$C$1:$C$432,"112 Florida Ave",Movimientos!$B$1:$B$432,"&lt;="&amp;$B55)</f>
        <v>20321.43</v>
      </c>
      <c r="S55" s="24">
        <f>SUMIFS('Saldos Iniciales'!$D:$D,'Saldos Iniciales'!$A:$A,"3628 Thomas Ave")+SUMIFS(Movimientos!$K$1:$K$432,Movimientos!$C$1:$C$432,"3628 Thomas Ave",Movimientos!$B$1:$B$432,"&lt;="&amp;$B55)</f>
        <v>16681.349999999999</v>
      </c>
      <c r="T55" s="24">
        <f>SUMIFS('Saldos Iniciales'!$D:$D,'Saldos Iniciales'!$A:$A,"Green Harbor Trust")+SUMIFS(Movimientos!$K$1:$K$432,Movimientos!$C$1:$C$432,"Green Harbor Trust",Movimientos!$B$1:$B$432,"&lt;="&amp;$B55)</f>
        <v>345</v>
      </c>
      <c r="U55" s="24">
        <f>SUMIFS('Saldos Iniciales'!$D:$D,'Saldos Iniciales'!$A:$A,"Go Blue")+SUMIFS(Movimientos!$K$1:$K$432,Movimientos!$C$1:$C$432,"Go Blue",Movimientos!$B$1:$B$432,"&lt;="&amp;$B55)</f>
        <v>44687.96</v>
      </c>
      <c r="V55" s="25">
        <f t="shared" si="9"/>
        <v>11842494.17</v>
      </c>
    </row>
    <row r="56" spans="1:22" outlineLevel="1" x14ac:dyDescent="0.3">
      <c r="A56" s="22">
        <f t="shared" si="0"/>
        <v>55</v>
      </c>
      <c r="B56" s="23">
        <v>46197</v>
      </c>
      <c r="C56" s="24">
        <f>SUMIFS('Saldos Iniciales'!$D:$D,'Saldos Iniciales'!$A:$A,"CFT Group")+SUMIFS(Movimientos!$K$1:$K$432,Movimientos!$C$1:$C$432,"CFT Group",Movimientos!$B$1:$B$432,"&lt;="&amp;$B56)</f>
        <v>7680401.2600000007</v>
      </c>
      <c r="D56" s="24">
        <f>SUMIFS('Saldos Iniciales'!$D:$D,'Saldos Iniciales'!$A:$A,"M1B")+SUMIFS(Movimientos!$K$1:$K$432,Movimientos!$C$1:$C$432,"M1B",Movimientos!$B$1:$B$432,"&lt;="&amp;$B56)</f>
        <v>72386.190000000177</v>
      </c>
      <c r="E56" s="24">
        <f>SUMIFS('Saldos Iniciales'!$D:$D,'Saldos Iniciales'!$A:$A,"Durand")+SUMIFS(Movimientos!$K$1:$K$432,Movimientos!$C$1:$C$432,"Durand",Movimientos!$B$1:$B$432,"&lt;="&amp;$B56)</f>
        <v>1669.89</v>
      </c>
      <c r="F56" s="24">
        <f>SUMIFS('Saldos Iniciales'!$D:$D,'Saldos Iniciales'!$A:$A,"A&amp;M Imports")+SUMIFS(Movimientos!$K$1:$K$432,Movimientos!$C$1:$C$432,"A&amp;M Imports",Movimientos!$B$1:$B$432,"&lt;="&amp;$B56)</f>
        <v>532766.72999999986</v>
      </c>
      <c r="G56" s="24">
        <f>SUMIFS('Saldos Iniciales'!$D:$D,'Saldos Iniciales'!$A:$A,"SSP Capital")+SUMIFS(Movimientos!$K$1:$K$432,Movimientos!$C$1:$C$432,"SSP Capital",Movimientos!$B$1:$B$432,"&lt;="&amp;$B56)</f>
        <v>3325868.6899999995</v>
      </c>
      <c r="H56" s="24">
        <f>SUMIFS('Saldos Iniciales'!$D:$D,'Saldos Iniciales'!$A:$A,"Cross Family Trust")+SUMIFS(Movimientos!$K$1:$K$432,Movimientos!$C$1:$C$432,"Cross Family Trust",Movimientos!$B$1:$B$432,"&lt;="&amp;$B56)</f>
        <v>116496.38</v>
      </c>
      <c r="I56" s="24">
        <f>SUMIFS('Saldos Iniciales'!$D:$D,'Saldos Iniciales'!$A:$A,"Cross Security Trust")+SUMIFS(Movimientos!$K$1:$K$432,Movimientos!$C$1:$C$432,"Cross Security Trust",Movimientos!$B$1:$B$432,"&lt;="&amp;$B56)</f>
        <v>88090.37</v>
      </c>
      <c r="J56" s="24">
        <f>SUMIFS('Saldos Iniciales'!$D:$D,'Saldos Iniciales'!$A:$A,"Electrama")+SUMIFS(Movimientos!$K$1:$K$432,Movimientos!$C$1:$C$432,"Electrama",Movimientos!$B$1:$B$432,"&lt;="&amp;$B56)</f>
        <v>1227.9699999999998</v>
      </c>
      <c r="K56" s="24">
        <f>SUMIFS('Saldos Iniciales'!$D:$D,'Saldos Iniciales'!$A:$A,"Sacred Valley Capital")+SUMIFS(Movimientos!$K$1:$K$432,Movimientos!$C$1:$C$432,"Sacred Valley Capital",Movimientos!$B$1:$B$432,"&lt;="&amp;$B56)</f>
        <v>84.35</v>
      </c>
      <c r="L56" s="24">
        <f>SUMIFS('Saldos Iniciales'!$D:$D,'Saldos Iniciales'!$A:$A,"YWC Capital")+SUMIFS(Movimientos!$K$1:$K$432,Movimientos!$C$1:$C$432,"YWC Capital",Movimientos!$B$1:$B$432,"&lt;="&amp;$B56)</f>
        <v>2237.77</v>
      </c>
      <c r="M56" s="24">
        <f>SUMIFS('Saldos Iniciales'!$D:$D,'Saldos Iniciales'!$A:$A,"Soweto")+SUMIFS(Movimientos!$K$1:$K$432,Movimientos!$C$1:$C$432,"Soweto",Movimientos!$B$1:$B$432,"&lt;="&amp;$B56)</f>
        <v>3349.94</v>
      </c>
      <c r="N56" s="24">
        <f>SUMIFS('Saldos Iniciales'!$D:$D,'Saldos Iniciales'!$A:$A,"Green Stone Trust")+SUMIFS(Movimientos!$K$1:$K$432,Movimientos!$C$1:$C$432,"Green Stone Trust",Movimientos!$B$1:$B$432,"&lt;="&amp;$B56)</f>
        <v>1968.99</v>
      </c>
      <c r="O56" s="24">
        <f>SUMIFS('Saldos Iniciales'!$D:$D,'Saldos Iniciales'!$A:$A,"EC Auto")+SUMIFS(Movimientos!$K$1:$K$432,Movimientos!$C$1:$C$432,"EC Auto",Movimientos!$B$1:$B$432,"&lt;="&amp;$B56)</f>
        <v>382.69000000000005</v>
      </c>
      <c r="P56" s="24">
        <f>SUMIFS('Saldos Iniciales'!$D:$D,'Saldos Iniciales'!$A:$A,"Arbor Capital Properties")+SUMIFS(Movimientos!$K$1:$K$432,Movimientos!$C$1:$C$432,"Arbor Capital Properties",Movimientos!$B$1:$B$432,"&lt;="&amp;$B56)</f>
        <v>1428.08</v>
      </c>
      <c r="Q56" s="24">
        <f>SUMIFS('Saldos Iniciales'!$D:$D,'Saldos Iniciales'!$A:$A,"2515 Overbrook")+SUMIFS(Movimientos!$K$1:$K$432,Movimientos!$C$1:$C$432,"2515 Overbrook",Movimientos!$B$1:$B$432,"&lt;="&amp;$B56)</f>
        <v>31039.969999999961</v>
      </c>
      <c r="R56" s="24">
        <f>SUMIFS('Saldos Iniciales'!$D:$D,'Saldos Iniciales'!$A:$A,"112 Florida Ave")+SUMIFS(Movimientos!$K$1:$K$432,Movimientos!$C$1:$C$432,"112 Florida Ave",Movimientos!$B$1:$B$432,"&lt;="&amp;$B56)</f>
        <v>20321.43</v>
      </c>
      <c r="S56" s="24">
        <f>SUMIFS('Saldos Iniciales'!$D:$D,'Saldos Iniciales'!$A:$A,"3628 Thomas Ave")+SUMIFS(Movimientos!$K$1:$K$432,Movimientos!$C$1:$C$432,"3628 Thomas Ave",Movimientos!$B$1:$B$432,"&lt;="&amp;$B56)</f>
        <v>16681.349999999999</v>
      </c>
      <c r="T56" s="24">
        <f>SUMIFS('Saldos Iniciales'!$D:$D,'Saldos Iniciales'!$A:$A,"Green Harbor Trust")+SUMIFS(Movimientos!$K$1:$K$432,Movimientos!$C$1:$C$432,"Green Harbor Trust",Movimientos!$B$1:$B$432,"&lt;="&amp;$B56)</f>
        <v>345</v>
      </c>
      <c r="U56" s="24">
        <f>SUMIFS('Saldos Iniciales'!$D:$D,'Saldos Iniciales'!$A:$A,"Go Blue")+SUMIFS(Movimientos!$K$1:$K$432,Movimientos!$C$1:$C$432,"Go Blue",Movimientos!$B$1:$B$432,"&lt;="&amp;$B56)</f>
        <v>44687.96</v>
      </c>
      <c r="V56" s="25">
        <f t="shared" ref="V56:V58" si="10">SUM(C56:U56)</f>
        <v>11941435.01</v>
      </c>
    </row>
    <row r="57" spans="1:22" outlineLevel="1" x14ac:dyDescent="0.3">
      <c r="A57" s="22">
        <f t="shared" si="0"/>
        <v>56</v>
      </c>
      <c r="B57" s="23">
        <v>46198</v>
      </c>
      <c r="C57" s="24">
        <f>SUMIFS('Saldos Iniciales'!$D:$D,'Saldos Iniciales'!$A:$A,"CFT Group")+SUMIFS(Movimientos!$K$1:$K$432,Movimientos!$C$1:$C$432,"CFT Group",Movimientos!$B$1:$B$432,"&lt;="&amp;$B57)</f>
        <v>6236526.2600000007</v>
      </c>
      <c r="D57" s="24">
        <f>SUMIFS('Saldos Iniciales'!$D:$D,'Saldos Iniciales'!$A:$A,"M1B")+SUMIFS(Movimientos!$K$1:$K$432,Movimientos!$C$1:$C$432,"M1B",Movimientos!$B$1:$B$432,"&lt;="&amp;$B57)</f>
        <v>72386.190000000177</v>
      </c>
      <c r="E57" s="24">
        <f>SUMIFS('Saldos Iniciales'!$D:$D,'Saldos Iniciales'!$A:$A,"Durand")+SUMIFS(Movimientos!$K$1:$K$432,Movimientos!$C$1:$C$432,"Durand",Movimientos!$B$1:$B$432,"&lt;="&amp;$B57)</f>
        <v>1669.89</v>
      </c>
      <c r="F57" s="24">
        <f>SUMIFS('Saldos Iniciales'!$D:$D,'Saldos Iniciales'!$A:$A,"A&amp;M Imports")+SUMIFS(Movimientos!$K$1:$K$432,Movimientos!$C$1:$C$432,"A&amp;M Imports",Movimientos!$B$1:$B$432,"&lt;="&amp;$B57)</f>
        <v>472766.72999999986</v>
      </c>
      <c r="G57" s="24">
        <f>SUMIFS('Saldos Iniciales'!$D:$D,'Saldos Iniciales'!$A:$A,"SSP Capital")+SUMIFS(Movimientos!$K$1:$K$432,Movimientos!$C$1:$C$432,"SSP Capital",Movimientos!$B$1:$B$432,"&lt;="&amp;$B57)</f>
        <v>1933152.7099999995</v>
      </c>
      <c r="H57" s="24">
        <f>SUMIFS('Saldos Iniciales'!$D:$D,'Saldos Iniciales'!$A:$A,"Cross Family Trust")+SUMIFS(Movimientos!$K$1:$K$432,Movimientos!$C$1:$C$432,"Cross Family Trust",Movimientos!$B$1:$B$432,"&lt;="&amp;$B57)</f>
        <v>1996496.38</v>
      </c>
      <c r="I57" s="24">
        <f>SUMIFS('Saldos Iniciales'!$D:$D,'Saldos Iniciales'!$A:$A,"Cross Security Trust")+SUMIFS(Movimientos!$K$1:$K$432,Movimientos!$C$1:$C$432,"Cross Security Trust",Movimientos!$B$1:$B$432,"&lt;="&amp;$B57)</f>
        <v>88090.37</v>
      </c>
      <c r="J57" s="24">
        <f>SUMIFS('Saldos Iniciales'!$D:$D,'Saldos Iniciales'!$A:$A,"Electrama")+SUMIFS(Movimientos!$K$1:$K$432,Movimientos!$C$1:$C$432,"Electrama",Movimientos!$B$1:$B$432,"&lt;="&amp;$B57)</f>
        <v>1227.9699999999998</v>
      </c>
      <c r="K57" s="24">
        <f>SUMIFS('Saldos Iniciales'!$D:$D,'Saldos Iniciales'!$A:$A,"Sacred Valley Capital")+SUMIFS(Movimientos!$K$1:$K$432,Movimientos!$C$1:$C$432,"Sacred Valley Capital",Movimientos!$B$1:$B$432,"&lt;="&amp;$B57)</f>
        <v>84.35</v>
      </c>
      <c r="L57" s="24">
        <f>SUMIFS('Saldos Iniciales'!$D:$D,'Saldos Iniciales'!$A:$A,"YWC Capital")+SUMIFS(Movimientos!$K$1:$K$432,Movimientos!$C$1:$C$432,"YWC Capital",Movimientos!$B$1:$B$432,"&lt;="&amp;$B57)</f>
        <v>2237.77</v>
      </c>
      <c r="M57" s="24">
        <f>SUMIFS('Saldos Iniciales'!$D:$D,'Saldos Iniciales'!$A:$A,"Soweto")+SUMIFS(Movimientos!$K$1:$K$432,Movimientos!$C$1:$C$432,"Soweto",Movimientos!$B$1:$B$432,"&lt;="&amp;$B57)</f>
        <v>3349.94</v>
      </c>
      <c r="N57" s="24">
        <f>SUMIFS('Saldos Iniciales'!$D:$D,'Saldos Iniciales'!$A:$A,"Green Stone Trust")+SUMIFS(Movimientos!$K$1:$K$432,Movimientos!$C$1:$C$432,"Green Stone Trust",Movimientos!$B$1:$B$432,"&lt;="&amp;$B57)</f>
        <v>1968.99</v>
      </c>
      <c r="O57" s="24">
        <f>SUMIFS('Saldos Iniciales'!$D:$D,'Saldos Iniciales'!$A:$A,"EC Auto")+SUMIFS(Movimientos!$K$1:$K$432,Movimientos!$C$1:$C$432,"EC Auto",Movimientos!$B$1:$B$432,"&lt;="&amp;$B57)</f>
        <v>382.69000000000005</v>
      </c>
      <c r="P57" s="24">
        <f>SUMIFS('Saldos Iniciales'!$D:$D,'Saldos Iniciales'!$A:$A,"Arbor Capital Properties")+SUMIFS(Movimientos!$K$1:$K$432,Movimientos!$C$1:$C$432,"Arbor Capital Properties",Movimientos!$B$1:$B$432,"&lt;="&amp;$B57)</f>
        <v>1428.08</v>
      </c>
      <c r="Q57" s="24">
        <f>SUMIFS('Saldos Iniciales'!$D:$D,'Saldos Iniciales'!$A:$A,"2515 Overbrook")+SUMIFS(Movimientos!$K$1:$K$432,Movimientos!$C$1:$C$432,"2515 Overbrook",Movimientos!$B$1:$B$432,"&lt;="&amp;$B57)</f>
        <v>31039.969999999961</v>
      </c>
      <c r="R57" s="24">
        <f>SUMIFS('Saldos Iniciales'!$D:$D,'Saldos Iniciales'!$A:$A,"112 Florida Ave")+SUMIFS(Movimientos!$K$1:$K$432,Movimientos!$C$1:$C$432,"112 Florida Ave",Movimientos!$B$1:$B$432,"&lt;="&amp;$B57)</f>
        <v>20321.43</v>
      </c>
      <c r="S57" s="24">
        <f>SUMIFS('Saldos Iniciales'!$D:$D,'Saldos Iniciales'!$A:$A,"3628 Thomas Ave")+SUMIFS(Movimientos!$K$1:$K$432,Movimientos!$C$1:$C$432,"3628 Thomas Ave",Movimientos!$B$1:$B$432,"&lt;="&amp;$B57)</f>
        <v>28473.599999999999</v>
      </c>
      <c r="T57" s="24">
        <f>SUMIFS('Saldos Iniciales'!$D:$D,'Saldos Iniciales'!$A:$A,"Green Harbor Trust")+SUMIFS(Movimientos!$K$1:$K$432,Movimientos!$C$1:$C$432,"Green Harbor Trust",Movimientos!$B$1:$B$432,"&lt;="&amp;$B57)</f>
        <v>345</v>
      </c>
      <c r="U57" s="24">
        <f>SUMIFS('Saldos Iniciales'!$D:$D,'Saldos Iniciales'!$A:$A,"Go Blue")+SUMIFS(Movimientos!$K$1:$K$432,Movimientos!$C$1:$C$432,"Go Blue",Movimientos!$B$1:$B$432,"&lt;="&amp;$B57)</f>
        <v>32732.080000000002</v>
      </c>
      <c r="V57" s="25">
        <f t="shared" si="10"/>
        <v>10924680.399999999</v>
      </c>
    </row>
    <row r="58" spans="1:22" outlineLevel="1" x14ac:dyDescent="0.3">
      <c r="A58" s="22">
        <f t="shared" si="0"/>
        <v>57</v>
      </c>
      <c r="B58" s="23">
        <v>46199</v>
      </c>
      <c r="C58" s="24">
        <f>SUMIFS('Saldos Iniciales'!$D:$D,'Saldos Iniciales'!$A:$A,"CFT Group")+SUMIFS(Movimientos!$K$1:$K$432,Movimientos!$C$1:$C$432,"CFT Group",Movimientos!$B$1:$B$432,"&lt;="&amp;$B58)</f>
        <v>6225646.2600000007</v>
      </c>
      <c r="D58" s="24">
        <f>SUMIFS('Saldos Iniciales'!$D:$D,'Saldos Iniciales'!$A:$A,"M1B")+SUMIFS(Movimientos!$K$1:$K$432,Movimientos!$C$1:$C$432,"M1B",Movimientos!$B$1:$B$432,"&lt;="&amp;$B58)</f>
        <v>72386.190000000177</v>
      </c>
      <c r="E58" s="24">
        <f>SUMIFS('Saldos Iniciales'!$D:$D,'Saldos Iniciales'!$A:$A,"Durand")+SUMIFS(Movimientos!$K$1:$K$432,Movimientos!$C$1:$C$432,"Durand",Movimientos!$B$1:$B$432,"&lt;="&amp;$B58)</f>
        <v>1669.89</v>
      </c>
      <c r="F58" s="24">
        <f>SUMIFS('Saldos Iniciales'!$D:$D,'Saldos Iniciales'!$A:$A,"A&amp;M Imports")+SUMIFS(Movimientos!$K$1:$K$432,Movimientos!$C$1:$C$432,"A&amp;M Imports",Movimientos!$B$1:$B$432,"&lt;="&amp;$B58)</f>
        <v>472766.72999999986</v>
      </c>
      <c r="G58" s="24">
        <f>SUMIFS('Saldos Iniciales'!$D:$D,'Saldos Iniciales'!$A:$A,"SSP Capital")+SUMIFS(Movimientos!$K$1:$K$432,Movimientos!$C$1:$C$432,"SSP Capital",Movimientos!$B$1:$B$432,"&lt;="&amp;$B58)</f>
        <v>1932389.7199999993</v>
      </c>
      <c r="H58" s="24">
        <f>SUMIFS('Saldos Iniciales'!$D:$D,'Saldos Iniciales'!$A:$A,"Cross Family Trust")+SUMIFS(Movimientos!$K$1:$K$432,Movimientos!$C$1:$C$432,"Cross Family Trust",Movimientos!$B$1:$B$432,"&lt;="&amp;$B58)</f>
        <v>1396496.38</v>
      </c>
      <c r="I58" s="24">
        <f>SUMIFS('Saldos Iniciales'!$D:$D,'Saldos Iniciales'!$A:$A,"Cross Security Trust")+SUMIFS(Movimientos!$K$1:$K$432,Movimientos!$C$1:$C$432,"Cross Security Trust",Movimientos!$B$1:$B$432,"&lt;="&amp;$B58)</f>
        <v>88090.37</v>
      </c>
      <c r="J58" s="24">
        <f>SUMIFS('Saldos Iniciales'!$D:$D,'Saldos Iniciales'!$A:$A,"Electrama")+SUMIFS(Movimientos!$K$1:$K$432,Movimientos!$C$1:$C$432,"Electrama",Movimientos!$B$1:$B$432,"&lt;="&amp;$B58)</f>
        <v>1227.9699999999998</v>
      </c>
      <c r="K58" s="24">
        <f>SUMIFS('Saldos Iniciales'!$D:$D,'Saldos Iniciales'!$A:$A,"Sacred Valley Capital")+SUMIFS(Movimientos!$K$1:$K$432,Movimientos!$C$1:$C$432,"Sacred Valley Capital",Movimientos!$B$1:$B$432,"&lt;="&amp;$B58)</f>
        <v>84.35</v>
      </c>
      <c r="L58" s="24">
        <f>SUMIFS('Saldos Iniciales'!$D:$D,'Saldos Iniciales'!$A:$A,"YWC Capital")+SUMIFS(Movimientos!$K$1:$K$432,Movimientos!$C$1:$C$432,"YWC Capital",Movimientos!$B$1:$B$432,"&lt;="&amp;$B58)</f>
        <v>2237.77</v>
      </c>
      <c r="M58" s="24">
        <f>SUMIFS('Saldos Iniciales'!$D:$D,'Saldos Iniciales'!$A:$A,"Soweto")+SUMIFS(Movimientos!$K$1:$K$432,Movimientos!$C$1:$C$432,"Soweto",Movimientos!$B$1:$B$432,"&lt;="&amp;$B58)</f>
        <v>3349.94</v>
      </c>
      <c r="N58" s="24">
        <f>SUMIFS('Saldos Iniciales'!$D:$D,'Saldos Iniciales'!$A:$A,"Green Stone Trust")+SUMIFS(Movimientos!$K$1:$K$432,Movimientos!$C$1:$C$432,"Green Stone Trust",Movimientos!$B$1:$B$432,"&lt;="&amp;$B58)</f>
        <v>1968.99</v>
      </c>
      <c r="O58" s="24">
        <f>SUMIFS('Saldos Iniciales'!$D:$D,'Saldos Iniciales'!$A:$A,"EC Auto")+SUMIFS(Movimientos!$K$1:$K$432,Movimientos!$C$1:$C$432,"EC Auto",Movimientos!$B$1:$B$432,"&lt;="&amp;$B58)</f>
        <v>382.69000000000005</v>
      </c>
      <c r="P58" s="24">
        <f>SUMIFS('Saldos Iniciales'!$D:$D,'Saldos Iniciales'!$A:$A,"Arbor Capital Properties")+SUMIFS(Movimientos!$K$1:$K$432,Movimientos!$C$1:$C$432,"Arbor Capital Properties",Movimientos!$B$1:$B$432,"&lt;="&amp;$B58)</f>
        <v>1428.08</v>
      </c>
      <c r="Q58" s="24">
        <f>SUMIFS('Saldos Iniciales'!$D:$D,'Saldos Iniciales'!$A:$A,"2515 Overbrook")+SUMIFS(Movimientos!$K$1:$K$432,Movimientos!$C$1:$C$432,"2515 Overbrook",Movimientos!$B$1:$B$432,"&lt;="&amp;$B58)</f>
        <v>31039.969999999961</v>
      </c>
      <c r="R58" s="24">
        <f>SUMIFS('Saldos Iniciales'!$D:$D,'Saldos Iniciales'!$A:$A,"112 Florida Ave")+SUMIFS(Movimientos!$K$1:$K$432,Movimientos!$C$1:$C$432,"112 Florida Ave",Movimientos!$B$1:$B$432,"&lt;="&amp;$B58)</f>
        <v>20321.43</v>
      </c>
      <c r="S58" s="24">
        <f>SUMIFS('Saldos Iniciales'!$D:$D,'Saldos Iniciales'!$A:$A,"3628 Thomas Ave")+SUMIFS(Movimientos!$K$1:$K$432,Movimientos!$C$1:$C$432,"3628 Thomas Ave",Movimientos!$B$1:$B$432,"&lt;="&amp;$B58)</f>
        <v>28458.6</v>
      </c>
      <c r="T58" s="24">
        <f>SUMIFS('Saldos Iniciales'!$D:$D,'Saldos Iniciales'!$A:$A,"Green Harbor Trust")+SUMIFS(Movimientos!$K$1:$K$432,Movimientos!$C$1:$C$432,"Green Harbor Trust",Movimientos!$B$1:$B$432,"&lt;="&amp;$B58)</f>
        <v>345</v>
      </c>
      <c r="U58" s="24">
        <f>SUMIFS('Saldos Iniciales'!$D:$D,'Saldos Iniciales'!$A:$A,"Go Blue")+SUMIFS(Movimientos!$K$1:$K$432,Movimientos!$C$1:$C$432,"Go Blue",Movimientos!$B$1:$B$432,"&lt;="&amp;$B58)</f>
        <v>24625.29</v>
      </c>
      <c r="V58" s="25">
        <f t="shared" si="10"/>
        <v>10304915.619999995</v>
      </c>
    </row>
    <row r="59" spans="1:22" outlineLevel="1" x14ac:dyDescent="0.3">
      <c r="A59" s="22">
        <f t="shared" si="0"/>
        <v>58</v>
      </c>
      <c r="B59" s="23">
        <v>46200</v>
      </c>
      <c r="C59" s="24">
        <f>SUMIFS('Saldos Iniciales'!$D:$D,'Saldos Iniciales'!$A:$A,"CFT Group")+SUMIFS(Movimientos!$K$1:$K$432,Movimientos!$C$1:$C$432,"CFT Group",Movimientos!$B$1:$B$432,"&lt;="&amp;$B59)</f>
        <v>6225646.2600000007</v>
      </c>
      <c r="D59" s="24">
        <f>SUMIFS('Saldos Iniciales'!$D:$D,'Saldos Iniciales'!$A:$A,"M1B")+SUMIFS(Movimientos!$K$1:$K$432,Movimientos!$C$1:$C$432,"M1B",Movimientos!$B$1:$B$432,"&lt;="&amp;$B59)</f>
        <v>72386.190000000177</v>
      </c>
      <c r="E59" s="24">
        <f>SUMIFS('Saldos Iniciales'!$D:$D,'Saldos Iniciales'!$A:$A,"Durand")+SUMIFS(Movimientos!$K$1:$K$432,Movimientos!$C$1:$C$432,"Durand",Movimientos!$B$1:$B$432,"&lt;="&amp;$B59)</f>
        <v>1669.89</v>
      </c>
      <c r="F59" s="24">
        <f>SUMIFS('Saldos Iniciales'!$D:$D,'Saldos Iniciales'!$A:$A,"A&amp;M Imports")+SUMIFS(Movimientos!$K$1:$K$432,Movimientos!$C$1:$C$432,"A&amp;M Imports",Movimientos!$B$1:$B$432,"&lt;="&amp;$B59)</f>
        <v>472766.72999999986</v>
      </c>
      <c r="G59" s="24">
        <f>SUMIFS('Saldos Iniciales'!$D:$D,'Saldos Iniciales'!$A:$A,"SSP Capital")+SUMIFS(Movimientos!$K$1:$K$432,Movimientos!$C$1:$C$432,"SSP Capital",Movimientos!$B$1:$B$432,"&lt;="&amp;$B59)</f>
        <v>1932389.7199999993</v>
      </c>
      <c r="H59" s="24">
        <f>SUMIFS('Saldos Iniciales'!$D:$D,'Saldos Iniciales'!$A:$A,"Cross Family Trust")+SUMIFS(Movimientos!$K$1:$K$432,Movimientos!$C$1:$C$432,"Cross Family Trust",Movimientos!$B$1:$B$432,"&lt;="&amp;$B59)</f>
        <v>1396496.38</v>
      </c>
      <c r="I59" s="24">
        <f>SUMIFS('Saldos Iniciales'!$D:$D,'Saldos Iniciales'!$A:$A,"Cross Security Trust")+SUMIFS(Movimientos!$K$1:$K$432,Movimientos!$C$1:$C$432,"Cross Security Trust",Movimientos!$B$1:$B$432,"&lt;="&amp;$B59)</f>
        <v>88090.37</v>
      </c>
      <c r="J59" s="24">
        <f>SUMIFS('Saldos Iniciales'!$D:$D,'Saldos Iniciales'!$A:$A,"Electrama")+SUMIFS(Movimientos!$K$1:$K$432,Movimientos!$C$1:$C$432,"Electrama",Movimientos!$B$1:$B$432,"&lt;="&amp;$B59)</f>
        <v>1227.9699999999998</v>
      </c>
      <c r="K59" s="24">
        <f>SUMIFS('Saldos Iniciales'!$D:$D,'Saldos Iniciales'!$A:$A,"Sacred Valley Capital")+SUMIFS(Movimientos!$K$1:$K$432,Movimientos!$C$1:$C$432,"Sacred Valley Capital",Movimientos!$B$1:$B$432,"&lt;="&amp;$B59)</f>
        <v>84.35</v>
      </c>
      <c r="L59" s="24">
        <f>SUMIFS('Saldos Iniciales'!$D:$D,'Saldos Iniciales'!$A:$A,"YWC Capital")+SUMIFS(Movimientos!$K$1:$K$432,Movimientos!$C$1:$C$432,"YWC Capital",Movimientos!$B$1:$B$432,"&lt;="&amp;$B59)</f>
        <v>2237.77</v>
      </c>
      <c r="M59" s="24">
        <f>SUMIFS('Saldos Iniciales'!$D:$D,'Saldos Iniciales'!$A:$A,"Soweto")+SUMIFS(Movimientos!$K$1:$K$432,Movimientos!$C$1:$C$432,"Soweto",Movimientos!$B$1:$B$432,"&lt;="&amp;$B59)</f>
        <v>3349.94</v>
      </c>
      <c r="N59" s="24">
        <f>SUMIFS('Saldos Iniciales'!$D:$D,'Saldos Iniciales'!$A:$A,"Green Stone Trust")+SUMIFS(Movimientos!$K$1:$K$432,Movimientos!$C$1:$C$432,"Green Stone Trust",Movimientos!$B$1:$B$432,"&lt;="&amp;$B59)</f>
        <v>1968.99</v>
      </c>
      <c r="O59" s="24">
        <f>SUMIFS('Saldos Iniciales'!$D:$D,'Saldos Iniciales'!$A:$A,"EC Auto")+SUMIFS(Movimientos!$K$1:$K$432,Movimientos!$C$1:$C$432,"EC Auto",Movimientos!$B$1:$B$432,"&lt;="&amp;$B59)</f>
        <v>382.69000000000005</v>
      </c>
      <c r="P59" s="24">
        <f>SUMIFS('Saldos Iniciales'!$D:$D,'Saldos Iniciales'!$A:$A,"Arbor Capital Properties")+SUMIFS(Movimientos!$K$1:$K$432,Movimientos!$C$1:$C$432,"Arbor Capital Properties",Movimientos!$B$1:$B$432,"&lt;="&amp;$B59)</f>
        <v>1428.08</v>
      </c>
      <c r="Q59" s="24">
        <f>SUMIFS('Saldos Iniciales'!$D:$D,'Saldos Iniciales'!$A:$A,"2515 Overbrook")+SUMIFS(Movimientos!$K$1:$K$432,Movimientos!$C$1:$C$432,"2515 Overbrook",Movimientos!$B$1:$B$432,"&lt;="&amp;$B59)</f>
        <v>31039.969999999961</v>
      </c>
      <c r="R59" s="24">
        <f>SUMIFS('Saldos Iniciales'!$D:$D,'Saldos Iniciales'!$A:$A,"112 Florida Ave")+SUMIFS(Movimientos!$K$1:$K$432,Movimientos!$C$1:$C$432,"112 Florida Ave",Movimientos!$B$1:$B$432,"&lt;="&amp;$B59)</f>
        <v>20321.43</v>
      </c>
      <c r="S59" s="24">
        <f>SUMIFS('Saldos Iniciales'!$D:$D,'Saldos Iniciales'!$A:$A,"3628 Thomas Ave")+SUMIFS(Movimientos!$K$1:$K$432,Movimientos!$C$1:$C$432,"3628 Thomas Ave",Movimientos!$B$1:$B$432,"&lt;="&amp;$B59)</f>
        <v>28458.6</v>
      </c>
      <c r="T59" s="24">
        <f>SUMIFS('Saldos Iniciales'!$D:$D,'Saldos Iniciales'!$A:$A,"Green Harbor Trust")+SUMIFS(Movimientos!$K$1:$K$432,Movimientos!$C$1:$C$432,"Green Harbor Trust",Movimientos!$B$1:$B$432,"&lt;="&amp;$B59)</f>
        <v>345</v>
      </c>
      <c r="U59" s="24">
        <f>SUMIFS('Saldos Iniciales'!$D:$D,'Saldos Iniciales'!$A:$A,"Go Blue")+SUMIFS(Movimientos!$K$1:$K$432,Movimientos!$C$1:$C$432,"Go Blue",Movimientos!$B$1:$B$432,"&lt;="&amp;$B59)</f>
        <v>24625.29</v>
      </c>
      <c r="V59" s="25">
        <f t="shared" ref="V59" si="11">SUM(C59:U59)</f>
        <v>10304915.619999995</v>
      </c>
    </row>
    <row r="60" spans="1:22" outlineLevel="1" x14ac:dyDescent="0.3">
      <c r="A60" s="22">
        <f>+A59+1</f>
        <v>59</v>
      </c>
      <c r="B60" s="23">
        <v>46201</v>
      </c>
      <c r="C60" s="24">
        <f>SUMIFS('Saldos Iniciales'!$D:$D,'Saldos Iniciales'!$A:$A,"CFT Group")+SUMIFS(Movimientos!$K$1:$K$432,Movimientos!$C$1:$C$432,"CFT Group",Movimientos!$B$1:$B$432,"&lt;="&amp;$B60)</f>
        <v>6225646.2600000007</v>
      </c>
      <c r="D60" s="24">
        <f>SUMIFS('Saldos Iniciales'!$D:$D,'Saldos Iniciales'!$A:$A,"M1B")+SUMIFS(Movimientos!$K$1:$K$432,Movimientos!$C$1:$C$432,"M1B",Movimientos!$B$1:$B$432,"&lt;="&amp;$B60)</f>
        <v>72386.190000000177</v>
      </c>
      <c r="E60" s="24">
        <f>SUMIFS('Saldos Iniciales'!$D:$D,'Saldos Iniciales'!$A:$A,"Durand")+SUMIFS(Movimientos!$K$1:$K$432,Movimientos!$C$1:$C$432,"Durand",Movimientos!$B$1:$B$432,"&lt;="&amp;$B60)</f>
        <v>1669.89</v>
      </c>
      <c r="F60" s="24">
        <f>SUMIFS('Saldos Iniciales'!$D:$D,'Saldos Iniciales'!$A:$A,"A&amp;M Imports")+SUMIFS(Movimientos!$K$1:$K$432,Movimientos!$C$1:$C$432,"A&amp;M Imports",Movimientos!$B$1:$B$432,"&lt;="&amp;$B60)</f>
        <v>472766.72999999986</v>
      </c>
      <c r="G60" s="24">
        <f>SUMIFS('Saldos Iniciales'!$D:$D,'Saldos Iniciales'!$A:$A,"SSP Capital")+SUMIFS(Movimientos!$K$1:$K$432,Movimientos!$C$1:$C$432,"SSP Capital",Movimientos!$B$1:$B$432,"&lt;="&amp;$B60)</f>
        <v>1932389.7199999993</v>
      </c>
      <c r="H60" s="24">
        <f>SUMIFS('Saldos Iniciales'!$D:$D,'Saldos Iniciales'!$A:$A,"Cross Family Trust")+SUMIFS(Movimientos!$K$1:$K$432,Movimientos!$C$1:$C$432,"Cross Family Trust",Movimientos!$B$1:$B$432,"&lt;="&amp;$B60)</f>
        <v>1396496.38</v>
      </c>
      <c r="I60" s="24">
        <f>SUMIFS('Saldos Iniciales'!$D:$D,'Saldos Iniciales'!$A:$A,"Cross Security Trust")+SUMIFS(Movimientos!$K$1:$K$432,Movimientos!$C$1:$C$432,"Cross Security Trust",Movimientos!$B$1:$B$432,"&lt;="&amp;$B60)</f>
        <v>88090.37</v>
      </c>
      <c r="J60" s="24">
        <f>SUMIFS('Saldos Iniciales'!$D:$D,'Saldos Iniciales'!$A:$A,"Electrama")+SUMIFS(Movimientos!$K$1:$K$432,Movimientos!$C$1:$C$432,"Electrama",Movimientos!$B$1:$B$432,"&lt;="&amp;$B60)</f>
        <v>1227.9699999999998</v>
      </c>
      <c r="K60" s="24">
        <f>SUMIFS('Saldos Iniciales'!$D:$D,'Saldos Iniciales'!$A:$A,"Sacred Valley Capital")+SUMIFS(Movimientos!$K$1:$K$432,Movimientos!$C$1:$C$432,"Sacred Valley Capital",Movimientos!$B$1:$B$432,"&lt;="&amp;$B60)</f>
        <v>84.35</v>
      </c>
      <c r="L60" s="24">
        <f>SUMIFS('Saldos Iniciales'!$D:$D,'Saldos Iniciales'!$A:$A,"YWC Capital")+SUMIFS(Movimientos!$K$1:$K$432,Movimientos!$C$1:$C$432,"YWC Capital",Movimientos!$B$1:$B$432,"&lt;="&amp;$B60)</f>
        <v>2237.77</v>
      </c>
      <c r="M60" s="24">
        <f>SUMIFS('Saldos Iniciales'!$D:$D,'Saldos Iniciales'!$A:$A,"Soweto")+SUMIFS(Movimientos!$K$1:$K$432,Movimientos!$C$1:$C$432,"Soweto",Movimientos!$B$1:$B$432,"&lt;="&amp;$B60)</f>
        <v>3349.94</v>
      </c>
      <c r="N60" s="24">
        <f>SUMIFS('Saldos Iniciales'!$D:$D,'Saldos Iniciales'!$A:$A,"Green Stone Trust")+SUMIFS(Movimientos!$K$1:$K$432,Movimientos!$C$1:$C$432,"Green Stone Trust",Movimientos!$B$1:$B$432,"&lt;="&amp;$B60)</f>
        <v>1968.99</v>
      </c>
      <c r="O60" s="24">
        <f>SUMIFS('Saldos Iniciales'!$D:$D,'Saldos Iniciales'!$A:$A,"EC Auto")+SUMIFS(Movimientos!$K$1:$K$432,Movimientos!$C$1:$C$432,"EC Auto",Movimientos!$B$1:$B$432,"&lt;="&amp;$B60)</f>
        <v>382.69000000000005</v>
      </c>
      <c r="P60" s="24">
        <f>SUMIFS('Saldos Iniciales'!$D:$D,'Saldos Iniciales'!$A:$A,"Arbor Capital Properties")+SUMIFS(Movimientos!$K$1:$K$432,Movimientos!$C$1:$C$432,"Arbor Capital Properties",Movimientos!$B$1:$B$432,"&lt;="&amp;$B60)</f>
        <v>1428.08</v>
      </c>
      <c r="Q60" s="24">
        <f>SUMIFS('Saldos Iniciales'!$D:$D,'Saldos Iniciales'!$A:$A,"2515 Overbrook")+SUMIFS(Movimientos!$K$1:$K$432,Movimientos!$C$1:$C$432,"2515 Overbrook",Movimientos!$B$1:$B$432,"&lt;="&amp;$B60)</f>
        <v>31039.969999999961</v>
      </c>
      <c r="R60" s="24">
        <f>SUMIFS('Saldos Iniciales'!$D:$D,'Saldos Iniciales'!$A:$A,"112 Florida Ave")+SUMIFS(Movimientos!$K$1:$K$432,Movimientos!$C$1:$C$432,"112 Florida Ave",Movimientos!$B$1:$B$432,"&lt;="&amp;$B60)</f>
        <v>20321.43</v>
      </c>
      <c r="S60" s="24">
        <f>SUMIFS('Saldos Iniciales'!$D:$D,'Saldos Iniciales'!$A:$A,"3628 Thomas Ave")+SUMIFS(Movimientos!$K$1:$K$432,Movimientos!$C$1:$C$432,"3628 Thomas Ave",Movimientos!$B$1:$B$432,"&lt;="&amp;$B60)</f>
        <v>28458.6</v>
      </c>
      <c r="T60" s="24">
        <f>SUMIFS('Saldos Iniciales'!$D:$D,'Saldos Iniciales'!$A:$A,"Green Harbor Trust")+SUMIFS(Movimientos!$K$1:$K$432,Movimientos!$C$1:$C$432,"Green Harbor Trust",Movimientos!$B$1:$B$432,"&lt;="&amp;$B60)</f>
        <v>345</v>
      </c>
      <c r="U60" s="24">
        <f>SUMIFS('Saldos Iniciales'!$D:$D,'Saldos Iniciales'!$A:$A,"Go Blue")+SUMIFS(Movimientos!$K$1:$K$432,Movimientos!$C$1:$C$432,"Go Blue",Movimientos!$B$1:$B$432,"&lt;="&amp;$B60)</f>
        <v>24625.29</v>
      </c>
      <c r="V60" s="25">
        <f>SUM(C60:U60)</f>
        <v>10304915.619999995</v>
      </c>
    </row>
    <row r="61" spans="1:22" outlineLevel="1" x14ac:dyDescent="0.3">
      <c r="A61" s="22">
        <f>+A60+1</f>
        <v>60</v>
      </c>
      <c r="B61" s="23">
        <v>46202</v>
      </c>
      <c r="C61" s="24">
        <f>SUMIFS('Saldos Iniciales'!$D:$D,'Saldos Iniciales'!$A:$A,"CFT Group")+SUMIFS(Movimientos!$K$1:$K$432,Movimientos!$C$1:$C$432,"CFT Group",Movimientos!$B$1:$B$432,"&lt;="&amp;$B61)</f>
        <v>6236765.3600000013</v>
      </c>
      <c r="D61" s="24">
        <f>SUMIFS('Saldos Iniciales'!$D:$D,'Saldos Iniciales'!$A:$A,"M1B")+SUMIFS(Movimientos!$K$1:$K$432,Movimientos!$C$1:$C$432,"M1B",Movimientos!$B$1:$B$432,"&lt;="&amp;$B61)</f>
        <v>72386.190000000177</v>
      </c>
      <c r="E61" s="24">
        <f>SUMIFS('Saldos Iniciales'!$D:$D,'Saldos Iniciales'!$A:$A,"Durand")+SUMIFS(Movimientos!$K$1:$K$432,Movimientos!$C$1:$C$432,"Durand",Movimientos!$B$1:$B$432,"&lt;="&amp;$B61)</f>
        <v>1669.89</v>
      </c>
      <c r="F61" s="24">
        <f>SUMIFS('Saldos Iniciales'!$D:$D,'Saldos Iniciales'!$A:$A,"A&amp;M Imports")+SUMIFS(Movimientos!$K$1:$K$432,Movimientos!$C$1:$C$432,"A&amp;M Imports",Movimientos!$B$1:$B$432,"&lt;="&amp;$B61)</f>
        <v>489745.62999999989</v>
      </c>
      <c r="G61" s="24">
        <f>SUMIFS('Saldos Iniciales'!$D:$D,'Saldos Iniciales'!$A:$A,"SSP Capital")+SUMIFS(Movimientos!$K$1:$K$432,Movimientos!$C$1:$C$432,"SSP Capital",Movimientos!$B$1:$B$432,"&lt;="&amp;$B61)</f>
        <v>1768167.9199999995</v>
      </c>
      <c r="H61" s="24">
        <f>SUMIFS('Saldos Iniciales'!$D:$D,'Saldos Iniciales'!$A:$A,"Cross Family Trust")+SUMIFS(Movimientos!$K$1:$K$432,Movimientos!$C$1:$C$432,"Cross Family Trust",Movimientos!$B$1:$B$432,"&lt;="&amp;$B61)</f>
        <v>396496.38</v>
      </c>
      <c r="I61" s="24">
        <f>SUMIFS('Saldos Iniciales'!$D:$D,'Saldos Iniciales'!$A:$A,"Cross Security Trust")+SUMIFS(Movimientos!$K$1:$K$432,Movimientos!$C$1:$C$432,"Cross Security Trust",Movimientos!$B$1:$B$432,"&lt;="&amp;$B61)</f>
        <v>88090.37</v>
      </c>
      <c r="J61" s="24">
        <f>SUMIFS('Saldos Iniciales'!$D:$D,'Saldos Iniciales'!$A:$A,"Electrama")+SUMIFS(Movimientos!$K$1:$K$432,Movimientos!$C$1:$C$432,"Electrama",Movimientos!$B$1:$B$432,"&lt;="&amp;$B61)</f>
        <v>1227.9699999999998</v>
      </c>
      <c r="K61" s="24">
        <f>SUMIFS('Saldos Iniciales'!$D:$D,'Saldos Iniciales'!$A:$A,"Sacred Valley Capital")+SUMIFS(Movimientos!$K$1:$K$432,Movimientos!$C$1:$C$432,"Sacred Valley Capital",Movimientos!$B$1:$B$432,"&lt;="&amp;$B61)</f>
        <v>84.35</v>
      </c>
      <c r="L61" s="24">
        <f>SUMIFS('Saldos Iniciales'!$D:$D,'Saldos Iniciales'!$A:$A,"YWC Capital")+SUMIFS(Movimientos!$K$1:$K$432,Movimientos!$C$1:$C$432,"YWC Capital",Movimientos!$B$1:$B$432,"&lt;="&amp;$B61)</f>
        <v>2237.77</v>
      </c>
      <c r="M61" s="24">
        <f>SUMIFS('Saldos Iniciales'!$D:$D,'Saldos Iniciales'!$A:$A,"Soweto")+SUMIFS(Movimientos!$K$1:$K$432,Movimientos!$C$1:$C$432,"Soweto",Movimientos!$B$1:$B$432,"&lt;="&amp;$B61)</f>
        <v>3349.94</v>
      </c>
      <c r="N61" s="24">
        <f>SUMIFS('Saldos Iniciales'!$D:$D,'Saldos Iniciales'!$A:$A,"Green Stone Trust")+SUMIFS(Movimientos!$K$1:$K$432,Movimientos!$C$1:$C$432,"Green Stone Trust",Movimientos!$B$1:$B$432,"&lt;="&amp;$B61)</f>
        <v>1968.99</v>
      </c>
      <c r="O61" s="24">
        <f>SUMIFS('Saldos Iniciales'!$D:$D,'Saldos Iniciales'!$A:$A,"EC Auto")+SUMIFS(Movimientos!$K$1:$K$432,Movimientos!$C$1:$C$432,"EC Auto",Movimientos!$B$1:$B$432,"&lt;="&amp;$B61)</f>
        <v>382.69000000000005</v>
      </c>
      <c r="P61" s="24">
        <f>SUMIFS('Saldos Iniciales'!$D:$D,'Saldos Iniciales'!$A:$A,"Arbor Capital Properties")+SUMIFS(Movimientos!$K$1:$K$432,Movimientos!$C$1:$C$432,"Arbor Capital Properties",Movimientos!$B$1:$B$432,"&lt;="&amp;$B61)</f>
        <v>1428.08</v>
      </c>
      <c r="Q61" s="24">
        <f>SUMIFS('Saldos Iniciales'!$D:$D,'Saldos Iniciales'!$A:$A,"2515 Overbrook")+SUMIFS(Movimientos!$K$1:$K$432,Movimientos!$C$1:$C$432,"2515 Overbrook",Movimientos!$B$1:$B$432,"&lt;="&amp;$B61)</f>
        <v>31039.969999999961</v>
      </c>
      <c r="R61" s="24">
        <f>SUMIFS('Saldos Iniciales'!$D:$D,'Saldos Iniciales'!$A:$A,"112 Florida Ave")+SUMIFS(Movimientos!$K$1:$K$432,Movimientos!$C$1:$C$432,"112 Florida Ave",Movimientos!$B$1:$B$432,"&lt;="&amp;$B61)</f>
        <v>20321.43</v>
      </c>
      <c r="S61" s="24">
        <f>SUMIFS('Saldos Iniciales'!$D:$D,'Saldos Iniciales'!$A:$A,"3628 Thomas Ave")+SUMIFS(Movimientos!$K$1:$K$432,Movimientos!$C$1:$C$432,"3628 Thomas Ave",Movimientos!$B$1:$B$432,"&lt;="&amp;$B61)</f>
        <v>28458.6</v>
      </c>
      <c r="T61" s="24">
        <f>SUMIFS('Saldos Iniciales'!$D:$D,'Saldos Iniciales'!$A:$A,"Green Harbor Trust")+SUMIFS(Movimientos!$K$1:$K$432,Movimientos!$C$1:$C$432,"Green Harbor Trust",Movimientos!$B$1:$B$432,"&lt;="&amp;$B61)</f>
        <v>345</v>
      </c>
      <c r="U61" s="24">
        <f>SUMIFS('Saldos Iniciales'!$D:$D,'Saldos Iniciales'!$A:$A,"Go Blue")+SUMIFS(Movimientos!$K$1:$K$432,Movimientos!$C$1:$C$432,"Go Blue",Movimientos!$B$1:$B$432,"&lt;="&amp;$B61)</f>
        <v>18579.43</v>
      </c>
      <c r="V61" s="25">
        <f t="shared" ref="V61:V62" si="12">SUM(C61:U61)</f>
        <v>9162745.959999999</v>
      </c>
    </row>
    <row r="62" spans="1:22" outlineLevel="1" x14ac:dyDescent="0.3">
      <c r="A62" s="22">
        <f>+A61+1</f>
        <v>61</v>
      </c>
      <c r="B62" s="23">
        <v>46203</v>
      </c>
      <c r="C62" s="24">
        <f>SUMIFS('Saldos Iniciales'!$D:$D,'Saldos Iniciales'!$A:$A,"CFT Group")+SUMIFS(Movimientos!$K$1:$K$432,Movimientos!$C$1:$C$432,"CFT Group",Movimientos!$B$1:$B$432,"&lt;="&amp;$B62)</f>
        <v>6233176.3000000007</v>
      </c>
      <c r="D62" s="24">
        <f>SUMIFS('Saldos Iniciales'!$D:$D,'Saldos Iniciales'!$A:$A,"M1B")+SUMIFS(Movimientos!$K$1:$K$432,Movimientos!$C$1:$C$432,"M1B",Movimientos!$B$1:$B$432,"&lt;="&amp;$B62)</f>
        <v>79139.680000000168</v>
      </c>
      <c r="E62" s="24">
        <f>SUMIFS('Saldos Iniciales'!$D:$D,'Saldos Iniciales'!$A:$A,"Durand")+SUMIFS(Movimientos!$K$1:$K$432,Movimientos!$C$1:$C$432,"Durand",Movimientos!$B$1:$B$432,"&lt;="&amp;$B62)</f>
        <v>1669.89</v>
      </c>
      <c r="F62" s="24">
        <f>SUMIFS('Saldos Iniciales'!$D:$D,'Saldos Iniciales'!$A:$A,"A&amp;M Imports")+SUMIFS(Movimientos!$K$1:$K$432,Movimientos!$C$1:$C$432,"A&amp;M Imports",Movimientos!$B$1:$B$432,"&lt;="&amp;$B62)</f>
        <v>489745.62999999989</v>
      </c>
      <c r="G62" s="24">
        <f>SUMIFS('Saldos Iniciales'!$D:$D,'Saldos Iniciales'!$A:$A,"SSP Capital")+SUMIFS(Movimientos!$K$1:$K$432,Movimientos!$C$1:$C$432,"SSP Capital",Movimientos!$B$1:$B$432,"&lt;="&amp;$B62)</f>
        <v>1696284.7299999995</v>
      </c>
      <c r="H62" s="24">
        <f>SUMIFS('Saldos Iniciales'!$D:$D,'Saldos Iniciales'!$A:$A,"Cross Family Trust")+SUMIFS(Movimientos!$K$1:$K$432,Movimientos!$C$1:$C$432,"Cross Family Trust",Movimientos!$B$1:$B$432,"&lt;="&amp;$B62)</f>
        <v>390496.38</v>
      </c>
      <c r="I62" s="24">
        <f>SUMIFS('Saldos Iniciales'!$D:$D,'Saldos Iniciales'!$A:$A,"Cross Security Trust")+SUMIFS(Movimientos!$K$1:$K$432,Movimientos!$C$1:$C$432,"Cross Security Trust",Movimientos!$B$1:$B$432,"&lt;="&amp;$B62)</f>
        <v>88090.37</v>
      </c>
      <c r="J62" s="24">
        <f>SUMIFS('Saldos Iniciales'!$D:$D,'Saldos Iniciales'!$A:$A,"Electrama")+SUMIFS(Movimientos!$K$1:$K$432,Movimientos!$C$1:$C$432,"Electrama",Movimientos!$B$1:$B$432,"&lt;="&amp;$B62)</f>
        <v>1227.9699999999998</v>
      </c>
      <c r="K62" s="24">
        <f>SUMIFS('Saldos Iniciales'!$D:$D,'Saldos Iniciales'!$A:$A,"Sacred Valley Capital")+SUMIFS(Movimientos!$K$1:$K$432,Movimientos!$C$1:$C$432,"Sacred Valley Capital",Movimientos!$B$1:$B$432,"&lt;="&amp;$B62)</f>
        <v>84.35</v>
      </c>
      <c r="L62" s="24">
        <f>SUMIFS('Saldos Iniciales'!$D:$D,'Saldos Iniciales'!$A:$A,"YWC Capital")+SUMIFS(Movimientos!$K$1:$K$432,Movimientos!$C$1:$C$432,"YWC Capital",Movimientos!$B$1:$B$432,"&lt;="&amp;$B62)</f>
        <v>2237.77</v>
      </c>
      <c r="M62" s="24">
        <f>SUMIFS('Saldos Iniciales'!$D:$D,'Saldos Iniciales'!$A:$A,"Soweto")+SUMIFS(Movimientos!$K$1:$K$432,Movimientos!$C$1:$C$432,"Soweto",Movimientos!$B$1:$B$432,"&lt;="&amp;$B62)</f>
        <v>3349.94</v>
      </c>
      <c r="N62" s="24">
        <f>SUMIFS('Saldos Iniciales'!$D:$D,'Saldos Iniciales'!$A:$A,"Green Stone Trust")+SUMIFS(Movimientos!$K$1:$K$432,Movimientos!$C$1:$C$432,"Green Stone Trust",Movimientos!$B$1:$B$432,"&lt;="&amp;$B62)</f>
        <v>1968.99</v>
      </c>
      <c r="O62" s="24">
        <f>SUMIFS('Saldos Iniciales'!$D:$D,'Saldos Iniciales'!$A:$A,"EC Auto")+SUMIFS(Movimientos!$K$1:$K$432,Movimientos!$C$1:$C$432,"EC Auto",Movimientos!$B$1:$B$432,"&lt;="&amp;$B62)</f>
        <v>382.69000000000005</v>
      </c>
      <c r="P62" s="24">
        <f>SUMIFS('Saldos Iniciales'!$D:$D,'Saldos Iniciales'!$A:$A,"Arbor Capital Properties")+SUMIFS(Movimientos!$K$1:$K$432,Movimientos!$C$1:$C$432,"Arbor Capital Properties",Movimientos!$B$1:$B$432,"&lt;="&amp;$B62)</f>
        <v>1428.08</v>
      </c>
      <c r="Q62" s="24">
        <f>SUMIFS('Saldos Iniciales'!$D:$D,'Saldos Iniciales'!$A:$A,"2515 Overbrook")+SUMIFS(Movimientos!$K$1:$K$432,Movimientos!$C$1:$C$432,"2515 Overbrook",Movimientos!$B$1:$B$432,"&lt;="&amp;$B62)</f>
        <v>31039.969999999961</v>
      </c>
      <c r="R62" s="24">
        <f>SUMIFS('Saldos Iniciales'!$D:$D,'Saldos Iniciales'!$A:$A,"112 Florida Ave")+SUMIFS(Movimientos!$K$1:$K$432,Movimientos!$C$1:$C$432,"112 Florida Ave",Movimientos!$B$1:$B$432,"&lt;="&amp;$B62)</f>
        <v>20321.43</v>
      </c>
      <c r="S62" s="24">
        <f>SUMIFS('Saldos Iniciales'!$D:$D,'Saldos Iniciales'!$A:$A,"3628 Thomas Ave")+SUMIFS(Movimientos!$K$1:$K$432,Movimientos!$C$1:$C$432,"3628 Thomas Ave",Movimientos!$B$1:$B$432,"&lt;="&amp;$B62)</f>
        <v>28458.6</v>
      </c>
      <c r="T62" s="24">
        <f>SUMIFS('Saldos Iniciales'!$D:$D,'Saldos Iniciales'!$A:$A,"Green Harbor Trust")+SUMIFS(Movimientos!$K$1:$K$432,Movimientos!$C$1:$C$432,"Green Harbor Trust",Movimientos!$B$1:$B$432,"&lt;="&amp;$B62)</f>
        <v>345</v>
      </c>
      <c r="U62" s="24">
        <f>SUMIFS('Saldos Iniciales'!$D:$D,'Saldos Iniciales'!$A:$A,"Go Blue")+SUMIFS(Movimientos!$K$1:$K$432,Movimientos!$C$1:$C$432,"Go Blue",Movimientos!$B$1:$B$432,"&lt;="&amp;$B62)</f>
        <v>18579.43</v>
      </c>
      <c r="V62" s="25">
        <f t="shared" si="12"/>
        <v>9088027.1999999993</v>
      </c>
    </row>
  </sheetData>
  <conditionalFormatting sqref="C2:V62">
    <cfRule type="cellIs" dxfId="4" priority="1" operator="lessThan">
      <formula>0</formula>
    </cfRule>
  </conditionalFormatting>
  <conditionalFormatting sqref="V2:V62">
    <cfRule type="cellIs" dxfId="3" priority="2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960528-37AA-49ED-B3F0-922AD496D11C}">
  <sheetPr>
    <tabColor rgb="FFFF0000"/>
  </sheetPr>
  <dimension ref="A1:J1160"/>
  <sheetViews>
    <sheetView zoomScale="80" zoomScaleNormal="80" workbookViewId="0">
      <pane ySplit="1" topLeftCell="A1141" activePane="bottomLeft" state="frozen"/>
      <selection pane="bottomLeft" activeCell="E14" sqref="E14"/>
    </sheetView>
  </sheetViews>
  <sheetFormatPr baseColWidth="10" defaultRowHeight="14.4" x14ac:dyDescent="0.3"/>
  <cols>
    <col min="1" max="1" width="21.88671875" bestFit="1" customWidth="1"/>
    <col min="2" max="2" width="14" bestFit="1" customWidth="1"/>
    <col min="3" max="3" width="10.5546875" style="16" bestFit="1" customWidth="1"/>
    <col min="4" max="4" width="11" bestFit="1" customWidth="1"/>
  </cols>
  <sheetData>
    <row r="1" spans="1:10" s="62" customFormat="1" ht="21" customHeight="1" x14ac:dyDescent="0.3">
      <c r="A1" s="62" t="s">
        <v>2</v>
      </c>
      <c r="B1" s="62" t="s">
        <v>130</v>
      </c>
      <c r="C1" s="63" t="s">
        <v>173</v>
      </c>
      <c r="D1" s="62" t="s">
        <v>131</v>
      </c>
      <c r="G1" s="64" t="s">
        <v>2</v>
      </c>
      <c r="H1" s="65" t="s">
        <v>130</v>
      </c>
      <c r="I1" s="66" t="s">
        <v>173</v>
      </c>
      <c r="J1" s="67" t="s">
        <v>131</v>
      </c>
    </row>
    <row r="2" spans="1:10" x14ac:dyDescent="0.3">
      <c r="A2" s="73" t="s">
        <v>17</v>
      </c>
      <c r="B2" s="73"/>
      <c r="C2" s="16">
        <v>46143</v>
      </c>
      <c r="D2">
        <v>200763.43000000025</v>
      </c>
    </row>
    <row r="3" spans="1:10" x14ac:dyDescent="0.3">
      <c r="A3" s="73" t="s">
        <v>18</v>
      </c>
      <c r="B3" s="73"/>
      <c r="C3" s="16">
        <v>46143</v>
      </c>
      <c r="D3">
        <v>51288.029999999948</v>
      </c>
    </row>
    <row r="4" spans="1:10" x14ac:dyDescent="0.3">
      <c r="A4" s="73" t="s">
        <v>19</v>
      </c>
      <c r="B4" s="73"/>
      <c r="C4" s="16">
        <v>46143</v>
      </c>
      <c r="D4">
        <v>1669.89</v>
      </c>
    </row>
    <row r="5" spans="1:10" x14ac:dyDescent="0.3">
      <c r="A5" s="73" t="s">
        <v>20</v>
      </c>
      <c r="B5" s="73"/>
      <c r="C5" s="16">
        <v>46143</v>
      </c>
      <c r="D5">
        <v>589990.30000000005</v>
      </c>
    </row>
    <row r="6" spans="1:10" x14ac:dyDescent="0.3">
      <c r="A6" s="73" t="s">
        <v>21</v>
      </c>
      <c r="B6" s="73"/>
      <c r="C6" s="16">
        <v>46143</v>
      </c>
      <c r="D6">
        <v>990387.37999999931</v>
      </c>
    </row>
    <row r="7" spans="1:10" x14ac:dyDescent="0.3">
      <c r="A7" s="73" t="s">
        <v>22</v>
      </c>
      <c r="B7" s="73"/>
      <c r="C7" s="16">
        <v>46143</v>
      </c>
      <c r="D7">
        <v>142511.38</v>
      </c>
    </row>
    <row r="8" spans="1:10" x14ac:dyDescent="0.3">
      <c r="A8" s="73" t="s">
        <v>23</v>
      </c>
      <c r="B8" s="73"/>
      <c r="C8" s="16">
        <v>46143</v>
      </c>
      <c r="D8">
        <v>13088.589999999997</v>
      </c>
    </row>
    <row r="9" spans="1:10" x14ac:dyDescent="0.3">
      <c r="A9" s="73" t="s">
        <v>24</v>
      </c>
      <c r="B9" s="73"/>
      <c r="C9" s="16">
        <v>46143</v>
      </c>
      <c r="D9">
        <v>808.82999999999993</v>
      </c>
    </row>
    <row r="10" spans="1:10" x14ac:dyDescent="0.3">
      <c r="A10" s="73" t="s">
        <v>25</v>
      </c>
      <c r="B10" s="73"/>
      <c r="C10" s="16">
        <v>46143</v>
      </c>
      <c r="D10">
        <v>114.3</v>
      </c>
    </row>
    <row r="11" spans="1:10" x14ac:dyDescent="0.3">
      <c r="A11" s="73" t="s">
        <v>26</v>
      </c>
      <c r="B11" s="73"/>
      <c r="C11" s="16">
        <v>46143</v>
      </c>
      <c r="D11">
        <v>2267.7200000000003</v>
      </c>
    </row>
    <row r="12" spans="1:10" x14ac:dyDescent="0.3">
      <c r="A12" s="73" t="s">
        <v>27</v>
      </c>
      <c r="B12" s="73"/>
      <c r="C12" s="16">
        <v>46143</v>
      </c>
      <c r="D12">
        <v>3364.94</v>
      </c>
    </row>
    <row r="13" spans="1:10" x14ac:dyDescent="0.3">
      <c r="A13" s="73" t="s">
        <v>28</v>
      </c>
      <c r="B13" s="73"/>
      <c r="C13" s="16">
        <v>46143</v>
      </c>
      <c r="D13">
        <v>1968.99</v>
      </c>
    </row>
    <row r="14" spans="1:10" x14ac:dyDescent="0.3">
      <c r="A14" s="73" t="s">
        <v>29</v>
      </c>
      <c r="B14" s="73"/>
      <c r="C14" s="16">
        <v>46143</v>
      </c>
      <c r="D14">
        <v>901.34</v>
      </c>
    </row>
    <row r="15" spans="1:10" x14ac:dyDescent="0.3">
      <c r="A15" s="73" t="s">
        <v>30</v>
      </c>
      <c r="B15" s="73"/>
      <c r="C15" s="16">
        <v>46143</v>
      </c>
      <c r="D15">
        <v>1444.08</v>
      </c>
    </row>
    <row r="16" spans="1:10" x14ac:dyDescent="0.3">
      <c r="A16" s="73" t="s">
        <v>31</v>
      </c>
      <c r="B16" s="73"/>
      <c r="C16" s="16">
        <v>46143</v>
      </c>
      <c r="D16">
        <v>23262.599999999962</v>
      </c>
    </row>
    <row r="17" spans="1:4" x14ac:dyDescent="0.3">
      <c r="A17" s="73" t="s">
        <v>32</v>
      </c>
      <c r="B17" s="73"/>
      <c r="C17" s="16">
        <v>46143</v>
      </c>
      <c r="D17">
        <v>6853.9100000000017</v>
      </c>
    </row>
    <row r="18" spans="1:4" x14ac:dyDescent="0.3">
      <c r="A18" s="73" t="s">
        <v>33</v>
      </c>
      <c r="B18" s="73"/>
      <c r="C18" s="16">
        <v>46143</v>
      </c>
      <c r="D18">
        <v>21338.39</v>
      </c>
    </row>
    <row r="19" spans="1:4" x14ac:dyDescent="0.3">
      <c r="A19" s="73" t="s">
        <v>34</v>
      </c>
      <c r="B19" s="73"/>
      <c r="C19" s="16">
        <v>46143</v>
      </c>
      <c r="D19">
        <v>345</v>
      </c>
    </row>
    <row r="20" spans="1:4" x14ac:dyDescent="0.3">
      <c r="A20" s="73" t="s">
        <v>35</v>
      </c>
      <c r="B20" s="73"/>
      <c r="C20" s="16">
        <v>46143</v>
      </c>
      <c r="D20">
        <v>13491.26</v>
      </c>
    </row>
    <row r="21" spans="1:4" x14ac:dyDescent="0.3">
      <c r="A21" s="73" t="s">
        <v>17</v>
      </c>
      <c r="B21" s="73"/>
      <c r="C21" s="16">
        <v>46144</v>
      </c>
      <c r="D21">
        <v>200763.43000000025</v>
      </c>
    </row>
    <row r="22" spans="1:4" x14ac:dyDescent="0.3">
      <c r="A22" s="73" t="s">
        <v>18</v>
      </c>
      <c r="B22" s="73"/>
      <c r="C22" s="16">
        <v>46144</v>
      </c>
      <c r="D22">
        <v>51288.029999999948</v>
      </c>
    </row>
    <row r="23" spans="1:4" x14ac:dyDescent="0.3">
      <c r="A23" s="73" t="s">
        <v>19</v>
      </c>
      <c r="B23" s="73"/>
      <c r="C23" s="16">
        <v>46144</v>
      </c>
      <c r="D23">
        <v>1669.89</v>
      </c>
    </row>
    <row r="24" spans="1:4" x14ac:dyDescent="0.3">
      <c r="A24" s="73" t="s">
        <v>20</v>
      </c>
      <c r="B24" s="73"/>
      <c r="C24" s="16">
        <v>46144</v>
      </c>
      <c r="D24">
        <v>589990.30000000005</v>
      </c>
    </row>
    <row r="25" spans="1:4" x14ac:dyDescent="0.3">
      <c r="A25" s="73" t="s">
        <v>21</v>
      </c>
      <c r="B25" s="73"/>
      <c r="C25" s="16">
        <v>46144</v>
      </c>
      <c r="D25">
        <v>990387.37999999931</v>
      </c>
    </row>
    <row r="26" spans="1:4" x14ac:dyDescent="0.3">
      <c r="A26" s="73" t="s">
        <v>22</v>
      </c>
      <c r="B26" s="73"/>
      <c r="C26" s="16">
        <v>46144</v>
      </c>
      <c r="D26">
        <v>142511.38</v>
      </c>
    </row>
    <row r="27" spans="1:4" x14ac:dyDescent="0.3">
      <c r="A27" s="73" t="s">
        <v>23</v>
      </c>
      <c r="B27" s="73"/>
      <c r="C27" s="16">
        <v>46144</v>
      </c>
      <c r="D27">
        <v>13088.589999999997</v>
      </c>
    </row>
    <row r="28" spans="1:4" x14ac:dyDescent="0.3">
      <c r="A28" s="73" t="s">
        <v>24</v>
      </c>
      <c r="B28" s="73"/>
      <c r="C28" s="16">
        <v>46144</v>
      </c>
      <c r="D28">
        <v>808.82999999999993</v>
      </c>
    </row>
    <row r="29" spans="1:4" x14ac:dyDescent="0.3">
      <c r="A29" s="73" t="s">
        <v>25</v>
      </c>
      <c r="B29" s="73"/>
      <c r="C29" s="16">
        <v>46144</v>
      </c>
      <c r="D29">
        <v>114.3</v>
      </c>
    </row>
    <row r="30" spans="1:4" x14ac:dyDescent="0.3">
      <c r="A30" s="73" t="s">
        <v>26</v>
      </c>
      <c r="B30" s="73"/>
      <c r="C30" s="16">
        <v>46144</v>
      </c>
      <c r="D30">
        <v>2267.7200000000003</v>
      </c>
    </row>
    <row r="31" spans="1:4" x14ac:dyDescent="0.3">
      <c r="A31" s="73" t="s">
        <v>27</v>
      </c>
      <c r="B31" s="73"/>
      <c r="C31" s="16">
        <v>46144</v>
      </c>
      <c r="D31">
        <v>3364.94</v>
      </c>
    </row>
    <row r="32" spans="1:4" x14ac:dyDescent="0.3">
      <c r="A32" s="73" t="s">
        <v>28</v>
      </c>
      <c r="B32" s="73"/>
      <c r="C32" s="16">
        <v>46144</v>
      </c>
      <c r="D32">
        <v>1968.99</v>
      </c>
    </row>
    <row r="33" spans="1:4" x14ac:dyDescent="0.3">
      <c r="A33" s="73" t="s">
        <v>29</v>
      </c>
      <c r="B33" s="73"/>
      <c r="C33" s="16">
        <v>46144</v>
      </c>
      <c r="D33">
        <v>901.34</v>
      </c>
    </row>
    <row r="34" spans="1:4" x14ac:dyDescent="0.3">
      <c r="A34" s="73" t="s">
        <v>30</v>
      </c>
      <c r="B34" s="73"/>
      <c r="C34" s="16">
        <v>46144</v>
      </c>
      <c r="D34">
        <v>1444.08</v>
      </c>
    </row>
    <row r="35" spans="1:4" x14ac:dyDescent="0.3">
      <c r="A35" s="73" t="s">
        <v>31</v>
      </c>
      <c r="B35" s="73"/>
      <c r="C35" s="16">
        <v>46144</v>
      </c>
      <c r="D35">
        <v>23262.599999999962</v>
      </c>
    </row>
    <row r="36" spans="1:4" x14ac:dyDescent="0.3">
      <c r="A36" s="73" t="s">
        <v>32</v>
      </c>
      <c r="B36" s="73"/>
      <c r="C36" s="16">
        <v>46144</v>
      </c>
      <c r="D36">
        <v>6853.9100000000017</v>
      </c>
    </row>
    <row r="37" spans="1:4" x14ac:dyDescent="0.3">
      <c r="A37" s="73" t="s">
        <v>33</v>
      </c>
      <c r="B37" s="73"/>
      <c r="C37" s="16">
        <v>46144</v>
      </c>
      <c r="D37">
        <v>21338.39</v>
      </c>
    </row>
    <row r="38" spans="1:4" x14ac:dyDescent="0.3">
      <c r="A38" s="73" t="s">
        <v>34</v>
      </c>
      <c r="B38" s="73"/>
      <c r="C38" s="16">
        <v>46144</v>
      </c>
      <c r="D38">
        <v>345</v>
      </c>
    </row>
    <row r="39" spans="1:4" x14ac:dyDescent="0.3">
      <c r="A39" s="73" t="s">
        <v>35</v>
      </c>
      <c r="B39" s="73"/>
      <c r="C39" s="16">
        <v>46144</v>
      </c>
      <c r="D39">
        <v>13491.26</v>
      </c>
    </row>
    <row r="40" spans="1:4" x14ac:dyDescent="0.3">
      <c r="A40" s="73" t="s">
        <v>17</v>
      </c>
      <c r="B40" s="73"/>
      <c r="C40" s="16">
        <v>46145</v>
      </c>
      <c r="D40">
        <v>200763.43000000025</v>
      </c>
    </row>
    <row r="41" spans="1:4" x14ac:dyDescent="0.3">
      <c r="A41" s="73" t="s">
        <v>18</v>
      </c>
      <c r="B41" s="73"/>
      <c r="C41" s="16">
        <v>46145</v>
      </c>
      <c r="D41">
        <v>51288.029999999948</v>
      </c>
    </row>
    <row r="42" spans="1:4" x14ac:dyDescent="0.3">
      <c r="A42" s="73" t="s">
        <v>19</v>
      </c>
      <c r="B42" s="73"/>
      <c r="C42" s="16">
        <v>46145</v>
      </c>
      <c r="D42">
        <v>1669.89</v>
      </c>
    </row>
    <row r="43" spans="1:4" x14ac:dyDescent="0.3">
      <c r="A43" s="73" t="s">
        <v>20</v>
      </c>
      <c r="B43" s="73"/>
      <c r="C43" s="16">
        <v>46145</v>
      </c>
      <c r="D43">
        <v>589990.30000000005</v>
      </c>
    </row>
    <row r="44" spans="1:4" x14ac:dyDescent="0.3">
      <c r="A44" s="73" t="s">
        <v>21</v>
      </c>
      <c r="B44" s="73"/>
      <c r="C44" s="16">
        <v>46145</v>
      </c>
      <c r="D44">
        <v>990387.37999999931</v>
      </c>
    </row>
    <row r="45" spans="1:4" x14ac:dyDescent="0.3">
      <c r="A45" s="73" t="s">
        <v>22</v>
      </c>
      <c r="B45" s="73"/>
      <c r="C45" s="16">
        <v>46145</v>
      </c>
      <c r="D45">
        <v>142511.38</v>
      </c>
    </row>
    <row r="46" spans="1:4" x14ac:dyDescent="0.3">
      <c r="A46" s="73" t="s">
        <v>23</v>
      </c>
      <c r="B46" s="73"/>
      <c r="C46" s="16">
        <v>46145</v>
      </c>
      <c r="D46">
        <v>13088.589999999997</v>
      </c>
    </row>
    <row r="47" spans="1:4" x14ac:dyDescent="0.3">
      <c r="A47" s="73" t="s">
        <v>24</v>
      </c>
      <c r="B47" s="73"/>
      <c r="C47" s="16">
        <v>46145</v>
      </c>
      <c r="D47">
        <v>808.82999999999993</v>
      </c>
    </row>
    <row r="48" spans="1:4" x14ac:dyDescent="0.3">
      <c r="A48" s="73" t="s">
        <v>25</v>
      </c>
      <c r="B48" s="73"/>
      <c r="C48" s="16">
        <v>46145</v>
      </c>
      <c r="D48">
        <v>114.3</v>
      </c>
    </row>
    <row r="49" spans="1:4" x14ac:dyDescent="0.3">
      <c r="A49" s="73" t="s">
        <v>26</v>
      </c>
      <c r="B49" s="73"/>
      <c r="C49" s="16">
        <v>46145</v>
      </c>
      <c r="D49">
        <v>2267.7200000000003</v>
      </c>
    </row>
    <row r="50" spans="1:4" x14ac:dyDescent="0.3">
      <c r="A50" s="73" t="s">
        <v>27</v>
      </c>
      <c r="B50" s="73"/>
      <c r="C50" s="16">
        <v>46145</v>
      </c>
      <c r="D50">
        <v>3364.94</v>
      </c>
    </row>
    <row r="51" spans="1:4" x14ac:dyDescent="0.3">
      <c r="A51" s="73" t="s">
        <v>28</v>
      </c>
      <c r="B51" s="73"/>
      <c r="C51" s="16">
        <v>46145</v>
      </c>
      <c r="D51">
        <v>1968.99</v>
      </c>
    </row>
    <row r="52" spans="1:4" x14ac:dyDescent="0.3">
      <c r="A52" s="73" t="s">
        <v>29</v>
      </c>
      <c r="B52" s="73"/>
      <c r="C52" s="16">
        <v>46145</v>
      </c>
      <c r="D52">
        <v>901.34</v>
      </c>
    </row>
    <row r="53" spans="1:4" x14ac:dyDescent="0.3">
      <c r="A53" s="73" t="s">
        <v>30</v>
      </c>
      <c r="B53" s="73"/>
      <c r="C53" s="16">
        <v>46145</v>
      </c>
      <c r="D53">
        <v>1444.08</v>
      </c>
    </row>
    <row r="54" spans="1:4" x14ac:dyDescent="0.3">
      <c r="A54" s="73" t="s">
        <v>31</v>
      </c>
      <c r="B54" s="73"/>
      <c r="C54" s="16">
        <v>46145</v>
      </c>
      <c r="D54">
        <v>23262.599999999962</v>
      </c>
    </row>
    <row r="55" spans="1:4" x14ac:dyDescent="0.3">
      <c r="A55" s="73" t="s">
        <v>32</v>
      </c>
      <c r="B55" s="73"/>
      <c r="C55" s="16">
        <v>46145</v>
      </c>
      <c r="D55">
        <v>6853.9100000000017</v>
      </c>
    </row>
    <row r="56" spans="1:4" x14ac:dyDescent="0.3">
      <c r="A56" s="73" t="s">
        <v>33</v>
      </c>
      <c r="B56" s="73"/>
      <c r="C56" s="16">
        <v>46145</v>
      </c>
      <c r="D56">
        <v>21338.39</v>
      </c>
    </row>
    <row r="57" spans="1:4" x14ac:dyDescent="0.3">
      <c r="A57" s="73" t="s">
        <v>34</v>
      </c>
      <c r="B57" s="73"/>
      <c r="C57" s="16">
        <v>46145</v>
      </c>
      <c r="D57">
        <v>345</v>
      </c>
    </row>
    <row r="58" spans="1:4" x14ac:dyDescent="0.3">
      <c r="A58" s="73" t="s">
        <v>35</v>
      </c>
      <c r="B58" s="73"/>
      <c r="C58" s="16">
        <v>46145</v>
      </c>
      <c r="D58">
        <v>13491.26</v>
      </c>
    </row>
    <row r="59" spans="1:4" x14ac:dyDescent="0.3">
      <c r="A59" s="73" t="s">
        <v>17</v>
      </c>
      <c r="B59" s="73"/>
      <c r="C59" s="16">
        <v>46146</v>
      </c>
      <c r="D59">
        <v>200763.43000000025</v>
      </c>
    </row>
    <row r="60" spans="1:4" x14ac:dyDescent="0.3">
      <c r="A60" s="73" t="s">
        <v>18</v>
      </c>
      <c r="B60" s="73"/>
      <c r="C60" s="16">
        <v>46146</v>
      </c>
      <c r="D60">
        <v>51288.029999999948</v>
      </c>
    </row>
    <row r="61" spans="1:4" x14ac:dyDescent="0.3">
      <c r="A61" s="73" t="s">
        <v>19</v>
      </c>
      <c r="B61" s="73"/>
      <c r="C61" s="16">
        <v>46146</v>
      </c>
      <c r="D61">
        <v>1669.89</v>
      </c>
    </row>
    <row r="62" spans="1:4" x14ac:dyDescent="0.3">
      <c r="A62" s="73" t="s">
        <v>20</v>
      </c>
      <c r="B62" s="73"/>
      <c r="C62" s="16">
        <v>46146</v>
      </c>
      <c r="D62">
        <v>589990.30000000005</v>
      </c>
    </row>
    <row r="63" spans="1:4" x14ac:dyDescent="0.3">
      <c r="A63" s="73" t="s">
        <v>21</v>
      </c>
      <c r="B63" s="73"/>
      <c r="C63" s="16">
        <v>46146</v>
      </c>
      <c r="D63">
        <v>1790387.3799999994</v>
      </c>
    </row>
    <row r="64" spans="1:4" x14ac:dyDescent="0.3">
      <c r="A64" s="73" t="s">
        <v>22</v>
      </c>
      <c r="B64" s="73"/>
      <c r="C64" s="16">
        <v>46146</v>
      </c>
      <c r="D64">
        <v>136511.38</v>
      </c>
    </row>
    <row r="65" spans="1:4" x14ac:dyDescent="0.3">
      <c r="A65" s="73" t="s">
        <v>23</v>
      </c>
      <c r="B65" s="73"/>
      <c r="C65" s="16">
        <v>46146</v>
      </c>
      <c r="D65">
        <v>13088.589999999997</v>
      </c>
    </row>
    <row r="66" spans="1:4" x14ac:dyDescent="0.3">
      <c r="A66" s="73" t="s">
        <v>24</v>
      </c>
      <c r="B66" s="73"/>
      <c r="C66" s="16">
        <v>46146</v>
      </c>
      <c r="D66">
        <v>808.82999999999993</v>
      </c>
    </row>
    <row r="67" spans="1:4" x14ac:dyDescent="0.3">
      <c r="A67" s="73" t="s">
        <v>25</v>
      </c>
      <c r="B67" s="73"/>
      <c r="C67" s="16">
        <v>46146</v>
      </c>
      <c r="D67">
        <v>114.3</v>
      </c>
    </row>
    <row r="68" spans="1:4" x14ac:dyDescent="0.3">
      <c r="A68" s="73" t="s">
        <v>26</v>
      </c>
      <c r="B68" s="73"/>
      <c r="C68" s="16">
        <v>46146</v>
      </c>
      <c r="D68">
        <v>2267.7200000000003</v>
      </c>
    </row>
    <row r="69" spans="1:4" x14ac:dyDescent="0.3">
      <c r="A69" s="73" t="s">
        <v>27</v>
      </c>
      <c r="B69" s="73"/>
      <c r="C69" s="16">
        <v>46146</v>
      </c>
      <c r="D69">
        <v>3364.94</v>
      </c>
    </row>
    <row r="70" spans="1:4" x14ac:dyDescent="0.3">
      <c r="A70" s="73" t="s">
        <v>28</v>
      </c>
      <c r="B70" s="73"/>
      <c r="C70" s="16">
        <v>46146</v>
      </c>
      <c r="D70">
        <v>1968.99</v>
      </c>
    </row>
    <row r="71" spans="1:4" x14ac:dyDescent="0.3">
      <c r="A71" s="73" t="s">
        <v>29</v>
      </c>
      <c r="B71" s="73"/>
      <c r="C71" s="16">
        <v>46146</v>
      </c>
      <c r="D71">
        <v>901.34</v>
      </c>
    </row>
    <row r="72" spans="1:4" x14ac:dyDescent="0.3">
      <c r="A72" s="73" t="s">
        <v>30</v>
      </c>
      <c r="B72" s="73"/>
      <c r="C72" s="16">
        <v>46146</v>
      </c>
      <c r="D72">
        <v>1444.08</v>
      </c>
    </row>
    <row r="73" spans="1:4" x14ac:dyDescent="0.3">
      <c r="A73" s="73" t="s">
        <v>31</v>
      </c>
      <c r="B73" s="73"/>
      <c r="C73" s="16">
        <v>46146</v>
      </c>
      <c r="D73">
        <v>23247.599999999962</v>
      </c>
    </row>
    <row r="74" spans="1:4" x14ac:dyDescent="0.3">
      <c r="A74" s="73" t="s">
        <v>32</v>
      </c>
      <c r="B74" s="73"/>
      <c r="C74" s="16">
        <v>46146</v>
      </c>
      <c r="D74">
        <v>6853.9100000000017</v>
      </c>
    </row>
    <row r="75" spans="1:4" x14ac:dyDescent="0.3">
      <c r="A75" s="73" t="s">
        <v>33</v>
      </c>
      <c r="B75" s="73"/>
      <c r="C75" s="16">
        <v>46146</v>
      </c>
      <c r="D75">
        <v>21338.39</v>
      </c>
    </row>
    <row r="76" spans="1:4" x14ac:dyDescent="0.3">
      <c r="A76" s="73" t="s">
        <v>34</v>
      </c>
      <c r="B76" s="73"/>
      <c r="C76" s="16">
        <v>46146</v>
      </c>
      <c r="D76">
        <v>345</v>
      </c>
    </row>
    <row r="77" spans="1:4" x14ac:dyDescent="0.3">
      <c r="A77" s="73" t="s">
        <v>35</v>
      </c>
      <c r="B77" s="73"/>
      <c r="C77" s="16">
        <v>46146</v>
      </c>
      <c r="D77">
        <v>8782.25</v>
      </c>
    </row>
    <row r="78" spans="1:4" x14ac:dyDescent="0.3">
      <c r="A78" s="73" t="s">
        <v>17</v>
      </c>
      <c r="B78" s="73"/>
      <c r="C78" s="16">
        <v>46147</v>
      </c>
      <c r="D78">
        <v>197763.43000000025</v>
      </c>
    </row>
    <row r="79" spans="1:4" x14ac:dyDescent="0.3">
      <c r="A79" s="73" t="s">
        <v>18</v>
      </c>
      <c r="B79" s="73"/>
      <c r="C79" s="16">
        <v>46147</v>
      </c>
      <c r="D79">
        <v>51288.029999999948</v>
      </c>
    </row>
    <row r="80" spans="1:4" x14ac:dyDescent="0.3">
      <c r="A80" s="73" t="s">
        <v>19</v>
      </c>
      <c r="B80" s="73"/>
      <c r="C80" s="16">
        <v>46147</v>
      </c>
      <c r="D80">
        <v>1669.89</v>
      </c>
    </row>
    <row r="81" spans="1:4" x14ac:dyDescent="0.3">
      <c r="A81" s="73" t="s">
        <v>20</v>
      </c>
      <c r="B81" s="73"/>
      <c r="C81" s="16">
        <v>46147</v>
      </c>
      <c r="D81">
        <v>989990.29999999993</v>
      </c>
    </row>
    <row r="82" spans="1:4" x14ac:dyDescent="0.3">
      <c r="A82" s="73" t="s">
        <v>21</v>
      </c>
      <c r="B82" s="73"/>
      <c r="C82" s="16">
        <v>46147</v>
      </c>
      <c r="D82">
        <v>1088892.0899999994</v>
      </c>
    </row>
    <row r="83" spans="1:4" x14ac:dyDescent="0.3">
      <c r="A83" s="73" t="s">
        <v>22</v>
      </c>
      <c r="B83" s="73"/>
      <c r="C83" s="16">
        <v>46147</v>
      </c>
      <c r="D83">
        <v>121511.38</v>
      </c>
    </row>
    <row r="84" spans="1:4" x14ac:dyDescent="0.3">
      <c r="A84" s="73" t="s">
        <v>23</v>
      </c>
      <c r="B84" s="73"/>
      <c r="C84" s="16">
        <v>46147</v>
      </c>
      <c r="D84">
        <v>813088.59</v>
      </c>
    </row>
    <row r="85" spans="1:4" x14ac:dyDescent="0.3">
      <c r="A85" s="73" t="s">
        <v>24</v>
      </c>
      <c r="B85" s="73"/>
      <c r="C85" s="16">
        <v>46147</v>
      </c>
      <c r="D85">
        <v>3768.83</v>
      </c>
    </row>
    <row r="86" spans="1:4" x14ac:dyDescent="0.3">
      <c r="A86" s="73" t="s">
        <v>25</v>
      </c>
      <c r="B86" s="73"/>
      <c r="C86" s="16">
        <v>46147</v>
      </c>
      <c r="D86">
        <v>114.3</v>
      </c>
    </row>
    <row r="87" spans="1:4" x14ac:dyDescent="0.3">
      <c r="A87" s="73" t="s">
        <v>26</v>
      </c>
      <c r="B87" s="73"/>
      <c r="C87" s="16">
        <v>46147</v>
      </c>
      <c r="D87">
        <v>2267.7200000000003</v>
      </c>
    </row>
    <row r="88" spans="1:4" x14ac:dyDescent="0.3">
      <c r="A88" s="73" t="s">
        <v>27</v>
      </c>
      <c r="B88" s="73"/>
      <c r="C88" s="16">
        <v>46147</v>
      </c>
      <c r="D88">
        <v>3364.94</v>
      </c>
    </row>
    <row r="89" spans="1:4" x14ac:dyDescent="0.3">
      <c r="A89" s="73" t="s">
        <v>28</v>
      </c>
      <c r="B89" s="73"/>
      <c r="C89" s="16">
        <v>46147</v>
      </c>
      <c r="D89">
        <v>1968.99</v>
      </c>
    </row>
    <row r="90" spans="1:4" x14ac:dyDescent="0.3">
      <c r="A90" s="73" t="s">
        <v>29</v>
      </c>
      <c r="B90" s="73"/>
      <c r="C90" s="16">
        <v>46147</v>
      </c>
      <c r="D90">
        <v>901.34</v>
      </c>
    </row>
    <row r="91" spans="1:4" x14ac:dyDescent="0.3">
      <c r="A91" s="73" t="s">
        <v>30</v>
      </c>
      <c r="B91" s="73"/>
      <c r="C91" s="16">
        <v>46147</v>
      </c>
      <c r="D91">
        <v>1444.08</v>
      </c>
    </row>
    <row r="92" spans="1:4" x14ac:dyDescent="0.3">
      <c r="A92" s="73" t="s">
        <v>31</v>
      </c>
      <c r="B92" s="73"/>
      <c r="C92" s="16">
        <v>46147</v>
      </c>
      <c r="D92">
        <v>23247.599999999962</v>
      </c>
    </row>
    <row r="93" spans="1:4" x14ac:dyDescent="0.3">
      <c r="A93" s="73" t="s">
        <v>32</v>
      </c>
      <c r="B93" s="73"/>
      <c r="C93" s="16">
        <v>46147</v>
      </c>
      <c r="D93">
        <v>6853.9100000000017</v>
      </c>
    </row>
    <row r="94" spans="1:4" x14ac:dyDescent="0.3">
      <c r="A94" s="73" t="s">
        <v>33</v>
      </c>
      <c r="B94" s="73"/>
      <c r="C94" s="16">
        <v>46147</v>
      </c>
      <c r="D94">
        <v>21338.39</v>
      </c>
    </row>
    <row r="95" spans="1:4" x14ac:dyDescent="0.3">
      <c r="A95" s="73" t="s">
        <v>34</v>
      </c>
      <c r="B95" s="73"/>
      <c r="C95" s="16">
        <v>46147</v>
      </c>
      <c r="D95">
        <v>345</v>
      </c>
    </row>
    <row r="96" spans="1:4" x14ac:dyDescent="0.3">
      <c r="A96" s="73" t="s">
        <v>35</v>
      </c>
      <c r="B96" s="73"/>
      <c r="C96" s="16">
        <v>46147</v>
      </c>
      <c r="D96">
        <v>8782.25</v>
      </c>
    </row>
    <row r="97" spans="1:4" x14ac:dyDescent="0.3">
      <c r="A97" s="73" t="s">
        <v>17</v>
      </c>
      <c r="B97" s="73"/>
      <c r="C97" s="16">
        <v>46148</v>
      </c>
      <c r="D97">
        <v>197763.43000000025</v>
      </c>
    </row>
    <row r="98" spans="1:4" x14ac:dyDescent="0.3">
      <c r="A98" s="73" t="s">
        <v>18</v>
      </c>
      <c r="B98" s="73"/>
      <c r="C98" s="16">
        <v>46148</v>
      </c>
      <c r="D98">
        <v>626288.02999999991</v>
      </c>
    </row>
    <row r="99" spans="1:4" x14ac:dyDescent="0.3">
      <c r="A99" s="73" t="s">
        <v>19</v>
      </c>
      <c r="B99" s="73"/>
      <c r="C99" s="16">
        <v>46148</v>
      </c>
      <c r="D99">
        <v>1669.89</v>
      </c>
    </row>
    <row r="100" spans="1:4" x14ac:dyDescent="0.3">
      <c r="A100" s="73" t="s">
        <v>20</v>
      </c>
      <c r="B100" s="73"/>
      <c r="C100" s="16">
        <v>46148</v>
      </c>
      <c r="D100">
        <v>989990.29999999993</v>
      </c>
    </row>
    <row r="101" spans="1:4" x14ac:dyDescent="0.3">
      <c r="A101" s="73" t="s">
        <v>21</v>
      </c>
      <c r="B101" s="73"/>
      <c r="C101" s="16">
        <v>46148</v>
      </c>
      <c r="D101">
        <v>961212.30999999924</v>
      </c>
    </row>
    <row r="102" spans="1:4" x14ac:dyDescent="0.3">
      <c r="A102" s="73" t="s">
        <v>22</v>
      </c>
      <c r="B102" s="73"/>
      <c r="C102" s="16">
        <v>46148</v>
      </c>
      <c r="D102">
        <v>121511.38</v>
      </c>
    </row>
    <row r="103" spans="1:4" x14ac:dyDescent="0.3">
      <c r="A103" s="73" t="s">
        <v>23</v>
      </c>
      <c r="B103" s="73"/>
      <c r="C103" s="16">
        <v>46148</v>
      </c>
      <c r="D103">
        <v>813088.59</v>
      </c>
    </row>
    <row r="104" spans="1:4" x14ac:dyDescent="0.3">
      <c r="A104" s="73" t="s">
        <v>24</v>
      </c>
      <c r="B104" s="73"/>
      <c r="C104" s="16">
        <v>46148</v>
      </c>
      <c r="D104">
        <v>3768.83</v>
      </c>
    </row>
    <row r="105" spans="1:4" x14ac:dyDescent="0.3">
      <c r="A105" s="73" t="s">
        <v>25</v>
      </c>
      <c r="B105" s="73"/>
      <c r="C105" s="16">
        <v>46148</v>
      </c>
      <c r="D105">
        <v>114.3</v>
      </c>
    </row>
    <row r="106" spans="1:4" x14ac:dyDescent="0.3">
      <c r="A106" s="73" t="s">
        <v>26</v>
      </c>
      <c r="B106" s="73"/>
      <c r="C106" s="16">
        <v>46148</v>
      </c>
      <c r="D106">
        <v>2267.7200000000003</v>
      </c>
    </row>
    <row r="107" spans="1:4" x14ac:dyDescent="0.3">
      <c r="A107" s="73" t="s">
        <v>27</v>
      </c>
      <c r="B107" s="73"/>
      <c r="C107" s="16">
        <v>46148</v>
      </c>
      <c r="D107">
        <v>3364.94</v>
      </c>
    </row>
    <row r="108" spans="1:4" x14ac:dyDescent="0.3">
      <c r="A108" s="73" t="s">
        <v>28</v>
      </c>
      <c r="B108" s="73"/>
      <c r="C108" s="16">
        <v>46148</v>
      </c>
      <c r="D108">
        <v>1968.99</v>
      </c>
    </row>
    <row r="109" spans="1:4" x14ac:dyDescent="0.3">
      <c r="A109" s="73" t="s">
        <v>29</v>
      </c>
      <c r="B109" s="73"/>
      <c r="C109" s="16">
        <v>46148</v>
      </c>
      <c r="D109">
        <v>901.34</v>
      </c>
    </row>
    <row r="110" spans="1:4" x14ac:dyDescent="0.3">
      <c r="A110" s="73" t="s">
        <v>30</v>
      </c>
      <c r="B110" s="73"/>
      <c r="C110" s="16">
        <v>46148</v>
      </c>
      <c r="D110">
        <v>1444.08</v>
      </c>
    </row>
    <row r="111" spans="1:4" x14ac:dyDescent="0.3">
      <c r="A111" s="73" t="s">
        <v>31</v>
      </c>
      <c r="B111" s="73"/>
      <c r="C111" s="16">
        <v>46148</v>
      </c>
      <c r="D111">
        <v>23247.599999999962</v>
      </c>
    </row>
    <row r="112" spans="1:4" x14ac:dyDescent="0.3">
      <c r="A112" s="73" t="s">
        <v>32</v>
      </c>
      <c r="B112" s="73"/>
      <c r="C112" s="16">
        <v>46148</v>
      </c>
      <c r="D112">
        <v>5135.0600000000013</v>
      </c>
    </row>
    <row r="113" spans="1:4" x14ac:dyDescent="0.3">
      <c r="A113" s="73" t="s">
        <v>33</v>
      </c>
      <c r="B113" s="73"/>
      <c r="C113" s="16">
        <v>46148</v>
      </c>
      <c r="D113">
        <v>21338.39</v>
      </c>
    </row>
    <row r="114" spans="1:4" x14ac:dyDescent="0.3">
      <c r="A114" s="73" t="s">
        <v>34</v>
      </c>
      <c r="B114" s="73"/>
      <c r="C114" s="16">
        <v>46148</v>
      </c>
      <c r="D114">
        <v>345</v>
      </c>
    </row>
    <row r="115" spans="1:4" x14ac:dyDescent="0.3">
      <c r="A115" s="73" t="s">
        <v>35</v>
      </c>
      <c r="B115" s="73"/>
      <c r="C115" s="16">
        <v>46148</v>
      </c>
      <c r="D115">
        <v>8782.25</v>
      </c>
    </row>
    <row r="116" spans="1:4" x14ac:dyDescent="0.3">
      <c r="A116" s="73" t="s">
        <v>17</v>
      </c>
      <c r="B116" s="73"/>
      <c r="C116" s="16">
        <v>46149</v>
      </c>
      <c r="D116">
        <v>447763.43000000028</v>
      </c>
    </row>
    <row r="117" spans="1:4" x14ac:dyDescent="0.3">
      <c r="A117" s="73" t="s">
        <v>18</v>
      </c>
      <c r="B117" s="73"/>
      <c r="C117" s="16">
        <v>46149</v>
      </c>
      <c r="D117">
        <v>56288.029999999941</v>
      </c>
    </row>
    <row r="118" spans="1:4" x14ac:dyDescent="0.3">
      <c r="A118" s="73" t="s">
        <v>19</v>
      </c>
      <c r="B118" s="73"/>
      <c r="C118" s="16">
        <v>46149</v>
      </c>
      <c r="D118">
        <v>1669.89</v>
      </c>
    </row>
    <row r="119" spans="1:4" x14ac:dyDescent="0.3">
      <c r="A119" s="73" t="s">
        <v>20</v>
      </c>
      <c r="B119" s="73"/>
      <c r="C119" s="16">
        <v>46149</v>
      </c>
      <c r="D119">
        <v>274668.55999999994</v>
      </c>
    </row>
    <row r="120" spans="1:4" x14ac:dyDescent="0.3">
      <c r="A120" s="73" t="s">
        <v>21</v>
      </c>
      <c r="B120" s="73"/>
      <c r="C120" s="16">
        <v>46149</v>
      </c>
      <c r="D120">
        <v>926213.13999999932</v>
      </c>
    </row>
    <row r="121" spans="1:4" x14ac:dyDescent="0.3">
      <c r="A121" s="73" t="s">
        <v>22</v>
      </c>
      <c r="B121" s="73"/>
      <c r="C121" s="16">
        <v>46149</v>
      </c>
      <c r="D121">
        <v>121511.38</v>
      </c>
    </row>
    <row r="122" spans="1:4" x14ac:dyDescent="0.3">
      <c r="A122" s="73" t="s">
        <v>23</v>
      </c>
      <c r="B122" s="73"/>
      <c r="C122" s="16">
        <v>46149</v>
      </c>
      <c r="D122">
        <v>1513088.59</v>
      </c>
    </row>
    <row r="123" spans="1:4" x14ac:dyDescent="0.3">
      <c r="A123" s="73" t="s">
        <v>24</v>
      </c>
      <c r="B123" s="73"/>
      <c r="C123" s="16">
        <v>46149</v>
      </c>
      <c r="D123">
        <v>3768.83</v>
      </c>
    </row>
    <row r="124" spans="1:4" x14ac:dyDescent="0.3">
      <c r="A124" s="73" t="s">
        <v>25</v>
      </c>
      <c r="B124" s="73"/>
      <c r="C124" s="16">
        <v>46149</v>
      </c>
      <c r="D124">
        <v>114.3</v>
      </c>
    </row>
    <row r="125" spans="1:4" x14ac:dyDescent="0.3">
      <c r="A125" s="73" t="s">
        <v>26</v>
      </c>
      <c r="B125" s="73"/>
      <c r="C125" s="16">
        <v>46149</v>
      </c>
      <c r="D125">
        <v>2267.7200000000003</v>
      </c>
    </row>
    <row r="126" spans="1:4" x14ac:dyDescent="0.3">
      <c r="A126" s="73" t="s">
        <v>27</v>
      </c>
      <c r="B126" s="73"/>
      <c r="C126" s="16">
        <v>46149</v>
      </c>
      <c r="D126">
        <v>3364.94</v>
      </c>
    </row>
    <row r="127" spans="1:4" x14ac:dyDescent="0.3">
      <c r="A127" s="73" t="s">
        <v>28</v>
      </c>
      <c r="B127" s="73"/>
      <c r="C127" s="16">
        <v>46149</v>
      </c>
      <c r="D127">
        <v>1968.99</v>
      </c>
    </row>
    <row r="128" spans="1:4" x14ac:dyDescent="0.3">
      <c r="A128" s="73" t="s">
        <v>29</v>
      </c>
      <c r="B128" s="73"/>
      <c r="C128" s="16">
        <v>46149</v>
      </c>
      <c r="D128">
        <v>901.34</v>
      </c>
    </row>
    <row r="129" spans="1:4" x14ac:dyDescent="0.3">
      <c r="A129" s="73" t="s">
        <v>30</v>
      </c>
      <c r="B129" s="73"/>
      <c r="C129" s="16">
        <v>46149</v>
      </c>
      <c r="D129">
        <v>1444.08</v>
      </c>
    </row>
    <row r="130" spans="1:4" x14ac:dyDescent="0.3">
      <c r="A130" s="73" t="s">
        <v>31</v>
      </c>
      <c r="B130" s="73"/>
      <c r="C130" s="16">
        <v>46149</v>
      </c>
      <c r="D130">
        <v>23247.599999999962</v>
      </c>
    </row>
    <row r="131" spans="1:4" x14ac:dyDescent="0.3">
      <c r="A131" s="73" t="s">
        <v>32</v>
      </c>
      <c r="B131" s="73"/>
      <c r="C131" s="16">
        <v>46149</v>
      </c>
      <c r="D131">
        <v>15135.060000000001</v>
      </c>
    </row>
    <row r="132" spans="1:4" x14ac:dyDescent="0.3">
      <c r="A132" s="73" t="s">
        <v>33</v>
      </c>
      <c r="B132" s="73"/>
      <c r="C132" s="16">
        <v>46149</v>
      </c>
      <c r="D132">
        <v>31338.39</v>
      </c>
    </row>
    <row r="133" spans="1:4" x14ac:dyDescent="0.3">
      <c r="A133" s="73" t="s">
        <v>34</v>
      </c>
      <c r="B133" s="73"/>
      <c r="C133" s="16">
        <v>46149</v>
      </c>
      <c r="D133">
        <v>345</v>
      </c>
    </row>
    <row r="134" spans="1:4" x14ac:dyDescent="0.3">
      <c r="A134" s="73" t="s">
        <v>35</v>
      </c>
      <c r="B134" s="73"/>
      <c r="C134" s="16">
        <v>46149</v>
      </c>
      <c r="D134">
        <v>8782.25</v>
      </c>
    </row>
    <row r="135" spans="1:4" x14ac:dyDescent="0.3">
      <c r="A135" s="73" t="s">
        <v>17</v>
      </c>
      <c r="B135" s="73"/>
      <c r="C135" s="16">
        <v>46150</v>
      </c>
      <c r="D135">
        <v>512927.75000000023</v>
      </c>
    </row>
    <row r="136" spans="1:4" x14ac:dyDescent="0.3">
      <c r="A136" s="73" t="s">
        <v>18</v>
      </c>
      <c r="B136" s="73"/>
      <c r="C136" s="16">
        <v>46150</v>
      </c>
      <c r="D136">
        <v>58840.089999999938</v>
      </c>
    </row>
    <row r="137" spans="1:4" x14ac:dyDescent="0.3">
      <c r="A137" s="73" t="s">
        <v>19</v>
      </c>
      <c r="B137" s="73"/>
      <c r="C137" s="16">
        <v>46150</v>
      </c>
      <c r="D137">
        <v>1669.89</v>
      </c>
    </row>
    <row r="138" spans="1:4" x14ac:dyDescent="0.3">
      <c r="A138" s="73" t="s">
        <v>20</v>
      </c>
      <c r="B138" s="73"/>
      <c r="C138" s="16">
        <v>46150</v>
      </c>
      <c r="D138">
        <v>792366.49999999988</v>
      </c>
    </row>
    <row r="139" spans="1:4" x14ac:dyDescent="0.3">
      <c r="A139" s="73" t="s">
        <v>21</v>
      </c>
      <c r="B139" s="73"/>
      <c r="C139" s="16">
        <v>46150</v>
      </c>
      <c r="D139">
        <v>923830.41999999923</v>
      </c>
    </row>
    <row r="140" spans="1:4" x14ac:dyDescent="0.3">
      <c r="A140" s="73" t="s">
        <v>22</v>
      </c>
      <c r="B140" s="73"/>
      <c r="C140" s="16">
        <v>46150</v>
      </c>
      <c r="D140">
        <v>121511.38</v>
      </c>
    </row>
    <row r="141" spans="1:4" x14ac:dyDescent="0.3">
      <c r="A141" s="73" t="s">
        <v>23</v>
      </c>
      <c r="B141" s="73"/>
      <c r="C141" s="16">
        <v>46150</v>
      </c>
      <c r="D141">
        <v>13088.589999999997</v>
      </c>
    </row>
    <row r="142" spans="1:4" x14ac:dyDescent="0.3">
      <c r="A142" s="73" t="s">
        <v>24</v>
      </c>
      <c r="B142" s="73"/>
      <c r="C142" s="16">
        <v>46150</v>
      </c>
      <c r="D142">
        <v>3768.83</v>
      </c>
    </row>
    <row r="143" spans="1:4" x14ac:dyDescent="0.3">
      <c r="A143" s="73" t="s">
        <v>25</v>
      </c>
      <c r="B143" s="73"/>
      <c r="C143" s="16">
        <v>46150</v>
      </c>
      <c r="D143">
        <v>114.3</v>
      </c>
    </row>
    <row r="144" spans="1:4" x14ac:dyDescent="0.3">
      <c r="A144" s="73" t="s">
        <v>26</v>
      </c>
      <c r="B144" s="73"/>
      <c r="C144" s="16">
        <v>46150</v>
      </c>
      <c r="D144">
        <v>2267.7200000000003</v>
      </c>
    </row>
    <row r="145" spans="1:4" x14ac:dyDescent="0.3">
      <c r="A145" s="73" t="s">
        <v>27</v>
      </c>
      <c r="B145" s="73"/>
      <c r="C145" s="16">
        <v>46150</v>
      </c>
      <c r="D145">
        <v>3349.94</v>
      </c>
    </row>
    <row r="146" spans="1:4" x14ac:dyDescent="0.3">
      <c r="A146" s="73" t="s">
        <v>28</v>
      </c>
      <c r="B146" s="73"/>
      <c r="C146" s="16">
        <v>46150</v>
      </c>
      <c r="D146">
        <v>1968.99</v>
      </c>
    </row>
    <row r="147" spans="1:4" x14ac:dyDescent="0.3">
      <c r="A147" s="73" t="s">
        <v>29</v>
      </c>
      <c r="B147" s="73"/>
      <c r="C147" s="16">
        <v>46150</v>
      </c>
      <c r="D147">
        <v>901.34</v>
      </c>
    </row>
    <row r="148" spans="1:4" x14ac:dyDescent="0.3">
      <c r="A148" s="73" t="s">
        <v>30</v>
      </c>
      <c r="B148" s="73"/>
      <c r="C148" s="16">
        <v>46150</v>
      </c>
      <c r="D148">
        <v>1444.08</v>
      </c>
    </row>
    <row r="149" spans="1:4" x14ac:dyDescent="0.3">
      <c r="A149" s="73" t="s">
        <v>31</v>
      </c>
      <c r="B149" s="73"/>
      <c r="C149" s="16">
        <v>46150</v>
      </c>
      <c r="D149">
        <v>20592.599999999962</v>
      </c>
    </row>
    <row r="150" spans="1:4" x14ac:dyDescent="0.3">
      <c r="A150" s="73" t="s">
        <v>32</v>
      </c>
      <c r="B150" s="73"/>
      <c r="C150" s="16">
        <v>46150</v>
      </c>
      <c r="D150">
        <v>15120.060000000001</v>
      </c>
    </row>
    <row r="151" spans="1:4" x14ac:dyDescent="0.3">
      <c r="A151" s="73" t="s">
        <v>33</v>
      </c>
      <c r="B151" s="73"/>
      <c r="C151" s="16">
        <v>46150</v>
      </c>
      <c r="D151">
        <v>31323.39</v>
      </c>
    </row>
    <row r="152" spans="1:4" x14ac:dyDescent="0.3">
      <c r="A152" s="73" t="s">
        <v>34</v>
      </c>
      <c r="B152" s="73"/>
      <c r="C152" s="16">
        <v>46150</v>
      </c>
      <c r="D152">
        <v>345</v>
      </c>
    </row>
    <row r="153" spans="1:4" x14ac:dyDescent="0.3">
      <c r="A153" s="73" t="s">
        <v>35</v>
      </c>
      <c r="B153" s="73"/>
      <c r="C153" s="16">
        <v>46150</v>
      </c>
      <c r="D153">
        <v>23782.25</v>
      </c>
    </row>
    <row r="154" spans="1:4" x14ac:dyDescent="0.3">
      <c r="A154" s="73" t="s">
        <v>17</v>
      </c>
      <c r="B154" s="73"/>
      <c r="C154" s="16">
        <v>46151</v>
      </c>
      <c r="D154">
        <v>512927.75000000023</v>
      </c>
    </row>
    <row r="155" spans="1:4" x14ac:dyDescent="0.3">
      <c r="A155" s="73" t="s">
        <v>18</v>
      </c>
      <c r="B155" s="73"/>
      <c r="C155" s="16">
        <v>46151</v>
      </c>
      <c r="D155">
        <v>58840.089999999938</v>
      </c>
    </row>
    <row r="156" spans="1:4" x14ac:dyDescent="0.3">
      <c r="A156" s="73" t="s">
        <v>19</v>
      </c>
      <c r="B156" s="73"/>
      <c r="C156" s="16">
        <v>46151</v>
      </c>
      <c r="D156">
        <v>1669.89</v>
      </c>
    </row>
    <row r="157" spans="1:4" x14ac:dyDescent="0.3">
      <c r="A157" s="73" t="s">
        <v>20</v>
      </c>
      <c r="B157" s="73"/>
      <c r="C157" s="16">
        <v>46151</v>
      </c>
      <c r="D157">
        <v>792366.49999999988</v>
      </c>
    </row>
    <row r="158" spans="1:4" x14ac:dyDescent="0.3">
      <c r="A158" s="73" t="s">
        <v>21</v>
      </c>
      <c r="B158" s="73"/>
      <c r="C158" s="16">
        <v>46151</v>
      </c>
      <c r="D158">
        <v>923830.41999999923</v>
      </c>
    </row>
    <row r="159" spans="1:4" x14ac:dyDescent="0.3">
      <c r="A159" s="73" t="s">
        <v>22</v>
      </c>
      <c r="B159" s="73"/>
      <c r="C159" s="16">
        <v>46151</v>
      </c>
      <c r="D159">
        <v>121511.38</v>
      </c>
    </row>
    <row r="160" spans="1:4" x14ac:dyDescent="0.3">
      <c r="A160" s="73" t="s">
        <v>23</v>
      </c>
      <c r="B160" s="73"/>
      <c r="C160" s="16">
        <v>46151</v>
      </c>
      <c r="D160">
        <v>13088.589999999997</v>
      </c>
    </row>
    <row r="161" spans="1:4" x14ac:dyDescent="0.3">
      <c r="A161" s="73" t="s">
        <v>24</v>
      </c>
      <c r="B161" s="73"/>
      <c r="C161" s="16">
        <v>46151</v>
      </c>
      <c r="D161">
        <v>3768.83</v>
      </c>
    </row>
    <row r="162" spans="1:4" x14ac:dyDescent="0.3">
      <c r="A162" s="73" t="s">
        <v>25</v>
      </c>
      <c r="B162" s="73"/>
      <c r="C162" s="16">
        <v>46151</v>
      </c>
      <c r="D162">
        <v>114.3</v>
      </c>
    </row>
    <row r="163" spans="1:4" x14ac:dyDescent="0.3">
      <c r="A163" s="73" t="s">
        <v>26</v>
      </c>
      <c r="B163" s="73"/>
      <c r="C163" s="16">
        <v>46151</v>
      </c>
      <c r="D163">
        <v>2267.7200000000003</v>
      </c>
    </row>
    <row r="164" spans="1:4" x14ac:dyDescent="0.3">
      <c r="A164" s="73" t="s">
        <v>27</v>
      </c>
      <c r="B164" s="73"/>
      <c r="C164" s="16">
        <v>46151</v>
      </c>
      <c r="D164">
        <v>3349.94</v>
      </c>
    </row>
    <row r="165" spans="1:4" x14ac:dyDescent="0.3">
      <c r="A165" s="73" t="s">
        <v>28</v>
      </c>
      <c r="B165" s="73"/>
      <c r="C165" s="16">
        <v>46151</v>
      </c>
      <c r="D165">
        <v>1968.99</v>
      </c>
    </row>
    <row r="166" spans="1:4" x14ac:dyDescent="0.3">
      <c r="A166" s="73" t="s">
        <v>29</v>
      </c>
      <c r="B166" s="73"/>
      <c r="C166" s="16">
        <v>46151</v>
      </c>
      <c r="D166">
        <v>901.34</v>
      </c>
    </row>
    <row r="167" spans="1:4" x14ac:dyDescent="0.3">
      <c r="A167" s="73" t="s">
        <v>30</v>
      </c>
      <c r="B167" s="73"/>
      <c r="C167" s="16">
        <v>46151</v>
      </c>
      <c r="D167">
        <v>1444.08</v>
      </c>
    </row>
    <row r="168" spans="1:4" x14ac:dyDescent="0.3">
      <c r="A168" s="73" t="s">
        <v>31</v>
      </c>
      <c r="B168" s="73"/>
      <c r="C168" s="16">
        <v>46151</v>
      </c>
      <c r="D168">
        <v>20592.599999999962</v>
      </c>
    </row>
    <row r="169" spans="1:4" x14ac:dyDescent="0.3">
      <c r="A169" s="73" t="s">
        <v>32</v>
      </c>
      <c r="B169" s="73"/>
      <c r="C169" s="16">
        <v>46151</v>
      </c>
      <c r="D169">
        <v>15120.060000000001</v>
      </c>
    </row>
    <row r="170" spans="1:4" x14ac:dyDescent="0.3">
      <c r="A170" s="73" t="s">
        <v>33</v>
      </c>
      <c r="B170" s="73"/>
      <c r="C170" s="16">
        <v>46151</v>
      </c>
      <c r="D170">
        <v>31323.39</v>
      </c>
    </row>
    <row r="171" spans="1:4" x14ac:dyDescent="0.3">
      <c r="A171" s="73" t="s">
        <v>34</v>
      </c>
      <c r="B171" s="73"/>
      <c r="C171" s="16">
        <v>46151</v>
      </c>
      <c r="D171">
        <v>345</v>
      </c>
    </row>
    <row r="172" spans="1:4" x14ac:dyDescent="0.3">
      <c r="A172" s="73" t="s">
        <v>35</v>
      </c>
      <c r="B172" s="73"/>
      <c r="C172" s="16">
        <v>46151</v>
      </c>
      <c r="D172">
        <v>23782.25</v>
      </c>
    </row>
    <row r="173" spans="1:4" x14ac:dyDescent="0.3">
      <c r="A173" s="73" t="s">
        <v>17</v>
      </c>
      <c r="B173" s="73"/>
      <c r="C173" s="16">
        <v>46152</v>
      </c>
      <c r="D173">
        <v>512927.75000000023</v>
      </c>
    </row>
    <row r="174" spans="1:4" x14ac:dyDescent="0.3">
      <c r="A174" s="73" t="s">
        <v>18</v>
      </c>
      <c r="B174" s="73"/>
      <c r="C174" s="16">
        <v>46152</v>
      </c>
      <c r="D174">
        <v>58840.089999999938</v>
      </c>
    </row>
    <row r="175" spans="1:4" x14ac:dyDescent="0.3">
      <c r="A175" s="73" t="s">
        <v>19</v>
      </c>
      <c r="B175" s="73"/>
      <c r="C175" s="16">
        <v>46152</v>
      </c>
      <c r="D175">
        <v>1669.89</v>
      </c>
    </row>
    <row r="176" spans="1:4" x14ac:dyDescent="0.3">
      <c r="A176" s="73" t="s">
        <v>20</v>
      </c>
      <c r="B176" s="73"/>
      <c r="C176" s="16">
        <v>46152</v>
      </c>
      <c r="D176">
        <v>792366.49999999988</v>
      </c>
    </row>
    <row r="177" spans="1:4" x14ac:dyDescent="0.3">
      <c r="A177" s="73" t="s">
        <v>21</v>
      </c>
      <c r="B177" s="73"/>
      <c r="C177" s="16">
        <v>46152</v>
      </c>
      <c r="D177">
        <v>923830.41999999923</v>
      </c>
    </row>
    <row r="178" spans="1:4" x14ac:dyDescent="0.3">
      <c r="A178" s="73" t="s">
        <v>22</v>
      </c>
      <c r="B178" s="73"/>
      <c r="C178" s="16">
        <v>46152</v>
      </c>
      <c r="D178">
        <v>121511.38</v>
      </c>
    </row>
    <row r="179" spans="1:4" x14ac:dyDescent="0.3">
      <c r="A179" s="73" t="s">
        <v>23</v>
      </c>
      <c r="B179" s="73"/>
      <c r="C179" s="16">
        <v>46152</v>
      </c>
      <c r="D179">
        <v>13088.589999999997</v>
      </c>
    </row>
    <row r="180" spans="1:4" x14ac:dyDescent="0.3">
      <c r="A180" s="73" t="s">
        <v>24</v>
      </c>
      <c r="B180" s="73"/>
      <c r="C180" s="16">
        <v>46152</v>
      </c>
      <c r="D180">
        <v>3768.83</v>
      </c>
    </row>
    <row r="181" spans="1:4" x14ac:dyDescent="0.3">
      <c r="A181" s="73" t="s">
        <v>25</v>
      </c>
      <c r="B181" s="73"/>
      <c r="C181" s="16">
        <v>46152</v>
      </c>
      <c r="D181">
        <v>114.3</v>
      </c>
    </row>
    <row r="182" spans="1:4" x14ac:dyDescent="0.3">
      <c r="A182" s="73" t="s">
        <v>26</v>
      </c>
      <c r="B182" s="73"/>
      <c r="C182" s="16">
        <v>46152</v>
      </c>
      <c r="D182">
        <v>2267.7200000000003</v>
      </c>
    </row>
    <row r="183" spans="1:4" x14ac:dyDescent="0.3">
      <c r="A183" s="73" t="s">
        <v>27</v>
      </c>
      <c r="B183" s="73"/>
      <c r="C183" s="16">
        <v>46152</v>
      </c>
      <c r="D183">
        <v>3349.94</v>
      </c>
    </row>
    <row r="184" spans="1:4" x14ac:dyDescent="0.3">
      <c r="A184" s="73" t="s">
        <v>28</v>
      </c>
      <c r="B184" s="73"/>
      <c r="C184" s="16">
        <v>46152</v>
      </c>
      <c r="D184">
        <v>1968.99</v>
      </c>
    </row>
    <row r="185" spans="1:4" x14ac:dyDescent="0.3">
      <c r="A185" s="73" t="s">
        <v>29</v>
      </c>
      <c r="B185" s="73"/>
      <c r="C185" s="16">
        <v>46152</v>
      </c>
      <c r="D185">
        <v>901.34</v>
      </c>
    </row>
    <row r="186" spans="1:4" x14ac:dyDescent="0.3">
      <c r="A186" s="73" t="s">
        <v>30</v>
      </c>
      <c r="B186" s="73"/>
      <c r="C186" s="16">
        <v>46152</v>
      </c>
      <c r="D186">
        <v>1444.08</v>
      </c>
    </row>
    <row r="187" spans="1:4" x14ac:dyDescent="0.3">
      <c r="A187" s="73" t="s">
        <v>31</v>
      </c>
      <c r="B187" s="73"/>
      <c r="C187" s="16">
        <v>46152</v>
      </c>
      <c r="D187">
        <v>20592.599999999962</v>
      </c>
    </row>
    <row r="188" spans="1:4" x14ac:dyDescent="0.3">
      <c r="A188" s="73" t="s">
        <v>32</v>
      </c>
      <c r="B188" s="73"/>
      <c r="C188" s="16">
        <v>46152</v>
      </c>
      <c r="D188">
        <v>15120.060000000001</v>
      </c>
    </row>
    <row r="189" spans="1:4" x14ac:dyDescent="0.3">
      <c r="A189" s="73" t="s">
        <v>33</v>
      </c>
      <c r="B189" s="73"/>
      <c r="C189" s="16">
        <v>46152</v>
      </c>
      <c r="D189">
        <v>31323.39</v>
      </c>
    </row>
    <row r="190" spans="1:4" x14ac:dyDescent="0.3">
      <c r="A190" s="73" t="s">
        <v>34</v>
      </c>
      <c r="B190" s="73"/>
      <c r="C190" s="16">
        <v>46152</v>
      </c>
      <c r="D190">
        <v>345</v>
      </c>
    </row>
    <row r="191" spans="1:4" x14ac:dyDescent="0.3">
      <c r="A191" s="73" t="s">
        <v>35</v>
      </c>
      <c r="B191" s="73"/>
      <c r="C191" s="16">
        <v>46152</v>
      </c>
      <c r="D191">
        <v>23782.25</v>
      </c>
    </row>
    <row r="192" spans="1:4" x14ac:dyDescent="0.3">
      <c r="A192" s="73" t="s">
        <v>17</v>
      </c>
      <c r="B192" s="73"/>
      <c r="C192" s="16">
        <v>46153</v>
      </c>
      <c r="D192">
        <v>512927.75000000023</v>
      </c>
    </row>
    <row r="193" spans="1:4" x14ac:dyDescent="0.3">
      <c r="A193" s="73" t="s">
        <v>18</v>
      </c>
      <c r="B193" s="73"/>
      <c r="C193" s="16">
        <v>46153</v>
      </c>
      <c r="D193">
        <v>58840.089999999938</v>
      </c>
    </row>
    <row r="194" spans="1:4" x14ac:dyDescent="0.3">
      <c r="A194" s="73" t="s">
        <v>19</v>
      </c>
      <c r="B194" s="73"/>
      <c r="C194" s="16">
        <v>46153</v>
      </c>
      <c r="D194">
        <v>1669.89</v>
      </c>
    </row>
    <row r="195" spans="1:4" x14ac:dyDescent="0.3">
      <c r="A195" s="73" t="s">
        <v>20</v>
      </c>
      <c r="B195" s="73"/>
      <c r="C195" s="16">
        <v>46153</v>
      </c>
      <c r="D195">
        <v>1368366.5</v>
      </c>
    </row>
    <row r="196" spans="1:4" x14ac:dyDescent="0.3">
      <c r="A196" s="73" t="s">
        <v>21</v>
      </c>
      <c r="B196" s="73"/>
      <c r="C196" s="16">
        <v>46153</v>
      </c>
      <c r="D196">
        <v>1162513.7699999993</v>
      </c>
    </row>
    <row r="197" spans="1:4" x14ac:dyDescent="0.3">
      <c r="A197" s="73" t="s">
        <v>22</v>
      </c>
      <c r="B197" s="73"/>
      <c r="C197" s="16">
        <v>46153</v>
      </c>
      <c r="D197">
        <v>121511.38</v>
      </c>
    </row>
    <row r="198" spans="1:4" x14ac:dyDescent="0.3">
      <c r="A198" s="73" t="s">
        <v>23</v>
      </c>
      <c r="B198" s="73"/>
      <c r="C198" s="16">
        <v>46153</v>
      </c>
      <c r="D198">
        <v>13088.589999999997</v>
      </c>
    </row>
    <row r="199" spans="1:4" x14ac:dyDescent="0.3">
      <c r="A199" s="73" t="s">
        <v>24</v>
      </c>
      <c r="B199" s="73"/>
      <c r="C199" s="16">
        <v>46153</v>
      </c>
      <c r="D199">
        <v>3768.83</v>
      </c>
    </row>
    <row r="200" spans="1:4" x14ac:dyDescent="0.3">
      <c r="A200" s="73" t="s">
        <v>25</v>
      </c>
      <c r="B200" s="73"/>
      <c r="C200" s="16">
        <v>46153</v>
      </c>
      <c r="D200">
        <v>114.3</v>
      </c>
    </row>
    <row r="201" spans="1:4" x14ac:dyDescent="0.3">
      <c r="A201" s="73" t="s">
        <v>26</v>
      </c>
      <c r="B201" s="73"/>
      <c r="C201" s="16">
        <v>46153</v>
      </c>
      <c r="D201">
        <v>2267.7200000000003</v>
      </c>
    </row>
    <row r="202" spans="1:4" x14ac:dyDescent="0.3">
      <c r="A202" s="73" t="s">
        <v>27</v>
      </c>
      <c r="B202" s="73"/>
      <c r="C202" s="16">
        <v>46153</v>
      </c>
      <c r="D202">
        <v>3349.94</v>
      </c>
    </row>
    <row r="203" spans="1:4" x14ac:dyDescent="0.3">
      <c r="A203" s="73" t="s">
        <v>28</v>
      </c>
      <c r="B203" s="73"/>
      <c r="C203" s="16">
        <v>46153</v>
      </c>
      <c r="D203">
        <v>1968.99</v>
      </c>
    </row>
    <row r="204" spans="1:4" x14ac:dyDescent="0.3">
      <c r="A204" s="73" t="s">
        <v>29</v>
      </c>
      <c r="B204" s="73"/>
      <c r="C204" s="16">
        <v>46153</v>
      </c>
      <c r="D204">
        <v>901.34</v>
      </c>
    </row>
    <row r="205" spans="1:4" x14ac:dyDescent="0.3">
      <c r="A205" s="73" t="s">
        <v>30</v>
      </c>
      <c r="B205" s="73"/>
      <c r="C205" s="16">
        <v>46153</v>
      </c>
      <c r="D205">
        <v>1444.08</v>
      </c>
    </row>
    <row r="206" spans="1:4" x14ac:dyDescent="0.3">
      <c r="A206" s="73" t="s">
        <v>31</v>
      </c>
      <c r="B206" s="73"/>
      <c r="C206" s="16">
        <v>46153</v>
      </c>
      <c r="D206">
        <v>19092.599999999962</v>
      </c>
    </row>
    <row r="207" spans="1:4" x14ac:dyDescent="0.3">
      <c r="A207" s="73" t="s">
        <v>32</v>
      </c>
      <c r="B207" s="73"/>
      <c r="C207" s="16">
        <v>46153</v>
      </c>
      <c r="D207">
        <v>15120.060000000001</v>
      </c>
    </row>
    <row r="208" spans="1:4" x14ac:dyDescent="0.3">
      <c r="A208" s="73" t="s">
        <v>33</v>
      </c>
      <c r="B208" s="73"/>
      <c r="C208" s="16">
        <v>46153</v>
      </c>
      <c r="D208">
        <v>31323.39</v>
      </c>
    </row>
    <row r="209" spans="1:4" x14ac:dyDescent="0.3">
      <c r="A209" s="73" t="s">
        <v>34</v>
      </c>
      <c r="B209" s="73"/>
      <c r="C209" s="16">
        <v>46153</v>
      </c>
      <c r="D209">
        <v>345</v>
      </c>
    </row>
    <row r="210" spans="1:4" x14ac:dyDescent="0.3">
      <c r="A210" s="73" t="s">
        <v>35</v>
      </c>
      <c r="B210" s="73"/>
      <c r="C210" s="16">
        <v>46153</v>
      </c>
      <c r="D210">
        <v>16956.59</v>
      </c>
    </row>
    <row r="211" spans="1:4" x14ac:dyDescent="0.3">
      <c r="A211" s="73" t="s">
        <v>17</v>
      </c>
      <c r="B211" s="73"/>
      <c r="C211" s="16">
        <v>46154</v>
      </c>
      <c r="D211">
        <v>606714.4700000002</v>
      </c>
    </row>
    <row r="212" spans="1:4" x14ac:dyDescent="0.3">
      <c r="A212" s="73" t="s">
        <v>18</v>
      </c>
      <c r="B212" s="73"/>
      <c r="C212" s="16">
        <v>46154</v>
      </c>
      <c r="D212">
        <v>58840.089999999938</v>
      </c>
    </row>
    <row r="213" spans="1:4" x14ac:dyDescent="0.3">
      <c r="A213" s="73" t="s">
        <v>19</v>
      </c>
      <c r="B213" s="73"/>
      <c r="C213" s="16">
        <v>46154</v>
      </c>
      <c r="D213">
        <v>1669.89</v>
      </c>
    </row>
    <row r="214" spans="1:4" x14ac:dyDescent="0.3">
      <c r="A214" s="73" t="s">
        <v>20</v>
      </c>
      <c r="B214" s="73"/>
      <c r="C214" s="16">
        <v>46154</v>
      </c>
      <c r="D214">
        <v>1226185.8999999999</v>
      </c>
    </row>
    <row r="215" spans="1:4" x14ac:dyDescent="0.3">
      <c r="A215" s="73" t="s">
        <v>21</v>
      </c>
      <c r="B215" s="73"/>
      <c r="C215" s="16">
        <v>46154</v>
      </c>
      <c r="D215">
        <v>1162404.8599999992</v>
      </c>
    </row>
    <row r="216" spans="1:4" x14ac:dyDescent="0.3">
      <c r="A216" s="73" t="s">
        <v>22</v>
      </c>
      <c r="B216" s="73"/>
      <c r="C216" s="16">
        <v>46154</v>
      </c>
      <c r="D216">
        <v>121511.38</v>
      </c>
    </row>
    <row r="217" spans="1:4" x14ac:dyDescent="0.3">
      <c r="A217" s="73" t="s">
        <v>23</v>
      </c>
      <c r="B217" s="73"/>
      <c r="C217" s="16">
        <v>46154</v>
      </c>
      <c r="D217">
        <v>13088.589999999997</v>
      </c>
    </row>
    <row r="218" spans="1:4" x14ac:dyDescent="0.3">
      <c r="A218" s="73" t="s">
        <v>24</v>
      </c>
      <c r="B218" s="73"/>
      <c r="C218" s="16">
        <v>46154</v>
      </c>
      <c r="D218">
        <v>3768.83</v>
      </c>
    </row>
    <row r="219" spans="1:4" x14ac:dyDescent="0.3">
      <c r="A219" s="73" t="s">
        <v>25</v>
      </c>
      <c r="B219" s="73"/>
      <c r="C219" s="16">
        <v>46154</v>
      </c>
      <c r="D219">
        <v>114.3</v>
      </c>
    </row>
    <row r="220" spans="1:4" x14ac:dyDescent="0.3">
      <c r="A220" s="73" t="s">
        <v>26</v>
      </c>
      <c r="B220" s="73"/>
      <c r="C220" s="16">
        <v>46154</v>
      </c>
      <c r="D220">
        <v>2267.7200000000003</v>
      </c>
    </row>
    <row r="221" spans="1:4" x14ac:dyDescent="0.3">
      <c r="A221" s="73" t="s">
        <v>27</v>
      </c>
      <c r="B221" s="73"/>
      <c r="C221" s="16">
        <v>46154</v>
      </c>
      <c r="D221">
        <v>3349.94</v>
      </c>
    </row>
    <row r="222" spans="1:4" x14ac:dyDescent="0.3">
      <c r="A222" s="73" t="s">
        <v>28</v>
      </c>
      <c r="B222" s="73"/>
      <c r="C222" s="16">
        <v>46154</v>
      </c>
      <c r="D222">
        <v>1968.99</v>
      </c>
    </row>
    <row r="223" spans="1:4" x14ac:dyDescent="0.3">
      <c r="A223" s="73" t="s">
        <v>29</v>
      </c>
      <c r="B223" s="73"/>
      <c r="C223" s="16">
        <v>46154</v>
      </c>
      <c r="D223">
        <v>901.34</v>
      </c>
    </row>
    <row r="224" spans="1:4" x14ac:dyDescent="0.3">
      <c r="A224" s="73" t="s">
        <v>30</v>
      </c>
      <c r="B224" s="73"/>
      <c r="C224" s="16">
        <v>46154</v>
      </c>
      <c r="D224">
        <v>1444.08</v>
      </c>
    </row>
    <row r="225" spans="1:4" x14ac:dyDescent="0.3">
      <c r="A225" s="73" t="s">
        <v>31</v>
      </c>
      <c r="B225" s="73"/>
      <c r="C225" s="16">
        <v>46154</v>
      </c>
      <c r="D225">
        <v>19092.599999999962</v>
      </c>
    </row>
    <row r="226" spans="1:4" x14ac:dyDescent="0.3">
      <c r="A226" s="73" t="s">
        <v>32</v>
      </c>
      <c r="B226" s="73"/>
      <c r="C226" s="16">
        <v>46154</v>
      </c>
      <c r="D226">
        <v>15120.060000000001</v>
      </c>
    </row>
    <row r="227" spans="1:4" x14ac:dyDescent="0.3">
      <c r="A227" s="73" t="s">
        <v>33</v>
      </c>
      <c r="B227" s="73"/>
      <c r="C227" s="16">
        <v>46154</v>
      </c>
      <c r="D227">
        <v>31323.39</v>
      </c>
    </row>
    <row r="228" spans="1:4" x14ac:dyDescent="0.3">
      <c r="A228" s="73" t="s">
        <v>34</v>
      </c>
      <c r="B228" s="73"/>
      <c r="C228" s="16">
        <v>46154</v>
      </c>
      <c r="D228">
        <v>345</v>
      </c>
    </row>
    <row r="229" spans="1:4" x14ac:dyDescent="0.3">
      <c r="A229" s="73" t="s">
        <v>35</v>
      </c>
      <c r="B229" s="73"/>
      <c r="C229" s="16">
        <v>46154</v>
      </c>
      <c r="D229">
        <v>16741.59</v>
      </c>
    </row>
    <row r="230" spans="1:4" x14ac:dyDescent="0.3">
      <c r="A230" s="73" t="s">
        <v>17</v>
      </c>
      <c r="B230" s="73"/>
      <c r="C230" s="16">
        <v>46155</v>
      </c>
      <c r="D230">
        <v>606714.4700000002</v>
      </c>
    </row>
    <row r="231" spans="1:4" x14ac:dyDescent="0.3">
      <c r="A231" s="73" t="s">
        <v>18</v>
      </c>
      <c r="B231" s="73"/>
      <c r="C231" s="16">
        <v>46155</v>
      </c>
      <c r="D231">
        <v>58840.089999999938</v>
      </c>
    </row>
    <row r="232" spans="1:4" x14ac:dyDescent="0.3">
      <c r="A232" s="73" t="s">
        <v>19</v>
      </c>
      <c r="B232" s="73"/>
      <c r="C232" s="16">
        <v>46155</v>
      </c>
      <c r="D232">
        <v>1669.89</v>
      </c>
    </row>
    <row r="233" spans="1:4" x14ac:dyDescent="0.3">
      <c r="A233" s="73" t="s">
        <v>20</v>
      </c>
      <c r="B233" s="73"/>
      <c r="C233" s="16">
        <v>46155</v>
      </c>
      <c r="D233">
        <v>1242679.67</v>
      </c>
    </row>
    <row r="234" spans="1:4" x14ac:dyDescent="0.3">
      <c r="A234" s="73" t="s">
        <v>21</v>
      </c>
      <c r="B234" s="73"/>
      <c r="C234" s="16">
        <v>46155</v>
      </c>
      <c r="D234">
        <v>1162404.8599999992</v>
      </c>
    </row>
    <row r="235" spans="1:4" x14ac:dyDescent="0.3">
      <c r="A235" s="73" t="s">
        <v>22</v>
      </c>
      <c r="B235" s="73"/>
      <c r="C235" s="16">
        <v>46155</v>
      </c>
      <c r="D235">
        <v>121511.38</v>
      </c>
    </row>
    <row r="236" spans="1:4" x14ac:dyDescent="0.3">
      <c r="A236" s="73" t="s">
        <v>23</v>
      </c>
      <c r="B236" s="73"/>
      <c r="C236" s="16">
        <v>46155</v>
      </c>
      <c r="D236">
        <v>13090.369999999997</v>
      </c>
    </row>
    <row r="237" spans="1:4" x14ac:dyDescent="0.3">
      <c r="A237" s="73" t="s">
        <v>24</v>
      </c>
      <c r="B237" s="73"/>
      <c r="C237" s="16">
        <v>46155</v>
      </c>
      <c r="D237">
        <v>2498.3999999999996</v>
      </c>
    </row>
    <row r="238" spans="1:4" x14ac:dyDescent="0.3">
      <c r="A238" s="73" t="s">
        <v>25</v>
      </c>
      <c r="B238" s="73"/>
      <c r="C238" s="16">
        <v>46155</v>
      </c>
      <c r="D238">
        <v>114.3</v>
      </c>
    </row>
    <row r="239" spans="1:4" x14ac:dyDescent="0.3">
      <c r="A239" s="73" t="s">
        <v>26</v>
      </c>
      <c r="B239" s="73"/>
      <c r="C239" s="16">
        <v>46155</v>
      </c>
      <c r="D239">
        <v>2267.7200000000003</v>
      </c>
    </row>
    <row r="240" spans="1:4" x14ac:dyDescent="0.3">
      <c r="A240" s="73" t="s">
        <v>27</v>
      </c>
      <c r="B240" s="73"/>
      <c r="C240" s="16">
        <v>46155</v>
      </c>
      <c r="D240">
        <v>3349.94</v>
      </c>
    </row>
    <row r="241" spans="1:4" x14ac:dyDescent="0.3">
      <c r="A241" s="73" t="s">
        <v>28</v>
      </c>
      <c r="B241" s="73"/>
      <c r="C241" s="16">
        <v>46155</v>
      </c>
      <c r="D241">
        <v>1968.99</v>
      </c>
    </row>
    <row r="242" spans="1:4" x14ac:dyDescent="0.3">
      <c r="A242" s="73" t="s">
        <v>29</v>
      </c>
      <c r="B242" s="73"/>
      <c r="C242" s="16">
        <v>46155</v>
      </c>
      <c r="D242">
        <v>901.34</v>
      </c>
    </row>
    <row r="243" spans="1:4" x14ac:dyDescent="0.3">
      <c r="A243" s="73" t="s">
        <v>30</v>
      </c>
      <c r="B243" s="73"/>
      <c r="C243" s="16">
        <v>46155</v>
      </c>
      <c r="D243">
        <v>1444.08</v>
      </c>
    </row>
    <row r="244" spans="1:4" x14ac:dyDescent="0.3">
      <c r="A244" s="73" t="s">
        <v>31</v>
      </c>
      <c r="B244" s="73"/>
      <c r="C244" s="16">
        <v>46155</v>
      </c>
      <c r="D244">
        <v>18242.599999999962</v>
      </c>
    </row>
    <row r="245" spans="1:4" x14ac:dyDescent="0.3">
      <c r="A245" s="73" t="s">
        <v>32</v>
      </c>
      <c r="B245" s="73"/>
      <c r="C245" s="16">
        <v>46155</v>
      </c>
      <c r="D245">
        <v>15120.060000000001</v>
      </c>
    </row>
    <row r="246" spans="1:4" x14ac:dyDescent="0.3">
      <c r="A246" s="73" t="s">
        <v>33</v>
      </c>
      <c r="B246" s="73"/>
      <c r="C246" s="16">
        <v>46155</v>
      </c>
      <c r="D246">
        <v>31323.39</v>
      </c>
    </row>
    <row r="247" spans="1:4" x14ac:dyDescent="0.3">
      <c r="A247" s="73" t="s">
        <v>34</v>
      </c>
      <c r="B247" s="73"/>
      <c r="C247" s="16">
        <v>46155</v>
      </c>
      <c r="D247">
        <v>345</v>
      </c>
    </row>
    <row r="248" spans="1:4" x14ac:dyDescent="0.3">
      <c r="A248" s="73" t="s">
        <v>35</v>
      </c>
      <c r="B248" s="73"/>
      <c r="C248" s="16">
        <v>46155</v>
      </c>
      <c r="D248">
        <v>16741.59</v>
      </c>
    </row>
    <row r="249" spans="1:4" x14ac:dyDescent="0.3">
      <c r="A249" s="73" t="s">
        <v>17</v>
      </c>
      <c r="B249" s="73"/>
      <c r="C249" s="16">
        <v>46156</v>
      </c>
      <c r="D249">
        <v>165752.81000000023</v>
      </c>
    </row>
    <row r="250" spans="1:4" x14ac:dyDescent="0.3">
      <c r="A250" s="73" t="s">
        <v>18</v>
      </c>
      <c r="B250" s="73"/>
      <c r="C250" s="16">
        <v>46156</v>
      </c>
      <c r="D250">
        <v>59760.159999999938</v>
      </c>
    </row>
    <row r="251" spans="1:4" x14ac:dyDescent="0.3">
      <c r="A251" s="73" t="s">
        <v>19</v>
      </c>
      <c r="B251" s="73"/>
      <c r="C251" s="16">
        <v>46156</v>
      </c>
      <c r="D251">
        <v>1669.89</v>
      </c>
    </row>
    <row r="252" spans="1:4" x14ac:dyDescent="0.3">
      <c r="A252" s="73" t="s">
        <v>20</v>
      </c>
      <c r="B252" s="73"/>
      <c r="C252" s="16">
        <v>46156</v>
      </c>
      <c r="D252">
        <v>832679.66999999981</v>
      </c>
    </row>
    <row r="253" spans="1:4" x14ac:dyDescent="0.3">
      <c r="A253" s="73" t="s">
        <v>21</v>
      </c>
      <c r="B253" s="73"/>
      <c r="C253" s="16">
        <v>46156</v>
      </c>
      <c r="D253">
        <v>952193.18999999925</v>
      </c>
    </row>
    <row r="254" spans="1:4" x14ac:dyDescent="0.3">
      <c r="A254" s="73" t="s">
        <v>22</v>
      </c>
      <c r="B254" s="73"/>
      <c r="C254" s="16">
        <v>46156</v>
      </c>
      <c r="D254">
        <v>121511.38</v>
      </c>
    </row>
    <row r="255" spans="1:4" x14ac:dyDescent="0.3">
      <c r="A255" s="73" t="s">
        <v>23</v>
      </c>
      <c r="B255" s="73"/>
      <c r="C255" s="16">
        <v>46156</v>
      </c>
      <c r="D255">
        <v>13090.369999999997</v>
      </c>
    </row>
    <row r="256" spans="1:4" x14ac:dyDescent="0.3">
      <c r="A256" s="73" t="s">
        <v>24</v>
      </c>
      <c r="B256" s="73"/>
      <c r="C256" s="16">
        <v>46156</v>
      </c>
      <c r="D256">
        <v>2498.3999999999996</v>
      </c>
    </row>
    <row r="257" spans="1:4" x14ac:dyDescent="0.3">
      <c r="A257" s="73" t="s">
        <v>25</v>
      </c>
      <c r="B257" s="73"/>
      <c r="C257" s="16">
        <v>46156</v>
      </c>
      <c r="D257">
        <v>114.3</v>
      </c>
    </row>
    <row r="258" spans="1:4" x14ac:dyDescent="0.3">
      <c r="A258" s="73" t="s">
        <v>26</v>
      </c>
      <c r="B258" s="73"/>
      <c r="C258" s="16">
        <v>46156</v>
      </c>
      <c r="D258">
        <v>2267.7200000000003</v>
      </c>
    </row>
    <row r="259" spans="1:4" x14ac:dyDescent="0.3">
      <c r="A259" s="73" t="s">
        <v>27</v>
      </c>
      <c r="B259" s="73"/>
      <c r="C259" s="16">
        <v>46156</v>
      </c>
      <c r="D259">
        <v>3349.94</v>
      </c>
    </row>
    <row r="260" spans="1:4" x14ac:dyDescent="0.3">
      <c r="A260" s="73" t="s">
        <v>28</v>
      </c>
      <c r="B260" s="73"/>
      <c r="C260" s="16">
        <v>46156</v>
      </c>
      <c r="D260">
        <v>1968.99</v>
      </c>
    </row>
    <row r="261" spans="1:4" x14ac:dyDescent="0.3">
      <c r="A261" s="73" t="s">
        <v>29</v>
      </c>
      <c r="B261" s="73"/>
      <c r="C261" s="16">
        <v>46156</v>
      </c>
      <c r="D261">
        <v>901.34</v>
      </c>
    </row>
    <row r="262" spans="1:4" x14ac:dyDescent="0.3">
      <c r="A262" s="73" t="s">
        <v>30</v>
      </c>
      <c r="B262" s="73"/>
      <c r="C262" s="16">
        <v>46156</v>
      </c>
      <c r="D262">
        <v>1444.08</v>
      </c>
    </row>
    <row r="263" spans="1:4" x14ac:dyDescent="0.3">
      <c r="A263" s="73" t="s">
        <v>31</v>
      </c>
      <c r="B263" s="73"/>
      <c r="C263" s="16">
        <v>46156</v>
      </c>
      <c r="D263">
        <v>18242.599999999962</v>
      </c>
    </row>
    <row r="264" spans="1:4" x14ac:dyDescent="0.3">
      <c r="A264" s="73" t="s">
        <v>32</v>
      </c>
      <c r="B264" s="73"/>
      <c r="C264" s="16">
        <v>46156</v>
      </c>
      <c r="D264">
        <v>15120.060000000001</v>
      </c>
    </row>
    <row r="265" spans="1:4" x14ac:dyDescent="0.3">
      <c r="A265" s="73" t="s">
        <v>33</v>
      </c>
      <c r="B265" s="73"/>
      <c r="C265" s="16">
        <v>46156</v>
      </c>
      <c r="D265">
        <v>31323.39</v>
      </c>
    </row>
    <row r="266" spans="1:4" x14ac:dyDescent="0.3">
      <c r="A266" s="73" t="s">
        <v>34</v>
      </c>
      <c r="B266" s="73"/>
      <c r="C266" s="16">
        <v>46156</v>
      </c>
      <c r="D266">
        <v>345</v>
      </c>
    </row>
    <row r="267" spans="1:4" x14ac:dyDescent="0.3">
      <c r="A267" s="73" t="s">
        <v>35</v>
      </c>
      <c r="B267" s="73"/>
      <c r="C267" s="16">
        <v>46156</v>
      </c>
      <c r="D267">
        <v>14226.59</v>
      </c>
    </row>
    <row r="268" spans="1:4" x14ac:dyDescent="0.3">
      <c r="A268" s="73" t="s">
        <v>17</v>
      </c>
      <c r="B268" s="73"/>
      <c r="C268" s="16">
        <v>46157</v>
      </c>
      <c r="D268">
        <v>165752.81000000023</v>
      </c>
    </row>
    <row r="269" spans="1:4" x14ac:dyDescent="0.3">
      <c r="A269" s="73" t="s">
        <v>18</v>
      </c>
      <c r="B269" s="73"/>
      <c r="C269" s="16">
        <v>46157</v>
      </c>
      <c r="D269">
        <v>59760.159999999938</v>
      </c>
    </row>
    <row r="270" spans="1:4" x14ac:dyDescent="0.3">
      <c r="A270" s="73" t="s">
        <v>19</v>
      </c>
      <c r="B270" s="73"/>
      <c r="C270" s="16">
        <v>46157</v>
      </c>
      <c r="D270">
        <v>1669.89</v>
      </c>
    </row>
    <row r="271" spans="1:4" x14ac:dyDescent="0.3">
      <c r="A271" s="73" t="s">
        <v>20</v>
      </c>
      <c r="B271" s="73"/>
      <c r="C271" s="16">
        <v>46157</v>
      </c>
      <c r="D271">
        <v>832076.20999999985</v>
      </c>
    </row>
    <row r="272" spans="1:4" x14ac:dyDescent="0.3">
      <c r="A272" s="73" t="s">
        <v>21</v>
      </c>
      <c r="B272" s="73"/>
      <c r="C272" s="16">
        <v>46157</v>
      </c>
      <c r="D272">
        <v>952163.77999999933</v>
      </c>
    </row>
    <row r="273" spans="1:4" x14ac:dyDescent="0.3">
      <c r="A273" s="73" t="s">
        <v>22</v>
      </c>
      <c r="B273" s="73"/>
      <c r="C273" s="16">
        <v>46157</v>
      </c>
      <c r="D273">
        <v>121511.38</v>
      </c>
    </row>
    <row r="274" spans="1:4" x14ac:dyDescent="0.3">
      <c r="A274" s="73" t="s">
        <v>23</v>
      </c>
      <c r="B274" s="73"/>
      <c r="C274" s="16">
        <v>46157</v>
      </c>
      <c r="D274">
        <v>13090.369999999997</v>
      </c>
    </row>
    <row r="275" spans="1:4" x14ac:dyDescent="0.3">
      <c r="A275" s="73" t="s">
        <v>24</v>
      </c>
      <c r="B275" s="73"/>
      <c r="C275" s="16">
        <v>46157</v>
      </c>
      <c r="D275">
        <v>2498.3999999999996</v>
      </c>
    </row>
    <row r="276" spans="1:4" x14ac:dyDescent="0.3">
      <c r="A276" s="73" t="s">
        <v>25</v>
      </c>
      <c r="B276" s="73"/>
      <c r="C276" s="16">
        <v>46157</v>
      </c>
      <c r="D276">
        <v>114.3</v>
      </c>
    </row>
    <row r="277" spans="1:4" x14ac:dyDescent="0.3">
      <c r="A277" s="73" t="s">
        <v>26</v>
      </c>
      <c r="B277" s="73"/>
      <c r="C277" s="16">
        <v>46157</v>
      </c>
      <c r="D277">
        <v>2267.7200000000003</v>
      </c>
    </row>
    <row r="278" spans="1:4" x14ac:dyDescent="0.3">
      <c r="A278" s="73" t="s">
        <v>27</v>
      </c>
      <c r="B278" s="73"/>
      <c r="C278" s="16">
        <v>46157</v>
      </c>
      <c r="D278">
        <v>3349.94</v>
      </c>
    </row>
    <row r="279" spans="1:4" x14ac:dyDescent="0.3">
      <c r="A279" s="73" t="s">
        <v>28</v>
      </c>
      <c r="B279" s="73"/>
      <c r="C279" s="16">
        <v>46157</v>
      </c>
      <c r="D279">
        <v>1968.99</v>
      </c>
    </row>
    <row r="280" spans="1:4" x14ac:dyDescent="0.3">
      <c r="A280" s="73" t="s">
        <v>29</v>
      </c>
      <c r="B280" s="73"/>
      <c r="C280" s="16">
        <v>46157</v>
      </c>
      <c r="D280">
        <v>901.34</v>
      </c>
    </row>
    <row r="281" spans="1:4" x14ac:dyDescent="0.3">
      <c r="A281" s="73" t="s">
        <v>30</v>
      </c>
      <c r="B281" s="73"/>
      <c r="C281" s="16">
        <v>46157</v>
      </c>
      <c r="D281">
        <v>1444.08</v>
      </c>
    </row>
    <row r="282" spans="1:4" x14ac:dyDescent="0.3">
      <c r="A282" s="73" t="s">
        <v>31</v>
      </c>
      <c r="B282" s="73"/>
      <c r="C282" s="16">
        <v>46157</v>
      </c>
      <c r="D282">
        <v>18242.599999999962</v>
      </c>
    </row>
    <row r="283" spans="1:4" x14ac:dyDescent="0.3">
      <c r="A283" s="73" t="s">
        <v>32</v>
      </c>
      <c r="B283" s="73"/>
      <c r="C283" s="16">
        <v>46157</v>
      </c>
      <c r="D283">
        <v>15120.060000000001</v>
      </c>
    </row>
    <row r="284" spans="1:4" x14ac:dyDescent="0.3">
      <c r="A284" s="73" t="s">
        <v>33</v>
      </c>
      <c r="B284" s="73"/>
      <c r="C284" s="16">
        <v>46157</v>
      </c>
      <c r="D284">
        <v>27011.27</v>
      </c>
    </row>
    <row r="285" spans="1:4" x14ac:dyDescent="0.3">
      <c r="A285" s="73" t="s">
        <v>34</v>
      </c>
      <c r="B285" s="73"/>
      <c r="C285" s="16">
        <v>46157</v>
      </c>
      <c r="D285">
        <v>345</v>
      </c>
    </row>
    <row r="286" spans="1:4" x14ac:dyDescent="0.3">
      <c r="A286" s="73" t="s">
        <v>35</v>
      </c>
      <c r="B286" s="73"/>
      <c r="C286" s="16">
        <v>46157</v>
      </c>
      <c r="D286">
        <v>14176.59</v>
      </c>
    </row>
    <row r="287" spans="1:4" x14ac:dyDescent="0.3">
      <c r="A287" s="73" t="s">
        <v>17</v>
      </c>
      <c r="B287" s="73"/>
      <c r="C287" s="16">
        <v>46158</v>
      </c>
      <c r="D287">
        <v>165752.81000000023</v>
      </c>
    </row>
    <row r="288" spans="1:4" x14ac:dyDescent="0.3">
      <c r="A288" s="73" t="s">
        <v>18</v>
      </c>
      <c r="B288" s="73"/>
      <c r="C288" s="16">
        <v>46158</v>
      </c>
      <c r="D288">
        <v>59760.159999999938</v>
      </c>
    </row>
    <row r="289" spans="1:4" x14ac:dyDescent="0.3">
      <c r="A289" s="73" t="s">
        <v>19</v>
      </c>
      <c r="B289" s="73"/>
      <c r="C289" s="16">
        <v>46158</v>
      </c>
      <c r="D289">
        <v>1669.89</v>
      </c>
    </row>
    <row r="290" spans="1:4" x14ac:dyDescent="0.3">
      <c r="A290" s="73" t="s">
        <v>20</v>
      </c>
      <c r="B290" s="73"/>
      <c r="C290" s="16">
        <v>46158</v>
      </c>
      <c r="D290">
        <v>832076.20999999985</v>
      </c>
    </row>
    <row r="291" spans="1:4" x14ac:dyDescent="0.3">
      <c r="A291" s="73" t="s">
        <v>21</v>
      </c>
      <c r="B291" s="73"/>
      <c r="C291" s="16">
        <v>46158</v>
      </c>
      <c r="D291">
        <v>952163.77999999933</v>
      </c>
    </row>
    <row r="292" spans="1:4" x14ac:dyDescent="0.3">
      <c r="A292" s="73" t="s">
        <v>22</v>
      </c>
      <c r="B292" s="73"/>
      <c r="C292" s="16">
        <v>46158</v>
      </c>
      <c r="D292">
        <v>121511.38</v>
      </c>
    </row>
    <row r="293" spans="1:4" x14ac:dyDescent="0.3">
      <c r="A293" s="73" t="s">
        <v>23</v>
      </c>
      <c r="B293" s="73"/>
      <c r="C293" s="16">
        <v>46158</v>
      </c>
      <c r="D293">
        <v>13090.369999999997</v>
      </c>
    </row>
    <row r="294" spans="1:4" x14ac:dyDescent="0.3">
      <c r="A294" s="73" t="s">
        <v>24</v>
      </c>
      <c r="B294" s="73"/>
      <c r="C294" s="16">
        <v>46158</v>
      </c>
      <c r="D294">
        <v>2498.3999999999996</v>
      </c>
    </row>
    <row r="295" spans="1:4" x14ac:dyDescent="0.3">
      <c r="A295" s="73" t="s">
        <v>25</v>
      </c>
      <c r="B295" s="73"/>
      <c r="C295" s="16">
        <v>46158</v>
      </c>
      <c r="D295">
        <v>114.3</v>
      </c>
    </row>
    <row r="296" spans="1:4" x14ac:dyDescent="0.3">
      <c r="A296" s="73" t="s">
        <v>26</v>
      </c>
      <c r="B296" s="73"/>
      <c r="C296" s="16">
        <v>46158</v>
      </c>
      <c r="D296">
        <v>2267.7200000000003</v>
      </c>
    </row>
    <row r="297" spans="1:4" x14ac:dyDescent="0.3">
      <c r="A297" s="73" t="s">
        <v>27</v>
      </c>
      <c r="B297" s="73"/>
      <c r="C297" s="16">
        <v>46158</v>
      </c>
      <c r="D297">
        <v>3349.94</v>
      </c>
    </row>
    <row r="298" spans="1:4" x14ac:dyDescent="0.3">
      <c r="A298" s="73" t="s">
        <v>28</v>
      </c>
      <c r="B298" s="73"/>
      <c r="C298" s="16">
        <v>46158</v>
      </c>
      <c r="D298">
        <v>1968.99</v>
      </c>
    </row>
    <row r="299" spans="1:4" x14ac:dyDescent="0.3">
      <c r="A299" s="73" t="s">
        <v>29</v>
      </c>
      <c r="B299" s="73"/>
      <c r="C299" s="16">
        <v>46158</v>
      </c>
      <c r="D299">
        <v>901.34</v>
      </c>
    </row>
    <row r="300" spans="1:4" x14ac:dyDescent="0.3">
      <c r="A300" s="73" t="s">
        <v>30</v>
      </c>
      <c r="B300" s="73"/>
      <c r="C300" s="16">
        <v>46158</v>
      </c>
      <c r="D300">
        <v>1444.08</v>
      </c>
    </row>
    <row r="301" spans="1:4" x14ac:dyDescent="0.3">
      <c r="A301" s="73" t="s">
        <v>31</v>
      </c>
      <c r="B301" s="73"/>
      <c r="C301" s="16">
        <v>46158</v>
      </c>
      <c r="D301">
        <v>18242.599999999962</v>
      </c>
    </row>
    <row r="302" spans="1:4" x14ac:dyDescent="0.3">
      <c r="A302" s="73" t="s">
        <v>32</v>
      </c>
      <c r="B302" s="73"/>
      <c r="C302" s="16">
        <v>46158</v>
      </c>
      <c r="D302">
        <v>15120.060000000001</v>
      </c>
    </row>
    <row r="303" spans="1:4" x14ac:dyDescent="0.3">
      <c r="A303" s="73" t="s">
        <v>33</v>
      </c>
      <c r="B303" s="73"/>
      <c r="C303" s="16">
        <v>46158</v>
      </c>
      <c r="D303">
        <v>27011.27</v>
      </c>
    </row>
    <row r="304" spans="1:4" x14ac:dyDescent="0.3">
      <c r="A304" s="73" t="s">
        <v>34</v>
      </c>
      <c r="B304" s="73"/>
      <c r="C304" s="16">
        <v>46158</v>
      </c>
      <c r="D304">
        <v>345</v>
      </c>
    </row>
    <row r="305" spans="1:4" x14ac:dyDescent="0.3">
      <c r="A305" s="73" t="s">
        <v>35</v>
      </c>
      <c r="B305" s="73"/>
      <c r="C305" s="16">
        <v>46158</v>
      </c>
      <c r="D305">
        <v>14176.59</v>
      </c>
    </row>
    <row r="306" spans="1:4" x14ac:dyDescent="0.3">
      <c r="A306" s="73" t="s">
        <v>17</v>
      </c>
      <c r="B306" s="73"/>
      <c r="C306" s="16">
        <v>46159</v>
      </c>
      <c r="D306">
        <v>165752.81000000023</v>
      </c>
    </row>
    <row r="307" spans="1:4" x14ac:dyDescent="0.3">
      <c r="A307" s="73" t="s">
        <v>18</v>
      </c>
      <c r="B307" s="73"/>
      <c r="C307" s="16">
        <v>46159</v>
      </c>
      <c r="D307">
        <v>59760.159999999938</v>
      </c>
    </row>
    <row r="308" spans="1:4" x14ac:dyDescent="0.3">
      <c r="A308" s="73" t="s">
        <v>19</v>
      </c>
      <c r="B308" s="73"/>
      <c r="C308" s="16">
        <v>46159</v>
      </c>
      <c r="D308">
        <v>1669.89</v>
      </c>
    </row>
    <row r="309" spans="1:4" x14ac:dyDescent="0.3">
      <c r="A309" s="73" t="s">
        <v>20</v>
      </c>
      <c r="B309" s="73"/>
      <c r="C309" s="16">
        <v>46159</v>
      </c>
      <c r="D309">
        <v>832076.20999999985</v>
      </c>
    </row>
    <row r="310" spans="1:4" x14ac:dyDescent="0.3">
      <c r="A310" s="73" t="s">
        <v>21</v>
      </c>
      <c r="B310" s="73"/>
      <c r="C310" s="16">
        <v>46159</v>
      </c>
      <c r="D310">
        <v>952163.77999999933</v>
      </c>
    </row>
    <row r="311" spans="1:4" x14ac:dyDescent="0.3">
      <c r="A311" s="73" t="s">
        <v>22</v>
      </c>
      <c r="B311" s="73"/>
      <c r="C311" s="16">
        <v>46159</v>
      </c>
      <c r="D311">
        <v>121511.38</v>
      </c>
    </row>
    <row r="312" spans="1:4" x14ac:dyDescent="0.3">
      <c r="A312" s="73" t="s">
        <v>23</v>
      </c>
      <c r="B312" s="73"/>
      <c r="C312" s="16">
        <v>46159</v>
      </c>
      <c r="D312">
        <v>13090.369999999997</v>
      </c>
    </row>
    <row r="313" spans="1:4" x14ac:dyDescent="0.3">
      <c r="A313" s="73" t="s">
        <v>24</v>
      </c>
      <c r="B313" s="73"/>
      <c r="C313" s="16">
        <v>46159</v>
      </c>
      <c r="D313">
        <v>2498.3999999999996</v>
      </c>
    </row>
    <row r="314" spans="1:4" x14ac:dyDescent="0.3">
      <c r="A314" s="73" t="s">
        <v>25</v>
      </c>
      <c r="B314" s="73"/>
      <c r="C314" s="16">
        <v>46159</v>
      </c>
      <c r="D314">
        <v>114.3</v>
      </c>
    </row>
    <row r="315" spans="1:4" x14ac:dyDescent="0.3">
      <c r="A315" s="73" t="s">
        <v>26</v>
      </c>
      <c r="B315" s="73"/>
      <c r="C315" s="16">
        <v>46159</v>
      </c>
      <c r="D315">
        <v>2267.7200000000003</v>
      </c>
    </row>
    <row r="316" spans="1:4" x14ac:dyDescent="0.3">
      <c r="A316" s="73" t="s">
        <v>27</v>
      </c>
      <c r="B316" s="73"/>
      <c r="C316" s="16">
        <v>46159</v>
      </c>
      <c r="D316">
        <v>3349.94</v>
      </c>
    </row>
    <row r="317" spans="1:4" x14ac:dyDescent="0.3">
      <c r="A317" s="73" t="s">
        <v>28</v>
      </c>
      <c r="B317" s="73"/>
      <c r="C317" s="16">
        <v>46159</v>
      </c>
      <c r="D317">
        <v>1968.99</v>
      </c>
    </row>
    <row r="318" spans="1:4" x14ac:dyDescent="0.3">
      <c r="A318" s="73" t="s">
        <v>29</v>
      </c>
      <c r="B318" s="73"/>
      <c r="C318" s="16">
        <v>46159</v>
      </c>
      <c r="D318">
        <v>901.34</v>
      </c>
    </row>
    <row r="319" spans="1:4" x14ac:dyDescent="0.3">
      <c r="A319" s="73" t="s">
        <v>30</v>
      </c>
      <c r="B319" s="73"/>
      <c r="C319" s="16">
        <v>46159</v>
      </c>
      <c r="D319">
        <v>1444.08</v>
      </c>
    </row>
    <row r="320" spans="1:4" x14ac:dyDescent="0.3">
      <c r="A320" s="73" t="s">
        <v>31</v>
      </c>
      <c r="B320" s="73"/>
      <c r="C320" s="16">
        <v>46159</v>
      </c>
      <c r="D320">
        <v>18242.599999999962</v>
      </c>
    </row>
    <row r="321" spans="1:4" x14ac:dyDescent="0.3">
      <c r="A321" s="73" t="s">
        <v>32</v>
      </c>
      <c r="B321" s="73"/>
      <c r="C321" s="16">
        <v>46159</v>
      </c>
      <c r="D321">
        <v>15120.060000000001</v>
      </c>
    </row>
    <row r="322" spans="1:4" x14ac:dyDescent="0.3">
      <c r="A322" s="73" t="s">
        <v>33</v>
      </c>
      <c r="B322" s="73"/>
      <c r="C322" s="16">
        <v>46159</v>
      </c>
      <c r="D322">
        <v>27011.27</v>
      </c>
    </row>
    <row r="323" spans="1:4" x14ac:dyDescent="0.3">
      <c r="A323" s="73" t="s">
        <v>34</v>
      </c>
      <c r="B323" s="73"/>
      <c r="C323" s="16">
        <v>46159</v>
      </c>
      <c r="D323">
        <v>345</v>
      </c>
    </row>
    <row r="324" spans="1:4" x14ac:dyDescent="0.3">
      <c r="A324" s="73" t="s">
        <v>35</v>
      </c>
      <c r="B324" s="73"/>
      <c r="C324" s="16">
        <v>46159</v>
      </c>
      <c r="D324">
        <v>14176.59</v>
      </c>
    </row>
    <row r="325" spans="1:4" x14ac:dyDescent="0.3">
      <c r="A325" s="73" t="s">
        <v>17</v>
      </c>
      <c r="B325" s="73"/>
      <c r="C325" s="16">
        <v>46160</v>
      </c>
      <c r="D325">
        <v>165752.81000000023</v>
      </c>
    </row>
    <row r="326" spans="1:4" x14ac:dyDescent="0.3">
      <c r="A326" s="73" t="s">
        <v>18</v>
      </c>
      <c r="B326" s="73"/>
      <c r="C326" s="16">
        <v>46160</v>
      </c>
      <c r="D326">
        <v>59760.159999999938</v>
      </c>
    </row>
    <row r="327" spans="1:4" x14ac:dyDescent="0.3">
      <c r="A327" s="73" t="s">
        <v>19</v>
      </c>
      <c r="B327" s="73"/>
      <c r="C327" s="16">
        <v>46160</v>
      </c>
      <c r="D327">
        <v>1669.89</v>
      </c>
    </row>
    <row r="328" spans="1:4" x14ac:dyDescent="0.3">
      <c r="A328" s="73" t="s">
        <v>20</v>
      </c>
      <c r="B328" s="73"/>
      <c r="C328" s="16">
        <v>46160</v>
      </c>
      <c r="D328">
        <v>832076.20999999985</v>
      </c>
    </row>
    <row r="329" spans="1:4" x14ac:dyDescent="0.3">
      <c r="A329" s="73" t="s">
        <v>21</v>
      </c>
      <c r="B329" s="73"/>
      <c r="C329" s="16">
        <v>46160</v>
      </c>
      <c r="D329">
        <v>928713.30999999924</v>
      </c>
    </row>
    <row r="330" spans="1:4" x14ac:dyDescent="0.3">
      <c r="A330" s="73" t="s">
        <v>22</v>
      </c>
      <c r="B330" s="73"/>
      <c r="C330" s="16">
        <v>46160</v>
      </c>
      <c r="D330">
        <v>121511.38</v>
      </c>
    </row>
    <row r="331" spans="1:4" x14ac:dyDescent="0.3">
      <c r="A331" s="73" t="s">
        <v>23</v>
      </c>
      <c r="B331" s="73"/>
      <c r="C331" s="16">
        <v>46160</v>
      </c>
      <c r="D331">
        <v>13090.369999999997</v>
      </c>
    </row>
    <row r="332" spans="1:4" x14ac:dyDescent="0.3">
      <c r="A332" s="73" t="s">
        <v>24</v>
      </c>
      <c r="B332" s="73"/>
      <c r="C332" s="16">
        <v>46160</v>
      </c>
      <c r="D332">
        <v>2498.3999999999996</v>
      </c>
    </row>
    <row r="333" spans="1:4" x14ac:dyDescent="0.3">
      <c r="A333" s="73" t="s">
        <v>25</v>
      </c>
      <c r="B333" s="73"/>
      <c r="C333" s="16">
        <v>46160</v>
      </c>
      <c r="D333">
        <v>114.3</v>
      </c>
    </row>
    <row r="334" spans="1:4" x14ac:dyDescent="0.3">
      <c r="A334" s="73" t="s">
        <v>26</v>
      </c>
      <c r="B334" s="73"/>
      <c r="C334" s="16">
        <v>46160</v>
      </c>
      <c r="D334">
        <v>2267.7200000000003</v>
      </c>
    </row>
    <row r="335" spans="1:4" x14ac:dyDescent="0.3">
      <c r="A335" s="73" t="s">
        <v>27</v>
      </c>
      <c r="B335" s="73"/>
      <c r="C335" s="16">
        <v>46160</v>
      </c>
      <c r="D335">
        <v>3349.94</v>
      </c>
    </row>
    <row r="336" spans="1:4" x14ac:dyDescent="0.3">
      <c r="A336" s="73" t="s">
        <v>28</v>
      </c>
      <c r="B336" s="73"/>
      <c r="C336" s="16">
        <v>46160</v>
      </c>
      <c r="D336">
        <v>1968.99</v>
      </c>
    </row>
    <row r="337" spans="1:4" x14ac:dyDescent="0.3">
      <c r="A337" s="73" t="s">
        <v>29</v>
      </c>
      <c r="B337" s="73"/>
      <c r="C337" s="16">
        <v>46160</v>
      </c>
      <c r="D337">
        <v>901.34</v>
      </c>
    </row>
    <row r="338" spans="1:4" x14ac:dyDescent="0.3">
      <c r="A338" s="73" t="s">
        <v>30</v>
      </c>
      <c r="B338" s="73"/>
      <c r="C338" s="16">
        <v>46160</v>
      </c>
      <c r="D338">
        <v>1444.08</v>
      </c>
    </row>
    <row r="339" spans="1:4" x14ac:dyDescent="0.3">
      <c r="A339" s="73" t="s">
        <v>31</v>
      </c>
      <c r="B339" s="73"/>
      <c r="C339" s="16">
        <v>46160</v>
      </c>
      <c r="D339">
        <v>15463.59999999996</v>
      </c>
    </row>
    <row r="340" spans="1:4" x14ac:dyDescent="0.3">
      <c r="A340" s="73" t="s">
        <v>32</v>
      </c>
      <c r="B340" s="73"/>
      <c r="C340" s="16">
        <v>46160</v>
      </c>
      <c r="D340">
        <v>15120.060000000001</v>
      </c>
    </row>
    <row r="341" spans="1:4" x14ac:dyDescent="0.3">
      <c r="A341" s="73" t="s">
        <v>33</v>
      </c>
      <c r="B341" s="73"/>
      <c r="C341" s="16">
        <v>46160</v>
      </c>
      <c r="D341">
        <v>27006.27</v>
      </c>
    </row>
    <row r="342" spans="1:4" x14ac:dyDescent="0.3">
      <c r="A342" s="73" t="s">
        <v>34</v>
      </c>
      <c r="B342" s="73"/>
      <c r="C342" s="16">
        <v>46160</v>
      </c>
      <c r="D342">
        <v>345</v>
      </c>
    </row>
    <row r="343" spans="1:4" x14ac:dyDescent="0.3">
      <c r="A343" s="73" t="s">
        <v>35</v>
      </c>
      <c r="B343" s="73"/>
      <c r="C343" s="16">
        <v>46160</v>
      </c>
      <c r="D343">
        <v>13941.210000000001</v>
      </c>
    </row>
    <row r="344" spans="1:4" x14ac:dyDescent="0.3">
      <c r="A344" s="73" t="s">
        <v>17</v>
      </c>
      <c r="B344" s="73"/>
      <c r="C344" s="16">
        <v>46161</v>
      </c>
      <c r="D344">
        <v>815752.81000000029</v>
      </c>
    </row>
    <row r="345" spans="1:4" x14ac:dyDescent="0.3">
      <c r="A345" s="73" t="s">
        <v>18</v>
      </c>
      <c r="B345" s="73"/>
      <c r="C345" s="16">
        <v>46161</v>
      </c>
      <c r="D345">
        <v>59760.159999999938</v>
      </c>
    </row>
    <row r="346" spans="1:4" x14ac:dyDescent="0.3">
      <c r="A346" s="73" t="s">
        <v>19</v>
      </c>
      <c r="B346" s="73"/>
      <c r="C346" s="16">
        <v>46161</v>
      </c>
      <c r="D346">
        <v>1669.89</v>
      </c>
    </row>
    <row r="347" spans="1:4" x14ac:dyDescent="0.3">
      <c r="A347" s="73" t="s">
        <v>20</v>
      </c>
      <c r="B347" s="73"/>
      <c r="C347" s="16">
        <v>46161</v>
      </c>
      <c r="D347">
        <v>832076.20999999985</v>
      </c>
    </row>
    <row r="348" spans="1:4" x14ac:dyDescent="0.3">
      <c r="A348" s="73" t="s">
        <v>21</v>
      </c>
      <c r="B348" s="73"/>
      <c r="C348" s="16">
        <v>46161</v>
      </c>
      <c r="D348">
        <v>925592.77999999933</v>
      </c>
    </row>
    <row r="349" spans="1:4" x14ac:dyDescent="0.3">
      <c r="A349" s="73" t="s">
        <v>22</v>
      </c>
      <c r="B349" s="73"/>
      <c r="C349" s="16">
        <v>46161</v>
      </c>
      <c r="D349">
        <v>91511.38</v>
      </c>
    </row>
    <row r="350" spans="1:4" x14ac:dyDescent="0.3">
      <c r="A350" s="73" t="s">
        <v>23</v>
      </c>
      <c r="B350" s="73"/>
      <c r="C350" s="16">
        <v>46161</v>
      </c>
      <c r="D350">
        <v>13090.369999999997</v>
      </c>
    </row>
    <row r="351" spans="1:4" x14ac:dyDescent="0.3">
      <c r="A351" s="73" t="s">
        <v>24</v>
      </c>
      <c r="B351" s="73"/>
      <c r="C351" s="16">
        <v>46161</v>
      </c>
      <c r="D351">
        <v>2498.3999999999996</v>
      </c>
    </row>
    <row r="352" spans="1:4" x14ac:dyDescent="0.3">
      <c r="A352" s="73" t="s">
        <v>25</v>
      </c>
      <c r="B352" s="73"/>
      <c r="C352" s="16">
        <v>46161</v>
      </c>
      <c r="D352">
        <v>114.3</v>
      </c>
    </row>
    <row r="353" spans="1:4" x14ac:dyDescent="0.3">
      <c r="A353" s="73" t="s">
        <v>26</v>
      </c>
      <c r="B353" s="73"/>
      <c r="C353" s="16">
        <v>46161</v>
      </c>
      <c r="D353">
        <v>2267.7200000000003</v>
      </c>
    </row>
    <row r="354" spans="1:4" x14ac:dyDescent="0.3">
      <c r="A354" s="73" t="s">
        <v>27</v>
      </c>
      <c r="B354" s="73"/>
      <c r="C354" s="16">
        <v>46161</v>
      </c>
      <c r="D354">
        <v>3349.94</v>
      </c>
    </row>
    <row r="355" spans="1:4" x14ac:dyDescent="0.3">
      <c r="A355" s="73" t="s">
        <v>28</v>
      </c>
      <c r="B355" s="73"/>
      <c r="C355" s="16">
        <v>46161</v>
      </c>
      <c r="D355">
        <v>1968.99</v>
      </c>
    </row>
    <row r="356" spans="1:4" x14ac:dyDescent="0.3">
      <c r="A356" s="73" t="s">
        <v>29</v>
      </c>
      <c r="B356" s="73"/>
      <c r="C356" s="16">
        <v>46161</v>
      </c>
      <c r="D356">
        <v>901.34</v>
      </c>
    </row>
    <row r="357" spans="1:4" x14ac:dyDescent="0.3">
      <c r="A357" s="73" t="s">
        <v>30</v>
      </c>
      <c r="B357" s="73"/>
      <c r="C357" s="16">
        <v>46161</v>
      </c>
      <c r="D357">
        <v>1444.08</v>
      </c>
    </row>
    <row r="358" spans="1:4" x14ac:dyDescent="0.3">
      <c r="A358" s="73" t="s">
        <v>31</v>
      </c>
      <c r="B358" s="73"/>
      <c r="C358" s="16">
        <v>46161</v>
      </c>
      <c r="D358">
        <v>15463.59999999996</v>
      </c>
    </row>
    <row r="359" spans="1:4" x14ac:dyDescent="0.3">
      <c r="A359" s="73" t="s">
        <v>32</v>
      </c>
      <c r="B359" s="73"/>
      <c r="C359" s="16">
        <v>46161</v>
      </c>
      <c r="D359">
        <v>15120.060000000001</v>
      </c>
    </row>
    <row r="360" spans="1:4" x14ac:dyDescent="0.3">
      <c r="A360" s="73" t="s">
        <v>33</v>
      </c>
      <c r="B360" s="73"/>
      <c r="C360" s="16">
        <v>46161</v>
      </c>
      <c r="D360">
        <v>27006.27</v>
      </c>
    </row>
    <row r="361" spans="1:4" x14ac:dyDescent="0.3">
      <c r="A361" s="73" t="s">
        <v>34</v>
      </c>
      <c r="B361" s="73"/>
      <c r="C361" s="16">
        <v>46161</v>
      </c>
      <c r="D361">
        <v>345</v>
      </c>
    </row>
    <row r="362" spans="1:4" x14ac:dyDescent="0.3">
      <c r="A362" s="73" t="s">
        <v>35</v>
      </c>
      <c r="B362" s="73"/>
      <c r="C362" s="16">
        <v>46161</v>
      </c>
      <c r="D362">
        <v>18941.21</v>
      </c>
    </row>
    <row r="363" spans="1:4" x14ac:dyDescent="0.3">
      <c r="A363" s="73" t="s">
        <v>17</v>
      </c>
      <c r="B363" s="73"/>
      <c r="C363" s="16">
        <v>46162</v>
      </c>
      <c r="D363">
        <v>142321.80000000013</v>
      </c>
    </row>
    <row r="364" spans="1:4" x14ac:dyDescent="0.3">
      <c r="A364" s="73" t="s">
        <v>18</v>
      </c>
      <c r="B364" s="73"/>
      <c r="C364" s="16">
        <v>46162</v>
      </c>
      <c r="D364">
        <v>59760.159999999938</v>
      </c>
    </row>
    <row r="365" spans="1:4" x14ac:dyDescent="0.3">
      <c r="A365" s="73" t="s">
        <v>19</v>
      </c>
      <c r="B365" s="73"/>
      <c r="C365" s="16">
        <v>46162</v>
      </c>
      <c r="D365">
        <v>1669.89</v>
      </c>
    </row>
    <row r="366" spans="1:4" x14ac:dyDescent="0.3">
      <c r="A366" s="73" t="s">
        <v>20</v>
      </c>
      <c r="B366" s="73"/>
      <c r="C366" s="16">
        <v>46162</v>
      </c>
      <c r="D366">
        <v>832076.20999999985</v>
      </c>
    </row>
    <row r="367" spans="1:4" x14ac:dyDescent="0.3">
      <c r="A367" s="73" t="s">
        <v>21</v>
      </c>
      <c r="B367" s="73"/>
      <c r="C367" s="16">
        <v>46162</v>
      </c>
      <c r="D367">
        <v>981189.87999999931</v>
      </c>
    </row>
    <row r="368" spans="1:4" x14ac:dyDescent="0.3">
      <c r="A368" s="73" t="s">
        <v>22</v>
      </c>
      <c r="B368" s="73"/>
      <c r="C368" s="16">
        <v>46162</v>
      </c>
      <c r="D368">
        <v>141496.38</v>
      </c>
    </row>
    <row r="369" spans="1:4" x14ac:dyDescent="0.3">
      <c r="A369" s="73" t="s">
        <v>23</v>
      </c>
      <c r="B369" s="73"/>
      <c r="C369" s="16">
        <v>46162</v>
      </c>
      <c r="D369">
        <v>13090.369999999997</v>
      </c>
    </row>
    <row r="370" spans="1:4" x14ac:dyDescent="0.3">
      <c r="A370" s="73" t="s">
        <v>24</v>
      </c>
      <c r="B370" s="73"/>
      <c r="C370" s="16">
        <v>46162</v>
      </c>
      <c r="D370">
        <v>2498.3999999999996</v>
      </c>
    </row>
    <row r="371" spans="1:4" x14ac:dyDescent="0.3">
      <c r="A371" s="73" t="s">
        <v>25</v>
      </c>
      <c r="B371" s="73"/>
      <c r="C371" s="16">
        <v>46162</v>
      </c>
      <c r="D371">
        <v>114.3</v>
      </c>
    </row>
    <row r="372" spans="1:4" x14ac:dyDescent="0.3">
      <c r="A372" s="73" t="s">
        <v>26</v>
      </c>
      <c r="B372" s="73"/>
      <c r="C372" s="16">
        <v>46162</v>
      </c>
      <c r="D372">
        <v>2267.7200000000003</v>
      </c>
    </row>
    <row r="373" spans="1:4" x14ac:dyDescent="0.3">
      <c r="A373" s="73" t="s">
        <v>27</v>
      </c>
      <c r="B373" s="73"/>
      <c r="C373" s="16">
        <v>46162</v>
      </c>
      <c r="D373">
        <v>3349.94</v>
      </c>
    </row>
    <row r="374" spans="1:4" x14ac:dyDescent="0.3">
      <c r="A374" s="73" t="s">
        <v>28</v>
      </c>
      <c r="B374" s="73"/>
      <c r="C374" s="16">
        <v>46162</v>
      </c>
      <c r="D374">
        <v>1968.99</v>
      </c>
    </row>
    <row r="375" spans="1:4" x14ac:dyDescent="0.3">
      <c r="A375" s="73" t="s">
        <v>29</v>
      </c>
      <c r="B375" s="73"/>
      <c r="C375" s="16">
        <v>46162</v>
      </c>
      <c r="D375">
        <v>901.34</v>
      </c>
    </row>
    <row r="376" spans="1:4" x14ac:dyDescent="0.3">
      <c r="A376" s="73" t="s">
        <v>30</v>
      </c>
      <c r="B376" s="73"/>
      <c r="C376" s="16">
        <v>46162</v>
      </c>
      <c r="D376">
        <v>1444.08</v>
      </c>
    </row>
    <row r="377" spans="1:4" x14ac:dyDescent="0.3">
      <c r="A377" s="73" t="s">
        <v>31</v>
      </c>
      <c r="B377" s="73"/>
      <c r="C377" s="16">
        <v>46162</v>
      </c>
      <c r="D377">
        <v>15463.59999999996</v>
      </c>
    </row>
    <row r="378" spans="1:4" x14ac:dyDescent="0.3">
      <c r="A378" s="73" t="s">
        <v>32</v>
      </c>
      <c r="B378" s="73"/>
      <c r="C378" s="16">
        <v>46162</v>
      </c>
      <c r="D378">
        <v>15120.060000000001</v>
      </c>
    </row>
    <row r="379" spans="1:4" x14ac:dyDescent="0.3">
      <c r="A379" s="73" t="s">
        <v>33</v>
      </c>
      <c r="B379" s="73"/>
      <c r="C379" s="16">
        <v>46162</v>
      </c>
      <c r="D379">
        <v>29206.27</v>
      </c>
    </row>
    <row r="380" spans="1:4" x14ac:dyDescent="0.3">
      <c r="A380" s="73" t="s">
        <v>34</v>
      </c>
      <c r="B380" s="73"/>
      <c r="C380" s="16">
        <v>46162</v>
      </c>
      <c r="D380">
        <v>345</v>
      </c>
    </row>
    <row r="381" spans="1:4" x14ac:dyDescent="0.3">
      <c r="A381" s="73" t="s">
        <v>35</v>
      </c>
      <c r="B381" s="73"/>
      <c r="C381" s="16">
        <v>46162</v>
      </c>
      <c r="D381">
        <v>8168.0700000000006</v>
      </c>
    </row>
    <row r="382" spans="1:4" x14ac:dyDescent="0.3">
      <c r="A382" s="73" t="s">
        <v>17</v>
      </c>
      <c r="B382" s="73"/>
      <c r="C382" s="16">
        <v>46163</v>
      </c>
      <c r="D382">
        <v>142321.80000000013</v>
      </c>
    </row>
    <row r="383" spans="1:4" x14ac:dyDescent="0.3">
      <c r="A383" s="73" t="s">
        <v>18</v>
      </c>
      <c r="B383" s="73"/>
      <c r="C383" s="16">
        <v>46163</v>
      </c>
      <c r="D383">
        <v>659760.15999999992</v>
      </c>
    </row>
    <row r="384" spans="1:4" x14ac:dyDescent="0.3">
      <c r="A384" s="73" t="s">
        <v>19</v>
      </c>
      <c r="B384" s="73"/>
      <c r="C384" s="16">
        <v>46163</v>
      </c>
      <c r="D384">
        <v>1669.89</v>
      </c>
    </row>
    <row r="385" spans="1:4" x14ac:dyDescent="0.3">
      <c r="A385" s="73" t="s">
        <v>20</v>
      </c>
      <c r="B385" s="73"/>
      <c r="C385" s="16">
        <v>46163</v>
      </c>
      <c r="D385">
        <v>497076.20999999985</v>
      </c>
    </row>
    <row r="386" spans="1:4" x14ac:dyDescent="0.3">
      <c r="A386" s="73" t="s">
        <v>21</v>
      </c>
      <c r="B386" s="73"/>
      <c r="C386" s="16">
        <v>46163</v>
      </c>
      <c r="D386">
        <v>981189.87999999931</v>
      </c>
    </row>
    <row r="387" spans="1:4" x14ac:dyDescent="0.3">
      <c r="A387" s="73" t="s">
        <v>22</v>
      </c>
      <c r="B387" s="73"/>
      <c r="C387" s="16">
        <v>46163</v>
      </c>
      <c r="D387">
        <v>141496.38</v>
      </c>
    </row>
    <row r="388" spans="1:4" x14ac:dyDescent="0.3">
      <c r="A388" s="73" t="s">
        <v>23</v>
      </c>
      <c r="B388" s="73"/>
      <c r="C388" s="16">
        <v>46163</v>
      </c>
      <c r="D388">
        <v>88090.37</v>
      </c>
    </row>
    <row r="389" spans="1:4" x14ac:dyDescent="0.3">
      <c r="A389" s="73" t="s">
        <v>24</v>
      </c>
      <c r="B389" s="73"/>
      <c r="C389" s="16">
        <v>46163</v>
      </c>
      <c r="D389">
        <v>2498.3999999999996</v>
      </c>
    </row>
    <row r="390" spans="1:4" x14ac:dyDescent="0.3">
      <c r="A390" s="73" t="s">
        <v>25</v>
      </c>
      <c r="B390" s="73"/>
      <c r="C390" s="16">
        <v>46163</v>
      </c>
      <c r="D390">
        <v>114.3</v>
      </c>
    </row>
    <row r="391" spans="1:4" x14ac:dyDescent="0.3">
      <c r="A391" s="73" t="s">
        <v>26</v>
      </c>
      <c r="B391" s="73"/>
      <c r="C391" s="16">
        <v>46163</v>
      </c>
      <c r="D391">
        <v>2267.7200000000003</v>
      </c>
    </row>
    <row r="392" spans="1:4" x14ac:dyDescent="0.3">
      <c r="A392" s="73" t="s">
        <v>27</v>
      </c>
      <c r="B392" s="73"/>
      <c r="C392" s="16">
        <v>46163</v>
      </c>
      <c r="D392">
        <v>3349.94</v>
      </c>
    </row>
    <row r="393" spans="1:4" x14ac:dyDescent="0.3">
      <c r="A393" s="73" t="s">
        <v>28</v>
      </c>
      <c r="B393" s="73"/>
      <c r="C393" s="16">
        <v>46163</v>
      </c>
      <c r="D393">
        <v>1968.99</v>
      </c>
    </row>
    <row r="394" spans="1:4" x14ac:dyDescent="0.3">
      <c r="A394" s="73" t="s">
        <v>29</v>
      </c>
      <c r="B394" s="73"/>
      <c r="C394" s="16">
        <v>46163</v>
      </c>
      <c r="D394">
        <v>901.34</v>
      </c>
    </row>
    <row r="395" spans="1:4" x14ac:dyDescent="0.3">
      <c r="A395" s="73" t="s">
        <v>30</v>
      </c>
      <c r="B395" s="73"/>
      <c r="C395" s="16">
        <v>46163</v>
      </c>
      <c r="D395">
        <v>1444.08</v>
      </c>
    </row>
    <row r="396" spans="1:4" x14ac:dyDescent="0.3">
      <c r="A396" s="73" t="s">
        <v>31</v>
      </c>
      <c r="B396" s="73"/>
      <c r="C396" s="16">
        <v>46163</v>
      </c>
      <c r="D396">
        <v>15463.59999999996</v>
      </c>
    </row>
    <row r="397" spans="1:4" x14ac:dyDescent="0.3">
      <c r="A397" s="73" t="s">
        <v>32</v>
      </c>
      <c r="B397" s="73"/>
      <c r="C397" s="16">
        <v>46163</v>
      </c>
      <c r="D397">
        <v>15120.060000000001</v>
      </c>
    </row>
    <row r="398" spans="1:4" x14ac:dyDescent="0.3">
      <c r="A398" s="73" t="s">
        <v>33</v>
      </c>
      <c r="B398" s="73"/>
      <c r="C398" s="16">
        <v>46163</v>
      </c>
      <c r="D398">
        <v>29206.27</v>
      </c>
    </row>
    <row r="399" spans="1:4" x14ac:dyDescent="0.3">
      <c r="A399" s="73" t="s">
        <v>34</v>
      </c>
      <c r="B399" s="73"/>
      <c r="C399" s="16">
        <v>46163</v>
      </c>
      <c r="D399">
        <v>345</v>
      </c>
    </row>
    <row r="400" spans="1:4" x14ac:dyDescent="0.3">
      <c r="A400" s="73" t="s">
        <v>35</v>
      </c>
      <c r="B400" s="73"/>
      <c r="C400" s="16">
        <v>46163</v>
      </c>
      <c r="D400">
        <v>8168.0700000000006</v>
      </c>
    </row>
    <row r="401" spans="1:4" x14ac:dyDescent="0.3">
      <c r="A401" s="73" t="s">
        <v>17</v>
      </c>
      <c r="B401" s="73"/>
      <c r="C401" s="16">
        <v>46164</v>
      </c>
      <c r="D401">
        <v>142321.80000000013</v>
      </c>
    </row>
    <row r="402" spans="1:4" x14ac:dyDescent="0.3">
      <c r="A402" s="73" t="s">
        <v>18</v>
      </c>
      <c r="B402" s="73"/>
      <c r="C402" s="16">
        <v>46164</v>
      </c>
      <c r="D402">
        <v>659760.15999999992</v>
      </c>
    </row>
    <row r="403" spans="1:4" x14ac:dyDescent="0.3">
      <c r="A403" s="73" t="s">
        <v>19</v>
      </c>
      <c r="B403" s="73"/>
      <c r="C403" s="16">
        <v>46164</v>
      </c>
      <c r="D403">
        <v>1669.89</v>
      </c>
    </row>
    <row r="404" spans="1:4" x14ac:dyDescent="0.3">
      <c r="A404" s="73" t="s">
        <v>20</v>
      </c>
      <c r="B404" s="73"/>
      <c r="C404" s="16">
        <v>46164</v>
      </c>
      <c r="D404">
        <v>497076.20999999985</v>
      </c>
    </row>
    <row r="405" spans="1:4" x14ac:dyDescent="0.3">
      <c r="A405" s="73" t="s">
        <v>21</v>
      </c>
      <c r="B405" s="73"/>
      <c r="C405" s="16">
        <v>46164</v>
      </c>
      <c r="D405">
        <v>980426.88999999932</v>
      </c>
    </row>
    <row r="406" spans="1:4" x14ac:dyDescent="0.3">
      <c r="A406" s="73" t="s">
        <v>22</v>
      </c>
      <c r="B406" s="73"/>
      <c r="C406" s="16">
        <v>46164</v>
      </c>
      <c r="D406">
        <v>141496.38</v>
      </c>
    </row>
    <row r="407" spans="1:4" x14ac:dyDescent="0.3">
      <c r="A407" s="73" t="s">
        <v>23</v>
      </c>
      <c r="B407" s="73"/>
      <c r="C407" s="16">
        <v>46164</v>
      </c>
      <c r="D407">
        <v>88090.37</v>
      </c>
    </row>
    <row r="408" spans="1:4" x14ac:dyDescent="0.3">
      <c r="A408" s="73" t="s">
        <v>24</v>
      </c>
      <c r="B408" s="73"/>
      <c r="C408" s="16">
        <v>46164</v>
      </c>
      <c r="D408">
        <v>2498.3999999999996</v>
      </c>
    </row>
    <row r="409" spans="1:4" x14ac:dyDescent="0.3">
      <c r="A409" s="73" t="s">
        <v>25</v>
      </c>
      <c r="B409" s="73"/>
      <c r="C409" s="16">
        <v>46164</v>
      </c>
      <c r="D409">
        <v>114.3</v>
      </c>
    </row>
    <row r="410" spans="1:4" x14ac:dyDescent="0.3">
      <c r="A410" s="73" t="s">
        <v>26</v>
      </c>
      <c r="B410" s="73"/>
      <c r="C410" s="16">
        <v>46164</v>
      </c>
      <c r="D410">
        <v>2267.7200000000003</v>
      </c>
    </row>
    <row r="411" spans="1:4" x14ac:dyDescent="0.3">
      <c r="A411" s="73" t="s">
        <v>27</v>
      </c>
      <c r="B411" s="73"/>
      <c r="C411" s="16">
        <v>46164</v>
      </c>
      <c r="D411">
        <v>3349.94</v>
      </c>
    </row>
    <row r="412" spans="1:4" x14ac:dyDescent="0.3">
      <c r="A412" s="73" t="s">
        <v>28</v>
      </c>
      <c r="B412" s="73"/>
      <c r="C412" s="16">
        <v>46164</v>
      </c>
      <c r="D412">
        <v>1968.99</v>
      </c>
    </row>
    <row r="413" spans="1:4" x14ac:dyDescent="0.3">
      <c r="A413" s="73" t="s">
        <v>29</v>
      </c>
      <c r="B413" s="73"/>
      <c r="C413" s="16">
        <v>46164</v>
      </c>
      <c r="D413">
        <v>901.34</v>
      </c>
    </row>
    <row r="414" spans="1:4" x14ac:dyDescent="0.3">
      <c r="A414" s="73" t="s">
        <v>30</v>
      </c>
      <c r="B414" s="73"/>
      <c r="C414" s="16">
        <v>46164</v>
      </c>
      <c r="D414">
        <v>1444.08</v>
      </c>
    </row>
    <row r="415" spans="1:4" x14ac:dyDescent="0.3">
      <c r="A415" s="73" t="s">
        <v>31</v>
      </c>
      <c r="B415" s="73"/>
      <c r="C415" s="16">
        <v>46164</v>
      </c>
      <c r="D415">
        <v>15463.59999999996</v>
      </c>
    </row>
    <row r="416" spans="1:4" x14ac:dyDescent="0.3">
      <c r="A416" s="73" t="s">
        <v>32</v>
      </c>
      <c r="B416" s="73"/>
      <c r="C416" s="16">
        <v>46164</v>
      </c>
      <c r="D416">
        <v>15120.060000000001</v>
      </c>
    </row>
    <row r="417" spans="1:4" x14ac:dyDescent="0.3">
      <c r="A417" s="73" t="s">
        <v>33</v>
      </c>
      <c r="B417" s="73"/>
      <c r="C417" s="16">
        <v>46164</v>
      </c>
      <c r="D417">
        <v>29206.27</v>
      </c>
    </row>
    <row r="418" spans="1:4" x14ac:dyDescent="0.3">
      <c r="A418" s="73" t="s">
        <v>34</v>
      </c>
      <c r="B418" s="73"/>
      <c r="C418" s="16">
        <v>46164</v>
      </c>
      <c r="D418">
        <v>345</v>
      </c>
    </row>
    <row r="419" spans="1:4" x14ac:dyDescent="0.3">
      <c r="A419" s="73" t="s">
        <v>35</v>
      </c>
      <c r="B419" s="73"/>
      <c r="C419" s="16">
        <v>46164</v>
      </c>
      <c r="D419">
        <v>8168.0700000000006</v>
      </c>
    </row>
    <row r="420" spans="1:4" x14ac:dyDescent="0.3">
      <c r="A420" s="73" t="s">
        <v>17</v>
      </c>
      <c r="B420" s="73"/>
      <c r="C420" s="16">
        <v>46165</v>
      </c>
      <c r="D420">
        <v>142321.80000000013</v>
      </c>
    </row>
    <row r="421" spans="1:4" x14ac:dyDescent="0.3">
      <c r="A421" s="73" t="s">
        <v>18</v>
      </c>
      <c r="B421" s="73"/>
      <c r="C421" s="16">
        <v>46165</v>
      </c>
      <c r="D421">
        <v>659760.15999999992</v>
      </c>
    </row>
    <row r="422" spans="1:4" x14ac:dyDescent="0.3">
      <c r="A422" s="73" t="s">
        <v>19</v>
      </c>
      <c r="B422" s="73"/>
      <c r="C422" s="16">
        <v>46165</v>
      </c>
      <c r="D422">
        <v>1669.89</v>
      </c>
    </row>
    <row r="423" spans="1:4" x14ac:dyDescent="0.3">
      <c r="A423" s="73" t="s">
        <v>20</v>
      </c>
      <c r="B423" s="73"/>
      <c r="C423" s="16">
        <v>46165</v>
      </c>
      <c r="D423">
        <v>497076.20999999985</v>
      </c>
    </row>
    <row r="424" spans="1:4" x14ac:dyDescent="0.3">
      <c r="A424" s="73" t="s">
        <v>21</v>
      </c>
      <c r="B424" s="73"/>
      <c r="C424" s="16">
        <v>46165</v>
      </c>
      <c r="D424">
        <v>980426.88999999932</v>
      </c>
    </row>
    <row r="425" spans="1:4" x14ac:dyDescent="0.3">
      <c r="A425" s="73" t="s">
        <v>22</v>
      </c>
      <c r="B425" s="73"/>
      <c r="C425" s="16">
        <v>46165</v>
      </c>
      <c r="D425">
        <v>141496.38</v>
      </c>
    </row>
    <row r="426" spans="1:4" x14ac:dyDescent="0.3">
      <c r="A426" s="73" t="s">
        <v>23</v>
      </c>
      <c r="B426" s="73"/>
      <c r="C426" s="16">
        <v>46165</v>
      </c>
      <c r="D426">
        <v>88090.37</v>
      </c>
    </row>
    <row r="427" spans="1:4" x14ac:dyDescent="0.3">
      <c r="A427" s="73" t="s">
        <v>24</v>
      </c>
      <c r="B427" s="73"/>
      <c r="C427" s="16">
        <v>46165</v>
      </c>
      <c r="D427">
        <v>2498.3999999999996</v>
      </c>
    </row>
    <row r="428" spans="1:4" x14ac:dyDescent="0.3">
      <c r="A428" s="73" t="s">
        <v>25</v>
      </c>
      <c r="B428" s="73"/>
      <c r="C428" s="16">
        <v>46165</v>
      </c>
      <c r="D428">
        <v>114.3</v>
      </c>
    </row>
    <row r="429" spans="1:4" x14ac:dyDescent="0.3">
      <c r="A429" s="73" t="s">
        <v>26</v>
      </c>
      <c r="B429" s="73"/>
      <c r="C429" s="16">
        <v>46165</v>
      </c>
      <c r="D429">
        <v>2267.7200000000003</v>
      </c>
    </row>
    <row r="430" spans="1:4" x14ac:dyDescent="0.3">
      <c r="A430" s="73" t="s">
        <v>27</v>
      </c>
      <c r="B430" s="73"/>
      <c r="C430" s="16">
        <v>46165</v>
      </c>
      <c r="D430">
        <v>3349.94</v>
      </c>
    </row>
    <row r="431" spans="1:4" x14ac:dyDescent="0.3">
      <c r="A431" s="73" t="s">
        <v>28</v>
      </c>
      <c r="B431" s="73"/>
      <c r="C431" s="16">
        <v>46165</v>
      </c>
      <c r="D431">
        <v>1968.99</v>
      </c>
    </row>
    <row r="432" spans="1:4" x14ac:dyDescent="0.3">
      <c r="A432" s="73" t="s">
        <v>29</v>
      </c>
      <c r="B432" s="73"/>
      <c r="C432" s="16">
        <v>46165</v>
      </c>
      <c r="D432">
        <v>901.34</v>
      </c>
    </row>
    <row r="433" spans="1:4" x14ac:dyDescent="0.3">
      <c r="A433" s="73" t="s">
        <v>30</v>
      </c>
      <c r="B433" s="73"/>
      <c r="C433" s="16">
        <v>46165</v>
      </c>
      <c r="D433">
        <v>1444.08</v>
      </c>
    </row>
    <row r="434" spans="1:4" x14ac:dyDescent="0.3">
      <c r="A434" s="73" t="s">
        <v>31</v>
      </c>
      <c r="B434" s="73"/>
      <c r="C434" s="16">
        <v>46165</v>
      </c>
      <c r="D434">
        <v>15463.59999999996</v>
      </c>
    </row>
    <row r="435" spans="1:4" x14ac:dyDescent="0.3">
      <c r="A435" s="73" t="s">
        <v>32</v>
      </c>
      <c r="B435" s="73"/>
      <c r="C435" s="16">
        <v>46165</v>
      </c>
      <c r="D435">
        <v>15120.060000000001</v>
      </c>
    </row>
    <row r="436" spans="1:4" x14ac:dyDescent="0.3">
      <c r="A436" s="73" t="s">
        <v>33</v>
      </c>
      <c r="B436" s="73"/>
      <c r="C436" s="16">
        <v>46165</v>
      </c>
      <c r="D436">
        <v>29206.27</v>
      </c>
    </row>
    <row r="437" spans="1:4" x14ac:dyDescent="0.3">
      <c r="A437" s="73" t="s">
        <v>34</v>
      </c>
      <c r="B437" s="73"/>
      <c r="C437" s="16">
        <v>46165</v>
      </c>
      <c r="D437">
        <v>345</v>
      </c>
    </row>
    <row r="438" spans="1:4" x14ac:dyDescent="0.3">
      <c r="A438" s="73" t="s">
        <v>35</v>
      </c>
      <c r="B438" s="73"/>
      <c r="C438" s="16">
        <v>46165</v>
      </c>
      <c r="D438">
        <v>8168.0700000000006</v>
      </c>
    </row>
    <row r="439" spans="1:4" x14ac:dyDescent="0.3">
      <c r="A439" s="73" t="s">
        <v>17</v>
      </c>
      <c r="B439" s="73"/>
      <c r="C439" s="16">
        <v>46166</v>
      </c>
      <c r="D439">
        <v>142321.80000000013</v>
      </c>
    </row>
    <row r="440" spans="1:4" x14ac:dyDescent="0.3">
      <c r="A440" s="73" t="s">
        <v>18</v>
      </c>
      <c r="B440" s="73"/>
      <c r="C440" s="16">
        <v>46166</v>
      </c>
      <c r="D440">
        <v>659760.15999999992</v>
      </c>
    </row>
    <row r="441" spans="1:4" x14ac:dyDescent="0.3">
      <c r="A441" s="73" t="s">
        <v>19</v>
      </c>
      <c r="B441" s="73"/>
      <c r="C441" s="16">
        <v>46166</v>
      </c>
      <c r="D441">
        <v>1669.89</v>
      </c>
    </row>
    <row r="442" spans="1:4" x14ac:dyDescent="0.3">
      <c r="A442" s="73" t="s">
        <v>20</v>
      </c>
      <c r="B442" s="73"/>
      <c r="C442" s="16">
        <v>46166</v>
      </c>
      <c r="D442">
        <v>497076.20999999985</v>
      </c>
    </row>
    <row r="443" spans="1:4" x14ac:dyDescent="0.3">
      <c r="A443" s="73" t="s">
        <v>21</v>
      </c>
      <c r="B443" s="73"/>
      <c r="C443" s="16">
        <v>46166</v>
      </c>
      <c r="D443">
        <v>980426.88999999932</v>
      </c>
    </row>
    <row r="444" spans="1:4" x14ac:dyDescent="0.3">
      <c r="A444" s="73" t="s">
        <v>22</v>
      </c>
      <c r="B444" s="73"/>
      <c r="C444" s="16">
        <v>46166</v>
      </c>
      <c r="D444">
        <v>141496.38</v>
      </c>
    </row>
    <row r="445" spans="1:4" x14ac:dyDescent="0.3">
      <c r="A445" s="73" t="s">
        <v>23</v>
      </c>
      <c r="B445" s="73"/>
      <c r="C445" s="16">
        <v>46166</v>
      </c>
      <c r="D445">
        <v>88090.37</v>
      </c>
    </row>
    <row r="446" spans="1:4" x14ac:dyDescent="0.3">
      <c r="A446" s="73" t="s">
        <v>24</v>
      </c>
      <c r="B446" s="73"/>
      <c r="C446" s="16">
        <v>46166</v>
      </c>
      <c r="D446">
        <v>2498.3999999999996</v>
      </c>
    </row>
    <row r="447" spans="1:4" x14ac:dyDescent="0.3">
      <c r="A447" s="73" t="s">
        <v>25</v>
      </c>
      <c r="B447" s="73"/>
      <c r="C447" s="16">
        <v>46166</v>
      </c>
      <c r="D447">
        <v>114.3</v>
      </c>
    </row>
    <row r="448" spans="1:4" x14ac:dyDescent="0.3">
      <c r="A448" s="73" t="s">
        <v>26</v>
      </c>
      <c r="B448" s="73"/>
      <c r="C448" s="16">
        <v>46166</v>
      </c>
      <c r="D448">
        <v>2267.7200000000003</v>
      </c>
    </row>
    <row r="449" spans="1:4" x14ac:dyDescent="0.3">
      <c r="A449" s="73" t="s">
        <v>27</v>
      </c>
      <c r="B449" s="73"/>
      <c r="C449" s="16">
        <v>46166</v>
      </c>
      <c r="D449">
        <v>3349.94</v>
      </c>
    </row>
    <row r="450" spans="1:4" x14ac:dyDescent="0.3">
      <c r="A450" s="73" t="s">
        <v>28</v>
      </c>
      <c r="B450" s="73"/>
      <c r="C450" s="16">
        <v>46166</v>
      </c>
      <c r="D450">
        <v>1968.99</v>
      </c>
    </row>
    <row r="451" spans="1:4" x14ac:dyDescent="0.3">
      <c r="A451" s="73" t="s">
        <v>29</v>
      </c>
      <c r="B451" s="73"/>
      <c r="C451" s="16">
        <v>46166</v>
      </c>
      <c r="D451">
        <v>901.34</v>
      </c>
    </row>
    <row r="452" spans="1:4" x14ac:dyDescent="0.3">
      <c r="A452" s="73" t="s">
        <v>30</v>
      </c>
      <c r="B452" s="73"/>
      <c r="C452" s="16">
        <v>46166</v>
      </c>
      <c r="D452">
        <v>1444.08</v>
      </c>
    </row>
    <row r="453" spans="1:4" x14ac:dyDescent="0.3">
      <c r="A453" s="73" t="s">
        <v>31</v>
      </c>
      <c r="B453" s="73"/>
      <c r="C453" s="16">
        <v>46166</v>
      </c>
      <c r="D453">
        <v>15463.59999999996</v>
      </c>
    </row>
    <row r="454" spans="1:4" x14ac:dyDescent="0.3">
      <c r="A454" s="73" t="s">
        <v>32</v>
      </c>
      <c r="B454" s="73"/>
      <c r="C454" s="16">
        <v>46166</v>
      </c>
      <c r="D454">
        <v>15120.060000000001</v>
      </c>
    </row>
    <row r="455" spans="1:4" x14ac:dyDescent="0.3">
      <c r="A455" s="73" t="s">
        <v>33</v>
      </c>
      <c r="B455" s="73"/>
      <c r="C455" s="16">
        <v>46166</v>
      </c>
      <c r="D455">
        <v>29206.27</v>
      </c>
    </row>
    <row r="456" spans="1:4" x14ac:dyDescent="0.3">
      <c r="A456" s="73" t="s">
        <v>34</v>
      </c>
      <c r="B456" s="73"/>
      <c r="C456" s="16">
        <v>46166</v>
      </c>
      <c r="D456">
        <v>345</v>
      </c>
    </row>
    <row r="457" spans="1:4" x14ac:dyDescent="0.3">
      <c r="A457" s="73" t="s">
        <v>35</v>
      </c>
      <c r="B457" s="73"/>
      <c r="C457" s="16">
        <v>46166</v>
      </c>
      <c r="D457">
        <v>8168.0700000000006</v>
      </c>
    </row>
    <row r="458" spans="1:4" x14ac:dyDescent="0.3">
      <c r="A458" s="73" t="s">
        <v>17</v>
      </c>
      <c r="B458" s="73"/>
      <c r="C458" s="16">
        <v>46167</v>
      </c>
      <c r="D458">
        <v>142321.80000000013</v>
      </c>
    </row>
    <row r="459" spans="1:4" x14ac:dyDescent="0.3">
      <c r="A459" s="73" t="s">
        <v>18</v>
      </c>
      <c r="B459" s="73"/>
      <c r="C459" s="16">
        <v>46167</v>
      </c>
      <c r="D459">
        <v>659760.15999999992</v>
      </c>
    </row>
    <row r="460" spans="1:4" x14ac:dyDescent="0.3">
      <c r="A460" s="73" t="s">
        <v>19</v>
      </c>
      <c r="B460" s="73"/>
      <c r="C460" s="16">
        <v>46167</v>
      </c>
      <c r="D460">
        <v>1669.89</v>
      </c>
    </row>
    <row r="461" spans="1:4" x14ac:dyDescent="0.3">
      <c r="A461" s="73" t="s">
        <v>20</v>
      </c>
      <c r="B461" s="73"/>
      <c r="C461" s="16">
        <v>46167</v>
      </c>
      <c r="D461">
        <v>497076.20999999985</v>
      </c>
    </row>
    <row r="462" spans="1:4" x14ac:dyDescent="0.3">
      <c r="A462" s="73" t="s">
        <v>21</v>
      </c>
      <c r="B462" s="73"/>
      <c r="C462" s="16">
        <v>46167</v>
      </c>
      <c r="D462">
        <v>980426.88999999932</v>
      </c>
    </row>
    <row r="463" spans="1:4" x14ac:dyDescent="0.3">
      <c r="A463" s="73" t="s">
        <v>22</v>
      </c>
      <c r="B463" s="73"/>
      <c r="C463" s="16">
        <v>46167</v>
      </c>
      <c r="D463">
        <v>141496.38</v>
      </c>
    </row>
    <row r="464" spans="1:4" x14ac:dyDescent="0.3">
      <c r="A464" s="73" t="s">
        <v>23</v>
      </c>
      <c r="B464" s="73"/>
      <c r="C464" s="16">
        <v>46167</v>
      </c>
      <c r="D464">
        <v>88090.37</v>
      </c>
    </row>
    <row r="465" spans="1:4" x14ac:dyDescent="0.3">
      <c r="A465" s="73" t="s">
        <v>24</v>
      </c>
      <c r="B465" s="73"/>
      <c r="C465" s="16">
        <v>46167</v>
      </c>
      <c r="D465">
        <v>2498.3999999999996</v>
      </c>
    </row>
    <row r="466" spans="1:4" x14ac:dyDescent="0.3">
      <c r="A466" s="73" t="s">
        <v>25</v>
      </c>
      <c r="B466" s="73"/>
      <c r="C466" s="16">
        <v>46167</v>
      </c>
      <c r="D466">
        <v>114.3</v>
      </c>
    </row>
    <row r="467" spans="1:4" x14ac:dyDescent="0.3">
      <c r="A467" s="73" t="s">
        <v>26</v>
      </c>
      <c r="B467" s="73"/>
      <c r="C467" s="16">
        <v>46167</v>
      </c>
      <c r="D467">
        <v>2267.7200000000003</v>
      </c>
    </row>
    <row r="468" spans="1:4" x14ac:dyDescent="0.3">
      <c r="A468" s="73" t="s">
        <v>27</v>
      </c>
      <c r="B468" s="73"/>
      <c r="C468" s="16">
        <v>46167</v>
      </c>
      <c r="D468">
        <v>3349.94</v>
      </c>
    </row>
    <row r="469" spans="1:4" x14ac:dyDescent="0.3">
      <c r="A469" s="73" t="s">
        <v>28</v>
      </c>
      <c r="B469" s="73"/>
      <c r="C469" s="16">
        <v>46167</v>
      </c>
      <c r="D469">
        <v>1968.99</v>
      </c>
    </row>
    <row r="470" spans="1:4" x14ac:dyDescent="0.3">
      <c r="A470" s="73" t="s">
        <v>29</v>
      </c>
      <c r="B470" s="73"/>
      <c r="C470" s="16">
        <v>46167</v>
      </c>
      <c r="D470">
        <v>901.34</v>
      </c>
    </row>
    <row r="471" spans="1:4" x14ac:dyDescent="0.3">
      <c r="A471" s="73" t="s">
        <v>30</v>
      </c>
      <c r="B471" s="73"/>
      <c r="C471" s="16">
        <v>46167</v>
      </c>
      <c r="D471">
        <v>1444.08</v>
      </c>
    </row>
    <row r="472" spans="1:4" x14ac:dyDescent="0.3">
      <c r="A472" s="73" t="s">
        <v>31</v>
      </c>
      <c r="B472" s="73"/>
      <c r="C472" s="16">
        <v>46167</v>
      </c>
      <c r="D472">
        <v>15463.59999999996</v>
      </c>
    </row>
    <row r="473" spans="1:4" x14ac:dyDescent="0.3">
      <c r="A473" s="73" t="s">
        <v>32</v>
      </c>
      <c r="B473" s="73"/>
      <c r="C473" s="16">
        <v>46167</v>
      </c>
      <c r="D473">
        <v>15120.060000000001</v>
      </c>
    </row>
    <row r="474" spans="1:4" x14ac:dyDescent="0.3">
      <c r="A474" s="73" t="s">
        <v>33</v>
      </c>
      <c r="B474" s="73"/>
      <c r="C474" s="16">
        <v>46167</v>
      </c>
      <c r="D474">
        <v>29206.27</v>
      </c>
    </row>
    <row r="475" spans="1:4" x14ac:dyDescent="0.3">
      <c r="A475" s="73" t="s">
        <v>34</v>
      </c>
      <c r="B475" s="73"/>
      <c r="C475" s="16">
        <v>46167</v>
      </c>
      <c r="D475">
        <v>345</v>
      </c>
    </row>
    <row r="476" spans="1:4" x14ac:dyDescent="0.3">
      <c r="A476" s="73" t="s">
        <v>35</v>
      </c>
      <c r="B476" s="73"/>
      <c r="C476" s="16">
        <v>46167</v>
      </c>
      <c r="D476">
        <v>8168.0700000000006</v>
      </c>
    </row>
    <row r="477" spans="1:4" x14ac:dyDescent="0.3">
      <c r="A477" s="73" t="s">
        <v>17</v>
      </c>
      <c r="B477" s="73"/>
      <c r="C477" s="16">
        <v>46168</v>
      </c>
      <c r="D477">
        <v>253154.33000000013</v>
      </c>
    </row>
    <row r="478" spans="1:4" x14ac:dyDescent="0.3">
      <c r="A478" s="73" t="s">
        <v>18</v>
      </c>
      <c r="B478" s="73"/>
      <c r="C478" s="16">
        <v>46168</v>
      </c>
      <c r="D478">
        <v>1259760.1600000001</v>
      </c>
    </row>
    <row r="479" spans="1:4" x14ac:dyDescent="0.3">
      <c r="A479" s="73" t="s">
        <v>19</v>
      </c>
      <c r="B479" s="73"/>
      <c r="C479" s="16">
        <v>46168</v>
      </c>
      <c r="D479">
        <v>1669.89</v>
      </c>
    </row>
    <row r="480" spans="1:4" x14ac:dyDescent="0.3">
      <c r="A480" s="73" t="s">
        <v>20</v>
      </c>
      <c r="B480" s="73"/>
      <c r="C480" s="16">
        <v>46168</v>
      </c>
      <c r="D480">
        <v>497076.20999999985</v>
      </c>
    </row>
    <row r="481" spans="1:4" x14ac:dyDescent="0.3">
      <c r="A481" s="73" t="s">
        <v>21</v>
      </c>
      <c r="B481" s="73"/>
      <c r="C481" s="16">
        <v>46168</v>
      </c>
      <c r="D481">
        <v>980426.88999999932</v>
      </c>
    </row>
    <row r="482" spans="1:4" x14ac:dyDescent="0.3">
      <c r="A482" s="73" t="s">
        <v>22</v>
      </c>
      <c r="B482" s="73"/>
      <c r="C482" s="16">
        <v>46168</v>
      </c>
      <c r="D482">
        <v>141496.38</v>
      </c>
    </row>
    <row r="483" spans="1:4" x14ac:dyDescent="0.3">
      <c r="A483" s="73" t="s">
        <v>23</v>
      </c>
      <c r="B483" s="73"/>
      <c r="C483" s="16">
        <v>46168</v>
      </c>
      <c r="D483">
        <v>88090.37</v>
      </c>
    </row>
    <row r="484" spans="1:4" x14ac:dyDescent="0.3">
      <c r="A484" s="73" t="s">
        <v>24</v>
      </c>
      <c r="B484" s="73"/>
      <c r="C484" s="16">
        <v>46168</v>
      </c>
      <c r="D484">
        <v>2498.3999999999996</v>
      </c>
    </row>
    <row r="485" spans="1:4" x14ac:dyDescent="0.3">
      <c r="A485" s="73" t="s">
        <v>25</v>
      </c>
      <c r="B485" s="73"/>
      <c r="C485" s="16">
        <v>46168</v>
      </c>
      <c r="D485">
        <v>114.3</v>
      </c>
    </row>
    <row r="486" spans="1:4" x14ac:dyDescent="0.3">
      <c r="A486" s="73" t="s">
        <v>26</v>
      </c>
      <c r="B486" s="73"/>
      <c r="C486" s="16">
        <v>46168</v>
      </c>
      <c r="D486">
        <v>2267.7200000000003</v>
      </c>
    </row>
    <row r="487" spans="1:4" x14ac:dyDescent="0.3">
      <c r="A487" s="73" t="s">
        <v>27</v>
      </c>
      <c r="B487" s="73"/>
      <c r="C487" s="16">
        <v>46168</v>
      </c>
      <c r="D487">
        <v>3349.94</v>
      </c>
    </row>
    <row r="488" spans="1:4" x14ac:dyDescent="0.3">
      <c r="A488" s="73" t="s">
        <v>28</v>
      </c>
      <c r="B488" s="73"/>
      <c r="C488" s="16">
        <v>46168</v>
      </c>
      <c r="D488">
        <v>1968.99</v>
      </c>
    </row>
    <row r="489" spans="1:4" x14ac:dyDescent="0.3">
      <c r="A489" s="73" t="s">
        <v>29</v>
      </c>
      <c r="B489" s="73"/>
      <c r="C489" s="16">
        <v>46168</v>
      </c>
      <c r="D489">
        <v>901.34</v>
      </c>
    </row>
    <row r="490" spans="1:4" x14ac:dyDescent="0.3">
      <c r="A490" s="73" t="s">
        <v>30</v>
      </c>
      <c r="B490" s="73"/>
      <c r="C490" s="16">
        <v>46168</v>
      </c>
      <c r="D490">
        <v>1444.08</v>
      </c>
    </row>
    <row r="491" spans="1:4" x14ac:dyDescent="0.3">
      <c r="A491" s="73" t="s">
        <v>31</v>
      </c>
      <c r="B491" s="73"/>
      <c r="C491" s="16">
        <v>46168</v>
      </c>
      <c r="D491">
        <v>15463.59999999996</v>
      </c>
    </row>
    <row r="492" spans="1:4" x14ac:dyDescent="0.3">
      <c r="A492" s="73" t="s">
        <v>32</v>
      </c>
      <c r="B492" s="73"/>
      <c r="C492" s="16">
        <v>46168</v>
      </c>
      <c r="D492">
        <v>15120.060000000001</v>
      </c>
    </row>
    <row r="493" spans="1:4" x14ac:dyDescent="0.3">
      <c r="A493" s="73" t="s">
        <v>33</v>
      </c>
      <c r="B493" s="73"/>
      <c r="C493" s="16">
        <v>46168</v>
      </c>
      <c r="D493">
        <v>29206.27</v>
      </c>
    </row>
    <row r="494" spans="1:4" x14ac:dyDescent="0.3">
      <c r="A494" s="73" t="s">
        <v>34</v>
      </c>
      <c r="B494" s="73"/>
      <c r="C494" s="16">
        <v>46168</v>
      </c>
      <c r="D494">
        <v>345</v>
      </c>
    </row>
    <row r="495" spans="1:4" x14ac:dyDescent="0.3">
      <c r="A495" s="73" t="s">
        <v>35</v>
      </c>
      <c r="B495" s="73"/>
      <c r="C495" s="16">
        <v>46168</v>
      </c>
      <c r="D495">
        <v>8168.0700000000006</v>
      </c>
    </row>
    <row r="496" spans="1:4" x14ac:dyDescent="0.3">
      <c r="A496" s="73" t="s">
        <v>17</v>
      </c>
      <c r="B496" s="73"/>
      <c r="C496" s="16">
        <v>46169</v>
      </c>
      <c r="D496">
        <v>259371.70000000013</v>
      </c>
    </row>
    <row r="497" spans="1:4" x14ac:dyDescent="0.3">
      <c r="A497" s="73" t="s">
        <v>18</v>
      </c>
      <c r="B497" s="73"/>
      <c r="C497" s="16">
        <v>46169</v>
      </c>
      <c r="D497">
        <v>1259760.1600000001</v>
      </c>
    </row>
    <row r="498" spans="1:4" x14ac:dyDescent="0.3">
      <c r="A498" s="73" t="s">
        <v>19</v>
      </c>
      <c r="B498" s="73"/>
      <c r="C498" s="16">
        <v>46169</v>
      </c>
      <c r="D498">
        <v>1669.89</v>
      </c>
    </row>
    <row r="499" spans="1:4" x14ac:dyDescent="0.3">
      <c r="A499" s="73" t="s">
        <v>20</v>
      </c>
      <c r="B499" s="73"/>
      <c r="C499" s="16">
        <v>46169</v>
      </c>
      <c r="D499">
        <v>514616.73999999987</v>
      </c>
    </row>
    <row r="500" spans="1:4" x14ac:dyDescent="0.3">
      <c r="A500" s="73" t="s">
        <v>21</v>
      </c>
      <c r="B500" s="73"/>
      <c r="C500" s="16">
        <v>46169</v>
      </c>
      <c r="D500">
        <v>980426.88999999932</v>
      </c>
    </row>
    <row r="501" spans="1:4" x14ac:dyDescent="0.3">
      <c r="A501" s="73" t="s">
        <v>22</v>
      </c>
      <c r="B501" s="73"/>
      <c r="C501" s="16">
        <v>46169</v>
      </c>
      <c r="D501">
        <v>131496.38</v>
      </c>
    </row>
    <row r="502" spans="1:4" x14ac:dyDescent="0.3">
      <c r="A502" s="73" t="s">
        <v>23</v>
      </c>
      <c r="B502" s="73"/>
      <c r="C502" s="16">
        <v>46169</v>
      </c>
      <c r="D502">
        <v>88090.37</v>
      </c>
    </row>
    <row r="503" spans="1:4" x14ac:dyDescent="0.3">
      <c r="A503" s="73" t="s">
        <v>24</v>
      </c>
      <c r="B503" s="73"/>
      <c r="C503" s="16">
        <v>46169</v>
      </c>
      <c r="D503">
        <v>2498.3999999999996</v>
      </c>
    </row>
    <row r="504" spans="1:4" x14ac:dyDescent="0.3">
      <c r="A504" s="73" t="s">
        <v>25</v>
      </c>
      <c r="B504" s="73"/>
      <c r="C504" s="16">
        <v>46169</v>
      </c>
      <c r="D504">
        <v>114.3</v>
      </c>
    </row>
    <row r="505" spans="1:4" x14ac:dyDescent="0.3">
      <c r="A505" s="73" t="s">
        <v>26</v>
      </c>
      <c r="B505" s="73"/>
      <c r="C505" s="16">
        <v>46169</v>
      </c>
      <c r="D505">
        <v>2267.7200000000003</v>
      </c>
    </row>
    <row r="506" spans="1:4" x14ac:dyDescent="0.3">
      <c r="A506" s="73" t="s">
        <v>27</v>
      </c>
      <c r="B506" s="73"/>
      <c r="C506" s="16">
        <v>46169</v>
      </c>
      <c r="D506">
        <v>3349.94</v>
      </c>
    </row>
    <row r="507" spans="1:4" x14ac:dyDescent="0.3">
      <c r="A507" s="73" t="s">
        <v>28</v>
      </c>
      <c r="B507" s="73"/>
      <c r="C507" s="16">
        <v>46169</v>
      </c>
      <c r="D507">
        <v>1968.99</v>
      </c>
    </row>
    <row r="508" spans="1:4" x14ac:dyDescent="0.3">
      <c r="A508" s="73" t="s">
        <v>29</v>
      </c>
      <c r="B508" s="73"/>
      <c r="C508" s="16">
        <v>46169</v>
      </c>
      <c r="D508">
        <v>901.34</v>
      </c>
    </row>
    <row r="509" spans="1:4" x14ac:dyDescent="0.3">
      <c r="A509" s="73" t="s">
        <v>30</v>
      </c>
      <c r="B509" s="73"/>
      <c r="C509" s="16">
        <v>46169</v>
      </c>
      <c r="D509">
        <v>1444.08</v>
      </c>
    </row>
    <row r="510" spans="1:4" x14ac:dyDescent="0.3">
      <c r="A510" s="73" t="s">
        <v>31</v>
      </c>
      <c r="B510" s="73"/>
      <c r="C510" s="16">
        <v>46169</v>
      </c>
      <c r="D510">
        <v>15463.59999999996</v>
      </c>
    </row>
    <row r="511" spans="1:4" x14ac:dyDescent="0.3">
      <c r="A511" s="73" t="s">
        <v>32</v>
      </c>
      <c r="B511" s="73"/>
      <c r="C511" s="16">
        <v>46169</v>
      </c>
      <c r="D511">
        <v>15120.060000000001</v>
      </c>
    </row>
    <row r="512" spans="1:4" x14ac:dyDescent="0.3">
      <c r="A512" s="73" t="s">
        <v>33</v>
      </c>
      <c r="B512" s="73"/>
      <c r="C512" s="16">
        <v>46169</v>
      </c>
      <c r="D512">
        <v>33606.270000000004</v>
      </c>
    </row>
    <row r="513" spans="1:4" x14ac:dyDescent="0.3">
      <c r="A513" s="73" t="s">
        <v>34</v>
      </c>
      <c r="B513" s="73"/>
      <c r="C513" s="16">
        <v>46169</v>
      </c>
      <c r="D513">
        <v>345</v>
      </c>
    </row>
    <row r="514" spans="1:4" x14ac:dyDescent="0.3">
      <c r="A514" s="73" t="s">
        <v>35</v>
      </c>
      <c r="B514" s="73"/>
      <c r="C514" s="16">
        <v>46169</v>
      </c>
      <c r="D514">
        <v>17588.03</v>
      </c>
    </row>
    <row r="515" spans="1:4" x14ac:dyDescent="0.3">
      <c r="A515" s="73" t="s">
        <v>17</v>
      </c>
      <c r="B515" s="73"/>
      <c r="C515" s="16">
        <v>46170</v>
      </c>
      <c r="D515">
        <v>986983.19000000006</v>
      </c>
    </row>
    <row r="516" spans="1:4" x14ac:dyDescent="0.3">
      <c r="A516" s="73" t="s">
        <v>18</v>
      </c>
      <c r="B516" s="73"/>
      <c r="C516" s="16">
        <v>46170</v>
      </c>
      <c r="D516">
        <v>62397.280000000173</v>
      </c>
    </row>
    <row r="517" spans="1:4" x14ac:dyDescent="0.3">
      <c r="A517" s="73" t="s">
        <v>19</v>
      </c>
      <c r="B517" s="73"/>
      <c r="C517" s="16">
        <v>46170</v>
      </c>
      <c r="D517">
        <v>1669.89</v>
      </c>
    </row>
    <row r="518" spans="1:4" x14ac:dyDescent="0.3">
      <c r="A518" s="73" t="s">
        <v>20</v>
      </c>
      <c r="B518" s="73"/>
      <c r="C518" s="16">
        <v>46170</v>
      </c>
      <c r="D518">
        <v>376595.84999999986</v>
      </c>
    </row>
    <row r="519" spans="1:4" x14ac:dyDescent="0.3">
      <c r="A519" s="73" t="s">
        <v>21</v>
      </c>
      <c r="B519" s="73"/>
      <c r="C519" s="16">
        <v>46170</v>
      </c>
      <c r="D519">
        <v>1090396.4799999993</v>
      </c>
    </row>
    <row r="520" spans="1:4" x14ac:dyDescent="0.3">
      <c r="A520" s="73" t="s">
        <v>22</v>
      </c>
      <c r="B520" s="73"/>
      <c r="C520" s="16">
        <v>46170</v>
      </c>
      <c r="D520">
        <v>131496.38</v>
      </c>
    </row>
    <row r="521" spans="1:4" x14ac:dyDescent="0.3">
      <c r="A521" s="73" t="s">
        <v>23</v>
      </c>
      <c r="B521" s="73"/>
      <c r="C521" s="16">
        <v>46170</v>
      </c>
      <c r="D521">
        <v>88090.37</v>
      </c>
    </row>
    <row r="522" spans="1:4" x14ac:dyDescent="0.3">
      <c r="A522" s="73" t="s">
        <v>24</v>
      </c>
      <c r="B522" s="73"/>
      <c r="C522" s="16">
        <v>46170</v>
      </c>
      <c r="D522">
        <v>2498.3999999999996</v>
      </c>
    </row>
    <row r="523" spans="1:4" x14ac:dyDescent="0.3">
      <c r="A523" s="73" t="s">
        <v>25</v>
      </c>
      <c r="B523" s="73"/>
      <c r="C523" s="16">
        <v>46170</v>
      </c>
      <c r="D523">
        <v>114.3</v>
      </c>
    </row>
    <row r="524" spans="1:4" x14ac:dyDescent="0.3">
      <c r="A524" s="73" t="s">
        <v>26</v>
      </c>
      <c r="B524" s="73"/>
      <c r="C524" s="16">
        <v>46170</v>
      </c>
      <c r="D524">
        <v>2267.7200000000003</v>
      </c>
    </row>
    <row r="525" spans="1:4" x14ac:dyDescent="0.3">
      <c r="A525" s="73" t="s">
        <v>27</v>
      </c>
      <c r="B525" s="73"/>
      <c r="C525" s="16">
        <v>46170</v>
      </c>
      <c r="D525">
        <v>3349.94</v>
      </c>
    </row>
    <row r="526" spans="1:4" x14ac:dyDescent="0.3">
      <c r="A526" s="73" t="s">
        <v>28</v>
      </c>
      <c r="B526" s="73"/>
      <c r="C526" s="16">
        <v>46170</v>
      </c>
      <c r="D526">
        <v>1968.99</v>
      </c>
    </row>
    <row r="527" spans="1:4" x14ac:dyDescent="0.3">
      <c r="A527" s="73" t="s">
        <v>29</v>
      </c>
      <c r="B527" s="73"/>
      <c r="C527" s="16">
        <v>46170</v>
      </c>
      <c r="D527">
        <v>901.34</v>
      </c>
    </row>
    <row r="528" spans="1:4" x14ac:dyDescent="0.3">
      <c r="A528" s="73" t="s">
        <v>30</v>
      </c>
      <c r="B528" s="73"/>
      <c r="C528" s="16">
        <v>46170</v>
      </c>
      <c r="D528">
        <v>1444.08</v>
      </c>
    </row>
    <row r="529" spans="1:4" x14ac:dyDescent="0.3">
      <c r="A529" s="73" t="s">
        <v>31</v>
      </c>
      <c r="B529" s="73"/>
      <c r="C529" s="16">
        <v>46170</v>
      </c>
      <c r="D529">
        <v>35463.599999999962</v>
      </c>
    </row>
    <row r="530" spans="1:4" x14ac:dyDescent="0.3">
      <c r="A530" s="73" t="s">
        <v>32</v>
      </c>
      <c r="B530" s="73"/>
      <c r="C530" s="16">
        <v>46170</v>
      </c>
      <c r="D530">
        <v>15120.060000000001</v>
      </c>
    </row>
    <row r="531" spans="1:4" x14ac:dyDescent="0.3">
      <c r="A531" s="73" t="s">
        <v>33</v>
      </c>
      <c r="B531" s="73"/>
      <c r="C531" s="16">
        <v>46170</v>
      </c>
      <c r="D531">
        <v>33606.270000000004</v>
      </c>
    </row>
    <row r="532" spans="1:4" x14ac:dyDescent="0.3">
      <c r="A532" s="73" t="s">
        <v>34</v>
      </c>
      <c r="B532" s="73"/>
      <c r="C532" s="16">
        <v>46170</v>
      </c>
      <c r="D532">
        <v>345</v>
      </c>
    </row>
    <row r="533" spans="1:4" x14ac:dyDescent="0.3">
      <c r="A533" s="73" t="s">
        <v>35</v>
      </c>
      <c r="B533" s="73"/>
      <c r="C533" s="16">
        <v>46170</v>
      </c>
      <c r="D533">
        <v>9076.2400000000016</v>
      </c>
    </row>
    <row r="534" spans="1:4" x14ac:dyDescent="0.3">
      <c r="A534" s="73" t="s">
        <v>17</v>
      </c>
      <c r="B534" s="73"/>
      <c r="C534" s="16">
        <v>46171</v>
      </c>
      <c r="D534">
        <v>983394.14000000013</v>
      </c>
    </row>
    <row r="535" spans="1:4" x14ac:dyDescent="0.3">
      <c r="A535" s="73" t="s">
        <v>18</v>
      </c>
      <c r="B535" s="73"/>
      <c r="C535" s="16">
        <v>46171</v>
      </c>
      <c r="D535">
        <v>62397.280000000173</v>
      </c>
    </row>
    <row r="536" spans="1:4" x14ac:dyDescent="0.3">
      <c r="A536" s="73" t="s">
        <v>19</v>
      </c>
      <c r="B536" s="73"/>
      <c r="C536" s="16">
        <v>46171</v>
      </c>
      <c r="D536">
        <v>1669.89</v>
      </c>
    </row>
    <row r="537" spans="1:4" x14ac:dyDescent="0.3">
      <c r="A537" s="73" t="s">
        <v>20</v>
      </c>
      <c r="B537" s="73"/>
      <c r="C537" s="16">
        <v>46171</v>
      </c>
      <c r="D537">
        <v>424853.11999999988</v>
      </c>
    </row>
    <row r="538" spans="1:4" x14ac:dyDescent="0.3">
      <c r="A538" s="73" t="s">
        <v>21</v>
      </c>
      <c r="B538" s="73"/>
      <c r="C538" s="16">
        <v>46171</v>
      </c>
      <c r="D538">
        <v>1015901.6699999992</v>
      </c>
    </row>
    <row r="539" spans="1:4" x14ac:dyDescent="0.3">
      <c r="A539" s="73" t="s">
        <v>22</v>
      </c>
      <c r="B539" s="73"/>
      <c r="C539" s="16">
        <v>46171</v>
      </c>
      <c r="D539">
        <v>131496.38</v>
      </c>
    </row>
    <row r="540" spans="1:4" x14ac:dyDescent="0.3">
      <c r="A540" s="73" t="s">
        <v>23</v>
      </c>
      <c r="B540" s="73"/>
      <c r="C540" s="16">
        <v>46171</v>
      </c>
      <c r="D540">
        <v>88090.37</v>
      </c>
    </row>
    <row r="541" spans="1:4" x14ac:dyDescent="0.3">
      <c r="A541" s="73" t="s">
        <v>24</v>
      </c>
      <c r="B541" s="73"/>
      <c r="C541" s="16">
        <v>46171</v>
      </c>
      <c r="D541">
        <v>1227.9699999999998</v>
      </c>
    </row>
    <row r="542" spans="1:4" x14ac:dyDescent="0.3">
      <c r="A542" s="73" t="s">
        <v>25</v>
      </c>
      <c r="B542" s="73"/>
      <c r="C542" s="16">
        <v>46171</v>
      </c>
      <c r="D542">
        <v>114.3</v>
      </c>
    </row>
    <row r="543" spans="1:4" x14ac:dyDescent="0.3">
      <c r="A543" s="73" t="s">
        <v>26</v>
      </c>
      <c r="B543" s="73"/>
      <c r="C543" s="16">
        <v>46171</v>
      </c>
      <c r="D543">
        <v>2267.7200000000003</v>
      </c>
    </row>
    <row r="544" spans="1:4" x14ac:dyDescent="0.3">
      <c r="A544" s="73" t="s">
        <v>27</v>
      </c>
      <c r="B544" s="73"/>
      <c r="C544" s="16">
        <v>46171</v>
      </c>
      <c r="D544">
        <v>3349.94</v>
      </c>
    </row>
    <row r="545" spans="1:4" x14ac:dyDescent="0.3">
      <c r="A545" s="73" t="s">
        <v>28</v>
      </c>
      <c r="B545" s="73"/>
      <c r="C545" s="16">
        <v>46171</v>
      </c>
      <c r="D545">
        <v>1968.99</v>
      </c>
    </row>
    <row r="546" spans="1:4" x14ac:dyDescent="0.3">
      <c r="A546" s="73" t="s">
        <v>29</v>
      </c>
      <c r="B546" s="73"/>
      <c r="C546" s="16">
        <v>46171</v>
      </c>
      <c r="D546">
        <v>901.34</v>
      </c>
    </row>
    <row r="547" spans="1:4" x14ac:dyDescent="0.3">
      <c r="A547" s="73" t="s">
        <v>30</v>
      </c>
      <c r="B547" s="73"/>
      <c r="C547" s="16">
        <v>46171</v>
      </c>
      <c r="D547">
        <v>1444.08</v>
      </c>
    </row>
    <row r="548" spans="1:4" x14ac:dyDescent="0.3">
      <c r="A548" s="73" t="s">
        <v>31</v>
      </c>
      <c r="B548" s="73"/>
      <c r="C548" s="16">
        <v>46171</v>
      </c>
      <c r="D548">
        <v>35448.599999999962</v>
      </c>
    </row>
    <row r="549" spans="1:4" x14ac:dyDescent="0.3">
      <c r="A549" s="73" t="s">
        <v>32</v>
      </c>
      <c r="B549" s="73"/>
      <c r="C549" s="16">
        <v>46171</v>
      </c>
      <c r="D549">
        <v>15120.060000000001</v>
      </c>
    </row>
    <row r="550" spans="1:4" x14ac:dyDescent="0.3">
      <c r="A550" s="73" t="s">
        <v>33</v>
      </c>
      <c r="B550" s="73"/>
      <c r="C550" s="16">
        <v>46171</v>
      </c>
      <c r="D550">
        <v>33606.270000000004</v>
      </c>
    </row>
    <row r="551" spans="1:4" x14ac:dyDescent="0.3">
      <c r="A551" s="73" t="s">
        <v>34</v>
      </c>
      <c r="B551" s="73"/>
      <c r="C551" s="16">
        <v>46171</v>
      </c>
      <c r="D551">
        <v>345</v>
      </c>
    </row>
    <row r="552" spans="1:4" x14ac:dyDescent="0.3">
      <c r="A552" s="73" t="s">
        <v>35</v>
      </c>
      <c r="B552" s="73"/>
      <c r="C552" s="16">
        <v>46171</v>
      </c>
      <c r="D552">
        <v>9076.2400000000016</v>
      </c>
    </row>
    <row r="553" spans="1:4" x14ac:dyDescent="0.3">
      <c r="A553" s="73" t="s">
        <v>17</v>
      </c>
      <c r="B553" s="73"/>
      <c r="C553" s="16">
        <v>46172</v>
      </c>
      <c r="D553">
        <v>983394.14000000013</v>
      </c>
    </row>
    <row r="554" spans="1:4" x14ac:dyDescent="0.3">
      <c r="A554" s="73" t="s">
        <v>18</v>
      </c>
      <c r="B554" s="73"/>
      <c r="C554" s="16">
        <v>46172</v>
      </c>
      <c r="D554">
        <v>62397.280000000173</v>
      </c>
    </row>
    <row r="555" spans="1:4" x14ac:dyDescent="0.3">
      <c r="A555" s="73" t="s">
        <v>19</v>
      </c>
      <c r="B555" s="73"/>
      <c r="C555" s="16">
        <v>46172</v>
      </c>
      <c r="D555">
        <v>1669.89</v>
      </c>
    </row>
    <row r="556" spans="1:4" x14ac:dyDescent="0.3">
      <c r="A556" s="73" t="s">
        <v>20</v>
      </c>
      <c r="B556" s="73"/>
      <c r="C556" s="16">
        <v>46172</v>
      </c>
      <c r="D556">
        <v>424853.11999999988</v>
      </c>
    </row>
    <row r="557" spans="1:4" x14ac:dyDescent="0.3">
      <c r="A557" s="73" t="s">
        <v>21</v>
      </c>
      <c r="B557" s="73"/>
      <c r="C557" s="16">
        <v>46172</v>
      </c>
      <c r="D557">
        <v>1015901.6699999992</v>
      </c>
    </row>
    <row r="558" spans="1:4" x14ac:dyDescent="0.3">
      <c r="A558" s="73" t="s">
        <v>22</v>
      </c>
      <c r="B558" s="73"/>
      <c r="C558" s="16">
        <v>46172</v>
      </c>
      <c r="D558">
        <v>131496.38</v>
      </c>
    </row>
    <row r="559" spans="1:4" x14ac:dyDescent="0.3">
      <c r="A559" s="73" t="s">
        <v>23</v>
      </c>
      <c r="B559" s="73"/>
      <c r="C559" s="16">
        <v>46172</v>
      </c>
      <c r="D559">
        <v>88090.37</v>
      </c>
    </row>
    <row r="560" spans="1:4" x14ac:dyDescent="0.3">
      <c r="A560" s="73" t="s">
        <v>24</v>
      </c>
      <c r="B560" s="73"/>
      <c r="C560" s="16">
        <v>46172</v>
      </c>
      <c r="D560">
        <v>1227.9699999999998</v>
      </c>
    </row>
    <row r="561" spans="1:4" x14ac:dyDescent="0.3">
      <c r="A561" s="73" t="s">
        <v>25</v>
      </c>
      <c r="B561" s="73"/>
      <c r="C561" s="16">
        <v>46172</v>
      </c>
      <c r="D561">
        <v>114.3</v>
      </c>
    </row>
    <row r="562" spans="1:4" x14ac:dyDescent="0.3">
      <c r="A562" s="73" t="s">
        <v>26</v>
      </c>
      <c r="B562" s="73"/>
      <c r="C562" s="16">
        <v>46172</v>
      </c>
      <c r="D562">
        <v>2267.7200000000003</v>
      </c>
    </row>
    <row r="563" spans="1:4" x14ac:dyDescent="0.3">
      <c r="A563" s="73" t="s">
        <v>27</v>
      </c>
      <c r="B563" s="73"/>
      <c r="C563" s="16">
        <v>46172</v>
      </c>
      <c r="D563">
        <v>3349.94</v>
      </c>
    </row>
    <row r="564" spans="1:4" x14ac:dyDescent="0.3">
      <c r="A564" s="73" t="s">
        <v>28</v>
      </c>
      <c r="B564" s="73"/>
      <c r="C564" s="16">
        <v>46172</v>
      </c>
      <c r="D564">
        <v>1968.99</v>
      </c>
    </row>
    <row r="565" spans="1:4" x14ac:dyDescent="0.3">
      <c r="A565" s="73" t="s">
        <v>29</v>
      </c>
      <c r="B565" s="73"/>
      <c r="C565" s="16">
        <v>46172</v>
      </c>
      <c r="D565">
        <v>901.34</v>
      </c>
    </row>
    <row r="566" spans="1:4" x14ac:dyDescent="0.3">
      <c r="A566" s="73" t="s">
        <v>30</v>
      </c>
      <c r="B566" s="73"/>
      <c r="C566" s="16">
        <v>46172</v>
      </c>
      <c r="D566">
        <v>1444.08</v>
      </c>
    </row>
    <row r="567" spans="1:4" x14ac:dyDescent="0.3">
      <c r="A567" s="73" t="s">
        <v>31</v>
      </c>
      <c r="B567" s="73"/>
      <c r="C567" s="16">
        <v>46172</v>
      </c>
      <c r="D567">
        <v>35448.599999999962</v>
      </c>
    </row>
    <row r="568" spans="1:4" x14ac:dyDescent="0.3">
      <c r="A568" s="73" t="s">
        <v>32</v>
      </c>
      <c r="B568" s="73"/>
      <c r="C568" s="16">
        <v>46172</v>
      </c>
      <c r="D568">
        <v>15120.060000000001</v>
      </c>
    </row>
    <row r="569" spans="1:4" x14ac:dyDescent="0.3">
      <c r="A569" s="73" t="s">
        <v>33</v>
      </c>
      <c r="B569" s="73"/>
      <c r="C569" s="16">
        <v>46172</v>
      </c>
      <c r="D569">
        <v>33606.270000000004</v>
      </c>
    </row>
    <row r="570" spans="1:4" x14ac:dyDescent="0.3">
      <c r="A570" s="73" t="s">
        <v>34</v>
      </c>
      <c r="B570" s="73"/>
      <c r="C570" s="16">
        <v>46172</v>
      </c>
      <c r="D570">
        <v>345</v>
      </c>
    </row>
    <row r="571" spans="1:4" x14ac:dyDescent="0.3">
      <c r="A571" s="73" t="s">
        <v>35</v>
      </c>
      <c r="B571" s="73"/>
      <c r="C571" s="16">
        <v>46172</v>
      </c>
      <c r="D571">
        <v>9076.2400000000016</v>
      </c>
    </row>
    <row r="572" spans="1:4" x14ac:dyDescent="0.3">
      <c r="A572" s="73" t="s">
        <v>17</v>
      </c>
      <c r="B572" s="73"/>
      <c r="C572" s="16">
        <v>46173</v>
      </c>
      <c r="D572">
        <v>983394.14000000013</v>
      </c>
    </row>
    <row r="573" spans="1:4" x14ac:dyDescent="0.3">
      <c r="A573" s="73" t="s">
        <v>18</v>
      </c>
      <c r="B573" s="73"/>
      <c r="C573" s="16">
        <v>46173</v>
      </c>
      <c r="D573">
        <v>62397.280000000173</v>
      </c>
    </row>
    <row r="574" spans="1:4" x14ac:dyDescent="0.3">
      <c r="A574" s="73" t="s">
        <v>19</v>
      </c>
      <c r="B574" s="73"/>
      <c r="C574" s="16">
        <v>46173</v>
      </c>
      <c r="D574">
        <v>1669.89</v>
      </c>
    </row>
    <row r="575" spans="1:4" x14ac:dyDescent="0.3">
      <c r="A575" s="73" t="s">
        <v>20</v>
      </c>
      <c r="B575" s="73"/>
      <c r="C575" s="16">
        <v>46173</v>
      </c>
      <c r="D575">
        <v>424853.11999999988</v>
      </c>
    </row>
    <row r="576" spans="1:4" x14ac:dyDescent="0.3">
      <c r="A576" s="73" t="s">
        <v>21</v>
      </c>
      <c r="B576" s="73"/>
      <c r="C576" s="16">
        <v>46173</v>
      </c>
      <c r="D576">
        <v>1015901.6699999992</v>
      </c>
    </row>
    <row r="577" spans="1:4" x14ac:dyDescent="0.3">
      <c r="A577" s="73" t="s">
        <v>22</v>
      </c>
      <c r="B577" s="73"/>
      <c r="C577" s="16">
        <v>46173</v>
      </c>
      <c r="D577">
        <v>131496.38</v>
      </c>
    </row>
    <row r="578" spans="1:4" x14ac:dyDescent="0.3">
      <c r="A578" s="73" t="s">
        <v>23</v>
      </c>
      <c r="B578" s="73"/>
      <c r="C578" s="16">
        <v>46173</v>
      </c>
      <c r="D578">
        <v>88090.37</v>
      </c>
    </row>
    <row r="579" spans="1:4" x14ac:dyDescent="0.3">
      <c r="A579" s="73" t="s">
        <v>24</v>
      </c>
      <c r="B579" s="73"/>
      <c r="C579" s="16">
        <v>46173</v>
      </c>
      <c r="D579">
        <v>1227.9699999999998</v>
      </c>
    </row>
    <row r="580" spans="1:4" x14ac:dyDescent="0.3">
      <c r="A580" s="73" t="s">
        <v>25</v>
      </c>
      <c r="B580" s="73"/>
      <c r="C580" s="16">
        <v>46173</v>
      </c>
      <c r="D580">
        <v>114.3</v>
      </c>
    </row>
    <row r="581" spans="1:4" x14ac:dyDescent="0.3">
      <c r="A581" s="73" t="s">
        <v>26</v>
      </c>
      <c r="B581" s="73"/>
      <c r="C581" s="16">
        <v>46173</v>
      </c>
      <c r="D581">
        <v>2267.7200000000003</v>
      </c>
    </row>
    <row r="582" spans="1:4" x14ac:dyDescent="0.3">
      <c r="A582" s="73" t="s">
        <v>27</v>
      </c>
      <c r="B582" s="73"/>
      <c r="C582" s="16">
        <v>46173</v>
      </c>
      <c r="D582">
        <v>3349.94</v>
      </c>
    </row>
    <row r="583" spans="1:4" x14ac:dyDescent="0.3">
      <c r="A583" s="73" t="s">
        <v>28</v>
      </c>
      <c r="B583" s="73"/>
      <c r="C583" s="16">
        <v>46173</v>
      </c>
      <c r="D583">
        <v>1968.99</v>
      </c>
    </row>
    <row r="584" spans="1:4" x14ac:dyDescent="0.3">
      <c r="A584" s="73" t="s">
        <v>29</v>
      </c>
      <c r="B584" s="73"/>
      <c r="C584" s="16">
        <v>46173</v>
      </c>
      <c r="D584">
        <v>901.34</v>
      </c>
    </row>
    <row r="585" spans="1:4" x14ac:dyDescent="0.3">
      <c r="A585" s="73" t="s">
        <v>30</v>
      </c>
      <c r="B585" s="73"/>
      <c r="C585" s="16">
        <v>46173</v>
      </c>
      <c r="D585">
        <v>1444.08</v>
      </c>
    </row>
    <row r="586" spans="1:4" x14ac:dyDescent="0.3">
      <c r="A586" s="73" t="s">
        <v>31</v>
      </c>
      <c r="B586" s="73"/>
      <c r="C586" s="16">
        <v>46173</v>
      </c>
      <c r="D586">
        <v>35448.599999999962</v>
      </c>
    </row>
    <row r="587" spans="1:4" x14ac:dyDescent="0.3">
      <c r="A587" s="73" t="s">
        <v>32</v>
      </c>
      <c r="B587" s="73"/>
      <c r="C587" s="16">
        <v>46173</v>
      </c>
      <c r="D587">
        <v>15120.060000000001</v>
      </c>
    </row>
    <row r="588" spans="1:4" x14ac:dyDescent="0.3">
      <c r="A588" s="73" t="s">
        <v>33</v>
      </c>
      <c r="B588" s="73"/>
      <c r="C588" s="16">
        <v>46173</v>
      </c>
      <c r="D588">
        <v>33606.270000000004</v>
      </c>
    </row>
    <row r="589" spans="1:4" x14ac:dyDescent="0.3">
      <c r="A589" s="73" t="s">
        <v>34</v>
      </c>
      <c r="B589" s="73"/>
      <c r="C589" s="16">
        <v>46173</v>
      </c>
      <c r="D589">
        <v>345</v>
      </c>
    </row>
    <row r="590" spans="1:4" x14ac:dyDescent="0.3">
      <c r="A590" s="73" t="s">
        <v>35</v>
      </c>
      <c r="B590" s="73"/>
      <c r="C590" s="16">
        <v>46173</v>
      </c>
      <c r="D590">
        <v>9076.2400000000016</v>
      </c>
    </row>
    <row r="591" spans="1:4" x14ac:dyDescent="0.3">
      <c r="A591" s="73" t="s">
        <v>17</v>
      </c>
      <c r="B591" s="73"/>
      <c r="C591" s="16">
        <v>46174</v>
      </c>
      <c r="D591">
        <v>983394.14000000013</v>
      </c>
    </row>
    <row r="592" spans="1:4" x14ac:dyDescent="0.3">
      <c r="A592" s="73" t="s">
        <v>18</v>
      </c>
      <c r="B592" s="73"/>
      <c r="C592" s="16">
        <v>46174</v>
      </c>
      <c r="D592">
        <v>69376.390000000174</v>
      </c>
    </row>
    <row r="593" spans="1:4" x14ac:dyDescent="0.3">
      <c r="A593" s="73" t="s">
        <v>19</v>
      </c>
      <c r="B593" s="73"/>
      <c r="C593" s="16">
        <v>46174</v>
      </c>
      <c r="D593">
        <v>1669.89</v>
      </c>
    </row>
    <row r="594" spans="1:4" x14ac:dyDescent="0.3">
      <c r="A594" s="73" t="s">
        <v>20</v>
      </c>
      <c r="B594" s="73"/>
      <c r="C594" s="16">
        <v>46174</v>
      </c>
      <c r="D594">
        <v>804853.11999999988</v>
      </c>
    </row>
    <row r="595" spans="1:4" x14ac:dyDescent="0.3">
      <c r="A595" s="73" t="s">
        <v>21</v>
      </c>
      <c r="B595" s="73"/>
      <c r="C595" s="16">
        <v>46174</v>
      </c>
      <c r="D595">
        <v>1015901.6699999992</v>
      </c>
    </row>
    <row r="596" spans="1:4" x14ac:dyDescent="0.3">
      <c r="A596" s="73" t="s">
        <v>22</v>
      </c>
      <c r="B596" s="73"/>
      <c r="C596" s="16">
        <v>46174</v>
      </c>
      <c r="D596">
        <v>131496.38</v>
      </c>
    </row>
    <row r="597" spans="1:4" x14ac:dyDescent="0.3">
      <c r="A597" s="73" t="s">
        <v>23</v>
      </c>
      <c r="B597" s="73"/>
      <c r="C597" s="16">
        <v>46174</v>
      </c>
      <c r="D597">
        <v>88090.37</v>
      </c>
    </row>
    <row r="598" spans="1:4" x14ac:dyDescent="0.3">
      <c r="A598" s="73" t="s">
        <v>24</v>
      </c>
      <c r="B598" s="73"/>
      <c r="C598" s="16">
        <v>46174</v>
      </c>
      <c r="D598">
        <v>1227.9699999999998</v>
      </c>
    </row>
    <row r="599" spans="1:4" x14ac:dyDescent="0.3">
      <c r="A599" s="73" t="s">
        <v>25</v>
      </c>
      <c r="B599" s="73"/>
      <c r="C599" s="16">
        <v>46174</v>
      </c>
      <c r="D599">
        <v>84.35</v>
      </c>
    </row>
    <row r="600" spans="1:4" x14ac:dyDescent="0.3">
      <c r="A600" s="73" t="s">
        <v>26</v>
      </c>
      <c r="B600" s="73"/>
      <c r="C600" s="16">
        <v>46174</v>
      </c>
      <c r="D600">
        <v>2237.77</v>
      </c>
    </row>
    <row r="601" spans="1:4" x14ac:dyDescent="0.3">
      <c r="A601" s="73" t="s">
        <v>27</v>
      </c>
      <c r="B601" s="73"/>
      <c r="C601" s="16">
        <v>46174</v>
      </c>
      <c r="D601">
        <v>3349.94</v>
      </c>
    </row>
    <row r="602" spans="1:4" x14ac:dyDescent="0.3">
      <c r="A602" s="73" t="s">
        <v>28</v>
      </c>
      <c r="B602" s="73"/>
      <c r="C602" s="16">
        <v>46174</v>
      </c>
      <c r="D602">
        <v>1968.99</v>
      </c>
    </row>
    <row r="603" spans="1:4" x14ac:dyDescent="0.3">
      <c r="A603" s="73" t="s">
        <v>29</v>
      </c>
      <c r="B603" s="73"/>
      <c r="C603" s="16">
        <v>46174</v>
      </c>
      <c r="D603">
        <v>901.34</v>
      </c>
    </row>
    <row r="604" spans="1:4" x14ac:dyDescent="0.3">
      <c r="A604" s="73" t="s">
        <v>30</v>
      </c>
      <c r="B604" s="73"/>
      <c r="C604" s="16">
        <v>46174</v>
      </c>
      <c r="D604">
        <v>1428.08</v>
      </c>
    </row>
    <row r="605" spans="1:4" x14ac:dyDescent="0.3">
      <c r="A605" s="73" t="s">
        <v>31</v>
      </c>
      <c r="B605" s="73"/>
      <c r="C605" s="16">
        <v>46174</v>
      </c>
      <c r="D605">
        <v>26416.26999999996</v>
      </c>
    </row>
    <row r="606" spans="1:4" x14ac:dyDescent="0.3">
      <c r="A606" s="73" t="s">
        <v>32</v>
      </c>
      <c r="B606" s="73"/>
      <c r="C606" s="16">
        <v>46174</v>
      </c>
      <c r="D606">
        <v>5321.4300000000021</v>
      </c>
    </row>
    <row r="607" spans="1:4" x14ac:dyDescent="0.3">
      <c r="A607" s="73" t="s">
        <v>33</v>
      </c>
      <c r="B607" s="73"/>
      <c r="C607" s="16">
        <v>46174</v>
      </c>
      <c r="D607">
        <v>24833.23</v>
      </c>
    </row>
    <row r="608" spans="1:4" x14ac:dyDescent="0.3">
      <c r="A608" s="73" t="s">
        <v>34</v>
      </c>
      <c r="B608" s="73"/>
      <c r="C608" s="16">
        <v>46174</v>
      </c>
      <c r="D608">
        <v>345</v>
      </c>
    </row>
    <row r="609" spans="1:4" x14ac:dyDescent="0.3">
      <c r="A609" s="73" t="s">
        <v>35</v>
      </c>
      <c r="B609" s="73"/>
      <c r="C609" s="16">
        <v>46174</v>
      </c>
      <c r="D609">
        <v>6824.47</v>
      </c>
    </row>
    <row r="610" spans="1:4" x14ac:dyDescent="0.3">
      <c r="A610" s="73" t="s">
        <v>17</v>
      </c>
      <c r="B610" s="73"/>
      <c r="C610" s="16">
        <v>46175</v>
      </c>
      <c r="D610">
        <v>983394.14000000013</v>
      </c>
    </row>
    <row r="611" spans="1:4" x14ac:dyDescent="0.3">
      <c r="A611" s="73" t="s">
        <v>18</v>
      </c>
      <c r="B611" s="73"/>
      <c r="C611" s="16">
        <v>46175</v>
      </c>
      <c r="D611">
        <v>69376.390000000174</v>
      </c>
    </row>
    <row r="612" spans="1:4" x14ac:dyDescent="0.3">
      <c r="A612" s="73" t="s">
        <v>19</v>
      </c>
      <c r="B612" s="73"/>
      <c r="C612" s="16">
        <v>46175</v>
      </c>
      <c r="D612">
        <v>1669.89</v>
      </c>
    </row>
    <row r="613" spans="1:4" x14ac:dyDescent="0.3">
      <c r="A613" s="73" t="s">
        <v>20</v>
      </c>
      <c r="B613" s="73"/>
      <c r="C613" s="16">
        <v>46175</v>
      </c>
      <c r="D613">
        <v>804853.11999999988</v>
      </c>
    </row>
    <row r="614" spans="1:4" x14ac:dyDescent="0.3">
      <c r="A614" s="73" t="s">
        <v>21</v>
      </c>
      <c r="B614" s="73"/>
      <c r="C614" s="16">
        <v>46175</v>
      </c>
      <c r="D614">
        <v>1015901.6699999992</v>
      </c>
    </row>
    <row r="615" spans="1:4" x14ac:dyDescent="0.3">
      <c r="A615" s="73" t="s">
        <v>22</v>
      </c>
      <c r="B615" s="73"/>
      <c r="C615" s="16">
        <v>46175</v>
      </c>
      <c r="D615">
        <v>131496.38</v>
      </c>
    </row>
    <row r="616" spans="1:4" x14ac:dyDescent="0.3">
      <c r="A616" s="73" t="s">
        <v>23</v>
      </c>
      <c r="B616" s="73"/>
      <c r="C616" s="16">
        <v>46175</v>
      </c>
      <c r="D616">
        <v>88090.37</v>
      </c>
    </row>
    <row r="617" spans="1:4" x14ac:dyDescent="0.3">
      <c r="A617" s="73" t="s">
        <v>24</v>
      </c>
      <c r="B617" s="73"/>
      <c r="C617" s="16">
        <v>46175</v>
      </c>
      <c r="D617">
        <v>1227.9699999999998</v>
      </c>
    </row>
    <row r="618" spans="1:4" x14ac:dyDescent="0.3">
      <c r="A618" s="73" t="s">
        <v>25</v>
      </c>
      <c r="B618" s="73"/>
      <c r="C618" s="16">
        <v>46175</v>
      </c>
      <c r="D618">
        <v>84.35</v>
      </c>
    </row>
    <row r="619" spans="1:4" x14ac:dyDescent="0.3">
      <c r="A619" s="73" t="s">
        <v>26</v>
      </c>
      <c r="B619" s="73"/>
      <c r="C619" s="16">
        <v>46175</v>
      </c>
      <c r="D619">
        <v>2237.77</v>
      </c>
    </row>
    <row r="620" spans="1:4" x14ac:dyDescent="0.3">
      <c r="A620" s="73" t="s">
        <v>27</v>
      </c>
      <c r="B620" s="73"/>
      <c r="C620" s="16">
        <v>46175</v>
      </c>
      <c r="D620">
        <v>3349.94</v>
      </c>
    </row>
    <row r="621" spans="1:4" x14ac:dyDescent="0.3">
      <c r="A621" s="73" t="s">
        <v>28</v>
      </c>
      <c r="B621" s="73"/>
      <c r="C621" s="16">
        <v>46175</v>
      </c>
      <c r="D621">
        <v>1968.99</v>
      </c>
    </row>
    <row r="622" spans="1:4" x14ac:dyDescent="0.3">
      <c r="A622" s="73" t="s">
        <v>29</v>
      </c>
      <c r="B622" s="73"/>
      <c r="C622" s="16">
        <v>46175</v>
      </c>
      <c r="D622">
        <v>901.34</v>
      </c>
    </row>
    <row r="623" spans="1:4" x14ac:dyDescent="0.3">
      <c r="A623" s="73" t="s">
        <v>30</v>
      </c>
      <c r="B623" s="73"/>
      <c r="C623" s="16">
        <v>46175</v>
      </c>
      <c r="D623">
        <v>1428.08</v>
      </c>
    </row>
    <row r="624" spans="1:4" x14ac:dyDescent="0.3">
      <c r="A624" s="73" t="s">
        <v>31</v>
      </c>
      <c r="B624" s="73"/>
      <c r="C624" s="16">
        <v>46175</v>
      </c>
      <c r="D624">
        <v>25789.969999999961</v>
      </c>
    </row>
    <row r="625" spans="1:4" x14ac:dyDescent="0.3">
      <c r="A625" s="73" t="s">
        <v>32</v>
      </c>
      <c r="B625" s="73"/>
      <c r="C625" s="16">
        <v>46175</v>
      </c>
      <c r="D625">
        <v>5321.4300000000021</v>
      </c>
    </row>
    <row r="626" spans="1:4" x14ac:dyDescent="0.3">
      <c r="A626" s="73" t="s">
        <v>33</v>
      </c>
      <c r="B626" s="73"/>
      <c r="C626" s="16">
        <v>46175</v>
      </c>
      <c r="D626">
        <v>24833.23</v>
      </c>
    </row>
    <row r="627" spans="1:4" x14ac:dyDescent="0.3">
      <c r="A627" s="73" t="s">
        <v>34</v>
      </c>
      <c r="B627" s="73"/>
      <c r="C627" s="16">
        <v>46175</v>
      </c>
      <c r="D627">
        <v>345</v>
      </c>
    </row>
    <row r="628" spans="1:4" x14ac:dyDescent="0.3">
      <c r="A628" s="73" t="s">
        <v>35</v>
      </c>
      <c r="B628" s="73"/>
      <c r="C628" s="16">
        <v>46175</v>
      </c>
      <c r="D628">
        <v>3514.8900000000012</v>
      </c>
    </row>
    <row r="629" spans="1:4" x14ac:dyDescent="0.3">
      <c r="A629" s="73" t="s">
        <v>17</v>
      </c>
      <c r="B629" s="73"/>
      <c r="C629" s="16">
        <v>46176</v>
      </c>
      <c r="D629">
        <v>983394.14000000013</v>
      </c>
    </row>
    <row r="630" spans="1:4" x14ac:dyDescent="0.3">
      <c r="A630" s="73" t="s">
        <v>18</v>
      </c>
      <c r="B630" s="73"/>
      <c r="C630" s="16">
        <v>46176</v>
      </c>
      <c r="D630">
        <v>69376.390000000174</v>
      </c>
    </row>
    <row r="631" spans="1:4" x14ac:dyDescent="0.3">
      <c r="A631" s="73" t="s">
        <v>19</v>
      </c>
      <c r="B631" s="73"/>
      <c r="C631" s="16">
        <v>46176</v>
      </c>
      <c r="D631">
        <v>1669.89</v>
      </c>
    </row>
    <row r="632" spans="1:4" x14ac:dyDescent="0.3">
      <c r="A632" s="73" t="s">
        <v>20</v>
      </c>
      <c r="B632" s="73"/>
      <c r="C632" s="16">
        <v>46176</v>
      </c>
      <c r="D632">
        <v>804853.11999999988</v>
      </c>
    </row>
    <row r="633" spans="1:4" x14ac:dyDescent="0.3">
      <c r="A633" s="73" t="s">
        <v>21</v>
      </c>
      <c r="B633" s="73"/>
      <c r="C633" s="16">
        <v>46176</v>
      </c>
      <c r="D633">
        <v>1015611.6599999993</v>
      </c>
    </row>
    <row r="634" spans="1:4" x14ac:dyDescent="0.3">
      <c r="A634" s="73" t="s">
        <v>22</v>
      </c>
      <c r="B634" s="73"/>
      <c r="C634" s="16">
        <v>46176</v>
      </c>
      <c r="D634">
        <v>125496.38</v>
      </c>
    </row>
    <row r="635" spans="1:4" x14ac:dyDescent="0.3">
      <c r="A635" s="73" t="s">
        <v>23</v>
      </c>
      <c r="B635" s="73"/>
      <c r="C635" s="16">
        <v>46176</v>
      </c>
      <c r="D635">
        <v>88090.37</v>
      </c>
    </row>
    <row r="636" spans="1:4" x14ac:dyDescent="0.3">
      <c r="A636" s="73" t="s">
        <v>24</v>
      </c>
      <c r="B636" s="73"/>
      <c r="C636" s="16">
        <v>46176</v>
      </c>
      <c r="D636">
        <v>1227.9699999999998</v>
      </c>
    </row>
    <row r="637" spans="1:4" x14ac:dyDescent="0.3">
      <c r="A637" s="73" t="s">
        <v>25</v>
      </c>
      <c r="B637" s="73"/>
      <c r="C637" s="16">
        <v>46176</v>
      </c>
      <c r="D637">
        <v>84.35</v>
      </c>
    </row>
    <row r="638" spans="1:4" x14ac:dyDescent="0.3">
      <c r="A638" s="73" t="s">
        <v>26</v>
      </c>
      <c r="B638" s="73"/>
      <c r="C638" s="16">
        <v>46176</v>
      </c>
      <c r="D638">
        <v>2237.77</v>
      </c>
    </row>
    <row r="639" spans="1:4" x14ac:dyDescent="0.3">
      <c r="A639" s="73" t="s">
        <v>27</v>
      </c>
      <c r="B639" s="73"/>
      <c r="C639" s="16">
        <v>46176</v>
      </c>
      <c r="D639">
        <v>3349.94</v>
      </c>
    </row>
    <row r="640" spans="1:4" x14ac:dyDescent="0.3">
      <c r="A640" s="73" t="s">
        <v>28</v>
      </c>
      <c r="B640" s="73"/>
      <c r="C640" s="16">
        <v>46176</v>
      </c>
      <c r="D640">
        <v>1968.99</v>
      </c>
    </row>
    <row r="641" spans="1:4" x14ac:dyDescent="0.3">
      <c r="A641" s="73" t="s">
        <v>29</v>
      </c>
      <c r="B641" s="73"/>
      <c r="C641" s="16">
        <v>46176</v>
      </c>
      <c r="D641">
        <v>901.34</v>
      </c>
    </row>
    <row r="642" spans="1:4" x14ac:dyDescent="0.3">
      <c r="A642" s="73" t="s">
        <v>30</v>
      </c>
      <c r="B642" s="73"/>
      <c r="C642" s="16">
        <v>46176</v>
      </c>
      <c r="D642">
        <v>1428.08</v>
      </c>
    </row>
    <row r="643" spans="1:4" x14ac:dyDescent="0.3">
      <c r="A643" s="73" t="s">
        <v>31</v>
      </c>
      <c r="B643" s="73"/>
      <c r="C643" s="16">
        <v>46176</v>
      </c>
      <c r="D643">
        <v>25789.969999999961</v>
      </c>
    </row>
    <row r="644" spans="1:4" x14ac:dyDescent="0.3">
      <c r="A644" s="73" t="s">
        <v>32</v>
      </c>
      <c r="B644" s="73"/>
      <c r="C644" s="16">
        <v>46176</v>
      </c>
      <c r="D644">
        <v>5321.4300000000021</v>
      </c>
    </row>
    <row r="645" spans="1:4" x14ac:dyDescent="0.3">
      <c r="A645" s="73" t="s">
        <v>33</v>
      </c>
      <c r="B645" s="73"/>
      <c r="C645" s="16">
        <v>46176</v>
      </c>
      <c r="D645">
        <v>24833.23</v>
      </c>
    </row>
    <row r="646" spans="1:4" x14ac:dyDescent="0.3">
      <c r="A646" s="73" t="s">
        <v>34</v>
      </c>
      <c r="B646" s="73"/>
      <c r="C646" s="16">
        <v>46176</v>
      </c>
      <c r="D646">
        <v>345</v>
      </c>
    </row>
    <row r="647" spans="1:4" x14ac:dyDescent="0.3">
      <c r="A647" s="73" t="s">
        <v>35</v>
      </c>
      <c r="B647" s="73"/>
      <c r="C647" s="16">
        <v>46176</v>
      </c>
      <c r="D647">
        <v>3514.8900000000012</v>
      </c>
    </row>
    <row r="648" spans="1:4" x14ac:dyDescent="0.3">
      <c r="A648" s="73" t="s">
        <v>17</v>
      </c>
      <c r="B648" s="73"/>
      <c r="C648" s="16">
        <v>46177</v>
      </c>
      <c r="D648">
        <v>733394.14000000013</v>
      </c>
    </row>
    <row r="649" spans="1:4" x14ac:dyDescent="0.3">
      <c r="A649" s="73" t="s">
        <v>18</v>
      </c>
      <c r="B649" s="73"/>
      <c r="C649" s="16">
        <v>46177</v>
      </c>
      <c r="D649">
        <v>69376.390000000174</v>
      </c>
    </row>
    <row r="650" spans="1:4" x14ac:dyDescent="0.3">
      <c r="A650" s="73" t="s">
        <v>19</v>
      </c>
      <c r="B650" s="73"/>
      <c r="C650" s="16">
        <v>46177</v>
      </c>
      <c r="D650">
        <v>1669.89</v>
      </c>
    </row>
    <row r="651" spans="1:4" x14ac:dyDescent="0.3">
      <c r="A651" s="73" t="s">
        <v>20</v>
      </c>
      <c r="B651" s="73"/>
      <c r="C651" s="16">
        <v>46177</v>
      </c>
      <c r="D651">
        <v>729545.23999999987</v>
      </c>
    </row>
    <row r="652" spans="1:4" x14ac:dyDescent="0.3">
      <c r="A652" s="73" t="s">
        <v>21</v>
      </c>
      <c r="B652" s="73"/>
      <c r="C652" s="16">
        <v>46177</v>
      </c>
      <c r="D652">
        <v>1171714.4499999993</v>
      </c>
    </row>
    <row r="653" spans="1:4" x14ac:dyDescent="0.3">
      <c r="A653" s="73" t="s">
        <v>22</v>
      </c>
      <c r="B653" s="73"/>
      <c r="C653" s="16">
        <v>46177</v>
      </c>
      <c r="D653">
        <v>116496.38</v>
      </c>
    </row>
    <row r="654" spans="1:4" x14ac:dyDescent="0.3">
      <c r="A654" s="73" t="s">
        <v>23</v>
      </c>
      <c r="B654" s="73"/>
      <c r="C654" s="16">
        <v>46177</v>
      </c>
      <c r="D654">
        <v>88090.37</v>
      </c>
    </row>
    <row r="655" spans="1:4" x14ac:dyDescent="0.3">
      <c r="A655" s="73" t="s">
        <v>24</v>
      </c>
      <c r="B655" s="73"/>
      <c r="C655" s="16">
        <v>46177</v>
      </c>
      <c r="D655">
        <v>1227.9699999999998</v>
      </c>
    </row>
    <row r="656" spans="1:4" x14ac:dyDescent="0.3">
      <c r="A656" s="73" t="s">
        <v>25</v>
      </c>
      <c r="B656" s="73"/>
      <c r="C656" s="16">
        <v>46177</v>
      </c>
      <c r="D656">
        <v>84.35</v>
      </c>
    </row>
    <row r="657" spans="1:4" x14ac:dyDescent="0.3">
      <c r="A657" s="73" t="s">
        <v>26</v>
      </c>
      <c r="B657" s="73"/>
      <c r="C657" s="16">
        <v>46177</v>
      </c>
      <c r="D657">
        <v>2237.77</v>
      </c>
    </row>
    <row r="658" spans="1:4" x14ac:dyDescent="0.3">
      <c r="A658" s="73" t="s">
        <v>27</v>
      </c>
      <c r="B658" s="73"/>
      <c r="C658" s="16">
        <v>46177</v>
      </c>
      <c r="D658">
        <v>3349.94</v>
      </c>
    </row>
    <row r="659" spans="1:4" x14ac:dyDescent="0.3">
      <c r="A659" s="73" t="s">
        <v>28</v>
      </c>
      <c r="B659" s="73"/>
      <c r="C659" s="16">
        <v>46177</v>
      </c>
      <c r="D659">
        <v>1968.99</v>
      </c>
    </row>
    <row r="660" spans="1:4" x14ac:dyDescent="0.3">
      <c r="A660" s="73" t="s">
        <v>29</v>
      </c>
      <c r="B660" s="73"/>
      <c r="C660" s="16">
        <v>46177</v>
      </c>
      <c r="D660">
        <v>382.69000000000005</v>
      </c>
    </row>
    <row r="661" spans="1:4" x14ac:dyDescent="0.3">
      <c r="A661" s="73" t="s">
        <v>30</v>
      </c>
      <c r="B661" s="73"/>
      <c r="C661" s="16">
        <v>46177</v>
      </c>
      <c r="D661">
        <v>1428.08</v>
      </c>
    </row>
    <row r="662" spans="1:4" x14ac:dyDescent="0.3">
      <c r="A662" s="73" t="s">
        <v>31</v>
      </c>
      <c r="B662" s="73"/>
      <c r="C662" s="16">
        <v>46177</v>
      </c>
      <c r="D662">
        <v>25789.969999999961</v>
      </c>
    </row>
    <row r="663" spans="1:4" x14ac:dyDescent="0.3">
      <c r="A663" s="73" t="s">
        <v>32</v>
      </c>
      <c r="B663" s="73"/>
      <c r="C663" s="16">
        <v>46177</v>
      </c>
      <c r="D663">
        <v>5321.4300000000021</v>
      </c>
    </row>
    <row r="664" spans="1:4" x14ac:dyDescent="0.3">
      <c r="A664" s="73" t="s">
        <v>33</v>
      </c>
      <c r="B664" s="73"/>
      <c r="C664" s="16">
        <v>46177</v>
      </c>
      <c r="D664">
        <v>24833.23</v>
      </c>
    </row>
    <row r="665" spans="1:4" x14ac:dyDescent="0.3">
      <c r="A665" s="73" t="s">
        <v>34</v>
      </c>
      <c r="B665" s="73"/>
      <c r="C665" s="16">
        <v>46177</v>
      </c>
      <c r="D665">
        <v>345</v>
      </c>
    </row>
    <row r="666" spans="1:4" x14ac:dyDescent="0.3">
      <c r="A666" s="73" t="s">
        <v>35</v>
      </c>
      <c r="B666" s="73"/>
      <c r="C666" s="16">
        <v>46177</v>
      </c>
      <c r="D666">
        <v>2422.7400000000034</v>
      </c>
    </row>
    <row r="667" spans="1:4" x14ac:dyDescent="0.3">
      <c r="A667" s="73" t="s">
        <v>17</v>
      </c>
      <c r="B667" s="73"/>
      <c r="C667" s="16">
        <v>46178</v>
      </c>
      <c r="D667">
        <v>733394.14000000013</v>
      </c>
    </row>
    <row r="668" spans="1:4" x14ac:dyDescent="0.3">
      <c r="A668" s="73" t="s">
        <v>18</v>
      </c>
      <c r="B668" s="73"/>
      <c r="C668" s="16">
        <v>46178</v>
      </c>
      <c r="D668">
        <v>69376.390000000174</v>
      </c>
    </row>
    <row r="669" spans="1:4" x14ac:dyDescent="0.3">
      <c r="A669" s="73" t="s">
        <v>19</v>
      </c>
      <c r="B669" s="73"/>
      <c r="C669" s="16">
        <v>46178</v>
      </c>
      <c r="D669">
        <v>1669.89</v>
      </c>
    </row>
    <row r="670" spans="1:4" x14ac:dyDescent="0.3">
      <c r="A670" s="73" t="s">
        <v>20</v>
      </c>
      <c r="B670" s="73"/>
      <c r="C670" s="16">
        <v>46178</v>
      </c>
      <c r="D670">
        <v>729545.23999999987</v>
      </c>
    </row>
    <row r="671" spans="1:4" x14ac:dyDescent="0.3">
      <c r="A671" s="73" t="s">
        <v>21</v>
      </c>
      <c r="B671" s="73"/>
      <c r="C671" s="16">
        <v>46178</v>
      </c>
      <c r="D671">
        <v>1164028.3199999994</v>
      </c>
    </row>
    <row r="672" spans="1:4" x14ac:dyDescent="0.3">
      <c r="A672" s="73" t="s">
        <v>22</v>
      </c>
      <c r="B672" s="73"/>
      <c r="C672" s="16">
        <v>46178</v>
      </c>
      <c r="D672">
        <v>116496.38</v>
      </c>
    </row>
    <row r="673" spans="1:4" x14ac:dyDescent="0.3">
      <c r="A673" s="73" t="s">
        <v>23</v>
      </c>
      <c r="B673" s="73"/>
      <c r="C673" s="16">
        <v>46178</v>
      </c>
      <c r="D673">
        <v>88090.37</v>
      </c>
    </row>
    <row r="674" spans="1:4" x14ac:dyDescent="0.3">
      <c r="A674" s="73" t="s">
        <v>24</v>
      </c>
      <c r="B674" s="73"/>
      <c r="C674" s="16">
        <v>46178</v>
      </c>
      <c r="D674">
        <v>1227.9699999999998</v>
      </c>
    </row>
    <row r="675" spans="1:4" x14ac:dyDescent="0.3">
      <c r="A675" s="73" t="s">
        <v>25</v>
      </c>
      <c r="B675" s="73"/>
      <c r="C675" s="16">
        <v>46178</v>
      </c>
      <c r="D675">
        <v>84.35</v>
      </c>
    </row>
    <row r="676" spans="1:4" x14ac:dyDescent="0.3">
      <c r="A676" s="73" t="s">
        <v>26</v>
      </c>
      <c r="B676" s="73"/>
      <c r="C676" s="16">
        <v>46178</v>
      </c>
      <c r="D676">
        <v>2237.77</v>
      </c>
    </row>
    <row r="677" spans="1:4" x14ac:dyDescent="0.3">
      <c r="A677" s="73" t="s">
        <v>27</v>
      </c>
      <c r="B677" s="73"/>
      <c r="C677" s="16">
        <v>46178</v>
      </c>
      <c r="D677">
        <v>3349.94</v>
      </c>
    </row>
    <row r="678" spans="1:4" x14ac:dyDescent="0.3">
      <c r="A678" s="73" t="s">
        <v>28</v>
      </c>
      <c r="B678" s="73"/>
      <c r="C678" s="16">
        <v>46178</v>
      </c>
      <c r="D678">
        <v>1968.99</v>
      </c>
    </row>
    <row r="679" spans="1:4" x14ac:dyDescent="0.3">
      <c r="A679" s="73" t="s">
        <v>29</v>
      </c>
      <c r="B679" s="73"/>
      <c r="C679" s="16">
        <v>46178</v>
      </c>
      <c r="D679">
        <v>382.69000000000005</v>
      </c>
    </row>
    <row r="680" spans="1:4" x14ac:dyDescent="0.3">
      <c r="A680" s="73" t="s">
        <v>30</v>
      </c>
      <c r="B680" s="73"/>
      <c r="C680" s="16">
        <v>46178</v>
      </c>
      <c r="D680">
        <v>1428.08</v>
      </c>
    </row>
    <row r="681" spans="1:4" x14ac:dyDescent="0.3">
      <c r="A681" s="73" t="s">
        <v>31</v>
      </c>
      <c r="B681" s="73"/>
      <c r="C681" s="16">
        <v>46178</v>
      </c>
      <c r="D681">
        <v>25789.969999999961</v>
      </c>
    </row>
    <row r="682" spans="1:4" x14ac:dyDescent="0.3">
      <c r="A682" s="73" t="s">
        <v>32</v>
      </c>
      <c r="B682" s="73"/>
      <c r="C682" s="16">
        <v>46178</v>
      </c>
      <c r="D682">
        <v>5321.4300000000021</v>
      </c>
    </row>
    <row r="683" spans="1:4" x14ac:dyDescent="0.3">
      <c r="A683" s="73" t="s">
        <v>33</v>
      </c>
      <c r="B683" s="73"/>
      <c r="C683" s="16">
        <v>46178</v>
      </c>
      <c r="D683">
        <v>24833.23</v>
      </c>
    </row>
    <row r="684" spans="1:4" x14ac:dyDescent="0.3">
      <c r="A684" s="73" t="s">
        <v>34</v>
      </c>
      <c r="B684" s="73"/>
      <c r="C684" s="16">
        <v>46178</v>
      </c>
      <c r="D684">
        <v>345</v>
      </c>
    </row>
    <row r="685" spans="1:4" x14ac:dyDescent="0.3">
      <c r="A685" s="73" t="s">
        <v>35</v>
      </c>
      <c r="B685" s="73"/>
      <c r="C685" s="16">
        <v>46178</v>
      </c>
      <c r="D685">
        <v>2422.7400000000034</v>
      </c>
    </row>
    <row r="686" spans="1:4" x14ac:dyDescent="0.3">
      <c r="A686" s="73" t="s">
        <v>17</v>
      </c>
      <c r="B686" s="73"/>
      <c r="C686" s="16">
        <v>46179</v>
      </c>
      <c r="D686">
        <v>733394.14000000013</v>
      </c>
    </row>
    <row r="687" spans="1:4" x14ac:dyDescent="0.3">
      <c r="A687" s="73" t="s">
        <v>18</v>
      </c>
      <c r="B687" s="73"/>
      <c r="C687" s="16">
        <v>46179</v>
      </c>
      <c r="D687">
        <v>69376.390000000174</v>
      </c>
    </row>
    <row r="688" spans="1:4" x14ac:dyDescent="0.3">
      <c r="A688" s="73" t="s">
        <v>19</v>
      </c>
      <c r="B688" s="73"/>
      <c r="C688" s="16">
        <v>46179</v>
      </c>
      <c r="D688">
        <v>1669.89</v>
      </c>
    </row>
    <row r="689" spans="1:4" x14ac:dyDescent="0.3">
      <c r="A689" s="73" t="s">
        <v>20</v>
      </c>
      <c r="B689" s="73"/>
      <c r="C689" s="16">
        <v>46179</v>
      </c>
      <c r="D689">
        <v>729545.23999999987</v>
      </c>
    </row>
    <row r="690" spans="1:4" x14ac:dyDescent="0.3">
      <c r="A690" s="73" t="s">
        <v>21</v>
      </c>
      <c r="B690" s="73"/>
      <c r="C690" s="16">
        <v>46179</v>
      </c>
      <c r="D690">
        <v>1164028.3199999994</v>
      </c>
    </row>
    <row r="691" spans="1:4" x14ac:dyDescent="0.3">
      <c r="A691" s="73" t="s">
        <v>22</v>
      </c>
      <c r="B691" s="73"/>
      <c r="C691" s="16">
        <v>46179</v>
      </c>
      <c r="D691">
        <v>116496.38</v>
      </c>
    </row>
    <row r="692" spans="1:4" x14ac:dyDescent="0.3">
      <c r="A692" s="73" t="s">
        <v>23</v>
      </c>
      <c r="B692" s="73"/>
      <c r="C692" s="16">
        <v>46179</v>
      </c>
      <c r="D692">
        <v>88090.37</v>
      </c>
    </row>
    <row r="693" spans="1:4" x14ac:dyDescent="0.3">
      <c r="A693" s="73" t="s">
        <v>24</v>
      </c>
      <c r="B693" s="73"/>
      <c r="C693" s="16">
        <v>46179</v>
      </c>
      <c r="D693">
        <v>1227.9699999999998</v>
      </c>
    </row>
    <row r="694" spans="1:4" x14ac:dyDescent="0.3">
      <c r="A694" s="73" t="s">
        <v>25</v>
      </c>
      <c r="B694" s="73"/>
      <c r="C694" s="16">
        <v>46179</v>
      </c>
      <c r="D694">
        <v>84.35</v>
      </c>
    </row>
    <row r="695" spans="1:4" x14ac:dyDescent="0.3">
      <c r="A695" s="73" t="s">
        <v>26</v>
      </c>
      <c r="B695" s="73"/>
      <c r="C695" s="16">
        <v>46179</v>
      </c>
      <c r="D695">
        <v>2237.77</v>
      </c>
    </row>
    <row r="696" spans="1:4" x14ac:dyDescent="0.3">
      <c r="A696" s="73" t="s">
        <v>27</v>
      </c>
      <c r="B696" s="73"/>
      <c r="C696" s="16">
        <v>46179</v>
      </c>
      <c r="D696">
        <v>3349.94</v>
      </c>
    </row>
    <row r="697" spans="1:4" x14ac:dyDescent="0.3">
      <c r="A697" s="73" t="s">
        <v>28</v>
      </c>
      <c r="B697" s="73"/>
      <c r="C697" s="16">
        <v>46179</v>
      </c>
      <c r="D697">
        <v>1968.99</v>
      </c>
    </row>
    <row r="698" spans="1:4" x14ac:dyDescent="0.3">
      <c r="A698" s="73" t="s">
        <v>29</v>
      </c>
      <c r="B698" s="73"/>
      <c r="C698" s="16">
        <v>46179</v>
      </c>
      <c r="D698">
        <v>382.69000000000005</v>
      </c>
    </row>
    <row r="699" spans="1:4" x14ac:dyDescent="0.3">
      <c r="A699" s="73" t="s">
        <v>30</v>
      </c>
      <c r="B699" s="73"/>
      <c r="C699" s="16">
        <v>46179</v>
      </c>
      <c r="D699">
        <v>1428.08</v>
      </c>
    </row>
    <row r="700" spans="1:4" x14ac:dyDescent="0.3">
      <c r="A700" s="73" t="s">
        <v>31</v>
      </c>
      <c r="B700" s="73"/>
      <c r="C700" s="16">
        <v>46179</v>
      </c>
      <c r="D700">
        <v>25789.969999999961</v>
      </c>
    </row>
    <row r="701" spans="1:4" x14ac:dyDescent="0.3">
      <c r="A701" s="73" t="s">
        <v>32</v>
      </c>
      <c r="B701" s="73"/>
      <c r="C701" s="16">
        <v>46179</v>
      </c>
      <c r="D701">
        <v>5321.4300000000021</v>
      </c>
    </row>
    <row r="702" spans="1:4" x14ac:dyDescent="0.3">
      <c r="A702" s="73" t="s">
        <v>33</v>
      </c>
      <c r="B702" s="73"/>
      <c r="C702" s="16">
        <v>46179</v>
      </c>
      <c r="D702">
        <v>24833.23</v>
      </c>
    </row>
    <row r="703" spans="1:4" x14ac:dyDescent="0.3">
      <c r="A703" s="73" t="s">
        <v>34</v>
      </c>
      <c r="B703" s="73"/>
      <c r="C703" s="16">
        <v>46179</v>
      </c>
      <c r="D703">
        <v>345</v>
      </c>
    </row>
    <row r="704" spans="1:4" x14ac:dyDescent="0.3">
      <c r="A704" s="73" t="s">
        <v>35</v>
      </c>
      <c r="B704" s="73"/>
      <c r="C704" s="16">
        <v>46179</v>
      </c>
      <c r="D704">
        <v>2422.7400000000034</v>
      </c>
    </row>
    <row r="705" spans="1:4" x14ac:dyDescent="0.3">
      <c r="A705" s="73" t="s">
        <v>17</v>
      </c>
      <c r="B705" s="73"/>
      <c r="C705" s="16">
        <v>46180</v>
      </c>
      <c r="D705">
        <v>733394.14000000013</v>
      </c>
    </row>
    <row r="706" spans="1:4" x14ac:dyDescent="0.3">
      <c r="A706" s="73" t="s">
        <v>18</v>
      </c>
      <c r="B706" s="73"/>
      <c r="C706" s="16">
        <v>46180</v>
      </c>
      <c r="D706">
        <v>69376.390000000174</v>
      </c>
    </row>
    <row r="707" spans="1:4" x14ac:dyDescent="0.3">
      <c r="A707" s="73" t="s">
        <v>19</v>
      </c>
      <c r="B707" s="73"/>
      <c r="C707" s="16">
        <v>46180</v>
      </c>
      <c r="D707">
        <v>1669.89</v>
      </c>
    </row>
    <row r="708" spans="1:4" x14ac:dyDescent="0.3">
      <c r="A708" s="73" t="s">
        <v>20</v>
      </c>
      <c r="B708" s="73"/>
      <c r="C708" s="16">
        <v>46180</v>
      </c>
      <c r="D708">
        <v>729545.23999999987</v>
      </c>
    </row>
    <row r="709" spans="1:4" x14ac:dyDescent="0.3">
      <c r="A709" s="73" t="s">
        <v>21</v>
      </c>
      <c r="B709" s="73"/>
      <c r="C709" s="16">
        <v>46180</v>
      </c>
      <c r="D709">
        <v>1164028.3199999994</v>
      </c>
    </row>
    <row r="710" spans="1:4" x14ac:dyDescent="0.3">
      <c r="A710" s="73" t="s">
        <v>22</v>
      </c>
      <c r="B710" s="73"/>
      <c r="C710" s="16">
        <v>46180</v>
      </c>
      <c r="D710">
        <v>116496.38</v>
      </c>
    </row>
    <row r="711" spans="1:4" x14ac:dyDescent="0.3">
      <c r="A711" s="73" t="s">
        <v>23</v>
      </c>
      <c r="B711" s="73"/>
      <c r="C711" s="16">
        <v>46180</v>
      </c>
      <c r="D711">
        <v>88090.37</v>
      </c>
    </row>
    <row r="712" spans="1:4" x14ac:dyDescent="0.3">
      <c r="A712" s="73" t="s">
        <v>24</v>
      </c>
      <c r="B712" s="73"/>
      <c r="C712" s="16">
        <v>46180</v>
      </c>
      <c r="D712">
        <v>1227.9699999999998</v>
      </c>
    </row>
    <row r="713" spans="1:4" x14ac:dyDescent="0.3">
      <c r="A713" s="73" t="s">
        <v>25</v>
      </c>
      <c r="B713" s="73"/>
      <c r="C713" s="16">
        <v>46180</v>
      </c>
      <c r="D713">
        <v>84.35</v>
      </c>
    </row>
    <row r="714" spans="1:4" x14ac:dyDescent="0.3">
      <c r="A714" s="73" t="s">
        <v>26</v>
      </c>
      <c r="B714" s="73"/>
      <c r="C714" s="16">
        <v>46180</v>
      </c>
      <c r="D714">
        <v>2237.77</v>
      </c>
    </row>
    <row r="715" spans="1:4" x14ac:dyDescent="0.3">
      <c r="A715" s="73" t="s">
        <v>27</v>
      </c>
      <c r="B715" s="73"/>
      <c r="C715" s="16">
        <v>46180</v>
      </c>
      <c r="D715">
        <v>3349.94</v>
      </c>
    </row>
    <row r="716" spans="1:4" x14ac:dyDescent="0.3">
      <c r="A716" s="73" t="s">
        <v>28</v>
      </c>
      <c r="B716" s="73"/>
      <c r="C716" s="16">
        <v>46180</v>
      </c>
      <c r="D716">
        <v>1968.99</v>
      </c>
    </row>
    <row r="717" spans="1:4" x14ac:dyDescent="0.3">
      <c r="A717" s="73" t="s">
        <v>29</v>
      </c>
      <c r="B717" s="73"/>
      <c r="C717" s="16">
        <v>46180</v>
      </c>
      <c r="D717">
        <v>382.69000000000005</v>
      </c>
    </row>
    <row r="718" spans="1:4" x14ac:dyDescent="0.3">
      <c r="A718" s="73" t="s">
        <v>30</v>
      </c>
      <c r="B718" s="73"/>
      <c r="C718" s="16">
        <v>46180</v>
      </c>
      <c r="D718">
        <v>1428.08</v>
      </c>
    </row>
    <row r="719" spans="1:4" x14ac:dyDescent="0.3">
      <c r="A719" s="73" t="s">
        <v>31</v>
      </c>
      <c r="B719" s="73"/>
      <c r="C719" s="16">
        <v>46180</v>
      </c>
      <c r="D719">
        <v>25789.969999999961</v>
      </c>
    </row>
    <row r="720" spans="1:4" x14ac:dyDescent="0.3">
      <c r="A720" s="73" t="s">
        <v>32</v>
      </c>
      <c r="B720" s="73"/>
      <c r="C720" s="16">
        <v>46180</v>
      </c>
      <c r="D720">
        <v>5321.4300000000021</v>
      </c>
    </row>
    <row r="721" spans="1:4" x14ac:dyDescent="0.3">
      <c r="A721" s="73" t="s">
        <v>33</v>
      </c>
      <c r="B721" s="73"/>
      <c r="C721" s="16">
        <v>46180</v>
      </c>
      <c r="D721">
        <v>24833.23</v>
      </c>
    </row>
    <row r="722" spans="1:4" x14ac:dyDescent="0.3">
      <c r="A722" s="73" t="s">
        <v>34</v>
      </c>
      <c r="B722" s="73"/>
      <c r="C722" s="16">
        <v>46180</v>
      </c>
      <c r="D722">
        <v>345</v>
      </c>
    </row>
    <row r="723" spans="1:4" x14ac:dyDescent="0.3">
      <c r="A723" s="73" t="s">
        <v>35</v>
      </c>
      <c r="B723" s="73"/>
      <c r="C723" s="16">
        <v>46180</v>
      </c>
      <c r="D723">
        <v>2422.7400000000034</v>
      </c>
    </row>
    <row r="724" spans="1:4" x14ac:dyDescent="0.3">
      <c r="A724" s="73" t="s">
        <v>17</v>
      </c>
      <c r="B724" s="73"/>
      <c r="C724" s="16">
        <v>46181</v>
      </c>
      <c r="D724">
        <v>733394.14000000013</v>
      </c>
    </row>
    <row r="725" spans="1:4" x14ac:dyDescent="0.3">
      <c r="A725" s="73" t="s">
        <v>18</v>
      </c>
      <c r="B725" s="73"/>
      <c r="C725" s="16">
        <v>46181</v>
      </c>
      <c r="D725">
        <v>69376.390000000174</v>
      </c>
    </row>
    <row r="726" spans="1:4" x14ac:dyDescent="0.3">
      <c r="A726" s="73" t="s">
        <v>19</v>
      </c>
      <c r="B726" s="73"/>
      <c r="C726" s="16">
        <v>46181</v>
      </c>
      <c r="D726">
        <v>1669.89</v>
      </c>
    </row>
    <row r="727" spans="1:4" x14ac:dyDescent="0.3">
      <c r="A727" s="73" t="s">
        <v>20</v>
      </c>
      <c r="B727" s="73"/>
      <c r="C727" s="16">
        <v>46181</v>
      </c>
      <c r="D727">
        <v>729545.23999999987</v>
      </c>
    </row>
    <row r="728" spans="1:4" x14ac:dyDescent="0.3">
      <c r="A728" s="73" t="s">
        <v>21</v>
      </c>
      <c r="B728" s="73"/>
      <c r="C728" s="16">
        <v>46181</v>
      </c>
      <c r="D728">
        <v>1164028.3199999994</v>
      </c>
    </row>
    <row r="729" spans="1:4" x14ac:dyDescent="0.3">
      <c r="A729" s="73" t="s">
        <v>22</v>
      </c>
      <c r="B729" s="73"/>
      <c r="C729" s="16">
        <v>46181</v>
      </c>
      <c r="D729">
        <v>116496.38</v>
      </c>
    </row>
    <row r="730" spans="1:4" x14ac:dyDescent="0.3">
      <c r="A730" s="73" t="s">
        <v>23</v>
      </c>
      <c r="B730" s="73"/>
      <c r="C730" s="16">
        <v>46181</v>
      </c>
      <c r="D730">
        <v>88090.37</v>
      </c>
    </row>
    <row r="731" spans="1:4" x14ac:dyDescent="0.3">
      <c r="A731" s="73" t="s">
        <v>24</v>
      </c>
      <c r="B731" s="73"/>
      <c r="C731" s="16">
        <v>46181</v>
      </c>
      <c r="D731">
        <v>1227.9699999999998</v>
      </c>
    </row>
    <row r="732" spans="1:4" x14ac:dyDescent="0.3">
      <c r="A732" s="73" t="s">
        <v>25</v>
      </c>
      <c r="B732" s="73"/>
      <c r="C732" s="16">
        <v>46181</v>
      </c>
      <c r="D732">
        <v>84.35</v>
      </c>
    </row>
    <row r="733" spans="1:4" x14ac:dyDescent="0.3">
      <c r="A733" s="73" t="s">
        <v>26</v>
      </c>
      <c r="B733" s="73"/>
      <c r="C733" s="16">
        <v>46181</v>
      </c>
      <c r="D733">
        <v>2237.77</v>
      </c>
    </row>
    <row r="734" spans="1:4" x14ac:dyDescent="0.3">
      <c r="A734" s="73" t="s">
        <v>27</v>
      </c>
      <c r="B734" s="73"/>
      <c r="C734" s="16">
        <v>46181</v>
      </c>
      <c r="D734">
        <v>3349.94</v>
      </c>
    </row>
    <row r="735" spans="1:4" x14ac:dyDescent="0.3">
      <c r="A735" s="73" t="s">
        <v>28</v>
      </c>
      <c r="B735" s="73"/>
      <c r="C735" s="16">
        <v>46181</v>
      </c>
      <c r="D735">
        <v>1968.99</v>
      </c>
    </row>
    <row r="736" spans="1:4" x14ac:dyDescent="0.3">
      <c r="A736" s="73" t="s">
        <v>29</v>
      </c>
      <c r="B736" s="73"/>
      <c r="C736" s="16">
        <v>46181</v>
      </c>
      <c r="D736">
        <v>382.69000000000005</v>
      </c>
    </row>
    <row r="737" spans="1:4" x14ac:dyDescent="0.3">
      <c r="A737" s="73" t="s">
        <v>30</v>
      </c>
      <c r="B737" s="73"/>
      <c r="C737" s="16">
        <v>46181</v>
      </c>
      <c r="D737">
        <v>1428.08</v>
      </c>
    </row>
    <row r="738" spans="1:4" x14ac:dyDescent="0.3">
      <c r="A738" s="73" t="s">
        <v>31</v>
      </c>
      <c r="B738" s="73"/>
      <c r="C738" s="16">
        <v>46181</v>
      </c>
      <c r="D738">
        <v>25789.969999999961</v>
      </c>
    </row>
    <row r="739" spans="1:4" x14ac:dyDescent="0.3">
      <c r="A739" s="73" t="s">
        <v>32</v>
      </c>
      <c r="B739" s="73"/>
      <c r="C739" s="16">
        <v>46181</v>
      </c>
      <c r="D739">
        <v>5321.4300000000021</v>
      </c>
    </row>
    <row r="740" spans="1:4" x14ac:dyDescent="0.3">
      <c r="A740" s="73" t="s">
        <v>33</v>
      </c>
      <c r="B740" s="73"/>
      <c r="C740" s="16">
        <v>46181</v>
      </c>
      <c r="D740">
        <v>24833.23</v>
      </c>
    </row>
    <row r="741" spans="1:4" x14ac:dyDescent="0.3">
      <c r="A741" s="73" t="s">
        <v>34</v>
      </c>
      <c r="B741" s="73"/>
      <c r="C741" s="16">
        <v>46181</v>
      </c>
      <c r="D741">
        <v>345</v>
      </c>
    </row>
    <row r="742" spans="1:4" x14ac:dyDescent="0.3">
      <c r="A742" s="73" t="s">
        <v>35</v>
      </c>
      <c r="B742" s="73"/>
      <c r="C742" s="16">
        <v>46181</v>
      </c>
      <c r="D742">
        <v>1451.1500000000033</v>
      </c>
    </row>
    <row r="743" spans="1:4" x14ac:dyDescent="0.3">
      <c r="A743" s="73" t="s">
        <v>17</v>
      </c>
      <c r="B743" s="73"/>
      <c r="C743" s="16">
        <v>46182</v>
      </c>
      <c r="D743">
        <v>847381.29000000015</v>
      </c>
    </row>
    <row r="744" spans="1:4" x14ac:dyDescent="0.3">
      <c r="A744" s="73" t="s">
        <v>18</v>
      </c>
      <c r="B744" s="73"/>
      <c r="C744" s="16">
        <v>46182</v>
      </c>
      <c r="D744">
        <v>69376.390000000174</v>
      </c>
    </row>
    <row r="745" spans="1:4" x14ac:dyDescent="0.3">
      <c r="A745" s="73" t="s">
        <v>19</v>
      </c>
      <c r="B745" s="73"/>
      <c r="C745" s="16">
        <v>46182</v>
      </c>
      <c r="D745">
        <v>1669.89</v>
      </c>
    </row>
    <row r="746" spans="1:4" x14ac:dyDescent="0.3">
      <c r="A746" s="73" t="s">
        <v>20</v>
      </c>
      <c r="B746" s="73"/>
      <c r="C746" s="16">
        <v>46182</v>
      </c>
      <c r="D746">
        <v>729545.23999999987</v>
      </c>
    </row>
    <row r="747" spans="1:4" x14ac:dyDescent="0.3">
      <c r="A747" s="73" t="s">
        <v>21</v>
      </c>
      <c r="B747" s="73"/>
      <c r="C747" s="16">
        <v>46182</v>
      </c>
      <c r="D747">
        <v>1160274.0499999993</v>
      </c>
    </row>
    <row r="748" spans="1:4" x14ac:dyDescent="0.3">
      <c r="A748" s="73" t="s">
        <v>22</v>
      </c>
      <c r="B748" s="73"/>
      <c r="C748" s="16">
        <v>46182</v>
      </c>
      <c r="D748">
        <v>116496.38</v>
      </c>
    </row>
    <row r="749" spans="1:4" x14ac:dyDescent="0.3">
      <c r="A749" s="73" t="s">
        <v>23</v>
      </c>
      <c r="B749" s="73"/>
      <c r="C749" s="16">
        <v>46182</v>
      </c>
      <c r="D749">
        <v>88090.37</v>
      </c>
    </row>
    <row r="750" spans="1:4" x14ac:dyDescent="0.3">
      <c r="A750" s="73" t="s">
        <v>24</v>
      </c>
      <c r="B750" s="73"/>
      <c r="C750" s="16">
        <v>46182</v>
      </c>
      <c r="D750">
        <v>1227.9699999999998</v>
      </c>
    </row>
    <row r="751" spans="1:4" x14ac:dyDescent="0.3">
      <c r="A751" s="73" t="s">
        <v>25</v>
      </c>
      <c r="B751" s="73"/>
      <c r="C751" s="16">
        <v>46182</v>
      </c>
      <c r="D751">
        <v>84.35</v>
      </c>
    </row>
    <row r="752" spans="1:4" x14ac:dyDescent="0.3">
      <c r="A752" s="73" t="s">
        <v>26</v>
      </c>
      <c r="B752" s="73"/>
      <c r="C752" s="16">
        <v>46182</v>
      </c>
      <c r="D752">
        <v>2237.77</v>
      </c>
    </row>
    <row r="753" spans="1:4" x14ac:dyDescent="0.3">
      <c r="A753" s="73" t="s">
        <v>27</v>
      </c>
      <c r="B753" s="73"/>
      <c r="C753" s="16">
        <v>46182</v>
      </c>
      <c r="D753">
        <v>3349.94</v>
      </c>
    </row>
    <row r="754" spans="1:4" x14ac:dyDescent="0.3">
      <c r="A754" s="73" t="s">
        <v>28</v>
      </c>
      <c r="B754" s="73"/>
      <c r="C754" s="16">
        <v>46182</v>
      </c>
      <c r="D754">
        <v>1968.99</v>
      </c>
    </row>
    <row r="755" spans="1:4" x14ac:dyDescent="0.3">
      <c r="A755" s="73" t="s">
        <v>29</v>
      </c>
      <c r="B755" s="73"/>
      <c r="C755" s="16">
        <v>46182</v>
      </c>
      <c r="D755">
        <v>382.69000000000005</v>
      </c>
    </row>
    <row r="756" spans="1:4" x14ac:dyDescent="0.3">
      <c r="A756" s="73" t="s">
        <v>30</v>
      </c>
      <c r="B756" s="73"/>
      <c r="C756" s="16">
        <v>46182</v>
      </c>
      <c r="D756">
        <v>1428.08</v>
      </c>
    </row>
    <row r="757" spans="1:4" x14ac:dyDescent="0.3">
      <c r="A757" s="73" t="s">
        <v>31</v>
      </c>
      <c r="B757" s="73"/>
      <c r="C757" s="16">
        <v>46182</v>
      </c>
      <c r="D757">
        <v>25789.969999999961</v>
      </c>
    </row>
    <row r="758" spans="1:4" x14ac:dyDescent="0.3">
      <c r="A758" s="73" t="s">
        <v>32</v>
      </c>
      <c r="B758" s="73"/>
      <c r="C758" s="16">
        <v>46182</v>
      </c>
      <c r="D758">
        <v>5321.4300000000021</v>
      </c>
    </row>
    <row r="759" spans="1:4" x14ac:dyDescent="0.3">
      <c r="A759" s="73" t="s">
        <v>33</v>
      </c>
      <c r="B759" s="73"/>
      <c r="C759" s="16">
        <v>46182</v>
      </c>
      <c r="D759">
        <v>24833.23</v>
      </c>
    </row>
    <row r="760" spans="1:4" x14ac:dyDescent="0.3">
      <c r="A760" s="73" t="s">
        <v>34</v>
      </c>
      <c r="B760" s="73"/>
      <c r="C760" s="16">
        <v>46182</v>
      </c>
      <c r="D760">
        <v>345</v>
      </c>
    </row>
    <row r="761" spans="1:4" x14ac:dyDescent="0.3">
      <c r="A761" s="73" t="s">
        <v>35</v>
      </c>
      <c r="B761" s="73"/>
      <c r="C761" s="16">
        <v>46182</v>
      </c>
      <c r="D761">
        <v>1289.7300000000032</v>
      </c>
    </row>
    <row r="762" spans="1:4" x14ac:dyDescent="0.3">
      <c r="A762" s="73" t="s">
        <v>17</v>
      </c>
      <c r="B762" s="73"/>
      <c r="C762" s="16">
        <v>46183</v>
      </c>
      <c r="D762">
        <v>2288745.9500000002</v>
      </c>
    </row>
    <row r="763" spans="1:4" x14ac:dyDescent="0.3">
      <c r="A763" s="73" t="s">
        <v>18</v>
      </c>
      <c r="B763" s="73"/>
      <c r="C763" s="16">
        <v>46183</v>
      </c>
      <c r="D763">
        <v>69376.390000000174</v>
      </c>
    </row>
    <row r="764" spans="1:4" x14ac:dyDescent="0.3">
      <c r="A764" s="73" t="s">
        <v>19</v>
      </c>
      <c r="B764" s="73"/>
      <c r="C764" s="16">
        <v>46183</v>
      </c>
      <c r="D764">
        <v>1669.89</v>
      </c>
    </row>
    <row r="765" spans="1:4" x14ac:dyDescent="0.3">
      <c r="A765" s="73" t="s">
        <v>20</v>
      </c>
      <c r="B765" s="73"/>
      <c r="C765" s="16">
        <v>46183</v>
      </c>
      <c r="D765">
        <v>744306.80999999982</v>
      </c>
    </row>
    <row r="766" spans="1:4" x14ac:dyDescent="0.3">
      <c r="A766" s="73" t="s">
        <v>21</v>
      </c>
      <c r="B766" s="73"/>
      <c r="C766" s="16">
        <v>46183</v>
      </c>
      <c r="D766">
        <v>1160274.0499999993</v>
      </c>
    </row>
    <row r="767" spans="1:4" x14ac:dyDescent="0.3">
      <c r="A767" s="73" t="s">
        <v>22</v>
      </c>
      <c r="B767" s="73"/>
      <c r="C767" s="16">
        <v>46183</v>
      </c>
      <c r="D767">
        <v>116496.38</v>
      </c>
    </row>
    <row r="768" spans="1:4" x14ac:dyDescent="0.3">
      <c r="A768" s="73" t="s">
        <v>23</v>
      </c>
      <c r="B768" s="73"/>
      <c r="C768" s="16">
        <v>46183</v>
      </c>
      <c r="D768">
        <v>88090.37</v>
      </c>
    </row>
    <row r="769" spans="1:4" x14ac:dyDescent="0.3">
      <c r="A769" s="73" t="s">
        <v>24</v>
      </c>
      <c r="B769" s="73"/>
      <c r="C769" s="16">
        <v>46183</v>
      </c>
      <c r="D769">
        <v>1227.9699999999998</v>
      </c>
    </row>
    <row r="770" spans="1:4" x14ac:dyDescent="0.3">
      <c r="A770" s="73" t="s">
        <v>25</v>
      </c>
      <c r="B770" s="73"/>
      <c r="C770" s="16">
        <v>46183</v>
      </c>
      <c r="D770">
        <v>84.35</v>
      </c>
    </row>
    <row r="771" spans="1:4" x14ac:dyDescent="0.3">
      <c r="A771" s="73" t="s">
        <v>26</v>
      </c>
      <c r="B771" s="73"/>
      <c r="C771" s="16">
        <v>46183</v>
      </c>
      <c r="D771">
        <v>2237.77</v>
      </c>
    </row>
    <row r="772" spans="1:4" x14ac:dyDescent="0.3">
      <c r="A772" s="73" t="s">
        <v>27</v>
      </c>
      <c r="B772" s="73"/>
      <c r="C772" s="16">
        <v>46183</v>
      </c>
      <c r="D772">
        <v>3349.94</v>
      </c>
    </row>
    <row r="773" spans="1:4" x14ac:dyDescent="0.3">
      <c r="A773" s="73" t="s">
        <v>28</v>
      </c>
      <c r="B773" s="73"/>
      <c r="C773" s="16">
        <v>46183</v>
      </c>
      <c r="D773">
        <v>1968.99</v>
      </c>
    </row>
    <row r="774" spans="1:4" x14ac:dyDescent="0.3">
      <c r="A774" s="73" t="s">
        <v>29</v>
      </c>
      <c r="B774" s="73"/>
      <c r="C774" s="16">
        <v>46183</v>
      </c>
      <c r="D774">
        <v>382.69000000000005</v>
      </c>
    </row>
    <row r="775" spans="1:4" x14ac:dyDescent="0.3">
      <c r="A775" s="73" t="s">
        <v>30</v>
      </c>
      <c r="B775" s="73"/>
      <c r="C775" s="16">
        <v>46183</v>
      </c>
      <c r="D775">
        <v>1428.08</v>
      </c>
    </row>
    <row r="776" spans="1:4" x14ac:dyDescent="0.3">
      <c r="A776" s="73" t="s">
        <v>31</v>
      </c>
      <c r="B776" s="73"/>
      <c r="C776" s="16">
        <v>46183</v>
      </c>
      <c r="D776">
        <v>25789.969999999961</v>
      </c>
    </row>
    <row r="777" spans="1:4" x14ac:dyDescent="0.3">
      <c r="A777" s="73" t="s">
        <v>32</v>
      </c>
      <c r="B777" s="73"/>
      <c r="C777" s="16">
        <v>46183</v>
      </c>
      <c r="D777">
        <v>5321.4300000000021</v>
      </c>
    </row>
    <row r="778" spans="1:4" x14ac:dyDescent="0.3">
      <c r="A778" s="73" t="s">
        <v>33</v>
      </c>
      <c r="B778" s="73"/>
      <c r="C778" s="16">
        <v>46183</v>
      </c>
      <c r="D778">
        <v>24743.98</v>
      </c>
    </row>
    <row r="779" spans="1:4" x14ac:dyDescent="0.3">
      <c r="A779" s="73" t="s">
        <v>34</v>
      </c>
      <c r="B779" s="73"/>
      <c r="C779" s="16">
        <v>46183</v>
      </c>
      <c r="D779">
        <v>345</v>
      </c>
    </row>
    <row r="780" spans="1:4" x14ac:dyDescent="0.3">
      <c r="A780" s="73" t="s">
        <v>35</v>
      </c>
      <c r="B780" s="73"/>
      <c r="C780" s="16">
        <v>46183</v>
      </c>
      <c r="D780">
        <v>1289.7300000000032</v>
      </c>
    </row>
    <row r="781" spans="1:4" x14ac:dyDescent="0.3">
      <c r="A781" s="73" t="s">
        <v>17</v>
      </c>
      <c r="B781" s="73"/>
      <c r="C781" s="16">
        <v>46184</v>
      </c>
      <c r="D781">
        <v>1837784.84</v>
      </c>
    </row>
    <row r="782" spans="1:4" x14ac:dyDescent="0.3">
      <c r="A782" s="73" t="s">
        <v>18</v>
      </c>
      <c r="B782" s="73"/>
      <c r="C782" s="16">
        <v>46184</v>
      </c>
      <c r="D782">
        <v>69376.390000000174</v>
      </c>
    </row>
    <row r="783" spans="1:4" x14ac:dyDescent="0.3">
      <c r="A783" s="73" t="s">
        <v>19</v>
      </c>
      <c r="B783" s="73"/>
      <c r="C783" s="16">
        <v>46184</v>
      </c>
      <c r="D783">
        <v>1669.89</v>
      </c>
    </row>
    <row r="784" spans="1:4" x14ac:dyDescent="0.3">
      <c r="A784" s="73" t="s">
        <v>20</v>
      </c>
      <c r="B784" s="73"/>
      <c r="C784" s="16">
        <v>46184</v>
      </c>
      <c r="D784">
        <v>564626.20999999985</v>
      </c>
    </row>
    <row r="785" spans="1:4" x14ac:dyDescent="0.3">
      <c r="A785" s="73" t="s">
        <v>21</v>
      </c>
      <c r="B785" s="73"/>
      <c r="C785" s="16">
        <v>46184</v>
      </c>
      <c r="D785">
        <v>794731.82999999926</v>
      </c>
    </row>
    <row r="786" spans="1:4" x14ac:dyDescent="0.3">
      <c r="A786" s="73" t="s">
        <v>22</v>
      </c>
      <c r="B786" s="73"/>
      <c r="C786" s="16">
        <v>46184</v>
      </c>
      <c r="D786">
        <v>116496.38</v>
      </c>
    </row>
    <row r="787" spans="1:4" x14ac:dyDescent="0.3">
      <c r="A787" s="73" t="s">
        <v>23</v>
      </c>
      <c r="B787" s="73"/>
      <c r="C787" s="16">
        <v>46184</v>
      </c>
      <c r="D787">
        <v>88090.37</v>
      </c>
    </row>
    <row r="788" spans="1:4" x14ac:dyDescent="0.3">
      <c r="A788" s="73" t="s">
        <v>24</v>
      </c>
      <c r="B788" s="73"/>
      <c r="C788" s="16">
        <v>46184</v>
      </c>
      <c r="D788">
        <v>1227.9699999999998</v>
      </c>
    </row>
    <row r="789" spans="1:4" x14ac:dyDescent="0.3">
      <c r="A789" s="73" t="s">
        <v>25</v>
      </c>
      <c r="B789" s="73"/>
      <c r="C789" s="16">
        <v>46184</v>
      </c>
      <c r="D789">
        <v>84.35</v>
      </c>
    </row>
    <row r="790" spans="1:4" x14ac:dyDescent="0.3">
      <c r="A790" s="73" t="s">
        <v>26</v>
      </c>
      <c r="B790" s="73"/>
      <c r="C790" s="16">
        <v>46184</v>
      </c>
      <c r="D790">
        <v>2237.77</v>
      </c>
    </row>
    <row r="791" spans="1:4" x14ac:dyDescent="0.3">
      <c r="A791" s="73" t="s">
        <v>27</v>
      </c>
      <c r="B791" s="73"/>
      <c r="C791" s="16">
        <v>46184</v>
      </c>
      <c r="D791">
        <v>3349.94</v>
      </c>
    </row>
    <row r="792" spans="1:4" x14ac:dyDescent="0.3">
      <c r="A792" s="73" t="s">
        <v>28</v>
      </c>
      <c r="B792" s="73"/>
      <c r="C792" s="16">
        <v>46184</v>
      </c>
      <c r="D792">
        <v>1968.99</v>
      </c>
    </row>
    <row r="793" spans="1:4" x14ac:dyDescent="0.3">
      <c r="A793" s="73" t="s">
        <v>29</v>
      </c>
      <c r="B793" s="73"/>
      <c r="C793" s="16">
        <v>46184</v>
      </c>
      <c r="D793">
        <v>382.69000000000005</v>
      </c>
    </row>
    <row r="794" spans="1:4" x14ac:dyDescent="0.3">
      <c r="A794" s="73" t="s">
        <v>30</v>
      </c>
      <c r="B794" s="73"/>
      <c r="C794" s="16">
        <v>46184</v>
      </c>
      <c r="D794">
        <v>1428.08</v>
      </c>
    </row>
    <row r="795" spans="1:4" x14ac:dyDescent="0.3">
      <c r="A795" s="73" t="s">
        <v>31</v>
      </c>
      <c r="B795" s="73"/>
      <c r="C795" s="16">
        <v>46184</v>
      </c>
      <c r="D795">
        <v>25789.969999999961</v>
      </c>
    </row>
    <row r="796" spans="1:4" x14ac:dyDescent="0.3">
      <c r="A796" s="73" t="s">
        <v>32</v>
      </c>
      <c r="B796" s="73"/>
      <c r="C796" s="16">
        <v>46184</v>
      </c>
      <c r="D796">
        <v>5321.4300000000021</v>
      </c>
    </row>
    <row r="797" spans="1:4" x14ac:dyDescent="0.3">
      <c r="A797" s="73" t="s">
        <v>33</v>
      </c>
      <c r="B797" s="73"/>
      <c r="C797" s="16">
        <v>46184</v>
      </c>
      <c r="D797">
        <v>24743.98</v>
      </c>
    </row>
    <row r="798" spans="1:4" x14ac:dyDescent="0.3">
      <c r="A798" s="73" t="s">
        <v>34</v>
      </c>
      <c r="B798" s="73"/>
      <c r="C798" s="16">
        <v>46184</v>
      </c>
      <c r="D798">
        <v>345</v>
      </c>
    </row>
    <row r="799" spans="1:4" x14ac:dyDescent="0.3">
      <c r="A799" s="73" t="s">
        <v>35</v>
      </c>
      <c r="B799" s="73"/>
      <c r="C799" s="16">
        <v>46184</v>
      </c>
      <c r="D799">
        <v>48774.73</v>
      </c>
    </row>
    <row r="800" spans="1:4" x14ac:dyDescent="0.3">
      <c r="A800" s="73" t="s">
        <v>17</v>
      </c>
      <c r="B800" s="73"/>
      <c r="C800" s="16">
        <v>46185</v>
      </c>
      <c r="D800">
        <v>1837784.84</v>
      </c>
    </row>
    <row r="801" spans="1:4" x14ac:dyDescent="0.3">
      <c r="A801" s="73" t="s">
        <v>18</v>
      </c>
      <c r="B801" s="73"/>
      <c r="C801" s="16">
        <v>46185</v>
      </c>
      <c r="D801">
        <v>69376.390000000174</v>
      </c>
    </row>
    <row r="802" spans="1:4" x14ac:dyDescent="0.3">
      <c r="A802" s="73" t="s">
        <v>19</v>
      </c>
      <c r="B802" s="73"/>
      <c r="C802" s="16">
        <v>46185</v>
      </c>
      <c r="D802">
        <v>1669.89</v>
      </c>
    </row>
    <row r="803" spans="1:4" x14ac:dyDescent="0.3">
      <c r="A803" s="73" t="s">
        <v>20</v>
      </c>
      <c r="B803" s="73"/>
      <c r="C803" s="16">
        <v>46185</v>
      </c>
      <c r="D803">
        <v>564626.20999999985</v>
      </c>
    </row>
    <row r="804" spans="1:4" x14ac:dyDescent="0.3">
      <c r="A804" s="73" t="s">
        <v>21</v>
      </c>
      <c r="B804" s="73"/>
      <c r="C804" s="16">
        <v>46185</v>
      </c>
      <c r="D804">
        <v>3763348.8299999996</v>
      </c>
    </row>
    <row r="805" spans="1:4" x14ac:dyDescent="0.3">
      <c r="A805" s="73" t="s">
        <v>22</v>
      </c>
      <c r="B805" s="73"/>
      <c r="C805" s="16">
        <v>46185</v>
      </c>
      <c r="D805">
        <v>116496.38</v>
      </c>
    </row>
    <row r="806" spans="1:4" x14ac:dyDescent="0.3">
      <c r="A806" s="73" t="s">
        <v>23</v>
      </c>
      <c r="B806" s="73"/>
      <c r="C806" s="16">
        <v>46185</v>
      </c>
      <c r="D806">
        <v>88090.37</v>
      </c>
    </row>
    <row r="807" spans="1:4" x14ac:dyDescent="0.3">
      <c r="A807" s="73" t="s">
        <v>24</v>
      </c>
      <c r="B807" s="73"/>
      <c r="C807" s="16">
        <v>46185</v>
      </c>
      <c r="D807">
        <v>1227.9699999999998</v>
      </c>
    </row>
    <row r="808" spans="1:4" x14ac:dyDescent="0.3">
      <c r="A808" s="73" t="s">
        <v>25</v>
      </c>
      <c r="B808" s="73"/>
      <c r="C808" s="16">
        <v>46185</v>
      </c>
      <c r="D808">
        <v>84.35</v>
      </c>
    </row>
    <row r="809" spans="1:4" x14ac:dyDescent="0.3">
      <c r="A809" s="73" t="s">
        <v>26</v>
      </c>
      <c r="B809" s="73"/>
      <c r="C809" s="16">
        <v>46185</v>
      </c>
      <c r="D809">
        <v>2237.77</v>
      </c>
    </row>
    <row r="810" spans="1:4" x14ac:dyDescent="0.3">
      <c r="A810" s="73" t="s">
        <v>27</v>
      </c>
      <c r="B810" s="73"/>
      <c r="C810" s="16">
        <v>46185</v>
      </c>
      <c r="D810">
        <v>3349.94</v>
      </c>
    </row>
    <row r="811" spans="1:4" x14ac:dyDescent="0.3">
      <c r="A811" s="73" t="s">
        <v>28</v>
      </c>
      <c r="B811" s="73"/>
      <c r="C811" s="16">
        <v>46185</v>
      </c>
      <c r="D811">
        <v>1968.99</v>
      </c>
    </row>
    <row r="812" spans="1:4" x14ac:dyDescent="0.3">
      <c r="A812" s="73" t="s">
        <v>29</v>
      </c>
      <c r="B812" s="73"/>
      <c r="C812" s="16">
        <v>46185</v>
      </c>
      <c r="D812">
        <v>382.69000000000005</v>
      </c>
    </row>
    <row r="813" spans="1:4" x14ac:dyDescent="0.3">
      <c r="A813" s="73" t="s">
        <v>30</v>
      </c>
      <c r="B813" s="73"/>
      <c r="C813" s="16">
        <v>46185</v>
      </c>
      <c r="D813">
        <v>1428.08</v>
      </c>
    </row>
    <row r="814" spans="1:4" x14ac:dyDescent="0.3">
      <c r="A814" s="73" t="s">
        <v>31</v>
      </c>
      <c r="B814" s="73"/>
      <c r="C814" s="16">
        <v>46185</v>
      </c>
      <c r="D814">
        <v>27789.969999999961</v>
      </c>
    </row>
    <row r="815" spans="1:4" x14ac:dyDescent="0.3">
      <c r="A815" s="73" t="s">
        <v>32</v>
      </c>
      <c r="B815" s="73"/>
      <c r="C815" s="16">
        <v>46185</v>
      </c>
      <c r="D815">
        <v>5321.4300000000021</v>
      </c>
    </row>
    <row r="816" spans="1:4" x14ac:dyDescent="0.3">
      <c r="A816" s="73" t="s">
        <v>33</v>
      </c>
      <c r="B816" s="73"/>
      <c r="C816" s="16">
        <v>46185</v>
      </c>
      <c r="D816">
        <v>24484.85</v>
      </c>
    </row>
    <row r="817" spans="1:4" x14ac:dyDescent="0.3">
      <c r="A817" s="73" t="s">
        <v>34</v>
      </c>
      <c r="B817" s="73"/>
      <c r="C817" s="16">
        <v>46185</v>
      </c>
      <c r="D817">
        <v>345</v>
      </c>
    </row>
    <row r="818" spans="1:4" x14ac:dyDescent="0.3">
      <c r="A818" s="73" t="s">
        <v>35</v>
      </c>
      <c r="B818" s="73"/>
      <c r="C818" s="16">
        <v>46185</v>
      </c>
      <c r="D818">
        <v>48774.73</v>
      </c>
    </row>
    <row r="819" spans="1:4" x14ac:dyDescent="0.3">
      <c r="A819" s="73" t="s">
        <v>17</v>
      </c>
      <c r="B819" s="73"/>
      <c r="C819" s="16">
        <v>46186</v>
      </c>
      <c r="D819">
        <v>1837784.84</v>
      </c>
    </row>
    <row r="820" spans="1:4" x14ac:dyDescent="0.3">
      <c r="A820" s="73" t="s">
        <v>18</v>
      </c>
      <c r="B820" s="73"/>
      <c r="C820" s="16">
        <v>46186</v>
      </c>
      <c r="D820">
        <v>69376.390000000174</v>
      </c>
    </row>
    <row r="821" spans="1:4" x14ac:dyDescent="0.3">
      <c r="A821" s="73" t="s">
        <v>19</v>
      </c>
      <c r="B821" s="73"/>
      <c r="C821" s="16">
        <v>46186</v>
      </c>
      <c r="D821">
        <v>1669.89</v>
      </c>
    </row>
    <row r="822" spans="1:4" x14ac:dyDescent="0.3">
      <c r="A822" s="73" t="s">
        <v>20</v>
      </c>
      <c r="B822" s="73"/>
      <c r="C822" s="16">
        <v>46186</v>
      </c>
      <c r="D822">
        <v>564626.20999999985</v>
      </c>
    </row>
    <row r="823" spans="1:4" x14ac:dyDescent="0.3">
      <c r="A823" s="73" t="s">
        <v>21</v>
      </c>
      <c r="B823" s="73"/>
      <c r="C823" s="16">
        <v>46186</v>
      </c>
      <c r="D823">
        <v>3763348.8299999996</v>
      </c>
    </row>
    <row r="824" spans="1:4" x14ac:dyDescent="0.3">
      <c r="A824" s="73" t="s">
        <v>22</v>
      </c>
      <c r="B824" s="73"/>
      <c r="C824" s="16">
        <v>46186</v>
      </c>
      <c r="D824">
        <v>116496.38</v>
      </c>
    </row>
    <row r="825" spans="1:4" x14ac:dyDescent="0.3">
      <c r="A825" s="73" t="s">
        <v>23</v>
      </c>
      <c r="B825" s="73"/>
      <c r="C825" s="16">
        <v>46186</v>
      </c>
      <c r="D825">
        <v>88090.37</v>
      </c>
    </row>
    <row r="826" spans="1:4" x14ac:dyDescent="0.3">
      <c r="A826" s="73" t="s">
        <v>24</v>
      </c>
      <c r="B826" s="73"/>
      <c r="C826" s="16">
        <v>46186</v>
      </c>
      <c r="D826">
        <v>1227.9699999999998</v>
      </c>
    </row>
    <row r="827" spans="1:4" x14ac:dyDescent="0.3">
      <c r="A827" s="73" t="s">
        <v>25</v>
      </c>
      <c r="B827" s="73"/>
      <c r="C827" s="16">
        <v>46186</v>
      </c>
      <c r="D827">
        <v>84.35</v>
      </c>
    </row>
    <row r="828" spans="1:4" x14ac:dyDescent="0.3">
      <c r="A828" s="73" t="s">
        <v>26</v>
      </c>
      <c r="B828" s="73"/>
      <c r="C828" s="16">
        <v>46186</v>
      </c>
      <c r="D828">
        <v>2237.77</v>
      </c>
    </row>
    <row r="829" spans="1:4" x14ac:dyDescent="0.3">
      <c r="A829" s="73" t="s">
        <v>27</v>
      </c>
      <c r="B829" s="73"/>
      <c r="C829" s="16">
        <v>46186</v>
      </c>
      <c r="D829">
        <v>3349.94</v>
      </c>
    </row>
    <row r="830" spans="1:4" x14ac:dyDescent="0.3">
      <c r="A830" s="73" t="s">
        <v>28</v>
      </c>
      <c r="B830" s="73"/>
      <c r="C830" s="16">
        <v>46186</v>
      </c>
      <c r="D830">
        <v>1968.99</v>
      </c>
    </row>
    <row r="831" spans="1:4" x14ac:dyDescent="0.3">
      <c r="A831" s="73" t="s">
        <v>29</v>
      </c>
      <c r="B831" s="73"/>
      <c r="C831" s="16">
        <v>46186</v>
      </c>
      <c r="D831">
        <v>382.69000000000005</v>
      </c>
    </row>
    <row r="832" spans="1:4" x14ac:dyDescent="0.3">
      <c r="A832" s="73" t="s">
        <v>30</v>
      </c>
      <c r="B832" s="73"/>
      <c r="C832" s="16">
        <v>46186</v>
      </c>
      <c r="D832">
        <v>1428.08</v>
      </c>
    </row>
    <row r="833" spans="1:4" x14ac:dyDescent="0.3">
      <c r="A833" s="73" t="s">
        <v>31</v>
      </c>
      <c r="B833" s="73"/>
      <c r="C833" s="16">
        <v>46186</v>
      </c>
      <c r="D833">
        <v>27789.969999999961</v>
      </c>
    </row>
    <row r="834" spans="1:4" x14ac:dyDescent="0.3">
      <c r="A834" s="73" t="s">
        <v>32</v>
      </c>
      <c r="B834" s="73"/>
      <c r="C834" s="16">
        <v>46186</v>
      </c>
      <c r="D834">
        <v>5321.4300000000021</v>
      </c>
    </row>
    <row r="835" spans="1:4" x14ac:dyDescent="0.3">
      <c r="A835" s="73" t="s">
        <v>33</v>
      </c>
      <c r="B835" s="73"/>
      <c r="C835" s="16">
        <v>46186</v>
      </c>
      <c r="D835">
        <v>24484.85</v>
      </c>
    </row>
    <row r="836" spans="1:4" x14ac:dyDescent="0.3">
      <c r="A836" s="73" t="s">
        <v>34</v>
      </c>
      <c r="B836" s="73"/>
      <c r="C836" s="16">
        <v>46186</v>
      </c>
      <c r="D836">
        <v>345</v>
      </c>
    </row>
    <row r="837" spans="1:4" x14ac:dyDescent="0.3">
      <c r="A837" s="73" t="s">
        <v>35</v>
      </c>
      <c r="B837" s="73"/>
      <c r="C837" s="16">
        <v>46186</v>
      </c>
      <c r="D837">
        <v>48774.73</v>
      </c>
    </row>
    <row r="838" spans="1:4" x14ac:dyDescent="0.3">
      <c r="A838" s="73" t="s">
        <v>17</v>
      </c>
      <c r="B838" s="73"/>
      <c r="C838" s="16">
        <v>46187</v>
      </c>
      <c r="D838">
        <v>1837784.84</v>
      </c>
    </row>
    <row r="839" spans="1:4" x14ac:dyDescent="0.3">
      <c r="A839" s="73" t="s">
        <v>18</v>
      </c>
      <c r="B839" s="73"/>
      <c r="C839" s="16">
        <v>46187</v>
      </c>
      <c r="D839">
        <v>69376.390000000174</v>
      </c>
    </row>
    <row r="840" spans="1:4" x14ac:dyDescent="0.3">
      <c r="A840" s="73" t="s">
        <v>19</v>
      </c>
      <c r="B840" s="73"/>
      <c r="C840" s="16">
        <v>46187</v>
      </c>
      <c r="D840">
        <v>1669.89</v>
      </c>
    </row>
    <row r="841" spans="1:4" x14ac:dyDescent="0.3">
      <c r="A841" s="73" t="s">
        <v>20</v>
      </c>
      <c r="B841" s="73"/>
      <c r="C841" s="16">
        <v>46187</v>
      </c>
      <c r="D841">
        <v>564626.20999999985</v>
      </c>
    </row>
    <row r="842" spans="1:4" x14ac:dyDescent="0.3">
      <c r="A842" s="73" t="s">
        <v>21</v>
      </c>
      <c r="B842" s="73"/>
      <c r="C842" s="16">
        <v>46187</v>
      </c>
      <c r="D842">
        <v>3763348.8299999996</v>
      </c>
    </row>
    <row r="843" spans="1:4" x14ac:dyDescent="0.3">
      <c r="A843" s="73" t="s">
        <v>22</v>
      </c>
      <c r="B843" s="73"/>
      <c r="C843" s="16">
        <v>46187</v>
      </c>
      <c r="D843">
        <v>116496.38</v>
      </c>
    </row>
    <row r="844" spans="1:4" x14ac:dyDescent="0.3">
      <c r="A844" s="73" t="s">
        <v>23</v>
      </c>
      <c r="B844" s="73"/>
      <c r="C844" s="16">
        <v>46187</v>
      </c>
      <c r="D844">
        <v>88090.37</v>
      </c>
    </row>
    <row r="845" spans="1:4" x14ac:dyDescent="0.3">
      <c r="A845" s="73" t="s">
        <v>24</v>
      </c>
      <c r="B845" s="73"/>
      <c r="C845" s="16">
        <v>46187</v>
      </c>
      <c r="D845">
        <v>1227.9699999999998</v>
      </c>
    </row>
    <row r="846" spans="1:4" x14ac:dyDescent="0.3">
      <c r="A846" s="73" t="s">
        <v>25</v>
      </c>
      <c r="B846" s="73"/>
      <c r="C846" s="16">
        <v>46187</v>
      </c>
      <c r="D846">
        <v>84.35</v>
      </c>
    </row>
    <row r="847" spans="1:4" x14ac:dyDescent="0.3">
      <c r="A847" s="73" t="s">
        <v>26</v>
      </c>
      <c r="B847" s="73"/>
      <c r="C847" s="16">
        <v>46187</v>
      </c>
      <c r="D847">
        <v>2237.77</v>
      </c>
    </row>
    <row r="848" spans="1:4" x14ac:dyDescent="0.3">
      <c r="A848" s="73" t="s">
        <v>27</v>
      </c>
      <c r="B848" s="73"/>
      <c r="C848" s="16">
        <v>46187</v>
      </c>
      <c r="D848">
        <v>3349.94</v>
      </c>
    </row>
    <row r="849" spans="1:4" x14ac:dyDescent="0.3">
      <c r="A849" s="73" t="s">
        <v>28</v>
      </c>
      <c r="B849" s="73"/>
      <c r="C849" s="16">
        <v>46187</v>
      </c>
      <c r="D849">
        <v>1968.99</v>
      </c>
    </row>
    <row r="850" spans="1:4" x14ac:dyDescent="0.3">
      <c r="A850" s="73" t="s">
        <v>29</v>
      </c>
      <c r="B850" s="73"/>
      <c r="C850" s="16">
        <v>46187</v>
      </c>
      <c r="D850">
        <v>382.69000000000005</v>
      </c>
    </row>
    <row r="851" spans="1:4" x14ac:dyDescent="0.3">
      <c r="A851" s="73" t="s">
        <v>30</v>
      </c>
      <c r="B851" s="73"/>
      <c r="C851" s="16">
        <v>46187</v>
      </c>
      <c r="D851">
        <v>1428.08</v>
      </c>
    </row>
    <row r="852" spans="1:4" x14ac:dyDescent="0.3">
      <c r="A852" s="73" t="s">
        <v>31</v>
      </c>
      <c r="B852" s="73"/>
      <c r="C852" s="16">
        <v>46187</v>
      </c>
      <c r="D852">
        <v>27789.969999999961</v>
      </c>
    </row>
    <row r="853" spans="1:4" x14ac:dyDescent="0.3">
      <c r="A853" s="73" t="s">
        <v>32</v>
      </c>
      <c r="B853" s="73"/>
      <c r="C853" s="16">
        <v>46187</v>
      </c>
      <c r="D853">
        <v>5321.4300000000021</v>
      </c>
    </row>
    <row r="854" spans="1:4" x14ac:dyDescent="0.3">
      <c r="A854" s="73" t="s">
        <v>33</v>
      </c>
      <c r="B854" s="73"/>
      <c r="C854" s="16">
        <v>46187</v>
      </c>
      <c r="D854">
        <v>24484.85</v>
      </c>
    </row>
    <row r="855" spans="1:4" x14ac:dyDescent="0.3">
      <c r="A855" s="73" t="s">
        <v>34</v>
      </c>
      <c r="B855" s="73"/>
      <c r="C855" s="16">
        <v>46187</v>
      </c>
      <c r="D855">
        <v>345</v>
      </c>
    </row>
    <row r="856" spans="1:4" x14ac:dyDescent="0.3">
      <c r="A856" s="73" t="s">
        <v>35</v>
      </c>
      <c r="B856" s="73"/>
      <c r="C856" s="16">
        <v>46187</v>
      </c>
      <c r="D856">
        <v>48774.73</v>
      </c>
    </row>
    <row r="857" spans="1:4" x14ac:dyDescent="0.3">
      <c r="A857" s="73" t="s">
        <v>17</v>
      </c>
      <c r="B857" s="73"/>
      <c r="C857" s="16">
        <v>46188</v>
      </c>
      <c r="D857">
        <v>985975.94000000029</v>
      </c>
    </row>
    <row r="858" spans="1:4" x14ac:dyDescent="0.3">
      <c r="A858" s="73" t="s">
        <v>18</v>
      </c>
      <c r="B858" s="73"/>
      <c r="C858" s="16">
        <v>46188</v>
      </c>
      <c r="D858">
        <v>69376.390000000174</v>
      </c>
    </row>
    <row r="859" spans="1:4" x14ac:dyDescent="0.3">
      <c r="A859" s="73" t="s">
        <v>19</v>
      </c>
      <c r="B859" s="73"/>
      <c r="C859" s="16">
        <v>46188</v>
      </c>
      <c r="D859">
        <v>1669.89</v>
      </c>
    </row>
    <row r="860" spans="1:4" x14ac:dyDescent="0.3">
      <c r="A860" s="73" t="s">
        <v>20</v>
      </c>
      <c r="B860" s="73"/>
      <c r="C860" s="16">
        <v>46188</v>
      </c>
      <c r="D860">
        <v>503904.80999999982</v>
      </c>
    </row>
    <row r="861" spans="1:4" x14ac:dyDescent="0.3">
      <c r="A861" s="73" t="s">
        <v>21</v>
      </c>
      <c r="B861" s="73"/>
      <c r="C861" s="16">
        <v>46188</v>
      </c>
      <c r="D861">
        <v>3331737.2399999998</v>
      </c>
    </row>
    <row r="862" spans="1:4" x14ac:dyDescent="0.3">
      <c r="A862" s="73" t="s">
        <v>22</v>
      </c>
      <c r="B862" s="73"/>
      <c r="C862" s="16">
        <v>46188</v>
      </c>
      <c r="D862">
        <v>116496.38</v>
      </c>
    </row>
    <row r="863" spans="1:4" x14ac:dyDescent="0.3">
      <c r="A863" s="73" t="s">
        <v>23</v>
      </c>
      <c r="B863" s="73"/>
      <c r="C863" s="16">
        <v>46188</v>
      </c>
      <c r="D863">
        <v>88090.37</v>
      </c>
    </row>
    <row r="864" spans="1:4" x14ac:dyDescent="0.3">
      <c r="A864" s="73" t="s">
        <v>24</v>
      </c>
      <c r="B864" s="73"/>
      <c r="C864" s="16">
        <v>46188</v>
      </c>
      <c r="D864">
        <v>1227.9699999999998</v>
      </c>
    </row>
    <row r="865" spans="1:4" x14ac:dyDescent="0.3">
      <c r="A865" s="73" t="s">
        <v>25</v>
      </c>
      <c r="B865" s="73"/>
      <c r="C865" s="16">
        <v>46188</v>
      </c>
      <c r="D865">
        <v>84.35</v>
      </c>
    </row>
    <row r="866" spans="1:4" x14ac:dyDescent="0.3">
      <c r="A866" s="73" t="s">
        <v>26</v>
      </c>
      <c r="B866" s="73"/>
      <c r="C866" s="16">
        <v>46188</v>
      </c>
      <c r="D866">
        <v>2237.77</v>
      </c>
    </row>
    <row r="867" spans="1:4" x14ac:dyDescent="0.3">
      <c r="A867" s="73" t="s">
        <v>27</v>
      </c>
      <c r="B867" s="73"/>
      <c r="C867" s="16">
        <v>46188</v>
      </c>
      <c r="D867">
        <v>3349.94</v>
      </c>
    </row>
    <row r="868" spans="1:4" x14ac:dyDescent="0.3">
      <c r="A868" s="73" t="s">
        <v>28</v>
      </c>
      <c r="B868" s="73"/>
      <c r="C868" s="16">
        <v>46188</v>
      </c>
      <c r="D868">
        <v>1968.99</v>
      </c>
    </row>
    <row r="869" spans="1:4" x14ac:dyDescent="0.3">
      <c r="A869" s="73" t="s">
        <v>29</v>
      </c>
      <c r="B869" s="73"/>
      <c r="C869" s="16">
        <v>46188</v>
      </c>
      <c r="D869">
        <v>382.69000000000005</v>
      </c>
    </row>
    <row r="870" spans="1:4" x14ac:dyDescent="0.3">
      <c r="A870" s="73" t="s">
        <v>30</v>
      </c>
      <c r="B870" s="73"/>
      <c r="C870" s="16">
        <v>46188</v>
      </c>
      <c r="D870">
        <v>1428.08</v>
      </c>
    </row>
    <row r="871" spans="1:4" x14ac:dyDescent="0.3">
      <c r="A871" s="73" t="s">
        <v>31</v>
      </c>
      <c r="B871" s="73"/>
      <c r="C871" s="16">
        <v>46188</v>
      </c>
      <c r="D871">
        <v>29789.969999999961</v>
      </c>
    </row>
    <row r="872" spans="1:4" x14ac:dyDescent="0.3">
      <c r="A872" s="73" t="s">
        <v>32</v>
      </c>
      <c r="B872" s="73"/>
      <c r="C872" s="16">
        <v>46188</v>
      </c>
      <c r="D872">
        <v>5321.4300000000021</v>
      </c>
    </row>
    <row r="873" spans="1:4" x14ac:dyDescent="0.3">
      <c r="A873" s="73" t="s">
        <v>33</v>
      </c>
      <c r="B873" s="73"/>
      <c r="C873" s="16">
        <v>46188</v>
      </c>
      <c r="D873">
        <v>20484.849999999999</v>
      </c>
    </row>
    <row r="874" spans="1:4" x14ac:dyDescent="0.3">
      <c r="A874" s="73" t="s">
        <v>34</v>
      </c>
      <c r="B874" s="73"/>
      <c r="C874" s="16">
        <v>46188</v>
      </c>
      <c r="D874">
        <v>345</v>
      </c>
    </row>
    <row r="875" spans="1:4" x14ac:dyDescent="0.3">
      <c r="A875" s="73" t="s">
        <v>35</v>
      </c>
      <c r="B875" s="73"/>
      <c r="C875" s="16">
        <v>46188</v>
      </c>
      <c r="D875">
        <v>48724.73</v>
      </c>
    </row>
    <row r="876" spans="1:4" x14ac:dyDescent="0.3">
      <c r="A876" s="73" t="s">
        <v>17</v>
      </c>
      <c r="B876" s="73"/>
      <c r="C876" s="16">
        <v>46189</v>
      </c>
      <c r="D876">
        <v>1086358.7500000002</v>
      </c>
    </row>
    <row r="877" spans="1:4" x14ac:dyDescent="0.3">
      <c r="A877" s="73" t="s">
        <v>18</v>
      </c>
      <c r="B877" s="73"/>
      <c r="C877" s="16">
        <v>46189</v>
      </c>
      <c r="D877">
        <v>69376.390000000174</v>
      </c>
    </row>
    <row r="878" spans="1:4" x14ac:dyDescent="0.3">
      <c r="A878" s="73" t="s">
        <v>19</v>
      </c>
      <c r="B878" s="73"/>
      <c r="C878" s="16">
        <v>46189</v>
      </c>
      <c r="D878">
        <v>1669.89</v>
      </c>
    </row>
    <row r="879" spans="1:4" x14ac:dyDescent="0.3">
      <c r="A879" s="73" t="s">
        <v>20</v>
      </c>
      <c r="B879" s="73"/>
      <c r="C879" s="16">
        <v>46189</v>
      </c>
      <c r="D879">
        <v>503904.80999999982</v>
      </c>
    </row>
    <row r="880" spans="1:4" x14ac:dyDescent="0.3">
      <c r="A880" s="73" t="s">
        <v>21</v>
      </c>
      <c r="B880" s="73"/>
      <c r="C880" s="16">
        <v>46189</v>
      </c>
      <c r="D880">
        <v>3329246.88</v>
      </c>
    </row>
    <row r="881" spans="1:4" x14ac:dyDescent="0.3">
      <c r="A881" s="73" t="s">
        <v>22</v>
      </c>
      <c r="B881" s="73"/>
      <c r="C881" s="16">
        <v>46189</v>
      </c>
      <c r="D881">
        <v>116496.38</v>
      </c>
    </row>
    <row r="882" spans="1:4" x14ac:dyDescent="0.3">
      <c r="A882" s="73" t="s">
        <v>23</v>
      </c>
      <c r="B882" s="73"/>
      <c r="C882" s="16">
        <v>46189</v>
      </c>
      <c r="D882">
        <v>88090.37</v>
      </c>
    </row>
    <row r="883" spans="1:4" x14ac:dyDescent="0.3">
      <c r="A883" s="73" t="s">
        <v>24</v>
      </c>
      <c r="B883" s="73"/>
      <c r="C883" s="16">
        <v>46189</v>
      </c>
      <c r="D883">
        <v>1227.9699999999998</v>
      </c>
    </row>
    <row r="884" spans="1:4" x14ac:dyDescent="0.3">
      <c r="A884" s="73" t="s">
        <v>25</v>
      </c>
      <c r="B884" s="73"/>
      <c r="C884" s="16">
        <v>46189</v>
      </c>
      <c r="D884">
        <v>84.35</v>
      </c>
    </row>
    <row r="885" spans="1:4" x14ac:dyDescent="0.3">
      <c r="A885" s="73" t="s">
        <v>26</v>
      </c>
      <c r="B885" s="73"/>
      <c r="C885" s="16">
        <v>46189</v>
      </c>
      <c r="D885">
        <v>2237.77</v>
      </c>
    </row>
    <row r="886" spans="1:4" x14ac:dyDescent="0.3">
      <c r="A886" s="73" t="s">
        <v>27</v>
      </c>
      <c r="B886" s="73"/>
      <c r="C886" s="16">
        <v>46189</v>
      </c>
      <c r="D886">
        <v>3349.94</v>
      </c>
    </row>
    <row r="887" spans="1:4" x14ac:dyDescent="0.3">
      <c r="A887" s="73" t="s">
        <v>28</v>
      </c>
      <c r="B887" s="73"/>
      <c r="C887" s="16">
        <v>46189</v>
      </c>
      <c r="D887">
        <v>1968.99</v>
      </c>
    </row>
    <row r="888" spans="1:4" x14ac:dyDescent="0.3">
      <c r="A888" s="73" t="s">
        <v>29</v>
      </c>
      <c r="B888" s="73"/>
      <c r="C888" s="16">
        <v>46189</v>
      </c>
      <c r="D888">
        <v>382.69000000000005</v>
      </c>
    </row>
    <row r="889" spans="1:4" x14ac:dyDescent="0.3">
      <c r="A889" s="73" t="s">
        <v>30</v>
      </c>
      <c r="B889" s="73"/>
      <c r="C889" s="16">
        <v>46189</v>
      </c>
      <c r="D889">
        <v>1428.08</v>
      </c>
    </row>
    <row r="890" spans="1:4" x14ac:dyDescent="0.3">
      <c r="A890" s="73" t="s">
        <v>31</v>
      </c>
      <c r="B890" s="73"/>
      <c r="C890" s="16">
        <v>46189</v>
      </c>
      <c r="D890">
        <v>29789.969999999961</v>
      </c>
    </row>
    <row r="891" spans="1:4" x14ac:dyDescent="0.3">
      <c r="A891" s="73" t="s">
        <v>32</v>
      </c>
      <c r="B891" s="73"/>
      <c r="C891" s="16">
        <v>46189</v>
      </c>
      <c r="D891">
        <v>20321.43</v>
      </c>
    </row>
    <row r="892" spans="1:4" x14ac:dyDescent="0.3">
      <c r="A892" s="73" t="s">
        <v>33</v>
      </c>
      <c r="B892" s="73"/>
      <c r="C892" s="16">
        <v>46189</v>
      </c>
      <c r="D892">
        <v>19811.349999999999</v>
      </c>
    </row>
    <row r="893" spans="1:4" x14ac:dyDescent="0.3">
      <c r="A893" s="73" t="s">
        <v>34</v>
      </c>
      <c r="B893" s="73"/>
      <c r="C893" s="16">
        <v>46189</v>
      </c>
      <c r="D893">
        <v>345</v>
      </c>
    </row>
    <row r="894" spans="1:4" x14ac:dyDescent="0.3">
      <c r="A894" s="73" t="s">
        <v>35</v>
      </c>
      <c r="B894" s="73"/>
      <c r="C894" s="16">
        <v>46189</v>
      </c>
      <c r="D894">
        <v>46041.01</v>
      </c>
    </row>
    <row r="895" spans="1:4" x14ac:dyDescent="0.3">
      <c r="A895" s="73" t="s">
        <v>17</v>
      </c>
      <c r="B895" s="73"/>
      <c r="C895" s="16">
        <v>46190</v>
      </c>
      <c r="D895">
        <v>1098358.7500000002</v>
      </c>
    </row>
    <row r="896" spans="1:4" x14ac:dyDescent="0.3">
      <c r="A896" s="73" t="s">
        <v>18</v>
      </c>
      <c r="B896" s="73"/>
      <c r="C896" s="16">
        <v>46190</v>
      </c>
      <c r="D896">
        <v>69376.390000000174</v>
      </c>
    </row>
    <row r="897" spans="1:4" x14ac:dyDescent="0.3">
      <c r="A897" s="73" t="s">
        <v>19</v>
      </c>
      <c r="B897" s="73"/>
      <c r="C897" s="16">
        <v>46190</v>
      </c>
      <c r="D897">
        <v>1669.89</v>
      </c>
    </row>
    <row r="898" spans="1:4" x14ac:dyDescent="0.3">
      <c r="A898" s="73" t="s">
        <v>20</v>
      </c>
      <c r="B898" s="73"/>
      <c r="C898" s="16">
        <v>46190</v>
      </c>
      <c r="D898">
        <v>503904.80999999982</v>
      </c>
    </row>
    <row r="899" spans="1:4" x14ac:dyDescent="0.3">
      <c r="A899" s="73" t="s">
        <v>21</v>
      </c>
      <c r="B899" s="73"/>
      <c r="C899" s="16">
        <v>46190</v>
      </c>
      <c r="D899">
        <v>3326863.3899999997</v>
      </c>
    </row>
    <row r="900" spans="1:4" x14ac:dyDescent="0.3">
      <c r="A900" s="73" t="s">
        <v>22</v>
      </c>
      <c r="B900" s="73"/>
      <c r="C900" s="16">
        <v>46190</v>
      </c>
      <c r="D900">
        <v>116496.38</v>
      </c>
    </row>
    <row r="901" spans="1:4" x14ac:dyDescent="0.3">
      <c r="A901" s="73" t="s">
        <v>23</v>
      </c>
      <c r="B901" s="73"/>
      <c r="C901" s="16">
        <v>46190</v>
      </c>
      <c r="D901">
        <v>88090.37</v>
      </c>
    </row>
    <row r="902" spans="1:4" x14ac:dyDescent="0.3">
      <c r="A902" s="73" t="s">
        <v>24</v>
      </c>
      <c r="B902" s="73"/>
      <c r="C902" s="16">
        <v>46190</v>
      </c>
      <c r="D902">
        <v>1227.9699999999998</v>
      </c>
    </row>
    <row r="903" spans="1:4" x14ac:dyDescent="0.3">
      <c r="A903" s="73" t="s">
        <v>25</v>
      </c>
      <c r="B903" s="73"/>
      <c r="C903" s="16">
        <v>46190</v>
      </c>
      <c r="D903">
        <v>84.35</v>
      </c>
    </row>
    <row r="904" spans="1:4" x14ac:dyDescent="0.3">
      <c r="A904" s="73" t="s">
        <v>26</v>
      </c>
      <c r="B904" s="73"/>
      <c r="C904" s="16">
        <v>46190</v>
      </c>
      <c r="D904">
        <v>2237.77</v>
      </c>
    </row>
    <row r="905" spans="1:4" x14ac:dyDescent="0.3">
      <c r="A905" s="73" t="s">
        <v>27</v>
      </c>
      <c r="B905" s="73"/>
      <c r="C905" s="16">
        <v>46190</v>
      </c>
      <c r="D905">
        <v>3349.94</v>
      </c>
    </row>
    <row r="906" spans="1:4" x14ac:dyDescent="0.3">
      <c r="A906" s="73" t="s">
        <v>28</v>
      </c>
      <c r="B906" s="73"/>
      <c r="C906" s="16">
        <v>46190</v>
      </c>
      <c r="D906">
        <v>1968.99</v>
      </c>
    </row>
    <row r="907" spans="1:4" x14ac:dyDescent="0.3">
      <c r="A907" s="73" t="s">
        <v>29</v>
      </c>
      <c r="B907" s="73"/>
      <c r="C907" s="16">
        <v>46190</v>
      </c>
      <c r="D907">
        <v>382.69000000000005</v>
      </c>
    </row>
    <row r="908" spans="1:4" x14ac:dyDescent="0.3">
      <c r="A908" s="73" t="s">
        <v>30</v>
      </c>
      <c r="B908" s="73"/>
      <c r="C908" s="16">
        <v>46190</v>
      </c>
      <c r="D908">
        <v>1428.08</v>
      </c>
    </row>
    <row r="909" spans="1:4" x14ac:dyDescent="0.3">
      <c r="A909" s="73" t="s">
        <v>31</v>
      </c>
      <c r="B909" s="73"/>
      <c r="C909" s="16">
        <v>46190</v>
      </c>
      <c r="D909">
        <v>29789.969999999961</v>
      </c>
    </row>
    <row r="910" spans="1:4" x14ac:dyDescent="0.3">
      <c r="A910" s="73" t="s">
        <v>32</v>
      </c>
      <c r="B910" s="73"/>
      <c r="C910" s="16">
        <v>46190</v>
      </c>
      <c r="D910">
        <v>20321.43</v>
      </c>
    </row>
    <row r="911" spans="1:4" x14ac:dyDescent="0.3">
      <c r="A911" s="73" t="s">
        <v>33</v>
      </c>
      <c r="B911" s="73"/>
      <c r="C911" s="16">
        <v>46190</v>
      </c>
      <c r="D911">
        <v>16681.349999999999</v>
      </c>
    </row>
    <row r="912" spans="1:4" x14ac:dyDescent="0.3">
      <c r="A912" s="73" t="s">
        <v>34</v>
      </c>
      <c r="B912" s="73"/>
      <c r="C912" s="16">
        <v>46190</v>
      </c>
      <c r="D912">
        <v>345</v>
      </c>
    </row>
    <row r="913" spans="1:4" x14ac:dyDescent="0.3">
      <c r="A913" s="73" t="s">
        <v>35</v>
      </c>
      <c r="B913" s="73"/>
      <c r="C913" s="16">
        <v>46190</v>
      </c>
      <c r="D913">
        <v>45041.01</v>
      </c>
    </row>
    <row r="914" spans="1:4" x14ac:dyDescent="0.3">
      <c r="A914" s="73" t="s">
        <v>17</v>
      </c>
      <c r="B914" s="73"/>
      <c r="C914" s="16">
        <v>46191</v>
      </c>
      <c r="D914">
        <v>1098358.7500000002</v>
      </c>
    </row>
    <row r="915" spans="1:4" x14ac:dyDescent="0.3">
      <c r="A915" s="73" t="s">
        <v>18</v>
      </c>
      <c r="B915" s="73"/>
      <c r="C915" s="16">
        <v>46191</v>
      </c>
      <c r="D915">
        <v>69376.390000000174</v>
      </c>
    </row>
    <row r="916" spans="1:4" x14ac:dyDescent="0.3">
      <c r="A916" s="73" t="s">
        <v>19</v>
      </c>
      <c r="B916" s="73"/>
      <c r="C916" s="16">
        <v>46191</v>
      </c>
      <c r="D916">
        <v>1669.89</v>
      </c>
    </row>
    <row r="917" spans="1:4" x14ac:dyDescent="0.3">
      <c r="A917" s="73" t="s">
        <v>20</v>
      </c>
      <c r="B917" s="73"/>
      <c r="C917" s="16">
        <v>46191</v>
      </c>
      <c r="D917">
        <v>503904.80999999982</v>
      </c>
    </row>
    <row r="918" spans="1:4" x14ac:dyDescent="0.3">
      <c r="A918" s="73" t="s">
        <v>21</v>
      </c>
      <c r="B918" s="73"/>
      <c r="C918" s="16">
        <v>46191</v>
      </c>
      <c r="D918">
        <v>3326696.7299999995</v>
      </c>
    </row>
    <row r="919" spans="1:4" x14ac:dyDescent="0.3">
      <c r="A919" s="73" t="s">
        <v>22</v>
      </c>
      <c r="B919" s="73"/>
      <c r="C919" s="16">
        <v>46191</v>
      </c>
      <c r="D919">
        <v>116496.38</v>
      </c>
    </row>
    <row r="920" spans="1:4" x14ac:dyDescent="0.3">
      <c r="A920" s="73" t="s">
        <v>23</v>
      </c>
      <c r="B920" s="73"/>
      <c r="C920" s="16">
        <v>46191</v>
      </c>
      <c r="D920">
        <v>88090.37</v>
      </c>
    </row>
    <row r="921" spans="1:4" x14ac:dyDescent="0.3">
      <c r="A921" s="73" t="s">
        <v>24</v>
      </c>
      <c r="B921" s="73"/>
      <c r="C921" s="16">
        <v>46191</v>
      </c>
      <c r="D921">
        <v>1227.9699999999998</v>
      </c>
    </row>
    <row r="922" spans="1:4" x14ac:dyDescent="0.3">
      <c r="A922" s="73" t="s">
        <v>25</v>
      </c>
      <c r="B922" s="73"/>
      <c r="C922" s="16">
        <v>46191</v>
      </c>
      <c r="D922">
        <v>84.35</v>
      </c>
    </row>
    <row r="923" spans="1:4" x14ac:dyDescent="0.3">
      <c r="A923" s="73" t="s">
        <v>26</v>
      </c>
      <c r="B923" s="73"/>
      <c r="C923" s="16">
        <v>46191</v>
      </c>
      <c r="D923">
        <v>2237.77</v>
      </c>
    </row>
    <row r="924" spans="1:4" x14ac:dyDescent="0.3">
      <c r="A924" s="73" t="s">
        <v>27</v>
      </c>
      <c r="B924" s="73"/>
      <c r="C924" s="16">
        <v>46191</v>
      </c>
      <c r="D924">
        <v>3349.94</v>
      </c>
    </row>
    <row r="925" spans="1:4" x14ac:dyDescent="0.3">
      <c r="A925" s="73" t="s">
        <v>28</v>
      </c>
      <c r="B925" s="73"/>
      <c r="C925" s="16">
        <v>46191</v>
      </c>
      <c r="D925">
        <v>1968.99</v>
      </c>
    </row>
    <row r="926" spans="1:4" x14ac:dyDescent="0.3">
      <c r="A926" s="73" t="s">
        <v>29</v>
      </c>
      <c r="B926" s="73"/>
      <c r="C926" s="16">
        <v>46191</v>
      </c>
      <c r="D926">
        <v>382.69000000000005</v>
      </c>
    </row>
    <row r="927" spans="1:4" x14ac:dyDescent="0.3">
      <c r="A927" s="73" t="s">
        <v>30</v>
      </c>
      <c r="B927" s="73"/>
      <c r="C927" s="16">
        <v>46191</v>
      </c>
      <c r="D927">
        <v>1428.08</v>
      </c>
    </row>
    <row r="928" spans="1:4" x14ac:dyDescent="0.3">
      <c r="A928" s="73" t="s">
        <v>31</v>
      </c>
      <c r="B928" s="73"/>
      <c r="C928" s="16">
        <v>46191</v>
      </c>
      <c r="D928">
        <v>29789.969999999961</v>
      </c>
    </row>
    <row r="929" spans="1:4" x14ac:dyDescent="0.3">
      <c r="A929" s="73" t="s">
        <v>32</v>
      </c>
      <c r="B929" s="73"/>
      <c r="C929" s="16">
        <v>46191</v>
      </c>
      <c r="D929">
        <v>20321.43</v>
      </c>
    </row>
    <row r="930" spans="1:4" x14ac:dyDescent="0.3">
      <c r="A930" s="73" t="s">
        <v>33</v>
      </c>
      <c r="B930" s="73"/>
      <c r="C930" s="16">
        <v>46191</v>
      </c>
      <c r="D930">
        <v>16681.349999999999</v>
      </c>
    </row>
    <row r="931" spans="1:4" x14ac:dyDescent="0.3">
      <c r="A931" s="73" t="s">
        <v>34</v>
      </c>
      <c r="B931" s="73"/>
      <c r="C931" s="16">
        <v>46191</v>
      </c>
      <c r="D931">
        <v>345</v>
      </c>
    </row>
    <row r="932" spans="1:4" x14ac:dyDescent="0.3">
      <c r="A932" s="73" t="s">
        <v>35</v>
      </c>
      <c r="B932" s="73"/>
      <c r="C932" s="16">
        <v>46191</v>
      </c>
      <c r="D932">
        <v>45041.01</v>
      </c>
    </row>
    <row r="933" spans="1:4" x14ac:dyDescent="0.3">
      <c r="A933" s="73" t="s">
        <v>17</v>
      </c>
      <c r="B933" s="73"/>
      <c r="C933" s="16">
        <v>46192</v>
      </c>
      <c r="D933">
        <v>1098358.7500000002</v>
      </c>
    </row>
    <row r="934" spans="1:4" x14ac:dyDescent="0.3">
      <c r="A934" s="73" t="s">
        <v>18</v>
      </c>
      <c r="B934" s="73"/>
      <c r="C934" s="16">
        <v>46192</v>
      </c>
      <c r="D934">
        <v>69376.390000000174</v>
      </c>
    </row>
    <row r="935" spans="1:4" x14ac:dyDescent="0.3">
      <c r="A935" s="73" t="s">
        <v>19</v>
      </c>
      <c r="B935" s="73"/>
      <c r="C935" s="16">
        <v>46192</v>
      </c>
      <c r="D935">
        <v>1669.89</v>
      </c>
    </row>
    <row r="936" spans="1:4" x14ac:dyDescent="0.3">
      <c r="A936" s="73" t="s">
        <v>20</v>
      </c>
      <c r="B936" s="73"/>
      <c r="C936" s="16">
        <v>46192</v>
      </c>
      <c r="D936">
        <v>503904.80999999982</v>
      </c>
    </row>
    <row r="937" spans="1:4" x14ac:dyDescent="0.3">
      <c r="A937" s="73" t="s">
        <v>21</v>
      </c>
      <c r="B937" s="73"/>
      <c r="C937" s="16">
        <v>46192</v>
      </c>
      <c r="D937">
        <v>3326696.7299999995</v>
      </c>
    </row>
    <row r="938" spans="1:4" x14ac:dyDescent="0.3">
      <c r="A938" s="73" t="s">
        <v>22</v>
      </c>
      <c r="B938" s="73"/>
      <c r="C938" s="16">
        <v>46192</v>
      </c>
      <c r="D938">
        <v>116496.38</v>
      </c>
    </row>
    <row r="939" spans="1:4" x14ac:dyDescent="0.3">
      <c r="A939" s="73" t="s">
        <v>23</v>
      </c>
      <c r="B939" s="73"/>
      <c r="C939" s="16">
        <v>46192</v>
      </c>
      <c r="D939">
        <v>88090.37</v>
      </c>
    </row>
    <row r="940" spans="1:4" x14ac:dyDescent="0.3">
      <c r="A940" s="73" t="s">
        <v>24</v>
      </c>
      <c r="B940" s="73"/>
      <c r="C940" s="16">
        <v>46192</v>
      </c>
      <c r="D940">
        <v>1227.9699999999998</v>
      </c>
    </row>
    <row r="941" spans="1:4" x14ac:dyDescent="0.3">
      <c r="A941" s="73" t="s">
        <v>25</v>
      </c>
      <c r="B941" s="73"/>
      <c r="C941" s="16">
        <v>46192</v>
      </c>
      <c r="D941">
        <v>84.35</v>
      </c>
    </row>
    <row r="942" spans="1:4" x14ac:dyDescent="0.3">
      <c r="A942" s="73" t="s">
        <v>26</v>
      </c>
      <c r="B942" s="73"/>
      <c r="C942" s="16">
        <v>46192</v>
      </c>
      <c r="D942">
        <v>2237.77</v>
      </c>
    </row>
    <row r="943" spans="1:4" x14ac:dyDescent="0.3">
      <c r="A943" s="73" t="s">
        <v>27</v>
      </c>
      <c r="B943" s="73"/>
      <c r="C943" s="16">
        <v>46192</v>
      </c>
      <c r="D943">
        <v>3349.94</v>
      </c>
    </row>
    <row r="944" spans="1:4" x14ac:dyDescent="0.3">
      <c r="A944" s="73" t="s">
        <v>28</v>
      </c>
      <c r="B944" s="73"/>
      <c r="C944" s="16">
        <v>46192</v>
      </c>
      <c r="D944">
        <v>1968.99</v>
      </c>
    </row>
    <row r="945" spans="1:4" x14ac:dyDescent="0.3">
      <c r="A945" s="73" t="s">
        <v>29</v>
      </c>
      <c r="B945" s="73"/>
      <c r="C945" s="16">
        <v>46192</v>
      </c>
      <c r="D945">
        <v>382.69000000000005</v>
      </c>
    </row>
    <row r="946" spans="1:4" x14ac:dyDescent="0.3">
      <c r="A946" s="73" t="s">
        <v>30</v>
      </c>
      <c r="B946" s="73"/>
      <c r="C946" s="16">
        <v>46192</v>
      </c>
      <c r="D946">
        <v>1428.08</v>
      </c>
    </row>
    <row r="947" spans="1:4" x14ac:dyDescent="0.3">
      <c r="A947" s="73" t="s">
        <v>31</v>
      </c>
      <c r="B947" s="73"/>
      <c r="C947" s="16">
        <v>46192</v>
      </c>
      <c r="D947">
        <v>29789.969999999961</v>
      </c>
    </row>
    <row r="948" spans="1:4" x14ac:dyDescent="0.3">
      <c r="A948" s="73" t="s">
        <v>32</v>
      </c>
      <c r="B948" s="73"/>
      <c r="C948" s="16">
        <v>46192</v>
      </c>
      <c r="D948">
        <v>20321.43</v>
      </c>
    </row>
    <row r="949" spans="1:4" x14ac:dyDescent="0.3">
      <c r="A949" s="73" t="s">
        <v>33</v>
      </c>
      <c r="B949" s="73"/>
      <c r="C949" s="16">
        <v>46192</v>
      </c>
      <c r="D949">
        <v>16681.349999999999</v>
      </c>
    </row>
    <row r="950" spans="1:4" x14ac:dyDescent="0.3">
      <c r="A950" s="73" t="s">
        <v>34</v>
      </c>
      <c r="B950" s="73"/>
      <c r="C950" s="16">
        <v>46192</v>
      </c>
      <c r="D950">
        <v>345</v>
      </c>
    </row>
    <row r="951" spans="1:4" x14ac:dyDescent="0.3">
      <c r="A951" s="73" t="s">
        <v>35</v>
      </c>
      <c r="B951" s="73"/>
      <c r="C951" s="16">
        <v>46192</v>
      </c>
      <c r="D951">
        <v>45041.01</v>
      </c>
    </row>
    <row r="952" spans="1:4" x14ac:dyDescent="0.3">
      <c r="A952" s="73" t="s">
        <v>17</v>
      </c>
      <c r="B952" s="73"/>
      <c r="C952" s="16">
        <v>46193</v>
      </c>
      <c r="D952">
        <v>1098358.7500000002</v>
      </c>
    </row>
    <row r="953" spans="1:4" x14ac:dyDescent="0.3">
      <c r="A953" s="73" t="s">
        <v>18</v>
      </c>
      <c r="B953" s="73"/>
      <c r="C953" s="16">
        <v>46193</v>
      </c>
      <c r="D953">
        <v>69376.390000000174</v>
      </c>
    </row>
    <row r="954" spans="1:4" x14ac:dyDescent="0.3">
      <c r="A954" s="73" t="s">
        <v>19</v>
      </c>
      <c r="B954" s="73"/>
      <c r="C954" s="16">
        <v>46193</v>
      </c>
      <c r="D954">
        <v>1669.89</v>
      </c>
    </row>
    <row r="955" spans="1:4" x14ac:dyDescent="0.3">
      <c r="A955" s="73" t="s">
        <v>20</v>
      </c>
      <c r="B955" s="73"/>
      <c r="C955" s="16">
        <v>46193</v>
      </c>
      <c r="D955">
        <v>503904.80999999982</v>
      </c>
    </row>
    <row r="956" spans="1:4" x14ac:dyDescent="0.3">
      <c r="A956" s="73" t="s">
        <v>21</v>
      </c>
      <c r="B956" s="73"/>
      <c r="C956" s="16">
        <v>46193</v>
      </c>
      <c r="D956">
        <v>3326696.7299999995</v>
      </c>
    </row>
    <row r="957" spans="1:4" x14ac:dyDescent="0.3">
      <c r="A957" s="73" t="s">
        <v>22</v>
      </c>
      <c r="B957" s="73"/>
      <c r="C957" s="16">
        <v>46193</v>
      </c>
      <c r="D957">
        <v>116496.38</v>
      </c>
    </row>
    <row r="958" spans="1:4" x14ac:dyDescent="0.3">
      <c r="A958" s="73" t="s">
        <v>23</v>
      </c>
      <c r="B958" s="73"/>
      <c r="C958" s="16">
        <v>46193</v>
      </c>
      <c r="D958">
        <v>88090.37</v>
      </c>
    </row>
    <row r="959" spans="1:4" x14ac:dyDescent="0.3">
      <c r="A959" s="73" t="s">
        <v>24</v>
      </c>
      <c r="B959" s="73"/>
      <c r="C959" s="16">
        <v>46193</v>
      </c>
      <c r="D959">
        <v>1227.9699999999998</v>
      </c>
    </row>
    <row r="960" spans="1:4" x14ac:dyDescent="0.3">
      <c r="A960" s="73" t="s">
        <v>25</v>
      </c>
      <c r="B960" s="73"/>
      <c r="C960" s="16">
        <v>46193</v>
      </c>
      <c r="D960">
        <v>84.35</v>
      </c>
    </row>
    <row r="961" spans="1:4" x14ac:dyDescent="0.3">
      <c r="A961" s="73" t="s">
        <v>26</v>
      </c>
      <c r="B961" s="73"/>
      <c r="C961" s="16">
        <v>46193</v>
      </c>
      <c r="D961">
        <v>2237.77</v>
      </c>
    </row>
    <row r="962" spans="1:4" x14ac:dyDescent="0.3">
      <c r="A962" s="73" t="s">
        <v>27</v>
      </c>
      <c r="B962" s="73"/>
      <c r="C962" s="16">
        <v>46193</v>
      </c>
      <c r="D962">
        <v>3349.94</v>
      </c>
    </row>
    <row r="963" spans="1:4" x14ac:dyDescent="0.3">
      <c r="A963" s="73" t="s">
        <v>28</v>
      </c>
      <c r="B963" s="73"/>
      <c r="C963" s="16">
        <v>46193</v>
      </c>
      <c r="D963">
        <v>1968.99</v>
      </c>
    </row>
    <row r="964" spans="1:4" x14ac:dyDescent="0.3">
      <c r="A964" s="73" t="s">
        <v>29</v>
      </c>
      <c r="B964" s="73"/>
      <c r="C964" s="16">
        <v>46193</v>
      </c>
      <c r="D964">
        <v>382.69000000000005</v>
      </c>
    </row>
    <row r="965" spans="1:4" x14ac:dyDescent="0.3">
      <c r="A965" s="73" t="s">
        <v>30</v>
      </c>
      <c r="B965" s="73"/>
      <c r="C965" s="16">
        <v>46193</v>
      </c>
      <c r="D965">
        <v>1428.08</v>
      </c>
    </row>
    <row r="966" spans="1:4" x14ac:dyDescent="0.3">
      <c r="A966" s="73" t="s">
        <v>31</v>
      </c>
      <c r="B966" s="73"/>
      <c r="C966" s="16">
        <v>46193</v>
      </c>
      <c r="D966">
        <v>29789.969999999961</v>
      </c>
    </row>
    <row r="967" spans="1:4" x14ac:dyDescent="0.3">
      <c r="A967" s="73" t="s">
        <v>32</v>
      </c>
      <c r="B967" s="73"/>
      <c r="C967" s="16">
        <v>46193</v>
      </c>
      <c r="D967">
        <v>20321.43</v>
      </c>
    </row>
    <row r="968" spans="1:4" x14ac:dyDescent="0.3">
      <c r="A968" s="73" t="s">
        <v>33</v>
      </c>
      <c r="B968" s="73"/>
      <c r="C968" s="16">
        <v>46193</v>
      </c>
      <c r="D968">
        <v>16681.349999999999</v>
      </c>
    </row>
    <row r="969" spans="1:4" x14ac:dyDescent="0.3">
      <c r="A969" s="73" t="s">
        <v>34</v>
      </c>
      <c r="B969" s="73"/>
      <c r="C969" s="16">
        <v>46193</v>
      </c>
      <c r="D969">
        <v>345</v>
      </c>
    </row>
    <row r="970" spans="1:4" x14ac:dyDescent="0.3">
      <c r="A970" s="73" t="s">
        <v>35</v>
      </c>
      <c r="B970" s="73"/>
      <c r="C970" s="16">
        <v>46193</v>
      </c>
      <c r="D970">
        <v>45041.01</v>
      </c>
    </row>
    <row r="971" spans="1:4" x14ac:dyDescent="0.3">
      <c r="A971" s="73" t="s">
        <v>17</v>
      </c>
      <c r="B971" s="73"/>
      <c r="C971" s="16">
        <v>46194</v>
      </c>
      <c r="D971">
        <v>1098358.7500000002</v>
      </c>
    </row>
    <row r="972" spans="1:4" x14ac:dyDescent="0.3">
      <c r="A972" s="73" t="s">
        <v>18</v>
      </c>
      <c r="B972" s="73"/>
      <c r="C972" s="16">
        <v>46194</v>
      </c>
      <c r="D972">
        <v>69376.390000000174</v>
      </c>
    </row>
    <row r="973" spans="1:4" x14ac:dyDescent="0.3">
      <c r="A973" s="73" t="s">
        <v>19</v>
      </c>
      <c r="B973" s="73"/>
      <c r="C973" s="16">
        <v>46194</v>
      </c>
      <c r="D973">
        <v>1669.89</v>
      </c>
    </row>
    <row r="974" spans="1:4" x14ac:dyDescent="0.3">
      <c r="A974" s="73" t="s">
        <v>20</v>
      </c>
      <c r="B974" s="73"/>
      <c r="C974" s="16">
        <v>46194</v>
      </c>
      <c r="D974">
        <v>503904.80999999982</v>
      </c>
    </row>
    <row r="975" spans="1:4" x14ac:dyDescent="0.3">
      <c r="A975" s="73" t="s">
        <v>21</v>
      </c>
      <c r="B975" s="73"/>
      <c r="C975" s="16">
        <v>46194</v>
      </c>
      <c r="D975">
        <v>3326696.7299999995</v>
      </c>
    </row>
    <row r="976" spans="1:4" x14ac:dyDescent="0.3">
      <c r="A976" s="73" t="s">
        <v>22</v>
      </c>
      <c r="B976" s="73"/>
      <c r="C976" s="16">
        <v>46194</v>
      </c>
      <c r="D976">
        <v>116496.38</v>
      </c>
    </row>
    <row r="977" spans="1:4" x14ac:dyDescent="0.3">
      <c r="A977" s="73" t="s">
        <v>23</v>
      </c>
      <c r="B977" s="73"/>
      <c r="C977" s="16">
        <v>46194</v>
      </c>
      <c r="D977">
        <v>88090.37</v>
      </c>
    </row>
    <row r="978" spans="1:4" x14ac:dyDescent="0.3">
      <c r="A978" s="73" t="s">
        <v>24</v>
      </c>
      <c r="B978" s="73"/>
      <c r="C978" s="16">
        <v>46194</v>
      </c>
      <c r="D978">
        <v>1227.9699999999998</v>
      </c>
    </row>
    <row r="979" spans="1:4" x14ac:dyDescent="0.3">
      <c r="A979" s="73" t="s">
        <v>25</v>
      </c>
      <c r="B979" s="73"/>
      <c r="C979" s="16">
        <v>46194</v>
      </c>
      <c r="D979">
        <v>84.35</v>
      </c>
    </row>
    <row r="980" spans="1:4" x14ac:dyDescent="0.3">
      <c r="A980" s="73" t="s">
        <v>26</v>
      </c>
      <c r="B980" s="73"/>
      <c r="C980" s="16">
        <v>46194</v>
      </c>
      <c r="D980">
        <v>2237.77</v>
      </c>
    </row>
    <row r="981" spans="1:4" x14ac:dyDescent="0.3">
      <c r="A981" s="73" t="s">
        <v>27</v>
      </c>
      <c r="B981" s="73"/>
      <c r="C981" s="16">
        <v>46194</v>
      </c>
      <c r="D981">
        <v>3349.94</v>
      </c>
    </row>
    <row r="982" spans="1:4" x14ac:dyDescent="0.3">
      <c r="A982" s="73" t="s">
        <v>28</v>
      </c>
      <c r="B982" s="73"/>
      <c r="C982" s="16">
        <v>46194</v>
      </c>
      <c r="D982">
        <v>1968.99</v>
      </c>
    </row>
    <row r="983" spans="1:4" x14ac:dyDescent="0.3">
      <c r="A983" s="73" t="s">
        <v>29</v>
      </c>
      <c r="B983" s="73"/>
      <c r="C983" s="16">
        <v>46194</v>
      </c>
      <c r="D983">
        <v>382.69000000000005</v>
      </c>
    </row>
    <row r="984" spans="1:4" x14ac:dyDescent="0.3">
      <c r="A984" s="73" t="s">
        <v>30</v>
      </c>
      <c r="B984" s="73"/>
      <c r="C984" s="16">
        <v>46194</v>
      </c>
      <c r="D984">
        <v>1428.08</v>
      </c>
    </row>
    <row r="985" spans="1:4" x14ac:dyDescent="0.3">
      <c r="A985" s="73" t="s">
        <v>31</v>
      </c>
      <c r="B985" s="73"/>
      <c r="C985" s="16">
        <v>46194</v>
      </c>
      <c r="D985">
        <v>29789.969999999961</v>
      </c>
    </row>
    <row r="986" spans="1:4" x14ac:dyDescent="0.3">
      <c r="A986" s="73" t="s">
        <v>32</v>
      </c>
      <c r="B986" s="73"/>
      <c r="C986" s="16">
        <v>46194</v>
      </c>
      <c r="D986">
        <v>20321.43</v>
      </c>
    </row>
    <row r="987" spans="1:4" x14ac:dyDescent="0.3">
      <c r="A987" s="73" t="s">
        <v>33</v>
      </c>
      <c r="B987" s="73"/>
      <c r="C987" s="16">
        <v>46194</v>
      </c>
      <c r="D987">
        <v>16681.349999999999</v>
      </c>
    </row>
    <row r="988" spans="1:4" x14ac:dyDescent="0.3">
      <c r="A988" s="73" t="s">
        <v>34</v>
      </c>
      <c r="B988" s="73"/>
      <c r="C988" s="16">
        <v>46194</v>
      </c>
      <c r="D988">
        <v>345</v>
      </c>
    </row>
    <row r="989" spans="1:4" x14ac:dyDescent="0.3">
      <c r="A989" s="73" t="s">
        <v>35</v>
      </c>
      <c r="B989" s="73"/>
      <c r="C989" s="16">
        <v>46194</v>
      </c>
      <c r="D989">
        <v>45041.01</v>
      </c>
    </row>
    <row r="990" spans="1:4" x14ac:dyDescent="0.3">
      <c r="A990" s="73" t="s">
        <v>17</v>
      </c>
      <c r="B990" s="73"/>
      <c r="C990" s="16">
        <v>46195</v>
      </c>
      <c r="D990">
        <v>7613332.1400000006</v>
      </c>
    </row>
    <row r="991" spans="1:4" x14ac:dyDescent="0.3">
      <c r="A991" s="73" t="s">
        <v>18</v>
      </c>
      <c r="B991" s="73"/>
      <c r="C991" s="16">
        <v>46195</v>
      </c>
      <c r="D991">
        <v>69376.390000000174</v>
      </c>
    </row>
    <row r="992" spans="1:4" x14ac:dyDescent="0.3">
      <c r="A992" s="73" t="s">
        <v>19</v>
      </c>
      <c r="B992" s="73"/>
      <c r="C992" s="16">
        <v>46195</v>
      </c>
      <c r="D992">
        <v>1669.89</v>
      </c>
    </row>
    <row r="993" spans="1:4" x14ac:dyDescent="0.3">
      <c r="A993" s="73" t="s">
        <v>20</v>
      </c>
      <c r="B993" s="73"/>
      <c r="C993" s="16">
        <v>46195</v>
      </c>
      <c r="D993">
        <v>503904.80999999982</v>
      </c>
    </row>
    <row r="994" spans="1:4" x14ac:dyDescent="0.3">
      <c r="A994" s="73" t="s">
        <v>21</v>
      </c>
      <c r="B994" s="73"/>
      <c r="C994" s="16">
        <v>46195</v>
      </c>
      <c r="D994">
        <v>3325868.6899999995</v>
      </c>
    </row>
    <row r="995" spans="1:4" x14ac:dyDescent="0.3">
      <c r="A995" s="73" t="s">
        <v>22</v>
      </c>
      <c r="B995" s="73"/>
      <c r="C995" s="16">
        <v>46195</v>
      </c>
      <c r="D995">
        <v>116496.38</v>
      </c>
    </row>
    <row r="996" spans="1:4" x14ac:dyDescent="0.3">
      <c r="A996" s="73" t="s">
        <v>23</v>
      </c>
      <c r="B996" s="73"/>
      <c r="C996" s="16">
        <v>46195</v>
      </c>
      <c r="D996">
        <v>88090.37</v>
      </c>
    </row>
    <row r="997" spans="1:4" x14ac:dyDescent="0.3">
      <c r="A997" s="73" t="s">
        <v>24</v>
      </c>
      <c r="B997" s="73"/>
      <c r="C997" s="16">
        <v>46195</v>
      </c>
      <c r="D997">
        <v>1227.9699999999998</v>
      </c>
    </row>
    <row r="998" spans="1:4" x14ac:dyDescent="0.3">
      <c r="A998" s="73" t="s">
        <v>25</v>
      </c>
      <c r="B998" s="73"/>
      <c r="C998" s="16">
        <v>46195</v>
      </c>
      <c r="D998">
        <v>84.35</v>
      </c>
    </row>
    <row r="999" spans="1:4" x14ac:dyDescent="0.3">
      <c r="A999" s="73" t="s">
        <v>26</v>
      </c>
      <c r="B999" s="73"/>
      <c r="C999" s="16">
        <v>46195</v>
      </c>
      <c r="D999">
        <v>2237.77</v>
      </c>
    </row>
    <row r="1000" spans="1:4" x14ac:dyDescent="0.3">
      <c r="A1000" s="73" t="s">
        <v>27</v>
      </c>
      <c r="B1000" s="73"/>
      <c r="C1000" s="16">
        <v>46195</v>
      </c>
      <c r="D1000">
        <v>3349.94</v>
      </c>
    </row>
    <row r="1001" spans="1:4" x14ac:dyDescent="0.3">
      <c r="A1001" s="73" t="s">
        <v>28</v>
      </c>
      <c r="B1001" s="73"/>
      <c r="C1001" s="16">
        <v>46195</v>
      </c>
      <c r="D1001">
        <v>1968.99</v>
      </c>
    </row>
    <row r="1002" spans="1:4" x14ac:dyDescent="0.3">
      <c r="A1002" s="73" t="s">
        <v>29</v>
      </c>
      <c r="B1002" s="73"/>
      <c r="C1002" s="16">
        <v>46195</v>
      </c>
      <c r="D1002">
        <v>382.69000000000005</v>
      </c>
    </row>
    <row r="1003" spans="1:4" x14ac:dyDescent="0.3">
      <c r="A1003" s="73" t="s">
        <v>30</v>
      </c>
      <c r="B1003" s="73"/>
      <c r="C1003" s="16">
        <v>46195</v>
      </c>
      <c r="D1003">
        <v>1428.08</v>
      </c>
    </row>
    <row r="1004" spans="1:4" x14ac:dyDescent="0.3">
      <c r="A1004" s="73" t="s">
        <v>31</v>
      </c>
      <c r="B1004" s="73"/>
      <c r="C1004" s="16">
        <v>46195</v>
      </c>
      <c r="D1004">
        <v>31039.969999999961</v>
      </c>
    </row>
    <row r="1005" spans="1:4" x14ac:dyDescent="0.3">
      <c r="A1005" s="73" t="s">
        <v>32</v>
      </c>
      <c r="B1005" s="73"/>
      <c r="C1005" s="16">
        <v>46195</v>
      </c>
      <c r="D1005">
        <v>20321.43</v>
      </c>
    </row>
    <row r="1006" spans="1:4" x14ac:dyDescent="0.3">
      <c r="A1006" s="73" t="s">
        <v>33</v>
      </c>
      <c r="B1006" s="73"/>
      <c r="C1006" s="16">
        <v>46195</v>
      </c>
      <c r="D1006">
        <v>16681.349999999999</v>
      </c>
    </row>
    <row r="1007" spans="1:4" x14ac:dyDescent="0.3">
      <c r="A1007" s="73" t="s">
        <v>34</v>
      </c>
      <c r="B1007" s="73"/>
      <c r="C1007" s="16">
        <v>46195</v>
      </c>
      <c r="D1007">
        <v>345</v>
      </c>
    </row>
    <row r="1008" spans="1:4" x14ac:dyDescent="0.3">
      <c r="A1008" s="73" t="s">
        <v>35</v>
      </c>
      <c r="B1008" s="73"/>
      <c r="C1008" s="16">
        <v>46195</v>
      </c>
      <c r="D1008">
        <v>44816.33</v>
      </c>
    </row>
    <row r="1009" spans="1:4" x14ac:dyDescent="0.3">
      <c r="A1009" s="73" t="s">
        <v>17</v>
      </c>
      <c r="B1009" s="73"/>
      <c r="C1009" s="16">
        <v>46196</v>
      </c>
      <c r="D1009">
        <v>7613332.1400000006</v>
      </c>
    </row>
    <row r="1010" spans="1:4" x14ac:dyDescent="0.3">
      <c r="A1010" s="73" t="s">
        <v>18</v>
      </c>
      <c r="B1010" s="73"/>
      <c r="C1010" s="16">
        <v>46196</v>
      </c>
      <c r="D1010">
        <v>69376.390000000174</v>
      </c>
    </row>
    <row r="1011" spans="1:4" x14ac:dyDescent="0.3">
      <c r="A1011" s="73" t="s">
        <v>19</v>
      </c>
      <c r="B1011" s="73"/>
      <c r="C1011" s="16">
        <v>46196</v>
      </c>
      <c r="D1011">
        <v>1669.89</v>
      </c>
    </row>
    <row r="1012" spans="1:4" x14ac:dyDescent="0.3">
      <c r="A1012" s="73" t="s">
        <v>20</v>
      </c>
      <c r="B1012" s="73"/>
      <c r="C1012" s="16">
        <v>46196</v>
      </c>
      <c r="D1012">
        <v>503904.80999999982</v>
      </c>
    </row>
    <row r="1013" spans="1:4" x14ac:dyDescent="0.3">
      <c r="A1013" s="73" t="s">
        <v>21</v>
      </c>
      <c r="B1013" s="73"/>
      <c r="C1013" s="16">
        <v>46196</v>
      </c>
      <c r="D1013">
        <v>3325868.6899999995</v>
      </c>
    </row>
    <row r="1014" spans="1:4" x14ac:dyDescent="0.3">
      <c r="A1014" s="73" t="s">
        <v>22</v>
      </c>
      <c r="B1014" s="73"/>
      <c r="C1014" s="16">
        <v>46196</v>
      </c>
      <c r="D1014">
        <v>116496.38</v>
      </c>
    </row>
    <row r="1015" spans="1:4" x14ac:dyDescent="0.3">
      <c r="A1015" s="73" t="s">
        <v>23</v>
      </c>
      <c r="B1015" s="73"/>
      <c r="C1015" s="16">
        <v>46196</v>
      </c>
      <c r="D1015">
        <v>88090.37</v>
      </c>
    </row>
    <row r="1016" spans="1:4" x14ac:dyDescent="0.3">
      <c r="A1016" s="73" t="s">
        <v>24</v>
      </c>
      <c r="B1016" s="73"/>
      <c r="C1016" s="16">
        <v>46196</v>
      </c>
      <c r="D1016">
        <v>1227.9699999999998</v>
      </c>
    </row>
    <row r="1017" spans="1:4" x14ac:dyDescent="0.3">
      <c r="A1017" s="73" t="s">
        <v>25</v>
      </c>
      <c r="B1017" s="73"/>
      <c r="C1017" s="16">
        <v>46196</v>
      </c>
      <c r="D1017">
        <v>84.35</v>
      </c>
    </row>
    <row r="1018" spans="1:4" x14ac:dyDescent="0.3">
      <c r="A1018" s="73" t="s">
        <v>26</v>
      </c>
      <c r="B1018" s="73"/>
      <c r="C1018" s="16">
        <v>46196</v>
      </c>
      <c r="D1018">
        <v>2237.77</v>
      </c>
    </row>
    <row r="1019" spans="1:4" x14ac:dyDescent="0.3">
      <c r="A1019" s="73" t="s">
        <v>27</v>
      </c>
      <c r="B1019" s="73"/>
      <c r="C1019" s="16">
        <v>46196</v>
      </c>
      <c r="D1019">
        <v>3349.94</v>
      </c>
    </row>
    <row r="1020" spans="1:4" x14ac:dyDescent="0.3">
      <c r="A1020" s="73" t="s">
        <v>28</v>
      </c>
      <c r="B1020" s="73"/>
      <c r="C1020" s="16">
        <v>46196</v>
      </c>
      <c r="D1020">
        <v>1968.99</v>
      </c>
    </row>
    <row r="1021" spans="1:4" x14ac:dyDescent="0.3">
      <c r="A1021" s="73" t="s">
        <v>29</v>
      </c>
      <c r="B1021" s="73"/>
      <c r="C1021" s="16">
        <v>46196</v>
      </c>
      <c r="D1021">
        <v>382.69000000000005</v>
      </c>
    </row>
    <row r="1022" spans="1:4" x14ac:dyDescent="0.3">
      <c r="A1022" s="73" t="s">
        <v>30</v>
      </c>
      <c r="B1022" s="73"/>
      <c r="C1022" s="16">
        <v>46196</v>
      </c>
      <c r="D1022">
        <v>1428.08</v>
      </c>
    </row>
    <row r="1023" spans="1:4" x14ac:dyDescent="0.3">
      <c r="A1023" s="73" t="s">
        <v>31</v>
      </c>
      <c r="B1023" s="73"/>
      <c r="C1023" s="16">
        <v>46196</v>
      </c>
      <c r="D1023">
        <v>31039.969999999961</v>
      </c>
    </row>
    <row r="1024" spans="1:4" x14ac:dyDescent="0.3">
      <c r="A1024" s="73" t="s">
        <v>32</v>
      </c>
      <c r="B1024" s="73"/>
      <c r="C1024" s="16">
        <v>46196</v>
      </c>
      <c r="D1024">
        <v>20321.43</v>
      </c>
    </row>
    <row r="1025" spans="1:4" x14ac:dyDescent="0.3">
      <c r="A1025" s="73" t="s">
        <v>33</v>
      </c>
      <c r="B1025" s="73"/>
      <c r="C1025" s="16">
        <v>46196</v>
      </c>
      <c r="D1025">
        <v>16681.349999999999</v>
      </c>
    </row>
    <row r="1026" spans="1:4" x14ac:dyDescent="0.3">
      <c r="A1026" s="73" t="s">
        <v>34</v>
      </c>
      <c r="B1026" s="73"/>
      <c r="C1026" s="16">
        <v>46196</v>
      </c>
      <c r="D1026">
        <v>345</v>
      </c>
    </row>
    <row r="1027" spans="1:4" x14ac:dyDescent="0.3">
      <c r="A1027" s="73" t="s">
        <v>35</v>
      </c>
      <c r="B1027" s="73"/>
      <c r="C1027" s="16">
        <v>46196</v>
      </c>
      <c r="D1027">
        <v>44687.96</v>
      </c>
    </row>
    <row r="1028" spans="1:4" x14ac:dyDescent="0.3">
      <c r="A1028" s="73" t="s">
        <v>17</v>
      </c>
      <c r="B1028" s="73"/>
      <c r="C1028" s="16">
        <v>46197</v>
      </c>
      <c r="D1028">
        <v>7680401.2600000007</v>
      </c>
    </row>
    <row r="1029" spans="1:4" x14ac:dyDescent="0.3">
      <c r="A1029" s="73" t="s">
        <v>18</v>
      </c>
      <c r="B1029" s="73"/>
      <c r="C1029" s="16">
        <v>46197</v>
      </c>
      <c r="D1029">
        <v>72386.190000000177</v>
      </c>
    </row>
    <row r="1030" spans="1:4" x14ac:dyDescent="0.3">
      <c r="A1030" s="73" t="s">
        <v>19</v>
      </c>
      <c r="B1030" s="73"/>
      <c r="C1030" s="16">
        <v>46197</v>
      </c>
      <c r="D1030">
        <v>1669.89</v>
      </c>
    </row>
    <row r="1031" spans="1:4" x14ac:dyDescent="0.3">
      <c r="A1031" s="73" t="s">
        <v>20</v>
      </c>
      <c r="B1031" s="73"/>
      <c r="C1031" s="16">
        <v>46197</v>
      </c>
      <c r="D1031">
        <v>532766.72999999986</v>
      </c>
    </row>
    <row r="1032" spans="1:4" x14ac:dyDescent="0.3">
      <c r="A1032" s="73" t="s">
        <v>21</v>
      </c>
      <c r="B1032" s="73"/>
      <c r="C1032" s="16">
        <v>46197</v>
      </c>
      <c r="D1032">
        <v>3325868.6899999995</v>
      </c>
    </row>
    <row r="1033" spans="1:4" x14ac:dyDescent="0.3">
      <c r="A1033" s="73" t="s">
        <v>22</v>
      </c>
      <c r="B1033" s="73"/>
      <c r="C1033" s="16">
        <v>46197</v>
      </c>
      <c r="D1033">
        <v>116496.38</v>
      </c>
    </row>
    <row r="1034" spans="1:4" x14ac:dyDescent="0.3">
      <c r="A1034" s="73" t="s">
        <v>23</v>
      </c>
      <c r="B1034" s="73"/>
      <c r="C1034" s="16">
        <v>46197</v>
      </c>
      <c r="D1034">
        <v>88090.37</v>
      </c>
    </row>
    <row r="1035" spans="1:4" x14ac:dyDescent="0.3">
      <c r="A1035" s="73" t="s">
        <v>24</v>
      </c>
      <c r="B1035" s="73"/>
      <c r="C1035" s="16">
        <v>46197</v>
      </c>
      <c r="D1035">
        <v>1227.9699999999998</v>
      </c>
    </row>
    <row r="1036" spans="1:4" x14ac:dyDescent="0.3">
      <c r="A1036" s="73" t="s">
        <v>25</v>
      </c>
      <c r="B1036" s="73"/>
      <c r="C1036" s="16">
        <v>46197</v>
      </c>
      <c r="D1036">
        <v>84.35</v>
      </c>
    </row>
    <row r="1037" spans="1:4" x14ac:dyDescent="0.3">
      <c r="A1037" s="73" t="s">
        <v>26</v>
      </c>
      <c r="B1037" s="73"/>
      <c r="C1037" s="16">
        <v>46197</v>
      </c>
      <c r="D1037">
        <v>2237.77</v>
      </c>
    </row>
    <row r="1038" spans="1:4" x14ac:dyDescent="0.3">
      <c r="A1038" s="73" t="s">
        <v>27</v>
      </c>
      <c r="B1038" s="73"/>
      <c r="C1038" s="16">
        <v>46197</v>
      </c>
      <c r="D1038">
        <v>3349.94</v>
      </c>
    </row>
    <row r="1039" spans="1:4" x14ac:dyDescent="0.3">
      <c r="A1039" s="73" t="s">
        <v>28</v>
      </c>
      <c r="B1039" s="73"/>
      <c r="C1039" s="16">
        <v>46197</v>
      </c>
      <c r="D1039">
        <v>1968.99</v>
      </c>
    </row>
    <row r="1040" spans="1:4" x14ac:dyDescent="0.3">
      <c r="A1040" s="73" t="s">
        <v>29</v>
      </c>
      <c r="B1040" s="73"/>
      <c r="C1040" s="16">
        <v>46197</v>
      </c>
      <c r="D1040">
        <v>382.69000000000005</v>
      </c>
    </row>
    <row r="1041" spans="1:4" x14ac:dyDescent="0.3">
      <c r="A1041" s="73" t="s">
        <v>30</v>
      </c>
      <c r="B1041" s="73"/>
      <c r="C1041" s="16">
        <v>46197</v>
      </c>
      <c r="D1041">
        <v>1428.08</v>
      </c>
    </row>
    <row r="1042" spans="1:4" x14ac:dyDescent="0.3">
      <c r="A1042" s="73" t="s">
        <v>31</v>
      </c>
      <c r="B1042" s="73"/>
      <c r="C1042" s="16">
        <v>46197</v>
      </c>
      <c r="D1042">
        <v>31039.969999999961</v>
      </c>
    </row>
    <row r="1043" spans="1:4" x14ac:dyDescent="0.3">
      <c r="A1043" s="73" t="s">
        <v>32</v>
      </c>
      <c r="B1043" s="73"/>
      <c r="C1043" s="16">
        <v>46197</v>
      </c>
      <c r="D1043">
        <v>20321.43</v>
      </c>
    </row>
    <row r="1044" spans="1:4" x14ac:dyDescent="0.3">
      <c r="A1044" s="73" t="s">
        <v>33</v>
      </c>
      <c r="B1044" s="73"/>
      <c r="C1044" s="16">
        <v>46197</v>
      </c>
      <c r="D1044">
        <v>16681.349999999999</v>
      </c>
    </row>
    <row r="1045" spans="1:4" x14ac:dyDescent="0.3">
      <c r="A1045" s="73" t="s">
        <v>34</v>
      </c>
      <c r="B1045" s="73"/>
      <c r="C1045" s="16">
        <v>46197</v>
      </c>
      <c r="D1045">
        <v>345</v>
      </c>
    </row>
    <row r="1046" spans="1:4" x14ac:dyDescent="0.3">
      <c r="A1046" s="73" t="s">
        <v>35</v>
      </c>
      <c r="B1046" s="73"/>
      <c r="C1046" s="16">
        <v>46197</v>
      </c>
      <c r="D1046">
        <v>44687.96</v>
      </c>
    </row>
    <row r="1047" spans="1:4" x14ac:dyDescent="0.3">
      <c r="A1047" s="73" t="s">
        <v>17</v>
      </c>
      <c r="B1047" s="73"/>
      <c r="C1047" s="16">
        <v>46198</v>
      </c>
      <c r="D1047">
        <v>6236526.2600000007</v>
      </c>
    </row>
    <row r="1048" spans="1:4" x14ac:dyDescent="0.3">
      <c r="A1048" s="73" t="s">
        <v>18</v>
      </c>
      <c r="B1048" s="73"/>
      <c r="C1048" s="16">
        <v>46198</v>
      </c>
      <c r="D1048">
        <v>72386.190000000177</v>
      </c>
    </row>
    <row r="1049" spans="1:4" x14ac:dyDescent="0.3">
      <c r="A1049" s="73" t="s">
        <v>19</v>
      </c>
      <c r="B1049" s="73"/>
      <c r="C1049" s="16">
        <v>46198</v>
      </c>
      <c r="D1049">
        <v>1669.89</v>
      </c>
    </row>
    <row r="1050" spans="1:4" x14ac:dyDescent="0.3">
      <c r="A1050" s="73" t="s">
        <v>20</v>
      </c>
      <c r="B1050" s="73"/>
      <c r="C1050" s="16">
        <v>46198</v>
      </c>
      <c r="D1050">
        <v>472766.72999999986</v>
      </c>
    </row>
    <row r="1051" spans="1:4" x14ac:dyDescent="0.3">
      <c r="A1051" s="73" t="s">
        <v>21</v>
      </c>
      <c r="B1051" s="73"/>
      <c r="C1051" s="16">
        <v>46198</v>
      </c>
      <c r="D1051">
        <v>1933152.7099999995</v>
      </c>
    </row>
    <row r="1052" spans="1:4" x14ac:dyDescent="0.3">
      <c r="A1052" s="73" t="s">
        <v>22</v>
      </c>
      <c r="B1052" s="73"/>
      <c r="C1052" s="16">
        <v>46198</v>
      </c>
      <c r="D1052">
        <v>1996496.38</v>
      </c>
    </row>
    <row r="1053" spans="1:4" x14ac:dyDescent="0.3">
      <c r="A1053" s="73" t="s">
        <v>23</v>
      </c>
      <c r="B1053" s="73"/>
      <c r="C1053" s="16">
        <v>46198</v>
      </c>
      <c r="D1053">
        <v>88090.37</v>
      </c>
    </row>
    <row r="1054" spans="1:4" x14ac:dyDescent="0.3">
      <c r="A1054" s="73" t="s">
        <v>24</v>
      </c>
      <c r="B1054" s="73"/>
      <c r="C1054" s="16">
        <v>46198</v>
      </c>
      <c r="D1054">
        <v>1227.9699999999998</v>
      </c>
    </row>
    <row r="1055" spans="1:4" x14ac:dyDescent="0.3">
      <c r="A1055" s="73" t="s">
        <v>25</v>
      </c>
      <c r="B1055" s="73"/>
      <c r="C1055" s="16">
        <v>46198</v>
      </c>
      <c r="D1055">
        <v>84.35</v>
      </c>
    </row>
    <row r="1056" spans="1:4" x14ac:dyDescent="0.3">
      <c r="A1056" s="73" t="s">
        <v>26</v>
      </c>
      <c r="B1056" s="73"/>
      <c r="C1056" s="16">
        <v>46198</v>
      </c>
      <c r="D1056">
        <v>2237.77</v>
      </c>
    </row>
    <row r="1057" spans="1:4" x14ac:dyDescent="0.3">
      <c r="A1057" s="73" t="s">
        <v>27</v>
      </c>
      <c r="B1057" s="73"/>
      <c r="C1057" s="16">
        <v>46198</v>
      </c>
      <c r="D1057">
        <v>3349.94</v>
      </c>
    </row>
    <row r="1058" spans="1:4" x14ac:dyDescent="0.3">
      <c r="A1058" s="73" t="s">
        <v>28</v>
      </c>
      <c r="B1058" s="73"/>
      <c r="C1058" s="16">
        <v>46198</v>
      </c>
      <c r="D1058">
        <v>1968.99</v>
      </c>
    </row>
    <row r="1059" spans="1:4" x14ac:dyDescent="0.3">
      <c r="A1059" s="73" t="s">
        <v>29</v>
      </c>
      <c r="B1059" s="73"/>
      <c r="C1059" s="16">
        <v>46198</v>
      </c>
      <c r="D1059">
        <v>382.69000000000005</v>
      </c>
    </row>
    <row r="1060" spans="1:4" x14ac:dyDescent="0.3">
      <c r="A1060" s="73" t="s">
        <v>30</v>
      </c>
      <c r="B1060" s="73"/>
      <c r="C1060" s="16">
        <v>46198</v>
      </c>
      <c r="D1060">
        <v>1428.08</v>
      </c>
    </row>
    <row r="1061" spans="1:4" x14ac:dyDescent="0.3">
      <c r="A1061" s="73" t="s">
        <v>31</v>
      </c>
      <c r="B1061" s="73"/>
      <c r="C1061" s="16">
        <v>46198</v>
      </c>
      <c r="D1061">
        <v>31039.969999999961</v>
      </c>
    </row>
    <row r="1062" spans="1:4" x14ac:dyDescent="0.3">
      <c r="A1062" s="73" t="s">
        <v>32</v>
      </c>
      <c r="B1062" s="73"/>
      <c r="C1062" s="16">
        <v>46198</v>
      </c>
      <c r="D1062">
        <v>20321.43</v>
      </c>
    </row>
    <row r="1063" spans="1:4" x14ac:dyDescent="0.3">
      <c r="A1063" s="73" t="s">
        <v>33</v>
      </c>
      <c r="B1063" s="73"/>
      <c r="C1063" s="16">
        <v>46198</v>
      </c>
      <c r="D1063">
        <v>28473.599999999999</v>
      </c>
    </row>
    <row r="1064" spans="1:4" x14ac:dyDescent="0.3">
      <c r="A1064" s="73" t="s">
        <v>34</v>
      </c>
      <c r="B1064" s="73"/>
      <c r="C1064" s="16">
        <v>46198</v>
      </c>
      <c r="D1064">
        <v>345</v>
      </c>
    </row>
    <row r="1065" spans="1:4" x14ac:dyDescent="0.3">
      <c r="A1065" s="73" t="s">
        <v>35</v>
      </c>
      <c r="B1065" s="73"/>
      <c r="C1065" s="16">
        <v>46198</v>
      </c>
      <c r="D1065">
        <v>32732.080000000002</v>
      </c>
    </row>
    <row r="1066" spans="1:4" x14ac:dyDescent="0.3">
      <c r="A1066" s="73" t="s">
        <v>17</v>
      </c>
      <c r="B1066" s="73"/>
      <c r="C1066" s="16">
        <v>46199</v>
      </c>
      <c r="D1066">
        <v>6225646.2600000007</v>
      </c>
    </row>
    <row r="1067" spans="1:4" x14ac:dyDescent="0.3">
      <c r="A1067" s="73" t="s">
        <v>18</v>
      </c>
      <c r="B1067" s="73"/>
      <c r="C1067" s="16">
        <v>46199</v>
      </c>
      <c r="D1067">
        <v>72386.190000000177</v>
      </c>
    </row>
    <row r="1068" spans="1:4" x14ac:dyDescent="0.3">
      <c r="A1068" s="73" t="s">
        <v>19</v>
      </c>
      <c r="B1068" s="73"/>
      <c r="C1068" s="16">
        <v>46199</v>
      </c>
      <c r="D1068">
        <v>1669.89</v>
      </c>
    </row>
    <row r="1069" spans="1:4" x14ac:dyDescent="0.3">
      <c r="A1069" s="73" t="s">
        <v>20</v>
      </c>
      <c r="B1069" s="73"/>
      <c r="C1069" s="16">
        <v>46199</v>
      </c>
      <c r="D1069">
        <v>472766.72999999986</v>
      </c>
    </row>
    <row r="1070" spans="1:4" x14ac:dyDescent="0.3">
      <c r="A1070" s="73" t="s">
        <v>21</v>
      </c>
      <c r="B1070" s="73"/>
      <c r="C1070" s="16">
        <v>46199</v>
      </c>
      <c r="D1070">
        <v>1932389.7199999993</v>
      </c>
    </row>
    <row r="1071" spans="1:4" x14ac:dyDescent="0.3">
      <c r="A1071" s="73" t="s">
        <v>22</v>
      </c>
      <c r="B1071" s="73"/>
      <c r="C1071" s="16">
        <v>46199</v>
      </c>
      <c r="D1071">
        <v>1396496.38</v>
      </c>
    </row>
    <row r="1072" spans="1:4" x14ac:dyDescent="0.3">
      <c r="A1072" s="73" t="s">
        <v>23</v>
      </c>
      <c r="B1072" s="73"/>
      <c r="C1072" s="16">
        <v>46199</v>
      </c>
      <c r="D1072">
        <v>88090.37</v>
      </c>
    </row>
    <row r="1073" spans="1:4" x14ac:dyDescent="0.3">
      <c r="A1073" s="73" t="s">
        <v>24</v>
      </c>
      <c r="B1073" s="73"/>
      <c r="C1073" s="16">
        <v>46199</v>
      </c>
      <c r="D1073">
        <v>1227.9699999999998</v>
      </c>
    </row>
    <row r="1074" spans="1:4" x14ac:dyDescent="0.3">
      <c r="A1074" s="73" t="s">
        <v>25</v>
      </c>
      <c r="B1074" s="73"/>
      <c r="C1074" s="16">
        <v>46199</v>
      </c>
      <c r="D1074">
        <v>84.35</v>
      </c>
    </row>
    <row r="1075" spans="1:4" x14ac:dyDescent="0.3">
      <c r="A1075" s="73" t="s">
        <v>26</v>
      </c>
      <c r="B1075" s="73"/>
      <c r="C1075" s="16">
        <v>46199</v>
      </c>
      <c r="D1075">
        <v>2237.77</v>
      </c>
    </row>
    <row r="1076" spans="1:4" x14ac:dyDescent="0.3">
      <c r="A1076" s="73" t="s">
        <v>27</v>
      </c>
      <c r="B1076" s="73"/>
      <c r="C1076" s="16">
        <v>46199</v>
      </c>
      <c r="D1076">
        <v>3349.94</v>
      </c>
    </row>
    <row r="1077" spans="1:4" x14ac:dyDescent="0.3">
      <c r="A1077" s="73" t="s">
        <v>28</v>
      </c>
      <c r="B1077" s="73"/>
      <c r="C1077" s="16">
        <v>46199</v>
      </c>
      <c r="D1077">
        <v>1968.99</v>
      </c>
    </row>
    <row r="1078" spans="1:4" x14ac:dyDescent="0.3">
      <c r="A1078" s="73" t="s">
        <v>29</v>
      </c>
      <c r="B1078" s="73"/>
      <c r="C1078" s="16">
        <v>46199</v>
      </c>
      <c r="D1078">
        <v>382.69000000000005</v>
      </c>
    </row>
    <row r="1079" spans="1:4" x14ac:dyDescent="0.3">
      <c r="A1079" s="73" t="s">
        <v>30</v>
      </c>
      <c r="B1079" s="73"/>
      <c r="C1079" s="16">
        <v>46199</v>
      </c>
      <c r="D1079">
        <v>1428.08</v>
      </c>
    </row>
    <row r="1080" spans="1:4" x14ac:dyDescent="0.3">
      <c r="A1080" s="73" t="s">
        <v>31</v>
      </c>
      <c r="B1080" s="73"/>
      <c r="C1080" s="16">
        <v>46199</v>
      </c>
      <c r="D1080">
        <v>31039.969999999961</v>
      </c>
    </row>
    <row r="1081" spans="1:4" x14ac:dyDescent="0.3">
      <c r="A1081" s="73" t="s">
        <v>32</v>
      </c>
      <c r="B1081" s="73"/>
      <c r="C1081" s="16">
        <v>46199</v>
      </c>
      <c r="D1081">
        <v>20321.43</v>
      </c>
    </row>
    <row r="1082" spans="1:4" x14ac:dyDescent="0.3">
      <c r="A1082" s="73" t="s">
        <v>33</v>
      </c>
      <c r="B1082" s="73"/>
      <c r="C1082" s="16">
        <v>46199</v>
      </c>
      <c r="D1082">
        <v>28458.6</v>
      </c>
    </row>
    <row r="1083" spans="1:4" x14ac:dyDescent="0.3">
      <c r="A1083" s="73" t="s">
        <v>34</v>
      </c>
      <c r="B1083" s="73"/>
      <c r="C1083" s="16">
        <v>46199</v>
      </c>
      <c r="D1083">
        <v>345</v>
      </c>
    </row>
    <row r="1084" spans="1:4" x14ac:dyDescent="0.3">
      <c r="A1084" s="73" t="s">
        <v>35</v>
      </c>
      <c r="B1084" s="73"/>
      <c r="C1084" s="16">
        <v>46199</v>
      </c>
      <c r="D1084">
        <v>24625.29</v>
      </c>
    </row>
    <row r="1085" spans="1:4" x14ac:dyDescent="0.3">
      <c r="A1085" s="73" t="s">
        <v>17</v>
      </c>
      <c r="B1085" s="73"/>
      <c r="C1085" s="16">
        <v>46200</v>
      </c>
      <c r="D1085">
        <v>6225646.2600000007</v>
      </c>
    </row>
    <row r="1086" spans="1:4" x14ac:dyDescent="0.3">
      <c r="A1086" s="73" t="s">
        <v>18</v>
      </c>
      <c r="B1086" s="73"/>
      <c r="C1086" s="16">
        <v>46200</v>
      </c>
      <c r="D1086">
        <v>72386.190000000177</v>
      </c>
    </row>
    <row r="1087" spans="1:4" x14ac:dyDescent="0.3">
      <c r="A1087" s="73" t="s">
        <v>19</v>
      </c>
      <c r="B1087" s="73"/>
      <c r="C1087" s="16">
        <v>46200</v>
      </c>
      <c r="D1087">
        <v>1669.89</v>
      </c>
    </row>
    <row r="1088" spans="1:4" x14ac:dyDescent="0.3">
      <c r="A1088" s="73" t="s">
        <v>20</v>
      </c>
      <c r="B1088" s="73"/>
      <c r="C1088" s="16">
        <v>46200</v>
      </c>
      <c r="D1088">
        <v>472766.72999999986</v>
      </c>
    </row>
    <row r="1089" spans="1:4" x14ac:dyDescent="0.3">
      <c r="A1089" s="73" t="s">
        <v>21</v>
      </c>
      <c r="B1089" s="73"/>
      <c r="C1089" s="16">
        <v>46200</v>
      </c>
      <c r="D1089">
        <v>1932389.7199999993</v>
      </c>
    </row>
    <row r="1090" spans="1:4" x14ac:dyDescent="0.3">
      <c r="A1090" s="73" t="s">
        <v>22</v>
      </c>
      <c r="B1090" s="73"/>
      <c r="C1090" s="16">
        <v>46200</v>
      </c>
      <c r="D1090">
        <v>1396496.38</v>
      </c>
    </row>
    <row r="1091" spans="1:4" x14ac:dyDescent="0.3">
      <c r="A1091" s="73" t="s">
        <v>23</v>
      </c>
      <c r="B1091" s="73"/>
      <c r="C1091" s="16">
        <v>46200</v>
      </c>
      <c r="D1091">
        <v>88090.37</v>
      </c>
    </row>
    <row r="1092" spans="1:4" x14ac:dyDescent="0.3">
      <c r="A1092" s="73" t="s">
        <v>24</v>
      </c>
      <c r="B1092" s="73"/>
      <c r="C1092" s="16">
        <v>46200</v>
      </c>
      <c r="D1092">
        <v>1227.9699999999998</v>
      </c>
    </row>
    <row r="1093" spans="1:4" x14ac:dyDescent="0.3">
      <c r="A1093" s="73" t="s">
        <v>25</v>
      </c>
      <c r="B1093" s="73"/>
      <c r="C1093" s="16">
        <v>46200</v>
      </c>
      <c r="D1093">
        <v>84.35</v>
      </c>
    </row>
    <row r="1094" spans="1:4" x14ac:dyDescent="0.3">
      <c r="A1094" s="73" t="s">
        <v>26</v>
      </c>
      <c r="B1094" s="73"/>
      <c r="C1094" s="16">
        <v>46200</v>
      </c>
      <c r="D1094">
        <v>2237.77</v>
      </c>
    </row>
    <row r="1095" spans="1:4" x14ac:dyDescent="0.3">
      <c r="A1095" s="73" t="s">
        <v>27</v>
      </c>
      <c r="B1095" s="73"/>
      <c r="C1095" s="16">
        <v>46200</v>
      </c>
      <c r="D1095">
        <v>3349.94</v>
      </c>
    </row>
    <row r="1096" spans="1:4" x14ac:dyDescent="0.3">
      <c r="A1096" s="73" t="s">
        <v>28</v>
      </c>
      <c r="B1096" s="73"/>
      <c r="C1096" s="16">
        <v>46200</v>
      </c>
      <c r="D1096">
        <v>1968.99</v>
      </c>
    </row>
    <row r="1097" spans="1:4" x14ac:dyDescent="0.3">
      <c r="A1097" s="73" t="s">
        <v>29</v>
      </c>
      <c r="B1097" s="73"/>
      <c r="C1097" s="16">
        <v>46200</v>
      </c>
      <c r="D1097">
        <v>382.69000000000005</v>
      </c>
    </row>
    <row r="1098" spans="1:4" x14ac:dyDescent="0.3">
      <c r="A1098" s="73" t="s">
        <v>30</v>
      </c>
      <c r="B1098" s="73"/>
      <c r="C1098" s="16">
        <v>46200</v>
      </c>
      <c r="D1098">
        <v>1428.08</v>
      </c>
    </row>
    <row r="1099" spans="1:4" x14ac:dyDescent="0.3">
      <c r="A1099" s="73" t="s">
        <v>31</v>
      </c>
      <c r="B1099" s="73"/>
      <c r="C1099" s="16">
        <v>46200</v>
      </c>
      <c r="D1099">
        <v>31039.969999999961</v>
      </c>
    </row>
    <row r="1100" spans="1:4" x14ac:dyDescent="0.3">
      <c r="A1100" s="73" t="s">
        <v>32</v>
      </c>
      <c r="B1100" s="73"/>
      <c r="C1100" s="16">
        <v>46200</v>
      </c>
      <c r="D1100">
        <v>20321.43</v>
      </c>
    </row>
    <row r="1101" spans="1:4" x14ac:dyDescent="0.3">
      <c r="A1101" s="73" t="s">
        <v>33</v>
      </c>
      <c r="B1101" s="73"/>
      <c r="C1101" s="16">
        <v>46200</v>
      </c>
      <c r="D1101">
        <v>28458.6</v>
      </c>
    </row>
    <row r="1102" spans="1:4" x14ac:dyDescent="0.3">
      <c r="A1102" s="73" t="s">
        <v>34</v>
      </c>
      <c r="B1102" s="73"/>
      <c r="C1102" s="16">
        <v>46200</v>
      </c>
      <c r="D1102">
        <v>345</v>
      </c>
    </row>
    <row r="1103" spans="1:4" x14ac:dyDescent="0.3">
      <c r="A1103" s="73" t="s">
        <v>35</v>
      </c>
      <c r="B1103" s="73"/>
      <c r="C1103" s="16">
        <v>46200</v>
      </c>
      <c r="D1103">
        <v>24625.29</v>
      </c>
    </row>
    <row r="1104" spans="1:4" x14ac:dyDescent="0.3">
      <c r="A1104" s="73" t="s">
        <v>17</v>
      </c>
      <c r="B1104" s="73"/>
      <c r="C1104" s="16">
        <v>46201</v>
      </c>
      <c r="D1104">
        <v>6225646.2600000007</v>
      </c>
    </row>
    <row r="1105" spans="1:4" x14ac:dyDescent="0.3">
      <c r="A1105" s="73" t="s">
        <v>18</v>
      </c>
      <c r="B1105" s="73"/>
      <c r="C1105" s="16">
        <v>46201</v>
      </c>
      <c r="D1105">
        <v>72386.190000000177</v>
      </c>
    </row>
    <row r="1106" spans="1:4" x14ac:dyDescent="0.3">
      <c r="A1106" s="73" t="s">
        <v>19</v>
      </c>
      <c r="B1106" s="73"/>
      <c r="C1106" s="16">
        <v>46201</v>
      </c>
      <c r="D1106">
        <v>1669.89</v>
      </c>
    </row>
    <row r="1107" spans="1:4" x14ac:dyDescent="0.3">
      <c r="A1107" s="73" t="s">
        <v>20</v>
      </c>
      <c r="B1107" s="73"/>
      <c r="C1107" s="16">
        <v>46201</v>
      </c>
      <c r="D1107">
        <v>472766.72999999986</v>
      </c>
    </row>
    <row r="1108" spans="1:4" x14ac:dyDescent="0.3">
      <c r="A1108" s="73" t="s">
        <v>21</v>
      </c>
      <c r="B1108" s="73"/>
      <c r="C1108" s="16">
        <v>46201</v>
      </c>
      <c r="D1108">
        <v>1932389.7199999993</v>
      </c>
    </row>
    <row r="1109" spans="1:4" x14ac:dyDescent="0.3">
      <c r="A1109" s="73" t="s">
        <v>22</v>
      </c>
      <c r="B1109" s="73"/>
      <c r="C1109" s="16">
        <v>46201</v>
      </c>
      <c r="D1109">
        <v>1396496.38</v>
      </c>
    </row>
    <row r="1110" spans="1:4" x14ac:dyDescent="0.3">
      <c r="A1110" s="73" t="s">
        <v>23</v>
      </c>
      <c r="B1110" s="73"/>
      <c r="C1110" s="16">
        <v>46201</v>
      </c>
      <c r="D1110">
        <v>88090.37</v>
      </c>
    </row>
    <row r="1111" spans="1:4" x14ac:dyDescent="0.3">
      <c r="A1111" s="73" t="s">
        <v>24</v>
      </c>
      <c r="B1111" s="73"/>
      <c r="C1111" s="16">
        <v>46201</v>
      </c>
      <c r="D1111">
        <v>1227.9699999999998</v>
      </c>
    </row>
    <row r="1112" spans="1:4" x14ac:dyDescent="0.3">
      <c r="A1112" s="73" t="s">
        <v>25</v>
      </c>
      <c r="B1112" s="73"/>
      <c r="C1112" s="16">
        <v>46201</v>
      </c>
      <c r="D1112">
        <v>84.35</v>
      </c>
    </row>
    <row r="1113" spans="1:4" x14ac:dyDescent="0.3">
      <c r="A1113" s="73" t="s">
        <v>26</v>
      </c>
      <c r="B1113" s="73"/>
      <c r="C1113" s="16">
        <v>46201</v>
      </c>
      <c r="D1113">
        <v>2237.77</v>
      </c>
    </row>
    <row r="1114" spans="1:4" x14ac:dyDescent="0.3">
      <c r="A1114" s="73" t="s">
        <v>27</v>
      </c>
      <c r="B1114" s="73"/>
      <c r="C1114" s="16">
        <v>46201</v>
      </c>
      <c r="D1114">
        <v>3349.94</v>
      </c>
    </row>
    <row r="1115" spans="1:4" x14ac:dyDescent="0.3">
      <c r="A1115" s="73" t="s">
        <v>28</v>
      </c>
      <c r="B1115" s="73"/>
      <c r="C1115" s="16">
        <v>46201</v>
      </c>
      <c r="D1115">
        <v>1968.99</v>
      </c>
    </row>
    <row r="1116" spans="1:4" x14ac:dyDescent="0.3">
      <c r="A1116" s="73" t="s">
        <v>29</v>
      </c>
      <c r="B1116" s="73"/>
      <c r="C1116" s="16">
        <v>46201</v>
      </c>
      <c r="D1116">
        <v>382.69000000000005</v>
      </c>
    </row>
    <row r="1117" spans="1:4" x14ac:dyDescent="0.3">
      <c r="A1117" s="73" t="s">
        <v>30</v>
      </c>
      <c r="B1117" s="73"/>
      <c r="C1117" s="16">
        <v>46201</v>
      </c>
      <c r="D1117">
        <v>1428.08</v>
      </c>
    </row>
    <row r="1118" spans="1:4" x14ac:dyDescent="0.3">
      <c r="A1118" s="73" t="s">
        <v>31</v>
      </c>
      <c r="B1118" s="73"/>
      <c r="C1118" s="16">
        <v>46201</v>
      </c>
      <c r="D1118">
        <v>31039.969999999961</v>
      </c>
    </row>
    <row r="1119" spans="1:4" x14ac:dyDescent="0.3">
      <c r="A1119" s="73" t="s">
        <v>32</v>
      </c>
      <c r="B1119" s="73"/>
      <c r="C1119" s="16">
        <v>46201</v>
      </c>
      <c r="D1119">
        <v>20321.43</v>
      </c>
    </row>
    <row r="1120" spans="1:4" x14ac:dyDescent="0.3">
      <c r="A1120" s="73" t="s">
        <v>33</v>
      </c>
      <c r="B1120" s="73"/>
      <c r="C1120" s="16">
        <v>46201</v>
      </c>
      <c r="D1120">
        <v>28458.6</v>
      </c>
    </row>
    <row r="1121" spans="1:4" x14ac:dyDescent="0.3">
      <c r="A1121" s="73" t="s">
        <v>34</v>
      </c>
      <c r="B1121" s="73"/>
      <c r="C1121" s="16">
        <v>46201</v>
      </c>
      <c r="D1121">
        <v>345</v>
      </c>
    </row>
    <row r="1122" spans="1:4" x14ac:dyDescent="0.3">
      <c r="A1122" s="73" t="s">
        <v>35</v>
      </c>
      <c r="B1122" s="73"/>
      <c r="C1122" s="16">
        <v>46201</v>
      </c>
      <c r="D1122">
        <v>24625.29</v>
      </c>
    </row>
    <row r="1123" spans="1:4" x14ac:dyDescent="0.3">
      <c r="A1123" s="73" t="s">
        <v>17</v>
      </c>
      <c r="B1123" s="73"/>
      <c r="C1123" s="16">
        <v>46202</v>
      </c>
      <c r="D1123">
        <v>6236765.3600000013</v>
      </c>
    </row>
    <row r="1124" spans="1:4" x14ac:dyDescent="0.3">
      <c r="A1124" s="73" t="s">
        <v>18</v>
      </c>
      <c r="B1124" s="73"/>
      <c r="C1124" s="16">
        <v>46202</v>
      </c>
      <c r="D1124">
        <v>72386.190000000177</v>
      </c>
    </row>
    <row r="1125" spans="1:4" x14ac:dyDescent="0.3">
      <c r="A1125" s="73" t="s">
        <v>19</v>
      </c>
      <c r="B1125" s="73"/>
      <c r="C1125" s="16">
        <v>46202</v>
      </c>
      <c r="D1125">
        <v>1669.89</v>
      </c>
    </row>
    <row r="1126" spans="1:4" x14ac:dyDescent="0.3">
      <c r="A1126" s="73" t="s">
        <v>20</v>
      </c>
      <c r="B1126" s="73"/>
      <c r="C1126" s="16">
        <v>46202</v>
      </c>
      <c r="D1126">
        <v>489745.62999999989</v>
      </c>
    </row>
    <row r="1127" spans="1:4" x14ac:dyDescent="0.3">
      <c r="A1127" s="73" t="s">
        <v>21</v>
      </c>
      <c r="B1127" s="73"/>
      <c r="C1127" s="16">
        <v>46202</v>
      </c>
      <c r="D1127">
        <v>1768167.9199999995</v>
      </c>
    </row>
    <row r="1128" spans="1:4" x14ac:dyDescent="0.3">
      <c r="A1128" s="73" t="s">
        <v>22</v>
      </c>
      <c r="B1128" s="73"/>
      <c r="C1128" s="16">
        <v>46202</v>
      </c>
      <c r="D1128">
        <v>396496.38</v>
      </c>
    </row>
    <row r="1129" spans="1:4" x14ac:dyDescent="0.3">
      <c r="A1129" s="73" t="s">
        <v>23</v>
      </c>
      <c r="B1129" s="73"/>
      <c r="C1129" s="16">
        <v>46202</v>
      </c>
      <c r="D1129">
        <v>88090.37</v>
      </c>
    </row>
    <row r="1130" spans="1:4" x14ac:dyDescent="0.3">
      <c r="A1130" s="73" t="s">
        <v>24</v>
      </c>
      <c r="B1130" s="73"/>
      <c r="C1130" s="16">
        <v>46202</v>
      </c>
      <c r="D1130">
        <v>1227.9699999999998</v>
      </c>
    </row>
    <row r="1131" spans="1:4" x14ac:dyDescent="0.3">
      <c r="A1131" s="73" t="s">
        <v>25</v>
      </c>
      <c r="B1131" s="73"/>
      <c r="C1131" s="16">
        <v>46202</v>
      </c>
      <c r="D1131">
        <v>84.35</v>
      </c>
    </row>
    <row r="1132" spans="1:4" x14ac:dyDescent="0.3">
      <c r="A1132" s="73" t="s">
        <v>26</v>
      </c>
      <c r="B1132" s="73"/>
      <c r="C1132" s="16">
        <v>46202</v>
      </c>
      <c r="D1132">
        <v>2237.77</v>
      </c>
    </row>
    <row r="1133" spans="1:4" x14ac:dyDescent="0.3">
      <c r="A1133" s="73" t="s">
        <v>27</v>
      </c>
      <c r="B1133" s="73"/>
      <c r="C1133" s="16">
        <v>46202</v>
      </c>
      <c r="D1133">
        <v>3349.94</v>
      </c>
    </row>
    <row r="1134" spans="1:4" x14ac:dyDescent="0.3">
      <c r="A1134" s="73" t="s">
        <v>28</v>
      </c>
      <c r="B1134" s="73"/>
      <c r="C1134" s="16">
        <v>46202</v>
      </c>
      <c r="D1134">
        <v>1968.99</v>
      </c>
    </row>
    <row r="1135" spans="1:4" x14ac:dyDescent="0.3">
      <c r="A1135" s="73" t="s">
        <v>29</v>
      </c>
      <c r="B1135" s="73"/>
      <c r="C1135" s="16">
        <v>46202</v>
      </c>
      <c r="D1135">
        <v>382.69000000000005</v>
      </c>
    </row>
    <row r="1136" spans="1:4" x14ac:dyDescent="0.3">
      <c r="A1136" s="73" t="s">
        <v>30</v>
      </c>
      <c r="B1136" s="73"/>
      <c r="C1136" s="16">
        <v>46202</v>
      </c>
      <c r="D1136">
        <v>1428.08</v>
      </c>
    </row>
    <row r="1137" spans="1:4" x14ac:dyDescent="0.3">
      <c r="A1137" s="73" t="s">
        <v>31</v>
      </c>
      <c r="B1137" s="73"/>
      <c r="C1137" s="16">
        <v>46202</v>
      </c>
      <c r="D1137">
        <v>31039.969999999961</v>
      </c>
    </row>
    <row r="1138" spans="1:4" x14ac:dyDescent="0.3">
      <c r="A1138" s="73" t="s">
        <v>32</v>
      </c>
      <c r="B1138" s="73"/>
      <c r="C1138" s="16">
        <v>46202</v>
      </c>
      <c r="D1138">
        <v>20321.43</v>
      </c>
    </row>
    <row r="1139" spans="1:4" x14ac:dyDescent="0.3">
      <c r="A1139" s="73" t="s">
        <v>33</v>
      </c>
      <c r="B1139" s="73"/>
      <c r="C1139" s="16">
        <v>46202</v>
      </c>
      <c r="D1139">
        <v>28458.6</v>
      </c>
    </row>
    <row r="1140" spans="1:4" x14ac:dyDescent="0.3">
      <c r="A1140" s="73" t="s">
        <v>34</v>
      </c>
      <c r="B1140" s="73"/>
      <c r="C1140" s="16">
        <v>46202</v>
      </c>
      <c r="D1140">
        <v>345</v>
      </c>
    </row>
    <row r="1141" spans="1:4" x14ac:dyDescent="0.3">
      <c r="A1141" s="73" t="s">
        <v>35</v>
      </c>
      <c r="B1141" s="73"/>
      <c r="C1141" s="16">
        <v>46202</v>
      </c>
      <c r="D1141">
        <v>18579.43</v>
      </c>
    </row>
    <row r="1142" spans="1:4" x14ac:dyDescent="0.3">
      <c r="A1142" s="73" t="s">
        <v>17</v>
      </c>
      <c r="B1142" s="73"/>
      <c r="C1142" s="16">
        <v>46203</v>
      </c>
      <c r="D1142">
        <v>6233176.3000000007</v>
      </c>
    </row>
    <row r="1143" spans="1:4" x14ac:dyDescent="0.3">
      <c r="A1143" s="73" t="s">
        <v>18</v>
      </c>
      <c r="B1143" s="73"/>
      <c r="C1143" s="16">
        <v>46203</v>
      </c>
      <c r="D1143">
        <v>79139.680000000168</v>
      </c>
    </row>
    <row r="1144" spans="1:4" x14ac:dyDescent="0.3">
      <c r="A1144" s="73" t="s">
        <v>19</v>
      </c>
      <c r="B1144" s="73"/>
      <c r="C1144" s="16">
        <v>46203</v>
      </c>
      <c r="D1144">
        <v>1669.89</v>
      </c>
    </row>
    <row r="1145" spans="1:4" x14ac:dyDescent="0.3">
      <c r="A1145" s="73" t="s">
        <v>20</v>
      </c>
      <c r="B1145" s="73"/>
      <c r="C1145" s="16">
        <v>46203</v>
      </c>
      <c r="D1145">
        <v>489745.62999999989</v>
      </c>
    </row>
    <row r="1146" spans="1:4" x14ac:dyDescent="0.3">
      <c r="A1146" s="73" t="s">
        <v>21</v>
      </c>
      <c r="B1146" s="73"/>
      <c r="C1146" s="16">
        <v>46203</v>
      </c>
      <c r="D1146">
        <v>1696284.7299999995</v>
      </c>
    </row>
    <row r="1147" spans="1:4" x14ac:dyDescent="0.3">
      <c r="A1147" s="73" t="s">
        <v>22</v>
      </c>
      <c r="B1147" s="73"/>
      <c r="C1147" s="16">
        <v>46203</v>
      </c>
      <c r="D1147">
        <v>390496.38</v>
      </c>
    </row>
    <row r="1148" spans="1:4" x14ac:dyDescent="0.3">
      <c r="A1148" s="73" t="s">
        <v>23</v>
      </c>
      <c r="B1148" s="73"/>
      <c r="C1148" s="16">
        <v>46203</v>
      </c>
      <c r="D1148">
        <v>88090.37</v>
      </c>
    </row>
    <row r="1149" spans="1:4" x14ac:dyDescent="0.3">
      <c r="A1149" s="73" t="s">
        <v>24</v>
      </c>
      <c r="B1149" s="73"/>
      <c r="C1149" s="16">
        <v>46203</v>
      </c>
      <c r="D1149">
        <v>1227.9699999999998</v>
      </c>
    </row>
    <row r="1150" spans="1:4" x14ac:dyDescent="0.3">
      <c r="A1150" s="73" t="s">
        <v>25</v>
      </c>
      <c r="B1150" s="73"/>
      <c r="C1150" s="16">
        <v>46203</v>
      </c>
      <c r="D1150">
        <v>84.35</v>
      </c>
    </row>
    <row r="1151" spans="1:4" x14ac:dyDescent="0.3">
      <c r="A1151" s="73" t="s">
        <v>26</v>
      </c>
      <c r="B1151" s="73"/>
      <c r="C1151" s="16">
        <v>46203</v>
      </c>
      <c r="D1151">
        <v>2237.77</v>
      </c>
    </row>
    <row r="1152" spans="1:4" x14ac:dyDescent="0.3">
      <c r="A1152" s="73" t="s">
        <v>27</v>
      </c>
      <c r="B1152" s="73"/>
      <c r="C1152" s="16">
        <v>46203</v>
      </c>
      <c r="D1152">
        <v>3349.94</v>
      </c>
    </row>
    <row r="1153" spans="1:4" x14ac:dyDescent="0.3">
      <c r="A1153" s="73" t="s">
        <v>28</v>
      </c>
      <c r="B1153" s="73"/>
      <c r="C1153" s="16">
        <v>46203</v>
      </c>
      <c r="D1153">
        <v>1968.99</v>
      </c>
    </row>
    <row r="1154" spans="1:4" x14ac:dyDescent="0.3">
      <c r="A1154" s="73" t="s">
        <v>29</v>
      </c>
      <c r="B1154" s="73"/>
      <c r="C1154" s="16">
        <v>46203</v>
      </c>
      <c r="D1154">
        <v>382.69000000000005</v>
      </c>
    </row>
    <row r="1155" spans="1:4" x14ac:dyDescent="0.3">
      <c r="A1155" s="73" t="s">
        <v>30</v>
      </c>
      <c r="B1155" s="73"/>
      <c r="C1155" s="16">
        <v>46203</v>
      </c>
      <c r="D1155">
        <v>1428.08</v>
      </c>
    </row>
    <row r="1156" spans="1:4" x14ac:dyDescent="0.3">
      <c r="A1156" s="73" t="s">
        <v>31</v>
      </c>
      <c r="B1156" s="73"/>
      <c r="C1156" s="16">
        <v>46203</v>
      </c>
      <c r="D1156">
        <v>31039.969999999961</v>
      </c>
    </row>
    <row r="1157" spans="1:4" x14ac:dyDescent="0.3">
      <c r="A1157" s="73" t="s">
        <v>32</v>
      </c>
      <c r="B1157" s="73"/>
      <c r="C1157" s="16">
        <v>46203</v>
      </c>
      <c r="D1157">
        <v>20321.43</v>
      </c>
    </row>
    <row r="1158" spans="1:4" x14ac:dyDescent="0.3">
      <c r="A1158" s="73" t="s">
        <v>33</v>
      </c>
      <c r="B1158" s="73"/>
      <c r="C1158" s="16">
        <v>46203</v>
      </c>
      <c r="D1158">
        <v>28458.6</v>
      </c>
    </row>
    <row r="1159" spans="1:4" x14ac:dyDescent="0.3">
      <c r="A1159" s="73" t="s">
        <v>34</v>
      </c>
      <c r="B1159" s="73"/>
      <c r="C1159" s="16">
        <v>46203</v>
      </c>
      <c r="D1159">
        <v>345</v>
      </c>
    </row>
    <row r="1160" spans="1:4" x14ac:dyDescent="0.3">
      <c r="A1160" s="73" t="s">
        <v>35</v>
      </c>
      <c r="B1160" s="73"/>
      <c r="C1160" s="16">
        <v>46203</v>
      </c>
      <c r="D1160">
        <v>18579.43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0304C50-B0B1-492D-848A-1572471672B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Saldos Iniciales</vt:lpstr>
      <vt:lpstr>Listas</vt:lpstr>
      <vt:lpstr>Movimientos</vt:lpstr>
      <vt:lpstr>SaldoBanco</vt:lpstr>
      <vt:lpstr>Control de Saldos</vt:lpstr>
      <vt:lpstr>Saldos Diarios</vt:lpstr>
      <vt:lpstr>Lista diaria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Renzo Fernando Tomosada Rodriguez</cp:lastModifiedBy>
  <cp:revision>0</cp:revision>
  <dcterms:created xsi:type="dcterms:W3CDTF">2026-05-29T14:38:40Z</dcterms:created>
  <dcterms:modified xsi:type="dcterms:W3CDTF">2026-07-01T22:34:51Z</dcterms:modified>
  <dc:language>en-US</dc:language>
</cp:coreProperties>
</file>