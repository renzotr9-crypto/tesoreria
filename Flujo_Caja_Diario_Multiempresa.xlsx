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71" documentId="8_{BBC9EA4E-7F3B-475F-B61B-890F681C3A1C}" xr6:coauthVersionLast="47" xr6:coauthVersionMax="47" xr10:uidLastSave="{2E4F3E8A-AEE9-4380-86AC-0D5071F2F0E8}"/>
  <bookViews>
    <workbookView xWindow="11520" yWindow="0" windowWidth="11520" windowHeight="12360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diaria'!$A$1:$D$2661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1" i="6" l="1"/>
  <c r="C141" i="6"/>
  <c r="D141" i="6"/>
  <c r="E141" i="6"/>
  <c r="F141" i="6"/>
  <c r="G141" i="6"/>
  <c r="V141" i="6" s="1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/>
  <c r="N972" i="1"/>
  <c r="O972" i="1"/>
  <c r="P972" i="1"/>
  <c r="N973" i="1"/>
  <c r="O973" i="1"/>
  <c r="P973" i="1" s="1"/>
  <c r="N974" i="1"/>
  <c r="O974" i="1"/>
  <c r="P974" i="1" s="1"/>
  <c r="N975" i="1"/>
  <c r="O975" i="1"/>
  <c r="P975" i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/>
  <c r="N980" i="1"/>
  <c r="O980" i="1"/>
  <c r="P980" i="1"/>
  <c r="N981" i="1"/>
  <c r="O981" i="1"/>
  <c r="P981" i="1" s="1"/>
  <c r="N982" i="1"/>
  <c r="O982" i="1"/>
  <c r="P982" i="1" s="1"/>
  <c r="N983" i="1"/>
  <c r="O983" i="1"/>
  <c r="P983" i="1"/>
  <c r="N984" i="1"/>
  <c r="O984" i="1"/>
  <c r="P984" i="1" s="1"/>
  <c r="N985" i="1"/>
  <c r="O985" i="1"/>
  <c r="P985" i="1" s="1"/>
  <c r="N986" i="1"/>
  <c r="O986" i="1"/>
  <c r="P986" i="1" s="1"/>
  <c r="N987" i="1"/>
  <c r="O987" i="1"/>
  <c r="P987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T26" i="3"/>
  <c r="J33" i="3"/>
  <c r="P26" i="3"/>
  <c r="K11" i="3"/>
  <c r="J24" i="3"/>
  <c r="K33" i="3"/>
  <c r="O26" i="3"/>
  <c r="Y11" i="3"/>
  <c r="J26" i="3"/>
  <c r="J11" i="3"/>
  <c r="J9" i="3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A134" i="6"/>
  <c r="A135" i="6"/>
  <c r="A136" i="6"/>
  <c r="A137" i="6"/>
  <c r="A138" i="6" s="1"/>
  <c r="A139" i="6" s="1"/>
  <c r="A140" i="6" s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P954" i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A132" i="6"/>
  <c r="A133" i="6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M898" i="1" s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894" i="1" l="1"/>
  <c r="M751" i="1"/>
  <c r="M908" i="1"/>
  <c r="M900" i="1"/>
  <c r="Y19" i="3"/>
  <c r="M794" i="1"/>
  <c r="M910" i="1"/>
  <c r="M902" i="1"/>
  <c r="M860" i="1"/>
  <c r="M907" i="1"/>
  <c r="M899" i="1"/>
  <c r="Y34" i="3"/>
  <c r="Y5" i="3"/>
  <c r="Y31" i="3"/>
  <c r="Y33" i="3"/>
  <c r="Y26" i="3"/>
  <c r="Y35" i="3"/>
  <c r="Y24" i="3"/>
  <c r="Y12" i="3"/>
  <c r="Y3" i="3"/>
  <c r="Y29" i="3"/>
  <c r="M906" i="1"/>
  <c r="Y32" i="3"/>
  <c r="Y2" i="3"/>
  <c r="M861" i="1"/>
  <c r="M909" i="1"/>
  <c r="M901" i="1"/>
  <c r="M893" i="1"/>
  <c r="Y9" i="3"/>
  <c r="M791" i="1"/>
  <c r="O13" i="3"/>
  <c r="J13" i="3"/>
  <c r="U13" i="3"/>
  <c r="M905" i="1"/>
  <c r="M897" i="1"/>
  <c r="T8" i="3"/>
  <c r="M790" i="1"/>
  <c r="O4" i="3"/>
  <c r="M904" i="1"/>
  <c r="M896" i="1"/>
  <c r="M725" i="1"/>
  <c r="K20" i="3"/>
  <c r="M903" i="1"/>
  <c r="M89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U12" i="3" l="1"/>
  <c r="U9" i="3"/>
  <c r="T3" i="3"/>
  <c r="T12" i="3"/>
  <c r="U8" i="3"/>
  <c r="T32" i="3"/>
  <c r="U2" i="3"/>
  <c r="T20" i="3"/>
  <c r="T2" i="3"/>
  <c r="T34" i="3"/>
  <c r="T35" i="3"/>
  <c r="T5" i="3"/>
  <c r="T24" i="3"/>
  <c r="T9" i="3"/>
  <c r="T29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M530" i="1" s="1"/>
  <c r="I476" i="1"/>
  <c r="I515" i="1"/>
  <c r="I529" i="1"/>
  <c r="C476" i="1"/>
  <c r="T21" i="3" s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T27" i="3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M480" i="1" s="1"/>
  <c r="C481" i="1"/>
  <c r="C482" i="1"/>
  <c r="C483" i="1"/>
  <c r="C485" i="1"/>
  <c r="M481" i="1" l="1"/>
  <c r="M489" i="1"/>
  <c r="M890" i="1"/>
  <c r="M892" i="1"/>
  <c r="M749" i="1"/>
  <c r="M748" i="1"/>
  <c r="M891" i="1"/>
  <c r="M755" i="1"/>
  <c r="M750" i="1"/>
  <c r="M754" i="1"/>
  <c r="M753" i="1"/>
  <c r="M474" i="1"/>
  <c r="M536" i="1"/>
  <c r="Z27" i="3"/>
  <c r="O27" i="3"/>
  <c r="Y27" i="3"/>
  <c r="M515" i="1"/>
  <c r="O3" i="3"/>
  <c r="U29" i="3"/>
  <c r="M485" i="1"/>
  <c r="M473" i="1"/>
  <c r="M476" i="1"/>
  <c r="Y21" i="3"/>
  <c r="K21" i="3"/>
  <c r="M695" i="1"/>
  <c r="M726" i="1"/>
  <c r="M483" i="1"/>
  <c r="M444" i="1"/>
  <c r="M482" i="1"/>
  <c r="U11" i="3"/>
  <c r="U34" i="3"/>
  <c r="U3" i="3"/>
  <c r="U21" i="3"/>
  <c r="U19" i="3"/>
  <c r="U5" i="3"/>
  <c r="U4" i="3"/>
  <c r="U24" i="3"/>
  <c r="U20" i="3"/>
  <c r="U32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15" i="1" l="1"/>
  <c r="M952" i="1"/>
  <c r="M553" i="1"/>
  <c r="M535" i="1"/>
  <c r="M581" i="1"/>
  <c r="M625" i="1"/>
  <c r="M658" i="1"/>
  <c r="M533" i="1"/>
  <c r="M582" i="1"/>
  <c r="M929" i="1"/>
  <c r="M572" i="1"/>
  <c r="M616" i="1"/>
  <c r="M520" i="1"/>
  <c r="M689" i="1"/>
  <c r="M620" i="1"/>
  <c r="M968" i="1"/>
  <c r="M624" i="1"/>
  <c r="M641" i="1"/>
  <c r="M574" i="1"/>
  <c r="M588" i="1"/>
  <c r="M651" i="1"/>
  <c r="P2" i="3"/>
  <c r="M628" i="1"/>
  <c r="M531" i="1"/>
  <c r="M552" i="1"/>
  <c r="M928" i="1"/>
  <c r="M649" i="1"/>
  <c r="M659" i="1"/>
  <c r="M550" i="1"/>
  <c r="M614" i="1"/>
  <c r="M661" i="1"/>
  <c r="M817" i="1"/>
  <c r="M622" i="1"/>
  <c r="M640" i="1"/>
  <c r="M573" i="1"/>
  <c r="M626" i="1"/>
  <c r="M958" i="1"/>
  <c r="M648" i="1"/>
  <c r="M589" i="1"/>
  <c r="M551" i="1"/>
  <c r="M534" i="1"/>
  <c r="M959" i="1"/>
  <c r="M583" i="1"/>
  <c r="M623" i="1"/>
  <c r="M587" i="1"/>
  <c r="M619" i="1"/>
  <c r="M532" i="1"/>
  <c r="M660" i="1"/>
  <c r="M621" i="1"/>
  <c r="M957" i="1"/>
  <c r="M821" i="1"/>
  <c r="M617" i="1"/>
  <c r="M650" i="1"/>
  <c r="M627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38" i="1" l="1"/>
  <c r="T23" i="3"/>
  <c r="U23" i="3"/>
  <c r="M872" i="1"/>
  <c r="M670" i="1"/>
  <c r="P19" i="3"/>
  <c r="P3" i="3"/>
  <c r="P9" i="3"/>
  <c r="M437" i="1"/>
  <c r="U22" i="3"/>
  <c r="T22" i="3"/>
  <c r="Y22" i="3"/>
  <c r="Z22" i="3"/>
  <c r="M837" i="1"/>
  <c r="M871" i="1"/>
  <c r="M669" i="1"/>
  <c r="M439" i="1"/>
  <c r="P28" i="3"/>
  <c r="O28" i="3"/>
  <c r="J28" i="3"/>
  <c r="M873" i="1"/>
  <c r="T28" i="3"/>
  <c r="M671" i="1"/>
  <c r="O34" i="3"/>
  <c r="M462" i="1"/>
  <c r="O33" i="3"/>
  <c r="M922" i="1"/>
  <c r="M921" i="1"/>
  <c r="M784" i="1"/>
  <c r="M717" i="1"/>
  <c r="M718" i="1"/>
  <c r="M783" i="1"/>
  <c r="M631" i="1"/>
  <c r="M630" i="1"/>
  <c r="P8" i="3"/>
  <c r="P32" i="3"/>
  <c r="Z31" i="3"/>
  <c r="O31" i="3"/>
  <c r="P31" i="3"/>
  <c r="M441" i="1"/>
  <c r="Z30" i="3"/>
  <c r="T30" i="3"/>
  <c r="J30" i="3"/>
  <c r="Y30" i="3"/>
  <c r="M875" i="1"/>
  <c r="M673" i="1"/>
  <c r="P12" i="3"/>
  <c r="O9" i="3"/>
  <c r="M510" i="1"/>
  <c r="O35" i="3"/>
  <c r="O30" i="3"/>
  <c r="O20" i="3"/>
  <c r="O2" i="3"/>
  <c r="O22" i="3"/>
  <c r="O21" i="3"/>
  <c r="O8" i="3"/>
  <c r="P33" i="3"/>
  <c r="P13" i="3"/>
  <c r="P24" i="3"/>
  <c r="P34" i="3"/>
  <c r="P29" i="3"/>
  <c r="Z29" i="3"/>
  <c r="O29" i="3"/>
  <c r="O12" i="3"/>
  <c r="M511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M422" i="1"/>
  <c r="M386" i="1"/>
  <c r="M919" i="1"/>
  <c r="M886" i="1"/>
  <c r="M778" i="1"/>
  <c r="M779" i="1"/>
  <c r="M711" i="1"/>
  <c r="M747" i="1"/>
  <c r="M629" i="1"/>
  <c r="M504" i="1"/>
  <c r="M415" i="1"/>
  <c r="M459" i="1"/>
  <c r="M433" i="1"/>
  <c r="J18" i="3"/>
  <c r="Y18" i="3"/>
  <c r="M870" i="1"/>
  <c r="M688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M915" i="1"/>
  <c r="M820" i="1"/>
  <c r="M828" i="1"/>
  <c r="M965" i="1"/>
  <c r="M857" i="1"/>
  <c r="M638" i="1"/>
  <c r="M647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K25" i="3"/>
  <c r="J25" i="3"/>
  <c r="T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Z15" i="3"/>
  <c r="T15" i="3"/>
  <c r="J15" i="3"/>
  <c r="Y15" i="3"/>
  <c r="O15" i="3"/>
  <c r="P15" i="3"/>
  <c r="O24" i="3"/>
  <c r="J8" i="3"/>
  <c r="Y25" i="3"/>
  <c r="Y28" i="3"/>
  <c r="P5" i="3"/>
  <c r="T11" i="3"/>
  <c r="U33" i="3"/>
  <c r="U31" i="3"/>
  <c r="Y8" i="3"/>
  <c r="Z2" i="3"/>
  <c r="Z3" i="3"/>
  <c r="U15" i="3"/>
  <c r="Y7" i="3"/>
  <c r="P18" i="3"/>
  <c r="P4" i="3"/>
  <c r="R41" i="6"/>
  <c r="O40" i="6"/>
  <c r="N38" i="6"/>
  <c r="Z4" i="3"/>
  <c r="Z11" i="3"/>
  <c r="T38" i="6"/>
  <c r="K33" i="6"/>
  <c r="K27" i="3"/>
  <c r="Z13" i="3"/>
  <c r="Z21" i="3"/>
  <c r="M39" i="6"/>
  <c r="F40" i="6"/>
  <c r="D37" i="6"/>
  <c r="Z26" i="3"/>
  <c r="Q39" i="6"/>
  <c r="M34" i="6"/>
  <c r="D35" i="6"/>
  <c r="K15" i="3"/>
  <c r="C41" i="6"/>
  <c r="P35" i="6"/>
  <c r="L33" i="6"/>
  <c r="R42" i="6"/>
  <c r="R35" i="6"/>
  <c r="H39" i="6"/>
  <c r="H33" i="6"/>
  <c r="K6" i="3"/>
  <c r="S36" i="6"/>
  <c r="S42" i="6"/>
  <c r="O32" i="3"/>
  <c r="J32" i="3"/>
  <c r="Z25" i="3"/>
  <c r="P22" i="3"/>
  <c r="K30" i="3"/>
  <c r="G35" i="6"/>
  <c r="H36" i="6"/>
  <c r="P34" i="6"/>
  <c r="L36" i="6"/>
  <c r="E37" i="6"/>
  <c r="L40" i="6"/>
  <c r="G39" i="6"/>
  <c r="K13" i="3"/>
  <c r="Z23" i="3"/>
  <c r="N42" i="6"/>
  <c r="C38" i="6"/>
  <c r="R33" i="6"/>
  <c r="C36" i="6"/>
  <c r="Z28" i="3"/>
  <c r="T33" i="6"/>
  <c r="O41" i="6"/>
  <c r="K28" i="3"/>
  <c r="K4" i="3"/>
  <c r="T40" i="6"/>
  <c r="O35" i="6"/>
  <c r="F35" i="6"/>
  <c r="Z33" i="3"/>
  <c r="U39" i="6"/>
  <c r="E33" i="6"/>
  <c r="P30" i="3"/>
  <c r="T19" i="3"/>
  <c r="T18" i="3"/>
  <c r="P23" i="3"/>
  <c r="K23" i="3"/>
  <c r="O23" i="3"/>
  <c r="P35" i="3"/>
  <c r="P21" i="3"/>
  <c r="U26" i="3"/>
  <c r="O38" i="6"/>
  <c r="Z17" i="3"/>
  <c r="K26" i="3"/>
  <c r="U35" i="6"/>
  <c r="E42" i="6"/>
  <c r="U33" i="6"/>
  <c r="L34" i="6"/>
  <c r="L41" i="6"/>
  <c r="E34" i="6"/>
  <c r="K37" i="6"/>
  <c r="Z24" i="3"/>
  <c r="S41" i="6"/>
  <c r="K5" i="3"/>
  <c r="M36" i="6"/>
  <c r="K19" i="3"/>
  <c r="J40" i="6"/>
  <c r="K36" i="6"/>
  <c r="O37" i="6"/>
  <c r="I38" i="6"/>
  <c r="N34" i="6"/>
  <c r="P42" i="6"/>
  <c r="M35" i="6"/>
  <c r="O18" i="3"/>
  <c r="J19" i="3"/>
  <c r="O25" i="3"/>
  <c r="T33" i="3"/>
  <c r="K22" i="3"/>
  <c r="Y23" i="3"/>
  <c r="J22" i="3"/>
  <c r="U35" i="3"/>
  <c r="P27" i="3"/>
  <c r="K24" i="3"/>
  <c r="Z5" i="3"/>
  <c r="Y13" i="3"/>
  <c r="Y16" i="3"/>
  <c r="C39" i="6"/>
  <c r="K34" i="6"/>
  <c r="R39" i="6"/>
  <c r="Q35" i="6"/>
  <c r="U30" i="3"/>
  <c r="R36" i="6"/>
  <c r="S33" i="6"/>
  <c r="K35" i="3"/>
  <c r="U38" i="6"/>
  <c r="I33" i="6"/>
  <c r="O36" i="6"/>
  <c r="D36" i="6"/>
  <c r="R37" i="6"/>
  <c r="C35" i="6"/>
  <c r="C42" i="6"/>
  <c r="P39" i="6"/>
  <c r="Z18" i="3"/>
  <c r="T39" i="6"/>
  <c r="J42" i="6"/>
  <c r="L39" i="6"/>
  <c r="S38" i="6"/>
  <c r="G37" i="6"/>
  <c r="H37" i="6"/>
  <c r="I35" i="6"/>
  <c r="H38" i="6"/>
  <c r="G36" i="6"/>
  <c r="S34" i="6"/>
  <c r="J41" i="6"/>
  <c r="J33" i="6"/>
  <c r="O19" i="3"/>
  <c r="U18" i="3"/>
  <c r="P25" i="3"/>
  <c r="U28" i="3"/>
  <c r="P11" i="3"/>
  <c r="P20" i="3"/>
  <c r="T13" i="3"/>
  <c r="U27" i="3"/>
  <c r="Z20" i="3"/>
  <c r="Z19" i="3"/>
  <c r="Z35" i="3"/>
  <c r="U37" i="6"/>
  <c r="T36" i="6"/>
  <c r="T42" i="6"/>
  <c r="K18" i="3"/>
  <c r="M40" i="6"/>
  <c r="G33" i="6"/>
  <c r="P41" i="6"/>
  <c r="H40" i="6"/>
  <c r="E36" i="6"/>
  <c r="T34" i="6"/>
  <c r="R38" i="6"/>
  <c r="L37" i="6"/>
  <c r="M38" i="6"/>
  <c r="F38" i="6"/>
  <c r="I40" i="6"/>
  <c r="T37" i="6"/>
  <c r="G34" i="6"/>
  <c r="O34" i="6"/>
  <c r="T41" i="6"/>
  <c r="S39" i="6"/>
  <c r="G38" i="6"/>
  <c r="Q33" i="6"/>
  <c r="K38" i="6"/>
  <c r="J39" i="6"/>
  <c r="J37" i="6"/>
  <c r="I34" i="6"/>
  <c r="S40" i="6"/>
  <c r="F33" i="6"/>
  <c r="I39" i="6"/>
  <c r="C34" i="6"/>
  <c r="N41" i="6"/>
  <c r="Q40" i="6"/>
  <c r="K42" i="6"/>
  <c r="F37" i="6"/>
  <c r="D42" i="6"/>
  <c r="N36" i="6"/>
  <c r="K40" i="6"/>
  <c r="U41" i="6"/>
  <c r="E38" i="6"/>
  <c r="H34" i="6"/>
  <c r="P33" i="6"/>
  <c r="K35" i="6"/>
  <c r="J36" i="6"/>
  <c r="G40" i="6"/>
  <c r="D33" i="6"/>
  <c r="M234" i="1"/>
  <c r="I37" i="6"/>
  <c r="D40" i="6"/>
  <c r="U34" i="6"/>
  <c r="O42" i="6"/>
  <c r="P37" i="6"/>
  <c r="F34" i="6"/>
  <c r="P36" i="6"/>
  <c r="M42" i="6"/>
  <c r="I41" i="6"/>
  <c r="U36" i="6"/>
  <c r="H42" i="6"/>
  <c r="D38" i="6"/>
  <c r="K39" i="6"/>
  <c r="L35" i="6"/>
  <c r="F41" i="6"/>
  <c r="C37" i="6"/>
  <c r="C40" i="6"/>
  <c r="O39" i="6"/>
  <c r="Q38" i="6"/>
  <c r="R40" i="6"/>
  <c r="Q34" i="6"/>
  <c r="H35" i="6"/>
  <c r="E39" i="6"/>
  <c r="K41" i="6"/>
  <c r="R34" i="6"/>
  <c r="N37" i="6"/>
  <c r="N39" i="6"/>
  <c r="E35" i="6"/>
  <c r="P40" i="6"/>
  <c r="M41" i="6"/>
  <c r="Z6" i="3"/>
  <c r="L42" i="6"/>
  <c r="J38" i="6"/>
  <c r="T35" i="6"/>
  <c r="P38" i="6"/>
  <c r="S37" i="6"/>
  <c r="F36" i="6"/>
  <c r="N40" i="6"/>
  <c r="Q36" i="6"/>
  <c r="U6" i="3"/>
  <c r="S35" i="6"/>
  <c r="M37" i="6"/>
  <c r="N33" i="6"/>
  <c r="Q42" i="6"/>
  <c r="J35" i="6"/>
  <c r="T6" i="3"/>
  <c r="L38" i="6"/>
  <c r="U40" i="6"/>
  <c r="C33" i="6"/>
  <c r="E40" i="6"/>
  <c r="H41" i="6"/>
  <c r="E41" i="6"/>
  <c r="D41" i="6"/>
  <c r="P6" i="3"/>
  <c r="G41" i="6"/>
  <c r="G42" i="6"/>
  <c r="I36" i="6"/>
  <c r="O6" i="3"/>
  <c r="U42" i="6"/>
  <c r="O33" i="6"/>
  <c r="I42" i="6"/>
  <c r="F42" i="6"/>
  <c r="Q37" i="6"/>
  <c r="N35" i="6"/>
  <c r="D39" i="6"/>
  <c r="F39" i="6"/>
  <c r="J34" i="6"/>
  <c r="M33" i="6"/>
  <c r="Q41" i="6"/>
  <c r="D34" i="6"/>
  <c r="F80" i="6"/>
  <c r="G123" i="6"/>
  <c r="Y6" i="3"/>
  <c r="M236" i="1"/>
  <c r="K16" i="3"/>
  <c r="T16" i="3"/>
  <c r="U16" i="3"/>
  <c r="Z16" i="3"/>
  <c r="O16" i="3"/>
  <c r="P16" i="3"/>
  <c r="K17" i="3"/>
  <c r="T17" i="3"/>
  <c r="O17" i="3"/>
  <c r="U17" i="3"/>
  <c r="P17" i="3"/>
  <c r="J17" i="3"/>
  <c r="Y17" i="3"/>
  <c r="AA17" i="3" s="1"/>
  <c r="M237" i="1"/>
  <c r="M238" i="1"/>
  <c r="T7" i="3"/>
  <c r="Z7" i="3"/>
  <c r="O7" i="3"/>
  <c r="K7" i="3"/>
  <c r="P7" i="3"/>
  <c r="U7" i="3"/>
  <c r="AA21" i="3"/>
  <c r="AA18" i="3"/>
  <c r="AA25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C347" i="1"/>
  <c r="C339" i="1"/>
  <c r="C348" i="1"/>
  <c r="C349" i="1"/>
  <c r="C350" i="1"/>
  <c r="C351" i="1"/>
  <c r="M351" i="1" s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M321" i="1" s="1"/>
  <c r="C322" i="1"/>
  <c r="C323" i="1"/>
  <c r="C324" i="1"/>
  <c r="C325" i="1"/>
  <c r="C326" i="1"/>
  <c r="C327" i="1"/>
  <c r="C328" i="1"/>
  <c r="C329" i="1"/>
  <c r="M329" i="1" s="1"/>
  <c r="C330" i="1"/>
  <c r="C331" i="1"/>
  <c r="C312" i="1"/>
  <c r="C341" i="1"/>
  <c r="C342" i="1"/>
  <c r="C332" i="1"/>
  <c r="C333" i="1"/>
  <c r="C334" i="1"/>
  <c r="M334" i="1" s="1"/>
  <c r="C335" i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5" i="1" s="1"/>
  <c r="C311" i="1"/>
  <c r="P96" i="6" s="1"/>
  <c r="C307" i="1"/>
  <c r="C306" i="1"/>
  <c r="M306" i="1" s="1"/>
  <c r="C283" i="1"/>
  <c r="K78" i="6" s="1"/>
  <c r="H112" i="6" l="1"/>
  <c r="F114" i="6"/>
  <c r="M88" i="6"/>
  <c r="T76" i="6"/>
  <c r="D105" i="6"/>
  <c r="L52" i="6"/>
  <c r="K114" i="6"/>
  <c r="M323" i="1"/>
  <c r="M346" i="1"/>
  <c r="T131" i="6"/>
  <c r="S63" i="6"/>
  <c r="L51" i="6"/>
  <c r="F95" i="6"/>
  <c r="T74" i="6"/>
  <c r="J86" i="6"/>
  <c r="K97" i="6"/>
  <c r="J23" i="3"/>
  <c r="J16" i="3"/>
  <c r="J35" i="3"/>
  <c r="J21" i="3"/>
  <c r="J5" i="3"/>
  <c r="J27" i="3"/>
  <c r="J4" i="3"/>
  <c r="T31" i="3"/>
  <c r="Y20" i="3"/>
  <c r="Y4" i="3"/>
  <c r="T4" i="3"/>
  <c r="J6" i="3"/>
  <c r="O5" i="3"/>
  <c r="O11" i="3"/>
  <c r="J20" i="3"/>
  <c r="J7" i="3"/>
  <c r="M307" i="1"/>
  <c r="J34" i="3"/>
  <c r="M335" i="1"/>
  <c r="K2" i="3"/>
  <c r="M835" i="1"/>
  <c r="M869" i="1"/>
  <c r="M853" i="1"/>
  <c r="M948" i="1"/>
  <c r="M913" i="1"/>
  <c r="M863" i="1"/>
  <c r="M947" i="1"/>
  <c r="M834" i="1"/>
  <c r="M800" i="1"/>
  <c r="M881" i="1"/>
  <c r="M836" i="1"/>
  <c r="M826" i="1"/>
  <c r="M827" i="1"/>
  <c r="M733" i="1"/>
  <c r="M757" i="1"/>
  <c r="M758" i="1"/>
  <c r="M646" i="1"/>
  <c r="M656" i="1"/>
  <c r="M612" i="1"/>
  <c r="M665" i="1"/>
  <c r="M657" i="1"/>
  <c r="M655" i="1"/>
  <c r="M645" i="1"/>
  <c r="M666" i="1"/>
  <c r="M586" i="1"/>
  <c r="M654" i="1"/>
  <c r="M519" i="1"/>
  <c r="M375" i="1"/>
  <c r="M412" i="1"/>
  <c r="M411" i="1"/>
  <c r="M421" i="1"/>
  <c r="M431" i="1"/>
  <c r="M432" i="1"/>
  <c r="M376" i="1"/>
  <c r="M420" i="1"/>
  <c r="M371" i="1"/>
  <c r="M330" i="1"/>
  <c r="M322" i="1"/>
  <c r="K3" i="3"/>
  <c r="M314" i="1"/>
  <c r="U14" i="3"/>
  <c r="J14" i="3"/>
  <c r="Y14" i="3"/>
  <c r="Z14" i="3"/>
  <c r="M340" i="1"/>
  <c r="O14" i="3"/>
  <c r="P14" i="3"/>
  <c r="T14" i="3"/>
  <c r="K14" i="3"/>
  <c r="M868" i="1"/>
  <c r="M667" i="1"/>
  <c r="M427" i="1"/>
  <c r="M345" i="1"/>
  <c r="I127" i="6"/>
  <c r="Q65" i="6"/>
  <c r="G43" i="6"/>
  <c r="S69" i="6"/>
  <c r="I115" i="6"/>
  <c r="Q122" i="6"/>
  <c r="G92" i="6"/>
  <c r="F59" i="6"/>
  <c r="F49" i="6"/>
  <c r="O95" i="6"/>
  <c r="Q74" i="6"/>
  <c r="T100" i="6"/>
  <c r="G72" i="6"/>
  <c r="C53" i="6"/>
  <c r="E67" i="6"/>
  <c r="E47" i="6"/>
  <c r="L44" i="6"/>
  <c r="H101" i="6"/>
  <c r="N51" i="6"/>
  <c r="T48" i="6"/>
  <c r="F93" i="6"/>
  <c r="D75" i="6"/>
  <c r="N106" i="6"/>
  <c r="R96" i="6"/>
  <c r="I74" i="6"/>
  <c r="R53" i="6"/>
  <c r="J51" i="6"/>
  <c r="M127" i="6"/>
  <c r="Q100" i="6"/>
  <c r="S105" i="6"/>
  <c r="M91" i="6"/>
  <c r="M117" i="6"/>
  <c r="Q84" i="6"/>
  <c r="H114" i="6"/>
  <c r="O127" i="6"/>
  <c r="L103" i="6"/>
  <c r="L54" i="6"/>
  <c r="H88" i="6"/>
  <c r="N111" i="6"/>
  <c r="G62" i="6"/>
  <c r="I95" i="6"/>
  <c r="O108" i="6"/>
  <c r="S88" i="6"/>
  <c r="H107" i="6"/>
  <c r="M108" i="6"/>
  <c r="L90" i="6"/>
  <c r="R100" i="6"/>
  <c r="O105" i="6"/>
  <c r="I126" i="6"/>
  <c r="S132" i="6"/>
  <c r="H104" i="6"/>
  <c r="T95" i="6"/>
  <c r="S110" i="6"/>
  <c r="K94" i="6"/>
  <c r="H126" i="6"/>
  <c r="S133" i="6"/>
  <c r="H56" i="6"/>
  <c r="S83" i="6"/>
  <c r="Q127" i="6"/>
  <c r="I133" i="6"/>
  <c r="K117" i="6"/>
  <c r="G115" i="6"/>
  <c r="G83" i="6"/>
  <c r="E77" i="6"/>
  <c r="S79" i="6"/>
  <c r="U52" i="6"/>
  <c r="E84" i="6"/>
  <c r="H60" i="6"/>
  <c r="R103" i="6"/>
  <c r="D47" i="6"/>
  <c r="H128" i="6"/>
  <c r="H100" i="6"/>
  <c r="F60" i="6"/>
  <c r="E122" i="6"/>
  <c r="P71" i="6"/>
  <c r="S77" i="6"/>
  <c r="T121" i="6"/>
  <c r="G59" i="6"/>
  <c r="D107" i="6"/>
  <c r="T79" i="6"/>
  <c r="I57" i="6"/>
  <c r="J91" i="6"/>
  <c r="N83" i="6"/>
  <c r="R74" i="6"/>
  <c r="L69" i="6"/>
  <c r="J79" i="6"/>
  <c r="J122" i="6"/>
  <c r="G129" i="6"/>
  <c r="K73" i="6"/>
  <c r="Q56" i="6"/>
  <c r="S67" i="6"/>
  <c r="U68" i="6"/>
  <c r="R92" i="6"/>
  <c r="J3" i="3"/>
  <c r="M313" i="1"/>
  <c r="M805" i="1"/>
  <c r="M840" i="1"/>
  <c r="M822" i="1"/>
  <c r="M859" i="1"/>
  <c r="M930" i="1"/>
  <c r="M804" i="1"/>
  <c r="M931" i="1"/>
  <c r="M806" i="1"/>
  <c r="M885" i="1"/>
  <c r="M953" i="1"/>
  <c r="M878" i="1"/>
  <c r="M936" i="1"/>
  <c r="M918" i="1"/>
  <c r="M917" i="1"/>
  <c r="M842" i="1"/>
  <c r="M935" i="1"/>
  <c r="M841" i="1"/>
  <c r="M934" i="1"/>
  <c r="M824" i="1"/>
  <c r="M823" i="1"/>
  <c r="M807" i="1"/>
  <c r="M932" i="1"/>
  <c r="M937" i="1"/>
  <c r="M960" i="1"/>
  <c r="M933" i="1"/>
  <c r="M808" i="1"/>
  <c r="M916" i="1"/>
  <c r="M707" i="1"/>
  <c r="M706" i="1"/>
  <c r="M770" i="1"/>
  <c r="M762" i="1"/>
  <c r="M776" i="1"/>
  <c r="M774" i="1"/>
  <c r="M771" i="1"/>
  <c r="M705" i="1"/>
  <c r="M777" i="1"/>
  <c r="M768" i="1"/>
  <c r="M709" i="1"/>
  <c r="M766" i="1"/>
  <c r="M763" i="1"/>
  <c r="M769" i="1"/>
  <c r="M710" i="1"/>
  <c r="M701" i="1"/>
  <c r="M772" i="1"/>
  <c r="M761" i="1"/>
  <c r="M703" i="1"/>
  <c r="M760" i="1"/>
  <c r="M702" i="1"/>
  <c r="M775" i="1"/>
  <c r="M773" i="1"/>
  <c r="M764" i="1"/>
  <c r="M704" i="1"/>
  <c r="M793" i="1"/>
  <c r="M767" i="1"/>
  <c r="M708" i="1"/>
  <c r="M765" i="1"/>
  <c r="M542" i="1"/>
  <c r="M595" i="1"/>
  <c r="M563" i="1"/>
  <c r="M559" i="1"/>
  <c r="M597" i="1"/>
  <c r="M555" i="1"/>
  <c r="M566" i="1"/>
  <c r="M564" i="1"/>
  <c r="M593" i="1"/>
  <c r="M591" i="1"/>
  <c r="M558" i="1"/>
  <c r="M556" i="1"/>
  <c r="M562" i="1"/>
  <c r="M560" i="1"/>
  <c r="M596" i="1"/>
  <c r="M592" i="1"/>
  <c r="M554" i="1"/>
  <c r="M565" i="1"/>
  <c r="M594" i="1"/>
  <c r="M561" i="1"/>
  <c r="M590" i="1"/>
  <c r="M557" i="1"/>
  <c r="M567" i="1"/>
  <c r="M503" i="1"/>
  <c r="M496" i="1"/>
  <c r="M501" i="1"/>
  <c r="M499" i="1"/>
  <c r="M497" i="1"/>
  <c r="M522" i="1"/>
  <c r="M495" i="1"/>
  <c r="M521" i="1"/>
  <c r="M502" i="1"/>
  <c r="M368" i="1"/>
  <c r="M498" i="1"/>
  <c r="M523" i="1"/>
  <c r="M500" i="1"/>
  <c r="M524" i="1"/>
  <c r="M450" i="1"/>
  <c r="M452" i="1"/>
  <c r="M454" i="1"/>
  <c r="M456" i="1"/>
  <c r="M451" i="1"/>
  <c r="M455" i="1"/>
  <c r="M453" i="1"/>
  <c r="M457" i="1"/>
  <c r="M414" i="1"/>
  <c r="M383" i="1"/>
  <c r="M381" i="1"/>
  <c r="M382" i="1"/>
  <c r="M385" i="1"/>
  <c r="M384" i="1"/>
  <c r="M379" i="1"/>
  <c r="M380" i="1"/>
  <c r="M362" i="1"/>
  <c r="M363" i="1"/>
  <c r="M344" i="1"/>
  <c r="J2" i="3"/>
  <c r="U109" i="6"/>
  <c r="I131" i="6"/>
  <c r="M68" i="6"/>
  <c r="C47" i="6"/>
  <c r="U59" i="6"/>
  <c r="U85" i="6"/>
  <c r="Q118" i="6"/>
  <c r="R58" i="6"/>
  <c r="S122" i="6"/>
  <c r="U57" i="6"/>
  <c r="M118" i="6"/>
  <c r="I104" i="6"/>
  <c r="J50" i="6"/>
  <c r="J110" i="6"/>
  <c r="J111" i="6"/>
  <c r="J100" i="6"/>
  <c r="R73" i="6"/>
  <c r="T57" i="6"/>
  <c r="S86" i="6"/>
  <c r="O107" i="6"/>
  <c r="R47" i="6"/>
  <c r="M333" i="1"/>
  <c r="K8" i="3"/>
  <c r="Z8" i="3"/>
  <c r="AA8" i="3" s="1"/>
  <c r="M819" i="1"/>
  <c r="M925" i="1"/>
  <c r="M829" i="1"/>
  <c r="M832" i="1"/>
  <c r="M964" i="1"/>
  <c r="M825" i="1"/>
  <c r="M852" i="1"/>
  <c r="M862" i="1"/>
  <c r="M955" i="1"/>
  <c r="M912" i="1"/>
  <c r="M816" i="1"/>
  <c r="M927" i="1"/>
  <c r="M926" i="1"/>
  <c r="M833" i="1"/>
  <c r="M946" i="1"/>
  <c r="M693" i="1"/>
  <c r="M700" i="1"/>
  <c r="M698" i="1"/>
  <c r="M699" i="1"/>
  <c r="M796" i="1"/>
  <c r="M694" i="1"/>
  <c r="M756" i="1"/>
  <c r="M545" i="1"/>
  <c r="M540" i="1"/>
  <c r="M644" i="1"/>
  <c r="M585" i="1"/>
  <c r="M636" i="1"/>
  <c r="M618" i="1"/>
  <c r="M548" i="1"/>
  <c r="M653" i="1"/>
  <c r="M584" i="1"/>
  <c r="M643" i="1"/>
  <c r="M611" i="1"/>
  <c r="M637" i="1"/>
  <c r="M518" i="1"/>
  <c r="M491" i="1"/>
  <c r="M436" i="1"/>
  <c r="M435" i="1"/>
  <c r="M448" i="1"/>
  <c r="M446" i="1"/>
  <c r="M447" i="1"/>
  <c r="M419" i="1"/>
  <c r="M374" i="1"/>
  <c r="M370" i="1"/>
  <c r="M369" i="1"/>
  <c r="C133" i="6"/>
  <c r="T70" i="6"/>
  <c r="J113" i="6"/>
  <c r="S46" i="6"/>
  <c r="O66" i="6"/>
  <c r="L113" i="6"/>
  <c r="Q85" i="6"/>
  <c r="O68" i="6"/>
  <c r="G88" i="6"/>
  <c r="S43" i="6"/>
  <c r="G75" i="6"/>
  <c r="Q60" i="6"/>
  <c r="D71" i="6"/>
  <c r="L119" i="6"/>
  <c r="R111" i="6"/>
  <c r="J66" i="6"/>
  <c r="D96" i="6"/>
  <c r="O100" i="6"/>
  <c r="F79" i="6"/>
  <c r="D130" i="6"/>
  <c r="L62" i="6"/>
  <c r="M47" i="6"/>
  <c r="I50" i="6"/>
  <c r="R127" i="6"/>
  <c r="H95" i="6"/>
  <c r="R45" i="6"/>
  <c r="I89" i="6"/>
  <c r="F129" i="6"/>
  <c r="H49" i="6"/>
  <c r="R66" i="6"/>
  <c r="G45" i="6"/>
  <c r="Q114" i="6"/>
  <c r="J94" i="6"/>
  <c r="E72" i="6"/>
  <c r="F116" i="6"/>
  <c r="S108" i="6"/>
  <c r="P98" i="6"/>
  <c r="N89" i="6"/>
  <c r="M49" i="6"/>
  <c r="N71" i="6"/>
  <c r="S57" i="6"/>
  <c r="N126" i="6"/>
  <c r="D43" i="6"/>
  <c r="L131" i="6"/>
  <c r="L94" i="6"/>
  <c r="J114" i="6"/>
  <c r="L50" i="6"/>
  <c r="C58" i="6"/>
  <c r="M103" i="6"/>
  <c r="G80" i="6"/>
  <c r="Q66" i="6"/>
  <c r="O98" i="6"/>
  <c r="P125" i="6"/>
  <c r="N118" i="6"/>
  <c r="C69" i="6"/>
  <c r="P86" i="6"/>
  <c r="Q53" i="6"/>
  <c r="L101" i="6"/>
  <c r="E71" i="6"/>
  <c r="L63" i="6"/>
  <c r="H70" i="6"/>
  <c r="K60" i="6"/>
  <c r="F51" i="6"/>
  <c r="Q94" i="6"/>
  <c r="E109" i="6"/>
  <c r="R99" i="6"/>
  <c r="S51" i="6"/>
  <c r="M76" i="6"/>
  <c r="O79" i="6"/>
  <c r="S75" i="6"/>
  <c r="C131" i="6"/>
  <c r="F62" i="6"/>
  <c r="O56" i="6"/>
  <c r="S101" i="6"/>
  <c r="S52" i="6"/>
  <c r="I97" i="6"/>
  <c r="Q123" i="6"/>
  <c r="E85" i="6"/>
  <c r="D115" i="6"/>
  <c r="S111" i="6"/>
  <c r="F61" i="6"/>
  <c r="F109" i="6"/>
  <c r="J72" i="6"/>
  <c r="H72" i="6"/>
  <c r="H50" i="6"/>
  <c r="J93" i="6"/>
  <c r="D83" i="6"/>
  <c r="G118" i="6"/>
  <c r="U108" i="6"/>
  <c r="J45" i="6"/>
  <c r="R52" i="6"/>
  <c r="I65" i="6"/>
  <c r="S112" i="6"/>
  <c r="L120" i="6"/>
  <c r="H116" i="6"/>
  <c r="O81" i="6"/>
  <c r="J73" i="6"/>
  <c r="J53" i="6"/>
  <c r="S78" i="6"/>
  <c r="U43" i="6"/>
  <c r="H53" i="6"/>
  <c r="D58" i="6"/>
  <c r="F63" i="6"/>
  <c r="F107" i="6"/>
  <c r="M328" i="1"/>
  <c r="M327" i="1"/>
  <c r="L114" i="6"/>
  <c r="K102" i="6"/>
  <c r="I48" i="6"/>
  <c r="T87" i="6"/>
  <c r="I86" i="6"/>
  <c r="H63" i="6"/>
  <c r="U62" i="6"/>
  <c r="L124" i="6"/>
  <c r="R81" i="6"/>
  <c r="J77" i="6"/>
  <c r="C68" i="6"/>
  <c r="R76" i="6"/>
  <c r="T109" i="6"/>
  <c r="E112" i="6"/>
  <c r="S85" i="6"/>
  <c r="N78" i="6"/>
  <c r="F125" i="6"/>
  <c r="I110" i="6"/>
  <c r="U102" i="6"/>
  <c r="U44" i="6"/>
  <c r="C94" i="6"/>
  <c r="M67" i="6"/>
  <c r="O82" i="6"/>
  <c r="L55" i="6"/>
  <c r="C114" i="6"/>
  <c r="T94" i="6"/>
  <c r="S62" i="6"/>
  <c r="R133" i="6"/>
  <c r="O65" i="6"/>
  <c r="J80" i="6"/>
  <c r="E91" i="6"/>
  <c r="Q46" i="6"/>
  <c r="C84" i="6"/>
  <c r="G51" i="6"/>
  <c r="C56" i="6"/>
  <c r="L122" i="6"/>
  <c r="F50" i="6"/>
  <c r="J127" i="6"/>
  <c r="P132" i="6"/>
  <c r="G121" i="6"/>
  <c r="T99" i="6"/>
  <c r="Q63" i="6"/>
  <c r="K120" i="6"/>
  <c r="H67" i="6"/>
  <c r="Q113" i="6"/>
  <c r="N65" i="6"/>
  <c r="F108" i="6"/>
  <c r="R110" i="6"/>
  <c r="K66" i="6"/>
  <c r="M50" i="6"/>
  <c r="L99" i="6"/>
  <c r="S93" i="6"/>
  <c r="E62" i="6"/>
  <c r="O111" i="6"/>
  <c r="O46" i="6"/>
  <c r="S113" i="6"/>
  <c r="O101" i="6"/>
  <c r="Q44" i="6"/>
  <c r="Q125" i="6"/>
  <c r="J115" i="6"/>
  <c r="H106" i="6"/>
  <c r="P65" i="6"/>
  <c r="I103" i="6"/>
  <c r="K103" i="6"/>
  <c r="K81" i="6"/>
  <c r="L76" i="6"/>
  <c r="P73" i="6"/>
  <c r="R121" i="6"/>
  <c r="F112" i="6"/>
  <c r="H61" i="6"/>
  <c r="N95" i="6"/>
  <c r="M55" i="6"/>
  <c r="L102" i="6"/>
  <c r="M74" i="6"/>
  <c r="C62" i="6"/>
  <c r="U75" i="6"/>
  <c r="E96" i="6"/>
  <c r="J99" i="6"/>
  <c r="E81" i="6"/>
  <c r="Q83" i="6"/>
  <c r="T47" i="6"/>
  <c r="I44" i="6"/>
  <c r="C50" i="6"/>
  <c r="T54" i="6"/>
  <c r="U46" i="6"/>
  <c r="E53" i="6"/>
  <c r="U115" i="6"/>
  <c r="D73" i="6"/>
  <c r="M51" i="6"/>
  <c r="S118" i="6"/>
  <c r="G73" i="6"/>
  <c r="E78" i="6"/>
  <c r="C67" i="6"/>
  <c r="T92" i="6"/>
  <c r="U82" i="6"/>
  <c r="C118" i="6"/>
  <c r="K91" i="6"/>
  <c r="F47" i="6"/>
  <c r="T98" i="6"/>
  <c r="I81" i="6"/>
  <c r="T123" i="6"/>
  <c r="T112" i="6"/>
  <c r="P76" i="6"/>
  <c r="F104" i="6"/>
  <c r="O75" i="6"/>
  <c r="Z32" i="3"/>
  <c r="K32" i="3"/>
  <c r="M310" i="1"/>
  <c r="M471" i="1"/>
  <c r="M956" i="1"/>
  <c r="M867" i="1"/>
  <c r="M884" i="1"/>
  <c r="M883" i="1"/>
  <c r="M951" i="1"/>
  <c r="M950" i="1"/>
  <c r="M877" i="1"/>
  <c r="M882" i="1"/>
  <c r="M745" i="1"/>
  <c r="M731" i="1"/>
  <c r="M752" i="1"/>
  <c r="M682" i="1"/>
  <c r="M686" i="1"/>
  <c r="M680" i="1"/>
  <c r="M678" i="1"/>
  <c r="M676" i="1"/>
  <c r="M679" i="1"/>
  <c r="M683" i="1"/>
  <c r="M675" i="1"/>
  <c r="M681" i="1"/>
  <c r="M677" i="1"/>
  <c r="M449" i="1"/>
  <c r="M443" i="1"/>
  <c r="M413" i="1"/>
  <c r="M377" i="1"/>
  <c r="M378" i="1"/>
  <c r="M350" i="1"/>
  <c r="M319" i="1"/>
  <c r="F82" i="6"/>
  <c r="M348" i="1"/>
  <c r="C120" i="6"/>
  <c r="P109" i="6"/>
  <c r="C79" i="6"/>
  <c r="S98" i="6"/>
  <c r="F127" i="6"/>
  <c r="P62" i="6"/>
  <c r="F118" i="6"/>
  <c r="J102" i="6"/>
  <c r="R51" i="6"/>
  <c r="N127" i="6"/>
  <c r="M115" i="6"/>
  <c r="D117" i="6"/>
  <c r="Q68" i="6"/>
  <c r="M60" i="6"/>
  <c r="E49" i="6"/>
  <c r="O106" i="6"/>
  <c r="F64" i="6"/>
  <c r="K74" i="6"/>
  <c r="R98" i="6"/>
  <c r="M86" i="6"/>
  <c r="L45" i="6"/>
  <c r="C51" i="6"/>
  <c r="N66" i="6"/>
  <c r="Q95" i="6"/>
  <c r="P92" i="6"/>
  <c r="K72" i="6"/>
  <c r="M62" i="6"/>
  <c r="R57" i="6"/>
  <c r="F97" i="6"/>
  <c r="P104" i="6"/>
  <c r="P123" i="6"/>
  <c r="P114" i="6"/>
  <c r="T106" i="6"/>
  <c r="O51" i="6"/>
  <c r="H119" i="6"/>
  <c r="D132" i="6"/>
  <c r="U47" i="6"/>
  <c r="L127" i="6"/>
  <c r="L57" i="6"/>
  <c r="I84" i="6"/>
  <c r="D128" i="6"/>
  <c r="C121" i="6"/>
  <c r="T64" i="6"/>
  <c r="F78" i="6"/>
  <c r="N90" i="6"/>
  <c r="N119" i="6"/>
  <c r="S109" i="6"/>
  <c r="I60" i="6"/>
  <c r="O89" i="6"/>
  <c r="R124" i="6"/>
  <c r="N58" i="6"/>
  <c r="L64" i="6"/>
  <c r="N53" i="6"/>
  <c r="N114" i="6"/>
  <c r="R48" i="6"/>
  <c r="C80" i="6"/>
  <c r="Q73" i="6"/>
  <c r="M120" i="6"/>
  <c r="N56" i="6"/>
  <c r="R108" i="6"/>
  <c r="I123" i="6"/>
  <c r="C100" i="6"/>
  <c r="G85" i="6"/>
  <c r="S68" i="6"/>
  <c r="U106" i="6"/>
  <c r="P84" i="6"/>
  <c r="Q104" i="6"/>
  <c r="C73" i="6"/>
  <c r="N49" i="6"/>
  <c r="E80" i="6"/>
  <c r="G131" i="6"/>
  <c r="O93" i="6"/>
  <c r="P133" i="6"/>
  <c r="E69" i="6"/>
  <c r="O45" i="6"/>
  <c r="O57" i="6"/>
  <c r="P74" i="6"/>
  <c r="S120" i="6"/>
  <c r="K45" i="6"/>
  <c r="Q64" i="6"/>
  <c r="N98" i="6"/>
  <c r="M53" i="6"/>
  <c r="M126" i="6"/>
  <c r="C119" i="6"/>
  <c r="O63" i="6"/>
  <c r="D56" i="6"/>
  <c r="M102" i="6"/>
  <c r="N102" i="6"/>
  <c r="I80" i="6"/>
  <c r="M75" i="6"/>
  <c r="O129" i="6"/>
  <c r="E63" i="6"/>
  <c r="I72" i="6"/>
  <c r="D119" i="6"/>
  <c r="U51" i="6"/>
  <c r="L132" i="6"/>
  <c r="P69" i="6"/>
  <c r="U130" i="6"/>
  <c r="P129" i="6"/>
  <c r="C90" i="6"/>
  <c r="O125" i="6"/>
  <c r="T43" i="6"/>
  <c r="K69" i="6"/>
  <c r="M105" i="6"/>
  <c r="D81" i="6"/>
  <c r="M99" i="6"/>
  <c r="I52" i="6"/>
  <c r="O60" i="6"/>
  <c r="S58" i="6"/>
  <c r="H109" i="6"/>
  <c r="M320" i="1"/>
  <c r="M354" i="1"/>
  <c r="K29" i="3"/>
  <c r="J29" i="3"/>
  <c r="M309" i="1"/>
  <c r="M854" i="1"/>
  <c r="M864" i="1"/>
  <c r="M874" i="1"/>
  <c r="M838" i="1"/>
  <c r="M759" i="1"/>
  <c r="M730" i="1"/>
  <c r="M736" i="1"/>
  <c r="M728" i="1"/>
  <c r="M737" i="1"/>
  <c r="M729" i="1"/>
  <c r="M735" i="1"/>
  <c r="M727" i="1"/>
  <c r="M734" i="1"/>
  <c r="M792" i="1"/>
  <c r="M738" i="1"/>
  <c r="M541" i="1"/>
  <c r="M672" i="1"/>
  <c r="M440" i="1"/>
  <c r="M361" i="1"/>
  <c r="U10" i="3"/>
  <c r="Y10" i="3"/>
  <c r="T10" i="3"/>
  <c r="Z10" i="3"/>
  <c r="M332" i="1"/>
  <c r="P10" i="3"/>
  <c r="K10" i="3"/>
  <c r="O10" i="3"/>
  <c r="J10" i="3"/>
  <c r="M963" i="1"/>
  <c r="M802" i="1"/>
  <c r="M795" i="1"/>
  <c r="M664" i="1"/>
  <c r="M580" i="1"/>
  <c r="M544" i="1"/>
  <c r="M358" i="1"/>
  <c r="M349" i="1"/>
  <c r="P131" i="6"/>
  <c r="Z9" i="3"/>
  <c r="M308" i="1"/>
  <c r="K9" i="3"/>
  <c r="M818" i="1"/>
  <c r="M830" i="1"/>
  <c r="M815" i="1"/>
  <c r="M914" i="1"/>
  <c r="M831" i="1"/>
  <c r="M851" i="1"/>
  <c r="M850" i="1"/>
  <c r="M967" i="1"/>
  <c r="M911" i="1"/>
  <c r="M801" i="1"/>
  <c r="M954" i="1"/>
  <c r="M799" i="1"/>
  <c r="M696" i="1"/>
  <c r="M732" i="1"/>
  <c r="M691" i="1"/>
  <c r="M746" i="1"/>
  <c r="M687" i="1"/>
  <c r="M697" i="1"/>
  <c r="M692" i="1"/>
  <c r="M690" i="1"/>
  <c r="M652" i="1"/>
  <c r="M634" i="1"/>
  <c r="M547" i="1"/>
  <c r="M578" i="1"/>
  <c r="M663" i="1"/>
  <c r="M579" i="1"/>
  <c r="M577" i="1"/>
  <c r="M635" i="1"/>
  <c r="M486" i="1"/>
  <c r="M490" i="1"/>
  <c r="M517" i="1"/>
  <c r="M477" i="1"/>
  <c r="M445" i="1"/>
  <c r="M429" i="1"/>
  <c r="M410" i="1"/>
  <c r="M430" i="1"/>
  <c r="M359" i="1"/>
  <c r="M360" i="1"/>
  <c r="M353" i="1"/>
  <c r="M342" i="1"/>
  <c r="M326" i="1"/>
  <c r="Z12" i="3"/>
  <c r="AA12" i="3" s="1"/>
  <c r="K12" i="3"/>
  <c r="M318" i="1"/>
  <c r="M356" i="1"/>
  <c r="M338" i="1"/>
  <c r="M341" i="1"/>
  <c r="M325" i="1"/>
  <c r="M317" i="1"/>
  <c r="M339" i="1"/>
  <c r="M357" i="1"/>
  <c r="R44" i="6"/>
  <c r="L60" i="6"/>
  <c r="O103" i="6"/>
  <c r="R105" i="6"/>
  <c r="M64" i="6"/>
  <c r="N54" i="6"/>
  <c r="U95" i="6"/>
  <c r="F73" i="6"/>
  <c r="N72" i="6"/>
  <c r="C124" i="6"/>
  <c r="R102" i="6"/>
  <c r="S121" i="6"/>
  <c r="F53" i="6"/>
  <c r="J62" i="6"/>
  <c r="P124" i="6"/>
  <c r="F110" i="6"/>
  <c r="I113" i="6"/>
  <c r="L112" i="6"/>
  <c r="O104" i="6"/>
  <c r="G116" i="6"/>
  <c r="J61" i="6"/>
  <c r="R93" i="6"/>
  <c r="I128" i="6"/>
  <c r="M101" i="6"/>
  <c r="I51" i="6"/>
  <c r="K108" i="6"/>
  <c r="L83" i="6"/>
  <c r="D122" i="6"/>
  <c r="U133" i="6"/>
  <c r="U122" i="6"/>
  <c r="M128" i="6"/>
  <c r="T129" i="6"/>
  <c r="C66" i="6"/>
  <c r="S125" i="6"/>
  <c r="K112" i="6"/>
  <c r="I71" i="6"/>
  <c r="L125" i="6"/>
  <c r="D64" i="6"/>
  <c r="D49" i="6"/>
  <c r="E111" i="6"/>
  <c r="Q80" i="6"/>
  <c r="U112" i="6"/>
  <c r="U126" i="6"/>
  <c r="N128" i="6"/>
  <c r="R64" i="6"/>
  <c r="U127" i="6"/>
  <c r="E133" i="6"/>
  <c r="M106" i="6"/>
  <c r="N75" i="6"/>
  <c r="Q110" i="6"/>
  <c r="H129" i="6"/>
  <c r="K106" i="6"/>
  <c r="E125" i="6"/>
  <c r="Q111" i="6"/>
  <c r="D127" i="6"/>
  <c r="P100" i="6"/>
  <c r="F99" i="6"/>
  <c r="I130" i="6"/>
  <c r="O121" i="6"/>
  <c r="J129" i="6"/>
  <c r="Q115" i="6"/>
  <c r="E119" i="6"/>
  <c r="M45" i="6"/>
  <c r="O124" i="6"/>
  <c r="T97" i="6"/>
  <c r="S49" i="6"/>
  <c r="O128" i="6"/>
  <c r="N81" i="6"/>
  <c r="E54" i="6"/>
  <c r="T89" i="6"/>
  <c r="U73" i="6"/>
  <c r="K116" i="6"/>
  <c r="D123" i="6"/>
  <c r="T61" i="6"/>
  <c r="M100" i="6"/>
  <c r="N46" i="6"/>
  <c r="Q52" i="6"/>
  <c r="T78" i="6"/>
  <c r="I129" i="6"/>
  <c r="E82" i="6"/>
  <c r="M77" i="6"/>
  <c r="L91" i="6"/>
  <c r="G107" i="6"/>
  <c r="P78" i="6"/>
  <c r="P102" i="6"/>
  <c r="N62" i="6"/>
  <c r="H47" i="6"/>
  <c r="C77" i="6"/>
  <c r="H118" i="6"/>
  <c r="R95" i="6"/>
  <c r="D52" i="6"/>
  <c r="M311" i="1"/>
  <c r="J12" i="3"/>
  <c r="M812" i="1"/>
  <c r="M938" i="1"/>
  <c r="M939" i="1"/>
  <c r="M920" i="1"/>
  <c r="M856" i="1"/>
  <c r="M811" i="1"/>
  <c r="M961" i="1"/>
  <c r="M803" i="1"/>
  <c r="M810" i="1"/>
  <c r="M844" i="1"/>
  <c r="M879" i="1"/>
  <c r="M940" i="1"/>
  <c r="M941" i="1"/>
  <c r="M809" i="1"/>
  <c r="M845" i="1"/>
  <c r="M843" i="1"/>
  <c r="M797" i="1"/>
  <c r="M744" i="1"/>
  <c r="M739" i="1"/>
  <c r="M742" i="1"/>
  <c r="M714" i="1"/>
  <c r="M713" i="1"/>
  <c r="M782" i="1"/>
  <c r="M740" i="1"/>
  <c r="M712" i="1"/>
  <c r="M743" i="1"/>
  <c r="M741" i="1"/>
  <c r="M780" i="1"/>
  <c r="M715" i="1"/>
  <c r="M781" i="1"/>
  <c r="M716" i="1"/>
  <c r="M605" i="1"/>
  <c r="M575" i="1"/>
  <c r="M642" i="1"/>
  <c r="M601" i="1"/>
  <c r="M599" i="1"/>
  <c r="M570" i="1"/>
  <c r="M568" i="1"/>
  <c r="M604" i="1"/>
  <c r="M600" i="1"/>
  <c r="M543" i="1"/>
  <c r="M602" i="1"/>
  <c r="M569" i="1"/>
  <c r="M598" i="1"/>
  <c r="M603" i="1"/>
  <c r="M668" i="1"/>
  <c r="M508" i="1"/>
  <c r="M526" i="1"/>
  <c r="M506" i="1"/>
  <c r="M488" i="1"/>
  <c r="M527" i="1"/>
  <c r="M509" i="1"/>
  <c r="M505" i="1"/>
  <c r="M525" i="1"/>
  <c r="M507" i="1"/>
  <c r="M460" i="1"/>
  <c r="M461" i="1"/>
  <c r="M397" i="1"/>
  <c r="M423" i="1"/>
  <c r="M398" i="1"/>
  <c r="M428" i="1"/>
  <c r="M390" i="1"/>
  <c r="M401" i="1"/>
  <c r="M400" i="1"/>
  <c r="M395" i="1"/>
  <c r="M393" i="1"/>
  <c r="M392" i="1"/>
  <c r="M396" i="1"/>
  <c r="M394" i="1"/>
  <c r="M399" i="1"/>
  <c r="M391" i="1"/>
  <c r="C60" i="6"/>
  <c r="S61" i="6"/>
  <c r="H113" i="6"/>
  <c r="P103" i="6"/>
  <c r="M66" i="6"/>
  <c r="G127" i="6"/>
  <c r="R132" i="6"/>
  <c r="G44" i="6"/>
  <c r="M61" i="6"/>
  <c r="F58" i="6"/>
  <c r="F45" i="6"/>
  <c r="O49" i="6"/>
  <c r="Z34" i="3"/>
  <c r="AA34" i="3" s="1"/>
  <c r="M283" i="1"/>
  <c r="K34" i="3"/>
  <c r="M813" i="1"/>
  <c r="M846" i="1"/>
  <c r="M858" i="1"/>
  <c r="M943" i="1"/>
  <c r="M942" i="1"/>
  <c r="M889" i="1"/>
  <c r="M814" i="1"/>
  <c r="M880" i="1"/>
  <c r="M923" i="1"/>
  <c r="M944" i="1"/>
  <c r="M888" i="1"/>
  <c r="M966" i="1"/>
  <c r="M887" i="1"/>
  <c r="M847" i="1"/>
  <c r="M945" i="1"/>
  <c r="M962" i="1"/>
  <c r="M849" i="1"/>
  <c r="M924" i="1"/>
  <c r="M848" i="1"/>
  <c r="M786" i="1"/>
  <c r="M723" i="1"/>
  <c r="M721" i="1"/>
  <c r="M722" i="1"/>
  <c r="M789" i="1"/>
  <c r="M787" i="1"/>
  <c r="M798" i="1"/>
  <c r="M785" i="1"/>
  <c r="M788" i="1"/>
  <c r="M724" i="1"/>
  <c r="M719" i="1"/>
  <c r="M720" i="1"/>
  <c r="M609" i="1"/>
  <c r="M607" i="1"/>
  <c r="M537" i="1"/>
  <c r="M685" i="1"/>
  <c r="M608" i="1"/>
  <c r="M539" i="1"/>
  <c r="M610" i="1"/>
  <c r="M632" i="1"/>
  <c r="M606" i="1"/>
  <c r="M576" i="1"/>
  <c r="M546" i="1"/>
  <c r="M633" i="1"/>
  <c r="M662" i="1"/>
  <c r="M684" i="1"/>
  <c r="M538" i="1"/>
  <c r="M571" i="1"/>
  <c r="M514" i="1"/>
  <c r="M512" i="1"/>
  <c r="M484" i="1"/>
  <c r="M513" i="1"/>
  <c r="M528" i="1"/>
  <c r="M434" i="1"/>
  <c r="M464" i="1"/>
  <c r="M472" i="1"/>
  <c r="M469" i="1"/>
  <c r="M478" i="1"/>
  <c r="M466" i="1"/>
  <c r="M467" i="1"/>
  <c r="M465" i="1"/>
  <c r="M468" i="1"/>
  <c r="M470" i="1"/>
  <c r="M406" i="1"/>
  <c r="M409" i="1"/>
  <c r="M408" i="1"/>
  <c r="M418" i="1"/>
  <c r="M405" i="1"/>
  <c r="M424" i="1"/>
  <c r="M403" i="1"/>
  <c r="M416" i="1"/>
  <c r="M425" i="1"/>
  <c r="M404" i="1"/>
  <c r="M402" i="1"/>
  <c r="M407" i="1"/>
  <c r="M417" i="1"/>
  <c r="M367" i="1"/>
  <c r="M366" i="1"/>
  <c r="M364" i="1"/>
  <c r="M365" i="1"/>
  <c r="U136" i="6"/>
  <c r="I140" i="6"/>
  <c r="I135" i="6"/>
  <c r="P138" i="6"/>
  <c r="D137" i="6"/>
  <c r="K140" i="6"/>
  <c r="S135" i="6"/>
  <c r="G139" i="6"/>
  <c r="L135" i="6"/>
  <c r="S138" i="6"/>
  <c r="M135" i="6"/>
  <c r="T138" i="6"/>
  <c r="Q134" i="6"/>
  <c r="E138" i="6"/>
  <c r="R134" i="6"/>
  <c r="F138" i="6"/>
  <c r="T53" i="6"/>
  <c r="R109" i="6"/>
  <c r="O55" i="6"/>
  <c r="K48" i="6"/>
  <c r="F133" i="6"/>
  <c r="U83" i="6"/>
  <c r="K115" i="6"/>
  <c r="L111" i="6"/>
  <c r="L126" i="6"/>
  <c r="F92" i="6"/>
  <c r="C115" i="6"/>
  <c r="M113" i="6"/>
  <c r="F103" i="6"/>
  <c r="G65" i="6"/>
  <c r="Q76" i="6"/>
  <c r="L56" i="6"/>
  <c r="C70" i="6"/>
  <c r="T91" i="6"/>
  <c r="J63" i="6"/>
  <c r="S48" i="6"/>
  <c r="T45" i="6"/>
  <c r="K50" i="6"/>
  <c r="J101" i="6"/>
  <c r="J65" i="6"/>
  <c r="J71" i="6"/>
  <c r="S87" i="6"/>
  <c r="G64" i="6"/>
  <c r="J121" i="6"/>
  <c r="C110" i="6"/>
  <c r="I87" i="6"/>
  <c r="L79" i="6"/>
  <c r="G102" i="6"/>
  <c r="U132" i="6"/>
  <c r="O52" i="6"/>
  <c r="H108" i="6"/>
  <c r="N68" i="6"/>
  <c r="U87" i="6"/>
  <c r="N43" i="6"/>
  <c r="T113" i="6"/>
  <c r="G117" i="6"/>
  <c r="C112" i="6"/>
  <c r="L86" i="6"/>
  <c r="T66" i="6"/>
  <c r="J84" i="6"/>
  <c r="E116" i="6"/>
  <c r="L85" i="6"/>
  <c r="O44" i="6"/>
  <c r="R62" i="6"/>
  <c r="O120" i="6"/>
  <c r="K121" i="6"/>
  <c r="L116" i="6"/>
  <c r="G91" i="6"/>
  <c r="K107" i="6"/>
  <c r="K61" i="6"/>
  <c r="E76" i="6"/>
  <c r="H85" i="6"/>
  <c r="M104" i="6"/>
  <c r="R90" i="6"/>
  <c r="Q62" i="6"/>
  <c r="D111" i="6"/>
  <c r="H65" i="6"/>
  <c r="T68" i="6"/>
  <c r="I116" i="6"/>
  <c r="S82" i="6"/>
  <c r="M80" i="6"/>
  <c r="D110" i="6"/>
  <c r="C134" i="6"/>
  <c r="J137" i="6"/>
  <c r="Q140" i="6"/>
  <c r="Q135" i="6"/>
  <c r="E139" i="6"/>
  <c r="E134" i="6"/>
  <c r="L137" i="6"/>
  <c r="S140" i="6"/>
  <c r="H136" i="6"/>
  <c r="O139" i="6"/>
  <c r="T135" i="6"/>
  <c r="H139" i="6"/>
  <c r="U135" i="6"/>
  <c r="I139" i="6"/>
  <c r="F135" i="6"/>
  <c r="M138" i="6"/>
  <c r="G135" i="6"/>
  <c r="N138" i="6"/>
  <c r="Q112" i="6"/>
  <c r="R49" i="6"/>
  <c r="F119" i="6"/>
  <c r="Q67" i="6"/>
  <c r="G53" i="6"/>
  <c r="P127" i="6"/>
  <c r="R77" i="6"/>
  <c r="L43" i="6"/>
  <c r="U113" i="6"/>
  <c r="K134" i="6"/>
  <c r="R137" i="6"/>
  <c r="F136" i="6"/>
  <c r="M139" i="6"/>
  <c r="M134" i="6"/>
  <c r="T137" i="6"/>
  <c r="P136" i="6"/>
  <c r="D140" i="6"/>
  <c r="I136" i="6"/>
  <c r="P139" i="6"/>
  <c r="J136" i="6"/>
  <c r="Q139" i="6"/>
  <c r="N135" i="6"/>
  <c r="U138" i="6"/>
  <c r="O135" i="6"/>
  <c r="C139" i="6"/>
  <c r="L48" i="6"/>
  <c r="L73" i="6"/>
  <c r="O110" i="6"/>
  <c r="H91" i="6"/>
  <c r="R120" i="6"/>
  <c r="K133" i="6"/>
  <c r="F124" i="6"/>
  <c r="I78" i="6"/>
  <c r="U101" i="6"/>
  <c r="D50" i="6"/>
  <c r="U98" i="6"/>
  <c r="D82" i="6"/>
  <c r="T84" i="6"/>
  <c r="L61" i="6"/>
  <c r="E58" i="6"/>
  <c r="R80" i="6"/>
  <c r="L121" i="6"/>
  <c r="N44" i="6"/>
  <c r="O76" i="6"/>
  <c r="Q69" i="6"/>
  <c r="F120" i="6"/>
  <c r="J52" i="6"/>
  <c r="D90" i="6"/>
  <c r="R85" i="6"/>
  <c r="J107" i="6"/>
  <c r="N79" i="6"/>
  <c r="D46" i="6"/>
  <c r="F123" i="6"/>
  <c r="N45" i="6"/>
  <c r="J82" i="6"/>
  <c r="T126" i="6"/>
  <c r="C76" i="6"/>
  <c r="L104" i="6"/>
  <c r="G112" i="6"/>
  <c r="K111" i="6"/>
  <c r="I88" i="6"/>
  <c r="D88" i="6"/>
  <c r="P130" i="6"/>
  <c r="G87" i="6"/>
  <c r="S134" i="6"/>
  <c r="G138" i="6"/>
  <c r="N136" i="6"/>
  <c r="U139" i="6"/>
  <c r="U134" i="6"/>
  <c r="I138" i="6"/>
  <c r="E137" i="6"/>
  <c r="L140" i="6"/>
  <c r="Q136" i="6"/>
  <c r="E140" i="6"/>
  <c r="R136" i="6"/>
  <c r="F140" i="6"/>
  <c r="C136" i="6"/>
  <c r="J139" i="6"/>
  <c r="D136" i="6"/>
  <c r="K139" i="6"/>
  <c r="S127" i="6"/>
  <c r="K99" i="6"/>
  <c r="E100" i="6"/>
  <c r="G103" i="6"/>
  <c r="C78" i="6"/>
  <c r="H55" i="6"/>
  <c r="P54" i="6"/>
  <c r="J103" i="6"/>
  <c r="K110" i="6"/>
  <c r="P117" i="6"/>
  <c r="M71" i="6"/>
  <c r="E97" i="6"/>
  <c r="C122" i="6"/>
  <c r="S50" i="6"/>
  <c r="U60" i="6"/>
  <c r="E55" i="6"/>
  <c r="O132" i="6"/>
  <c r="N52" i="6"/>
  <c r="U53" i="6"/>
  <c r="Q51" i="6"/>
  <c r="E131" i="6"/>
  <c r="I77" i="6"/>
  <c r="T117" i="6"/>
  <c r="E73" i="6"/>
  <c r="N59" i="6"/>
  <c r="C64" i="6"/>
  <c r="I70" i="6"/>
  <c r="L118" i="6"/>
  <c r="D59" i="6"/>
  <c r="U131" i="6"/>
  <c r="C81" i="6"/>
  <c r="T120" i="6"/>
  <c r="J89" i="6"/>
  <c r="G94" i="6"/>
  <c r="E90" i="6"/>
  <c r="J78" i="6"/>
  <c r="R83" i="6"/>
  <c r="M109" i="6"/>
  <c r="R43" i="6"/>
  <c r="I43" i="6"/>
  <c r="T118" i="6"/>
  <c r="M122" i="6"/>
  <c r="L53" i="6"/>
  <c r="K82" i="6"/>
  <c r="M70" i="6"/>
  <c r="P97" i="6"/>
  <c r="J132" i="6"/>
  <c r="T96" i="6"/>
  <c r="U66" i="6"/>
  <c r="U114" i="6"/>
  <c r="U67" i="6"/>
  <c r="U128" i="6"/>
  <c r="K95" i="6"/>
  <c r="O86" i="6"/>
  <c r="I92" i="6"/>
  <c r="G128" i="6"/>
  <c r="E50" i="6"/>
  <c r="Q126" i="6"/>
  <c r="J43" i="6"/>
  <c r="N133" i="6"/>
  <c r="D126" i="6"/>
  <c r="R89" i="6"/>
  <c r="D101" i="6"/>
  <c r="U65" i="6"/>
  <c r="K90" i="6"/>
  <c r="T69" i="6"/>
  <c r="T50" i="6"/>
  <c r="H93" i="6"/>
  <c r="H135" i="6"/>
  <c r="O138" i="6"/>
  <c r="C137" i="6"/>
  <c r="J140" i="6"/>
  <c r="J135" i="6"/>
  <c r="Q138" i="6"/>
  <c r="F134" i="6"/>
  <c r="M137" i="6"/>
  <c r="T140" i="6"/>
  <c r="F137" i="6"/>
  <c r="M140" i="6"/>
  <c r="G137" i="6"/>
  <c r="N140" i="6"/>
  <c r="K136" i="6"/>
  <c r="R139" i="6"/>
  <c r="L136" i="6"/>
  <c r="S139" i="6"/>
  <c r="M92" i="6"/>
  <c r="J88" i="6"/>
  <c r="E132" i="6"/>
  <c r="E115" i="6"/>
  <c r="T103" i="6"/>
  <c r="H74" i="6"/>
  <c r="L96" i="6"/>
  <c r="E99" i="6"/>
  <c r="C116" i="6"/>
  <c r="P112" i="6"/>
  <c r="P119" i="6"/>
  <c r="C98" i="6"/>
  <c r="M93" i="6"/>
  <c r="R50" i="6"/>
  <c r="U123" i="6"/>
  <c r="I111" i="6"/>
  <c r="L89" i="6"/>
  <c r="C75" i="6"/>
  <c r="O112" i="6"/>
  <c r="N74" i="6"/>
  <c r="C44" i="6"/>
  <c r="L110" i="6"/>
  <c r="Q97" i="6"/>
  <c r="N64" i="6"/>
  <c r="H73" i="6"/>
  <c r="R117" i="6"/>
  <c r="U74" i="6"/>
  <c r="M72" i="6"/>
  <c r="P44" i="6"/>
  <c r="N125" i="6"/>
  <c r="N101" i="6"/>
  <c r="Q59" i="6"/>
  <c r="M46" i="6"/>
  <c r="T63" i="6"/>
  <c r="U84" i="6"/>
  <c r="I96" i="6"/>
  <c r="L93" i="6"/>
  <c r="T55" i="6"/>
  <c r="R87" i="6"/>
  <c r="S128" i="6"/>
  <c r="K68" i="6"/>
  <c r="P56" i="6"/>
  <c r="L77" i="6"/>
  <c r="F52" i="6"/>
  <c r="P51" i="6"/>
  <c r="H90" i="6"/>
  <c r="T80" i="6"/>
  <c r="T107" i="6"/>
  <c r="M56" i="6"/>
  <c r="C63" i="6"/>
  <c r="E107" i="6"/>
  <c r="E86" i="6"/>
  <c r="O58" i="6"/>
  <c r="T88" i="6"/>
  <c r="F83" i="6"/>
  <c r="D57" i="6"/>
  <c r="D121" i="6"/>
  <c r="P50" i="6"/>
  <c r="E130" i="6"/>
  <c r="T133" i="6"/>
  <c r="O78" i="6"/>
  <c r="S53" i="6"/>
  <c r="I45" i="6"/>
  <c r="S124" i="6"/>
  <c r="E74" i="6"/>
  <c r="F77" i="6"/>
  <c r="H86" i="6"/>
  <c r="G86" i="6"/>
  <c r="P135" i="6"/>
  <c r="D139" i="6"/>
  <c r="D134" i="6"/>
  <c r="K137" i="6"/>
  <c r="R140" i="6"/>
  <c r="R135" i="6"/>
  <c r="F139" i="6"/>
  <c r="N134" i="6"/>
  <c r="U137" i="6"/>
  <c r="G134" i="6"/>
  <c r="N137" i="6"/>
  <c r="U140" i="6"/>
  <c r="H134" i="6"/>
  <c r="O137" i="6"/>
  <c r="S136" i="6"/>
  <c r="G140" i="6"/>
  <c r="T136" i="6"/>
  <c r="H140" i="6"/>
  <c r="N105" i="6"/>
  <c r="S131" i="6"/>
  <c r="C127" i="6"/>
  <c r="R115" i="6"/>
  <c r="T104" i="6"/>
  <c r="F105" i="6"/>
  <c r="Q75" i="6"/>
  <c r="H111" i="6"/>
  <c r="L84" i="6"/>
  <c r="G90" i="6"/>
  <c r="I93" i="6"/>
  <c r="Q48" i="6"/>
  <c r="U105" i="6"/>
  <c r="L81" i="6"/>
  <c r="R72" i="6"/>
  <c r="J46" i="6"/>
  <c r="Q79" i="6"/>
  <c r="N109" i="6"/>
  <c r="J90" i="6"/>
  <c r="J125" i="6"/>
  <c r="F121" i="6"/>
  <c r="N50" i="6"/>
  <c r="O131" i="6"/>
  <c r="H81" i="6"/>
  <c r="R70" i="6"/>
  <c r="I46" i="6"/>
  <c r="D106" i="6"/>
  <c r="H103" i="6"/>
  <c r="C95" i="6"/>
  <c r="Q93" i="6"/>
  <c r="E98" i="6"/>
  <c r="I56" i="6"/>
  <c r="C85" i="6"/>
  <c r="Q101" i="6"/>
  <c r="I132" i="6"/>
  <c r="I61" i="6"/>
  <c r="G50" i="6"/>
  <c r="F46" i="6"/>
  <c r="Q130" i="6"/>
  <c r="F74" i="6"/>
  <c r="M59" i="6"/>
  <c r="G71" i="6"/>
  <c r="D53" i="6"/>
  <c r="H124" i="6"/>
  <c r="K76" i="6"/>
  <c r="C113" i="6"/>
  <c r="P106" i="6"/>
  <c r="R118" i="6"/>
  <c r="T58" i="6"/>
  <c r="T52" i="6"/>
  <c r="Q102" i="6"/>
  <c r="T82" i="6"/>
  <c r="H125" i="6"/>
  <c r="N87" i="6"/>
  <c r="Q61" i="6"/>
  <c r="K56" i="6"/>
  <c r="D133" i="6"/>
  <c r="P93" i="6"/>
  <c r="F69" i="6"/>
  <c r="G95" i="6"/>
  <c r="E136" i="6"/>
  <c r="L139" i="6"/>
  <c r="L134" i="6"/>
  <c r="S137" i="6"/>
  <c r="G136" i="6"/>
  <c r="N139" i="6"/>
  <c r="C135" i="6"/>
  <c r="J138" i="6"/>
  <c r="O134" i="6"/>
  <c r="C138" i="6"/>
  <c r="P134" i="6"/>
  <c r="D138" i="6"/>
  <c r="H137" i="6"/>
  <c r="O140" i="6"/>
  <c r="I137" i="6"/>
  <c r="P140" i="6"/>
  <c r="F84" i="6"/>
  <c r="F130" i="6"/>
  <c r="M89" i="6"/>
  <c r="I94" i="6"/>
  <c r="I68" i="6"/>
  <c r="D118" i="6"/>
  <c r="H97" i="6"/>
  <c r="F131" i="6"/>
  <c r="C104" i="6"/>
  <c r="I119" i="6"/>
  <c r="D93" i="6"/>
  <c r="R107" i="6"/>
  <c r="E103" i="6"/>
  <c r="M90" i="6"/>
  <c r="C52" i="6"/>
  <c r="D85" i="6"/>
  <c r="M125" i="6"/>
  <c r="O116" i="6"/>
  <c r="G114" i="6"/>
  <c r="G119" i="6"/>
  <c r="Q70" i="6"/>
  <c r="C129" i="6"/>
  <c r="P108" i="6"/>
  <c r="J67" i="6"/>
  <c r="G104" i="6"/>
  <c r="L133" i="6"/>
  <c r="C92" i="6"/>
  <c r="I85" i="6"/>
  <c r="G89" i="6"/>
  <c r="M87" i="6"/>
  <c r="S72" i="6"/>
  <c r="N76" i="6"/>
  <c r="S56" i="6"/>
  <c r="I82" i="6"/>
  <c r="T132" i="6"/>
  <c r="D45" i="6"/>
  <c r="I83" i="6"/>
  <c r="S81" i="6"/>
  <c r="N47" i="6"/>
  <c r="J116" i="6"/>
  <c r="T59" i="6"/>
  <c r="D68" i="6"/>
  <c r="M136" i="6"/>
  <c r="T139" i="6"/>
  <c r="T134" i="6"/>
  <c r="H138" i="6"/>
  <c r="O136" i="6"/>
  <c r="C140" i="6"/>
  <c r="K135" i="6"/>
  <c r="R138" i="6"/>
  <c r="D135" i="6"/>
  <c r="K138" i="6"/>
  <c r="E135" i="6"/>
  <c r="L138" i="6"/>
  <c r="I134" i="6"/>
  <c r="P137" i="6"/>
  <c r="J134" i="6"/>
  <c r="Q137" i="6"/>
  <c r="F113" i="6"/>
  <c r="R65" i="6"/>
  <c r="I102" i="6"/>
  <c r="T128" i="6"/>
  <c r="G70" i="6"/>
  <c r="L128" i="6"/>
  <c r="N124" i="6"/>
  <c r="G126" i="6"/>
  <c r="P59" i="6"/>
  <c r="P122" i="6"/>
  <c r="R75" i="6"/>
  <c r="H120" i="6"/>
  <c r="G101" i="6"/>
  <c r="S70" i="6"/>
  <c r="S123" i="6"/>
  <c r="I66" i="6"/>
  <c r="H131" i="6"/>
  <c r="N77" i="6"/>
  <c r="J123" i="6"/>
  <c r="P88" i="6"/>
  <c r="T110" i="6"/>
  <c r="U61" i="6"/>
  <c r="E94" i="6"/>
  <c r="D67" i="6"/>
  <c r="R94" i="6"/>
  <c r="I75" i="6"/>
  <c r="R131" i="6"/>
  <c r="P126" i="6"/>
  <c r="R130" i="6"/>
  <c r="Q121" i="6"/>
  <c r="S90" i="6"/>
  <c r="E127" i="6"/>
  <c r="L80" i="6"/>
  <c r="C74" i="6"/>
  <c r="G66" i="6"/>
  <c r="D116" i="6"/>
  <c r="M54" i="6"/>
  <c r="T111" i="6"/>
  <c r="S91" i="6"/>
  <c r="E126" i="6"/>
  <c r="I109" i="6"/>
  <c r="E48" i="6"/>
  <c r="K47" i="6"/>
  <c r="M121" i="6"/>
  <c r="G122" i="6"/>
  <c r="O61" i="6"/>
  <c r="U119" i="6"/>
  <c r="I114" i="6"/>
  <c r="T49" i="6"/>
  <c r="F55" i="6"/>
  <c r="U96" i="6"/>
  <c r="P68" i="6"/>
  <c r="J120" i="6"/>
  <c r="Q57" i="6"/>
  <c r="S66" i="6"/>
  <c r="H123" i="6"/>
  <c r="S89" i="6"/>
  <c r="P87" i="6"/>
  <c r="H98" i="6"/>
  <c r="N108" i="6"/>
  <c r="T75" i="6"/>
  <c r="K55" i="6"/>
  <c r="O43" i="6"/>
  <c r="N110" i="6"/>
  <c r="F44" i="6"/>
  <c r="P111" i="6"/>
  <c r="D92" i="6"/>
  <c r="G93" i="6"/>
  <c r="G61" i="6"/>
  <c r="G46" i="6"/>
  <c r="K75" i="6"/>
  <c r="G98" i="6"/>
  <c r="U99" i="6"/>
  <c r="P43" i="6"/>
  <c r="P48" i="6"/>
  <c r="K57" i="6"/>
  <c r="T90" i="6"/>
  <c r="E108" i="6"/>
  <c r="P85" i="6"/>
  <c r="L92" i="6"/>
  <c r="S45" i="6"/>
  <c r="H99" i="6"/>
  <c r="C82" i="6"/>
  <c r="K127" i="6"/>
  <c r="P58" i="6"/>
  <c r="G55" i="6"/>
  <c r="M111" i="6"/>
  <c r="N129" i="6"/>
  <c r="Q120" i="6"/>
  <c r="U71" i="6"/>
  <c r="U116" i="6"/>
  <c r="I59" i="6"/>
  <c r="O69" i="6"/>
  <c r="U88" i="6"/>
  <c r="F87" i="6"/>
  <c r="F68" i="6"/>
  <c r="G52" i="6"/>
  <c r="D104" i="6"/>
  <c r="U76" i="6"/>
  <c r="P47" i="6"/>
  <c r="E46" i="6"/>
  <c r="F126" i="6"/>
  <c r="D84" i="6"/>
  <c r="U45" i="6"/>
  <c r="H92" i="6"/>
  <c r="J124" i="6"/>
  <c r="I53" i="6"/>
  <c r="U70" i="6"/>
  <c r="R60" i="6"/>
  <c r="I101" i="6"/>
  <c r="L59" i="6"/>
  <c r="T73" i="6"/>
  <c r="U118" i="6"/>
  <c r="M131" i="6"/>
  <c r="Q43" i="6"/>
  <c r="K93" i="6"/>
  <c r="C86" i="6"/>
  <c r="T71" i="6"/>
  <c r="R63" i="6"/>
  <c r="P57" i="6"/>
  <c r="K49" i="6"/>
  <c r="Q49" i="6"/>
  <c r="R54" i="6"/>
  <c r="C71" i="6"/>
  <c r="E120" i="6"/>
  <c r="Q86" i="6"/>
  <c r="U89" i="6"/>
  <c r="I120" i="6"/>
  <c r="L97" i="6"/>
  <c r="H127" i="6"/>
  <c r="N113" i="6"/>
  <c r="H133" i="6"/>
  <c r="Q116" i="6"/>
  <c r="G67" i="6"/>
  <c r="K65" i="6"/>
  <c r="D69" i="6"/>
  <c r="M69" i="6"/>
  <c r="H82" i="6"/>
  <c r="Q45" i="6"/>
  <c r="L115" i="6"/>
  <c r="Q132" i="6"/>
  <c r="E123" i="6"/>
  <c r="Q58" i="6"/>
  <c r="H84" i="6"/>
  <c r="C109" i="6"/>
  <c r="G49" i="6"/>
  <c r="E56" i="6"/>
  <c r="R123" i="6"/>
  <c r="K125" i="6"/>
  <c r="I69" i="6"/>
  <c r="M129" i="6"/>
  <c r="O62" i="6"/>
  <c r="M48" i="6"/>
  <c r="D113" i="6"/>
  <c r="O80" i="6"/>
  <c r="D86" i="6"/>
  <c r="U78" i="6"/>
  <c r="Q103" i="6"/>
  <c r="M110" i="6"/>
  <c r="R116" i="6"/>
  <c r="Q108" i="6"/>
  <c r="R84" i="6"/>
  <c r="S126" i="6"/>
  <c r="C59" i="6"/>
  <c r="D76" i="6"/>
  <c r="I99" i="6"/>
  <c r="N100" i="6"/>
  <c r="Q119" i="6"/>
  <c r="G48" i="6"/>
  <c r="J54" i="6"/>
  <c r="N60" i="6"/>
  <c r="U90" i="6"/>
  <c r="J106" i="6"/>
  <c r="K71" i="6"/>
  <c r="J98" i="6"/>
  <c r="M107" i="6"/>
  <c r="D74" i="6"/>
  <c r="T102" i="6"/>
  <c r="E60" i="6"/>
  <c r="J130" i="6"/>
  <c r="K70" i="6"/>
  <c r="L82" i="6"/>
  <c r="N88" i="6"/>
  <c r="K92" i="6"/>
  <c r="L46" i="6"/>
  <c r="S117" i="6"/>
  <c r="D65" i="6"/>
  <c r="R55" i="6"/>
  <c r="F89" i="6"/>
  <c r="C57" i="6"/>
  <c r="D66" i="6"/>
  <c r="N86" i="6"/>
  <c r="I91" i="6"/>
  <c r="N48" i="6"/>
  <c r="O96" i="6"/>
  <c r="E110" i="6"/>
  <c r="S60" i="6"/>
  <c r="K62" i="6"/>
  <c r="D87" i="6"/>
  <c r="H96" i="6"/>
  <c r="E79" i="6"/>
  <c r="P63" i="6"/>
  <c r="P49" i="6"/>
  <c r="K105" i="6"/>
  <c r="H59" i="6"/>
  <c r="K113" i="6"/>
  <c r="M58" i="6"/>
  <c r="F117" i="6"/>
  <c r="J96" i="6"/>
  <c r="U80" i="6"/>
  <c r="E66" i="6"/>
  <c r="O71" i="6"/>
  <c r="H51" i="6"/>
  <c r="L67" i="6"/>
  <c r="H94" i="6"/>
  <c r="K128" i="6"/>
  <c r="Q47" i="6"/>
  <c r="C105" i="6"/>
  <c r="M83" i="6"/>
  <c r="M96" i="6"/>
  <c r="J56" i="6"/>
  <c r="Q99" i="6"/>
  <c r="F101" i="6"/>
  <c r="R129" i="6"/>
  <c r="R79" i="6"/>
  <c r="P67" i="6"/>
  <c r="Q98" i="6"/>
  <c r="K109" i="6"/>
  <c r="L74" i="6"/>
  <c r="H89" i="6"/>
  <c r="J64" i="6"/>
  <c r="D99" i="6"/>
  <c r="D54" i="6"/>
  <c r="P118" i="6"/>
  <c r="J87" i="6"/>
  <c r="H54" i="6"/>
  <c r="Q96" i="6"/>
  <c r="K58" i="6"/>
  <c r="L105" i="6"/>
  <c r="F67" i="6"/>
  <c r="K63" i="6"/>
  <c r="O109" i="6"/>
  <c r="O84" i="6"/>
  <c r="D100" i="6"/>
  <c r="D120" i="6"/>
  <c r="S71" i="6"/>
  <c r="T44" i="6"/>
  <c r="O118" i="6"/>
  <c r="P55" i="6"/>
  <c r="H105" i="6"/>
  <c r="E102" i="6"/>
  <c r="T115" i="6"/>
  <c r="E95" i="6"/>
  <c r="P64" i="6"/>
  <c r="U63" i="6"/>
  <c r="K122" i="6"/>
  <c r="N121" i="6"/>
  <c r="K100" i="6"/>
  <c r="J83" i="6"/>
  <c r="H71" i="6"/>
  <c r="C130" i="6"/>
  <c r="U49" i="6"/>
  <c r="P83" i="6"/>
  <c r="D48" i="6"/>
  <c r="J49" i="6"/>
  <c r="D44" i="6"/>
  <c r="G57" i="6"/>
  <c r="E64" i="6"/>
  <c r="S84" i="6"/>
  <c r="I124" i="6"/>
  <c r="D70" i="6"/>
  <c r="H69" i="6"/>
  <c r="U94" i="6"/>
  <c r="L130" i="6"/>
  <c r="E57" i="6"/>
  <c r="U117" i="6"/>
  <c r="R119" i="6"/>
  <c r="U125" i="6"/>
  <c r="G81" i="6"/>
  <c r="P61" i="6"/>
  <c r="F56" i="6"/>
  <c r="C123" i="6"/>
  <c r="K83" i="6"/>
  <c r="E45" i="6"/>
  <c r="E61" i="6"/>
  <c r="F72" i="6"/>
  <c r="J104" i="6"/>
  <c r="M116" i="6"/>
  <c r="Q54" i="6"/>
  <c r="K129" i="6"/>
  <c r="U93" i="6"/>
  <c r="U64" i="6"/>
  <c r="N122" i="6"/>
  <c r="H83" i="6"/>
  <c r="K53" i="6"/>
  <c r="P115" i="6"/>
  <c r="I108" i="6"/>
  <c r="P80" i="6"/>
  <c r="H121" i="6"/>
  <c r="S130" i="6"/>
  <c r="G113" i="6"/>
  <c r="E59" i="6"/>
  <c r="T124" i="6"/>
  <c r="S74" i="6"/>
  <c r="J74" i="6"/>
  <c r="E51" i="6"/>
  <c r="L68" i="6"/>
  <c r="H44" i="6"/>
  <c r="N73" i="6"/>
  <c r="J119" i="6"/>
  <c r="U100" i="6"/>
  <c r="K132" i="6"/>
  <c r="G99" i="6"/>
  <c r="G56" i="6"/>
  <c r="I107" i="6"/>
  <c r="N107" i="6"/>
  <c r="Q129" i="6"/>
  <c r="E93" i="6"/>
  <c r="G106" i="6"/>
  <c r="I76" i="6"/>
  <c r="G124" i="6"/>
  <c r="I55" i="6"/>
  <c r="M57" i="6"/>
  <c r="K88" i="6"/>
  <c r="L78" i="6"/>
  <c r="S104" i="6"/>
  <c r="N61" i="6"/>
  <c r="H75" i="6"/>
  <c r="T108" i="6"/>
  <c r="F91" i="6"/>
  <c r="F102" i="6"/>
  <c r="M94" i="6"/>
  <c r="K46" i="6"/>
  <c r="G133" i="6"/>
  <c r="T125" i="6"/>
  <c r="P94" i="6"/>
  <c r="N115" i="6"/>
  <c r="O73" i="6"/>
  <c r="U79" i="6"/>
  <c r="U107" i="6"/>
  <c r="P105" i="6"/>
  <c r="F122" i="6"/>
  <c r="E113" i="6"/>
  <c r="F66" i="6"/>
  <c r="H43" i="6"/>
  <c r="P60" i="6"/>
  <c r="G97" i="6"/>
  <c r="F100" i="6"/>
  <c r="E65" i="6"/>
  <c r="U91" i="6"/>
  <c r="S99" i="6"/>
  <c r="J97" i="6"/>
  <c r="J112" i="6"/>
  <c r="L100" i="6"/>
  <c r="C87" i="6"/>
  <c r="N63" i="6"/>
  <c r="M130" i="6"/>
  <c r="S44" i="6"/>
  <c r="C96" i="6"/>
  <c r="S115" i="6"/>
  <c r="M82" i="6"/>
  <c r="I47" i="6"/>
  <c r="K84" i="6"/>
  <c r="F71" i="6"/>
  <c r="L88" i="6"/>
  <c r="U104" i="6"/>
  <c r="H130" i="6"/>
  <c r="P52" i="6"/>
  <c r="G63" i="6"/>
  <c r="J57" i="6"/>
  <c r="H87" i="6"/>
  <c r="C111" i="6"/>
  <c r="C91" i="6"/>
  <c r="F128" i="6"/>
  <c r="M78" i="6"/>
  <c r="M132" i="6"/>
  <c r="O133" i="6"/>
  <c r="R88" i="6"/>
  <c r="I62" i="6"/>
  <c r="M123" i="6"/>
  <c r="E43" i="6"/>
  <c r="P89" i="6"/>
  <c r="N91" i="6"/>
  <c r="J117" i="6"/>
  <c r="I98" i="6"/>
  <c r="O126" i="6"/>
  <c r="L47" i="6"/>
  <c r="S119" i="6"/>
  <c r="H115" i="6"/>
  <c r="D98" i="6"/>
  <c r="Q106" i="6"/>
  <c r="F81" i="6"/>
  <c r="F65" i="6"/>
  <c r="N70" i="6"/>
  <c r="O67" i="6"/>
  <c r="U110" i="6"/>
  <c r="D51" i="6"/>
  <c r="E105" i="6"/>
  <c r="G82" i="6"/>
  <c r="H132" i="6"/>
  <c r="Q77" i="6"/>
  <c r="L71" i="6"/>
  <c r="D55" i="6"/>
  <c r="D131" i="6"/>
  <c r="O48" i="6"/>
  <c r="D112" i="6"/>
  <c r="Q72" i="6"/>
  <c r="I118" i="6"/>
  <c r="M95" i="6"/>
  <c r="R78" i="6"/>
  <c r="C102" i="6"/>
  <c r="O74" i="6"/>
  <c r="N131" i="6"/>
  <c r="D77" i="6"/>
  <c r="Q89" i="6"/>
  <c r="G132" i="6"/>
  <c r="O50" i="6"/>
  <c r="R128" i="6"/>
  <c r="H79" i="6"/>
  <c r="T51" i="6"/>
  <c r="F132" i="6"/>
  <c r="H46" i="6"/>
  <c r="U121" i="6"/>
  <c r="T46" i="6"/>
  <c r="S100" i="6"/>
  <c r="E121" i="6"/>
  <c r="N94" i="6"/>
  <c r="P79" i="6"/>
  <c r="C46" i="6"/>
  <c r="H77" i="6"/>
  <c r="Q81" i="6"/>
  <c r="J58" i="6"/>
  <c r="G74" i="6"/>
  <c r="S107" i="6"/>
  <c r="D102" i="6"/>
  <c r="P116" i="6"/>
  <c r="F94" i="6"/>
  <c r="C55" i="6"/>
  <c r="F75" i="6"/>
  <c r="C49" i="6"/>
  <c r="N69" i="6"/>
  <c r="S80" i="6"/>
  <c r="Q90" i="6"/>
  <c r="M84" i="6"/>
  <c r="R113" i="6"/>
  <c r="C103" i="6"/>
  <c r="G58" i="6"/>
  <c r="G111" i="6"/>
  <c r="E104" i="6"/>
  <c r="D79" i="6"/>
  <c r="S94" i="6"/>
  <c r="O91" i="6"/>
  <c r="R69" i="6"/>
  <c r="M52" i="6"/>
  <c r="S65" i="6"/>
  <c r="E128" i="6"/>
  <c r="J92" i="6"/>
  <c r="G109" i="6"/>
  <c r="M44" i="6"/>
  <c r="F88" i="6"/>
  <c r="S116" i="6"/>
  <c r="L108" i="6"/>
  <c r="F54" i="6"/>
  <c r="E92" i="6"/>
  <c r="F48" i="6"/>
  <c r="L66" i="6"/>
  <c r="G110" i="6"/>
  <c r="T101" i="6"/>
  <c r="E114" i="6"/>
  <c r="D80" i="6"/>
  <c r="G69" i="6"/>
  <c r="H122" i="6"/>
  <c r="R97" i="6"/>
  <c r="K131" i="6"/>
  <c r="G125" i="6"/>
  <c r="L129" i="6"/>
  <c r="O70" i="6"/>
  <c r="O115" i="6"/>
  <c r="U103" i="6"/>
  <c r="C101" i="6"/>
  <c r="I67" i="6"/>
  <c r="U58" i="6"/>
  <c r="K80" i="6"/>
  <c r="M112" i="6"/>
  <c r="I117" i="6"/>
  <c r="J44" i="6"/>
  <c r="L95" i="6"/>
  <c r="Q133" i="6"/>
  <c r="T119" i="6"/>
  <c r="L98" i="6"/>
  <c r="O92" i="6"/>
  <c r="U97" i="6"/>
  <c r="P107" i="6"/>
  <c r="I63" i="6"/>
  <c r="R106" i="6"/>
  <c r="K64" i="6"/>
  <c r="P81" i="6"/>
  <c r="J70" i="6"/>
  <c r="M124" i="6"/>
  <c r="J76" i="6"/>
  <c r="G130" i="6"/>
  <c r="D103" i="6"/>
  <c r="D91" i="6"/>
  <c r="O90" i="6"/>
  <c r="I121" i="6"/>
  <c r="R59" i="6"/>
  <c r="O83" i="6"/>
  <c r="N117" i="6"/>
  <c r="F85" i="6"/>
  <c r="C93" i="6"/>
  <c r="K118" i="6"/>
  <c r="K86" i="6"/>
  <c r="P75" i="6"/>
  <c r="Q88" i="6"/>
  <c r="H66" i="6"/>
  <c r="G77" i="6"/>
  <c r="R112" i="6"/>
  <c r="S97" i="6"/>
  <c r="I125" i="6"/>
  <c r="N92" i="6"/>
  <c r="N57" i="6"/>
  <c r="T105" i="6"/>
  <c r="F57" i="6"/>
  <c r="O85" i="6"/>
  <c r="M79" i="6"/>
  <c r="F115" i="6"/>
  <c r="G105" i="6"/>
  <c r="J108" i="6"/>
  <c r="L106" i="6"/>
  <c r="H62" i="6"/>
  <c r="D61" i="6"/>
  <c r="C106" i="6"/>
  <c r="N103" i="6"/>
  <c r="O72" i="6"/>
  <c r="U72" i="6"/>
  <c r="R122" i="6"/>
  <c r="P120" i="6"/>
  <c r="N120" i="6"/>
  <c r="E118" i="6"/>
  <c r="E87" i="6"/>
  <c r="U111" i="6"/>
  <c r="N104" i="6"/>
  <c r="E124" i="6"/>
  <c r="H117" i="6"/>
  <c r="P128" i="6"/>
  <c r="N80" i="6"/>
  <c r="H58" i="6"/>
  <c r="T77" i="6"/>
  <c r="T65" i="6"/>
  <c r="K119" i="6"/>
  <c r="J128" i="6"/>
  <c r="O97" i="6"/>
  <c r="R71" i="6"/>
  <c r="N55" i="6"/>
  <c r="H76" i="6"/>
  <c r="U77" i="6"/>
  <c r="K98" i="6"/>
  <c r="C99" i="6"/>
  <c r="Q131" i="6"/>
  <c r="P91" i="6"/>
  <c r="L117" i="6"/>
  <c r="T62" i="6"/>
  <c r="E101" i="6"/>
  <c r="R101" i="6"/>
  <c r="N85" i="6"/>
  <c r="K104" i="6"/>
  <c r="L70" i="6"/>
  <c r="H64" i="6"/>
  <c r="M65" i="6"/>
  <c r="N99" i="6"/>
  <c r="N67" i="6"/>
  <c r="P95" i="6"/>
  <c r="S129" i="6"/>
  <c r="G76" i="6"/>
  <c r="C54" i="6"/>
  <c r="Q128" i="6"/>
  <c r="C108" i="6"/>
  <c r="K85" i="6"/>
  <c r="N130" i="6"/>
  <c r="M73" i="6"/>
  <c r="Q92" i="6"/>
  <c r="K123" i="6"/>
  <c r="S54" i="6"/>
  <c r="J109" i="6"/>
  <c r="U48" i="6"/>
  <c r="L123" i="6"/>
  <c r="C89" i="6"/>
  <c r="P113" i="6"/>
  <c r="C107" i="6"/>
  <c r="F90" i="6"/>
  <c r="J59" i="6"/>
  <c r="P82" i="6"/>
  <c r="T114" i="6"/>
  <c r="L65" i="6"/>
  <c r="O117" i="6"/>
  <c r="R104" i="6"/>
  <c r="Q78" i="6"/>
  <c r="M119" i="6"/>
  <c r="I73" i="6"/>
  <c r="Q109" i="6"/>
  <c r="Q87" i="6"/>
  <c r="G100" i="6"/>
  <c r="D129" i="6"/>
  <c r="P90" i="6"/>
  <c r="C117" i="6"/>
  <c r="U81" i="6"/>
  <c r="O122" i="6"/>
  <c r="E52" i="6"/>
  <c r="K44" i="6"/>
  <c r="G79" i="6"/>
  <c r="T81" i="6"/>
  <c r="U86" i="6"/>
  <c r="J69" i="6"/>
  <c r="K79" i="6"/>
  <c r="I100" i="6"/>
  <c r="E106" i="6"/>
  <c r="N96" i="6"/>
  <c r="D63" i="6"/>
  <c r="G120" i="6"/>
  <c r="U92" i="6"/>
  <c r="K130" i="6"/>
  <c r="N112" i="6"/>
  <c r="E89" i="6"/>
  <c r="Q117" i="6"/>
  <c r="G78" i="6"/>
  <c r="U69" i="6"/>
  <c r="G60" i="6"/>
  <c r="J60" i="6"/>
  <c r="R125" i="6"/>
  <c r="K124" i="6"/>
  <c r="F86" i="6"/>
  <c r="P72" i="6"/>
  <c r="C88" i="6"/>
  <c r="R91" i="6"/>
  <c r="O123" i="6"/>
  <c r="Q82" i="6"/>
  <c r="D94" i="6"/>
  <c r="J133" i="6"/>
  <c r="R68" i="6"/>
  <c r="M337" i="1"/>
  <c r="M312" i="1"/>
  <c r="M324" i="1"/>
  <c r="M316" i="1"/>
  <c r="J31" i="3"/>
  <c r="M347" i="1"/>
  <c r="K31" i="3"/>
  <c r="M949" i="1"/>
  <c r="M865" i="1"/>
  <c r="M839" i="1"/>
  <c r="M876" i="1"/>
  <c r="M855" i="1"/>
  <c r="M866" i="1"/>
  <c r="M549" i="1"/>
  <c r="M674" i="1"/>
  <c r="M613" i="1"/>
  <c r="M487" i="1"/>
  <c r="M442" i="1"/>
  <c r="M352" i="1"/>
  <c r="E44" i="6"/>
  <c r="Q71" i="6"/>
  <c r="K96" i="6"/>
  <c r="G68" i="6"/>
  <c r="T116" i="6"/>
  <c r="K67" i="6"/>
  <c r="P66" i="6"/>
  <c r="H68" i="6"/>
  <c r="I54" i="6"/>
  <c r="J68" i="6"/>
  <c r="U124" i="6"/>
  <c r="N93" i="6"/>
  <c r="L107" i="6"/>
  <c r="T86" i="6"/>
  <c r="I90" i="6"/>
  <c r="G54" i="6"/>
  <c r="C45" i="6"/>
  <c r="H52" i="6"/>
  <c r="S103" i="6"/>
  <c r="N123" i="6"/>
  <c r="S47" i="6"/>
  <c r="G108" i="6"/>
  <c r="Q124" i="6"/>
  <c r="H45" i="6"/>
  <c r="P70" i="6"/>
  <c r="P110" i="6"/>
  <c r="H57" i="6"/>
  <c r="T122" i="6"/>
  <c r="P46" i="6"/>
  <c r="F76" i="6"/>
  <c r="K43" i="6"/>
  <c r="N116" i="6"/>
  <c r="O47" i="6"/>
  <c r="T83" i="6"/>
  <c r="R67" i="6"/>
  <c r="N84" i="6"/>
  <c r="E70" i="6"/>
  <c r="S59" i="6"/>
  <c r="S76" i="6"/>
  <c r="O53" i="6"/>
  <c r="I64" i="6"/>
  <c r="C72" i="6"/>
  <c r="J131" i="6"/>
  <c r="O77" i="6"/>
  <c r="U50" i="6"/>
  <c r="D109" i="6"/>
  <c r="H48" i="6"/>
  <c r="Q91" i="6"/>
  <c r="D108" i="6"/>
  <c r="Q105" i="6"/>
  <c r="J126" i="6"/>
  <c r="K51" i="6"/>
  <c r="O119" i="6"/>
  <c r="H110" i="6"/>
  <c r="S95" i="6"/>
  <c r="N132" i="6"/>
  <c r="J47" i="6"/>
  <c r="M114" i="6"/>
  <c r="G84" i="6"/>
  <c r="K89" i="6"/>
  <c r="O94" i="6"/>
  <c r="D124" i="6"/>
  <c r="N82" i="6"/>
  <c r="J81" i="6"/>
  <c r="J48" i="6"/>
  <c r="U54" i="6"/>
  <c r="P121" i="6"/>
  <c r="O113" i="6"/>
  <c r="U56" i="6"/>
  <c r="N97" i="6"/>
  <c r="K59" i="6"/>
  <c r="I106" i="6"/>
  <c r="M63" i="6"/>
  <c r="O64" i="6"/>
  <c r="P77" i="6"/>
  <c r="O130" i="6"/>
  <c r="R86" i="6"/>
  <c r="O99" i="6"/>
  <c r="O87" i="6"/>
  <c r="M97" i="6"/>
  <c r="J118" i="6"/>
  <c r="C83" i="6"/>
  <c r="E88" i="6"/>
  <c r="U55" i="6"/>
  <c r="E68" i="6"/>
  <c r="K126" i="6"/>
  <c r="S73" i="6"/>
  <c r="D125" i="6"/>
  <c r="G47" i="6"/>
  <c r="K87" i="6"/>
  <c r="R114" i="6"/>
  <c r="R61" i="6"/>
  <c r="J105" i="6"/>
  <c r="S114" i="6"/>
  <c r="L72" i="6"/>
  <c r="S102" i="6"/>
  <c r="M331" i="1"/>
  <c r="M315" i="1"/>
  <c r="C126" i="6"/>
  <c r="H78" i="6"/>
  <c r="R126" i="6"/>
  <c r="E75" i="6"/>
  <c r="P45" i="6"/>
  <c r="P53" i="6"/>
  <c r="H102" i="6"/>
  <c r="U120" i="6"/>
  <c r="S55" i="6"/>
  <c r="P99" i="6"/>
  <c r="D114" i="6"/>
  <c r="I122" i="6"/>
  <c r="T85" i="6"/>
  <c r="S96" i="6"/>
  <c r="D89" i="6"/>
  <c r="D97" i="6"/>
  <c r="E117" i="6"/>
  <c r="C97" i="6"/>
  <c r="S106" i="6"/>
  <c r="R46" i="6"/>
  <c r="C48" i="6"/>
  <c r="K77" i="6"/>
  <c r="T56" i="6"/>
  <c r="I58" i="6"/>
  <c r="E83" i="6"/>
  <c r="F111" i="6"/>
  <c r="C132" i="6"/>
  <c r="E129" i="6"/>
  <c r="M133" i="6"/>
  <c r="U129" i="6"/>
  <c r="C61" i="6"/>
  <c r="D95" i="6"/>
  <c r="J75" i="6"/>
  <c r="D78" i="6"/>
  <c r="L58" i="6"/>
  <c r="L109" i="6"/>
  <c r="T72" i="6"/>
  <c r="S92" i="6"/>
  <c r="C65" i="6"/>
  <c r="F43" i="6"/>
  <c r="T67" i="6"/>
  <c r="L75" i="6"/>
  <c r="J85" i="6"/>
  <c r="F106" i="6"/>
  <c r="J55" i="6"/>
  <c r="D62" i="6"/>
  <c r="T127" i="6"/>
  <c r="F96" i="6"/>
  <c r="F70" i="6"/>
  <c r="O88" i="6"/>
  <c r="D60" i="6"/>
  <c r="F98" i="6"/>
  <c r="O59" i="6"/>
  <c r="C125" i="6"/>
  <c r="O114" i="6"/>
  <c r="L49" i="6"/>
  <c r="M81" i="6"/>
  <c r="H80" i="6"/>
  <c r="L87" i="6"/>
  <c r="T60" i="6"/>
  <c r="J95" i="6"/>
  <c r="P101" i="6"/>
  <c r="M43" i="6"/>
  <c r="K54" i="6"/>
  <c r="Q50" i="6"/>
  <c r="C128" i="6"/>
  <c r="T130" i="6"/>
  <c r="I79" i="6"/>
  <c r="K101" i="6"/>
  <c r="M85" i="6"/>
  <c r="G96" i="6"/>
  <c r="S64" i="6"/>
  <c r="I105" i="6"/>
  <c r="Q55" i="6"/>
  <c r="R56" i="6"/>
  <c r="M98" i="6"/>
  <c r="Q107" i="6"/>
  <c r="D72" i="6"/>
  <c r="I112" i="6"/>
  <c r="O102" i="6"/>
  <c r="R82" i="6"/>
  <c r="C43" i="6"/>
  <c r="T93" i="6"/>
  <c r="O54" i="6"/>
  <c r="K52" i="6"/>
  <c r="I49" i="6"/>
  <c r="AA26" i="3"/>
  <c r="V12" i="3"/>
  <c r="AA29" i="3"/>
  <c r="AA19" i="3"/>
  <c r="AA27" i="3"/>
  <c r="AA32" i="3"/>
  <c r="AA31" i="3"/>
  <c r="AA28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35" i="3"/>
  <c r="AA13" i="3"/>
  <c r="AA15" i="3"/>
  <c r="AA5" i="3"/>
  <c r="AA7" i="3"/>
  <c r="AA30" i="3"/>
  <c r="V18" i="3"/>
  <c r="V5" i="3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0" i="6" l="1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<sst xmlns="http://schemas.openxmlformats.org/spreadsheetml/2006/main" count="7786" uniqueCount="190">
  <si>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</si>
  <si>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</si>
  <si>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</si>
  <si>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</si>
  <si>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</si>
  <si>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</si>
  <si>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</si>
  <si>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</si>
  <si>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</si>
  <si>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</si>
  <si>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</si>
  <si>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</si>
  <si>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</si>
  <si>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</si>
  <si>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</si>
  <si>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</si>
  <si>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</si>
  <si>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</si>
  <si>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</si>
  <si>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</si>
  <si>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</si>
  <si>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</si>
  <si>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</si>
  <si>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</si>
  <si>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</si>
  <si>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</si>
  <si>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</si>
  <si>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</si>
  <si>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</si>
  <si>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</si>
  <si>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</si>
  <si>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</si>
  <si>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</si>
  <si>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</si>
  <si>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</si>
  <si>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</si>
  <si>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</si>
  <si>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</si>
  <si>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</si>
  <si>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</si>
  <si>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</si>
  <si>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</si>
  <si>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</si>
  <si>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</si>
  <si>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</si>
  <si>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</si>
  <si>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</si>
  <si>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</si>
  <si>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</si>
  <si>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</si>
  <si>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</si>
  <si>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</si>
  <si>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</si>
  <si>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</si>
  <si>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</si>
  <si>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</si>
  <si>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</si>
  <si>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</si>
  <si>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</si>
  <si>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</si>
  <si>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</si>
  <si>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</si>
  <si>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</si>
  <si>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</si>
  <si>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</si>
  <si>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</si>
  <si>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</si>
  <si>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</si>
  <si>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</si>
  <si>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</si>
  <si>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</si>
  <si>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</si>
  <si>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</si>
  <si>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</si>
  <si>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</si>
  <si>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</si>
  <si>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</si>
  <si>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</si>
  <si>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</si>
  <si>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</si>
  <si>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</si>
  <si>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</si>
  <si>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</si>
  <si>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</si>
  <si>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</si>
  <si>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</si>
  <si>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</si>
  <si>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</si>
  <si>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</si>
  <si>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</si>
  <si>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</si>
  <si>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</si>
  <si>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</si>
  <si>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</si>
  <si>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</si>
  <si>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</si>
  <si>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</si>
  <si>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</si>
  <si>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</si>
  <si>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</si>
  <si>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</si>
  <si>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</si>
  <si>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</si>
  <si>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</si>
  <si>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</si>
  <si>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</si>
  <si>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</si>
  <si>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</si>
  <si>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</si>
  <si>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</si>
  <si>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</si>
  <si>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</si>
  <si>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</si>
  <si>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</si>
  <si>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</si>
  <si>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</si>
  <si>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</si>
  <si>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</si>
  <si>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</si>
  <si>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</si>
  <si>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</si>
  <si>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</si>
  <si>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</si>
  <si>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</si>
  <si>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</si>
  <si>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</si>
  <si>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</si>
  <si>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</si>
  <si>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</si>
  <si>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</si>
  <si>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</si>
  <si>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</si>
  <si>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</si>
  <si>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</si>
  <si>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</si>
  <si>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</si>
  <si>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</si>
  <si>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</si>
  <si>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</si>
  <si>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</si>
  <si>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</si>
  <si>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</si>
  <si>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</si>
  <si>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</si>
  <si>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</si>
  <si>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</si>
  <si>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</si>
  <si>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</si>
  <si>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</si>
  <si>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</si>
  <si>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</si>
  <si>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</si>
  <si>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</si>
  <si>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</si>
  <si>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</si>
  <si>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</si>
  <si>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</si>
  <si>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</si>
  <si>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</si>
  <si>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</si>
  <si>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</si>
  <si>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</si>
  <si>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</si>
  <si>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</si>
  <si>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</si>
  <si>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</si>
  <si>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</si>
  <si>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</si>
  <si>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</si>
  <si>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</si>
  <si>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</si>
  <si>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</si>
  <si>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</si>
  <si>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</si>
  <si>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</si>
  <si>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</si>
  <si>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</si>
  <si>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</si>
  <si>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</si>
  <si>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</si>
  <si>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</si>
  <si>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</si>
  <si>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</si>
  <si>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</si>
  <si>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</si>
  <si>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</si>
  <si>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</si>
  <si>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Pacha Ventures LLC - 0206-USD</t>
  </si>
  <si>
    <t>Amerant Bank  - CFT 1 residence LLC - 6607-USD</t>
  </si>
  <si>
    <t>Amerant Bank  - Prendamas SRL - 8160-USD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</si>
</sst>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87" totalsRowShown="0" headerRowDxfId="42">
  <autoFilter ref="A1:P987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0" dataDxfId="28" headerRowBorderDxfId="29" tableBorderDxfId="27">
  <autoFilter ref="A1:V499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661" tableType="queryTable" totalsRowShown="0" headerRowDxfId="44" headerRowBorderDxfId="43">
  <autoFilter ref="A1:D266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87"/>
  <sheetViews>
    <sheetView tabSelected="1" topLeftCell="I1" zoomScale="70" zoomScaleNormal="70" workbookViewId="0">
      <pane ySplit="1" topLeftCell="A963" activePane="bottomLeft" state="frozen"/>
      <selection pane="bottomLeft" activeCell="M983" sqref="M98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Iniciales'!$B$2:$B$38,D234)+SUMIFS($K$1:$K$987,$C$1:$C$987,C234,$D$1:$D$987,D234,$B$1:$B$987,"&lt;="&amp;B234)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Iniciales'!$B$2:$B$38,D235)+SUMIFS($K$1:$K$987,$C$1:$C$987,C235,$D$1:$D$987,D235,$B$1:$B$987,"&lt;="&amp;B235)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Iniciales'!$B$2:$B$38,D236)+SUMIFS($K$1:$K$987,$C$1:$C$987,C236,$D$1:$D$987,D236,$B$1:$B$987,"&lt;="&amp;B236)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Iniciales'!$B$2:$B$38,D237)+SUMIFS($K$1:$K$987,$C$1:$C$987,C237,$D$1:$D$987,D237,$B$1:$B$987,"&lt;="&amp;B237)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Iniciales'!$B$2:$B$38,D238)+SUMIFS($K$1:$K$987,$C$1:$C$987,C238,$D$1:$D$987,D238,$B$1:$B$987,"&lt;="&amp;B238)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Iniciales'!$B$2:$B$38,D239)+SUMIFS($K$1:$K$987,$C$1:$C$987,C239,$D$1:$D$987,D239,$B$1:$B$987,"&lt;="&amp;B239)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Iniciales'!$B$2:$B$38,D283)+SUMIFS($K$1:$K$987,$C$1:$C$987,C283,$D$1:$D$987,D283,$B$1:$B$987,"&lt;="&amp;B283)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Iniciales'!$B$2:$B$38,D306)+SUMIFS($K$1:$K$987,$C$1:$C$987,C306,$D$1:$D$987,D306,$B$1:$B$987,"&lt;="&amp;B306)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Iniciales'!$B$2:$B$38,D307)+SUMIFS($K$1:$K$987,$C$1:$C$987,C307,$D$1:$D$987,D307,$B$1:$B$987,"&lt;="&amp;B307)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Iniciales'!$B$2:$B$38,D308)+SUMIFS($K$1:$K$987,$C$1:$C$987,C308,$D$1:$D$987,D308,$B$1:$B$987,"&lt;="&amp;B308)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Iniciales'!$B$2:$B$38,D309)+SUMIFS($K$1:$K$987,$C$1:$C$987,C309,$D$1:$D$987,D309,$B$1:$B$987,"&lt;="&amp;B309)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Iniciales'!$B$2:$B$38,D310)+SUMIFS($K$1:$K$987,$C$1:$C$987,C310,$D$1:$D$987,D310,$B$1:$B$987,"&lt;="&amp;B310)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Iniciales'!$B$2:$B$38,D311)+SUMIFS($K$1:$K$987,$C$1:$C$987,C311,$D$1:$D$987,D311,$B$1:$B$987,"&lt;="&amp;B311)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Iniciales'!$B$2:$B$38,D312)+SUMIFS($K$1:$K$987,$C$1:$C$987,C312,$D$1:$D$987,D312,$B$1:$B$987,"&lt;="&amp;B312)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Iniciales'!$B$2:$B$38,D313)+SUMIFS($K$1:$K$987,$C$1:$C$987,C313,$D$1:$D$987,D313,$B$1:$B$987,"&lt;="&amp;B313)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Iniciales'!$B$2:$B$38,D314)+SUMIFS($K$1:$K$987,$C$1:$C$987,C314,$D$1:$D$987,D314,$B$1:$B$987,"&lt;="&amp;B314)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Iniciales'!$B$2:$B$38,D315)+SUMIFS($K$1:$K$987,$C$1:$C$987,C315,$D$1:$D$987,D315,$B$1:$B$987,"&lt;="&amp;B315)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Iniciales'!$B$2:$B$38,D316)+SUMIFS($K$1:$K$987,$C$1:$C$987,C316,$D$1:$D$987,D316,$B$1:$B$987,"&lt;="&amp;B316)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Iniciales'!$B$2:$B$38,D317)+SUMIFS($K$1:$K$987,$C$1:$C$987,C317,$D$1:$D$987,D317,$B$1:$B$987,"&lt;="&amp;B317)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Iniciales'!$B$2:$B$38,D318)+SUMIFS($K$1:$K$987,$C$1:$C$987,C318,$D$1:$D$987,D318,$B$1:$B$987,"&lt;="&amp;B318)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Iniciales'!$B$2:$B$38,D319)+SUMIFS($K$1:$K$987,$C$1:$C$987,C319,$D$1:$D$987,D319,$B$1:$B$987,"&lt;="&amp;B319)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Iniciales'!$B$2:$B$38,D320)+SUMIFS($K$1:$K$987,$C$1:$C$987,C320,$D$1:$D$987,D320,$B$1:$B$987,"&lt;="&amp;B320)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Iniciales'!$B$2:$B$38,D321)+SUMIFS($K$1:$K$987,$C$1:$C$987,C321,$D$1:$D$987,D321,$B$1:$B$987,"&lt;="&amp;B321)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Iniciales'!$B$2:$B$38,D322)+SUMIFS($K$1:$K$987,$C$1:$C$987,C322,$D$1:$D$987,D322,$B$1:$B$987,"&lt;="&amp;B322)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Iniciales'!$B$2:$B$38,D323)+SUMIFS($K$1:$K$987,$C$1:$C$987,C323,$D$1:$D$987,D323,$B$1:$B$987,"&lt;="&amp;B323)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Iniciales'!$B$2:$B$38,D324)+SUMIFS($K$1:$K$987,$C$1:$C$987,C324,$D$1:$D$987,D324,$B$1:$B$987,"&lt;="&amp;B324)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Iniciales'!$B$2:$B$38,D325)+SUMIFS($K$1:$K$987,$C$1:$C$987,C325,$D$1:$D$987,D325,$B$1:$B$987,"&lt;="&amp;B325)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Iniciales'!$B$2:$B$38,D326)+SUMIFS($K$1:$K$987,$C$1:$C$987,C326,$D$1:$D$987,D326,$B$1:$B$987,"&lt;="&amp;B326)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Iniciales'!$B$2:$B$38,D327)+SUMIFS($K$1:$K$987,$C$1:$C$987,C327,$D$1:$D$987,D327,$B$1:$B$987,"&lt;="&amp;B327)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Iniciales'!$B$2:$B$38,D328)+SUMIFS($K$1:$K$987,$C$1:$C$987,C328,$D$1:$D$987,D328,$B$1:$B$987,"&lt;="&amp;B328)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Iniciales'!$B$2:$B$38,D329)+SUMIFS($K$1:$K$987,$C$1:$C$987,C329,$D$1:$D$987,D329,$B$1:$B$987,"&lt;="&amp;B329)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Iniciales'!$B$2:$B$38,D330)+SUMIFS($K$1:$K$987,$C$1:$C$987,C330,$D$1:$D$987,D330,$B$1:$B$987,"&lt;="&amp;B330)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Iniciales'!$B$2:$B$38,D331)+SUMIFS($K$1:$K$987,$C$1:$C$987,C331,$D$1:$D$987,D331,$B$1:$B$987,"&lt;="&amp;B331)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Iniciales'!$B$2:$B$38,D332)+SUMIFS($K$1:$K$987,$C$1:$C$987,C332,$D$1:$D$987,D332,$B$1:$B$987,"&lt;="&amp;B332)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Iniciales'!$B$2:$B$38,D333)+SUMIFS($K$1:$K$987,$C$1:$C$987,C333,$D$1:$D$987,D333,$B$1:$B$987,"&lt;="&amp;B333)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Iniciales'!$B$2:$B$38,D334)+SUMIFS($K$1:$K$987,$C$1:$C$987,C334,$D$1:$D$987,D334,$B$1:$B$987,"&lt;="&amp;B334)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Iniciales'!$B$2:$B$38,D335)+SUMIFS($K$1:$K$987,$C$1:$C$987,C335,$D$1:$D$987,D335,$B$1:$B$987,"&lt;="&amp;B335)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Iniciales'!$B$2:$B$38,D336)+SUMIFS($K$1:$K$987,$C$1:$C$987,C336,$D$1:$D$987,D336,$B$1:$B$987,"&lt;="&amp;B336)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Iniciales'!$B$2:$B$38,D337)+SUMIFS($K$1:$K$987,$C$1:$C$987,C337,$D$1:$D$987,D337,$B$1:$B$987,"&lt;="&amp;B337)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Iniciales'!$B$2:$B$38,D338)+SUMIFS($K$1:$K$987,$C$1:$C$987,C338,$D$1:$D$987,D338,$B$1:$B$987,"&lt;="&amp;B338)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Iniciales'!$B$2:$B$38,D339)+SUMIFS($K$1:$K$987,$C$1:$C$987,C339,$D$1:$D$987,D339,$B$1:$B$987,"&lt;="&amp;B339)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Iniciales'!$B$2:$B$38,D340)+SUMIFS($K$1:$K$987,$C$1:$C$987,C340,$D$1:$D$987,D340,$B$1:$B$987,"&lt;="&amp;B340)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Iniciales'!$B$2:$B$38,D341)+SUMIFS($K$1:$K$987,$C$1:$C$987,C341,$D$1:$D$987,D341,$B$1:$B$987,"&lt;="&amp;B341)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Iniciales'!$B$2:$B$38,D342)+SUMIFS($K$1:$K$987,$C$1:$C$987,C342,$D$1:$D$987,D342,$B$1:$B$987,"&lt;="&amp;B342)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Iniciales'!$B$2:$B$38,D343)+SUMIFS($K$1:$K$987,$C$1:$C$987,C343,$D$1:$D$987,D343,$B$1:$B$987,"&lt;="&amp;B343)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Iniciales'!$B$2:$B$38,D344)+SUMIFS($K$1:$K$987,$C$1:$C$987,C344,$D$1:$D$987,D344,$B$1:$B$987,"&lt;="&amp;B344)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Iniciales'!$B$2:$B$38,D345)+SUMIFS($K$1:$K$987,$C$1:$C$987,C345,$D$1:$D$987,D345,$B$1:$B$987,"&lt;="&amp;B345)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Iniciales'!$B$2:$B$38,D346)+SUMIFS($K$1:$K$987,$C$1:$C$987,C346,$D$1:$D$987,D346,$B$1:$B$987,"&lt;="&amp;B346)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Iniciales'!$B$2:$B$38,D347)+SUMIFS($K$1:$K$987,$C$1:$C$987,C347,$D$1:$D$987,D347,$B$1:$B$987,"&lt;="&amp;B347)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Iniciales'!$B$2:$B$38,D348)+SUMIFS($K$1:$K$987,$C$1:$C$987,C348,$D$1:$D$987,D348,$B$1:$B$987,"&lt;="&amp;B348)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Iniciales'!$B$2:$B$38,D349)+SUMIFS($K$1:$K$987,$C$1:$C$987,C349,$D$1:$D$987,D349,$B$1:$B$987,"&lt;="&amp;B349)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Iniciales'!$B$2:$B$38,D350)+SUMIFS($K$1:$K$987,$C$1:$C$987,C350,$D$1:$D$987,D350,$B$1:$B$987,"&lt;="&amp;B350)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Iniciales'!$B$2:$B$38,D351)+SUMIFS($K$1:$K$987,$C$1:$C$987,C351,$D$1:$D$987,D351,$B$1:$B$987,"&lt;="&amp;B351)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Iniciales'!$B$2:$B$38,D352)+SUMIFS($K$1:$K$987,$C$1:$C$987,C352,$D$1:$D$987,D352,$B$1:$B$987,"&lt;="&amp;B352)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Iniciales'!$B$2:$B$38,D353)+SUMIFS($K$1:$K$987,$C$1:$C$987,C353,$D$1:$D$987,D353,$B$1:$B$987,"&lt;="&amp;B353)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Iniciales'!$B$2:$B$38,D354)+SUMIFS($K$1:$K$987,$C$1:$C$987,C354,$D$1:$D$987,D354,$B$1:$B$987,"&lt;="&amp;B354)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Iniciales'!$B$2:$B$38,D355)+SUMIFS($K$1:$K$987,$C$1:$C$987,C355,$D$1:$D$987,D355,$B$1:$B$987,"&lt;="&amp;B355)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Iniciales'!$B$2:$B$38,D356)+SUMIFS($K$1:$K$987,$C$1:$C$987,C356,$D$1:$D$987,D356,$B$1:$B$987,"&lt;="&amp;B356)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Iniciales'!$B$2:$B$38,D357)+SUMIFS($K$1:$K$987,$C$1:$C$987,C357,$D$1:$D$987,D357,$B$1:$B$987,"&lt;="&amp;B357)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Iniciales'!$B$2:$B$38,D358)+SUMIFS($K$1:$K$987,$C$1:$C$987,C358,$D$1:$D$987,D358,$B$1:$B$987,"&lt;="&amp;B358)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Iniciales'!$B$2:$B$38,D359)+SUMIFS($K$1:$K$987,$C$1:$C$987,C359,$D$1:$D$987,D359,$B$1:$B$987,"&lt;="&amp;B359)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Iniciales'!$B$2:$B$38,D360)+SUMIFS($K$1:$K$987,$C$1:$C$987,C360,$D$1:$D$987,D360,$B$1:$B$987,"&lt;="&amp;B360)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Iniciales'!$B$2:$B$38,D361)+SUMIFS($K$1:$K$987,$C$1:$C$987,C361,$D$1:$D$987,D361,$B$1:$B$987,"&lt;="&amp;B361)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Iniciales'!$B$2:$B$38,D362)+SUMIFS($K$1:$K$987,$C$1:$C$987,C362,$D$1:$D$987,D362,$B$1:$B$987,"&lt;="&amp;B362)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Iniciales'!$B$2:$B$38,D363)+SUMIFS($K$1:$K$987,$C$1:$C$987,C363,$D$1:$D$987,D363,$B$1:$B$987,"&lt;="&amp;B363)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Iniciales'!$B$2:$B$38,D364)+SUMIFS($K$1:$K$987,$C$1:$C$987,C364,$D$1:$D$987,D364,$B$1:$B$987,"&lt;="&amp;B364)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Iniciales'!$B$2:$B$38,D365)+SUMIFS($K$1:$K$987,$C$1:$C$987,C365,$D$1:$D$987,D365,$B$1:$B$987,"&lt;="&amp;B365)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Iniciales'!$B$2:$B$38,D366)+SUMIFS($K$1:$K$987,$C$1:$C$987,C366,$D$1:$D$987,D366,$B$1:$B$987,"&lt;="&amp;B366)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Iniciales'!$B$2:$B$38,D367)+SUMIFS($K$1:$K$987,$C$1:$C$987,C367,$D$1:$D$987,D367,$B$1:$B$987,"&lt;="&amp;B367)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Iniciales'!$B$2:$B$38,D368)+SUMIFS($K$1:$K$987,$C$1:$C$987,C368,$D$1:$D$987,D368,$B$1:$B$987,"&lt;="&amp;B368)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Iniciales'!$B$2:$B$38,D369)+SUMIFS($K$1:$K$987,$C$1:$C$987,C369,$D$1:$D$987,D369,$B$1:$B$987,"&lt;="&amp;B369)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Iniciales'!$B$2:$B$38,D370)+SUMIFS($K$1:$K$987,$C$1:$C$987,C370,$D$1:$D$987,D370,$B$1:$B$987,"&lt;="&amp;B370)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Iniciales'!$B$2:$B$38,D371)+SUMIFS($K$1:$K$987,$C$1:$C$987,C371,$D$1:$D$987,D371,$B$1:$B$987,"&lt;="&amp;B371)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Iniciales'!$B$2:$B$38,D372)+SUMIFS($K$1:$K$987,$C$1:$C$987,C372,$D$1:$D$987,D372,$B$1:$B$987,"&lt;="&amp;B372)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Iniciales'!$B$2:$B$38,D373)+SUMIFS($K$1:$K$987,$C$1:$C$987,C373,$D$1:$D$987,D373,$B$1:$B$987,"&lt;="&amp;B373)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Iniciales'!$B$2:$B$38,D374)+SUMIFS($K$1:$K$987,$C$1:$C$987,C374,$D$1:$D$987,D374,$B$1:$B$987,"&lt;="&amp;B374)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Iniciales'!$B$2:$B$38,D375)+SUMIFS($K$1:$K$987,$C$1:$C$987,C375,$D$1:$D$987,D375,$B$1:$B$987,"&lt;="&amp;B375)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Iniciales'!$B$2:$B$38,D376)+SUMIFS($K$1:$K$987,$C$1:$C$987,C376,$D$1:$D$987,D376,$B$1:$B$987,"&lt;="&amp;B376)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Iniciales'!$B$2:$B$38,D377)+SUMIFS($K$1:$K$987,$C$1:$C$987,C377,$D$1:$D$987,D377,$B$1:$B$987,"&lt;="&amp;B377)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Iniciales'!$B$2:$B$38,D378)+SUMIFS($K$1:$K$987,$C$1:$C$987,C378,$D$1:$D$987,D378,$B$1:$B$987,"&lt;="&amp;B378)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Iniciales'!$B$2:$B$38,D379)+SUMIFS($K$1:$K$987,$C$1:$C$987,C379,$D$1:$D$987,D379,$B$1:$B$987,"&lt;="&amp;B379)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Iniciales'!$B$2:$B$38,D380)+SUMIFS($K$1:$K$987,$C$1:$C$987,C380,$D$1:$D$987,D380,$B$1:$B$987,"&lt;="&amp;B380)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Iniciales'!$B$2:$B$38,D381)+SUMIFS($K$1:$K$987,$C$1:$C$987,C381,$D$1:$D$987,D381,$B$1:$B$987,"&lt;="&amp;B381)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Iniciales'!$B$2:$B$38,D382)+SUMIFS($K$1:$K$987,$C$1:$C$987,C382,$D$1:$D$987,D382,$B$1:$B$987,"&lt;="&amp;B382)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Iniciales'!$B$2:$B$38,D383)+SUMIFS($K$1:$K$987,$C$1:$C$987,C383,$D$1:$D$987,D383,$B$1:$B$987,"&lt;="&amp;B383)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Iniciales'!$B$2:$B$38,D384)+SUMIFS($K$1:$K$987,$C$1:$C$987,C384,$D$1:$D$987,D384,$B$1:$B$987,"&lt;="&amp;B384)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Iniciales'!$B$2:$B$38,D385)+SUMIFS($K$1:$K$987,$C$1:$C$987,C385,$D$1:$D$987,D385,$B$1:$B$987,"&lt;="&amp;B385)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Iniciales'!$B$2:$B$38,D386)+SUMIFS($K$1:$K$987,$C$1:$C$987,C386,$D$1:$D$987,D386,$B$1:$B$987,"&lt;="&amp;B386)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Iniciales'!$B$2:$B$38,D387)+SUMIFS($K$1:$K$987,$C$1:$C$987,C387,$D$1:$D$987,D387,$B$1:$B$987,"&lt;="&amp;B387)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Iniciales'!$B$2:$B$38,D388)+SUMIFS($K$1:$K$987,$C$1:$C$987,C388,$D$1:$D$987,D388,$B$1:$B$987,"&lt;="&amp;B388)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Iniciales'!$B$2:$B$38,D389)+SUMIFS($K$1:$K$987,$C$1:$C$987,C389,$D$1:$D$987,D389,$B$1:$B$987,"&lt;="&amp;B389)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Iniciales'!$B$2:$B$38,D390)+SUMIFS($K$1:$K$987,$C$1:$C$987,C390,$D$1:$D$987,D390,$B$1:$B$987,"&lt;="&amp;B390)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Iniciales'!$B$2:$B$38,D391)+SUMIFS($K$1:$K$987,$C$1:$C$987,C391,$D$1:$D$987,D391,$B$1:$B$987,"&lt;="&amp;B391)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Iniciales'!$B$2:$B$38,D392)+SUMIFS($K$1:$K$987,$C$1:$C$987,C392,$D$1:$D$987,D392,$B$1:$B$987,"&lt;="&amp;B392)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Iniciales'!$B$2:$B$38,D393)+SUMIFS($K$1:$K$987,$C$1:$C$987,C393,$D$1:$D$987,D393,$B$1:$B$987,"&lt;="&amp;B393)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Iniciales'!$B$2:$B$38,D394)+SUMIFS($K$1:$K$987,$C$1:$C$987,C394,$D$1:$D$987,D394,$B$1:$B$987,"&lt;="&amp;B394)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Iniciales'!$B$2:$B$38,D395)+SUMIFS($K$1:$K$987,$C$1:$C$987,C395,$D$1:$D$987,D395,$B$1:$B$987,"&lt;="&amp;B395)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Iniciales'!$B$2:$B$38,D396)+SUMIFS($K$1:$K$987,$C$1:$C$987,C396,$D$1:$D$987,D396,$B$1:$B$987,"&lt;="&amp;B396)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Iniciales'!$B$2:$B$38,D397)+SUMIFS($K$1:$K$987,$C$1:$C$987,C397,$D$1:$D$987,D397,$B$1:$B$987,"&lt;="&amp;B397)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Iniciales'!$B$2:$B$38,D398)+SUMIFS($K$1:$K$987,$C$1:$C$987,C398,$D$1:$D$987,D398,$B$1:$B$987,"&lt;="&amp;B398)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Iniciales'!$B$2:$B$38,D399)+SUMIFS($K$1:$K$987,$C$1:$C$987,C399,$D$1:$D$987,D399,$B$1:$B$987,"&lt;="&amp;B399)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Iniciales'!$B$2:$B$38,D400)+SUMIFS($K$1:$K$987,$C$1:$C$987,C400,$D$1:$D$987,D400,$B$1:$B$987,"&lt;="&amp;B400)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Iniciales'!$B$2:$B$38,D401)+SUMIFS($K$1:$K$987,$C$1:$C$987,C401,$D$1:$D$987,D401,$B$1:$B$987,"&lt;="&amp;B401)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Iniciales'!$B$2:$B$38,D402)+SUMIFS($K$1:$K$987,$C$1:$C$987,C402,$D$1:$D$987,D402,$B$1:$B$987,"&lt;="&amp;B402)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Iniciales'!$B$2:$B$38,D403)+SUMIFS($K$1:$K$987,$C$1:$C$987,C403,$D$1:$D$987,D403,$B$1:$B$987,"&lt;="&amp;B403)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Iniciales'!$B$2:$B$38,D404)+SUMIFS($K$1:$K$987,$C$1:$C$987,C404,$D$1:$D$987,D404,$B$1:$B$987,"&lt;="&amp;B404)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Iniciales'!$B$2:$B$38,D405)+SUMIFS($K$1:$K$987,$C$1:$C$987,C405,$D$1:$D$987,D405,$B$1:$B$987,"&lt;="&amp;B405)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Iniciales'!$B$2:$B$38,D406)+SUMIFS($K$1:$K$987,$C$1:$C$987,C406,$D$1:$D$987,D406,$B$1:$B$987,"&lt;="&amp;B406)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Iniciales'!$B$2:$B$38,D407)+SUMIFS($K$1:$K$987,$C$1:$C$987,C407,$D$1:$D$987,D407,$B$1:$B$987,"&lt;="&amp;B407)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Iniciales'!$B$2:$B$38,D408)+SUMIFS($K$1:$K$987,$C$1:$C$987,C408,$D$1:$D$987,D408,$B$1:$B$987,"&lt;="&amp;B408)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Iniciales'!$B$2:$B$38,D409)+SUMIFS($K$1:$K$987,$C$1:$C$987,C409,$D$1:$D$987,D409,$B$1:$B$987,"&lt;="&amp;B409)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Iniciales'!$B$2:$B$38,D410)+SUMIFS($K$1:$K$987,$C$1:$C$987,C410,$D$1:$D$987,D410,$B$1:$B$987,"&lt;="&amp;B410)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Iniciales'!$B$2:$B$38,D411)+SUMIFS($K$1:$K$987,$C$1:$C$987,C411,$D$1:$D$987,D411,$B$1:$B$987,"&lt;="&amp;B411)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Iniciales'!$B$2:$B$38,D412)+SUMIFS($K$1:$K$987,$C$1:$C$987,C412,$D$1:$D$987,D412,$B$1:$B$987,"&lt;="&amp;B412)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Iniciales'!$B$2:$B$38,D413)+SUMIFS($K$1:$K$987,$C$1:$C$987,C413,$D$1:$D$987,D413,$B$1:$B$987,"&lt;="&amp;B413)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Iniciales'!$B$2:$B$38,D414)+SUMIFS($K$1:$K$987,$C$1:$C$987,C414,$D$1:$D$987,D414,$B$1:$B$987,"&lt;="&amp;B414)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Iniciales'!$B$2:$B$38,D415)+SUMIFS($K$1:$K$987,$C$1:$C$987,C415,$D$1:$D$987,D415,$B$1:$B$987,"&lt;="&amp;B415)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Iniciales'!$B$2:$B$38,D416)+SUMIFS($K$1:$K$987,$C$1:$C$987,C416,$D$1:$D$987,D416,$B$1:$B$987,"&lt;="&amp;B416)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Iniciales'!$B$2:$B$38,D417)+SUMIFS($K$1:$K$987,$C$1:$C$987,C417,$D$1:$D$987,D417,$B$1:$B$987,"&lt;="&amp;B417)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Iniciales'!$B$2:$B$38,D418)+SUMIFS($K$1:$K$987,$C$1:$C$987,C418,$D$1:$D$987,D418,$B$1:$B$987,"&lt;="&amp;B418)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Iniciales'!$B$2:$B$38,D419)+SUMIFS($K$1:$K$987,$C$1:$C$987,C419,$D$1:$D$987,D419,$B$1:$B$987,"&lt;="&amp;B419)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Iniciales'!$B$2:$B$38,D420)+SUMIFS($K$1:$K$987,$C$1:$C$987,C420,$D$1:$D$987,D420,$B$1:$B$987,"&lt;="&amp;B420)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Iniciales'!$B$2:$B$38,D421)+SUMIFS($K$1:$K$987,$C$1:$C$987,C421,$D$1:$D$987,D421,$B$1:$B$987,"&lt;="&amp;B421)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Iniciales'!$B$2:$B$38,D422)+SUMIFS($K$1:$K$987,$C$1:$C$987,C422,$D$1:$D$987,D422,$B$1:$B$987,"&lt;="&amp;B422)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Iniciales'!$B$2:$B$38,D423)+SUMIFS($K$1:$K$987,$C$1:$C$987,C423,$D$1:$D$987,D423,$B$1:$B$987,"&lt;="&amp;B423)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Iniciales'!$B$2:$B$38,D424)+SUMIFS($K$1:$K$987,$C$1:$C$987,C424,$D$1:$D$987,D424,$B$1:$B$987,"&lt;="&amp;B424)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Iniciales'!$B$2:$B$38,D425)+SUMIFS($K$1:$K$987,$C$1:$C$987,C425,$D$1:$D$987,D425,$B$1:$B$987,"&lt;="&amp;B425)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Iniciales'!$B$2:$B$38,D426)+SUMIFS($K$1:$K$987,$C$1:$C$987,C426,$D$1:$D$987,D426,$B$1:$B$987,"&lt;="&amp;B426)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Iniciales'!$B$2:$B$38,D427)+SUMIFS($K$1:$K$987,$C$1:$C$987,C427,$D$1:$D$987,D427,$B$1:$B$987,"&lt;="&amp;B427)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Iniciales'!$B$2:$B$38,D428)+SUMIFS($K$1:$K$987,$C$1:$C$987,C428,$D$1:$D$987,D428,$B$1:$B$987,"&lt;="&amp;B428)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Iniciales'!$B$2:$B$38,D429)+SUMIFS($K$1:$K$987,$C$1:$C$987,C429,$D$1:$D$987,D429,$B$1:$B$987,"&lt;="&amp;B429)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Iniciales'!$B$2:$B$38,D430)+SUMIFS($K$1:$K$987,$C$1:$C$987,C430,$D$1:$D$987,D430,$B$1:$B$987,"&lt;="&amp;B430)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Iniciales'!$B$2:$B$38,D431)+SUMIFS($K$1:$K$987,$C$1:$C$987,C431,$D$1:$D$987,D431,$B$1:$B$987,"&lt;="&amp;B431)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Iniciales'!$B$2:$B$38,D432)+SUMIFS($K$1:$K$987,$C$1:$C$987,C432,$D$1:$D$987,D432,$B$1:$B$987,"&lt;="&amp;B432)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Iniciales'!$B$2:$B$38,D433)+SUMIFS($K$1:$K$987,$C$1:$C$987,C433,$D$1:$D$987,D433,$B$1:$B$987,"&lt;="&amp;B433)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Iniciales'!$B$2:$B$38,D434)+SUMIFS($K$1:$K$987,$C$1:$C$987,C434,$D$1:$D$987,D434,$B$1:$B$987,"&lt;="&amp;B434)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Iniciales'!$B$2:$B$38,D435)+SUMIFS($K$1:$K$987,$C$1:$C$987,C435,$D$1:$D$987,D435,$B$1:$B$987,"&lt;="&amp;B435)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Iniciales'!$B$2:$B$38,D436)+SUMIFS($K$1:$K$987,$C$1:$C$987,C436,$D$1:$D$987,D436,$B$1:$B$987,"&lt;="&amp;B436)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Iniciales'!$B$2:$B$38,D437)+SUMIFS($K$1:$K$987,$C$1:$C$987,C437,$D$1:$D$987,D437,$B$1:$B$987,"&lt;="&amp;B437)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Iniciales'!$B$2:$B$38,D438)+SUMIFS($K$1:$K$987,$C$1:$C$987,C438,$D$1:$D$987,D438,$B$1:$B$987,"&lt;="&amp;B438)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Iniciales'!$B$2:$B$38,D439)+SUMIFS($K$1:$K$987,$C$1:$C$987,C439,$D$1:$D$987,D439,$B$1:$B$987,"&lt;="&amp;B439)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Iniciales'!$B$2:$B$38,D440)+SUMIFS($K$1:$K$987,$C$1:$C$987,C440,$D$1:$D$987,D440,$B$1:$B$987,"&lt;="&amp;B440)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Iniciales'!$B$2:$B$38,D441)+SUMIFS($K$1:$K$987,$C$1:$C$987,C441,$D$1:$D$987,D441,$B$1:$B$987,"&lt;="&amp;B441)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Iniciales'!$B$2:$B$38,D442)+SUMIFS($K$1:$K$987,$C$1:$C$987,C442,$D$1:$D$987,D442,$B$1:$B$987,"&lt;="&amp;B442)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Iniciales'!$B$2:$B$38,D443)+SUMIFS($K$1:$K$987,$C$1:$C$987,C443,$D$1:$D$987,D443,$B$1:$B$987,"&lt;="&amp;B443)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Iniciales'!$B$2:$B$38,D444)+SUMIFS($K$1:$K$987,$C$1:$C$987,C444,$D$1:$D$987,D444,$B$1:$B$987,"&lt;="&amp;B444)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Iniciales'!$B$2:$B$38,D445)+SUMIFS($K$1:$K$987,$C$1:$C$987,C445,$D$1:$D$987,D445,$B$1:$B$987,"&lt;="&amp;B445)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Iniciales'!$B$2:$B$38,D446)+SUMIFS($K$1:$K$987,$C$1:$C$987,C446,$D$1:$D$987,D446,$B$1:$B$987,"&lt;="&amp;B446)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Iniciales'!$B$2:$B$38,D447)+SUMIFS($K$1:$K$987,$C$1:$C$987,C447,$D$1:$D$987,D447,$B$1:$B$987,"&lt;="&amp;B447)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Iniciales'!$B$2:$B$38,D448)+SUMIFS($K$1:$K$987,$C$1:$C$987,C448,$D$1:$D$987,D448,$B$1:$B$987,"&lt;="&amp;B448)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Iniciales'!$B$2:$B$38,D449)+SUMIFS($K$1:$K$987,$C$1:$C$987,C449,$D$1:$D$987,D449,$B$1:$B$987,"&lt;="&amp;B449)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Iniciales'!$B$2:$B$38,D450)+SUMIFS($K$1:$K$987,$C$1:$C$987,C450,$D$1:$D$987,D450,$B$1:$B$987,"&lt;="&amp;B450)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Iniciales'!$B$2:$B$38,D451)+SUMIFS($K$1:$K$987,$C$1:$C$987,C451,$D$1:$D$987,D451,$B$1:$B$987,"&lt;="&amp;B451)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Iniciales'!$B$2:$B$38,D452)+SUMIFS($K$1:$K$987,$C$1:$C$987,C452,$D$1:$D$987,D452,$B$1:$B$987,"&lt;="&amp;B452)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Iniciales'!$B$2:$B$38,D453)+SUMIFS($K$1:$K$987,$C$1:$C$987,C453,$D$1:$D$987,D453,$B$1:$B$987,"&lt;="&amp;B453)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Iniciales'!$B$2:$B$38,D454)+SUMIFS($K$1:$K$987,$C$1:$C$987,C454,$D$1:$D$987,D454,$B$1:$B$987,"&lt;="&amp;B454)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Iniciales'!$B$2:$B$38,D455)+SUMIFS($K$1:$K$987,$C$1:$C$987,C455,$D$1:$D$987,D455,$B$1:$B$987,"&lt;="&amp;B455)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Iniciales'!$B$2:$B$38,D456)+SUMIFS($K$1:$K$987,$C$1:$C$987,C456,$D$1:$D$987,D456,$B$1:$B$987,"&lt;="&amp;B456)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Iniciales'!$B$2:$B$38,D457)+SUMIFS($K$1:$K$987,$C$1:$C$987,C457,$D$1:$D$987,D457,$B$1:$B$987,"&lt;="&amp;B457)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Iniciales'!$B$2:$B$38,D458)+SUMIFS($K$1:$K$987,$C$1:$C$987,C458,$D$1:$D$987,D458,$B$1:$B$987,"&lt;="&amp;B458)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Iniciales'!$B$2:$B$38,D459)+SUMIFS($K$1:$K$987,$C$1:$C$987,C459,$D$1:$D$987,D459,$B$1:$B$987,"&lt;="&amp;B459)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Iniciales'!$B$2:$B$38,D460)+SUMIFS($K$1:$K$987,$C$1:$C$987,C460,$D$1:$D$987,D460,$B$1:$B$987,"&lt;="&amp;B460)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Iniciales'!$B$2:$B$38,D461)+SUMIFS($K$1:$K$987,$C$1:$C$987,C461,$D$1:$D$987,D461,$B$1:$B$987,"&lt;="&amp;B461)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Iniciales'!$B$2:$B$38,D462)+SUMIFS($K$1:$K$987,$C$1:$C$987,C462,$D$1:$D$987,D462,$B$1:$B$987,"&lt;="&amp;B462)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Iniciales'!$B$2:$B$38,D463)+SUMIFS($K$1:$K$987,$C$1:$C$987,C463,$D$1:$D$987,D463,$B$1:$B$987,"&lt;="&amp;B463)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Iniciales'!$B$2:$B$38,D464)+SUMIFS($K$1:$K$987,$C$1:$C$987,C464,$D$1:$D$987,D464,$B$1:$B$987,"&lt;="&amp;B464)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Iniciales'!$B$2:$B$38,D465)+SUMIFS($K$1:$K$987,$C$1:$C$987,C465,$D$1:$D$987,D465,$B$1:$B$987,"&lt;="&amp;B465)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Iniciales'!$B$2:$B$38,D466)+SUMIFS($K$1:$K$987,$C$1:$C$987,C466,$D$1:$D$987,D466,$B$1:$B$987,"&lt;="&amp;B466)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Iniciales'!$B$2:$B$38,D467)+SUMIFS($K$1:$K$987,$C$1:$C$987,C467,$D$1:$D$987,D467,$B$1:$B$987,"&lt;="&amp;B467)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Iniciales'!$B$2:$B$38,D468)+SUMIFS($K$1:$K$987,$C$1:$C$987,C468,$D$1:$D$987,D468,$B$1:$B$987,"&lt;="&amp;B468)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Iniciales'!$B$2:$B$38,D469)+SUMIFS($K$1:$K$987,$C$1:$C$987,C469,$D$1:$D$987,D469,$B$1:$B$987,"&lt;="&amp;B469)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Iniciales'!$B$2:$B$38,D470)+SUMIFS($K$1:$K$987,$C$1:$C$987,C470,$D$1:$D$987,D470,$B$1:$B$987,"&lt;="&amp;B470)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Iniciales'!$B$2:$B$38,D471)+SUMIFS($K$1:$K$987,$C$1:$C$987,C471,$D$1:$D$987,D471,$B$1:$B$987,"&lt;="&amp;B471)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Iniciales'!$B$2:$B$38,D472)+SUMIFS($K$1:$K$987,$C$1:$C$987,C472,$D$1:$D$987,D472,$B$1:$B$987,"&lt;="&amp;B472)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Iniciales'!$B$2:$B$38,D473)+SUMIFS($K$1:$K$987,$C$1:$C$987,C473,$D$1:$D$987,D473,$B$1:$B$987,"&lt;="&amp;B473)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Iniciales'!$B$2:$B$38,D474)+SUMIFS($K$1:$K$987,$C$1:$C$987,C474,$D$1:$D$987,D474,$B$1:$B$987,"&lt;="&amp;B474)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Iniciales'!$B$2:$B$38,D475)+SUMIFS($K$1:$K$987,$C$1:$C$987,C475,$D$1:$D$987,D475,$B$1:$B$987,"&lt;="&amp;B475)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Iniciales'!$B$2:$B$38,D476)+SUMIFS($K$1:$K$987,$C$1:$C$987,C476,$D$1:$D$987,D476,$B$1:$B$987,"&lt;="&amp;B476)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Iniciales'!$B$2:$B$38,D477)+SUMIFS($K$1:$K$987,$C$1:$C$987,C477,$D$1:$D$987,D477,$B$1:$B$987,"&lt;="&amp;B477)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Iniciales'!$B$2:$B$38,D478)+SUMIFS($K$1:$K$987,$C$1:$C$987,C478,$D$1:$D$987,D478,$B$1:$B$987,"&lt;="&amp;B478)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Iniciales'!$B$2:$B$38,D479)+SUMIFS($K$1:$K$987,$C$1:$C$987,C479,$D$1:$D$987,D479,$B$1:$B$987,"&lt;="&amp;B479)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Iniciales'!$B$2:$B$38,D480)+SUMIFS($K$1:$K$987,$C$1:$C$987,C480,$D$1:$D$987,D480,$B$1:$B$987,"&lt;="&amp;B480)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Iniciales'!$B$2:$B$38,D481)+SUMIFS($K$1:$K$987,$C$1:$C$987,C481,$D$1:$D$987,D481,$B$1:$B$987,"&lt;="&amp;B481)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Iniciales'!$B$2:$B$38,D482)+SUMIFS($K$1:$K$987,$C$1:$C$987,C482,$D$1:$D$987,D482,$B$1:$B$987,"&lt;="&amp;B482)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Iniciales'!$B$2:$B$38,D483)+SUMIFS($K$1:$K$987,$C$1:$C$987,C483,$D$1:$D$987,D483,$B$1:$B$987,"&lt;="&amp;B483)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Iniciales'!$B$2:$B$38,D484)+SUMIFS($K$1:$K$987,$C$1:$C$987,C484,$D$1:$D$987,D484,$B$1:$B$987,"&lt;="&amp;B484)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Iniciales'!$B$2:$B$38,D485)+SUMIFS($K$1:$K$987,$C$1:$C$987,C485,$D$1:$D$987,D485,$B$1:$B$987,"&lt;="&amp;B485)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Iniciales'!$B$2:$B$38,D486)+SUMIFS($K$1:$K$987,$C$1:$C$987,C486,$D$1:$D$987,D486,$B$1:$B$987,"&lt;="&amp;B486)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Iniciales'!$B$2:$B$38,D487)+SUMIFS($K$1:$K$987,$C$1:$C$987,C487,$D$1:$D$987,D487,$B$1:$B$987,"&lt;="&amp;B487)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Iniciales'!$B$2:$B$38,D488)+SUMIFS($K$1:$K$987,$C$1:$C$987,C488,$D$1:$D$987,D488,$B$1:$B$987,"&lt;="&amp;B488)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Iniciales'!$B$2:$B$38,D489)+SUMIFS($K$1:$K$987,$C$1:$C$987,C489,$D$1:$D$987,D489,$B$1:$B$987,"&lt;="&amp;B489)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Iniciales'!$B$2:$B$38,D490)+SUMIFS($K$1:$K$987,$C$1:$C$987,C490,$D$1:$D$987,D490,$B$1:$B$987,"&lt;="&amp;B490)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Iniciales'!$B$2:$B$38,D491)+SUMIFS($K$1:$K$987,$C$1:$C$987,C491,$D$1:$D$987,D491,$B$1:$B$987,"&lt;="&amp;B491)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Iniciales'!$B$2:$B$38,D492)+SUMIFS($K$1:$K$987,$C$1:$C$987,C492,$D$1:$D$987,D492,$B$1:$B$987,"&lt;="&amp;B492)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Iniciales'!$B$2:$B$38,D493)+SUMIFS($K$1:$K$987,$C$1:$C$987,C493,$D$1:$D$987,D493,$B$1:$B$987,"&lt;="&amp;B493)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Iniciales'!$B$2:$B$38,D494)+SUMIFS($K$1:$K$987,$C$1:$C$987,C494,$D$1:$D$987,D494,$B$1:$B$987,"&lt;="&amp;B494)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Iniciales'!$B$2:$B$38,D495)+SUMIFS($K$1:$K$987,$C$1:$C$987,C495,$D$1:$D$987,D495,$B$1:$B$987,"&lt;="&amp;B495)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Iniciales'!$B$2:$B$38,D496)+SUMIFS($K$1:$K$987,$C$1:$C$987,C496,$D$1:$D$987,D496,$B$1:$B$987,"&lt;="&amp;B496)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Iniciales'!$B$2:$B$38,D497)+SUMIFS($K$1:$K$987,$C$1:$C$987,C497,$D$1:$D$987,D497,$B$1:$B$987,"&lt;="&amp;B497)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Iniciales'!$B$2:$B$38,D498)+SUMIFS($K$1:$K$987,$C$1:$C$987,C498,$D$1:$D$987,D498,$B$1:$B$987,"&lt;="&amp;B498)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Iniciales'!$B$2:$B$38,D499)+SUMIFS($K$1:$K$987,$C$1:$C$987,C499,$D$1:$D$987,D499,$B$1:$B$987,"&lt;="&amp;B499)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Iniciales'!$B$2:$B$38,D500)+SUMIFS($K$1:$K$987,$C$1:$C$987,C500,$D$1:$D$987,D500,$B$1:$B$987,"&lt;="&amp;B500)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Iniciales'!$B$2:$B$38,D501)+SUMIFS($K$1:$K$987,$C$1:$C$987,C501,$D$1:$D$987,D501,$B$1:$B$987,"&lt;="&amp;B501)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Iniciales'!$B$2:$B$38,D502)+SUMIFS($K$1:$K$987,$C$1:$C$987,C502,$D$1:$D$987,D502,$B$1:$B$987,"&lt;="&amp;B502)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Iniciales'!$B$2:$B$38,D503)+SUMIFS($K$1:$K$987,$C$1:$C$987,C503,$D$1:$D$987,D503,$B$1:$B$987,"&lt;="&amp;B503)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Iniciales'!$B$2:$B$38,D504)+SUMIFS($K$1:$K$987,$C$1:$C$987,C504,$D$1:$D$987,D504,$B$1:$B$987,"&lt;="&amp;B504)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Iniciales'!$B$2:$B$38,D505)+SUMIFS($K$1:$K$987,$C$1:$C$987,C505,$D$1:$D$987,D505,$B$1:$B$987,"&lt;="&amp;B505)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Iniciales'!$B$2:$B$38,D506)+SUMIFS($K$1:$K$987,$C$1:$C$987,C506,$D$1:$D$987,D506,$B$1:$B$987,"&lt;="&amp;B506)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Iniciales'!$B$2:$B$38,D507)+SUMIFS($K$1:$K$987,$C$1:$C$987,C507,$D$1:$D$987,D507,$B$1:$B$987,"&lt;="&amp;B507)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Iniciales'!$B$2:$B$38,D508)+SUMIFS($K$1:$K$987,$C$1:$C$987,C508,$D$1:$D$987,D508,$B$1:$B$987,"&lt;="&amp;B508)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Iniciales'!$B$2:$B$38,D509)+SUMIFS($K$1:$K$987,$C$1:$C$987,C509,$D$1:$D$987,D509,$B$1:$B$987,"&lt;="&amp;B509)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Iniciales'!$B$2:$B$38,D510)+SUMIFS($K$1:$K$987,$C$1:$C$987,C510,$D$1:$D$987,D510,$B$1:$B$987,"&lt;="&amp;B510)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Iniciales'!$B$2:$B$38,D511)+SUMIFS($K$1:$K$987,$C$1:$C$987,C511,$D$1:$D$987,D511,$B$1:$B$987,"&lt;="&amp;B511)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Iniciales'!$B$2:$B$38,D512)+SUMIFS($K$1:$K$987,$C$1:$C$987,C512,$D$1:$D$987,D512,$B$1:$B$987,"&lt;="&amp;B512)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Iniciales'!$B$2:$B$38,D513)+SUMIFS($K$1:$K$987,$C$1:$C$987,C513,$D$1:$D$987,D513,$B$1:$B$987,"&lt;="&amp;B513)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Iniciales'!$B$2:$B$38,D514)+SUMIFS($K$1:$K$987,$C$1:$C$987,C514,$D$1:$D$987,D514,$B$1:$B$987,"&lt;="&amp;B514)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Iniciales'!$B$2:$B$38,D515)+SUMIFS($K$1:$K$987,$C$1:$C$987,C515,$D$1:$D$987,D515,$B$1:$B$987,"&lt;="&amp;B515)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Iniciales'!$B$2:$B$38,D516)+SUMIFS($K$1:$K$987,$C$1:$C$987,C516,$D$1:$D$987,D516,$B$1:$B$987,"&lt;="&amp;B516)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Iniciales'!$B$2:$B$38,D517)+SUMIFS($K$1:$K$987,$C$1:$C$987,C517,$D$1:$D$987,D517,$B$1:$B$987,"&lt;="&amp;B517)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Iniciales'!$B$2:$B$38,D518)+SUMIFS($K$1:$K$987,$C$1:$C$987,C518,$D$1:$D$987,D518,$B$1:$B$987,"&lt;="&amp;B518)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Iniciales'!$B$2:$B$38,D519)+SUMIFS($K$1:$K$987,$C$1:$C$987,C519,$D$1:$D$987,D519,$B$1:$B$987,"&lt;="&amp;B519)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Iniciales'!$B$2:$B$38,D520)+SUMIFS($K$1:$K$987,$C$1:$C$987,C520,$D$1:$D$987,D520,$B$1:$B$987,"&lt;="&amp;B520)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Iniciales'!$B$2:$B$38,D521)+SUMIFS($K$1:$K$987,$C$1:$C$987,C521,$D$1:$D$987,D521,$B$1:$B$987,"&lt;="&amp;B521)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Iniciales'!$B$2:$B$38,D522)+SUMIFS($K$1:$K$987,$C$1:$C$987,C522,$D$1:$D$987,D522,$B$1:$B$987,"&lt;="&amp;B522)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Iniciales'!$B$2:$B$38,D523)+SUMIFS($K$1:$K$987,$C$1:$C$987,C523,$D$1:$D$987,D523,$B$1:$B$987,"&lt;="&amp;B523)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Iniciales'!$B$2:$B$38,D524)+SUMIFS($K$1:$K$987,$C$1:$C$987,C524,$D$1:$D$987,D524,$B$1:$B$987,"&lt;="&amp;B524)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Iniciales'!$B$2:$B$38,D525)+SUMIFS($K$1:$K$987,$C$1:$C$987,C525,$D$1:$D$987,D525,$B$1:$B$987,"&lt;="&amp;B525)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Iniciales'!$B$2:$B$38,D526)+SUMIFS($K$1:$K$987,$C$1:$C$987,C526,$D$1:$D$987,D526,$B$1:$B$987,"&lt;="&amp;B526)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Iniciales'!$B$2:$B$38,D527)+SUMIFS($K$1:$K$987,$C$1:$C$987,C527,$D$1:$D$987,D527,$B$1:$B$987,"&lt;="&amp;B527)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Iniciales'!$B$2:$B$38,D528)+SUMIFS($K$1:$K$987,$C$1:$C$987,C528,$D$1:$D$987,D528,$B$1:$B$987,"&lt;="&amp;B528)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Iniciales'!$B$2:$B$38,D529)+SUMIFS($K$1:$K$987,$C$1:$C$987,C529,$D$1:$D$987,D529,$B$1:$B$987,"&lt;="&amp;B529)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Iniciales'!$B$2:$B$38,D530)+SUMIFS($K$1:$K$987,$C$1:$C$987,C530,$D$1:$D$987,D530,$B$1:$B$987,"&lt;="&amp;B530)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Iniciales'!$B$2:$B$38,D531)+SUMIFS($K$1:$K$987,$C$1:$C$987,C531,$D$1:$D$987,D531,$B$1:$B$987,"&lt;="&amp;B531)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Iniciales'!$B$2:$B$38,D532)+SUMIFS($K$1:$K$987,$C$1:$C$987,C532,$D$1:$D$987,D532,$B$1:$B$987,"&lt;="&amp;B532)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Iniciales'!$B$2:$B$38,D533)+SUMIFS($K$1:$K$987,$C$1:$C$987,C533,$D$1:$D$987,D533,$B$1:$B$987,"&lt;="&amp;B533)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Iniciales'!$B$2:$B$38,D534)+SUMIFS($K$1:$K$987,$C$1:$C$987,C534,$D$1:$D$987,D534,$B$1:$B$987,"&lt;="&amp;B534)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Iniciales'!$B$2:$B$38,D535)+SUMIFS($K$1:$K$987,$C$1:$C$987,C535,$D$1:$D$987,D535,$B$1:$B$987,"&lt;="&amp;B535)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Iniciales'!$B$2:$B$38,D536)+SUMIFS($K$1:$K$987,$C$1:$C$987,C536,$D$1:$D$987,D536,$B$1:$B$987,"&lt;="&amp;B536)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Iniciales'!$B$2:$B$38,D537)+SUMIFS($K$1:$K$987,$C$1:$C$987,C537,$D$1:$D$987,D537,$B$1:$B$987,"&lt;="&amp;B537)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Iniciales'!$B$2:$B$38,D538)+SUMIFS($K$1:$K$987,$C$1:$C$987,C538,$D$1:$D$987,D538,$B$1:$B$987,"&lt;="&amp;B538)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Iniciales'!$B$2:$B$38,D539)+SUMIFS($K$1:$K$987,$C$1:$C$987,C539,$D$1:$D$987,D539,$B$1:$B$987,"&lt;="&amp;B539)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Iniciales'!$B$2:$B$38,D540)+SUMIFS($K$1:$K$987,$C$1:$C$987,C540,$D$1:$D$987,D540,$B$1:$B$987,"&lt;="&amp;B540)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Iniciales'!$B$2:$B$38,D541)+SUMIFS($K$1:$K$987,$C$1:$C$987,C541,$D$1:$D$987,D541,$B$1:$B$987,"&lt;="&amp;B541)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Iniciales'!$B$2:$B$38,D542)+SUMIFS($K$1:$K$987,$C$1:$C$987,C542,$D$1:$D$987,D542,$B$1:$B$987,"&lt;="&amp;B542)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Iniciales'!$B$2:$B$38,D543)+SUMIFS($K$1:$K$987,$C$1:$C$987,C543,$D$1:$D$987,D543,$B$1:$B$987,"&lt;="&amp;B543)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Iniciales'!$B$2:$B$38,D544)+SUMIFS($K$1:$K$987,$C$1:$C$987,C544,$D$1:$D$987,D544,$B$1:$B$987,"&lt;="&amp;B544)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Iniciales'!$B$2:$B$38,D545)+SUMIFS($K$1:$K$987,$C$1:$C$987,C545,$D$1:$D$987,D545,$B$1:$B$987,"&lt;="&amp;B545)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Iniciales'!$B$2:$B$38,D546)+SUMIFS($K$1:$K$987,$C$1:$C$987,C546,$D$1:$D$987,D546,$B$1:$B$987,"&lt;="&amp;B546)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Iniciales'!$B$2:$B$38,D547)+SUMIFS($K$1:$K$987,$C$1:$C$987,C547,$D$1:$D$987,D547,$B$1:$B$987,"&lt;="&amp;B547)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Iniciales'!$B$2:$B$38,D548)+SUMIFS($K$1:$K$987,$C$1:$C$987,C548,$D$1:$D$987,D548,$B$1:$B$987,"&lt;="&amp;B548)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Iniciales'!$B$2:$B$38,D549)+SUMIFS($K$1:$K$987,$C$1:$C$987,C549,$D$1:$D$987,D549,$B$1:$B$987,"&lt;="&amp;B549)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Iniciales'!$B$2:$B$38,D550)+SUMIFS($K$1:$K$987,$C$1:$C$987,C550,$D$1:$D$987,D550,$B$1:$B$987,"&lt;="&amp;B550)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Iniciales'!$B$2:$B$38,D551)+SUMIFS($K$1:$K$987,$C$1:$C$987,C551,$D$1:$D$987,D551,$B$1:$B$987,"&lt;="&amp;B551)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Iniciales'!$B$2:$B$38,D552)+SUMIFS($K$1:$K$987,$C$1:$C$987,C552,$D$1:$D$987,D552,$B$1:$B$987,"&lt;="&amp;B552)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Iniciales'!$B$2:$B$38,D553)+SUMIFS($K$1:$K$987,$C$1:$C$987,C553,$D$1:$D$987,D553,$B$1:$B$987,"&lt;="&amp;B553)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Iniciales'!$B$2:$B$38,D554)+SUMIFS($K$1:$K$987,$C$1:$C$987,C554,$D$1:$D$987,D554,$B$1:$B$987,"&lt;="&amp;B554)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Iniciales'!$B$2:$B$38,D555)+SUMIFS($K$1:$K$987,$C$1:$C$987,C555,$D$1:$D$987,D555,$B$1:$B$987,"&lt;="&amp;B555)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Iniciales'!$B$2:$B$38,D556)+SUMIFS($K$1:$K$987,$C$1:$C$987,C556,$D$1:$D$987,D556,$B$1:$B$987,"&lt;="&amp;B556)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Iniciales'!$B$2:$B$38,D557)+SUMIFS($K$1:$K$987,$C$1:$C$987,C557,$D$1:$D$987,D557,$B$1:$B$987,"&lt;="&amp;B557)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Iniciales'!$B$2:$B$38,D558)+SUMIFS($K$1:$K$987,$C$1:$C$987,C558,$D$1:$D$987,D558,$B$1:$B$987,"&lt;="&amp;B558)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Iniciales'!$B$2:$B$38,D559)+SUMIFS($K$1:$K$987,$C$1:$C$987,C559,$D$1:$D$987,D559,$B$1:$B$987,"&lt;="&amp;B559)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Iniciales'!$B$2:$B$38,D560)+SUMIFS($K$1:$K$987,$C$1:$C$987,C560,$D$1:$D$987,D560,$B$1:$B$987,"&lt;="&amp;B560)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Iniciales'!$B$2:$B$38,D561)+SUMIFS($K$1:$K$987,$C$1:$C$987,C561,$D$1:$D$987,D561,$B$1:$B$987,"&lt;="&amp;B561)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Iniciales'!$B$2:$B$38,D562)+SUMIFS($K$1:$K$987,$C$1:$C$987,C562,$D$1:$D$987,D562,$B$1:$B$987,"&lt;="&amp;B562)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Iniciales'!$B$2:$B$38,D563)+SUMIFS($K$1:$K$987,$C$1:$C$987,C563,$D$1:$D$987,D563,$B$1:$B$987,"&lt;="&amp;B563)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Iniciales'!$B$2:$B$38,D564)+SUMIFS($K$1:$K$987,$C$1:$C$987,C564,$D$1:$D$987,D564,$B$1:$B$987,"&lt;="&amp;B564)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Iniciales'!$B$2:$B$38,D565)+SUMIFS($K$1:$K$987,$C$1:$C$987,C565,$D$1:$D$987,D565,$B$1:$B$987,"&lt;="&amp;B565)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Iniciales'!$B$2:$B$38,D566)+SUMIFS($K$1:$K$987,$C$1:$C$987,C566,$D$1:$D$987,D566,$B$1:$B$987,"&lt;="&amp;B566)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Iniciales'!$B$2:$B$38,D567)+SUMIFS($K$1:$K$987,$C$1:$C$987,C567,$D$1:$D$987,D567,$B$1:$B$987,"&lt;="&amp;B567)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Iniciales'!$B$2:$B$38,D568)+SUMIFS($K$1:$K$987,$C$1:$C$987,C568,$D$1:$D$987,D568,$B$1:$B$987,"&lt;="&amp;B568)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Iniciales'!$B$2:$B$38,D569)+SUMIFS($K$1:$K$987,$C$1:$C$987,C569,$D$1:$D$987,D569,$B$1:$B$987,"&lt;="&amp;B569)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Iniciales'!$B$2:$B$38,D570)+SUMIFS($K$1:$K$987,$C$1:$C$987,C570,$D$1:$D$987,D570,$B$1:$B$987,"&lt;="&amp;B570)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Iniciales'!$B$2:$B$38,D571)+SUMIFS($K$1:$K$987,$C$1:$C$987,C571,$D$1:$D$987,D571,$B$1:$B$987,"&lt;="&amp;B571)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Iniciales'!$B$2:$B$38,D572)+SUMIFS($K$1:$K$987,$C$1:$C$987,C572,$D$1:$D$987,D572,$B$1:$B$987,"&lt;="&amp;B572)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Iniciales'!$B$2:$B$38,D573)+SUMIFS($K$1:$K$987,$C$1:$C$987,C573,$D$1:$D$987,D573,$B$1:$B$987,"&lt;="&amp;B573)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Iniciales'!$B$2:$B$38,D574)+SUMIFS($K$1:$K$987,$C$1:$C$987,C574,$D$1:$D$987,D574,$B$1:$B$987,"&lt;="&amp;B574)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Iniciales'!$B$2:$B$38,D575)+SUMIFS($K$1:$K$987,$C$1:$C$987,C575,$D$1:$D$987,D575,$B$1:$B$987,"&lt;="&amp;B575)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Iniciales'!$B$2:$B$38,D576)+SUMIFS($K$1:$K$987,$C$1:$C$987,C576,$D$1:$D$987,D576,$B$1:$B$987,"&lt;="&amp;B576)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Iniciales'!$B$2:$B$38,D577)+SUMIFS($K$1:$K$987,$C$1:$C$987,C577,$D$1:$D$987,D577,$B$1:$B$987,"&lt;="&amp;B577)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Iniciales'!$B$2:$B$38,D578)+SUMIFS($K$1:$K$987,$C$1:$C$987,C578,$D$1:$D$987,D578,$B$1:$B$987,"&lt;="&amp;B578)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Iniciales'!$B$2:$B$38,D579)+SUMIFS($K$1:$K$987,$C$1:$C$987,C579,$D$1:$D$987,D579,$B$1:$B$987,"&lt;="&amp;B579)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Iniciales'!$B$2:$B$38,D580)+SUMIFS($K$1:$K$987,$C$1:$C$987,C580,$D$1:$D$987,D580,$B$1:$B$987,"&lt;="&amp;B580)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Iniciales'!$B$2:$B$38,D581)+SUMIFS($K$1:$K$987,$C$1:$C$987,C581,$D$1:$D$987,D581,$B$1:$B$987,"&lt;="&amp;B581)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Iniciales'!$B$2:$B$38,D582)+SUMIFS($K$1:$K$987,$C$1:$C$987,C582,$D$1:$D$987,D582,$B$1:$B$987,"&lt;="&amp;B582)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Iniciales'!$B$2:$B$38,D583)+SUMIFS($K$1:$K$987,$C$1:$C$987,C583,$D$1:$D$987,D583,$B$1:$B$987,"&lt;="&amp;B583)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Iniciales'!$B$2:$B$38,D584)+SUMIFS($K$1:$K$987,$C$1:$C$987,C584,$D$1:$D$987,D584,$B$1:$B$987,"&lt;="&amp;B584)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Iniciales'!$B$2:$B$38,D585)+SUMIFS($K$1:$K$987,$C$1:$C$987,C585,$D$1:$D$987,D585,$B$1:$B$987,"&lt;="&amp;B585)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Iniciales'!$B$2:$B$38,D586)+SUMIFS($K$1:$K$987,$C$1:$C$987,C586,$D$1:$D$987,D586,$B$1:$B$987,"&lt;="&amp;B586)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Iniciales'!$B$2:$B$38,D587)+SUMIFS($K$1:$K$987,$C$1:$C$987,C587,$D$1:$D$987,D587,$B$1:$B$987,"&lt;="&amp;B587)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Iniciales'!$B$2:$B$38,D588)+SUMIFS($K$1:$K$987,$C$1:$C$987,C588,$D$1:$D$987,D588,$B$1:$B$987,"&lt;="&amp;B588)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Iniciales'!$B$2:$B$38,D589)+SUMIFS($K$1:$K$987,$C$1:$C$987,C589,$D$1:$D$987,D589,$B$1:$B$987,"&lt;="&amp;B589)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Iniciales'!$B$2:$B$38,D590)+SUMIFS($K$1:$K$987,$C$1:$C$987,C590,$D$1:$D$987,D590,$B$1:$B$987,"&lt;="&amp;B590)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Iniciales'!$B$2:$B$38,D591)+SUMIFS($K$1:$K$987,$C$1:$C$987,C591,$D$1:$D$987,D591,$B$1:$B$987,"&lt;="&amp;B591)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Iniciales'!$B$2:$B$38,D592)+SUMIFS($K$1:$K$987,$C$1:$C$987,C592,$D$1:$D$987,D592,$B$1:$B$987,"&lt;="&amp;B592)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Iniciales'!$B$2:$B$38,D593)+SUMIFS($K$1:$K$987,$C$1:$C$987,C593,$D$1:$D$987,D593,$B$1:$B$987,"&lt;="&amp;B593)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Iniciales'!$B$2:$B$38,D594)+SUMIFS($K$1:$K$987,$C$1:$C$987,C594,$D$1:$D$987,D594,$B$1:$B$987,"&lt;="&amp;B594)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Iniciales'!$B$2:$B$38,D595)+SUMIFS($K$1:$K$987,$C$1:$C$987,C595,$D$1:$D$987,D595,$B$1:$B$987,"&lt;="&amp;B595)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Iniciales'!$B$2:$B$38,D596)+SUMIFS($K$1:$K$987,$C$1:$C$987,C596,$D$1:$D$987,D596,$B$1:$B$987,"&lt;="&amp;B596)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Iniciales'!$B$2:$B$38,D597)+SUMIFS($K$1:$K$987,$C$1:$C$987,C597,$D$1:$D$987,D597,$B$1:$B$987,"&lt;="&amp;B597)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Iniciales'!$B$2:$B$38,D598)+SUMIFS($K$1:$K$987,$C$1:$C$987,C598,$D$1:$D$987,D598,$B$1:$B$987,"&lt;="&amp;B598)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Iniciales'!$B$2:$B$38,D599)+SUMIFS($K$1:$K$987,$C$1:$C$987,C599,$D$1:$D$987,D599,$B$1:$B$987,"&lt;="&amp;B599)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Iniciales'!$B$2:$B$38,D600)+SUMIFS($K$1:$K$987,$C$1:$C$987,C600,$D$1:$D$987,D600,$B$1:$B$987,"&lt;="&amp;B600)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Iniciales'!$B$2:$B$38,D601)+SUMIFS($K$1:$K$987,$C$1:$C$987,C601,$D$1:$D$987,D601,$B$1:$B$987,"&lt;="&amp;B601)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Iniciales'!$B$2:$B$38,D602)+SUMIFS($K$1:$K$987,$C$1:$C$987,C602,$D$1:$D$987,D602,$B$1:$B$987,"&lt;="&amp;B602)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Iniciales'!$B$2:$B$38,D603)+SUMIFS($K$1:$K$987,$C$1:$C$987,C603,$D$1:$D$987,D603,$B$1:$B$987,"&lt;="&amp;B603)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Iniciales'!$B$2:$B$38,D604)+SUMIFS($K$1:$K$987,$C$1:$C$987,C604,$D$1:$D$987,D604,$B$1:$B$987,"&lt;="&amp;B604)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Iniciales'!$B$2:$B$38,D605)+SUMIFS($K$1:$K$987,$C$1:$C$987,C605,$D$1:$D$987,D605,$B$1:$B$987,"&lt;="&amp;B605)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Iniciales'!$B$2:$B$38,D606)+SUMIFS($K$1:$K$987,$C$1:$C$987,C606,$D$1:$D$987,D606,$B$1:$B$987,"&lt;="&amp;B606)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Iniciales'!$B$2:$B$38,D607)+SUMIFS($K$1:$K$987,$C$1:$C$987,C607,$D$1:$D$987,D607,$B$1:$B$987,"&lt;="&amp;B607)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Iniciales'!$B$2:$B$38,D608)+SUMIFS($K$1:$K$987,$C$1:$C$987,C608,$D$1:$D$987,D608,$B$1:$B$987,"&lt;="&amp;B608)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Iniciales'!$B$2:$B$38,D609)+SUMIFS($K$1:$K$987,$C$1:$C$987,C609,$D$1:$D$987,D609,$B$1:$B$987,"&lt;="&amp;B609)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Iniciales'!$B$2:$B$38,D610)+SUMIFS($K$1:$K$987,$C$1:$C$987,C610,$D$1:$D$987,D610,$B$1:$B$987,"&lt;="&amp;B610)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Iniciales'!$B$2:$B$38,D611)+SUMIFS($K$1:$K$987,$C$1:$C$987,C611,$D$1:$D$987,D611,$B$1:$B$987,"&lt;="&amp;B611)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Iniciales'!$B$2:$B$38,D612)+SUMIFS($K$1:$K$987,$C$1:$C$987,C612,$D$1:$D$987,D612,$B$1:$B$987,"&lt;="&amp;B612)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Iniciales'!$B$2:$B$38,D613)+SUMIFS($K$1:$K$987,$C$1:$C$987,C613,$D$1:$D$987,D613,$B$1:$B$987,"&lt;="&amp;B613)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Iniciales'!$B$2:$B$38,D614)+SUMIFS($K$1:$K$987,$C$1:$C$987,C614,$D$1:$D$987,D614,$B$1:$B$987,"&lt;="&amp;B614)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Iniciales'!$B$2:$B$38,D615)+SUMIFS($K$1:$K$987,$C$1:$C$987,C615,$D$1:$D$987,D615,$B$1:$B$987,"&lt;="&amp;B615)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Iniciales'!$B$2:$B$38,D616)+SUMIFS($K$1:$K$987,$C$1:$C$987,C616,$D$1:$D$987,D616,$B$1:$B$987,"&lt;="&amp;B616)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Iniciales'!$B$2:$B$38,D617)+SUMIFS($K$1:$K$987,$C$1:$C$987,C617,$D$1:$D$987,D617,$B$1:$B$987,"&lt;="&amp;B617)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Iniciales'!$B$2:$B$38,D618)+SUMIFS($K$1:$K$987,$C$1:$C$987,C618,$D$1:$D$987,D618,$B$1:$B$987,"&lt;="&amp;B618)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Iniciales'!$B$2:$B$38,D619)+SUMIFS($K$1:$K$987,$C$1:$C$987,C619,$D$1:$D$987,D619,$B$1:$B$987,"&lt;="&amp;B619)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Iniciales'!$B$2:$B$38,D620)+SUMIFS($K$1:$K$987,$C$1:$C$987,C620,$D$1:$D$987,D620,$B$1:$B$987,"&lt;="&amp;B620)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Iniciales'!$B$2:$B$38,D621)+SUMIFS($K$1:$K$987,$C$1:$C$987,C621,$D$1:$D$987,D621,$B$1:$B$987,"&lt;="&amp;B621)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Iniciales'!$B$2:$B$38,D622)+SUMIFS($K$1:$K$987,$C$1:$C$987,C622,$D$1:$D$987,D622,$B$1:$B$987,"&lt;="&amp;B622)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Iniciales'!$B$2:$B$38,D623)+SUMIFS($K$1:$K$987,$C$1:$C$987,C623,$D$1:$D$987,D623,$B$1:$B$987,"&lt;="&amp;B623)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Iniciales'!$B$2:$B$38,D624)+SUMIFS($K$1:$K$987,$C$1:$C$987,C624,$D$1:$D$987,D624,$B$1:$B$987,"&lt;="&amp;B624)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Iniciales'!$B$2:$B$38,D625)+SUMIFS($K$1:$K$987,$C$1:$C$987,C625,$D$1:$D$987,D625,$B$1:$B$987,"&lt;="&amp;B625)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Iniciales'!$B$2:$B$38,D626)+SUMIFS($K$1:$K$987,$C$1:$C$987,C626,$D$1:$D$987,D626,$B$1:$B$987,"&lt;="&amp;B626)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Iniciales'!$B$2:$B$38,D627)+SUMIFS($K$1:$K$987,$C$1:$C$987,C627,$D$1:$D$987,D627,$B$1:$B$987,"&lt;="&amp;B627)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Iniciales'!$B$2:$B$38,D628)+SUMIFS($K$1:$K$987,$C$1:$C$987,C628,$D$1:$D$987,D628,$B$1:$B$987,"&lt;="&amp;B628)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Iniciales'!$B$2:$B$38,D629)+SUMIFS($K$1:$K$987,$C$1:$C$987,C629,$D$1:$D$987,D629,$B$1:$B$987,"&lt;="&amp;B629)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Iniciales'!$B$2:$B$38,D630)+SUMIFS($K$1:$K$987,$C$1:$C$987,C630,$D$1:$D$987,D630,$B$1:$B$987,"&lt;="&amp;B630)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Iniciales'!$B$2:$B$38,D631)+SUMIFS($K$1:$K$987,$C$1:$C$987,C631,$D$1:$D$987,D631,$B$1:$B$987,"&lt;="&amp;B631)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Iniciales'!$B$2:$B$38,D632)+SUMIFS($K$1:$K$987,$C$1:$C$987,C632,$D$1:$D$987,D632,$B$1:$B$987,"&lt;="&amp;B632)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Iniciales'!$B$2:$B$38,D633)+SUMIFS($K$1:$K$987,$C$1:$C$987,C633,$D$1:$D$987,D633,$B$1:$B$987,"&lt;="&amp;B633)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Iniciales'!$B$2:$B$38,D634)+SUMIFS($K$1:$K$987,$C$1:$C$987,C634,$D$1:$D$987,D634,$B$1:$B$987,"&lt;="&amp;B634)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Iniciales'!$B$2:$B$38,D635)+SUMIFS($K$1:$K$987,$C$1:$C$987,C635,$D$1:$D$987,D635,$B$1:$B$987,"&lt;="&amp;B635)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Iniciales'!$B$2:$B$38,D636)+SUMIFS($K$1:$K$987,$C$1:$C$987,C636,$D$1:$D$987,D636,$B$1:$B$987,"&lt;="&amp;B636)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Iniciales'!$B$2:$B$38,D637)+SUMIFS($K$1:$K$987,$C$1:$C$987,C637,$D$1:$D$987,D637,$B$1:$B$987,"&lt;="&amp;B637)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Iniciales'!$B$2:$B$38,D638)+SUMIFS($K$1:$K$987,$C$1:$C$987,C638,$D$1:$D$987,D638,$B$1:$B$987,"&lt;="&amp;B638)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Iniciales'!$B$2:$B$38,D639)+SUMIFS($K$1:$K$987,$C$1:$C$987,C639,$D$1:$D$987,D639,$B$1:$B$987,"&lt;="&amp;B639)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Iniciales'!$B$2:$B$38,D640)+SUMIFS($K$1:$K$987,$C$1:$C$987,C640,$D$1:$D$987,D640,$B$1:$B$987,"&lt;="&amp;B640)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Iniciales'!$B$2:$B$38,D641)+SUMIFS($K$1:$K$987,$C$1:$C$987,C641,$D$1:$D$987,D641,$B$1:$B$987,"&lt;="&amp;B641)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Iniciales'!$B$2:$B$38,D642)+SUMIFS($K$1:$K$987,$C$1:$C$987,C642,$D$1:$D$987,D642,$B$1:$B$987,"&lt;="&amp;B642)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Iniciales'!$B$2:$B$38,D643)+SUMIFS($K$1:$K$987,$C$1:$C$987,C643,$D$1:$D$987,D643,$B$1:$B$987,"&lt;="&amp;B643)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Iniciales'!$B$2:$B$38,D644)+SUMIFS($K$1:$K$987,$C$1:$C$987,C644,$D$1:$D$987,D644,$B$1:$B$987,"&lt;="&amp;B644)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Iniciales'!$B$2:$B$38,D645)+SUMIFS($K$1:$K$987,$C$1:$C$987,C645,$D$1:$D$987,D645,$B$1:$B$987,"&lt;="&amp;B645)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Iniciales'!$B$2:$B$38,D646)+SUMIFS($K$1:$K$987,$C$1:$C$987,C646,$D$1:$D$987,D646,$B$1:$B$987,"&lt;="&amp;B646)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Iniciales'!$B$2:$B$38,D647)+SUMIFS($K$1:$K$987,$C$1:$C$987,C647,$D$1:$D$987,D647,$B$1:$B$987,"&lt;="&amp;B647)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Iniciales'!$B$2:$B$38,D648)+SUMIFS($K$1:$K$987,$C$1:$C$987,C648,$D$1:$D$987,D648,$B$1:$B$987,"&lt;="&amp;B648)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Iniciales'!$B$2:$B$38,D649)+SUMIFS($K$1:$K$987,$C$1:$C$987,C649,$D$1:$D$987,D649,$B$1:$B$987,"&lt;="&amp;B649)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Iniciales'!$B$2:$B$38,D650)+SUMIFS($K$1:$K$987,$C$1:$C$987,C650,$D$1:$D$987,D650,$B$1:$B$987,"&lt;="&amp;B650)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Iniciales'!$B$2:$B$38,D651)+SUMIFS($K$1:$K$987,$C$1:$C$987,C651,$D$1:$D$987,D651,$B$1:$B$987,"&lt;="&amp;B651)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Iniciales'!$B$2:$B$38,D652)+SUMIFS($K$1:$K$987,$C$1:$C$987,C652,$D$1:$D$987,D652,$B$1:$B$987,"&lt;="&amp;B652)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Iniciales'!$B$2:$B$38,D653)+SUMIFS($K$1:$K$987,$C$1:$C$987,C653,$D$1:$D$987,D653,$B$1:$B$987,"&lt;="&amp;B653)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Iniciales'!$B$2:$B$38,D654)+SUMIFS($K$1:$K$987,$C$1:$C$987,C654,$D$1:$D$987,D654,$B$1:$B$987,"&lt;="&amp;B654)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Iniciales'!$B$2:$B$38,D655)+SUMIFS($K$1:$K$987,$C$1:$C$987,C655,$D$1:$D$987,D655,$B$1:$B$987,"&lt;="&amp;B655)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Iniciales'!$B$2:$B$38,D656)+SUMIFS($K$1:$K$987,$C$1:$C$987,C656,$D$1:$D$987,D656,$B$1:$B$987,"&lt;="&amp;B656)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Iniciales'!$B$2:$B$38,D657)+SUMIFS($K$1:$K$987,$C$1:$C$987,C657,$D$1:$D$987,D657,$B$1:$B$987,"&lt;="&amp;B657)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Iniciales'!$B$2:$B$38,D658)+SUMIFS($K$1:$K$987,$C$1:$C$987,C658,$D$1:$D$987,D658,$B$1:$B$987,"&lt;="&amp;B658)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Iniciales'!$B$2:$B$38,D659)+SUMIFS($K$1:$K$987,$C$1:$C$987,C659,$D$1:$D$987,D659,$B$1:$B$987,"&lt;="&amp;B659)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Iniciales'!$B$2:$B$38,D660)+SUMIFS($K$1:$K$987,$C$1:$C$987,C660,$D$1:$D$987,D660,$B$1:$B$987,"&lt;="&amp;B660)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Iniciales'!$B$2:$B$38,D661)+SUMIFS($K$1:$K$987,$C$1:$C$987,C661,$D$1:$D$987,D661,$B$1:$B$987,"&lt;="&amp;B661)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Iniciales'!$B$2:$B$38,D662)+SUMIFS($K$1:$K$987,$C$1:$C$987,C662,$D$1:$D$987,D662,$B$1:$B$987,"&lt;="&amp;B662)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Iniciales'!$B$2:$B$38,D663)+SUMIFS($K$1:$K$987,$C$1:$C$987,C663,$D$1:$D$987,D663,$B$1:$B$987,"&lt;="&amp;B663)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Iniciales'!$B$2:$B$38,D664)+SUMIFS($K$1:$K$987,$C$1:$C$987,C664,$D$1:$D$987,D664,$B$1:$B$987,"&lt;="&amp;B664)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Iniciales'!$B$2:$B$38,D665)+SUMIFS($K$1:$K$987,$C$1:$C$987,C665,$D$1:$D$987,D665,$B$1:$B$987,"&lt;="&amp;B665)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Iniciales'!$B$2:$B$38,D666)+SUMIFS($K$1:$K$987,$C$1:$C$987,C666,$D$1:$D$987,D666,$B$1:$B$987,"&lt;="&amp;B666)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Iniciales'!$B$2:$B$38,D667)+SUMIFS($K$1:$K$987,$C$1:$C$987,C667,$D$1:$D$987,D667,$B$1:$B$987,"&lt;="&amp;B667)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Iniciales'!$B$2:$B$38,D668)+SUMIFS($K$1:$K$987,$C$1:$C$987,C668,$D$1:$D$987,D668,$B$1:$B$987,"&lt;="&amp;B668)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Iniciales'!$B$2:$B$38,D669)+SUMIFS($K$1:$K$987,$C$1:$C$987,C669,$D$1:$D$987,D669,$B$1:$B$987,"&lt;="&amp;B669)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Iniciales'!$B$2:$B$38,D670)+SUMIFS($K$1:$K$987,$C$1:$C$987,C670,$D$1:$D$987,D670,$B$1:$B$987,"&lt;="&amp;B670)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Iniciales'!$B$2:$B$38,D671)+SUMIFS($K$1:$K$987,$C$1:$C$987,C671,$D$1:$D$987,D671,$B$1:$B$987,"&lt;="&amp;B671)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Iniciales'!$B$2:$B$38,D672)+SUMIFS($K$1:$K$987,$C$1:$C$987,C672,$D$1:$D$987,D672,$B$1:$B$987,"&lt;="&amp;B672)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Iniciales'!$B$2:$B$38,D673)+SUMIFS($K$1:$K$987,$C$1:$C$987,C673,$D$1:$D$987,D673,$B$1:$B$987,"&lt;="&amp;B673)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Iniciales'!$B$2:$B$38,D674)+SUMIFS($K$1:$K$987,$C$1:$C$987,C674,$D$1:$D$987,D674,$B$1:$B$987,"&lt;="&amp;B674)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Iniciales'!$B$2:$B$38,D675)+SUMIFS($K$1:$K$987,$C$1:$C$987,C675,$D$1:$D$987,D675,$B$1:$B$987,"&lt;="&amp;B675)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Iniciales'!$B$2:$B$38,D676)+SUMIFS($K$1:$K$987,$C$1:$C$987,C676,$D$1:$D$987,D676,$B$1:$B$987,"&lt;="&amp;B676)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Iniciales'!$B$2:$B$38,D677)+SUMIFS($K$1:$K$987,$C$1:$C$987,C677,$D$1:$D$987,D677,$B$1:$B$987,"&lt;="&amp;B677)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Iniciales'!$B$2:$B$38,D678)+SUMIFS($K$1:$K$987,$C$1:$C$987,C678,$D$1:$D$987,D678,$B$1:$B$987,"&lt;="&amp;B678)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Iniciales'!$B$2:$B$38,D679)+SUMIFS($K$1:$K$987,$C$1:$C$987,C679,$D$1:$D$987,D679,$B$1:$B$987,"&lt;="&amp;B679)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Iniciales'!$B$2:$B$38,D680)+SUMIFS($K$1:$K$987,$C$1:$C$987,C680,$D$1:$D$987,D680,$B$1:$B$987,"&lt;="&amp;B680)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Iniciales'!$B$2:$B$38,D681)+SUMIFS($K$1:$K$987,$C$1:$C$987,C681,$D$1:$D$987,D681,$B$1:$B$987,"&lt;="&amp;B681)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Iniciales'!$B$2:$B$38,D682)+SUMIFS($K$1:$K$987,$C$1:$C$987,C682,$D$1:$D$987,D682,$B$1:$B$987,"&lt;="&amp;B682)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Iniciales'!$B$2:$B$38,D683)+SUMIFS($K$1:$K$987,$C$1:$C$987,C683,$D$1:$D$987,D683,$B$1:$B$987,"&lt;="&amp;B683)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Iniciales'!$B$2:$B$38,D684)+SUMIFS($K$1:$K$987,$C$1:$C$987,C684,$D$1:$D$987,D684,$B$1:$B$987,"&lt;="&amp;B684)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Iniciales'!$B$2:$B$38,D685)+SUMIFS($K$1:$K$987,$C$1:$C$987,C685,$D$1:$D$987,D685,$B$1:$B$987,"&lt;="&amp;B685)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Iniciales'!$B$2:$B$38,D686)+SUMIFS($K$1:$K$987,$C$1:$C$987,C686,$D$1:$D$987,D686,$B$1:$B$987,"&lt;="&amp;B686)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Iniciales'!$B$2:$B$38,D687)+SUMIFS($K$1:$K$987,$C$1:$C$987,C687,$D$1:$D$987,D687,$B$1:$B$987,"&lt;="&amp;B687)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Iniciales'!$B$2:$B$38,D688)+SUMIFS($K$1:$K$987,$C$1:$C$987,C688,$D$1:$D$987,D688,$B$1:$B$987,"&lt;="&amp;B688)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Iniciales'!$B$2:$B$38,D689)+SUMIFS($K$1:$K$987,$C$1:$C$987,C689,$D$1:$D$987,D689,$B$1:$B$987,"&lt;="&amp;B689)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Iniciales'!$B$2:$B$38,D690)+SUMIFS($K$1:$K$987,$C$1:$C$987,C690,$D$1:$D$987,D690,$B$1:$B$987,"&lt;="&amp;B690)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Iniciales'!$B$2:$B$38,D691)+SUMIFS($K$1:$K$987,$C$1:$C$987,C691,$D$1:$D$987,D691,$B$1:$B$987,"&lt;="&amp;B691)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Iniciales'!$B$2:$B$38,D692)+SUMIFS($K$1:$K$987,$C$1:$C$987,C692,$D$1:$D$987,D692,$B$1:$B$987,"&lt;="&amp;B692)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Iniciales'!$B$2:$B$38,D693)+SUMIFS($K$1:$K$987,$C$1:$C$987,C693,$D$1:$D$987,D693,$B$1:$B$987,"&lt;="&amp;B693)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Iniciales'!$B$2:$B$38,D694)+SUMIFS($K$1:$K$987,$C$1:$C$987,C694,$D$1:$D$987,D694,$B$1:$B$987,"&lt;="&amp;B694)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Iniciales'!$B$2:$B$38,D695)+SUMIFS($K$1:$K$987,$C$1:$C$987,C695,$D$1:$D$987,D695,$B$1:$B$987,"&lt;="&amp;B695)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Iniciales'!$B$2:$B$38,D696)+SUMIFS($K$1:$K$987,$C$1:$C$987,C696,$D$1:$D$987,D696,$B$1:$B$987,"&lt;="&amp;B696)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Iniciales'!$B$2:$B$38,D697)+SUMIFS($K$1:$K$987,$C$1:$C$987,C697,$D$1:$D$987,D697,$B$1:$B$987,"&lt;="&amp;B697)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Iniciales'!$B$2:$B$38,D698)+SUMIFS($K$1:$K$987,$C$1:$C$987,C698,$D$1:$D$987,D698,$B$1:$B$987,"&lt;="&amp;B698)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Iniciales'!$B$2:$B$38,D699)+SUMIFS($K$1:$K$987,$C$1:$C$987,C699,$D$1:$D$987,D699,$B$1:$B$987,"&lt;="&amp;B699)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Iniciales'!$B$2:$B$38,D700)+SUMIFS($K$1:$K$987,$C$1:$C$987,C700,$D$1:$D$987,D700,$B$1:$B$987,"&lt;="&amp;B700)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Iniciales'!$B$2:$B$38,D701)+SUMIFS($K$1:$K$987,$C$1:$C$987,C701,$D$1:$D$987,D701,$B$1:$B$987,"&lt;="&amp;B701)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Iniciales'!$B$2:$B$38,D702)+SUMIFS($K$1:$K$987,$C$1:$C$987,C702,$D$1:$D$987,D702,$B$1:$B$987,"&lt;="&amp;B702)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Iniciales'!$B$2:$B$38,D703)+SUMIFS($K$1:$K$987,$C$1:$C$987,C703,$D$1:$D$987,D703,$B$1:$B$987,"&lt;="&amp;B703)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Iniciales'!$B$2:$B$38,D704)+SUMIFS($K$1:$K$987,$C$1:$C$987,C704,$D$1:$D$987,D704,$B$1:$B$987,"&lt;="&amp;B704)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Iniciales'!$B$2:$B$38,D705)+SUMIFS($K$1:$K$987,$C$1:$C$987,C705,$D$1:$D$987,D705,$B$1:$B$987,"&lt;="&amp;B705)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Iniciales'!$B$2:$B$38,D706)+SUMIFS($K$1:$K$987,$C$1:$C$987,C706,$D$1:$D$987,D706,$B$1:$B$987,"&lt;="&amp;B706)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Iniciales'!$B$2:$B$38,D707)+SUMIFS($K$1:$K$987,$C$1:$C$987,C707,$D$1:$D$987,D707,$B$1:$B$987,"&lt;="&amp;B707)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Iniciales'!$B$2:$B$38,D708)+SUMIFS($K$1:$K$987,$C$1:$C$987,C708,$D$1:$D$987,D708,$B$1:$B$987,"&lt;="&amp;B708)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Iniciales'!$B$2:$B$38,D709)+SUMIFS($K$1:$K$987,$C$1:$C$987,C709,$D$1:$D$987,D709,$B$1:$B$987,"&lt;="&amp;B709)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Iniciales'!$B$2:$B$38,D710)+SUMIFS($K$1:$K$987,$C$1:$C$987,C710,$D$1:$D$987,D710,$B$1:$B$987,"&lt;="&amp;B710)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Iniciales'!$B$2:$B$38,D711)+SUMIFS($K$1:$K$987,$C$1:$C$987,C711,$D$1:$D$987,D711,$B$1:$B$987,"&lt;="&amp;B711)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Iniciales'!$B$2:$B$38,D712)+SUMIFS($K$1:$K$987,$C$1:$C$987,C712,$D$1:$D$987,D712,$B$1:$B$987,"&lt;="&amp;B712)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Iniciales'!$B$2:$B$38,D713)+SUMIFS($K$1:$K$987,$C$1:$C$987,C713,$D$1:$D$987,D713,$B$1:$B$987,"&lt;="&amp;B713)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Iniciales'!$B$2:$B$38,D714)+SUMIFS($K$1:$K$987,$C$1:$C$987,C714,$D$1:$D$987,D714,$B$1:$B$987,"&lt;="&amp;B714)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Iniciales'!$B$2:$B$38,D715)+SUMIFS($K$1:$K$987,$C$1:$C$987,C715,$D$1:$D$987,D715,$B$1:$B$987,"&lt;="&amp;B715)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Iniciales'!$B$2:$B$38,D716)+SUMIFS($K$1:$K$987,$C$1:$C$987,C716,$D$1:$D$987,D716,$B$1:$B$987,"&lt;="&amp;B716)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Iniciales'!$B$2:$B$38,D717)+SUMIFS($K$1:$K$987,$C$1:$C$987,C717,$D$1:$D$987,D717,$B$1:$B$987,"&lt;="&amp;B717)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Iniciales'!$B$2:$B$38,D718)+SUMIFS($K$1:$K$987,$C$1:$C$987,C718,$D$1:$D$987,D718,$B$1:$B$987,"&lt;="&amp;B718)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Iniciales'!$B$2:$B$38,D719)+SUMIFS($K$1:$K$987,$C$1:$C$987,C719,$D$1:$D$987,D719,$B$1:$B$987,"&lt;="&amp;B719)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Iniciales'!$B$2:$B$38,D720)+SUMIFS($K$1:$K$987,$C$1:$C$987,C720,$D$1:$D$987,D720,$B$1:$B$987,"&lt;="&amp;B720)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Iniciales'!$B$2:$B$38,D721)+SUMIFS($K$1:$K$987,$C$1:$C$987,C721,$D$1:$D$987,D721,$B$1:$B$987,"&lt;="&amp;B721)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Iniciales'!$B$2:$B$38,D722)+SUMIFS($K$1:$K$987,$C$1:$C$987,C722,$D$1:$D$987,D722,$B$1:$B$987,"&lt;="&amp;B722)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Iniciales'!$B$2:$B$38,D723)+SUMIFS($K$1:$K$987,$C$1:$C$987,C723,$D$1:$D$987,D723,$B$1:$B$987,"&lt;="&amp;B723)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Iniciales'!$B$2:$B$38,D724)+SUMIFS($K$1:$K$987,$C$1:$C$987,C724,$D$1:$D$987,D724,$B$1:$B$987,"&lt;="&amp;B724)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Iniciales'!$B$2:$B$38,D725)+SUMIFS($K$1:$K$987,$C$1:$C$987,C725,$D$1:$D$987,D725,$B$1:$B$987,"&lt;="&amp;B725)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Iniciales'!$B$2:$B$38,D726)+SUMIFS($K$1:$K$987,$C$1:$C$987,C726,$D$1:$D$987,D726,$B$1:$B$987,"&lt;="&amp;B726)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Iniciales'!$B$2:$B$38,D727)+SUMIFS($K$1:$K$987,$C$1:$C$987,C727,$D$1:$D$987,D727,$B$1:$B$987,"&lt;="&amp;B727)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Iniciales'!$B$2:$B$38,D728)+SUMIFS($K$1:$K$987,$C$1:$C$987,C728,$D$1:$D$987,D728,$B$1:$B$987,"&lt;="&amp;B728)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Iniciales'!$B$2:$B$38,D729)+SUMIFS($K$1:$K$987,$C$1:$C$987,C729,$D$1:$D$987,D729,$B$1:$B$987,"&lt;="&amp;B729)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Iniciales'!$B$2:$B$38,D730)+SUMIFS($K$1:$K$987,$C$1:$C$987,C730,$D$1:$D$987,D730,$B$1:$B$987,"&lt;="&amp;B730)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Iniciales'!$B$2:$B$38,D731)+SUMIFS($K$1:$K$987,$C$1:$C$987,C731,$D$1:$D$987,D731,$B$1:$B$987,"&lt;="&amp;B731)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Iniciales'!$B$2:$B$38,D732)+SUMIFS($K$1:$K$987,$C$1:$C$987,C732,$D$1:$D$987,D732,$B$1:$B$987,"&lt;="&amp;B732)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Iniciales'!$B$2:$B$38,D733)+SUMIFS($K$1:$K$987,$C$1:$C$987,C733,$D$1:$D$987,D733,$B$1:$B$987,"&lt;="&amp;B733)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Iniciales'!$B$2:$B$38,D734)+SUMIFS($K$1:$K$987,$C$1:$C$987,C734,$D$1:$D$987,D734,$B$1:$B$987,"&lt;="&amp;B734)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Iniciales'!$B$2:$B$38,D735)+SUMIFS($K$1:$K$987,$C$1:$C$987,C735,$D$1:$D$987,D735,$B$1:$B$987,"&lt;="&amp;B735)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Iniciales'!$B$2:$B$38,D736)+SUMIFS($K$1:$K$987,$C$1:$C$987,C736,$D$1:$D$987,D736,$B$1:$B$987,"&lt;="&amp;B736)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Iniciales'!$B$2:$B$38,D737)+SUMIFS($K$1:$K$987,$C$1:$C$987,C737,$D$1:$D$987,D737,$B$1:$B$987,"&lt;="&amp;B737)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Iniciales'!$B$2:$B$38,D738)+SUMIFS($K$1:$K$987,$C$1:$C$987,C738,$D$1:$D$987,D738,$B$1:$B$987,"&lt;="&amp;B738)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Iniciales'!$B$2:$B$38,D739)+SUMIFS($K$1:$K$987,$C$1:$C$987,C739,$D$1:$D$987,D739,$B$1:$B$987,"&lt;="&amp;B739)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Iniciales'!$B$2:$B$38,D740)+SUMIFS($K$1:$K$987,$C$1:$C$987,C740,$D$1:$D$987,D740,$B$1:$B$987,"&lt;="&amp;B740)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Iniciales'!$B$2:$B$38,D741)+SUMIFS($K$1:$K$987,$C$1:$C$987,C741,$D$1:$D$987,D741,$B$1:$B$987,"&lt;="&amp;B741)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Iniciales'!$B$2:$B$38,D742)+SUMIFS($K$1:$K$987,$C$1:$C$987,C742,$D$1:$D$987,D742,$B$1:$B$987,"&lt;="&amp;B742)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Iniciales'!$B$2:$B$38,D743)+SUMIFS($K$1:$K$987,$C$1:$C$987,C743,$D$1:$D$987,D743,$B$1:$B$987,"&lt;="&amp;B743)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Iniciales'!$B$2:$B$38,D744)+SUMIFS($K$1:$K$987,$C$1:$C$987,C744,$D$1:$D$987,D744,$B$1:$B$987,"&lt;="&amp;B744)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Iniciales'!$B$2:$B$38,D745)+SUMIFS($K$1:$K$987,$C$1:$C$987,C745,$D$1:$D$987,D745,$B$1:$B$987,"&lt;="&amp;B745)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Iniciales'!$B$2:$B$38,D746)+SUMIFS($K$1:$K$987,$C$1:$C$987,C746,$D$1:$D$987,D746,$B$1:$B$987,"&lt;="&amp;B746)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Iniciales'!$B$2:$B$38,D747)+SUMIFS($K$1:$K$987,$C$1:$C$987,C747,$D$1:$D$987,D747,$B$1:$B$987,"&lt;="&amp;B747)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Iniciales'!$B$2:$B$38,D748)+SUMIFS($K$1:$K$987,$C$1:$C$987,C748,$D$1:$D$987,D748,$B$1:$B$987,"&lt;="&amp;B748)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Iniciales'!$B$2:$B$38,D749)+SUMIFS($K$1:$K$987,$C$1:$C$987,C749,$D$1:$D$987,D749,$B$1:$B$987,"&lt;="&amp;B749)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Iniciales'!$B$2:$B$38,D750)+SUMIFS($K$1:$K$987,$C$1:$C$987,C750,$D$1:$D$987,D750,$B$1:$B$987,"&lt;="&amp;B750)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Iniciales'!$B$2:$B$38,D751)+SUMIFS($K$1:$K$987,$C$1:$C$987,C751,$D$1:$D$987,D751,$B$1:$B$987,"&lt;="&amp;B751)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Iniciales'!$B$2:$B$38,D752)+SUMIFS($K$1:$K$987,$C$1:$C$987,C752,$D$1:$D$987,D752,$B$1:$B$987,"&lt;="&amp;B752)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Iniciales'!$B$2:$B$38,D753)+SUMIFS($K$1:$K$987,$C$1:$C$987,C753,$D$1:$D$987,D753,$B$1:$B$987,"&lt;="&amp;B753)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Iniciales'!$B$2:$B$38,D754)+SUMIFS($K$1:$K$987,$C$1:$C$987,C754,$D$1:$D$987,D754,$B$1:$B$987,"&lt;="&amp;B754)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Iniciales'!$B$2:$B$38,D755)+SUMIFS($K$1:$K$987,$C$1:$C$987,C755,$D$1:$D$987,D755,$B$1:$B$987,"&lt;="&amp;B755)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Iniciales'!$B$2:$B$38,D756)+SUMIFS($K$1:$K$987,$C$1:$C$987,C756,$D$1:$D$987,D756,$B$1:$B$987,"&lt;="&amp;B756)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Iniciales'!$B$2:$B$38,D757)+SUMIFS($K$1:$K$987,$C$1:$C$987,C757,$D$1:$D$987,D757,$B$1:$B$987,"&lt;="&amp;B757)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Iniciales'!$B$2:$B$38,D758)+SUMIFS($K$1:$K$987,$C$1:$C$987,C758,$D$1:$D$987,D758,$B$1:$B$987,"&lt;="&amp;B758)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Iniciales'!$B$2:$B$38,D759)+SUMIFS($K$1:$K$987,$C$1:$C$987,C759,$D$1:$D$987,D759,$B$1:$B$987,"&lt;="&amp;B759)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Iniciales'!$B$2:$B$38,D760)+SUMIFS($K$1:$K$987,$C$1:$C$987,C760,$D$1:$D$987,D760,$B$1:$B$987,"&lt;="&amp;B760)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Iniciales'!$B$2:$B$38,D761)+SUMIFS($K$1:$K$987,$C$1:$C$987,C761,$D$1:$D$987,D761,$B$1:$B$987,"&lt;="&amp;B761)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Iniciales'!$B$2:$B$38,D762)+SUMIFS($K$1:$K$987,$C$1:$C$987,C762,$D$1:$D$987,D762,$B$1:$B$987,"&lt;="&amp;B762)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Iniciales'!$B$2:$B$38,D763)+SUMIFS($K$1:$K$987,$C$1:$C$987,C763,$D$1:$D$987,D763,$B$1:$B$987,"&lt;="&amp;B763)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Iniciales'!$B$2:$B$38,D764)+SUMIFS($K$1:$K$987,$C$1:$C$987,C764,$D$1:$D$987,D764,$B$1:$B$987,"&lt;="&amp;B764)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Iniciales'!$B$2:$B$38,D765)+SUMIFS($K$1:$K$987,$C$1:$C$987,C765,$D$1:$D$987,D765,$B$1:$B$987,"&lt;="&amp;B765)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Iniciales'!$B$2:$B$38,D766)+SUMIFS($K$1:$K$987,$C$1:$C$987,C766,$D$1:$D$987,D766,$B$1:$B$987,"&lt;="&amp;B766)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Iniciales'!$B$2:$B$38,D767)+SUMIFS($K$1:$K$987,$C$1:$C$987,C767,$D$1:$D$987,D767,$B$1:$B$987,"&lt;="&amp;B767)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Iniciales'!$B$2:$B$38,D768)+SUMIFS($K$1:$K$987,$C$1:$C$987,C768,$D$1:$D$987,D768,$B$1:$B$987,"&lt;="&amp;B768)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Iniciales'!$B$2:$B$38,D769)+SUMIFS($K$1:$K$987,$C$1:$C$987,C769,$D$1:$D$987,D769,$B$1:$B$987,"&lt;="&amp;B769)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Iniciales'!$B$2:$B$38,D770)+SUMIFS($K$1:$K$987,$C$1:$C$987,C770,$D$1:$D$987,D770,$B$1:$B$987,"&lt;="&amp;B770)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Iniciales'!$B$2:$B$38,D771)+SUMIFS($K$1:$K$987,$C$1:$C$987,C771,$D$1:$D$987,D771,$B$1:$B$987,"&lt;="&amp;B771)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Iniciales'!$B$2:$B$38,D772)+SUMIFS($K$1:$K$987,$C$1:$C$987,C772,$D$1:$D$987,D772,$B$1:$B$987,"&lt;="&amp;B772)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Iniciales'!$B$2:$B$38,D773)+SUMIFS($K$1:$K$987,$C$1:$C$987,C773,$D$1:$D$987,D773,$B$1:$B$987,"&lt;="&amp;B773)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Iniciales'!$B$2:$B$38,D774)+SUMIFS($K$1:$K$987,$C$1:$C$987,C774,$D$1:$D$987,D774,$B$1:$B$987,"&lt;="&amp;B774)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Iniciales'!$B$2:$B$38,D775)+SUMIFS($K$1:$K$987,$C$1:$C$987,C775,$D$1:$D$987,D775,$B$1:$B$987,"&lt;="&amp;B775)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Iniciales'!$B$2:$B$38,D776)+SUMIFS($K$1:$K$987,$C$1:$C$987,C776,$D$1:$D$987,D776,$B$1:$B$987,"&lt;="&amp;B776)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Iniciales'!$B$2:$B$38,D777)+SUMIFS($K$1:$K$987,$C$1:$C$987,C777,$D$1:$D$987,D777,$B$1:$B$987,"&lt;="&amp;B777)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Iniciales'!$B$2:$B$38,D778)+SUMIFS($K$1:$K$987,$C$1:$C$987,C778,$D$1:$D$987,D778,$B$1:$B$987,"&lt;="&amp;B778)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Iniciales'!$B$2:$B$38,D779)+SUMIFS($K$1:$K$987,$C$1:$C$987,C779,$D$1:$D$987,D779,$B$1:$B$987,"&lt;="&amp;B779)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Iniciales'!$B$2:$B$38,D780)+SUMIFS($K$1:$K$987,$C$1:$C$987,C780,$D$1:$D$987,D780,$B$1:$B$987,"&lt;="&amp;B780)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Iniciales'!$B$2:$B$38,D781)+SUMIFS($K$1:$K$987,$C$1:$C$987,C781,$D$1:$D$987,D781,$B$1:$B$987,"&lt;="&amp;B781)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Iniciales'!$B$2:$B$38,D782)+SUMIFS($K$1:$K$987,$C$1:$C$987,C782,$D$1:$D$987,D782,$B$1:$B$987,"&lt;="&amp;B782)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Iniciales'!$B$2:$B$38,D783)+SUMIFS($K$1:$K$987,$C$1:$C$987,C783,$D$1:$D$987,D783,$B$1:$B$987,"&lt;="&amp;B783)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Iniciales'!$B$2:$B$38,D784)+SUMIFS($K$1:$K$987,$C$1:$C$987,C784,$D$1:$D$987,D784,$B$1:$B$987,"&lt;="&amp;B784)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Iniciales'!$B$2:$B$38,D785)+SUMIFS($K$1:$K$987,$C$1:$C$987,C785,$D$1:$D$987,D785,$B$1:$B$987,"&lt;="&amp;B785)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Iniciales'!$B$2:$B$38,D786)+SUMIFS($K$1:$K$987,$C$1:$C$987,C786,$D$1:$D$987,D786,$B$1:$B$987,"&lt;="&amp;B786)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Iniciales'!$B$2:$B$38,D787)+SUMIFS($K$1:$K$987,$C$1:$C$987,C787,$D$1:$D$987,D787,$B$1:$B$987,"&lt;="&amp;B787)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Iniciales'!$B$2:$B$38,D788)+SUMIFS($K$1:$K$987,$C$1:$C$987,C788,$D$1:$D$987,D788,$B$1:$B$987,"&lt;="&amp;B788)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Iniciales'!$B$2:$B$38,D789)+SUMIFS($K$1:$K$987,$C$1:$C$987,C789,$D$1:$D$987,D789,$B$1:$B$987,"&lt;="&amp;B789)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Iniciales'!$B$2:$B$38,D790)+SUMIFS($K$1:$K$987,$C$1:$C$987,C790,$D$1:$D$987,D790,$B$1:$B$987,"&lt;="&amp;B790)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Iniciales'!$B$2:$B$38,D791)+SUMIFS($K$1:$K$987,$C$1:$C$987,C791,$D$1:$D$987,D791,$B$1:$B$987,"&lt;="&amp;B791)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Iniciales'!$B$2:$B$38,D792)+SUMIFS($K$1:$K$987,$C$1:$C$987,C792,$D$1:$D$987,D792,$B$1:$B$987,"&lt;="&amp;B792)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Iniciales'!$B$2:$B$38,D793)+SUMIFS($K$1:$K$987,$C$1:$C$987,C793,$D$1:$D$987,D793,$B$1:$B$987,"&lt;="&amp;B793)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Iniciales'!$B$2:$B$38,D794)+SUMIFS($K$1:$K$987,$C$1:$C$987,C794,$D$1:$D$987,D794,$B$1:$B$987,"&lt;="&amp;B794)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Iniciales'!$B$2:$B$38,D795)+SUMIFS($K$1:$K$987,$C$1:$C$987,C795,$D$1:$D$987,D795,$B$1:$B$987,"&lt;="&amp;B795)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Iniciales'!$B$2:$B$38,D796)+SUMIFS($K$1:$K$987,$C$1:$C$987,C796,$D$1:$D$987,D796,$B$1:$B$987,"&lt;="&amp;B796)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Iniciales'!$B$2:$B$38,D797)+SUMIFS($K$1:$K$987,$C$1:$C$987,C797,$D$1:$D$987,D797,$B$1:$B$987,"&lt;="&amp;B797)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Iniciales'!$B$2:$B$38,D798)+SUMIFS($K$1:$K$987,$C$1:$C$987,C798,$D$1:$D$987,D798,$B$1:$B$987,"&lt;="&amp;B798)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Iniciales'!$B$2:$B$38,D799)+SUMIFS($K$1:$K$987,$C$1:$C$987,C799,$D$1:$D$987,D799,$B$1:$B$987,"&lt;="&amp;B799)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Iniciales'!$B$2:$B$38,D800)+SUMIFS($K$1:$K$987,$C$1:$C$987,C800,$D$1:$D$987,D800,$B$1:$B$987,"&lt;="&amp;B800)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Iniciales'!$B$2:$B$38,D801)+SUMIFS($K$1:$K$987,$C$1:$C$987,C801,$D$1:$D$987,D801,$B$1:$B$987,"&lt;="&amp;B801)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Iniciales'!$B$2:$B$38,D802)+SUMIFS($K$1:$K$987,$C$1:$C$987,C802,$D$1:$D$987,D802,$B$1:$B$987,"&lt;="&amp;B802)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Iniciales'!$B$2:$B$38,D803)+SUMIFS($K$1:$K$987,$C$1:$C$987,C803,$D$1:$D$987,D803,$B$1:$B$987,"&lt;="&amp;B803)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Iniciales'!$B$2:$B$38,D804)+SUMIFS($K$1:$K$987,$C$1:$C$987,C804,$D$1:$D$987,D804,$B$1:$B$987,"&lt;="&amp;B804)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Iniciales'!$B$2:$B$38,D805)+SUMIFS($K$1:$K$987,$C$1:$C$987,C805,$D$1:$D$987,D805,$B$1:$B$987,"&lt;="&amp;B805)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Iniciales'!$B$2:$B$38,D806)+SUMIFS($K$1:$K$987,$C$1:$C$987,C806,$D$1:$D$987,D806,$B$1:$B$987,"&lt;="&amp;B806)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Iniciales'!$B$2:$B$38,D807)+SUMIFS($K$1:$K$987,$C$1:$C$987,C807,$D$1:$D$987,D807,$B$1:$B$987,"&lt;="&amp;B807)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Iniciales'!$B$2:$B$38,D808)+SUMIFS($K$1:$K$987,$C$1:$C$987,C808,$D$1:$D$987,D808,$B$1:$B$987,"&lt;="&amp;B808)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Iniciales'!$B$2:$B$38,D809)+SUMIFS($K$1:$K$987,$C$1:$C$987,C809,$D$1:$D$987,D809,$B$1:$B$987,"&lt;="&amp;B809)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Iniciales'!$B$2:$B$38,D810)+SUMIFS($K$1:$K$987,$C$1:$C$987,C810,$D$1:$D$987,D810,$B$1:$B$987,"&lt;="&amp;B810)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Iniciales'!$B$2:$B$38,D811)+SUMIFS($K$1:$K$987,$C$1:$C$987,C811,$D$1:$D$987,D811,$B$1:$B$987,"&lt;="&amp;B811)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Iniciales'!$B$2:$B$38,D812)+SUMIFS($K$1:$K$987,$C$1:$C$987,C812,$D$1:$D$987,D812,$B$1:$B$987,"&lt;="&amp;B812)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Iniciales'!$B$2:$B$38,D813)+SUMIFS($K$1:$K$987,$C$1:$C$987,C813,$D$1:$D$987,D813,$B$1:$B$987,"&lt;="&amp;B813)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Iniciales'!$B$2:$B$38,D814)+SUMIFS($K$1:$K$987,$C$1:$C$987,C814,$D$1:$D$987,D814,$B$1:$B$987,"&lt;="&amp;B814)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Iniciales'!$B$2:$B$38,D815)+SUMIFS($K$1:$K$987,$C$1:$C$987,C815,$D$1:$D$987,D815,$B$1:$B$987,"&lt;="&amp;B815)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Iniciales'!$B$2:$B$38,D816)+SUMIFS($K$1:$K$987,$C$1:$C$987,C816,$D$1:$D$987,D816,$B$1:$B$987,"&lt;="&amp;B816)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Iniciales'!$B$2:$B$38,D817)+SUMIFS($K$1:$K$987,$C$1:$C$987,C817,$D$1:$D$987,D817,$B$1:$B$987,"&lt;="&amp;B817)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Iniciales'!$B$2:$B$38,D818)+SUMIFS($K$1:$K$987,$C$1:$C$987,C818,$D$1:$D$987,D818,$B$1:$B$987,"&lt;="&amp;B818)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Iniciales'!$B$2:$B$38,D819)+SUMIFS($K$1:$K$987,$C$1:$C$987,C819,$D$1:$D$987,D819,$B$1:$B$987,"&lt;="&amp;B819)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Iniciales'!$B$2:$B$38,D820)+SUMIFS($K$1:$K$987,$C$1:$C$987,C820,$D$1:$D$987,D820,$B$1:$B$987,"&lt;="&amp;B820)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Iniciales'!$B$2:$B$38,D821)+SUMIFS($K$1:$K$987,$C$1:$C$987,C821,$D$1:$D$987,D821,$B$1:$B$987,"&lt;="&amp;B821)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Iniciales'!$B$2:$B$38,D822)+SUMIFS($K$1:$K$987,$C$1:$C$987,C822,$D$1:$D$987,D822,$B$1:$B$987,"&lt;="&amp;B822)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Iniciales'!$B$2:$B$38,D823)+SUMIFS($K$1:$K$987,$C$1:$C$987,C823,$D$1:$D$987,D823,$B$1:$B$987,"&lt;="&amp;B823)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Iniciales'!$B$2:$B$38,D824)+SUMIFS($K$1:$K$987,$C$1:$C$987,C824,$D$1:$D$987,D824,$B$1:$B$987,"&lt;="&amp;B824)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Iniciales'!$B$2:$B$38,D825)+SUMIFS($K$1:$K$987,$C$1:$C$987,C825,$D$1:$D$987,D825,$B$1:$B$987,"&lt;="&amp;B825)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Iniciales'!$B$2:$B$38,D826)+SUMIFS($K$1:$K$987,$C$1:$C$987,C826,$D$1:$D$987,D826,$B$1:$B$987,"&lt;="&amp;B826)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Iniciales'!$B$2:$B$38,D827)+SUMIFS($K$1:$K$987,$C$1:$C$987,C827,$D$1:$D$987,D827,$B$1:$B$987,"&lt;="&amp;B827)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Iniciales'!$B$2:$B$38,D828)+SUMIFS($K$1:$K$987,$C$1:$C$987,C828,$D$1:$D$987,D828,$B$1:$B$987,"&lt;="&amp;B828)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Iniciales'!$B$2:$B$38,D829)+SUMIFS($K$1:$K$987,$C$1:$C$987,C829,$D$1:$D$987,D829,$B$1:$B$987,"&lt;="&amp;B829)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Iniciales'!$B$2:$B$38,D830)+SUMIFS($K$1:$K$987,$C$1:$C$987,C830,$D$1:$D$987,D830,$B$1:$B$987,"&lt;="&amp;B830)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Iniciales'!$B$2:$B$38,D831)+SUMIFS($K$1:$K$987,$C$1:$C$987,C831,$D$1:$D$987,D831,$B$1:$B$987,"&lt;="&amp;B831)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Iniciales'!$B$2:$B$38,D832)+SUMIFS($K$1:$K$987,$C$1:$C$987,C832,$D$1:$D$987,D832,$B$1:$B$987,"&lt;="&amp;B832)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Iniciales'!$B$2:$B$38,D833)+SUMIFS($K$1:$K$987,$C$1:$C$987,C833,$D$1:$D$987,D833,$B$1:$B$987,"&lt;="&amp;B833)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Iniciales'!$B$2:$B$38,D834)+SUMIFS($K$1:$K$987,$C$1:$C$987,C834,$D$1:$D$987,D834,$B$1:$B$987,"&lt;="&amp;B834)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Iniciales'!$B$2:$B$38,D835)+SUMIFS($K$1:$K$987,$C$1:$C$987,C835,$D$1:$D$987,D835,$B$1:$B$987,"&lt;="&amp;B835)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Iniciales'!$B$2:$B$38,D836)+SUMIFS($K$1:$K$987,$C$1:$C$987,C836,$D$1:$D$987,D836,$B$1:$B$987,"&lt;="&amp;B836)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Iniciales'!$B$2:$B$38,D837)+SUMIFS($K$1:$K$987,$C$1:$C$987,C837,$D$1:$D$987,D837,$B$1:$B$987,"&lt;="&amp;B837)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Iniciales'!$B$2:$B$38,D838)+SUMIFS($K$1:$K$987,$C$1:$C$987,C838,$D$1:$D$987,D838,$B$1:$B$987,"&lt;="&amp;B838)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Iniciales'!$B$2:$B$38,D839)+SUMIFS($K$1:$K$987,$C$1:$C$987,C839,$D$1:$D$987,D839,$B$1:$B$987,"&lt;="&amp;B839)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Iniciales'!$B$2:$B$38,D840)+SUMIFS($K$1:$K$987,$C$1:$C$987,C840,$D$1:$D$987,D840,$B$1:$B$987,"&lt;="&amp;B840)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Iniciales'!$B$2:$B$38,D841)+SUMIFS($K$1:$K$987,$C$1:$C$987,C841,$D$1:$D$987,D841,$B$1:$B$987,"&lt;="&amp;B841)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Iniciales'!$B$2:$B$38,D842)+SUMIFS($K$1:$K$987,$C$1:$C$987,C842,$D$1:$D$987,D842,$B$1:$B$987,"&lt;="&amp;B842)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Iniciales'!$B$2:$B$38,D843)+SUMIFS($K$1:$K$987,$C$1:$C$987,C843,$D$1:$D$987,D843,$B$1:$B$987,"&lt;="&amp;B843)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Iniciales'!$B$2:$B$38,D844)+SUMIFS($K$1:$K$987,$C$1:$C$987,C844,$D$1:$D$987,D844,$B$1:$B$987,"&lt;="&amp;B844)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Iniciales'!$B$2:$B$38,D845)+SUMIFS($K$1:$K$987,$C$1:$C$987,C845,$D$1:$D$987,D845,$B$1:$B$987,"&lt;="&amp;B845)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Iniciales'!$B$2:$B$38,D846)+SUMIFS($K$1:$K$987,$C$1:$C$987,C846,$D$1:$D$987,D846,$B$1:$B$987,"&lt;="&amp;B846)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Iniciales'!$B$2:$B$38,D847)+SUMIFS($K$1:$K$987,$C$1:$C$987,C847,$D$1:$D$987,D847,$B$1:$B$987,"&lt;="&amp;B847)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Iniciales'!$B$2:$B$38,D848)+SUMIFS($K$1:$K$987,$C$1:$C$987,C848,$D$1:$D$987,D848,$B$1:$B$987,"&lt;="&amp;B848)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Iniciales'!$B$2:$B$38,D849)+SUMIFS($K$1:$K$987,$C$1:$C$987,C849,$D$1:$D$987,D849,$B$1:$B$987,"&lt;="&amp;B849)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Iniciales'!$B$2:$B$38,D850)+SUMIFS($K$1:$K$987,$C$1:$C$987,C850,$D$1:$D$987,D850,$B$1:$B$987,"&lt;="&amp;B850)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Iniciales'!$B$2:$B$38,D851)+SUMIFS($K$1:$K$987,$C$1:$C$987,C851,$D$1:$D$987,D851,$B$1:$B$987,"&lt;="&amp;B851)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Iniciales'!$B$2:$B$38,D852)+SUMIFS($K$1:$K$987,$C$1:$C$987,C852,$D$1:$D$987,D852,$B$1:$B$987,"&lt;="&amp;B852)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Iniciales'!$B$2:$B$38,D853)+SUMIFS($K$1:$K$987,$C$1:$C$987,C853,$D$1:$D$987,D853,$B$1:$B$987,"&lt;="&amp;B853)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Iniciales'!$B$2:$B$38,D854)+SUMIFS($K$1:$K$987,$C$1:$C$987,C854,$D$1:$D$987,D854,$B$1:$B$987,"&lt;="&amp;B854)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Iniciales'!$B$2:$B$38,D855)+SUMIFS($K$1:$K$987,$C$1:$C$987,C855,$D$1:$D$987,D855,$B$1:$B$987,"&lt;="&amp;B855)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Iniciales'!$B$2:$B$38,D856)+SUMIFS($K$1:$K$987,$C$1:$C$987,C856,$D$1:$D$987,D856,$B$1:$B$987,"&lt;="&amp;B856)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Iniciales'!$B$2:$B$38,D857)+SUMIFS($K$1:$K$987,$C$1:$C$987,C857,$D$1:$D$987,D857,$B$1:$B$987,"&lt;="&amp;B857)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Iniciales'!$B$2:$B$38,D858)+SUMIFS($K$1:$K$987,$C$1:$C$987,C858,$D$1:$D$987,D858,$B$1:$B$987,"&lt;="&amp;B858)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Iniciales'!$B$2:$B$38,D859)+SUMIFS($K$1:$K$987,$C$1:$C$987,C859,$D$1:$D$987,D859,$B$1:$B$987,"&lt;="&amp;B859)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Iniciales'!$B$2:$B$38,D860)+SUMIFS($K$1:$K$987,$C$1:$C$987,C860,$D$1:$D$987,D860,$B$1:$B$987,"&lt;="&amp;B860)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Iniciales'!$B$2:$B$38,D861)+SUMIFS($K$1:$K$987,$C$1:$C$987,C861,$D$1:$D$987,D861,$B$1:$B$987,"&lt;="&amp;B861)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Iniciales'!$B$2:$B$38,D862)+SUMIFS($K$1:$K$987,$C$1:$C$987,C862,$D$1:$D$987,D862,$B$1:$B$987,"&lt;="&amp;B862)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Iniciales'!$B$2:$B$38,D863)+SUMIFS($K$1:$K$987,$C$1:$C$987,C863,$D$1:$D$987,D863,$B$1:$B$987,"&lt;="&amp;B863)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Iniciales'!$B$2:$B$38,D864)+SUMIFS($K$1:$K$987,$C$1:$C$987,C864,$D$1:$D$987,D864,$B$1:$B$987,"&lt;="&amp;B864)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Iniciales'!$B$2:$B$38,D865)+SUMIFS($K$1:$K$987,$C$1:$C$987,C865,$D$1:$D$987,D865,$B$1:$B$987,"&lt;="&amp;B865)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Iniciales'!$B$2:$B$38,D866)+SUMIFS($K$1:$K$987,$C$1:$C$987,C866,$D$1:$D$987,D866,$B$1:$B$987,"&lt;="&amp;B866)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Iniciales'!$B$2:$B$38,D867)+SUMIFS($K$1:$K$987,$C$1:$C$987,C867,$D$1:$D$987,D867,$B$1:$B$987,"&lt;="&amp;B867)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Iniciales'!$B$2:$B$38,D868)+SUMIFS($K$1:$K$987,$C$1:$C$987,C868,$D$1:$D$987,D868,$B$1:$B$987,"&lt;="&amp;B868)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Iniciales'!$B$2:$B$38,D869)+SUMIFS($K$1:$K$987,$C$1:$C$987,C869,$D$1:$D$987,D869,$B$1:$B$987,"&lt;="&amp;B869)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Iniciales'!$B$2:$B$38,D870)+SUMIFS($K$1:$K$987,$C$1:$C$987,C870,$D$1:$D$987,D870,$B$1:$B$987,"&lt;="&amp;B870)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Iniciales'!$B$2:$B$38,D871)+SUMIFS($K$1:$K$987,$C$1:$C$987,C871,$D$1:$D$987,D871,$B$1:$B$987,"&lt;="&amp;B871)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Iniciales'!$B$2:$B$38,D872)+SUMIFS($K$1:$K$987,$C$1:$C$987,C872,$D$1:$D$987,D872,$B$1:$B$987,"&lt;="&amp;B872)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Iniciales'!$B$2:$B$38,D873)+SUMIFS($K$1:$K$987,$C$1:$C$987,C873,$D$1:$D$987,D873,$B$1:$B$987,"&lt;="&amp;B873)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Iniciales'!$B$2:$B$38,D874)+SUMIFS($K$1:$K$987,$C$1:$C$987,C874,$D$1:$D$987,D874,$B$1:$B$987,"&lt;="&amp;B874)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Iniciales'!$B$2:$B$38,D875)+SUMIFS($K$1:$K$987,$C$1:$C$987,C875,$D$1:$D$987,D875,$B$1:$B$987,"&lt;="&amp;B875)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Iniciales'!$B$2:$B$38,D876)+SUMIFS($K$1:$K$987,$C$1:$C$987,C876,$D$1:$D$987,D876,$B$1:$B$987,"&lt;="&amp;B876)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Iniciales'!$B$2:$B$38,D877)+SUMIFS($K$1:$K$987,$C$1:$C$987,C877,$D$1:$D$987,D877,$B$1:$B$987,"&lt;="&amp;B877)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Iniciales'!$B$2:$B$38,D878)+SUMIFS($K$1:$K$987,$C$1:$C$987,C878,$D$1:$D$987,D878,$B$1:$B$987,"&lt;="&amp;B878)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Iniciales'!$B$2:$B$38,D879)+SUMIFS($K$1:$K$987,$C$1:$C$987,C879,$D$1:$D$987,D879,$B$1:$B$987,"&lt;="&amp;B879)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Iniciales'!$B$2:$B$38,D880)+SUMIFS($K$1:$K$987,$C$1:$C$987,C880,$D$1:$D$987,D880,$B$1:$B$987,"&lt;="&amp;B880)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Iniciales'!$B$2:$B$38,D881)+SUMIFS($K$1:$K$987,$C$1:$C$987,C881,$D$1:$D$987,D881,$B$1:$B$987,"&lt;="&amp;B881)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Iniciales'!$B$2:$B$38,D882)+SUMIFS($K$1:$K$987,$C$1:$C$987,C882,$D$1:$D$987,D882,$B$1:$B$987,"&lt;="&amp;B882)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Iniciales'!$B$2:$B$38,D883)+SUMIFS($K$1:$K$987,$C$1:$C$987,C883,$D$1:$D$987,D883,$B$1:$B$987,"&lt;="&amp;B883)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Iniciales'!$B$2:$B$38,D884)+SUMIFS($K$1:$K$987,$C$1:$C$987,C884,$D$1:$D$987,D884,$B$1:$B$987,"&lt;="&amp;B884)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Iniciales'!$B$2:$B$38,D885)+SUMIFS($K$1:$K$987,$C$1:$C$987,C885,$D$1:$D$987,D885,$B$1:$B$987,"&lt;="&amp;B885)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Iniciales'!$B$2:$B$38,D886)+SUMIFS($K$1:$K$987,$C$1:$C$987,C886,$D$1:$D$987,D886,$B$1:$B$987,"&lt;="&amp;B886)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Iniciales'!$B$2:$B$38,D887)+SUMIFS($K$1:$K$987,$C$1:$C$987,C887,$D$1:$D$987,D887,$B$1:$B$987,"&lt;="&amp;B887)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Iniciales'!$B$2:$B$38,D888)+SUMIFS($K$1:$K$987,$C$1:$C$987,C888,$D$1:$D$987,D888,$B$1:$B$987,"&lt;="&amp;B888)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Iniciales'!$B$2:$B$38,D889)+SUMIFS($K$1:$K$987,$C$1:$C$987,C889,$D$1:$D$987,D889,$B$1:$B$987,"&lt;="&amp;B889)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Iniciales'!$B$2:$B$38,D890)+SUMIFS($K$1:$K$987,$C$1:$C$987,C890,$D$1:$D$987,D890,$B$1:$B$987,"&lt;="&amp;B890)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Iniciales'!$B$2:$B$38,D891)+SUMIFS($K$1:$K$987,$C$1:$C$987,C891,$D$1:$D$987,D891,$B$1:$B$987,"&lt;="&amp;B891)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Iniciales'!$B$2:$B$38,D892)+SUMIFS($K$1:$K$987,$C$1:$C$987,C892,$D$1:$D$987,D892,$B$1:$B$987,"&lt;="&amp;B892)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Iniciales'!$B$2:$B$38,D893)+SUMIFS($K$1:$K$987,$C$1:$C$987,C893,$D$1:$D$987,D893,$B$1:$B$987,"&lt;="&amp;B893)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Iniciales'!$B$2:$B$38,D894)+SUMIFS($K$1:$K$987,$C$1:$C$987,C894,$D$1:$D$987,D894,$B$1:$B$987,"&lt;="&amp;B894)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Iniciales'!$B$2:$B$38,D895)+SUMIFS($K$1:$K$987,$C$1:$C$987,C895,$D$1:$D$987,D895,$B$1:$B$987,"&lt;="&amp;B895)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Iniciales'!$B$2:$B$38,D896)+SUMIFS($K$1:$K$987,$C$1:$C$987,C896,$D$1:$D$987,D896,$B$1:$B$987,"&lt;="&amp;B896)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Iniciales'!$B$2:$B$38,D897)+SUMIFS($K$1:$K$987,$C$1:$C$987,C897,$D$1:$D$987,D897,$B$1:$B$987,"&lt;="&amp;B897)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Iniciales'!$B$2:$B$38,D898)+SUMIFS($K$1:$K$987,$C$1:$C$987,C898,$D$1:$D$987,D898,$B$1:$B$987,"&lt;="&amp;B898)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Iniciales'!$B$2:$B$38,D899)+SUMIFS($K$1:$K$987,$C$1:$C$987,C899,$D$1:$D$987,D899,$B$1:$B$987,"&lt;="&amp;B899)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Iniciales'!$B$2:$B$38,D900)+SUMIFS($K$1:$K$987,$C$1:$C$987,C900,$D$1:$D$987,D900,$B$1:$B$987,"&lt;="&amp;B900)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Iniciales'!$B$2:$B$38,D901)+SUMIFS($K$1:$K$987,$C$1:$C$987,C901,$D$1:$D$987,D901,$B$1:$B$987,"&lt;="&amp;B901)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Iniciales'!$B$2:$B$38,D902)+SUMIFS($K$1:$K$987,$C$1:$C$987,C902,$D$1:$D$987,D902,$B$1:$B$987,"&lt;="&amp;B902)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Iniciales'!$B$2:$B$38,D903)+SUMIFS($K$1:$K$987,$C$1:$C$987,C903,$D$1:$D$987,D903,$B$1:$B$987,"&lt;="&amp;B903)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Iniciales'!$B$2:$B$38,D904)+SUMIFS($K$1:$K$987,$C$1:$C$987,C904,$D$1:$D$987,D904,$B$1:$B$987,"&lt;="&amp;B904)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Iniciales'!$B$2:$B$38,D905)+SUMIFS($K$1:$K$987,$C$1:$C$987,C905,$D$1:$D$987,D905,$B$1:$B$987,"&lt;="&amp;B905)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Iniciales'!$B$2:$B$38,D906)+SUMIFS($K$1:$K$987,$C$1:$C$987,C906,$D$1:$D$987,D906,$B$1:$B$987,"&lt;="&amp;B906)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Iniciales'!$B$2:$B$38,D907)+SUMIFS($K$1:$K$987,$C$1:$C$987,C907,$D$1:$D$987,D907,$B$1:$B$987,"&lt;="&amp;B907)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Iniciales'!$B$2:$B$38,D908)+SUMIFS($K$1:$K$987,$C$1:$C$987,C908,$D$1:$D$987,D908,$B$1:$B$987,"&lt;="&amp;B908)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Iniciales'!$B$2:$B$38,D909)+SUMIFS($K$1:$K$987,$C$1:$C$987,C909,$D$1:$D$987,D909,$B$1:$B$987,"&lt;="&amp;B909)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Iniciales'!$B$2:$B$38,D910)+SUMIFS($K$1:$K$987,$C$1:$C$987,C910,$D$1:$D$987,D910,$B$1:$B$987,"&lt;="&amp;B910)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Iniciales'!$B$2:$B$38,D911)+SUMIFS($K$1:$K$987,$C$1:$C$987,C911,$D$1:$D$987,D911,$B$1:$B$987,"&lt;="&amp;B911)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Iniciales'!$B$2:$B$38,D912)+SUMIFS($K$1:$K$987,$C$1:$C$987,C912,$D$1:$D$987,D912,$B$1:$B$987,"&lt;="&amp;B912)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Iniciales'!$B$2:$B$38,D913)+SUMIFS($K$1:$K$987,$C$1:$C$987,C913,$D$1:$D$987,D913,$B$1:$B$987,"&lt;="&amp;B913)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Iniciales'!$B$2:$B$38,D914)+SUMIFS($K$1:$K$987,$C$1:$C$987,C914,$D$1:$D$987,D914,$B$1:$B$987,"&lt;="&amp;B914)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Iniciales'!$B$2:$B$38,D915)+SUMIFS($K$1:$K$987,$C$1:$C$987,C915,$D$1:$D$987,D915,$B$1:$B$987,"&lt;="&amp;B915)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Iniciales'!$B$2:$B$38,D916)+SUMIFS($K$1:$K$987,$C$1:$C$987,C916,$D$1:$D$987,D916,$B$1:$B$987,"&lt;="&amp;B916)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Iniciales'!$B$2:$B$38,D917)+SUMIFS($K$1:$K$987,$C$1:$C$987,C917,$D$1:$D$987,D917,$B$1:$B$987,"&lt;="&amp;B917)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Iniciales'!$B$2:$B$38,D918)+SUMIFS($K$1:$K$987,$C$1:$C$987,C918,$D$1:$D$987,D918,$B$1:$B$987,"&lt;="&amp;B918)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Iniciales'!$B$2:$B$38,D919)+SUMIFS($K$1:$K$987,$C$1:$C$987,C919,$D$1:$D$987,D919,$B$1:$B$987,"&lt;="&amp;B919)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Iniciales'!$B$2:$B$38,D920)+SUMIFS($K$1:$K$987,$C$1:$C$987,C920,$D$1:$D$987,D920,$B$1:$B$987,"&lt;="&amp;B920)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Iniciales'!$B$2:$B$38,D921)+SUMIFS($K$1:$K$987,$C$1:$C$987,C921,$D$1:$D$987,D921,$B$1:$B$987,"&lt;="&amp;B921)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Iniciales'!$B$2:$B$38,D922)+SUMIFS($K$1:$K$987,$C$1:$C$987,C922,$D$1:$D$987,D922,$B$1:$B$987,"&lt;="&amp;B922)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Iniciales'!$B$2:$B$38,D923)+SUMIFS($K$1:$K$987,$C$1:$C$987,C923,$D$1:$D$987,D923,$B$1:$B$987,"&lt;="&amp;B923)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Iniciales'!$B$2:$B$38,D924)+SUMIFS($K$1:$K$987,$C$1:$C$987,C924,$D$1:$D$987,D924,$B$1:$B$987,"&lt;="&amp;B924)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Iniciales'!$B$2:$B$38,D925)+SUMIFS($K$1:$K$987,$C$1:$C$987,C925,$D$1:$D$987,D925,$B$1:$B$987,"&lt;="&amp;B925)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Iniciales'!$B$2:$B$38,D926)+SUMIFS($K$1:$K$987,$C$1:$C$987,C926,$D$1:$D$987,D926,$B$1:$B$987,"&lt;="&amp;B926)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Iniciales'!$B$2:$B$38,D927)+SUMIFS($K$1:$K$987,$C$1:$C$987,C927,$D$1:$D$987,D927,$B$1:$B$987,"&lt;="&amp;B927)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Iniciales'!$B$2:$B$38,D928)+SUMIFS($K$1:$K$987,$C$1:$C$987,C928,$D$1:$D$987,D928,$B$1:$B$987,"&lt;="&amp;B928)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Iniciales'!$B$2:$B$38,D929)+SUMIFS($K$1:$K$987,$C$1:$C$987,C929,$D$1:$D$987,D929,$B$1:$B$987,"&lt;="&amp;B929)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Iniciales'!$B$2:$B$38,D930)+SUMIFS($K$1:$K$987,$C$1:$C$987,C930,$D$1:$D$987,D930,$B$1:$B$987,"&lt;="&amp;B930)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Iniciales'!$B$2:$B$38,D931)+SUMIFS($K$1:$K$987,$C$1:$C$987,C931,$D$1:$D$987,D931,$B$1:$B$987,"&lt;="&amp;B931)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Iniciales'!$B$2:$B$38,D932)+SUMIFS($K$1:$K$987,$C$1:$C$987,C932,$D$1:$D$987,D932,$B$1:$B$987,"&lt;="&amp;B932)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Iniciales'!$B$2:$B$38,D933)+SUMIFS($K$1:$K$987,$C$1:$C$987,C933,$D$1:$D$987,D933,$B$1:$B$987,"&lt;="&amp;B933)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Iniciales'!$B$2:$B$38,D934)+SUMIFS($K$1:$K$987,$C$1:$C$987,C934,$D$1:$D$987,D934,$B$1:$B$987,"&lt;="&amp;B934)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Iniciales'!$B$2:$B$38,D935)+SUMIFS($K$1:$K$987,$C$1:$C$987,C935,$D$1:$D$987,D935,$B$1:$B$987,"&lt;="&amp;B935)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Iniciales'!$B$2:$B$38,D936)+SUMIFS($K$1:$K$987,$C$1:$C$987,C936,$D$1:$D$987,D936,$B$1:$B$987,"&lt;="&amp;B936)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Iniciales'!$B$2:$B$38,D937)+SUMIFS($K$1:$K$987,$C$1:$C$987,C937,$D$1:$D$987,D937,$B$1:$B$987,"&lt;="&amp;B937)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Iniciales'!$B$2:$B$38,D938)+SUMIFS($K$1:$K$987,$C$1:$C$987,C938,$D$1:$D$987,D938,$B$1:$B$987,"&lt;="&amp;B938)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Iniciales'!$B$2:$B$38,D939)+SUMIFS($K$1:$K$987,$C$1:$C$987,C939,$D$1:$D$987,D939,$B$1:$B$987,"&lt;="&amp;B939)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Iniciales'!$B$2:$B$38,D940)+SUMIFS($K$1:$K$987,$C$1:$C$987,C940,$D$1:$D$987,D940,$B$1:$B$987,"&lt;="&amp;B940)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Iniciales'!$B$2:$B$38,D941)+SUMIFS($K$1:$K$987,$C$1:$C$987,C941,$D$1:$D$987,D941,$B$1:$B$987,"&lt;="&amp;B941)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Iniciales'!$B$2:$B$38,D942)+SUMIFS($K$1:$K$987,$C$1:$C$987,C942,$D$1:$D$987,D942,$B$1:$B$987,"&lt;="&amp;B942)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Iniciales'!$B$2:$B$38,D943)+SUMIFS($K$1:$K$987,$C$1:$C$987,C943,$D$1:$D$987,D943,$B$1:$B$987,"&lt;="&amp;B943)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Iniciales'!$B$2:$B$38,D944)+SUMIFS($K$1:$K$987,$C$1:$C$987,C944,$D$1:$D$987,D944,$B$1:$B$987,"&lt;="&amp;B944)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Iniciales'!$B$2:$B$38,D945)+SUMIFS($K$1:$K$987,$C$1:$C$987,C945,$D$1:$D$987,D945,$B$1:$B$987,"&lt;="&amp;B945)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Iniciales'!$B$2:$B$38,D946)+SUMIFS($K$1:$K$987,$C$1:$C$987,C946,$D$1:$D$987,D946,$B$1:$B$987,"&lt;="&amp;B946)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Iniciales'!$B$2:$B$38,D947)+SUMIFS($K$1:$K$987,$C$1:$C$987,C947,$D$1:$D$987,D947,$B$1:$B$987,"&lt;="&amp;B947)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Iniciales'!$B$2:$B$38,D948)+SUMIFS($K$1:$K$987,$C$1:$C$987,C948,$D$1:$D$987,D948,$B$1:$B$987,"&lt;="&amp;B948)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Iniciales'!$B$2:$B$38,D949)+SUMIFS($K$1:$K$987,$C$1:$C$987,C949,$D$1:$D$987,D949,$B$1:$B$987,"&lt;="&amp;B949)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Iniciales'!$B$2:$B$38,D950)+SUMIFS($K$1:$K$987,$C$1:$C$987,C950,$D$1:$D$987,D950,$B$1:$B$987,"&lt;="&amp;B950)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Iniciales'!$B$2:$B$38,D951)+SUMIFS($K$1:$K$987,$C$1:$C$987,C951,$D$1:$D$987,D951,$B$1:$B$987,"&lt;="&amp;B951)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87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Iniciales'!$B$2:$B$38,D952)+SUMIFS($K$1:$K$987,$C$1:$C$987,C952,$D$1:$D$987,D952,$B$1:$B$987,"&lt;="&amp;B952)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Iniciales'!$B$2:$B$38,D953)+SUMIFS($K$1:$K$987,$C$1:$C$987,C953,$D$1:$D$987,D953,$B$1:$B$987,"&lt;="&amp;B953)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Iniciales'!$B$2:$B$38,D954)+SUMIFS($K$1:$K$987,$C$1:$C$987,C954,$D$1:$D$987,D954,$B$1:$B$987,"&lt;="&amp;B954)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Iniciales'!$B$2:$B$38,D955)+SUMIFS($K$1:$K$987,$C$1:$C$987,C955,$D$1:$D$987,D955,$B$1:$B$987,"&lt;="&amp;B955)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Iniciales'!$B$2:$B$38,D956)+SUMIFS($K$1:$K$987,$C$1:$C$987,C956,$D$1:$D$987,D956,$B$1:$B$987,"&lt;="&amp;B956)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Iniciales'!$B$2:$B$38,D957)+SUMIFS($K$1:$K$987,$C$1:$C$987,C957,$D$1:$D$987,D957,$B$1:$B$987,"&lt;="&amp;B957)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Iniciales'!$B$2:$B$38,D958)+SUMIFS($K$1:$K$987,$C$1:$C$987,C958,$D$1:$D$987,D958,$B$1:$B$987,"&lt;="&amp;B958)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Iniciales'!$B$2:$B$38,D959)+SUMIFS($K$1:$K$987,$C$1:$C$987,C959,$D$1:$D$987,D959,$B$1:$B$987,"&lt;="&amp;B959)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Iniciales'!$B$2:$B$38,D960)+SUMIFS($K$1:$K$987,$C$1:$C$987,C960,$D$1:$D$987,D960,$B$1:$B$987,"&lt;="&amp;B960)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Iniciales'!$B$2:$B$38,D961)+SUMIFS($K$1:$K$987,$C$1:$C$987,C961,$D$1:$D$987,D961,$B$1:$B$987,"&lt;="&amp;B961)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Iniciales'!$B$2:$B$38,D962)+SUMIFS($K$1:$K$987,$C$1:$C$987,C962,$D$1:$D$987,D962,$B$1:$B$987,"&lt;="&amp;B962)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Iniciales'!$B$2:$B$38,D963)+SUMIFS($K$1:$K$987,$C$1:$C$987,C963,$D$1:$D$987,D963,$B$1:$B$987,"&lt;="&amp;B963)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Iniciales'!$B$2:$B$38,D964)+SUMIFS($K$1:$K$987,$C$1:$C$987,C964,$D$1:$D$987,D964,$B$1:$B$987,"&lt;="&amp;B964)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Iniciales'!$B$2:$B$38,D965)+SUMIFS($K$1:$K$987,$C$1:$C$987,C965,$D$1:$D$987,D965,$B$1:$B$987,"&lt;="&amp;B965)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Iniciales'!$B$2:$B$38,D966)+SUMIFS($K$1:$K$987,$C$1:$C$987,C966,$D$1:$D$987,D966,$B$1:$B$987,"&lt;="&amp;B966)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Iniciales'!$B$2:$B$38,D967)+SUMIFS($K$1:$K$987,$C$1:$C$987,C967,$D$1:$D$987,D967,$B$1:$B$987,"&lt;="&amp;B967)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Iniciales'!$B$2:$B$38,D968)+SUMIFS($K$1:$K$987,$C$1:$C$987,C968,$D$1:$D$987,D968,$B$1:$B$987,"&lt;="&amp;B968)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76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Iniciales'!$B$2:$B$38,D969)+SUMIFS($K$1:$K$987,$C$1:$C$987,C969,$D$1:$D$987,D969,$B$1:$B$987,"&lt;="&amp;B969)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76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Iniciales'!$B$2:$B$38,D970)+SUMIFS($K$1:$K$987,$C$1:$C$987,C970,$D$1:$D$987,D970,$B$1:$B$987,"&lt;="&amp;B970)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/>
      </c>
      <c r="D971" s="41" t="s">
        <v>187</v>
      </c>
      <c r="E971" s="4" t="str">
        <f>_xlfn.XLOOKUP(tblMovimientos[[#This Row],[Cuenta Bancaria]],Listas!$B:$B,Listas!$C:$C,"")</f>
        <v/>
      </c>
      <c r="F971" s="41" t="s">
        <v>9</v>
      </c>
      <c r="G971" s="41" t="s">
        <v>69</v>
      </c>
      <c r="H971" s="76" t="str">
        <f>IFERROR(_xlfn.XLOOKUP(G971,Listas!E:E,Listas!F:F,""),"")</f>
        <v>Operativo</v>
      </c>
      <c r="I971" s="46" t="str">
        <f>IFERROR(_xlfn.XLOOKUP(G971,Listas!E:E,Listas!G:G,""),"")</f>
        <v>Interno</v>
      </c>
      <c r="J971" s="43">
        <v>13622.78</v>
      </c>
      <c r="K971" s="5">
        <f t="shared" si="11"/>
        <v>13622.78</v>
      </c>
      <c r="L971" s="15" t="s">
        <v>133</v>
      </c>
      <c r="M971" s="44">
        <f>SUMIFS('Saldos Iniciales'!$D$2:$D$38,'Saldos Iniciales'!$A$2:$A$38,C971,'Saldos Iniciales'!$B$2:$B$38,D971)+SUMIFS($K$1:$K$987,$C$1:$C$987,C971,$D$1:$D$987,D971,$B$1:$B$987,"&lt;="&amp;B971)</f>
        <v>13622.78</v>
      </c>
      <c r="N971" s="65">
        <f>IF(tblMovimientos[[#This Row],[Tipo de Movimiento]]="Ingreso",tblMovimientos[[#This Row],[Monto (S/)]],"0")</f>
        <v>13622.78</v>
      </c>
      <c r="O971" s="65" t="str">
        <f>IF(tblMovimientos[[#This Row],[Tipo de Movimiento]]="Egreso",tblMovimientos[[#This Row],[Monto (S/)]],"0")</f>
        <v>0</v>
      </c>
      <c r="P971" s="28">
        <f>IF(tblMovimientos[[#This Row],[Tipo de Movimiento]]="Ingreso",tblMovimientos[[#This Row],[Ingreso]],-tblMovimientos[[#This Row],[Egreso]])</f>
        <v>13622.78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Go Blue</v>
      </c>
      <c r="D972" s="41" t="s">
        <v>169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76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220.01</v>
      </c>
      <c r="K972" s="5">
        <f t="shared" si="11"/>
        <v>-220.01</v>
      </c>
      <c r="L972" s="15" t="s">
        <v>133</v>
      </c>
      <c r="M972" s="44">
        <f>SUMIFS('Saldos Iniciales'!$D$2:$D$38,'Saldos Iniciales'!$A$2:$A$38,C972,'Saldos Iniciales'!$B$2:$B$38,D972)+SUMIFS($K$1:$K$987,$C$1:$C$987,C972,$D$1:$D$987,D972,$B$1:$B$987,"&lt;="&amp;B972)</f>
        <v>1674.7500000000018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220.01</v>
      </c>
      <c r="P972" s="28">
        <f>IF(tblMovimientos[[#This Row],[Tipo de Movimiento]]="Ingreso",tblMovimientos[[#This Row],[Ingreso]],-tblMovimientos[[#This Row],[Egreso]])</f>
        <v>-220.01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76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2916.67</v>
      </c>
      <c r="K973" s="5">
        <f t="shared" si="11"/>
        <v>-2916.67</v>
      </c>
      <c r="L973" s="15" t="s">
        <v>133</v>
      </c>
      <c r="M973" s="44">
        <f>SUMIFS('Saldos Iniciales'!$D$2:$D$38,'Saldos Iniciales'!$A$2:$A$38,C973,'Saldos Iniciales'!$B$2:$B$38,D973)+SUMIFS($K$1:$K$987,$C$1:$C$987,C973,$D$1:$D$987,D973,$B$1:$B$987,"&lt;="&amp;B973)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2916.67</v>
      </c>
      <c r="P973" s="28">
        <f>IF(tblMovimientos[[#This Row],[Tipo de Movimiento]]="Ingreso",tblMovimientos[[#This Row],[Ingreso]],-tblMovimientos[[#This Row],[Egreso]])</f>
        <v>-2916.67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76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3908.33</v>
      </c>
      <c r="K974" s="5">
        <f t="shared" si="11"/>
        <v>-3908.33</v>
      </c>
      <c r="L974" s="15" t="s">
        <v>133</v>
      </c>
      <c r="M974" s="44">
        <f>SUMIFS('Saldos Iniciales'!$D$2:$D$38,'Saldos Iniciales'!$A$2:$A$38,C974,'Saldos Iniciales'!$B$2:$B$38,D974)+SUMIFS($K$1:$K$987,$C$1:$C$987,C974,$D$1:$D$987,D974,$B$1:$B$987,"&lt;="&amp;B974)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3908.33</v>
      </c>
      <c r="P974" s="28">
        <f>IF(tblMovimientos[[#This Row],[Tipo de Movimiento]]="Ingreso",tblMovimientos[[#This Row],[Ingreso]],-tblMovimientos[[#This Row],[Egreso]])</f>
        <v>-3908.33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76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12055.56</v>
      </c>
      <c r="K975" s="5">
        <f t="shared" si="11"/>
        <v>-12055.56</v>
      </c>
      <c r="L975" s="15" t="s">
        <v>133</v>
      </c>
      <c r="M975" s="44">
        <f>SUMIFS('Saldos Iniciales'!$D$2:$D$38,'Saldos Iniciales'!$A$2:$A$38,C975,'Saldos Iniciales'!$B$2:$B$38,D975)+SUMIFS($K$1:$K$987,$C$1:$C$987,C975,$D$1:$D$987,D975,$B$1:$B$987,"&lt;="&amp;B975)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12055.56</v>
      </c>
      <c r="P975" s="28">
        <f>IF(tblMovimientos[[#This Row],[Tipo de Movimiento]]="Ingreso",tblMovimientos[[#This Row],[Ingreso]],-tblMovimientos[[#This Row],[Egreso]])</f>
        <v>-12055.56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76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13622.78</v>
      </c>
      <c r="K976" s="5">
        <f t="shared" si="11"/>
        <v>-13622.78</v>
      </c>
      <c r="L976" s="15" t="s">
        <v>133</v>
      </c>
      <c r="M976" s="44">
        <f>SUMIFS('Saldos Iniciales'!$D$2:$D$38,'Saldos Iniciales'!$A$2:$A$38,C976,'Saldos Iniciales'!$B$2:$B$38,D976)+SUMIFS($K$1:$K$987,$C$1:$C$987,C976,$D$1:$D$987,D976,$B$1:$B$987,"&lt;="&amp;B976)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13622.78</v>
      </c>
      <c r="P976" s="28">
        <f>IF(tblMovimientos[[#This Row],[Tipo de Movimiento]]="Ingreso",tblMovimientos[[#This Row],[Ingreso]],-tblMovimientos[[#This Row],[Egreso]])</f>
        <v>-13622.78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76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27083.33</v>
      </c>
      <c r="K977" s="5">
        <f t="shared" si="11"/>
        <v>-27083.33</v>
      </c>
      <c r="L977" s="15" t="s">
        <v>133</v>
      </c>
      <c r="M977" s="44">
        <f>SUMIFS('Saldos Iniciales'!$D$2:$D$38,'Saldos Iniciales'!$A$2:$A$38,C977,'Saldos Iniciales'!$B$2:$B$38,D977)+SUMIFS($K$1:$K$987,$C$1:$C$987,C977,$D$1:$D$987,D977,$B$1:$B$987,"&lt;="&amp;B977)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27083.33</v>
      </c>
      <c r="P977" s="28">
        <f>IF(tblMovimientos[[#This Row],[Tipo de Movimiento]]="Ingreso",tblMovimientos[[#This Row],[Ingreso]],-tblMovimientos[[#This Row],[Egreso]])</f>
        <v>-27083.33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CFT Group</v>
      </c>
      <c r="D978" s="41" t="s">
        <v>95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76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71041.67</v>
      </c>
      <c r="K978" s="5">
        <f t="shared" si="11"/>
        <v>-71041.67</v>
      </c>
      <c r="L978" s="15" t="s">
        <v>133</v>
      </c>
      <c r="M978" s="44">
        <f>SUMIFS('Saldos Iniciales'!$D$2:$D$38,'Saldos Iniciales'!$A$2:$A$38,C978,'Saldos Iniciales'!$B$2:$B$38,D978)+SUMIFS($K$1:$K$987,$C$1:$C$987,C978,$D$1:$D$987,D978,$B$1:$B$987,"&lt;="&amp;B978)</f>
        <v>1534879.790000001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71041.67</v>
      </c>
      <c r="P978" s="28">
        <f>IF(tblMovimientos[[#This Row],[Tipo de Movimiento]]="Ingreso",tblMovimientos[[#This Row],[Ingreso]],-tblMovimientos[[#This Row],[Egreso]])</f>
        <v>-71041.67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76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5597.22</v>
      </c>
      <c r="K979" s="5">
        <f t="shared" si="11"/>
        <v>-5597.22</v>
      </c>
      <c r="L979" s="15" t="s">
        <v>133</v>
      </c>
      <c r="M979" s="44">
        <f>SUMIFS('Saldos Iniciales'!$D$2:$D$38,'Saldos Iniciales'!$A$2:$A$38,C979,'Saldos Iniciales'!$B$2:$B$38,D979)+SUMIFS($K$1:$K$987,$C$1:$C$987,C979,$D$1:$D$987,D979,$B$1:$B$987,"&lt;="&amp;B979)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5597.22</v>
      </c>
      <c r="P979" s="28">
        <f>IF(tblMovimientos[[#This Row],[Tipo de Movimiento]]="Ingreso",tblMovimientos[[#This Row],[Ingreso]],-tblMovimientos[[#This Row],[Egreso]])</f>
        <v>-5597.22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76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26250</v>
      </c>
      <c r="K980" s="5">
        <f t="shared" si="11"/>
        <v>-26250</v>
      </c>
      <c r="L980" s="15" t="s">
        <v>133</v>
      </c>
      <c r="M980" s="44">
        <f>SUMIFS('Saldos Iniciales'!$D$2:$D$38,'Saldos Iniciales'!$A$2:$A$38,C980,'Saldos Iniciales'!$B$2:$B$38,D980)+SUMIFS($K$1:$K$987,$C$1:$C$987,C980,$D$1:$D$987,D980,$B$1:$B$987,"&lt;="&amp;B980)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26250</v>
      </c>
      <c r="P980" s="28">
        <f>IF(tblMovimientos[[#This Row],[Tipo de Movimiento]]="Ingreso",tblMovimientos[[#This Row],[Ingreso]],-tblMovimientos[[#This Row],[Egreso]])</f>
        <v>-26250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76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39583.339999999997</v>
      </c>
      <c r="K981" s="5">
        <f t="shared" si="11"/>
        <v>-39583.339999999997</v>
      </c>
      <c r="L981" s="15" t="s">
        <v>133</v>
      </c>
      <c r="M981" s="44">
        <f>SUMIFS('Saldos Iniciales'!$D$2:$D$38,'Saldos Iniciales'!$A$2:$A$38,C981,'Saldos Iniciales'!$B$2:$B$38,D981)+SUMIFS($K$1:$K$987,$C$1:$C$987,C981,$D$1:$D$987,D981,$B$1:$B$987,"&lt;="&amp;B981)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39583.339999999997</v>
      </c>
      <c r="P981" s="28">
        <f>IF(tblMovimientos[[#This Row],[Tipo de Movimiento]]="Ingreso",tblMovimientos[[#This Row],[Ingreso]],-tblMovimientos[[#This Row],[Egreso]])</f>
        <v>-39583.339999999997</v>
      </c>
    </row>
    <row r="982" spans="1:16" x14ac:dyDescent="0.3">
      <c r="B982" s="39">
        <v>46282</v>
      </c>
      <c r="C982" s="46" t="str">
        <f>_xlfn.XLOOKUP(tblMovimientos[[#This Row],[Cuenta Bancaria]],Listas!$B:$B,Listas!$A:$A,"")</f>
        <v>SSP Capital</v>
      </c>
      <c r="D982" s="41" t="s">
        <v>104</v>
      </c>
      <c r="E982" s="4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76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47361.11</v>
      </c>
      <c r="K982" s="5">
        <f t="shared" si="11"/>
        <v>-47361.11</v>
      </c>
      <c r="L982" s="15" t="s">
        <v>133</v>
      </c>
      <c r="M982" s="44">
        <f>SUMIFS('Saldos Iniciales'!$D$2:$D$38,'Saldos Iniciales'!$A$2:$A$38,C982,'Saldos Iniciales'!$B$2:$B$38,D982)+SUMIFS($K$1:$K$987,$C$1:$C$987,C982,$D$1:$D$987,D982,$B$1:$B$987,"&lt;="&amp;B982)</f>
        <v>222033.84999999928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47361.11</v>
      </c>
      <c r="P982" s="28">
        <f>IF(tblMovimientos[[#This Row],[Tipo de Movimiento]]="Ingreso",tblMovimientos[[#This Row],[Ingreso]],-tblMovimientos[[#This Row],[Egreso]])</f>
        <v>-47361.11</v>
      </c>
    </row>
    <row r="983" spans="1:16" x14ac:dyDescent="0.3">
      <c r="B983" s="39">
        <v>46282</v>
      </c>
      <c r="C983" s="46" t="str">
        <f>_xlfn.XLOOKUP(tblMovimientos[[#This Row],[Cuenta Bancaria]],Listas!$B:$B,Listas!$A:$A,"")</f>
        <v/>
      </c>
      <c r="D983" s="41" t="s">
        <v>188</v>
      </c>
      <c r="E983" s="4" t="str">
        <f>_xlfn.XLOOKUP(tblMovimientos[[#This Row],[Cuenta Bancaria]],Listas!$B:$B,Listas!$C:$C,"")</f>
        <v/>
      </c>
      <c r="F983" s="41" t="s">
        <v>10</v>
      </c>
      <c r="G983" s="41" t="s">
        <v>38</v>
      </c>
      <c r="H983" s="76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9767.73</v>
      </c>
      <c r="K983" s="5">
        <f t="shared" si="11"/>
        <v>-9767.73</v>
      </c>
      <c r="L983" s="15" t="s">
        <v>133</v>
      </c>
      <c r="M983" s="44">
        <f>SUMIFS('Saldos Iniciales'!$D$2:$D$38,'Saldos Iniciales'!$A$2:$A$38,C983,'Saldos Iniciales'!$B$2:$B$38,D983)+SUMIFS($K$1:$K$987,$C$1:$C$987,C983,$D$1:$D$987,D983,$B$1:$B$987,"&lt;="&amp;B983)</f>
        <v>-9767.73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9767.73</v>
      </c>
      <c r="P983" s="28">
        <f>IF(tblMovimientos[[#This Row],[Tipo de Movimiento]]="Ingreso",tblMovimientos[[#This Row],[Ingreso]],-tblMovimientos[[#This Row],[Egreso]])</f>
        <v>-9767.73</v>
      </c>
    </row>
    <row r="984" spans="1:16" x14ac:dyDescent="0.3">
      <c r="B984" s="39">
        <v>46282</v>
      </c>
      <c r="C984" s="46" t="str">
        <f>_xlfn.XLOOKUP(tblMovimientos[[#This Row],[Cuenta Bancaria]],Listas!$B:$B,Listas!$A:$A,"")</f>
        <v/>
      </c>
      <c r="D984" s="41" t="s">
        <v>189</v>
      </c>
      <c r="E984" s="4" t="str">
        <f>_xlfn.XLOOKUP(tblMovimientos[[#This Row],[Cuenta Bancaria]],Listas!$B:$B,Listas!$C:$C,"")</f>
        <v/>
      </c>
      <c r="F984" s="41" t="s">
        <v>10</v>
      </c>
      <c r="G984" s="41" t="s">
        <v>38</v>
      </c>
      <c r="H984" s="76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547.04</v>
      </c>
      <c r="K984" s="5">
        <f t="shared" si="11"/>
        <v>-547.04</v>
      </c>
      <c r="L984" s="15" t="s">
        <v>133</v>
      </c>
      <c r="M984" s="44">
        <f>SUMIFS('Saldos Iniciales'!$D$2:$D$38,'Saldos Iniciales'!$A$2:$A$38,C984,'Saldos Iniciales'!$B$2:$B$38,D984)+SUMIFS($K$1:$K$987,$C$1:$C$987,C984,$D$1:$D$987,D984,$B$1:$B$987,"&lt;="&amp;B984)</f>
        <v>-3122.14</v>
      </c>
      <c r="N984" s="65" t="str">
        <f>IF(tblMovimientos[[#This Row],[Tipo de Movimiento]]="Ingreso",tblMovimientos[[#This Row],[Monto (S/)]],"0")</f>
        <v>0</v>
      </c>
      <c r="O984" s="65">
        <f>IF(tblMovimientos[[#This Row],[Tipo de Movimiento]]="Egreso",tblMovimientos[[#This Row],[Monto (S/)]],"0")</f>
        <v>547.04</v>
      </c>
      <c r="P984" s="28">
        <f>IF(tblMovimientos[[#This Row],[Tipo de Movimiento]]="Ingreso",tblMovimientos[[#This Row],[Ingreso]],-tblMovimientos[[#This Row],[Egreso]])</f>
        <v>-547.04</v>
      </c>
    </row>
    <row r="985" spans="1:16" x14ac:dyDescent="0.3">
      <c r="B985" s="39">
        <v>46282</v>
      </c>
      <c r="C985" s="46" t="str">
        <f>_xlfn.XLOOKUP(tblMovimientos[[#This Row],[Cuenta Bancaria]],Listas!$B:$B,Listas!$A:$A,"")</f>
        <v/>
      </c>
      <c r="D985" s="41" t="s">
        <v>189</v>
      </c>
      <c r="E985" s="4" t="str">
        <f>_xlfn.XLOOKUP(tblMovimientos[[#This Row],[Cuenta Bancaria]],Listas!$B:$B,Listas!$C:$C,"")</f>
        <v/>
      </c>
      <c r="F985" s="41" t="s">
        <v>10</v>
      </c>
      <c r="G985" s="41" t="s">
        <v>38</v>
      </c>
      <c r="H985" s="76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2518.69</v>
      </c>
      <c r="K985" s="5">
        <f t="shared" si="11"/>
        <v>-2518.69</v>
      </c>
      <c r="L985" s="15" t="s">
        <v>133</v>
      </c>
      <c r="M985" s="44">
        <f>SUMIFS('Saldos Iniciales'!$D$2:$D$38,'Saldos Iniciales'!$A$2:$A$38,C985,'Saldos Iniciales'!$B$2:$B$38,D985)+SUMIFS($K$1:$K$987,$C$1:$C$987,C985,$D$1:$D$987,D985,$B$1:$B$987,"&lt;="&amp;B985)</f>
        <v>-3122.14</v>
      </c>
      <c r="N985" s="65" t="str">
        <f>IF(tblMovimientos[[#This Row],[Tipo de Movimiento]]="Ingreso",tblMovimientos[[#This Row],[Monto (S/)]],"0")</f>
        <v>0</v>
      </c>
      <c r="O985" s="65">
        <f>IF(tblMovimientos[[#This Row],[Tipo de Movimiento]]="Egreso",tblMovimientos[[#This Row],[Monto (S/)]],"0")</f>
        <v>2518.69</v>
      </c>
      <c r="P985" s="28">
        <f>IF(tblMovimientos[[#This Row],[Tipo de Movimiento]]="Ingreso",tblMovimientos[[#This Row],[Ingreso]],-tblMovimientos[[#This Row],[Egreso]])</f>
        <v>-2518.69</v>
      </c>
    </row>
    <row r="986" spans="1:16" x14ac:dyDescent="0.3">
      <c r="B986" s="39">
        <v>46282</v>
      </c>
      <c r="C986" s="46" t="str">
        <f>_xlfn.XLOOKUP(tblMovimientos[[#This Row],[Cuenta Bancaria]],Listas!$B:$B,Listas!$A:$A,"")</f>
        <v/>
      </c>
      <c r="D986" s="41" t="s">
        <v>189</v>
      </c>
      <c r="E986" s="4" t="str">
        <f>_xlfn.XLOOKUP(tblMovimientos[[#This Row],[Cuenta Bancaria]],Listas!$B:$B,Listas!$C:$C,"")</f>
        <v/>
      </c>
      <c r="F986" s="41" t="s">
        <v>10</v>
      </c>
      <c r="G986" s="41" t="s">
        <v>44</v>
      </c>
      <c r="H986" s="76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40</v>
      </c>
      <c r="K986" s="5">
        <f t="shared" si="11"/>
        <v>-40</v>
      </c>
      <c r="L986" s="15" t="s">
        <v>133</v>
      </c>
      <c r="M986" s="44">
        <f>SUMIFS('Saldos Iniciales'!$D$2:$D$38,'Saldos Iniciales'!$A$2:$A$38,C986,'Saldos Iniciales'!$B$2:$B$38,D986)+SUMIFS($K$1:$K$987,$C$1:$C$987,C986,$D$1:$D$987,D986,$B$1:$B$987,"&lt;="&amp;B986)</f>
        <v>-3122.14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40</v>
      </c>
      <c r="P986" s="28">
        <f>IF(tblMovimientos[[#This Row],[Tipo de Movimiento]]="Ingreso",tblMovimientos[[#This Row],[Ingreso]],-tblMovimientos[[#This Row],[Egreso]])</f>
        <v>-40</v>
      </c>
    </row>
    <row r="987" spans="1:16" x14ac:dyDescent="0.3">
      <c r="A987" s="45"/>
      <c r="B987" s="77">
        <v>46282</v>
      </c>
      <c r="C987" s="46" t="str">
        <f>_xlfn.XLOOKUP(tblMovimientos[[#This Row],[Cuenta Bancaria]],Listas!$B:$B,Listas!$A:$A,"")</f>
        <v/>
      </c>
      <c r="D987" s="78" t="s">
        <v>189</v>
      </c>
      <c r="E987" s="46" t="str">
        <f>_xlfn.XLOOKUP(tblMovimientos[[#This Row],[Cuenta Bancaria]],Listas!$B:$B,Listas!$C:$C,"")</f>
        <v/>
      </c>
      <c r="F987" s="78" t="s">
        <v>10</v>
      </c>
      <c r="G987" s="78" t="s">
        <v>44</v>
      </c>
      <c r="H987" s="79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80">
        <v>16.41</v>
      </c>
      <c r="K987" s="5">
        <f t="shared" si="11"/>
        <v>-16.41</v>
      </c>
      <c r="L987" s="81" t="s">
        <v>133</v>
      </c>
      <c r="M987" s="44">
        <f>SUMIFS('Saldos Iniciales'!$D$2:$D$38,'Saldos Iniciales'!$A$2:$A$38,C987,'Saldos Iniciales'!$B$2:$B$38,D987)+SUMIFS($K$1:$K$987,$C$1:$C$987,C987,$D$1:$D$987,D987,$B$1:$B$987,"&lt;="&amp;B987)</f>
        <v>-3122.14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16.41</v>
      </c>
      <c r="P987" s="28">
        <f>IF(tblMovimientos[[#This Row],[Tipo de Movimiento]]="Ingreso",tblMovimientos[[#This Row],[Ingreso]],-tblMovimientos[[#This Row],[Egreso]])</f>
        <v>-16.41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C2:C987</xm:sqref>
        </x14:dataValidation>
        <x14:dataValidation type="list" allowBlank="1" xr:uid="{DC8BA3D2-F104-4639-8653-545CA2BBE131}">
          <x14:formula1>
            <xm:f>Listas!$E$2:$E$52</xm:f>
          </x14:formula1>
          <xm:sqref>G2:G987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1150568.7800000014</v>
      </c>
      <c r="E2" s="37">
        <f>C2+D2</f>
        <v>1567247.0400000014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1658719.9400000076</v>
      </c>
      <c r="E3" s="37">
        <f t="shared" ref="E3:E9" si="0">C3+D3</f>
        <v>2826021.4700000072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SUMIFS(Movimientos!$J$1:$J$987,Movimientos!$C$1:$C$987,$B2,Movimientos!$D$1:$D$987,$C2,Movimientos!$L$1:$L$987,A$3,Movimientos!$F$1:$F$987,"Ingreso")</f>
        <v>490932.83999999997</v>
      </c>
      <c r="K2" s="44">
        <f>SUMIFS(Movimientos!$J$1:$J$987,Movimientos!$C$1:$C$987,$B2,Movimientos!$D$1:$D$987,$C2,Movimientos!$L$1:$L$987,A$3,Movimientos!$F$1:$F$987,"Egreso")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SUMIFS(Movimientos!$J$1:$J$987,Movimientos!$C$1:$C$987,$B2,Movimientos!$D$1:$D$987,$C2,Movimientos!$L$1:$L$987,A$4,Movimientos!$F$1:$F$987,"Ingreso")</f>
        <v>215870.71999999997</v>
      </c>
      <c r="P2" s="44">
        <f>SUMIFS(Movimientos!$J$1:$J$987,Movimientos!$C$1:$C$987,$B2,Movimientos!$D$1:$D$987,$C2,Movimientos!$L$1:$L$987,A$4,Movimientos!$F$1:$F$987,"Egreso")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SUMIFS(Movimientos!$J$1:$J$987,Movimientos!$C$1:$C$987,$B2,Movimientos!$D$1:$D$987,$C2,Movimientos!$L$1:$L$987,A$5,Movimientos!$F$1:$F$987,"Ingreso")</f>
        <v>555995.58000000007</v>
      </c>
      <c r="U2" s="44">
        <f>SUMIFS(Movimientos!$J$1:$J$987,Movimientos!$C$1:$C$987,$B2,Movimientos!$D$1:$D$987,$C2,Movimientos!$L$1:$L$987,A$5,Movimientos!$F$1:$F$987,"Egreso")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SUMIFS(Movimientos!$J$1:$J$987,Movimientos!$C$1:$C$987,$B2,Movimientos!$D$1:$D$987,$C2,Movimientos!$L$1:$L$987,A$6,Movimientos!$F$1:$F$987,"Ingreso")</f>
        <v>337950.8</v>
      </c>
      <c r="Z2" s="44">
        <f>SUMIFS(Movimientos!$J$1:$J$987,Movimientos!$C$1:$C$987,$B2,Movimientos!$D$1:$D$987,$C2,Movimientos!$L$1:$L$987,A$6,Movimientos!$F$1:$F$987,"Egreso")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SUMIFS(Movimientos!$J$1:$J$987,Movimientos!$C$1:$C$987,$B3,Movimientos!$D$1:$D$987,$C3,Movimientos!$L$1:$L$987,A$3,Movimientos!$F$1:$F$987,"Ingreso")</f>
        <v>8947382.8399999999</v>
      </c>
      <c r="K3" s="44">
        <f>SUMIFS(Movimientos!$J$1:$J$987,Movimientos!$C$1:$C$987,$B3,Movimientos!$D$1:$D$987,$C3,Movimientos!$L$1:$L$987,A$3,Movimientos!$F$1:$F$987,"Egreso")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SUMIFS(Movimientos!$J$1:$J$987,Movimientos!$C$1:$C$987,$B3,Movimientos!$D$1:$D$987,$C3,Movimientos!$L$1:$L$987,A$4,Movimientos!$F$1:$F$987,"Ingreso")</f>
        <v>250000</v>
      </c>
      <c r="P3" s="44">
        <f>SUMIFS(Movimientos!$J$1:$J$987,Movimientos!$C$1:$C$987,$B3,Movimientos!$D$1:$D$987,$C3,Movimientos!$L$1:$L$987,A$4,Movimientos!$F$1:$F$987,"Egreso")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SUMIFS(Movimientos!$J$1:$J$987,Movimientos!$C$1:$C$987,$B3,Movimientos!$D$1:$D$987,$C3,Movimientos!$L$1:$L$987,A$5,Movimientos!$F$1:$F$987,"Ingreso")</f>
        <v>910061.42999999993</v>
      </c>
      <c r="U3" s="44">
        <f>SUMIFS(Movimientos!$J$1:$J$987,Movimientos!$C$1:$C$987,$B3,Movimientos!$D$1:$D$987,$C3,Movimientos!$L$1:$L$987,A$5,Movimientos!$F$1:$F$987,"Egreso")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SUMIFS(Movimientos!$J$1:$J$987,Movimientos!$C$1:$C$987,$B3,Movimientos!$D$1:$D$987,$C3,Movimientos!$L$1:$L$987,A$6,Movimientos!$F$1:$F$987,"Ingreso")</f>
        <v>2248155.37</v>
      </c>
      <c r="Z3" s="44">
        <f>SUMIFS(Movimientos!$J$1:$J$987,Movimientos!$C$1:$C$987,$B3,Movimientos!$D$1:$D$987,$C3,Movimientos!$L$1:$L$987,A$6,Movimientos!$F$1:$F$987,"Egreso")</f>
        <v>1013608.8999999999</v>
      </c>
      <c r="AA3" s="7">
        <f t="shared" ref="AA3:AA35" si="3">+Y3-Z3</f>
        <v>1234546.4700000002</v>
      </c>
      <c r="AB3" s="12">
        <f>X3+Y3-Z3</f>
        <v>1534879.7899999996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SUMIFS(Movimientos!$J$1:$J$987,Movimientos!$C$1:$C$987,$B4,Movimientos!$D$1:$D$987,$C4,Movimientos!$L$1:$L$987,A$3,Movimientos!$F$1:$F$987,"Ingreso")</f>
        <v>0</v>
      </c>
      <c r="K4" s="44">
        <f>SUMIFS(Movimientos!$J$1:$J$987,Movimientos!$C$1:$C$987,$B4,Movimientos!$D$1:$D$987,$C4,Movimientos!$L$1:$L$987,A$3,Movimientos!$F$1:$F$987,"Egreso")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SUMIFS(Movimientos!$J$1:$J$987,Movimientos!$C$1:$C$987,$B4,Movimientos!$D$1:$D$987,$C4,Movimientos!$L$1:$L$987,A$4,Movimientos!$F$1:$F$987,"Ingreso")</f>
        <v>0</v>
      </c>
      <c r="P4" s="44">
        <f>SUMIFS(Movimientos!$J$1:$J$987,Movimientos!$C$1:$C$987,$B4,Movimientos!$D$1:$D$987,$C4,Movimientos!$L$1:$L$987,A$4,Movimientos!$F$1:$F$987,"Egreso")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SUMIFS(Movimientos!$J$1:$J$987,Movimientos!$C$1:$C$987,$B4,Movimientos!$D$1:$D$987,$C4,Movimientos!$L$1:$L$987,A$5,Movimientos!$F$1:$F$987,"Ingreso")</f>
        <v>0</v>
      </c>
      <c r="U4" s="44">
        <f>SUMIFS(Movimientos!$J$1:$J$987,Movimientos!$C$1:$C$987,$B4,Movimientos!$D$1:$D$987,$C4,Movimientos!$L$1:$L$987,A$5,Movimientos!$F$1:$F$987,"Egreso")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SUMIFS(Movimientos!$J$1:$J$987,Movimientos!$C$1:$C$987,$B4,Movimientos!$D$1:$D$987,$C4,Movimientos!$L$1:$L$987,A$6,Movimientos!$F$1:$F$987,"Ingreso")</f>
        <v>0</v>
      </c>
      <c r="Z4" s="44">
        <f>SUMIFS(Movimientos!$J$1:$J$987,Movimientos!$C$1:$C$987,$B4,Movimientos!$D$1:$D$987,$C4,Movimientos!$L$1:$L$987,A$6,Movimientos!$F$1:$F$987,"Egreso")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SUMIFS(Movimientos!$J$1:$J$987,Movimientos!$C$1:$C$987,$B5,Movimientos!$D$1:$D$987,$C5,Movimientos!$L$1:$L$987,A$3,Movimientos!$F$1:$F$987,"Ingreso")</f>
        <v>16742.400000000001</v>
      </c>
      <c r="K5" s="44">
        <f>SUMIFS(Movimientos!$J$1:$J$987,Movimientos!$C$1:$C$987,$B5,Movimientos!$D$1:$D$987,$C5,Movimientos!$L$1:$L$987,A$3,Movimientos!$F$1:$F$987,"Egreso")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SUMIFS(Movimientos!$J$1:$J$987,Movimientos!$C$1:$C$987,$B5,Movimientos!$D$1:$D$987,$C5,Movimientos!$L$1:$L$987,A$4,Movimientos!$F$1:$F$987,"Ingreso")</f>
        <v>10053.57</v>
      </c>
      <c r="P5" s="44">
        <f>SUMIFS(Movimientos!$J$1:$J$987,Movimientos!$C$1:$C$987,$B5,Movimientos!$D$1:$D$987,$C5,Movimientos!$L$1:$L$987,A$4,Movimientos!$F$1:$F$987,"Egreso")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SUMIFS(Movimientos!$J$1:$J$987,Movimientos!$C$1:$C$987,$B5,Movimientos!$D$1:$D$987,$C5,Movimientos!$L$1:$L$987,A$5,Movimientos!$F$1:$F$987,"Ingreso")</f>
        <v>10068.98</v>
      </c>
      <c r="U5" s="44">
        <f>SUMIFS(Movimientos!$J$1:$J$987,Movimientos!$C$1:$C$987,$B5,Movimientos!$D$1:$D$987,$C5,Movimientos!$L$1:$L$987,A$5,Movimientos!$F$1:$F$987,"Egreso")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SUMIFS(Movimientos!$J$1:$J$987,Movimientos!$C$1:$C$987,$B5,Movimientos!$D$1:$D$987,$C5,Movimientos!$L$1:$L$987,A$6,Movimientos!$F$1:$F$987,"Ingreso")</f>
        <v>7206.23</v>
      </c>
      <c r="Z5" s="44">
        <f>SUMIFS(Movimientos!$J$1:$J$987,Movimientos!$C$1:$C$987,$B5,Movimientos!$D$1:$D$987,$C5,Movimientos!$L$1:$L$987,A$6,Movimientos!$F$1:$F$987,"Egreso")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SUMIFS(Movimientos!$J$1:$J$987,Movimientos!$C$1:$C$987,$B6,Movimientos!$D$1:$D$987,$C6,Movimientos!$L$1:$L$987,A$3,Movimientos!$F$1:$F$987,"Ingreso")</f>
        <v>0</v>
      </c>
      <c r="K6" s="44">
        <f>SUMIFS(Movimientos!$J$1:$J$987,Movimientos!$C$1:$C$987,$B6,Movimientos!$D$1:$D$987,$C6,Movimientos!$L$1:$L$987,A$3,Movimientos!$F$1:$F$987,"Egreso")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SUMIFS(Movimientos!$J$1:$J$987,Movimientos!$C$1:$C$987,$B6,Movimientos!$D$1:$D$987,$C6,Movimientos!$L$1:$L$987,A$4,Movimientos!$F$1:$F$987,"Ingreso")</f>
        <v>0</v>
      </c>
      <c r="P6" s="44">
        <f>SUMIFS(Movimientos!$J$1:$J$987,Movimientos!$C$1:$C$987,$B6,Movimientos!$D$1:$D$987,$C6,Movimientos!$L$1:$L$987,A$4,Movimientos!$F$1:$F$987,"Egreso")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SUMIFS(Movimientos!$J$1:$J$987,Movimientos!$C$1:$C$987,$B6,Movimientos!$D$1:$D$987,$C6,Movimientos!$L$1:$L$987,A$5,Movimientos!$F$1:$F$987,"Ingreso")</f>
        <v>0</v>
      </c>
      <c r="U6" s="44">
        <f>SUMIFS(Movimientos!$J$1:$J$987,Movimientos!$C$1:$C$987,$B6,Movimientos!$D$1:$D$987,$C6,Movimientos!$L$1:$L$987,A$5,Movimientos!$F$1:$F$987,"Egreso")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SUMIFS(Movimientos!$J$1:$J$987,Movimientos!$C$1:$C$987,$B6,Movimientos!$D$1:$D$987,$C6,Movimientos!$L$1:$L$987,A$6,Movimientos!$F$1:$F$987,"Ingreso")</f>
        <v>0</v>
      </c>
      <c r="Z6" s="44">
        <f>SUMIFS(Movimientos!$J$1:$J$987,Movimientos!$C$1:$C$987,$B6,Movimientos!$D$1:$D$987,$C6,Movimientos!$L$1:$L$987,A$6,Movimientos!$F$1:$F$987,"Egreso")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SUMIFS(Movimientos!$J$1:$J$987,Movimientos!$C$1:$C$987,$B7,Movimientos!$D$1:$D$987,$C7,Movimientos!$L$1:$L$987,A$3,Movimientos!$F$1:$F$987,"Ingreso")</f>
        <v>0</v>
      </c>
      <c r="K7" s="44">
        <f>SUMIFS(Movimientos!$J$1:$J$987,Movimientos!$C$1:$C$987,$B7,Movimientos!$D$1:$D$987,$C7,Movimientos!$L$1:$L$987,A$3,Movimientos!$F$1:$F$987,"Egreso")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SUMIFS(Movimientos!$J$1:$J$987,Movimientos!$C$1:$C$987,$B7,Movimientos!$D$1:$D$987,$C7,Movimientos!$L$1:$L$987,A$4,Movimientos!$F$1:$F$987,"Ingreso")</f>
        <v>0</v>
      </c>
      <c r="P7" s="44">
        <f>SUMIFS(Movimientos!$J$1:$J$987,Movimientos!$C$1:$C$987,$B7,Movimientos!$D$1:$D$987,$C7,Movimientos!$L$1:$L$987,A$4,Movimientos!$F$1:$F$987,"Egreso")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SUMIFS(Movimientos!$J$1:$J$987,Movimientos!$C$1:$C$987,$B7,Movimientos!$D$1:$D$987,$C7,Movimientos!$L$1:$L$987,A$5,Movimientos!$F$1:$F$987,"Ingreso")</f>
        <v>0</v>
      </c>
      <c r="U7" s="44">
        <f>SUMIFS(Movimientos!$J$1:$J$987,Movimientos!$C$1:$C$987,$B7,Movimientos!$D$1:$D$987,$C7,Movimientos!$L$1:$L$987,A$5,Movimientos!$F$1:$F$987,"Egreso")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SUMIFS(Movimientos!$J$1:$J$987,Movimientos!$C$1:$C$987,$B7,Movimientos!$D$1:$D$987,$C7,Movimientos!$L$1:$L$987,A$6,Movimientos!$F$1:$F$987,"Ingreso")</f>
        <v>0</v>
      </c>
      <c r="Z7" s="44">
        <f>SUMIFS(Movimientos!$J$1:$J$987,Movimientos!$C$1:$C$987,$B7,Movimientos!$D$1:$D$987,$C7,Movimientos!$L$1:$L$987,F$5,Movimientos!$F$1:$F$987,"Egreso")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SUMIFS(Movimientos!$J$1:$J$987,Movimientos!$C$1:$C$987,$B8,Movimientos!$D$1:$D$987,$C8,Movimientos!$L$1:$L$987,A$3,Movimientos!$F$1:$F$987,"Ingreso")</f>
        <v>440602.39</v>
      </c>
      <c r="K8" s="44">
        <f>SUMIFS(Movimientos!$J$1:$J$987,Movimientos!$C$1:$C$987,$B8,Movimientos!$D$1:$D$987,$C8,Movimientos!$L$1:$L$987,A$3,Movimientos!$F$1:$F$987,"Egreso")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SUMIFS(Movimientos!$J$1:$J$987,Movimientos!$C$1:$C$987,$B8,Movimientos!$D$1:$D$987,$C8,Movimientos!$L$1:$L$987,A$4,Movimientos!$F$1:$F$987,"Ingreso")</f>
        <v>1306812.04</v>
      </c>
      <c r="P8" s="44">
        <f>SUMIFS(Movimientos!$J$1:$J$987,Movimientos!$C$1:$C$987,$B8,Movimientos!$D$1:$D$987,$C8,Movimientos!$L$1:$L$987,A$4,Movimientos!$F$1:$F$987,"Egreso")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SUMIFS(Movimientos!$J$1:$J$987,Movimientos!$C$1:$C$987,$B8,Movimientos!$D$1:$D$987,$C8,Movimientos!$L$1:$L$987,A$5,Movimientos!$F$1:$F$987,"Ingreso")</f>
        <v>250866.9</v>
      </c>
      <c r="U8" s="44">
        <f>SUMIFS(Movimientos!$J$1:$J$987,Movimientos!$C$1:$C$987,$B8,Movimientos!$D$1:$D$987,$C8,Movimientos!$L$1:$L$987,A$5,Movimientos!$F$1:$F$987,"Egreso")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SUMIFS(Movimientos!$J$1:$J$987,Movimientos!$C$1:$C$987,$B8,Movimientos!$D$1:$D$987,$C8,Movimientos!$L$1:$L$987,A$6,Movimientos!$F$1:$F$987,"Ingreso")</f>
        <v>22517.260000000002</v>
      </c>
      <c r="Z8" s="44">
        <f>SUMIFS(Movimientos!$J$1:$J$987,Movimientos!$C$1:$C$987,$B8,Movimientos!$D$1:$D$987,$C8,Movimientos!$L$1:$L$987,F$5,Movimientos!$F$1:$F$987,"Egreso")</f>
        <v>0</v>
      </c>
      <c r="AA8" s="7">
        <f t="shared" si="3"/>
        <v>22517.260000000002</v>
      </c>
      <c r="AB8" s="12">
        <f t="shared" si="12"/>
        <v>1442415.4999999995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SUMIFS(Movimientos!$J$1:$J$987,Movimientos!$C$1:$C$987,$B9,Movimientos!$D$1:$D$987,$C9,Movimientos!$L$1:$L$987,A$3,Movimientos!$F$1:$F$987,"Ingreso")</f>
        <v>15307.88</v>
      </c>
      <c r="K9" s="44">
        <f>SUMIFS(Movimientos!$J$1:$J$987,Movimientos!$C$1:$C$987,$B9,Movimientos!$D$1:$D$987,$C9,Movimientos!$L$1:$L$987,A$3,Movimientos!$F$1:$F$987,"Egreso")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SUMIFS(Movimientos!$J$1:$J$987,Movimientos!$C$1:$C$987,$B9,Movimientos!$D$1:$D$987,$C9,Movimientos!$L$1:$L$987,A$4,Movimientos!$F$1:$F$987,"Ingreso")</f>
        <v>15280.15</v>
      </c>
      <c r="P9" s="44">
        <f>SUMIFS(Movimientos!$J$1:$J$987,Movimientos!$C$1:$C$987,$B9,Movimientos!$D$1:$D$987,$C9,Movimientos!$L$1:$L$987,A$4,Movimientos!$F$1:$F$987,"Egreso")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SUMIFS(Movimientos!$J$1:$J$987,Movimientos!$C$1:$C$987,$B9,Movimientos!$D$1:$D$987,$C9,Movimientos!$L$1:$L$987,A$5,Movimientos!$F$1:$F$987,"Ingreso")</f>
        <v>35280.15</v>
      </c>
      <c r="U9" s="44">
        <f>SUMIFS(Movimientos!$J$1:$J$987,Movimientos!$C$1:$C$987,$B9,Movimientos!$D$1:$D$987,$C9,Movimientos!$L$1:$L$987,A$5,Movimientos!$F$1:$F$987,"Egreso")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SUMIFS(Movimientos!$J$1:$J$987,Movimientos!$C$1:$C$987,$B9,Movimientos!$D$1:$D$987,$C9,Movimientos!$L$1:$L$987,A$6,Movimientos!$F$1:$F$987,"Ingreso")</f>
        <v>15266.29</v>
      </c>
      <c r="Z9" s="44">
        <f>SUMIFS(Movimientos!$J$1:$J$987,Movimientos!$C$1:$C$987,$B9,Movimientos!$D$1:$D$987,$C9,Movimientos!$L$1:$L$987,F$5,Movimientos!$F$1:$F$987,"Egreso")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SUMIFS(Movimientos!$J$1:$J$987,Movimientos!$C$1:$C$987,$B10,Movimientos!$D$1:$D$987,$C10,Movimientos!$L$1:$L$987,A$3,Movimientos!$F$1:$F$987,"Ingreso")</f>
        <v>0</v>
      </c>
      <c r="K10" s="44">
        <f>SUMIFS(Movimientos!$J$1:$J$987,Movimientos!$C$1:$C$987,$B10,Movimientos!$D$1:$D$987,$C10,Movimientos!$L$1:$L$987,A$3,Movimientos!$F$1:$F$987,"Egreso")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SUMIFS(Movimientos!$J$1:$J$987,Movimientos!$C$1:$C$987,$B10,Movimientos!$D$1:$D$987,$C10,Movimientos!$L$1:$L$987,A$4,Movimientos!$F$1:$F$987,"Ingreso")</f>
        <v>1000</v>
      </c>
      <c r="P10" s="44">
        <f>SUMIFS(Movimientos!$J$1:$J$987,Movimientos!$C$1:$C$987,$B10,Movimientos!$D$1:$D$987,$C10,Movimientos!$L$1:$L$987,A$4,Movimientos!$F$1:$F$987,"Egreso")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SUMIFS(Movimientos!$J$1:$J$987,Movimientos!$C$1:$C$987,$B10,Movimientos!$D$1:$D$987,$C10,Movimientos!$L$1:$L$987,A$5,Movimientos!$F$1:$F$987,"Ingreso")</f>
        <v>0</v>
      </c>
      <c r="U10" s="44">
        <f>SUMIFS(Movimientos!$J$1:$J$987,Movimientos!$C$1:$C$987,$B10,Movimientos!$D$1:$D$987,$C10,Movimientos!$L$1:$L$987,A$5,Movimientos!$F$1:$F$987,"Egreso")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SUMIFS(Movimientos!$J$1:$J$987,Movimientos!$C$1:$C$987,$B10,Movimientos!$D$1:$D$987,$C10,Movimientos!$L$1:$L$987,A$6,Movimientos!$F$1:$F$987,"Ingreso")</f>
        <v>0</v>
      </c>
      <c r="Z10" s="44">
        <f>SUMIFS(Movimientos!$J$1:$J$987,Movimientos!$C$1:$C$987,$B10,Movimientos!$D$1:$D$987,$C10,Movimientos!$L$1:$L$987,F$5,Movimientos!$F$1:$F$987,"Egreso")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SUMIFS(Movimientos!$J$1:$J$987,Movimientos!$C$1:$C$987,$B11,Movimientos!$D$1:$D$987,$C11,Movimientos!$L$1:$L$987,A$3,Movimientos!$F$1:$F$987,"Ingreso")</f>
        <v>0</v>
      </c>
      <c r="K11" s="44">
        <f>SUMIFS(Movimientos!$J$1:$J$987,Movimientos!$C$1:$C$987,$B11,Movimientos!$D$1:$D$987,$C11,Movimientos!$L$1:$L$987,A$3,Movimientos!$F$1:$F$987,"Egreso")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SUMIFS(Movimientos!$J$1:$J$987,Movimientos!$C$1:$C$987,$B11,Movimientos!$D$1:$D$987,$C11,Movimientos!$L$1:$L$987,A$4,Movimientos!$F$1:$F$987,"Ingreso")</f>
        <v>0</v>
      </c>
      <c r="P11" s="44">
        <f>SUMIFS(Movimientos!$J$1:$J$987,Movimientos!$C$1:$C$987,$B11,Movimientos!$D$1:$D$987,$C11,Movimientos!$L$1:$L$987,A$4,Movimientos!$F$1:$F$987,"Egreso")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SUMIFS(Movimientos!$J$1:$J$987,Movimientos!$C$1:$C$987,$B11,Movimientos!$D$1:$D$987,$C11,Movimientos!$L$1:$L$987,A$5,Movimientos!$F$1:$F$987,"Ingreso")</f>
        <v>0</v>
      </c>
      <c r="U11" s="44">
        <f>SUMIFS(Movimientos!$J$1:$J$987,Movimientos!$C$1:$C$987,$B11,Movimientos!$D$1:$D$987,$C11,Movimientos!$L$1:$L$987,A$5,Movimientos!$F$1:$F$987,"Egreso")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SUMIFS(Movimientos!$J$1:$J$987,Movimientos!$C$1:$C$987,$B11,Movimientos!$D$1:$D$987,$C11,Movimientos!$L$1:$L$987,A$6,Movimientos!$F$1:$F$987,"Ingreso")</f>
        <v>0</v>
      </c>
      <c r="Z11" s="44">
        <f>SUMIFS(Movimientos!$J$1:$J$987,Movimientos!$C$1:$C$987,$B11,Movimientos!$D$1:$D$987,$C11,Movimientos!$L$1:$L$987,F$5,Movimientos!$F$1:$F$987,"Egreso")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SUMIFS(Movimientos!$J$1:$J$987,Movimientos!$C$1:$C$987,$B12,Movimientos!$D$1:$D$987,$C12,Movimientos!$L$1:$L$987,A$3,Movimientos!$F$1:$F$987,"Ingreso")</f>
        <v>4970000</v>
      </c>
      <c r="K12" s="44">
        <f>SUMIFS(Movimientos!$J$1:$J$987,Movimientos!$C$1:$C$987,$B12,Movimientos!$D$1:$D$987,$C12,Movimientos!$L$1:$L$987,A$3,Movimientos!$F$1:$F$987,"Egreso")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SUMIFS(Movimientos!$J$1:$J$987,Movimientos!$C$1:$C$987,$B12,Movimientos!$D$1:$D$987,$C12,Movimientos!$L$1:$L$987,A$4,Movimientos!$F$1:$F$987,"Ingreso")</f>
        <v>1320000</v>
      </c>
      <c r="P12" s="44">
        <f>SUMIFS(Movimientos!$J$1:$J$987,Movimientos!$C$1:$C$987,$B12,Movimientos!$D$1:$D$987,$C12,Movimientos!$L$1:$L$987,A$4,Movimientos!$F$1:$F$987,"Egreso")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SUMIFS(Movimientos!$J$1:$J$987,Movimientos!$C$1:$C$987,$B12,Movimientos!$D$1:$D$987,$C12,Movimientos!$L$1:$L$987,A$5,Movimientos!$F$1:$F$987,"Ingreso")</f>
        <v>1100000</v>
      </c>
      <c r="U12" s="44">
        <f>SUMIFS(Movimientos!$J$1:$J$987,Movimientos!$C$1:$C$987,$B12,Movimientos!$D$1:$D$987,$C12,Movimientos!$L$1:$L$987,A$5,Movimientos!$F$1:$F$987,"Egreso")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SUMIFS(Movimientos!$J$1:$J$987,Movimientos!$C$1:$C$987,$B12,Movimientos!$D$1:$D$987,$C12,Movimientos!$L$1:$L$987,A$6,Movimientos!$F$1:$F$987,"Ingreso")</f>
        <v>0</v>
      </c>
      <c r="Z12" s="44">
        <f>SUMIFS(Movimientos!$J$1:$J$987,Movimientos!$C$1:$C$987,$B12,Movimientos!$D$1:$D$987,$C12,Movimientos!$L$1:$L$987,F$5,Movimientos!$F$1:$F$987,"Egreso")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SUMIFS(Movimientos!$J$1:$J$987,Movimientos!$C$1:$C$987,$B13,Movimientos!$D$1:$D$987,$C13,Movimientos!$L$1:$L$987,A$3,Movimientos!$F$1:$F$987,"Ingreso")</f>
        <v>0</v>
      </c>
      <c r="K13" s="44">
        <f>SUMIFS(Movimientos!$J$1:$J$987,Movimientos!$C$1:$C$987,$B13,Movimientos!$D$1:$D$987,$C13,Movimientos!$L$1:$L$987,A$3,Movimientos!$F$1:$F$987,"Egreso")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SUMIFS(Movimientos!$J$1:$J$987,Movimientos!$C$1:$C$987,$B13,Movimientos!$D$1:$D$987,$C13,Movimientos!$L$1:$L$987,A$4,Movimientos!$F$1:$F$987,"Ingreso")</f>
        <v>0</v>
      </c>
      <c r="P13" s="44">
        <f>SUMIFS(Movimientos!$J$1:$J$987,Movimientos!$C$1:$C$987,$B13,Movimientos!$D$1:$D$987,$C13,Movimientos!$L$1:$L$987,A$4,Movimientos!$F$1:$F$987,"Egreso")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SUMIFS(Movimientos!$J$1:$J$987,Movimientos!$C$1:$C$987,$B13,Movimientos!$D$1:$D$987,$C13,Movimientos!$L$1:$L$987,A$5,Movimientos!$F$1:$F$987,"Ingreso")</f>
        <v>0</v>
      </c>
      <c r="U13" s="44">
        <f>SUMIFS(Movimientos!$J$1:$J$987,Movimientos!$C$1:$C$987,$B13,Movimientos!$D$1:$D$987,$C13,Movimientos!$L$1:$L$987,A$5,Movimientos!$F$1:$F$987,"Egreso")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SUMIFS(Movimientos!$J$1:$J$987,Movimientos!$C$1:$C$987,$B13,Movimientos!$D$1:$D$987,$C13,Movimientos!$L$1:$L$987,A$6,Movimientos!$F$1:$F$987,"Ingreso")</f>
        <v>0</v>
      </c>
      <c r="Z13" s="44">
        <f>SUMIFS(Movimientos!$J$1:$J$987,Movimientos!$C$1:$C$987,$B13,Movimientos!$D$1:$D$987,$C13,Movimientos!$L$1:$L$987,F$5,Movimientos!$F$1:$F$987,"Egreso")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SUMIFS(Movimientos!$J$1:$J$987,Movimientos!$C$1:$C$987,$B14,Movimientos!$D$1:$D$987,$C14,Movimientos!$L$1:$L$987,A$3,Movimientos!$F$1:$F$987,"Ingreso")</f>
        <v>56867.66</v>
      </c>
      <c r="K14" s="44">
        <f>SUMIFS(Movimientos!$J$1:$J$987,Movimientos!$C$1:$C$987,$B14,Movimientos!$D$1:$D$987,$C14,Movimientos!$L$1:$L$987,A$3,Movimientos!$F$1:$F$987,"Egreso")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SUMIFS(Movimientos!$J$1:$J$987,Movimientos!$C$1:$C$987,$B14,Movimientos!$D$1:$D$987,$C14,Movimientos!$L$1:$L$987,A$4,Movimientos!$F$1:$F$987,"Ingreso")</f>
        <v>2426.71</v>
      </c>
      <c r="P14" s="44">
        <f>SUMIFS(Movimientos!$J$1:$J$987,Movimientos!$C$1:$C$987,$B14,Movimientos!$D$1:$D$987,$C14,Movimientos!$L$1:$L$987,A$4,Movimientos!$F$1:$F$987,"Egreso")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SUMIFS(Movimientos!$J$1:$J$987,Movimientos!$C$1:$C$987,$B14,Movimientos!$D$1:$D$987,$C14,Movimientos!$L$1:$L$987,A$5,Movimientos!$F$1:$F$987,"Ingreso")</f>
        <v>2434.02</v>
      </c>
      <c r="U14" s="44">
        <f>SUMIFS(Movimientos!$J$1:$J$987,Movimientos!$C$1:$C$987,$B14,Movimientos!$D$1:$D$987,$C14,Movimientos!$L$1:$L$987,A$5,Movimientos!$F$1:$F$987,"Egreso")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SUMIFS(Movimientos!$J$1:$J$987,Movimientos!$C$1:$C$987,$B14,Movimientos!$D$1:$D$987,$C14,Movimientos!$L$1:$L$987,A$6,Movimientos!$F$1:$F$987,"Ingreso")</f>
        <v>0</v>
      </c>
      <c r="Z14" s="44">
        <f>SUMIFS(Movimientos!$J$1:$J$987,Movimientos!$C$1:$C$987,$B14,Movimientos!$D$1:$D$987,$C14,Movimientos!$L$1:$L$987,F$5,Movimientos!$F$1:$F$987,"Egreso")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SUMIFS(Movimientos!$J$1:$J$987,Movimientos!$C$1:$C$987,$B15,Movimientos!$D$1:$D$987,$C15,Movimientos!$L$1:$L$987,A$3,Movimientos!$F$1:$F$987,"Ingreso")</f>
        <v>0</v>
      </c>
      <c r="K15" s="44">
        <f>SUMIFS(Movimientos!$J$1:$J$987,Movimientos!$C$1:$C$987,$B15,Movimientos!$D$1:$D$987,$C15,Movimientos!$L$1:$L$987,A$3,Movimientos!$F$1:$F$987,"Egreso")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SUMIFS(Movimientos!$J$1:$J$987,Movimientos!$C$1:$C$987,$B15,Movimientos!$D$1:$D$987,$C15,Movimientos!$L$1:$L$987,A$4,Movimientos!$F$1:$F$987,"Ingreso")</f>
        <v>0</v>
      </c>
      <c r="P15" s="44">
        <f>SUMIFS(Movimientos!$J$1:$J$987,Movimientos!$C$1:$C$987,$B15,Movimientos!$D$1:$D$987,$C15,Movimientos!$L$1:$L$987,A$4,Movimientos!$F$1:$F$987,"Egreso")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SUMIFS(Movimientos!$J$1:$J$987,Movimientos!$C$1:$C$987,$B15,Movimientos!$D$1:$D$987,$C15,Movimientos!$L$1:$L$987,A$5,Movimientos!$F$1:$F$987,"Ingreso")</f>
        <v>0</v>
      </c>
      <c r="U15" s="44">
        <f>SUMIFS(Movimientos!$J$1:$J$987,Movimientos!$C$1:$C$987,$B15,Movimientos!$D$1:$D$987,$C15,Movimientos!$L$1:$L$987,A$5,Movimientos!$F$1:$F$987,"Egreso")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SUMIFS(Movimientos!$J$1:$J$987,Movimientos!$C$1:$C$987,$B15,Movimientos!$D$1:$D$987,$C15,Movimientos!$L$1:$L$987,A$6,Movimientos!$F$1:$F$987,"Ingreso")</f>
        <v>0</v>
      </c>
      <c r="Z15" s="44">
        <f>SUMIFS(Movimientos!$J$1:$J$987,Movimientos!$C$1:$C$987,$B15,Movimientos!$D$1:$D$987,$C15,Movimientos!$L$1:$L$987,F$5,Movimientos!$F$1:$F$987,"Egreso")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SUMIFS(Movimientos!$J$1:$J$987,Movimientos!$C$1:$C$987,$B16,Movimientos!$D$1:$D$987,$C16,Movimientos!$L$1:$L$987,A$3,Movimientos!$F$1:$F$987,"Ingreso")</f>
        <v>0</v>
      </c>
      <c r="K16" s="44">
        <f>SUMIFS(Movimientos!$J$1:$J$987,Movimientos!$C$1:$C$987,$B16,Movimientos!$D$1:$D$987,$C16,Movimientos!$L$1:$L$987,A$3,Movimientos!$F$1:$F$987,"Egreso")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SUMIFS(Movimientos!$J$1:$J$987,Movimientos!$C$1:$C$987,$B16,Movimientos!$D$1:$D$987,$C16,Movimientos!$L$1:$L$987,A$4,Movimientos!$F$1:$F$987,"Ingreso")</f>
        <v>0</v>
      </c>
      <c r="P16" s="44">
        <f>SUMIFS(Movimientos!$J$1:$J$987,Movimientos!$C$1:$C$987,$B16,Movimientos!$D$1:$D$987,$C16,Movimientos!$L$1:$L$987,A$4,Movimientos!$F$1:$F$987,"Egreso")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SUMIFS(Movimientos!$J$1:$J$987,Movimientos!$C$1:$C$987,$B16,Movimientos!$D$1:$D$987,$C16,Movimientos!$L$1:$L$987,A$5,Movimientos!$F$1:$F$987,"Ingreso")</f>
        <v>0</v>
      </c>
      <c r="U16" s="44">
        <f>SUMIFS(Movimientos!$J$1:$J$987,Movimientos!$C$1:$C$987,$B16,Movimientos!$D$1:$D$987,$C16,Movimientos!$L$1:$L$987,A$5,Movimientos!$F$1:$F$987,"Egreso")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SUMIFS(Movimientos!$J$1:$J$987,Movimientos!$C$1:$C$987,$B16,Movimientos!$D$1:$D$987,$C16,Movimientos!$L$1:$L$987,A$6,Movimientos!$F$1:$F$987,"Ingreso")</f>
        <v>0</v>
      </c>
      <c r="Z16" s="44">
        <f>SUMIFS(Movimientos!$J$1:$J$987,Movimientos!$C$1:$C$987,$B16,Movimientos!$D$1:$D$987,$C16,Movimientos!$L$1:$L$987,F$5,Movimientos!$F$1:$F$987,"Egreso")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SUMIFS(Movimientos!$J$1:$J$987,Movimientos!$C$1:$C$987,$B17,Movimientos!$D$1:$D$987,$C17,Movimientos!$L$1:$L$987,A$3,Movimientos!$F$1:$F$987,"Ingreso")</f>
        <v>0</v>
      </c>
      <c r="K17" s="44">
        <f>SUMIFS(Movimientos!$J$1:$J$987,Movimientos!$C$1:$C$987,$B17,Movimientos!$D$1:$D$987,$C17,Movimientos!$L$1:$L$987,A$3,Movimientos!$F$1:$F$987,"Egreso")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SUMIFS(Movimientos!$J$1:$J$987,Movimientos!$C$1:$C$987,$B17,Movimientos!$D$1:$D$987,$C17,Movimientos!$L$1:$L$987,A$4,Movimientos!$F$1:$F$987,"Ingreso")</f>
        <v>0</v>
      </c>
      <c r="P17" s="44">
        <f>SUMIFS(Movimientos!$J$1:$J$987,Movimientos!$C$1:$C$987,$B17,Movimientos!$D$1:$D$987,$C17,Movimientos!$L$1:$L$987,A$4,Movimientos!$F$1:$F$987,"Egreso")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SUMIFS(Movimientos!$J$1:$J$987,Movimientos!$C$1:$C$987,$B17,Movimientos!$D$1:$D$987,$C17,Movimientos!$L$1:$L$987,A$5,Movimientos!$F$1:$F$987,"Ingreso")</f>
        <v>0</v>
      </c>
      <c r="U17" s="44">
        <f>SUMIFS(Movimientos!$J$1:$J$987,Movimientos!$C$1:$C$987,$B17,Movimientos!$D$1:$D$987,$C17,Movimientos!$L$1:$L$987,A$5,Movimientos!$F$1:$F$987,"Egreso")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SUMIFS(Movimientos!$J$1:$J$987,Movimientos!$C$1:$C$987,$B17,Movimientos!$D$1:$D$987,$C17,Movimientos!$L$1:$L$987,A$6,Movimientos!$F$1:$F$987,"Ingreso")</f>
        <v>0</v>
      </c>
      <c r="Z17" s="44">
        <f>SUMIFS(Movimientos!$J$1:$J$987,Movimientos!$C$1:$C$987,$B17,Movimientos!$D$1:$D$987,$C17,Movimientos!$L$1:$L$987,F$5,Movimientos!$F$1:$F$987,"Egreso")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SUMIFS(Movimientos!$J$1:$J$987,Movimientos!$C$1:$C$987,$B18,Movimientos!$D$1:$D$987,$C18,Movimientos!$L$1:$L$987,A$3,Movimientos!$F$1:$F$987,"Ingreso")</f>
        <v>0</v>
      </c>
      <c r="K18" s="44">
        <f>SUMIFS(Movimientos!$J$1:$J$987,Movimientos!$C$1:$C$987,$B18,Movimientos!$D$1:$D$987,$C18,Movimientos!$L$1:$L$987,A$3,Movimientos!$F$1:$F$987,"Egreso")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SUMIFS(Movimientos!$J$1:$J$987,Movimientos!$C$1:$C$987,$B18,Movimientos!$D$1:$D$987,$C18,Movimientos!$L$1:$L$987,A$4,Movimientos!$F$1:$F$987,"Ingreso")</f>
        <v>0</v>
      </c>
      <c r="P18" s="44">
        <f>SUMIFS(Movimientos!$J$1:$J$987,Movimientos!$C$1:$C$987,$B18,Movimientos!$D$1:$D$987,$C18,Movimientos!$L$1:$L$987,A$4,Movimientos!$F$1:$F$987,"Egreso")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SUMIFS(Movimientos!$J$1:$J$987,Movimientos!$C$1:$C$987,$B18,Movimientos!$D$1:$D$987,$C18,Movimientos!$L$1:$L$987,A$5,Movimientos!$F$1:$F$987,"Ingreso")</f>
        <v>0</v>
      </c>
      <c r="U18" s="44">
        <f>SUMIFS(Movimientos!$J$1:$J$987,Movimientos!$C$1:$C$987,$B18,Movimientos!$D$1:$D$987,$C18,Movimientos!$L$1:$L$987,A$5,Movimientos!$F$1:$F$987,"Egreso")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SUMIFS(Movimientos!$J$1:$J$987,Movimientos!$C$1:$C$987,$B18,Movimientos!$D$1:$D$987,$C18,Movimientos!$L$1:$L$987,A$6,Movimientos!$F$1:$F$987,"Ingreso")</f>
        <v>0</v>
      </c>
      <c r="Z18" s="44">
        <f>SUMIFS(Movimientos!$J$1:$J$987,Movimientos!$C$1:$C$987,$B18,Movimientos!$D$1:$D$987,$C18,Movimientos!$L$1:$L$987,F$5,Movimientos!$F$1:$F$987,"Egreso")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SUMIFS(Movimientos!$J$1:$J$987,Movimientos!$C$1:$C$987,$B19,Movimientos!$D$1:$D$987,$C19,Movimientos!$L$1:$L$987,A$3,Movimientos!$F$1:$F$987,"Ingreso")</f>
        <v>2580000</v>
      </c>
      <c r="K19" s="44">
        <f>SUMIFS(Movimientos!$J$1:$J$987,Movimientos!$C$1:$C$987,$B19,Movimientos!$D$1:$D$987,$C19,Movimientos!$L$1:$L$987,A$3,Movimientos!$F$1:$F$987,"Egreso")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SUMIFS(Movimientos!$J$1:$J$987,Movimientos!$C$1:$C$987,$B19,Movimientos!$D$1:$D$987,$C19,Movimientos!$L$1:$L$987,A$4,Movimientos!$F$1:$F$987,"Ingreso")</f>
        <v>0</v>
      </c>
      <c r="P19" s="44">
        <f>SUMIFS(Movimientos!$J$1:$J$987,Movimientos!$C$1:$C$987,$B19,Movimientos!$D$1:$D$987,$C19,Movimientos!$L$1:$L$987,A$4,Movimientos!$F$1:$F$987,"Egreso")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SUMIFS(Movimientos!$J$1:$J$987,Movimientos!$C$1:$C$987,$B19,Movimientos!$D$1:$D$987,$C19,Movimientos!$L$1:$L$987,A$5,Movimientos!$F$1:$F$987,"Ingreso")</f>
        <v>560000</v>
      </c>
      <c r="U19" s="44">
        <f>SUMIFS(Movimientos!$J$1:$J$987,Movimientos!$C$1:$C$987,$B19,Movimientos!$D$1:$D$987,$C19,Movimientos!$L$1:$L$987,A$5,Movimientos!$F$1:$F$987,"Egreso")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SUMIFS(Movimientos!$J$1:$J$987,Movimientos!$C$1:$C$987,$B19,Movimientos!$D$1:$D$987,$C19,Movimientos!$L$1:$L$987,A$6,Movimientos!$F$1:$F$987,"Ingreso")</f>
        <v>34281.760000000002</v>
      </c>
      <c r="Z19" s="44">
        <f>SUMIFS(Movimientos!$J$1:$J$987,Movimientos!$C$1:$C$987,$B19,Movimientos!$D$1:$D$987,$C19,Movimientos!$L$1:$L$987,F$5,Movimientos!$F$1:$F$987,"Egreso")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SUMIFS(Movimientos!$J$1:$J$987,Movimientos!$C$1:$C$987,$B20,Movimientos!$D$1:$D$987,$C20,Movimientos!$L$1:$L$987,A$3,Movimientos!$F$1:$F$987,"Ingreso")</f>
        <v>0</v>
      </c>
      <c r="K20" s="44">
        <f>SUMIFS(Movimientos!$J$1:$J$987,Movimientos!$C$1:$C$987,$B20,Movimientos!$D$1:$D$987,$C20,Movimientos!$L$1:$L$987,A$3,Movimientos!$F$1:$F$987,"Egreso")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SUMIFS(Movimientos!$J$1:$J$987,Movimientos!$C$1:$C$987,$B20,Movimientos!$D$1:$D$987,$C20,Movimientos!$L$1:$L$987,A$4,Movimientos!$F$1:$F$987,"Ingreso")</f>
        <v>0</v>
      </c>
      <c r="P20" s="44">
        <f>SUMIFS(Movimientos!$J$1:$J$987,Movimientos!$C$1:$C$987,$B20,Movimientos!$D$1:$D$987,$C20,Movimientos!$L$1:$L$987,A$4,Movimientos!$F$1:$F$987,"Egreso")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SUMIFS(Movimientos!$J$1:$J$987,Movimientos!$C$1:$C$987,$B20,Movimientos!$D$1:$D$987,$C20,Movimientos!$L$1:$L$987,A$5,Movimientos!$F$1:$F$987,"Ingreso")</f>
        <v>70003.87</v>
      </c>
      <c r="U20" s="44">
        <f>SUMIFS(Movimientos!$J$1:$J$987,Movimientos!$C$1:$C$987,$B20,Movimientos!$D$1:$D$987,$C20,Movimientos!$L$1:$L$987,A$5,Movimientos!$F$1:$F$987,"Egreso")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SUMIFS(Movimientos!$J$1:$J$987,Movimientos!$C$1:$C$987,$B20,Movimientos!$D$1:$D$987,$C20,Movimientos!$L$1:$L$987,A$6,Movimientos!$F$1:$F$987,"Ingreso")</f>
        <v>0</v>
      </c>
      <c r="Z20" s="44">
        <f>SUMIFS(Movimientos!$J$1:$J$987,Movimientos!$C$1:$C$987,$B20,Movimientos!$D$1:$D$987,$C20,Movimientos!$L$1:$L$987,F$5,Movimientos!$F$1:$F$987,"Egreso")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SUMIFS(Movimientos!$J$1:$J$987,Movimientos!$C$1:$C$987,$B21,Movimientos!$D$1:$D$987,$C21,Movimientos!$L$1:$L$987,A$3,Movimientos!$F$1:$F$987,"Ingreso")</f>
        <v>0</v>
      </c>
      <c r="K21" s="44">
        <f>SUMIFS(Movimientos!$J$1:$J$987,Movimientos!$C$1:$C$987,$B21,Movimientos!$D$1:$D$987,$C21,Movimientos!$L$1:$L$987,A$3,Movimientos!$F$1:$F$987,"Egreso")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SUMIFS(Movimientos!$J$1:$J$987,Movimientos!$C$1:$C$987,$B21,Movimientos!$D$1:$D$987,$C21,Movimientos!$L$1:$L$987,A$4,Movimientos!$F$1:$F$987,"Ingreso")</f>
        <v>14659.29</v>
      </c>
      <c r="P21" s="44">
        <f>SUMIFS(Movimientos!$J$1:$J$987,Movimientos!$C$1:$C$987,$B21,Movimientos!$D$1:$D$987,$C21,Movimientos!$L$1:$L$987,A$4,Movimientos!$F$1:$F$987,"Egreso")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SUMIFS(Movimientos!$J$1:$J$987,Movimientos!$C$1:$C$987,$B21,Movimientos!$D$1:$D$987,$C21,Movimientos!$L$1:$L$987,A$5,Movimientos!$F$1:$F$987,"Ingreso")</f>
        <v>0</v>
      </c>
      <c r="U21" s="44">
        <f>SUMIFS(Movimientos!$J$1:$J$987,Movimientos!$C$1:$C$987,$B21,Movimientos!$D$1:$D$987,$C21,Movimientos!$L$1:$L$987,A$5,Movimientos!$F$1:$F$987,"Egreso")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SUMIFS(Movimientos!$J$1:$J$987,Movimientos!$C$1:$C$987,$B21,Movimientos!$D$1:$D$987,$C21,Movimientos!$L$1:$L$987,A$6,Movimientos!$F$1:$F$987,"Ingreso")</f>
        <v>0</v>
      </c>
      <c r="Z21" s="44">
        <f>SUMIFS(Movimientos!$J$1:$J$987,Movimientos!$C$1:$C$987,$B21,Movimientos!$D$1:$D$987,$C21,Movimientos!$L$1:$L$987,F$5,Movimientos!$F$1:$F$987,"Egreso")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SUMIFS(Movimientos!$J$1:$J$987,Movimientos!$C$1:$C$987,$B22,Movimientos!$D$1:$D$987,$C22,Movimientos!$L$1:$L$987,A$3,Movimientos!$F$1:$F$987,"Ingreso")</f>
        <v>0</v>
      </c>
      <c r="K22" s="44">
        <f>SUMIFS(Movimientos!$J$1:$J$987,Movimientos!$C$1:$C$987,$B22,Movimientos!$D$1:$D$987,$C22,Movimientos!$L$1:$L$987,A$3,Movimientos!$F$1:$F$987,"Egreso")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SUMIFS(Movimientos!$J$1:$J$987,Movimientos!$C$1:$C$987,$B22,Movimientos!$D$1:$D$987,$C22,Movimientos!$L$1:$L$987,A$4,Movimientos!$F$1:$F$987,"Ingreso")</f>
        <v>0</v>
      </c>
      <c r="P22" s="44">
        <f>SUMIFS(Movimientos!$J$1:$J$987,Movimientos!$C$1:$C$987,$B22,Movimientos!$D$1:$D$987,$C22,Movimientos!$L$1:$L$987,A$4,Movimientos!$F$1:$F$987,"Egreso")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SUMIFS(Movimientos!$J$1:$J$987,Movimientos!$C$1:$C$987,$B22,Movimientos!$D$1:$D$987,$C22,Movimientos!$L$1:$L$987,A$5,Movimientos!$F$1:$F$987,"Ingreso")</f>
        <v>100</v>
      </c>
      <c r="U22" s="44">
        <f>SUMIFS(Movimientos!$J$1:$J$987,Movimientos!$C$1:$C$987,$B22,Movimientos!$D$1:$D$987,$C22,Movimientos!$L$1:$L$987,A$5,Movimientos!$F$1:$F$987,"Egreso")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SUMIFS(Movimientos!$J$1:$J$987,Movimientos!$C$1:$C$987,$B22,Movimientos!$D$1:$D$987,$C22,Movimientos!$L$1:$L$987,A$6,Movimientos!$F$1:$F$987,"Ingreso")</f>
        <v>0</v>
      </c>
      <c r="Z22" s="44">
        <f>SUMIFS(Movimientos!$J$1:$J$987,Movimientos!$C$1:$C$987,$B22,Movimientos!$D$1:$D$987,$C22,Movimientos!$L$1:$L$987,F$5,Movimientos!$F$1:$F$987,"Egreso")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SUMIFS(Movimientos!$J$1:$J$987,Movimientos!$C$1:$C$987,$B23,Movimientos!$D$1:$D$987,$C23,Movimientos!$L$1:$L$987,A$3,Movimientos!$F$1:$F$987,"Ingreso")</f>
        <v>0</v>
      </c>
      <c r="K23" s="44">
        <f>SUMIFS(Movimientos!$J$1:$J$987,Movimientos!$C$1:$C$987,$B23,Movimientos!$D$1:$D$987,$C23,Movimientos!$L$1:$L$987,A$3,Movimientos!$F$1:$F$987,"Egreso")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SUMIFS(Movimientos!$J$1:$J$987,Movimientos!$C$1:$C$987,$B23,Movimientos!$D$1:$D$987,$C23,Movimientos!$L$1:$L$987,A$4,Movimientos!$F$1:$F$987,"Ingreso")</f>
        <v>0</v>
      </c>
      <c r="P23" s="44">
        <f>SUMIFS(Movimientos!$J$1:$J$987,Movimientos!$C$1:$C$987,$B23,Movimientos!$D$1:$D$987,$C23,Movimientos!$L$1:$L$987,A$4,Movimientos!$F$1:$F$987,"Egreso")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SUMIFS(Movimientos!$J$1:$J$987,Movimientos!$C$1:$C$987,$B23,Movimientos!$D$1:$D$987,$C23,Movimientos!$L$1:$L$987,A$5,Movimientos!$F$1:$F$987,"Ingreso")</f>
        <v>0</v>
      </c>
      <c r="U23" s="44">
        <f>SUMIFS(Movimientos!$J$1:$J$987,Movimientos!$C$1:$C$987,$B23,Movimientos!$D$1:$D$987,$C23,Movimientos!$L$1:$L$987,A$5,Movimientos!$F$1:$F$987,"Egreso")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SUMIFS(Movimientos!$J$1:$J$987,Movimientos!$C$1:$C$987,$B23,Movimientos!$D$1:$D$987,$C23,Movimientos!$L$1:$L$987,A$6,Movimientos!$F$1:$F$987,"Ingreso")</f>
        <v>0</v>
      </c>
      <c r="Z23" s="44">
        <f>SUMIFS(Movimientos!$J$1:$J$987,Movimientos!$C$1:$C$987,$B23,Movimientos!$D$1:$D$987,$C23,Movimientos!$L$1:$L$987,F$5,Movimientos!$F$1:$F$987,"Egreso")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SUMIFS(Movimientos!$J$1:$J$987,Movimientos!$C$1:$C$987,$B24,Movimientos!$D$1:$D$987,$C24,Movimientos!$L$1:$L$987,A$3,Movimientos!$F$1:$F$987,"Ingreso")</f>
        <v>0</v>
      </c>
      <c r="K24" s="44">
        <f>SUMIFS(Movimientos!$J$1:$J$987,Movimientos!$C$1:$C$987,$B24,Movimientos!$D$1:$D$987,$C24,Movimientos!$L$1:$L$987,A$3,Movimientos!$F$1:$F$987,"Egreso")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SUMIFS(Movimientos!$J$1:$J$987,Movimientos!$C$1:$C$987,$B24,Movimientos!$D$1:$D$987,$C24,Movimientos!$L$1:$L$987,A$4,Movimientos!$F$1:$F$987,"Ingreso")</f>
        <v>1451269.78</v>
      </c>
      <c r="P24" s="44">
        <f>SUMIFS(Movimientos!$J$1:$J$987,Movimientos!$C$1:$C$987,$B24,Movimientos!$D$1:$D$987,$C24,Movimientos!$L$1:$L$987,A$4,Movimientos!$F$1:$F$987,"Egreso")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SUMIFS(Movimientos!$J$1:$J$987,Movimientos!$C$1:$C$987,$B24,Movimientos!$D$1:$D$987,$C24,Movimientos!$L$1:$L$987,A$5,Movimientos!$F$1:$F$987,"Ingreso")</f>
        <v>0</v>
      </c>
      <c r="U24" s="44">
        <f>SUMIFS(Movimientos!$J$1:$J$987,Movimientos!$C$1:$C$987,$B24,Movimientos!$D$1:$D$987,$C24,Movimientos!$L$1:$L$987,A$5,Movimientos!$F$1:$F$987,"Egreso")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SUMIFS(Movimientos!$J$1:$J$987,Movimientos!$C$1:$C$987,$B24,Movimientos!$D$1:$D$987,$C24,Movimientos!$L$1:$L$987,A$6,Movimientos!$F$1:$F$987,"Ingreso")</f>
        <v>0</v>
      </c>
      <c r="Z24" s="44">
        <f>SUMIFS(Movimientos!$J$1:$J$987,Movimientos!$C$1:$C$987,$B24,Movimientos!$D$1:$D$987,$C24,Movimientos!$L$1:$L$987,F$5,Movimientos!$F$1:$F$987,"Egreso")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SUMIFS(Movimientos!$J$1:$J$987,Movimientos!$C$1:$C$987,$B25,Movimientos!$D$1:$D$987,$C25,Movimientos!$L$1:$L$987,A$3,Movimientos!$F$1:$F$987,"Ingreso")</f>
        <v>0</v>
      </c>
      <c r="K25" s="44">
        <f>SUMIFS(Movimientos!$J$1:$J$987,Movimientos!$C$1:$C$987,$B25,Movimientos!$D$1:$D$987,$C25,Movimientos!$L$1:$L$987,A$3,Movimientos!$F$1:$F$987,"Egreso")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SUMIFS(Movimientos!$J$1:$J$987,Movimientos!$C$1:$C$987,$B25,Movimientos!$D$1:$D$987,$C25,Movimientos!$L$1:$L$987,A$4,Movimientos!$F$1:$F$987,"Ingreso")</f>
        <v>0</v>
      </c>
      <c r="P25" s="44">
        <f>SUMIFS(Movimientos!$J$1:$J$987,Movimientos!$C$1:$C$987,$B25,Movimientos!$D$1:$D$987,$C25,Movimientos!$L$1:$L$987,A$4,Movimientos!$F$1:$F$987,"Egreso")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SUMIFS(Movimientos!$J$1:$J$987,Movimientos!$C$1:$C$987,$B25,Movimientos!$D$1:$D$987,$C25,Movimientos!$L$1:$L$987,A$5,Movimientos!$F$1:$F$987,"Ingreso")</f>
        <v>0</v>
      </c>
      <c r="U25" s="44">
        <f>SUMIFS(Movimientos!$J$1:$J$987,Movimientos!$C$1:$C$987,$B25,Movimientos!$D$1:$D$987,$C25,Movimientos!$L$1:$L$987,A$5,Movimientos!$F$1:$F$987,"Egreso")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SUMIFS(Movimientos!$J$1:$J$987,Movimientos!$C$1:$C$987,$B25,Movimientos!$D$1:$D$987,$C25,Movimientos!$L$1:$L$987,A$6,Movimientos!$F$1:$F$987,"Ingreso")</f>
        <v>0</v>
      </c>
      <c r="Z25" s="44">
        <f>SUMIFS(Movimientos!$J$1:$J$987,Movimientos!$C$1:$C$987,$B25,Movimientos!$D$1:$D$987,$C25,Movimientos!$L$1:$L$987,F$5,Movimientos!$F$1:$F$987,"Egreso")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SUMIFS(Movimientos!$J$1:$J$987,Movimientos!$C$1:$C$987,$B26,Movimientos!$D$1:$D$987,$C26,Movimientos!$L$1:$L$987,A$3,Movimientos!$F$1:$F$987,"Ingreso")</f>
        <v>0</v>
      </c>
      <c r="K26" s="44">
        <f>SUMIFS(Movimientos!$J$1:$J$987,Movimientos!$C$1:$C$987,$B26,Movimientos!$D$1:$D$987,$C26,Movimientos!$L$1:$L$987,A$3,Movimientos!$F$1:$F$987,"Egreso")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SUMIFS(Movimientos!$J$1:$J$987,Movimientos!$C$1:$C$987,$B26,Movimientos!$D$1:$D$987,$C26,Movimientos!$L$1:$L$987,A$4,Movimientos!$F$1:$F$987,"Ingreso")</f>
        <v>0</v>
      </c>
      <c r="P26" s="44">
        <f>SUMIFS(Movimientos!$J$1:$J$987,Movimientos!$C$1:$C$987,$B26,Movimientos!$D$1:$D$987,$C26,Movimientos!$L$1:$L$987,A$4,Movimientos!$F$1:$F$987,"Egreso")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SUMIFS(Movimientos!$J$1:$J$987,Movimientos!$C$1:$C$987,$B26,Movimientos!$D$1:$D$987,$C26,Movimientos!$L$1:$L$987,A$5,Movimientos!$F$1:$F$987,"Ingreso")</f>
        <v>0</v>
      </c>
      <c r="U26" s="44">
        <f>SUMIFS(Movimientos!$J$1:$J$987,Movimientos!$C$1:$C$987,$B26,Movimientos!$D$1:$D$987,$C26,Movimientos!$L$1:$L$987,A$5,Movimientos!$F$1:$F$987,"Egreso")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SUMIFS(Movimientos!$J$1:$J$987,Movimientos!$C$1:$C$987,$B26,Movimientos!$D$1:$D$987,$C26,Movimientos!$L$1:$L$987,A$6,Movimientos!$F$1:$F$987,"Ingreso")</f>
        <v>0</v>
      </c>
      <c r="Z26" s="44">
        <f>SUMIFS(Movimientos!$J$1:$J$987,Movimientos!$C$1:$C$987,$B26,Movimientos!$D$1:$D$987,$C26,Movimientos!$L$1:$L$987,F$5,Movimientos!$F$1:$F$987,"Egreso")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SUMIFS(Movimientos!$J$1:$J$987,Movimientos!$C$1:$C$987,$B27,Movimientos!$D$1:$D$987,$C27,Movimientos!$L$1:$L$987,A$3,Movimientos!$F$1:$F$987,"Ingreso")</f>
        <v>0</v>
      </c>
      <c r="K27" s="44">
        <f>SUMIFS(Movimientos!$J$1:$J$987,Movimientos!$C$1:$C$987,$B27,Movimientos!$D$1:$D$987,$C27,Movimientos!$L$1:$L$987,A$3,Movimientos!$F$1:$F$987,"Egreso")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SUMIFS(Movimientos!$J$1:$J$987,Movimientos!$C$1:$C$987,$B27,Movimientos!$D$1:$D$987,$C27,Movimientos!$L$1:$L$987,A$4,Movimientos!$F$1:$F$987,"Ingreso")</f>
        <v>518.65</v>
      </c>
      <c r="P27" s="44">
        <f>SUMIFS(Movimientos!$J$1:$J$987,Movimientos!$C$1:$C$987,$B27,Movimientos!$D$1:$D$987,$C27,Movimientos!$L$1:$L$987,A$4,Movimientos!$F$1:$F$987,"Egreso")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SUMIFS(Movimientos!$J$1:$J$987,Movimientos!$C$1:$C$987,$B27,Movimientos!$D$1:$D$987,$C27,Movimientos!$L$1:$L$987,A$5,Movimientos!$F$1:$F$987,"Ingreso")</f>
        <v>0</v>
      </c>
      <c r="U27" s="44">
        <f>SUMIFS(Movimientos!$J$1:$J$987,Movimientos!$C$1:$C$987,$B27,Movimientos!$D$1:$D$987,$C27,Movimientos!$L$1:$L$987,A$5,Movimientos!$F$1:$F$987,"Egreso")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SUMIFS(Movimientos!$J$1:$J$987,Movimientos!$C$1:$C$987,$B27,Movimientos!$D$1:$D$987,$C27,Movimientos!$L$1:$L$987,A$6,Movimientos!$F$1:$F$987,"Ingreso")</f>
        <v>0</v>
      </c>
      <c r="Z27" s="44">
        <f>SUMIFS(Movimientos!$J$1:$J$987,Movimientos!$C$1:$C$987,$B27,Movimientos!$D$1:$D$987,$C27,Movimientos!$L$1:$L$987,F$5,Movimientos!$F$1:$F$987,"Egreso")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SUMIFS(Movimientos!$J$1:$J$987,Movimientos!$C$1:$C$987,$B28,Movimientos!$D$1:$D$987,$C28,Movimientos!$L$1:$L$987,A$3,Movimientos!$F$1:$F$987,"Ingreso")</f>
        <v>0</v>
      </c>
      <c r="K28" s="44">
        <f>SUMIFS(Movimientos!$J$1:$J$987,Movimientos!$C$1:$C$987,$B28,Movimientos!$D$1:$D$987,$C28,Movimientos!$L$1:$L$987,A$3,Movimientos!$F$1:$F$987,"Egreso")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SUMIFS(Movimientos!$J$1:$J$987,Movimientos!$C$1:$C$987,$B28,Movimientos!$D$1:$D$987,$C28,Movimientos!$L$1:$L$987,A$4,Movimientos!$F$1:$F$987,"Ingreso")</f>
        <v>0</v>
      </c>
      <c r="P28" s="44">
        <f>SUMIFS(Movimientos!$J$1:$J$987,Movimientos!$C$1:$C$987,$B28,Movimientos!$D$1:$D$987,$C28,Movimientos!$L$1:$L$987,A$4,Movimientos!$F$1:$F$987,"Egreso")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SUMIFS(Movimientos!$J$1:$J$987,Movimientos!$C$1:$C$987,$B28,Movimientos!$D$1:$D$987,$C28,Movimientos!$L$1:$L$987,A$5,Movimientos!$F$1:$F$987,"Ingreso")</f>
        <v>0</v>
      </c>
      <c r="U28" s="44">
        <f>SUMIFS(Movimientos!$J$1:$J$987,Movimientos!$C$1:$C$987,$B28,Movimientos!$D$1:$D$987,$C28,Movimientos!$L$1:$L$987,A$5,Movimientos!$F$1:$F$987,"Egreso")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SUMIFS(Movimientos!$J$1:$J$987,Movimientos!$C$1:$C$987,$B28,Movimientos!$D$1:$D$987,$C28,Movimientos!$L$1:$L$987,A$6,Movimientos!$F$1:$F$987,"Ingreso")</f>
        <v>0</v>
      </c>
      <c r="Z28" s="44">
        <f>SUMIFS(Movimientos!$J$1:$J$987,Movimientos!$C$1:$C$987,$B28,Movimientos!$D$1:$D$987,$C28,Movimientos!$L$1:$L$987,F$5,Movimientos!$F$1:$F$987,"Egreso")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SUMIFS(Movimientos!$J$1:$J$987,Movimientos!$C$1:$C$987,$B29,Movimientos!$D$1:$D$987,$C29,Movimientos!$L$1:$L$987,A$3,Movimientos!$F$1:$F$987,"Ingreso")</f>
        <v>5250</v>
      </c>
      <c r="K29" s="44">
        <f>SUMIFS(Movimientos!$J$1:$J$987,Movimientos!$C$1:$C$987,$B29,Movimientos!$D$1:$D$987,$C29,Movimientos!$L$1:$L$987,A$3,Movimientos!$F$1:$F$987,"Egreso")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SUMIFS(Movimientos!$J$1:$J$987,Movimientos!$C$1:$C$987,$B29,Movimientos!$D$1:$D$987,$C29,Movimientos!$L$1:$L$987,A$4,Movimientos!$F$1:$F$987,"Ingreso")</f>
        <v>0</v>
      </c>
      <c r="P29" s="44">
        <f>SUMIFS(Movimientos!$J$1:$J$987,Movimientos!$C$1:$C$987,$B29,Movimientos!$D$1:$D$987,$C29,Movimientos!$L$1:$L$987,A$4,Movimientos!$F$1:$F$987,"Egreso")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SUMIFS(Movimientos!$J$1:$J$987,Movimientos!$C$1:$C$987,$B29,Movimientos!$D$1:$D$987,$C29,Movimientos!$L$1:$L$987,A$5,Movimientos!$F$1:$F$987,"Ingreso")</f>
        <v>30105.4</v>
      </c>
      <c r="U29" s="44">
        <f>SUMIFS(Movimientos!$J$1:$J$987,Movimientos!$C$1:$C$987,$B29,Movimientos!$D$1:$D$987,$C29,Movimientos!$L$1:$L$987,A$5,Movimientos!$F$1:$F$987,"Egreso")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SUMIFS(Movimientos!$J$1:$J$987,Movimientos!$C$1:$C$987,$B29,Movimientos!$D$1:$D$987,$C29,Movimientos!$L$1:$L$987,A$6,Movimientos!$F$1:$F$987,"Ingreso")</f>
        <v>0</v>
      </c>
      <c r="Z29" s="44">
        <f>SUMIFS(Movimientos!$J$1:$J$987,Movimientos!$C$1:$C$987,$B29,Movimientos!$D$1:$D$987,$C29,Movimientos!$L$1:$L$987,F$5,Movimientos!$F$1:$F$987,"Egreso")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SUMIFS(Movimientos!$J$1:$J$987,Movimientos!$C$1:$C$987,$B30,Movimientos!$D$1:$D$987,$C30,Movimientos!$L$1:$L$987,A$3,Movimientos!$F$1:$F$987,"Ingreso")</f>
        <v>0</v>
      </c>
      <c r="K30" s="44">
        <f>SUMIFS(Movimientos!$J$1:$J$987,Movimientos!$C$1:$C$987,$B30,Movimientos!$D$1:$D$987,$C30,Movimientos!$L$1:$L$987,A$3,Movimientos!$F$1:$F$987,"Egreso")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SUMIFS(Movimientos!$J$1:$J$987,Movimientos!$C$1:$C$987,$B30,Movimientos!$D$1:$D$987,$C30,Movimientos!$L$1:$L$987,A$4,Movimientos!$F$1:$F$987,"Ingreso")</f>
        <v>0</v>
      </c>
      <c r="P30" s="44">
        <f>SUMIFS(Movimientos!$J$1:$J$987,Movimientos!$C$1:$C$987,$B30,Movimientos!$D$1:$D$987,$C30,Movimientos!$L$1:$L$987,A$4,Movimientos!$F$1:$F$987,"Egreso")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SUMIFS(Movimientos!$J$1:$J$987,Movimientos!$C$1:$C$987,$B30,Movimientos!$D$1:$D$987,$C30,Movimientos!$L$1:$L$987,A$5,Movimientos!$F$1:$F$987,"Ingreso")</f>
        <v>0</v>
      </c>
      <c r="U30" s="44">
        <f>SUMIFS(Movimientos!$J$1:$J$987,Movimientos!$C$1:$C$987,$B30,Movimientos!$D$1:$D$987,$C30,Movimientos!$L$1:$L$987,A$5,Movimientos!$F$1:$F$987,"Egreso")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SUMIFS(Movimientos!$J$1:$J$987,Movimientos!$C$1:$C$987,$B30,Movimientos!$D$1:$D$987,$C30,Movimientos!$L$1:$L$987,A$6,Movimientos!$F$1:$F$987,"Ingreso")</f>
        <v>0</v>
      </c>
      <c r="Z30" s="44">
        <f>SUMIFS(Movimientos!$J$1:$J$987,Movimientos!$C$1:$C$987,$B30,Movimientos!$D$1:$D$987,$C30,Movimientos!$L$1:$L$987,F$5,Movimientos!$F$1:$F$987,"Egreso")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SUMIFS(Movimientos!$J$1:$J$987,Movimientos!$C$1:$C$987,$B31,Movimientos!$D$1:$D$987,$C31,Movimientos!$L$1:$L$987,A$3,Movimientos!$F$1:$F$987,"Ingreso")</f>
        <v>15000</v>
      </c>
      <c r="K31" s="44">
        <f>SUMIFS(Movimientos!$J$1:$J$987,Movimientos!$C$1:$C$987,$B31,Movimientos!$D$1:$D$987,$C31,Movimientos!$L$1:$L$987,A$3,Movimientos!$F$1:$F$987,"Egreso")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SUMIFS(Movimientos!$J$1:$J$987,Movimientos!$C$1:$C$987,$B31,Movimientos!$D$1:$D$987,$C31,Movimientos!$L$1:$L$987,A$4,Movimientos!$F$1:$F$987,"Ingreso")</f>
        <v>15000</v>
      </c>
      <c r="P31" s="44">
        <f>SUMIFS(Movimientos!$J$1:$J$987,Movimientos!$C$1:$C$987,$B31,Movimientos!$D$1:$D$987,$C31,Movimientos!$L$1:$L$987,A$4,Movimientos!$F$1:$F$987,"Egreso")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SUMIFS(Movimientos!$J$1:$J$987,Movimientos!$C$1:$C$987,$B31,Movimientos!$D$1:$D$987,$C31,Movimientos!$L$1:$L$987,A$5,Movimientos!$F$1:$F$987,"Ingreso")</f>
        <v>21000</v>
      </c>
      <c r="U31" s="44">
        <f>SUMIFS(Movimientos!$J$1:$J$987,Movimientos!$C$1:$C$987,$B31,Movimientos!$D$1:$D$987,$C31,Movimientos!$L$1:$L$987,A$5,Movimientos!$F$1:$F$987,"Egreso")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SUMIFS(Movimientos!$J$1:$J$987,Movimientos!$C$1:$C$987,$B31,Movimientos!$D$1:$D$987,$C31,Movimientos!$L$1:$L$987,A$6,Movimientos!$F$1:$F$987,"Ingreso")</f>
        <v>0</v>
      </c>
      <c r="Z31" s="44">
        <f>SUMIFS(Movimientos!$J$1:$J$987,Movimientos!$C$1:$C$987,$B31,Movimientos!$D$1:$D$987,$C31,Movimientos!$L$1:$L$987,F$5,Movimientos!$F$1:$F$987,"Egreso")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SUMIFS(Movimientos!$J$1:$J$987,Movimientos!$C$1:$C$987,$B32,Movimientos!$D$1:$D$987,$C32,Movimientos!$L$1:$L$987,A$3,Movimientos!$F$1:$F$987,"Ingreso")</f>
        <v>12000</v>
      </c>
      <c r="K32" s="44">
        <f>SUMIFS(Movimientos!$J$1:$J$987,Movimientos!$C$1:$C$987,$B32,Movimientos!$D$1:$D$987,$C32,Movimientos!$L$1:$L$987,A$3,Movimientos!$F$1:$F$987,"Egreso")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SUMIFS(Movimientos!$J$1:$J$987,Movimientos!$C$1:$C$987,$B32,Movimientos!$D$1:$D$987,$C32,Movimientos!$L$1:$L$987,A$4,Movimientos!$F$1:$F$987,"Ingreso")</f>
        <v>8800</v>
      </c>
      <c r="P32" s="44">
        <f>SUMIFS(Movimientos!$J$1:$J$987,Movimientos!$C$1:$C$987,$B32,Movimientos!$D$1:$D$987,$C32,Movimientos!$L$1:$L$987,A$4,Movimientos!$F$1:$F$987,"Egreso")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SUMIFS(Movimientos!$J$1:$J$987,Movimientos!$C$1:$C$987,$B32,Movimientos!$D$1:$D$987,$C32,Movimientos!$L$1:$L$987,A$5,Movimientos!$F$1:$F$987,"Ingreso")</f>
        <v>9400</v>
      </c>
      <c r="U32" s="44">
        <f>SUMIFS(Movimientos!$J$1:$J$987,Movimientos!$C$1:$C$987,$B32,Movimientos!$D$1:$D$987,$C32,Movimientos!$L$1:$L$987,A$5,Movimientos!$F$1:$F$987,"Egreso")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SUMIFS(Movimientos!$J$1:$J$987,Movimientos!$C$1:$C$987,$B32,Movimientos!$D$1:$D$987,$C32,Movimientos!$L$1:$L$987,A$6,Movimientos!$F$1:$F$987,"Ingreso")</f>
        <v>346.61</v>
      </c>
      <c r="Z32" s="44">
        <f>SUMIFS(Movimientos!$J$1:$J$987,Movimientos!$C$1:$C$987,$B32,Movimientos!$D$1:$D$987,$C32,Movimientos!$L$1:$L$987,F$5,Movimientos!$F$1:$F$987,"Egreso")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SUMIFS(Movimientos!$J$1:$J$987,Movimientos!$C$1:$C$987,$B33,Movimientos!$D$1:$D$987,$C33,Movimientos!$L$1:$L$987,A$3,Movimientos!$F$1:$F$987,"Ingreso")</f>
        <v>59000</v>
      </c>
      <c r="K33" s="44">
        <f>SUMIFS(Movimientos!$J$1:$J$987,Movimientos!$C$1:$C$987,$B33,Movimientos!$D$1:$D$987,$C33,Movimientos!$L$1:$L$987,A$3,Movimientos!$F$1:$F$987,"Egreso")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SUMIFS(Movimientos!$J$1:$J$987,Movimientos!$C$1:$C$987,$B33,Movimientos!$D$1:$D$987,$C33,Movimientos!$L$1:$L$987,A$4,Movimientos!$F$1:$F$987,"Ingreso")</f>
        <v>50000</v>
      </c>
      <c r="P33" s="44">
        <f>SUMIFS(Movimientos!$J$1:$J$987,Movimientos!$C$1:$C$987,$B33,Movimientos!$D$1:$D$987,$C33,Movimientos!$L$1:$L$987,A$4,Movimientos!$F$1:$F$987,"Egreso")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SUMIFS(Movimientos!$J$1:$J$987,Movimientos!$C$1:$C$987,$B33,Movimientos!$D$1:$D$987,$C33,Movimientos!$L$1:$L$987,A$5,Movimientos!$F$1:$F$987,"Ingreso")</f>
        <v>23000</v>
      </c>
      <c r="U33" s="44">
        <f>SUMIFS(Movimientos!$J$1:$J$987,Movimientos!$C$1:$C$987,$B33,Movimientos!$D$1:$D$987,$C33,Movimientos!$L$1:$L$987,A$5,Movimientos!$F$1:$F$987,"Egreso")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SUMIFS(Movimientos!$J$1:$J$987,Movimientos!$C$1:$C$987,$B33,Movimientos!$D$1:$D$987,$C33,Movimientos!$L$1:$L$987,A$6,Movimientos!$F$1:$F$987,"Ingreso")</f>
        <v>20000</v>
      </c>
      <c r="Z33" s="44">
        <f>SUMIFS(Movimientos!$J$1:$J$987,Movimientos!$C$1:$C$987,$B33,Movimientos!$D$1:$D$987,$C33,Movimientos!$L$1:$L$987,F$5,Movimientos!$F$1:$F$987,"Egreso")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SUMIFS(Movimientos!$J$1:$J$987,Movimientos!$C$1:$C$987,$B34,Movimientos!$D$1:$D$987,$C34,Movimientos!$L$1:$L$987,A$3,Movimientos!$F$1:$F$987,"Ingreso")</f>
        <v>59000</v>
      </c>
      <c r="K34" s="44">
        <f>SUMIFS(Movimientos!$J$1:$J$987,Movimientos!$C$1:$C$987,$B34,Movimientos!$D$1:$D$987,$C34,Movimientos!$L$1:$L$987,A$3,Movimientos!$F$1:$F$987,"Egreso")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SUMIFS(Movimientos!$J$1:$J$987,Movimientos!$C$1:$C$987,$B34,Movimientos!$D$1:$D$987,$C34,Movimientos!$L$1:$L$987,A$4,Movimientos!$F$1:$F$987,"Ingreso")</f>
        <v>50000</v>
      </c>
      <c r="P34" s="44">
        <f>SUMIFS(Movimientos!$J$1:$J$987,Movimientos!$C$1:$C$987,$B34,Movimientos!$D$1:$D$987,$C34,Movimientos!$L$1:$L$987,A$4,Movimientos!$F$1:$F$987,"Egreso")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SUMIFS(Movimientos!$J$1:$J$987,Movimientos!$C$1:$C$987,$B34,Movimientos!$D$1:$D$987,$C34,Movimientos!$L$1:$L$987,A$5,Movimientos!$F$1:$F$987,"Ingreso")</f>
        <v>23000</v>
      </c>
      <c r="U34" s="44">
        <f>SUMIFS(Movimientos!$J$1:$J$987,Movimientos!$C$1:$C$987,$B34,Movimientos!$D$1:$D$987,$C34,Movimientos!$L$1:$L$987,A$5,Movimientos!$F$1:$F$987,"Egreso")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SUMIFS(Movimientos!$J$1:$J$987,Movimientos!$C$1:$C$987,$B34,Movimientos!$D$1:$D$987,$C34,Movimientos!$L$1:$L$987,A$6,Movimientos!$F$1:$F$987,"Ingreso")</f>
        <v>20000</v>
      </c>
      <c r="Z34" s="44">
        <f>SUMIFS(Movimientos!$J$1:$J$987,Movimientos!$C$1:$C$987,$B34,Movimientos!$D$1:$D$987,$C34,Movimientos!$L$1:$L$987,F$5,Movimientos!$F$1:$F$987,"Egreso")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SUMIFS(Movimientos!$J$1:$J$987,Movimientos!$C$1:$C$987,$B35,Movimientos!$D$1:$D$987,$C35,Movimientos!$L$1:$L$987,A$3,Movimientos!$F$1:$F$987,"Ingreso")</f>
        <v>0</v>
      </c>
      <c r="K35" s="44">
        <f>SUMIFS(Movimientos!$J$1:$J$987,Movimientos!$C$1:$C$987,$B35,Movimientos!$D$1:$D$987,$C35,Movimientos!$L$1:$L$987,A$3,Movimientos!$F$1:$F$987,"Egreso")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SUMIFS(Movimientos!$J$1:$J$987,Movimientos!$C$1:$C$987,$B35,Movimientos!$D$1:$D$987,$C35,Movimientos!$L$1:$L$987,A$4,Movimientos!$F$1:$F$987,"Ingreso")</f>
        <v>15000</v>
      </c>
      <c r="P35" s="44">
        <f>SUMIFS(Movimientos!$J$1:$J$987,Movimientos!$C$1:$C$987,$B35,Movimientos!$D$1:$D$987,$C35,Movimientos!$L$1:$L$987,A$4,Movimientos!$F$1:$F$987,"Egreso")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SUMIFS(Movimientos!$J$1:$J$987,Movimientos!$C$1:$C$987,$B35,Movimientos!$D$1:$D$987,$C35,Movimientos!$L$1:$L$987,A$5,Movimientos!$F$1:$F$987,"Ingreso")</f>
        <v>0</v>
      </c>
      <c r="U35" s="44">
        <f>SUMIFS(Movimientos!$J$1:$J$987,Movimientos!$C$1:$C$987,$B35,Movimientos!$D$1:$D$987,$C35,Movimientos!$L$1:$L$987,A$5,Movimientos!$F$1:$F$987,"Egreso")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SUMIFS(Movimientos!$J$1:$J$987,Movimientos!$C$1:$C$987,$B35,Movimientos!$D$1:$D$987,$C35,Movimientos!$L$1:$L$987,A$6,Movimientos!$F$1:$F$987,"Ingreso")</f>
        <v>6500</v>
      </c>
      <c r="Z35" s="44">
        <f>SUMIFS(Movimientos!$J$1:$J$987,Movimientos!$C$1:$C$987,$B35,Movimientos!$D$1:$D$987,$C35,Movimientos!$L$1:$L$987,F$5,Movimientos!$F$1:$F$987,"Egreso")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1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0" sqref="A140:XFD14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Group")+SUMIFS(Movimientos!$K$1:$K$987,Movimientos!$C$1:$C$987,"CFT Group",Movimientos!$B$1:$B$987,"&lt;="&amp;$B33)</f>
        <v>1064727.47</v>
      </c>
      <c r="D33" s="24">
        <f>SUMIFS('Saldos Iniciales'!$D:$D,'Saldos Iniciales'!$A:$A,"M1B")+SUMIFS(Movimientos!$K$1:$K$987,Movimientos!$C$1:$C$987,"M1B",Movimientos!$B$1:$B$987,"&lt;="&amp;$B33)</f>
        <v>69376.390000000174</v>
      </c>
      <c r="E33" s="24">
        <f>SUMIFS('Saldos Iniciales'!$D:$D,'Saldos Iniciales'!$A:$A,"Durand")+SUMIFS(Movimientos!$K$1:$K$987,Movimientos!$C$1:$C$987,"Durand",Movimientos!$B$1:$B$987,"&lt;="&amp;$B33)</f>
        <v>1669.89</v>
      </c>
      <c r="F33" s="24">
        <f>SUMIFS('Saldos Iniciales'!$D:$D,'Saldos Iniciales'!$A:$A,"A&amp;M Imports")+SUMIFS(Movimientos!$K$1:$K$987,Movimientos!$C$1:$C$987,"A&amp;M Imports",Movimientos!$B$1:$B$987,"&lt;="&amp;$B33)</f>
        <v>635892.87999999989</v>
      </c>
      <c r="G33" s="24">
        <f>SUMIFS('Saldos Iniciales'!$D:$D,'Saldos Iniciales'!$A:$A,"SSP Capital")+SUMIFS(Movimientos!$K$1:$K$987,Movimientos!$C$1:$C$987,"SSP Capital",Movimientos!$B$1:$B$987,"&lt;="&amp;$B33)</f>
        <v>1030143.7899999993</v>
      </c>
      <c r="H33" s="24">
        <f>SUMIFS('Saldos Iniciales'!$D:$D,'Saldos Iniciales'!$A:$A,"Cross Family Trust")+SUMIFS(Movimientos!$K$1:$K$987,Movimientos!$C$1:$C$987,"Cross Family Trust",Movimientos!$B$1:$B$987,"&lt;="&amp;$B33)</f>
        <v>131496.38</v>
      </c>
      <c r="I33" s="24">
        <f>SUMIFS('Saldos Iniciales'!$D:$D,'Saldos Iniciales'!$A:$A,"Cross Security Trust")+SUMIFS(Movimientos!$K$1:$K$987,Movimientos!$C$1:$C$987,"Cross Security Trust",Movimientos!$B$1:$B$987,"&lt;="&amp;$B33)</f>
        <v>88090.37</v>
      </c>
      <c r="J33" s="24">
        <f>SUMIFS('Saldos Iniciales'!$D:$D,'Saldos Iniciales'!$A:$A,"Electrama")+SUMIFS(Movimientos!$K$1:$K$987,Movimientos!$C$1:$C$987,"Electrama",Movimientos!$B$1:$B$987,"&lt;="&amp;$B33)</f>
        <v>511.15999999999985</v>
      </c>
      <c r="K33" s="24">
        <f>SUMIFS('Saldos Iniciales'!$D:$D,'Saldos Iniciales'!$A:$A,"Sacred Valley Capital")+SUMIFS(Movimientos!$K$1:$K$987,Movimientos!$C$1:$C$987,"Sacred Valley Capital",Movimientos!$B$1:$B$987,"&lt;="&amp;$B33)</f>
        <v>84.35</v>
      </c>
      <c r="L33" s="24">
        <f>SUMIFS('Saldos Iniciales'!$D:$D,'Saldos Iniciales'!$A:$A,"YWC Capital")+SUMIFS(Movimientos!$K$1:$K$987,Movimientos!$C$1:$C$987,"YWC Capital",Movimientos!$B$1:$B$987,"&lt;="&amp;$B33)</f>
        <v>2237.77</v>
      </c>
      <c r="M33" s="24">
        <f>SUMIFS('Saldos Iniciales'!$D:$D,'Saldos Iniciales'!$A:$A,"Soweto")+SUMIFS(Movimientos!$K$1:$K$987,Movimientos!$C$1:$C$987,"Soweto",Movimientos!$B$1:$B$987,"&lt;="&amp;$B33)</f>
        <v>3349.94</v>
      </c>
      <c r="N33" s="24">
        <f>SUMIFS('Saldos Iniciales'!$D:$D,'Saldos Iniciales'!$A:$A,"Green Stone Trust")+SUMIFS(Movimientos!$K$1:$K$987,Movimientos!$C$1:$C$987,"Green Stone Trust",Movimientos!$B$1:$B$987,"&lt;="&amp;$B33)</f>
        <v>1968.99</v>
      </c>
      <c r="O33" s="24">
        <f>SUMIFS('Saldos Iniciales'!$D:$D,'Saldos Iniciales'!$A:$A,"EC Auto")+SUMIFS(Movimientos!$K$1:$K$987,Movimientos!$C$1:$C$987,"EC Auto",Movimientos!$B$1:$B$987,"&lt;="&amp;$B33)</f>
        <v>901.34</v>
      </c>
      <c r="P33" s="24">
        <f>SUMIFS('Saldos Iniciales'!$D:$D,'Saldos Iniciales'!$A:$A,"Arbor Capital Properties")+SUMIFS(Movimientos!$K$1:$K$987,Movimientos!$C$1:$C$987,"Arbor Capital Properties",Movimientos!$B$1:$B$987,"&lt;="&amp;$B33)</f>
        <v>1428.08</v>
      </c>
      <c r="Q33" s="24">
        <f>SUMIFS('Saldos Iniciales'!$D:$D,'Saldos Iniciales'!$A:$A,"2515 Overbrook")+SUMIFS(Movimientos!$K$1:$K$987,Movimientos!$C$1:$C$987,"2515 Overbrook",Movimientos!$B$1:$B$987,"&lt;="&amp;$B33)</f>
        <v>26416.26999999996</v>
      </c>
      <c r="R33" s="24">
        <f>SUMIFS('Saldos Iniciales'!$D:$D,'Saldos Iniciales'!$A:$A,"112 Florida Ave")+SUMIFS(Movimientos!$K$1:$K$987,Movimientos!$C$1:$C$987,"112 Florida Ave",Movimientos!$B$1:$B$987,"&lt;="&amp;$B33)</f>
        <v>5321.4300000000021</v>
      </c>
      <c r="S33" s="24">
        <f>SUMIFS('Saldos Iniciales'!$D:$D,'Saldos Iniciales'!$A:$A,"3628 Thomas Ave")+SUMIFS(Movimientos!$K$1:$K$987,Movimientos!$C$1:$C$987,"3628 Thomas Ave",Movimientos!$B$1:$B$987,"&lt;="&amp;$B33)</f>
        <v>24833.23</v>
      </c>
      <c r="T33" s="24">
        <f>SUMIFS('Saldos Iniciales'!$D:$D,'Saldos Iniciales'!$A:$A,"Green Harbor Trust")+SUMIFS(Movimientos!$K$1:$K$987,Movimientos!$C$1:$C$987,"Green Harbor Trust",Movimientos!$B$1:$B$987,"&lt;="&amp;$B33)</f>
        <v>345</v>
      </c>
      <c r="U33" s="24">
        <f>SUMIFS('Saldos Iniciales'!$D:$D,'Saldos Iniciales'!$A:$A,"Go Blue")+SUMIFS(Movimientos!$K$1:$K$987,Movimientos!$C$1:$C$987,"Go Blue",Movimientos!$B$1:$B$987,"&lt;="&amp;$B33)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Group")+SUMIFS(Movimientos!$K$1:$K$987,Movimientos!$C$1:$C$987,"CFT Group",Movimientos!$B$1:$B$987,"&lt;="&amp;$B34)</f>
        <v>1064727.47</v>
      </c>
      <c r="D34" s="24">
        <f>SUMIFS('Saldos Iniciales'!$D:$D,'Saldos Iniciales'!$A:$A,"M1B")+SUMIFS(Movimientos!$K$1:$K$987,Movimientos!$C$1:$C$987,"M1B",Movimientos!$B$1:$B$987,"&lt;="&amp;$B34)</f>
        <v>69376.390000000174</v>
      </c>
      <c r="E34" s="24">
        <f>SUMIFS('Saldos Iniciales'!$D:$D,'Saldos Iniciales'!$A:$A,"Durand")+SUMIFS(Movimientos!$K$1:$K$987,Movimientos!$C$1:$C$987,"Durand",Movimientos!$B$1:$B$987,"&lt;="&amp;$B34)</f>
        <v>1669.89</v>
      </c>
      <c r="F34" s="24">
        <f>SUMIFS('Saldos Iniciales'!$D:$D,'Saldos Iniciales'!$A:$A,"A&amp;M Imports")+SUMIFS(Movimientos!$K$1:$K$987,Movimientos!$C$1:$C$987,"A&amp;M Imports",Movimientos!$B$1:$B$987,"&lt;="&amp;$B34)</f>
        <v>635892.87999999989</v>
      </c>
      <c r="G34" s="24">
        <f>SUMIFS('Saldos Iniciales'!$D:$D,'Saldos Iniciales'!$A:$A,"SSP Capital")+SUMIFS(Movimientos!$K$1:$K$987,Movimientos!$C$1:$C$987,"SSP Capital",Movimientos!$B$1:$B$987,"&lt;="&amp;$B34)</f>
        <v>1030143.7899999993</v>
      </c>
      <c r="H34" s="24">
        <f>SUMIFS('Saldos Iniciales'!$D:$D,'Saldos Iniciales'!$A:$A,"Cross Family Trust")+SUMIFS(Movimientos!$K$1:$K$987,Movimientos!$C$1:$C$987,"Cross Family Trust",Movimientos!$B$1:$B$987,"&lt;="&amp;$B34)</f>
        <v>131496.38</v>
      </c>
      <c r="I34" s="24">
        <f>SUMIFS('Saldos Iniciales'!$D:$D,'Saldos Iniciales'!$A:$A,"Cross Security Trust")+SUMIFS(Movimientos!$K$1:$K$987,Movimientos!$C$1:$C$987,"Cross Security Trust",Movimientos!$B$1:$B$987,"&lt;="&amp;$B34)</f>
        <v>88090.37</v>
      </c>
      <c r="J34" s="24">
        <f>SUMIFS('Saldos Iniciales'!$D:$D,'Saldos Iniciales'!$A:$A,"Electrama")+SUMIFS(Movimientos!$K$1:$K$987,Movimientos!$C$1:$C$987,"Electrama",Movimientos!$B$1:$B$987,"&lt;="&amp;$B34)</f>
        <v>511.15999999999985</v>
      </c>
      <c r="K34" s="24">
        <f>SUMIFS('Saldos Iniciales'!$D:$D,'Saldos Iniciales'!$A:$A,"Sacred Valley Capital")+SUMIFS(Movimientos!$K$1:$K$987,Movimientos!$C$1:$C$987,"Sacred Valley Capital",Movimientos!$B$1:$B$987,"&lt;="&amp;$B34)</f>
        <v>84.35</v>
      </c>
      <c r="L34" s="24">
        <f>SUMIFS('Saldos Iniciales'!$D:$D,'Saldos Iniciales'!$A:$A,"YWC Capital")+SUMIFS(Movimientos!$K$1:$K$987,Movimientos!$C$1:$C$987,"YWC Capital",Movimientos!$B$1:$B$987,"&lt;="&amp;$B34)</f>
        <v>2237.77</v>
      </c>
      <c r="M34" s="24">
        <f>SUMIFS('Saldos Iniciales'!$D:$D,'Saldos Iniciales'!$A:$A,"Soweto")+SUMIFS(Movimientos!$K$1:$K$987,Movimientos!$C$1:$C$987,"Soweto",Movimientos!$B$1:$B$987,"&lt;="&amp;$B34)</f>
        <v>3349.94</v>
      </c>
      <c r="N34" s="24">
        <f>SUMIFS('Saldos Iniciales'!$D:$D,'Saldos Iniciales'!$A:$A,"Green Stone Trust")+SUMIFS(Movimientos!$K$1:$K$987,Movimientos!$C$1:$C$987,"Green Stone Trust",Movimientos!$B$1:$B$987,"&lt;="&amp;$B34)</f>
        <v>1968.99</v>
      </c>
      <c r="O34" s="24">
        <f>SUMIFS('Saldos Iniciales'!$D:$D,'Saldos Iniciales'!$A:$A,"EC Auto")+SUMIFS(Movimientos!$K$1:$K$987,Movimientos!$C$1:$C$987,"EC Auto",Movimientos!$B$1:$B$987,"&lt;="&amp;$B34)</f>
        <v>901.34</v>
      </c>
      <c r="P34" s="24">
        <f>SUMIFS('Saldos Iniciales'!$D:$D,'Saldos Iniciales'!$A:$A,"Arbor Capital Properties")+SUMIFS(Movimientos!$K$1:$K$987,Movimientos!$C$1:$C$987,"Arbor Capital Properties",Movimientos!$B$1:$B$987,"&lt;="&amp;$B34)</f>
        <v>1428.08</v>
      </c>
      <c r="Q34" s="24">
        <f>SUMIFS('Saldos Iniciales'!$D:$D,'Saldos Iniciales'!$A:$A,"2515 Overbrook")+SUMIFS(Movimientos!$K$1:$K$987,Movimientos!$C$1:$C$987,"2515 Overbrook",Movimientos!$B$1:$B$987,"&lt;="&amp;$B34)</f>
        <v>25789.969999999961</v>
      </c>
      <c r="R34" s="24">
        <f>SUMIFS('Saldos Iniciales'!$D:$D,'Saldos Iniciales'!$A:$A,"112 Florida Ave")+SUMIFS(Movimientos!$K$1:$K$987,Movimientos!$C$1:$C$987,"112 Florida Ave",Movimientos!$B$1:$B$987,"&lt;="&amp;$B34)</f>
        <v>5321.4300000000021</v>
      </c>
      <c r="S34" s="24">
        <f>SUMIFS('Saldos Iniciales'!$D:$D,'Saldos Iniciales'!$A:$A,"3628 Thomas Ave")+SUMIFS(Movimientos!$K$1:$K$987,Movimientos!$C$1:$C$987,"3628 Thomas Ave",Movimientos!$B$1:$B$987,"&lt;="&amp;$B34)</f>
        <v>24833.23</v>
      </c>
      <c r="T34" s="24">
        <f>SUMIFS('Saldos Iniciales'!$D:$D,'Saldos Iniciales'!$A:$A,"Green Harbor Trust")+SUMIFS(Movimientos!$K$1:$K$987,Movimientos!$C$1:$C$987,"Green Harbor Trust",Movimientos!$B$1:$B$987,"&lt;="&amp;$B34)</f>
        <v>345</v>
      </c>
      <c r="U34" s="24">
        <f>SUMIFS('Saldos Iniciales'!$D:$D,'Saldos Iniciales'!$A:$A,"Go Blue")+SUMIFS(Movimientos!$K$1:$K$987,Movimientos!$C$1:$C$987,"Go Blue",Movimientos!$B$1:$B$987,"&lt;="&amp;$B34)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Group")+SUMIFS(Movimientos!$K$1:$K$987,Movimientos!$C$1:$C$987,"CFT Group",Movimientos!$B$1:$B$987,"&lt;="&amp;$B35)</f>
        <v>1064727.47</v>
      </c>
      <c r="D35" s="24">
        <f>SUMIFS('Saldos Iniciales'!$D:$D,'Saldos Iniciales'!$A:$A,"M1B")+SUMIFS(Movimientos!$K$1:$K$987,Movimientos!$C$1:$C$987,"M1B",Movimientos!$B$1:$B$987,"&lt;="&amp;$B35)</f>
        <v>69376.390000000174</v>
      </c>
      <c r="E35" s="24">
        <f>SUMIFS('Saldos Iniciales'!$D:$D,'Saldos Iniciales'!$A:$A,"Durand")+SUMIFS(Movimientos!$K$1:$K$987,Movimientos!$C$1:$C$987,"Durand",Movimientos!$B$1:$B$987,"&lt;="&amp;$B35)</f>
        <v>1669.89</v>
      </c>
      <c r="F35" s="24">
        <f>SUMIFS('Saldos Iniciales'!$D:$D,'Saldos Iniciales'!$A:$A,"A&amp;M Imports")+SUMIFS(Movimientos!$K$1:$K$987,Movimientos!$C$1:$C$987,"A&amp;M Imports",Movimientos!$B$1:$B$987,"&lt;="&amp;$B35)</f>
        <v>635892.87999999989</v>
      </c>
      <c r="G35" s="24">
        <f>SUMIFS('Saldos Iniciales'!$D:$D,'Saldos Iniciales'!$A:$A,"SSP Capital")+SUMIFS(Movimientos!$K$1:$K$987,Movimientos!$C$1:$C$987,"SSP Capital",Movimientos!$B$1:$B$987,"&lt;="&amp;$B35)</f>
        <v>1029853.7799999993</v>
      </c>
      <c r="H35" s="24">
        <f>SUMIFS('Saldos Iniciales'!$D:$D,'Saldos Iniciales'!$A:$A,"Cross Family Trust")+SUMIFS(Movimientos!$K$1:$K$987,Movimientos!$C$1:$C$987,"Cross Family Trust",Movimientos!$B$1:$B$987,"&lt;="&amp;$B35)</f>
        <v>125496.38</v>
      </c>
      <c r="I35" s="24">
        <f>SUMIFS('Saldos Iniciales'!$D:$D,'Saldos Iniciales'!$A:$A,"Cross Security Trust")+SUMIFS(Movimientos!$K$1:$K$987,Movimientos!$C$1:$C$987,"Cross Security Trust",Movimientos!$B$1:$B$987,"&lt;="&amp;$B35)</f>
        <v>88090.37</v>
      </c>
      <c r="J35" s="24">
        <f>SUMIFS('Saldos Iniciales'!$D:$D,'Saldos Iniciales'!$A:$A,"Electrama")+SUMIFS(Movimientos!$K$1:$K$987,Movimientos!$C$1:$C$987,"Electrama",Movimientos!$B$1:$B$987,"&lt;="&amp;$B35)</f>
        <v>511.15999999999985</v>
      </c>
      <c r="K35" s="24">
        <f>SUMIFS('Saldos Iniciales'!$D:$D,'Saldos Iniciales'!$A:$A,"Sacred Valley Capital")+SUMIFS(Movimientos!$K$1:$K$987,Movimientos!$C$1:$C$987,"Sacred Valley Capital",Movimientos!$B$1:$B$987,"&lt;="&amp;$B35)</f>
        <v>84.35</v>
      </c>
      <c r="L35" s="24">
        <f>SUMIFS('Saldos Iniciales'!$D:$D,'Saldos Iniciales'!$A:$A,"YWC Capital")+SUMIFS(Movimientos!$K$1:$K$987,Movimientos!$C$1:$C$987,"YWC Capital",Movimientos!$B$1:$B$987,"&lt;="&amp;$B35)</f>
        <v>2237.77</v>
      </c>
      <c r="M35" s="24">
        <f>SUMIFS('Saldos Iniciales'!$D:$D,'Saldos Iniciales'!$A:$A,"Soweto")+SUMIFS(Movimientos!$K$1:$K$987,Movimientos!$C$1:$C$987,"Soweto",Movimientos!$B$1:$B$987,"&lt;="&amp;$B35)</f>
        <v>3349.94</v>
      </c>
      <c r="N35" s="24">
        <f>SUMIFS('Saldos Iniciales'!$D:$D,'Saldos Iniciales'!$A:$A,"Green Stone Trust")+SUMIFS(Movimientos!$K$1:$K$987,Movimientos!$C$1:$C$987,"Green Stone Trust",Movimientos!$B$1:$B$987,"&lt;="&amp;$B35)</f>
        <v>1968.99</v>
      </c>
      <c r="O35" s="24">
        <f>SUMIFS('Saldos Iniciales'!$D:$D,'Saldos Iniciales'!$A:$A,"EC Auto")+SUMIFS(Movimientos!$K$1:$K$987,Movimientos!$C$1:$C$987,"EC Auto",Movimientos!$B$1:$B$987,"&lt;="&amp;$B35)</f>
        <v>901.34</v>
      </c>
      <c r="P35" s="24">
        <f>SUMIFS('Saldos Iniciales'!$D:$D,'Saldos Iniciales'!$A:$A,"Arbor Capital Properties")+SUMIFS(Movimientos!$K$1:$K$987,Movimientos!$C$1:$C$987,"Arbor Capital Properties",Movimientos!$B$1:$B$987,"&lt;="&amp;$B35)</f>
        <v>1428.08</v>
      </c>
      <c r="Q35" s="24">
        <f>SUMIFS('Saldos Iniciales'!$D:$D,'Saldos Iniciales'!$A:$A,"2515 Overbrook")+SUMIFS(Movimientos!$K$1:$K$987,Movimientos!$C$1:$C$987,"2515 Overbrook",Movimientos!$B$1:$B$987,"&lt;="&amp;$B35)</f>
        <v>25789.969999999961</v>
      </c>
      <c r="R35" s="24">
        <f>SUMIFS('Saldos Iniciales'!$D:$D,'Saldos Iniciales'!$A:$A,"112 Florida Ave")+SUMIFS(Movimientos!$K$1:$K$987,Movimientos!$C$1:$C$987,"112 Florida Ave",Movimientos!$B$1:$B$987,"&lt;="&amp;$B35)</f>
        <v>5321.4300000000021</v>
      </c>
      <c r="S35" s="24">
        <f>SUMIFS('Saldos Iniciales'!$D:$D,'Saldos Iniciales'!$A:$A,"3628 Thomas Ave")+SUMIFS(Movimientos!$K$1:$K$987,Movimientos!$C$1:$C$987,"3628 Thomas Ave",Movimientos!$B$1:$B$987,"&lt;="&amp;$B35)</f>
        <v>24833.23</v>
      </c>
      <c r="T35" s="24">
        <f>SUMIFS('Saldos Iniciales'!$D:$D,'Saldos Iniciales'!$A:$A,"Green Harbor Trust")+SUMIFS(Movimientos!$K$1:$K$987,Movimientos!$C$1:$C$987,"Green Harbor Trust",Movimientos!$B$1:$B$987,"&lt;="&amp;$B35)</f>
        <v>345</v>
      </c>
      <c r="U35" s="24">
        <f>SUMIFS('Saldos Iniciales'!$D:$D,'Saldos Iniciales'!$A:$A,"Go Blue")+SUMIFS(Movimientos!$K$1:$K$987,Movimientos!$C$1:$C$987,"Go Blue",Movimientos!$B$1:$B$987,"&lt;="&amp;$B35)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Group")+SUMIFS(Movimientos!$K$1:$K$987,Movimientos!$C$1:$C$987,"CFT Group",Movimientos!$B$1:$B$987,"&lt;="&amp;$B36)</f>
        <v>814727.47000000009</v>
      </c>
      <c r="D36" s="24">
        <f>SUMIFS('Saldos Iniciales'!$D:$D,'Saldos Iniciales'!$A:$A,"M1B")+SUMIFS(Movimientos!$K$1:$K$987,Movimientos!$C$1:$C$987,"M1B",Movimientos!$B$1:$B$987,"&lt;="&amp;$B36)</f>
        <v>69376.390000000174</v>
      </c>
      <c r="E36" s="24">
        <f>SUMIFS('Saldos Iniciales'!$D:$D,'Saldos Iniciales'!$A:$A,"Durand")+SUMIFS(Movimientos!$K$1:$K$987,Movimientos!$C$1:$C$987,"Durand",Movimientos!$B$1:$B$987,"&lt;="&amp;$B36)</f>
        <v>1669.89</v>
      </c>
      <c r="F36" s="24">
        <f>SUMIFS('Saldos Iniciales'!$D:$D,'Saldos Iniciales'!$A:$A,"A&amp;M Imports")+SUMIFS(Movimientos!$K$1:$K$987,Movimientos!$C$1:$C$987,"A&amp;M Imports",Movimientos!$B$1:$B$987,"&lt;="&amp;$B36)</f>
        <v>560584.99999999988</v>
      </c>
      <c r="G36" s="24">
        <f>SUMIFS('Saldos Iniciales'!$D:$D,'Saldos Iniciales'!$A:$A,"SSP Capital")+SUMIFS(Movimientos!$K$1:$K$987,Movimientos!$C$1:$C$987,"SSP Capital",Movimientos!$B$1:$B$987,"&lt;="&amp;$B36)</f>
        <v>1185956.5699999994</v>
      </c>
      <c r="H36" s="24">
        <f>SUMIFS('Saldos Iniciales'!$D:$D,'Saldos Iniciales'!$A:$A,"Cross Family Trust")+SUMIFS(Movimientos!$K$1:$K$987,Movimientos!$C$1:$C$987,"Cross Family Trust",Movimientos!$B$1:$B$987,"&lt;="&amp;$B36)</f>
        <v>116496.38</v>
      </c>
      <c r="I36" s="24">
        <f>SUMIFS('Saldos Iniciales'!$D:$D,'Saldos Iniciales'!$A:$A,"Cross Security Trust")+SUMIFS(Movimientos!$K$1:$K$987,Movimientos!$C$1:$C$987,"Cross Security Trust",Movimientos!$B$1:$B$987,"&lt;="&amp;$B36)</f>
        <v>88090.37</v>
      </c>
      <c r="J36" s="24">
        <f>SUMIFS('Saldos Iniciales'!$D:$D,'Saldos Iniciales'!$A:$A,"Electrama")+SUMIFS(Movimientos!$K$1:$K$987,Movimientos!$C$1:$C$987,"Electrama",Movimientos!$B$1:$B$987,"&lt;="&amp;$B36)</f>
        <v>511.15999999999985</v>
      </c>
      <c r="K36" s="24">
        <f>SUMIFS('Saldos Iniciales'!$D:$D,'Saldos Iniciales'!$A:$A,"Sacred Valley Capital")+SUMIFS(Movimientos!$K$1:$K$987,Movimientos!$C$1:$C$987,"Sacred Valley Capital",Movimientos!$B$1:$B$987,"&lt;="&amp;$B36)</f>
        <v>84.35</v>
      </c>
      <c r="L36" s="24">
        <f>SUMIFS('Saldos Iniciales'!$D:$D,'Saldos Iniciales'!$A:$A,"YWC Capital")+SUMIFS(Movimientos!$K$1:$K$987,Movimientos!$C$1:$C$987,"YWC Capital",Movimientos!$B$1:$B$987,"&lt;="&amp;$B36)</f>
        <v>2237.77</v>
      </c>
      <c r="M36" s="24">
        <f>SUMIFS('Saldos Iniciales'!$D:$D,'Saldos Iniciales'!$A:$A,"Soweto")+SUMIFS(Movimientos!$K$1:$K$987,Movimientos!$C$1:$C$987,"Soweto",Movimientos!$B$1:$B$987,"&lt;="&amp;$B36)</f>
        <v>3349.94</v>
      </c>
      <c r="N36" s="24">
        <f>SUMIFS('Saldos Iniciales'!$D:$D,'Saldos Iniciales'!$A:$A,"Green Stone Trust")+SUMIFS(Movimientos!$K$1:$K$987,Movimientos!$C$1:$C$987,"Green Stone Trust",Movimientos!$B$1:$B$987,"&lt;="&amp;$B36)</f>
        <v>1968.99</v>
      </c>
      <c r="O36" s="24">
        <f>SUMIFS('Saldos Iniciales'!$D:$D,'Saldos Iniciales'!$A:$A,"EC Auto")+SUMIFS(Movimientos!$K$1:$K$987,Movimientos!$C$1:$C$987,"EC Auto",Movimientos!$B$1:$B$987,"&lt;="&amp;$B36)</f>
        <v>382.69000000000005</v>
      </c>
      <c r="P36" s="24">
        <f>SUMIFS('Saldos Iniciales'!$D:$D,'Saldos Iniciales'!$A:$A,"Arbor Capital Properties")+SUMIFS(Movimientos!$K$1:$K$987,Movimientos!$C$1:$C$987,"Arbor Capital Properties",Movimientos!$B$1:$B$987,"&lt;="&amp;$B36)</f>
        <v>1428.08</v>
      </c>
      <c r="Q36" s="24">
        <f>SUMIFS('Saldos Iniciales'!$D:$D,'Saldos Iniciales'!$A:$A,"2515 Overbrook")+SUMIFS(Movimientos!$K$1:$K$987,Movimientos!$C$1:$C$987,"2515 Overbrook",Movimientos!$B$1:$B$987,"&lt;="&amp;$B36)</f>
        <v>25789.969999999961</v>
      </c>
      <c r="R36" s="24">
        <f>SUMIFS('Saldos Iniciales'!$D:$D,'Saldos Iniciales'!$A:$A,"112 Florida Ave")+SUMIFS(Movimientos!$K$1:$K$987,Movimientos!$C$1:$C$987,"112 Florida Ave",Movimientos!$B$1:$B$987,"&lt;="&amp;$B36)</f>
        <v>5321.4300000000021</v>
      </c>
      <c r="S36" s="24">
        <f>SUMIFS('Saldos Iniciales'!$D:$D,'Saldos Iniciales'!$A:$A,"3628 Thomas Ave")+SUMIFS(Movimientos!$K$1:$K$987,Movimientos!$C$1:$C$987,"3628 Thomas Ave",Movimientos!$B$1:$B$987,"&lt;="&amp;$B36)</f>
        <v>24833.23</v>
      </c>
      <c r="T36" s="24">
        <f>SUMIFS('Saldos Iniciales'!$D:$D,'Saldos Iniciales'!$A:$A,"Green Harbor Trust")+SUMIFS(Movimientos!$K$1:$K$987,Movimientos!$C$1:$C$987,"Green Harbor Trust",Movimientos!$B$1:$B$987,"&lt;="&amp;$B36)</f>
        <v>345</v>
      </c>
      <c r="U36" s="24">
        <f>SUMIFS('Saldos Iniciales'!$D:$D,'Saldos Iniciales'!$A:$A,"Go Blue")+SUMIFS(Movimientos!$K$1:$K$987,Movimientos!$C$1:$C$987,"Go Blue",Movimientos!$B$1:$B$987,"&lt;="&amp;$B36)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Group")+SUMIFS(Movimientos!$K$1:$K$987,Movimientos!$C$1:$C$987,"CFT Group",Movimientos!$B$1:$B$987,"&lt;="&amp;$B37)</f>
        <v>814727.47000000009</v>
      </c>
      <c r="D37" s="24">
        <f>SUMIFS('Saldos Iniciales'!$D:$D,'Saldos Iniciales'!$A:$A,"M1B")+SUMIFS(Movimientos!$K$1:$K$987,Movimientos!$C$1:$C$987,"M1B",Movimientos!$B$1:$B$987,"&lt;="&amp;$B37)</f>
        <v>69376.390000000174</v>
      </c>
      <c r="E37" s="24">
        <f>SUMIFS('Saldos Iniciales'!$D:$D,'Saldos Iniciales'!$A:$A,"Durand")+SUMIFS(Movimientos!$K$1:$K$987,Movimientos!$C$1:$C$987,"Durand",Movimientos!$B$1:$B$987,"&lt;="&amp;$B37)</f>
        <v>1669.89</v>
      </c>
      <c r="F37" s="24">
        <f>SUMIFS('Saldos Iniciales'!$D:$D,'Saldos Iniciales'!$A:$A,"A&amp;M Imports")+SUMIFS(Movimientos!$K$1:$K$987,Movimientos!$C$1:$C$987,"A&amp;M Imports",Movimientos!$B$1:$B$987,"&lt;="&amp;$B37)</f>
        <v>560584.99999999988</v>
      </c>
      <c r="G37" s="24">
        <f>SUMIFS('Saldos Iniciales'!$D:$D,'Saldos Iniciales'!$A:$A,"SSP Capital")+SUMIFS(Movimientos!$K$1:$K$987,Movimientos!$C$1:$C$987,"SSP Capital",Movimientos!$B$1:$B$987,"&lt;="&amp;$B37)</f>
        <v>1178270.4399999992</v>
      </c>
      <c r="H37" s="24">
        <f>SUMIFS('Saldos Iniciales'!$D:$D,'Saldos Iniciales'!$A:$A,"Cross Family Trust")+SUMIFS(Movimientos!$K$1:$K$987,Movimientos!$C$1:$C$987,"Cross Family Trust",Movimientos!$B$1:$B$987,"&lt;="&amp;$B37)</f>
        <v>116496.38</v>
      </c>
      <c r="I37" s="24">
        <f>SUMIFS('Saldos Iniciales'!$D:$D,'Saldos Iniciales'!$A:$A,"Cross Security Trust")+SUMIFS(Movimientos!$K$1:$K$987,Movimientos!$C$1:$C$987,"Cross Security Trust",Movimientos!$B$1:$B$987,"&lt;="&amp;$B37)</f>
        <v>88090.37</v>
      </c>
      <c r="J37" s="24">
        <f>SUMIFS('Saldos Iniciales'!$D:$D,'Saldos Iniciales'!$A:$A,"Electrama")+SUMIFS(Movimientos!$K$1:$K$987,Movimientos!$C$1:$C$987,"Electrama",Movimientos!$B$1:$B$987,"&lt;="&amp;$B37)</f>
        <v>511.15999999999985</v>
      </c>
      <c r="K37" s="24">
        <f>SUMIFS('Saldos Iniciales'!$D:$D,'Saldos Iniciales'!$A:$A,"Sacred Valley Capital")+SUMIFS(Movimientos!$K$1:$K$987,Movimientos!$C$1:$C$987,"Sacred Valley Capital",Movimientos!$B$1:$B$987,"&lt;="&amp;$B37)</f>
        <v>84.35</v>
      </c>
      <c r="L37" s="24">
        <f>SUMIFS('Saldos Iniciales'!$D:$D,'Saldos Iniciales'!$A:$A,"YWC Capital")+SUMIFS(Movimientos!$K$1:$K$987,Movimientos!$C$1:$C$987,"YWC Capital",Movimientos!$B$1:$B$987,"&lt;="&amp;$B37)</f>
        <v>2237.77</v>
      </c>
      <c r="M37" s="24">
        <f>SUMIFS('Saldos Iniciales'!$D:$D,'Saldos Iniciales'!$A:$A,"Soweto")+SUMIFS(Movimientos!$K$1:$K$987,Movimientos!$C$1:$C$987,"Soweto",Movimientos!$B$1:$B$987,"&lt;="&amp;$B37)</f>
        <v>3349.94</v>
      </c>
      <c r="N37" s="24">
        <f>SUMIFS('Saldos Iniciales'!$D:$D,'Saldos Iniciales'!$A:$A,"Green Stone Trust")+SUMIFS(Movimientos!$K$1:$K$987,Movimientos!$C$1:$C$987,"Green Stone Trust",Movimientos!$B$1:$B$987,"&lt;="&amp;$B37)</f>
        <v>1968.99</v>
      </c>
      <c r="O37" s="24">
        <f>SUMIFS('Saldos Iniciales'!$D:$D,'Saldos Iniciales'!$A:$A,"EC Auto")+SUMIFS(Movimientos!$K$1:$K$987,Movimientos!$C$1:$C$987,"EC Auto",Movimientos!$B$1:$B$987,"&lt;="&amp;$B37)</f>
        <v>382.69000000000005</v>
      </c>
      <c r="P37" s="24">
        <f>SUMIFS('Saldos Iniciales'!$D:$D,'Saldos Iniciales'!$A:$A,"Arbor Capital Properties")+SUMIFS(Movimientos!$K$1:$K$987,Movimientos!$C$1:$C$987,"Arbor Capital Properties",Movimientos!$B$1:$B$987,"&lt;="&amp;$B37)</f>
        <v>1428.08</v>
      </c>
      <c r="Q37" s="24">
        <f>SUMIFS('Saldos Iniciales'!$D:$D,'Saldos Iniciales'!$A:$A,"2515 Overbrook")+SUMIFS(Movimientos!$K$1:$K$987,Movimientos!$C$1:$C$987,"2515 Overbrook",Movimientos!$B$1:$B$987,"&lt;="&amp;$B37)</f>
        <v>25789.969999999961</v>
      </c>
      <c r="R37" s="24">
        <f>SUMIFS('Saldos Iniciales'!$D:$D,'Saldos Iniciales'!$A:$A,"112 Florida Ave")+SUMIFS(Movimientos!$K$1:$K$987,Movimientos!$C$1:$C$987,"112 Florida Ave",Movimientos!$B$1:$B$987,"&lt;="&amp;$B37)</f>
        <v>5321.4300000000021</v>
      </c>
      <c r="S37" s="24">
        <f>SUMIFS('Saldos Iniciales'!$D:$D,'Saldos Iniciales'!$A:$A,"3628 Thomas Ave")+SUMIFS(Movimientos!$K$1:$K$987,Movimientos!$C$1:$C$987,"3628 Thomas Ave",Movimientos!$B$1:$B$987,"&lt;="&amp;$B37)</f>
        <v>24833.23</v>
      </c>
      <c r="T37" s="24">
        <f>SUMIFS('Saldos Iniciales'!$D:$D,'Saldos Iniciales'!$A:$A,"Green Harbor Trust")+SUMIFS(Movimientos!$K$1:$K$987,Movimientos!$C$1:$C$987,"Green Harbor Trust",Movimientos!$B$1:$B$987,"&lt;="&amp;$B37)</f>
        <v>345</v>
      </c>
      <c r="U37" s="24">
        <f>SUMIFS('Saldos Iniciales'!$D:$D,'Saldos Iniciales'!$A:$A,"Go Blue")+SUMIFS(Movimientos!$K$1:$K$987,Movimientos!$C$1:$C$987,"Go Blue",Movimientos!$B$1:$B$987,"&lt;="&amp;$B37)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Group")+SUMIFS(Movimientos!$K$1:$K$987,Movimientos!$C$1:$C$987,"CFT Group",Movimientos!$B$1:$B$987,"&lt;="&amp;$B38)</f>
        <v>814727.47000000009</v>
      </c>
      <c r="D38" s="24">
        <f>SUMIFS('Saldos Iniciales'!$D:$D,'Saldos Iniciales'!$A:$A,"M1B")+SUMIFS(Movimientos!$K$1:$K$987,Movimientos!$C$1:$C$987,"M1B",Movimientos!$B$1:$B$987,"&lt;="&amp;$B38)</f>
        <v>69376.390000000174</v>
      </c>
      <c r="E38" s="24">
        <f>SUMIFS('Saldos Iniciales'!$D:$D,'Saldos Iniciales'!$A:$A,"Durand")+SUMIFS(Movimientos!$K$1:$K$987,Movimientos!$C$1:$C$987,"Durand",Movimientos!$B$1:$B$987,"&lt;="&amp;$B38)</f>
        <v>1669.89</v>
      </c>
      <c r="F38" s="24">
        <f>SUMIFS('Saldos Iniciales'!$D:$D,'Saldos Iniciales'!$A:$A,"A&amp;M Imports")+SUMIFS(Movimientos!$K$1:$K$987,Movimientos!$C$1:$C$987,"A&amp;M Imports",Movimientos!$B$1:$B$987,"&lt;="&amp;$B38)</f>
        <v>560584.99999999988</v>
      </c>
      <c r="G38" s="24">
        <f>SUMIFS('Saldos Iniciales'!$D:$D,'Saldos Iniciales'!$A:$A,"SSP Capital")+SUMIFS(Movimientos!$K$1:$K$987,Movimientos!$C$1:$C$987,"SSP Capital",Movimientos!$B$1:$B$987,"&lt;="&amp;$B38)</f>
        <v>1178270.4399999992</v>
      </c>
      <c r="H38" s="24">
        <f>SUMIFS('Saldos Iniciales'!$D:$D,'Saldos Iniciales'!$A:$A,"Cross Family Trust")+SUMIFS(Movimientos!$K$1:$K$987,Movimientos!$C$1:$C$987,"Cross Family Trust",Movimientos!$B$1:$B$987,"&lt;="&amp;$B38)</f>
        <v>116496.38</v>
      </c>
      <c r="I38" s="24">
        <f>SUMIFS('Saldos Iniciales'!$D:$D,'Saldos Iniciales'!$A:$A,"Cross Security Trust")+SUMIFS(Movimientos!$K$1:$K$987,Movimientos!$C$1:$C$987,"Cross Security Trust",Movimientos!$B$1:$B$987,"&lt;="&amp;$B38)</f>
        <v>88090.37</v>
      </c>
      <c r="J38" s="24">
        <f>SUMIFS('Saldos Iniciales'!$D:$D,'Saldos Iniciales'!$A:$A,"Electrama")+SUMIFS(Movimientos!$K$1:$K$987,Movimientos!$C$1:$C$987,"Electrama",Movimientos!$B$1:$B$987,"&lt;="&amp;$B38)</f>
        <v>511.15999999999985</v>
      </c>
      <c r="K38" s="24">
        <f>SUMIFS('Saldos Iniciales'!$D:$D,'Saldos Iniciales'!$A:$A,"Sacred Valley Capital")+SUMIFS(Movimientos!$K$1:$K$987,Movimientos!$C$1:$C$987,"Sacred Valley Capital",Movimientos!$B$1:$B$987,"&lt;="&amp;$B38)</f>
        <v>84.35</v>
      </c>
      <c r="L38" s="24">
        <f>SUMIFS('Saldos Iniciales'!$D:$D,'Saldos Iniciales'!$A:$A,"YWC Capital")+SUMIFS(Movimientos!$K$1:$K$987,Movimientos!$C$1:$C$987,"YWC Capital",Movimientos!$B$1:$B$987,"&lt;="&amp;$B38)</f>
        <v>2237.77</v>
      </c>
      <c r="M38" s="24">
        <f>SUMIFS('Saldos Iniciales'!$D:$D,'Saldos Iniciales'!$A:$A,"Soweto")+SUMIFS(Movimientos!$K$1:$K$987,Movimientos!$C$1:$C$987,"Soweto",Movimientos!$B$1:$B$987,"&lt;="&amp;$B38)</f>
        <v>3349.94</v>
      </c>
      <c r="N38" s="24">
        <f>SUMIFS('Saldos Iniciales'!$D:$D,'Saldos Iniciales'!$A:$A,"Green Stone Trust")+SUMIFS(Movimientos!$K$1:$K$987,Movimientos!$C$1:$C$987,"Green Stone Trust",Movimientos!$B$1:$B$987,"&lt;="&amp;$B38)</f>
        <v>1968.99</v>
      </c>
      <c r="O38" s="24">
        <f>SUMIFS('Saldos Iniciales'!$D:$D,'Saldos Iniciales'!$A:$A,"EC Auto")+SUMIFS(Movimientos!$K$1:$K$987,Movimientos!$C$1:$C$987,"EC Auto",Movimientos!$B$1:$B$987,"&lt;="&amp;$B38)</f>
        <v>382.69000000000005</v>
      </c>
      <c r="P38" s="24">
        <f>SUMIFS('Saldos Iniciales'!$D:$D,'Saldos Iniciales'!$A:$A,"Arbor Capital Properties")+SUMIFS(Movimientos!$K$1:$K$987,Movimientos!$C$1:$C$987,"Arbor Capital Properties",Movimientos!$B$1:$B$987,"&lt;="&amp;$B38)</f>
        <v>1428.08</v>
      </c>
      <c r="Q38" s="24">
        <f>SUMIFS('Saldos Iniciales'!$D:$D,'Saldos Iniciales'!$A:$A,"2515 Overbrook")+SUMIFS(Movimientos!$K$1:$K$987,Movimientos!$C$1:$C$987,"2515 Overbrook",Movimientos!$B$1:$B$987,"&lt;="&amp;$B38)</f>
        <v>25789.969999999961</v>
      </c>
      <c r="R38" s="24">
        <f>SUMIFS('Saldos Iniciales'!$D:$D,'Saldos Iniciales'!$A:$A,"112 Florida Ave")+SUMIFS(Movimientos!$K$1:$K$987,Movimientos!$C$1:$C$987,"112 Florida Ave",Movimientos!$B$1:$B$987,"&lt;="&amp;$B38)</f>
        <v>5321.4300000000021</v>
      </c>
      <c r="S38" s="24">
        <f>SUMIFS('Saldos Iniciales'!$D:$D,'Saldos Iniciales'!$A:$A,"3628 Thomas Ave")+SUMIFS(Movimientos!$K$1:$K$987,Movimientos!$C$1:$C$987,"3628 Thomas Ave",Movimientos!$B$1:$B$987,"&lt;="&amp;$B38)</f>
        <v>24833.23</v>
      </c>
      <c r="T38" s="24">
        <f>SUMIFS('Saldos Iniciales'!$D:$D,'Saldos Iniciales'!$A:$A,"Green Harbor Trust")+SUMIFS(Movimientos!$K$1:$K$987,Movimientos!$C$1:$C$987,"Green Harbor Trust",Movimientos!$B$1:$B$987,"&lt;="&amp;$B38)</f>
        <v>345</v>
      </c>
      <c r="U38" s="24">
        <f>SUMIFS('Saldos Iniciales'!$D:$D,'Saldos Iniciales'!$A:$A,"Go Blue")+SUMIFS(Movimientos!$K$1:$K$987,Movimientos!$C$1:$C$987,"Go Blue",Movimientos!$B$1:$B$987,"&lt;="&amp;$B38)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Group")+SUMIFS(Movimientos!$K$1:$K$987,Movimientos!$C$1:$C$987,"CFT Group",Movimientos!$B$1:$B$987,"&lt;="&amp;$B39)</f>
        <v>814727.47000000009</v>
      </c>
      <c r="D39" s="24">
        <f>SUMIFS('Saldos Iniciales'!$D:$D,'Saldos Iniciales'!$A:$A,"M1B")+SUMIFS(Movimientos!$K$1:$K$987,Movimientos!$C$1:$C$987,"M1B",Movimientos!$B$1:$B$987,"&lt;="&amp;$B39)</f>
        <v>69376.390000000174</v>
      </c>
      <c r="E39" s="24">
        <f>SUMIFS('Saldos Iniciales'!$D:$D,'Saldos Iniciales'!$A:$A,"Durand")+SUMIFS(Movimientos!$K$1:$K$987,Movimientos!$C$1:$C$987,"Durand",Movimientos!$B$1:$B$987,"&lt;="&amp;$B39)</f>
        <v>1669.89</v>
      </c>
      <c r="F39" s="24">
        <f>SUMIFS('Saldos Iniciales'!$D:$D,'Saldos Iniciales'!$A:$A,"A&amp;M Imports")+SUMIFS(Movimientos!$K$1:$K$987,Movimientos!$C$1:$C$987,"A&amp;M Imports",Movimientos!$B$1:$B$987,"&lt;="&amp;$B39)</f>
        <v>560584.99999999988</v>
      </c>
      <c r="G39" s="24">
        <f>SUMIFS('Saldos Iniciales'!$D:$D,'Saldos Iniciales'!$A:$A,"SSP Capital")+SUMIFS(Movimientos!$K$1:$K$987,Movimientos!$C$1:$C$987,"SSP Capital",Movimientos!$B$1:$B$987,"&lt;="&amp;$B39)</f>
        <v>1178270.4399999992</v>
      </c>
      <c r="H39" s="24">
        <f>SUMIFS('Saldos Iniciales'!$D:$D,'Saldos Iniciales'!$A:$A,"Cross Family Trust")+SUMIFS(Movimientos!$K$1:$K$987,Movimientos!$C$1:$C$987,"Cross Family Trust",Movimientos!$B$1:$B$987,"&lt;="&amp;$B39)</f>
        <v>116496.38</v>
      </c>
      <c r="I39" s="24">
        <f>SUMIFS('Saldos Iniciales'!$D:$D,'Saldos Iniciales'!$A:$A,"Cross Security Trust")+SUMIFS(Movimientos!$K$1:$K$987,Movimientos!$C$1:$C$987,"Cross Security Trust",Movimientos!$B$1:$B$987,"&lt;="&amp;$B39)</f>
        <v>88090.37</v>
      </c>
      <c r="J39" s="24">
        <f>SUMIFS('Saldos Iniciales'!$D:$D,'Saldos Iniciales'!$A:$A,"Electrama")+SUMIFS(Movimientos!$K$1:$K$987,Movimientos!$C$1:$C$987,"Electrama",Movimientos!$B$1:$B$987,"&lt;="&amp;$B39)</f>
        <v>511.15999999999985</v>
      </c>
      <c r="K39" s="24">
        <f>SUMIFS('Saldos Iniciales'!$D:$D,'Saldos Iniciales'!$A:$A,"Sacred Valley Capital")+SUMIFS(Movimientos!$K$1:$K$987,Movimientos!$C$1:$C$987,"Sacred Valley Capital",Movimientos!$B$1:$B$987,"&lt;="&amp;$B39)</f>
        <v>84.35</v>
      </c>
      <c r="L39" s="24">
        <f>SUMIFS('Saldos Iniciales'!$D:$D,'Saldos Iniciales'!$A:$A,"YWC Capital")+SUMIFS(Movimientos!$K$1:$K$987,Movimientos!$C$1:$C$987,"YWC Capital",Movimientos!$B$1:$B$987,"&lt;="&amp;$B39)</f>
        <v>2237.77</v>
      </c>
      <c r="M39" s="24">
        <f>SUMIFS('Saldos Iniciales'!$D:$D,'Saldos Iniciales'!$A:$A,"Soweto")+SUMIFS(Movimientos!$K$1:$K$987,Movimientos!$C$1:$C$987,"Soweto",Movimientos!$B$1:$B$987,"&lt;="&amp;$B39)</f>
        <v>3349.94</v>
      </c>
      <c r="N39" s="24">
        <f>SUMIFS('Saldos Iniciales'!$D:$D,'Saldos Iniciales'!$A:$A,"Green Stone Trust")+SUMIFS(Movimientos!$K$1:$K$987,Movimientos!$C$1:$C$987,"Green Stone Trust",Movimientos!$B$1:$B$987,"&lt;="&amp;$B39)</f>
        <v>1968.99</v>
      </c>
      <c r="O39" s="24">
        <f>SUMIFS('Saldos Iniciales'!$D:$D,'Saldos Iniciales'!$A:$A,"EC Auto")+SUMIFS(Movimientos!$K$1:$K$987,Movimientos!$C$1:$C$987,"EC Auto",Movimientos!$B$1:$B$987,"&lt;="&amp;$B39)</f>
        <v>382.69000000000005</v>
      </c>
      <c r="P39" s="24">
        <f>SUMIFS('Saldos Iniciales'!$D:$D,'Saldos Iniciales'!$A:$A,"Arbor Capital Properties")+SUMIFS(Movimientos!$K$1:$K$987,Movimientos!$C$1:$C$987,"Arbor Capital Properties",Movimientos!$B$1:$B$987,"&lt;="&amp;$B39)</f>
        <v>1428.08</v>
      </c>
      <c r="Q39" s="24">
        <f>SUMIFS('Saldos Iniciales'!$D:$D,'Saldos Iniciales'!$A:$A,"2515 Overbrook")+SUMIFS(Movimientos!$K$1:$K$987,Movimientos!$C$1:$C$987,"2515 Overbrook",Movimientos!$B$1:$B$987,"&lt;="&amp;$B39)</f>
        <v>25789.969999999961</v>
      </c>
      <c r="R39" s="24">
        <f>SUMIFS('Saldos Iniciales'!$D:$D,'Saldos Iniciales'!$A:$A,"112 Florida Ave")+SUMIFS(Movimientos!$K$1:$K$987,Movimientos!$C$1:$C$987,"112 Florida Ave",Movimientos!$B$1:$B$987,"&lt;="&amp;$B39)</f>
        <v>5321.4300000000021</v>
      </c>
      <c r="S39" s="24">
        <f>SUMIFS('Saldos Iniciales'!$D:$D,'Saldos Iniciales'!$A:$A,"3628 Thomas Ave")+SUMIFS(Movimientos!$K$1:$K$987,Movimientos!$C$1:$C$987,"3628 Thomas Ave",Movimientos!$B$1:$B$987,"&lt;="&amp;$B39)</f>
        <v>24833.23</v>
      </c>
      <c r="T39" s="24">
        <f>SUMIFS('Saldos Iniciales'!$D:$D,'Saldos Iniciales'!$A:$A,"Green Harbor Trust")+SUMIFS(Movimientos!$K$1:$K$987,Movimientos!$C$1:$C$987,"Green Harbor Trust",Movimientos!$B$1:$B$987,"&lt;="&amp;$B39)</f>
        <v>345</v>
      </c>
      <c r="U39" s="24">
        <f>SUMIFS('Saldos Iniciales'!$D:$D,'Saldos Iniciales'!$A:$A,"Go Blue")+SUMIFS(Movimientos!$K$1:$K$987,Movimientos!$C$1:$C$987,"Go Blue",Movimientos!$B$1:$B$987,"&lt;="&amp;$B39)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Group")+SUMIFS(Movimientos!$K$1:$K$987,Movimientos!$C$1:$C$987,"CFT Group",Movimientos!$B$1:$B$987,"&lt;="&amp;$B40)</f>
        <v>814727.47000000009</v>
      </c>
      <c r="D40" s="24">
        <f>SUMIFS('Saldos Iniciales'!$D:$D,'Saldos Iniciales'!$A:$A,"M1B")+SUMIFS(Movimientos!$K$1:$K$987,Movimientos!$C$1:$C$987,"M1B",Movimientos!$B$1:$B$987,"&lt;="&amp;$B40)</f>
        <v>69376.390000000174</v>
      </c>
      <c r="E40" s="24">
        <f>SUMIFS('Saldos Iniciales'!$D:$D,'Saldos Iniciales'!$A:$A,"Durand")+SUMIFS(Movimientos!$K$1:$K$987,Movimientos!$C$1:$C$987,"Durand",Movimientos!$B$1:$B$987,"&lt;="&amp;$B40)</f>
        <v>1669.89</v>
      </c>
      <c r="F40" s="24">
        <f>SUMIFS('Saldos Iniciales'!$D:$D,'Saldos Iniciales'!$A:$A,"A&amp;M Imports")+SUMIFS(Movimientos!$K$1:$K$987,Movimientos!$C$1:$C$987,"A&amp;M Imports",Movimientos!$B$1:$B$987,"&lt;="&amp;$B40)</f>
        <v>560584.99999999988</v>
      </c>
      <c r="G40" s="24">
        <f>SUMIFS('Saldos Iniciales'!$D:$D,'Saldos Iniciales'!$A:$A,"SSP Capital")+SUMIFS(Movimientos!$K$1:$K$987,Movimientos!$C$1:$C$987,"SSP Capital",Movimientos!$B$1:$B$987,"&lt;="&amp;$B40)</f>
        <v>1178270.4399999992</v>
      </c>
      <c r="H40" s="24">
        <f>SUMIFS('Saldos Iniciales'!$D:$D,'Saldos Iniciales'!$A:$A,"Cross Family Trust")+SUMIFS(Movimientos!$K$1:$K$987,Movimientos!$C$1:$C$987,"Cross Family Trust",Movimientos!$B$1:$B$987,"&lt;="&amp;$B40)</f>
        <v>116496.38</v>
      </c>
      <c r="I40" s="24">
        <f>SUMIFS('Saldos Iniciales'!$D:$D,'Saldos Iniciales'!$A:$A,"Cross Security Trust")+SUMIFS(Movimientos!$K$1:$K$987,Movimientos!$C$1:$C$987,"Cross Security Trust",Movimientos!$B$1:$B$987,"&lt;="&amp;$B40)</f>
        <v>88090.37</v>
      </c>
      <c r="J40" s="24">
        <f>SUMIFS('Saldos Iniciales'!$D:$D,'Saldos Iniciales'!$A:$A,"Electrama")+SUMIFS(Movimientos!$K$1:$K$987,Movimientos!$C$1:$C$987,"Electrama",Movimientos!$B$1:$B$987,"&lt;="&amp;$B40)</f>
        <v>511.15999999999985</v>
      </c>
      <c r="K40" s="24">
        <f>SUMIFS('Saldos Iniciales'!$D:$D,'Saldos Iniciales'!$A:$A,"Sacred Valley Capital")+SUMIFS(Movimientos!$K$1:$K$987,Movimientos!$C$1:$C$987,"Sacred Valley Capital",Movimientos!$B$1:$B$987,"&lt;="&amp;$B40)</f>
        <v>84.35</v>
      </c>
      <c r="L40" s="24">
        <f>SUMIFS('Saldos Iniciales'!$D:$D,'Saldos Iniciales'!$A:$A,"YWC Capital")+SUMIFS(Movimientos!$K$1:$K$987,Movimientos!$C$1:$C$987,"YWC Capital",Movimientos!$B$1:$B$987,"&lt;="&amp;$B40)</f>
        <v>2237.77</v>
      </c>
      <c r="M40" s="24">
        <f>SUMIFS('Saldos Iniciales'!$D:$D,'Saldos Iniciales'!$A:$A,"Soweto")+SUMIFS(Movimientos!$K$1:$K$987,Movimientos!$C$1:$C$987,"Soweto",Movimientos!$B$1:$B$987,"&lt;="&amp;$B40)</f>
        <v>3349.94</v>
      </c>
      <c r="N40" s="24">
        <f>SUMIFS('Saldos Iniciales'!$D:$D,'Saldos Iniciales'!$A:$A,"Green Stone Trust")+SUMIFS(Movimientos!$K$1:$K$987,Movimientos!$C$1:$C$987,"Green Stone Trust",Movimientos!$B$1:$B$987,"&lt;="&amp;$B40)</f>
        <v>1968.99</v>
      </c>
      <c r="O40" s="24">
        <f>SUMIFS('Saldos Iniciales'!$D:$D,'Saldos Iniciales'!$A:$A,"EC Auto")+SUMIFS(Movimientos!$K$1:$K$987,Movimientos!$C$1:$C$987,"EC Auto",Movimientos!$B$1:$B$987,"&lt;="&amp;$B40)</f>
        <v>382.69000000000005</v>
      </c>
      <c r="P40" s="24">
        <f>SUMIFS('Saldos Iniciales'!$D:$D,'Saldos Iniciales'!$A:$A,"Arbor Capital Properties")+SUMIFS(Movimientos!$K$1:$K$987,Movimientos!$C$1:$C$987,"Arbor Capital Properties",Movimientos!$B$1:$B$987,"&lt;="&amp;$B40)</f>
        <v>1428.08</v>
      </c>
      <c r="Q40" s="24">
        <f>SUMIFS('Saldos Iniciales'!$D:$D,'Saldos Iniciales'!$A:$A,"2515 Overbrook")+SUMIFS(Movimientos!$K$1:$K$987,Movimientos!$C$1:$C$987,"2515 Overbrook",Movimientos!$B$1:$B$987,"&lt;="&amp;$B40)</f>
        <v>25789.969999999961</v>
      </c>
      <c r="R40" s="24">
        <f>SUMIFS('Saldos Iniciales'!$D:$D,'Saldos Iniciales'!$A:$A,"112 Florida Ave")+SUMIFS(Movimientos!$K$1:$K$987,Movimientos!$C$1:$C$987,"112 Florida Ave",Movimientos!$B$1:$B$987,"&lt;="&amp;$B40)</f>
        <v>5321.4300000000021</v>
      </c>
      <c r="S40" s="24">
        <f>SUMIFS('Saldos Iniciales'!$D:$D,'Saldos Iniciales'!$A:$A,"3628 Thomas Ave")+SUMIFS(Movimientos!$K$1:$K$987,Movimientos!$C$1:$C$987,"3628 Thomas Ave",Movimientos!$B$1:$B$987,"&lt;="&amp;$B40)</f>
        <v>24833.23</v>
      </c>
      <c r="T40" s="24">
        <f>SUMIFS('Saldos Iniciales'!$D:$D,'Saldos Iniciales'!$A:$A,"Green Harbor Trust")+SUMIFS(Movimientos!$K$1:$K$987,Movimientos!$C$1:$C$987,"Green Harbor Trust",Movimientos!$B$1:$B$987,"&lt;="&amp;$B40)</f>
        <v>345</v>
      </c>
      <c r="U40" s="24">
        <f>SUMIFS('Saldos Iniciales'!$D:$D,'Saldos Iniciales'!$A:$A,"Go Blue")+SUMIFS(Movimientos!$K$1:$K$987,Movimientos!$C$1:$C$987,"Go Blue",Movimientos!$B$1:$B$987,"&lt;="&amp;$B40)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Group")+SUMIFS(Movimientos!$K$1:$K$987,Movimientos!$C$1:$C$987,"CFT Group",Movimientos!$B$1:$B$987,"&lt;="&amp;$B41)</f>
        <v>928714.62000000011</v>
      </c>
      <c r="D41" s="24">
        <f>SUMIFS('Saldos Iniciales'!$D:$D,'Saldos Iniciales'!$A:$A,"M1B")+SUMIFS(Movimientos!$K$1:$K$987,Movimientos!$C$1:$C$987,"M1B",Movimientos!$B$1:$B$987,"&lt;="&amp;$B41)</f>
        <v>69376.390000000174</v>
      </c>
      <c r="E41" s="24">
        <f>SUMIFS('Saldos Iniciales'!$D:$D,'Saldos Iniciales'!$A:$A,"Durand")+SUMIFS(Movimientos!$K$1:$K$987,Movimientos!$C$1:$C$987,"Durand",Movimientos!$B$1:$B$987,"&lt;="&amp;$B41)</f>
        <v>1669.89</v>
      </c>
      <c r="F41" s="24">
        <f>SUMIFS('Saldos Iniciales'!$D:$D,'Saldos Iniciales'!$A:$A,"A&amp;M Imports")+SUMIFS(Movimientos!$K$1:$K$987,Movimientos!$C$1:$C$987,"A&amp;M Imports",Movimientos!$B$1:$B$987,"&lt;="&amp;$B41)</f>
        <v>560584.99999999988</v>
      </c>
      <c r="G41" s="24">
        <f>SUMIFS('Saldos Iniciales'!$D:$D,'Saldos Iniciales'!$A:$A,"SSP Capital")+SUMIFS(Movimientos!$K$1:$K$987,Movimientos!$C$1:$C$987,"SSP Capital",Movimientos!$B$1:$B$987,"&lt;="&amp;$B41)</f>
        <v>1174516.1699999992</v>
      </c>
      <c r="H41" s="24">
        <f>SUMIFS('Saldos Iniciales'!$D:$D,'Saldos Iniciales'!$A:$A,"Cross Family Trust")+SUMIFS(Movimientos!$K$1:$K$987,Movimientos!$C$1:$C$987,"Cross Family Trust",Movimientos!$B$1:$B$987,"&lt;="&amp;$B41)</f>
        <v>116496.38</v>
      </c>
      <c r="I41" s="24">
        <f>SUMIFS('Saldos Iniciales'!$D:$D,'Saldos Iniciales'!$A:$A,"Cross Security Trust")+SUMIFS(Movimientos!$K$1:$K$987,Movimientos!$C$1:$C$987,"Cross Security Trust",Movimientos!$B$1:$B$987,"&lt;="&amp;$B41)</f>
        <v>88090.37</v>
      </c>
      <c r="J41" s="24">
        <f>SUMIFS('Saldos Iniciales'!$D:$D,'Saldos Iniciales'!$A:$A,"Electrama")+SUMIFS(Movimientos!$K$1:$K$987,Movimientos!$C$1:$C$987,"Electrama",Movimientos!$B$1:$B$987,"&lt;="&amp;$B41)</f>
        <v>511.15999999999985</v>
      </c>
      <c r="K41" s="24">
        <f>SUMIFS('Saldos Iniciales'!$D:$D,'Saldos Iniciales'!$A:$A,"Sacred Valley Capital")+SUMIFS(Movimientos!$K$1:$K$987,Movimientos!$C$1:$C$987,"Sacred Valley Capital",Movimientos!$B$1:$B$987,"&lt;="&amp;$B41)</f>
        <v>84.35</v>
      </c>
      <c r="L41" s="24">
        <f>SUMIFS('Saldos Iniciales'!$D:$D,'Saldos Iniciales'!$A:$A,"YWC Capital")+SUMIFS(Movimientos!$K$1:$K$987,Movimientos!$C$1:$C$987,"YWC Capital",Movimientos!$B$1:$B$987,"&lt;="&amp;$B41)</f>
        <v>2237.77</v>
      </c>
      <c r="M41" s="24">
        <f>SUMIFS('Saldos Iniciales'!$D:$D,'Saldos Iniciales'!$A:$A,"Soweto")+SUMIFS(Movimientos!$K$1:$K$987,Movimientos!$C$1:$C$987,"Soweto",Movimientos!$B$1:$B$987,"&lt;="&amp;$B41)</f>
        <v>3349.94</v>
      </c>
      <c r="N41" s="24">
        <f>SUMIFS('Saldos Iniciales'!$D:$D,'Saldos Iniciales'!$A:$A,"Green Stone Trust")+SUMIFS(Movimientos!$K$1:$K$987,Movimientos!$C$1:$C$987,"Green Stone Trust",Movimientos!$B$1:$B$987,"&lt;="&amp;$B41)</f>
        <v>1968.99</v>
      </c>
      <c r="O41" s="24">
        <f>SUMIFS('Saldos Iniciales'!$D:$D,'Saldos Iniciales'!$A:$A,"EC Auto")+SUMIFS(Movimientos!$K$1:$K$987,Movimientos!$C$1:$C$987,"EC Auto",Movimientos!$B$1:$B$987,"&lt;="&amp;$B41)</f>
        <v>382.69000000000005</v>
      </c>
      <c r="P41" s="24">
        <f>SUMIFS('Saldos Iniciales'!$D:$D,'Saldos Iniciales'!$A:$A,"Arbor Capital Properties")+SUMIFS(Movimientos!$K$1:$K$987,Movimientos!$C$1:$C$987,"Arbor Capital Properties",Movimientos!$B$1:$B$987,"&lt;="&amp;$B41)</f>
        <v>1428.08</v>
      </c>
      <c r="Q41" s="24">
        <f>SUMIFS('Saldos Iniciales'!$D:$D,'Saldos Iniciales'!$A:$A,"2515 Overbrook")+SUMIFS(Movimientos!$K$1:$K$987,Movimientos!$C$1:$C$987,"2515 Overbrook",Movimientos!$B$1:$B$987,"&lt;="&amp;$B41)</f>
        <v>25789.969999999961</v>
      </c>
      <c r="R41" s="24">
        <f>SUMIFS('Saldos Iniciales'!$D:$D,'Saldos Iniciales'!$A:$A,"112 Florida Ave")+SUMIFS(Movimientos!$K$1:$K$987,Movimientos!$C$1:$C$987,"112 Florida Ave",Movimientos!$B$1:$B$987,"&lt;="&amp;$B41)</f>
        <v>5321.4300000000021</v>
      </c>
      <c r="S41" s="24">
        <f>SUMIFS('Saldos Iniciales'!$D:$D,'Saldos Iniciales'!$A:$A,"3628 Thomas Ave")+SUMIFS(Movimientos!$K$1:$K$987,Movimientos!$C$1:$C$987,"3628 Thomas Ave",Movimientos!$B$1:$B$987,"&lt;="&amp;$B41)</f>
        <v>24833.23</v>
      </c>
      <c r="T41" s="24">
        <f>SUMIFS('Saldos Iniciales'!$D:$D,'Saldos Iniciales'!$A:$A,"Green Harbor Trust")+SUMIFS(Movimientos!$K$1:$K$987,Movimientos!$C$1:$C$987,"Green Harbor Trust",Movimientos!$B$1:$B$987,"&lt;="&amp;$B41)</f>
        <v>345</v>
      </c>
      <c r="U41" s="24">
        <f>SUMIFS('Saldos Iniciales'!$D:$D,'Saldos Iniciales'!$A:$A,"Go Blue")+SUMIFS(Movimientos!$K$1:$K$987,Movimientos!$C$1:$C$987,"Go Blue",Movimientos!$B$1:$B$987,"&lt;="&amp;$B41)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Group")+SUMIFS(Movimientos!$K$1:$K$987,Movimientos!$C$1:$C$987,"CFT Group",Movimientos!$B$1:$B$987,"&lt;="&amp;$B42)</f>
        <v>2370079.2799999998</v>
      </c>
      <c r="D42" s="24">
        <f>SUMIFS('Saldos Iniciales'!$D:$D,'Saldos Iniciales'!$A:$A,"M1B")+SUMIFS(Movimientos!$K$1:$K$987,Movimientos!$C$1:$C$987,"M1B",Movimientos!$B$1:$B$987,"&lt;="&amp;$B42)</f>
        <v>69376.390000000174</v>
      </c>
      <c r="E42" s="24">
        <f>SUMIFS('Saldos Iniciales'!$D:$D,'Saldos Iniciales'!$A:$A,"Durand")+SUMIFS(Movimientos!$K$1:$K$987,Movimientos!$C$1:$C$987,"Durand",Movimientos!$B$1:$B$987,"&lt;="&amp;$B42)</f>
        <v>1669.89</v>
      </c>
      <c r="F42" s="24">
        <f>SUMIFS('Saldos Iniciales'!$D:$D,'Saldos Iniciales'!$A:$A,"A&amp;M Imports")+SUMIFS(Movimientos!$K$1:$K$987,Movimientos!$C$1:$C$987,"A&amp;M Imports",Movimientos!$B$1:$B$987,"&lt;="&amp;$B42)</f>
        <v>575346.56999999983</v>
      </c>
      <c r="G42" s="24">
        <f>SUMIFS('Saldos Iniciales'!$D:$D,'Saldos Iniciales'!$A:$A,"SSP Capital")+SUMIFS(Movimientos!$K$1:$K$987,Movimientos!$C$1:$C$987,"SSP Capital",Movimientos!$B$1:$B$987,"&lt;="&amp;$B42)</f>
        <v>1174516.1699999992</v>
      </c>
      <c r="H42" s="24">
        <f>SUMIFS('Saldos Iniciales'!$D:$D,'Saldos Iniciales'!$A:$A,"Cross Family Trust")+SUMIFS(Movimientos!$K$1:$K$987,Movimientos!$C$1:$C$987,"Cross Family Trust",Movimientos!$B$1:$B$987,"&lt;="&amp;$B42)</f>
        <v>116496.38</v>
      </c>
      <c r="I42" s="24">
        <f>SUMIFS('Saldos Iniciales'!$D:$D,'Saldos Iniciales'!$A:$A,"Cross Security Trust")+SUMIFS(Movimientos!$K$1:$K$987,Movimientos!$C$1:$C$987,"Cross Security Trust",Movimientos!$B$1:$B$987,"&lt;="&amp;$B42)</f>
        <v>88090.37</v>
      </c>
      <c r="J42" s="24">
        <f>SUMIFS('Saldos Iniciales'!$D:$D,'Saldos Iniciales'!$A:$A,"Electrama")+SUMIFS(Movimientos!$K$1:$K$987,Movimientos!$C$1:$C$987,"Electrama",Movimientos!$B$1:$B$987,"&lt;="&amp;$B42)</f>
        <v>511.15999999999985</v>
      </c>
      <c r="K42" s="24">
        <f>SUMIFS('Saldos Iniciales'!$D:$D,'Saldos Iniciales'!$A:$A,"Sacred Valley Capital")+SUMIFS(Movimientos!$K$1:$K$987,Movimientos!$C$1:$C$987,"Sacred Valley Capital",Movimientos!$B$1:$B$987,"&lt;="&amp;$B42)</f>
        <v>84.35</v>
      </c>
      <c r="L42" s="24">
        <f>SUMIFS('Saldos Iniciales'!$D:$D,'Saldos Iniciales'!$A:$A,"YWC Capital")+SUMIFS(Movimientos!$K$1:$K$987,Movimientos!$C$1:$C$987,"YWC Capital",Movimientos!$B$1:$B$987,"&lt;="&amp;$B42)</f>
        <v>2237.77</v>
      </c>
      <c r="M42" s="24">
        <f>SUMIFS('Saldos Iniciales'!$D:$D,'Saldos Iniciales'!$A:$A,"Soweto")+SUMIFS(Movimientos!$K$1:$K$987,Movimientos!$C$1:$C$987,"Soweto",Movimientos!$B$1:$B$987,"&lt;="&amp;$B42)</f>
        <v>3349.94</v>
      </c>
      <c r="N42" s="24">
        <f>SUMIFS('Saldos Iniciales'!$D:$D,'Saldos Iniciales'!$A:$A,"Green Stone Trust")+SUMIFS(Movimientos!$K$1:$K$987,Movimientos!$C$1:$C$987,"Green Stone Trust",Movimientos!$B$1:$B$987,"&lt;="&amp;$B42)</f>
        <v>1968.99</v>
      </c>
      <c r="O42" s="24">
        <f>SUMIFS('Saldos Iniciales'!$D:$D,'Saldos Iniciales'!$A:$A,"EC Auto")+SUMIFS(Movimientos!$K$1:$K$987,Movimientos!$C$1:$C$987,"EC Auto",Movimientos!$B$1:$B$987,"&lt;="&amp;$B42)</f>
        <v>382.69000000000005</v>
      </c>
      <c r="P42" s="24">
        <f>SUMIFS('Saldos Iniciales'!$D:$D,'Saldos Iniciales'!$A:$A,"Arbor Capital Properties")+SUMIFS(Movimientos!$K$1:$K$987,Movimientos!$C$1:$C$987,"Arbor Capital Properties",Movimientos!$B$1:$B$987,"&lt;="&amp;$B42)</f>
        <v>1428.08</v>
      </c>
      <c r="Q42" s="24">
        <f>SUMIFS('Saldos Iniciales'!$D:$D,'Saldos Iniciales'!$A:$A,"2515 Overbrook")+SUMIFS(Movimientos!$K$1:$K$987,Movimientos!$C$1:$C$987,"2515 Overbrook",Movimientos!$B$1:$B$987,"&lt;="&amp;$B42)</f>
        <v>25789.969999999961</v>
      </c>
      <c r="R42" s="24">
        <f>SUMIFS('Saldos Iniciales'!$D:$D,'Saldos Iniciales'!$A:$A,"112 Florida Ave")+SUMIFS(Movimientos!$K$1:$K$987,Movimientos!$C$1:$C$987,"112 Florida Ave",Movimientos!$B$1:$B$987,"&lt;="&amp;$B42)</f>
        <v>5321.4300000000021</v>
      </c>
      <c r="S42" s="24">
        <f>SUMIFS('Saldos Iniciales'!$D:$D,'Saldos Iniciales'!$A:$A,"3628 Thomas Ave")+SUMIFS(Movimientos!$K$1:$K$987,Movimientos!$C$1:$C$987,"3628 Thomas Ave",Movimientos!$B$1:$B$987,"&lt;="&amp;$B42)</f>
        <v>24743.98</v>
      </c>
      <c r="T42" s="24">
        <f>SUMIFS('Saldos Iniciales'!$D:$D,'Saldos Iniciales'!$A:$A,"Green Harbor Trust")+SUMIFS(Movimientos!$K$1:$K$987,Movimientos!$C$1:$C$987,"Green Harbor Trust",Movimientos!$B$1:$B$987,"&lt;="&amp;$B42)</f>
        <v>345</v>
      </c>
      <c r="U42" s="24">
        <f>SUMIFS('Saldos Iniciales'!$D:$D,'Saldos Iniciales'!$A:$A,"Go Blue")+SUMIFS(Movimientos!$K$1:$K$987,Movimientos!$C$1:$C$987,"Go Blue",Movimientos!$B$1:$B$987,"&lt;="&amp;$B42)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Group")+SUMIFS(Movimientos!$K$1:$K$987,Movimientos!$C$1:$C$987,"CFT Group",Movimientos!$B$1:$B$987,"&lt;="&amp;$B43)</f>
        <v>1919118.1700000002</v>
      </c>
      <c r="D43" s="24">
        <f>SUMIFS('Saldos Iniciales'!$D:$D,'Saldos Iniciales'!$A:$A,"M1B")+SUMIFS(Movimientos!$K$1:$K$987,Movimientos!$C$1:$C$987,"M1B",Movimientos!$B$1:$B$987,"&lt;="&amp;$B43)</f>
        <v>69376.390000000174</v>
      </c>
      <c r="E43" s="24">
        <f>SUMIFS('Saldos Iniciales'!$D:$D,'Saldos Iniciales'!$A:$A,"Durand")+SUMIFS(Movimientos!$K$1:$K$987,Movimientos!$C$1:$C$987,"Durand",Movimientos!$B$1:$B$987,"&lt;="&amp;$B43)</f>
        <v>1669.89</v>
      </c>
      <c r="F43" s="24">
        <f>SUMIFS('Saldos Iniciales'!$D:$D,'Saldos Iniciales'!$A:$A,"A&amp;M Imports")+SUMIFS(Movimientos!$K$1:$K$987,Movimientos!$C$1:$C$987,"A&amp;M Imports",Movimientos!$B$1:$B$987,"&lt;="&amp;$B43)</f>
        <v>395665.96999999986</v>
      </c>
      <c r="G43" s="24">
        <f>SUMIFS('Saldos Iniciales'!$D:$D,'Saldos Iniciales'!$A:$A,"SSP Capital")+SUMIFS(Movimientos!$K$1:$K$987,Movimientos!$C$1:$C$987,"SSP Capital",Movimientos!$B$1:$B$987,"&lt;="&amp;$B43)</f>
        <v>808973.94999999925</v>
      </c>
      <c r="H43" s="24">
        <f>SUMIFS('Saldos Iniciales'!$D:$D,'Saldos Iniciales'!$A:$A,"Cross Family Trust")+SUMIFS(Movimientos!$K$1:$K$987,Movimientos!$C$1:$C$987,"Cross Family Trust",Movimientos!$B$1:$B$987,"&lt;="&amp;$B43)</f>
        <v>116496.38</v>
      </c>
      <c r="I43" s="24">
        <f>SUMIFS('Saldos Iniciales'!$D:$D,'Saldos Iniciales'!$A:$A,"Cross Security Trust")+SUMIFS(Movimientos!$K$1:$K$987,Movimientos!$C$1:$C$987,"Cross Security Trust",Movimientos!$B$1:$B$987,"&lt;="&amp;$B43)</f>
        <v>88090.37</v>
      </c>
      <c r="J43" s="24">
        <f>SUMIFS('Saldos Iniciales'!$D:$D,'Saldos Iniciales'!$A:$A,"Electrama")+SUMIFS(Movimientos!$K$1:$K$987,Movimientos!$C$1:$C$987,"Electrama",Movimientos!$B$1:$B$987,"&lt;="&amp;$B43)</f>
        <v>511.15999999999985</v>
      </c>
      <c r="K43" s="24">
        <f>SUMIFS('Saldos Iniciales'!$D:$D,'Saldos Iniciales'!$A:$A,"Sacred Valley Capital")+SUMIFS(Movimientos!$K$1:$K$987,Movimientos!$C$1:$C$987,"Sacred Valley Capital",Movimientos!$B$1:$B$987,"&lt;="&amp;$B43)</f>
        <v>84.35</v>
      </c>
      <c r="L43" s="24">
        <f>SUMIFS('Saldos Iniciales'!$D:$D,'Saldos Iniciales'!$A:$A,"YWC Capital")+SUMIFS(Movimientos!$K$1:$K$987,Movimientos!$C$1:$C$987,"YWC Capital",Movimientos!$B$1:$B$987,"&lt;="&amp;$B43)</f>
        <v>2237.77</v>
      </c>
      <c r="M43" s="24">
        <f>SUMIFS('Saldos Iniciales'!$D:$D,'Saldos Iniciales'!$A:$A,"Soweto")+SUMIFS(Movimientos!$K$1:$K$987,Movimientos!$C$1:$C$987,"Soweto",Movimientos!$B$1:$B$987,"&lt;="&amp;$B43)</f>
        <v>3349.94</v>
      </c>
      <c r="N43" s="24">
        <f>SUMIFS('Saldos Iniciales'!$D:$D,'Saldos Iniciales'!$A:$A,"Green Stone Trust")+SUMIFS(Movimientos!$K$1:$K$987,Movimientos!$C$1:$C$987,"Green Stone Trust",Movimientos!$B$1:$B$987,"&lt;="&amp;$B43)</f>
        <v>1968.99</v>
      </c>
      <c r="O43" s="24">
        <f>SUMIFS('Saldos Iniciales'!$D:$D,'Saldos Iniciales'!$A:$A,"EC Auto")+SUMIFS(Movimientos!$K$1:$K$987,Movimientos!$C$1:$C$987,"EC Auto",Movimientos!$B$1:$B$987,"&lt;="&amp;$B43)</f>
        <v>382.69000000000005</v>
      </c>
      <c r="P43" s="24">
        <f>SUMIFS('Saldos Iniciales'!$D:$D,'Saldos Iniciales'!$A:$A,"Arbor Capital Properties")+SUMIFS(Movimientos!$K$1:$K$987,Movimientos!$C$1:$C$987,"Arbor Capital Properties",Movimientos!$B$1:$B$987,"&lt;="&amp;$B43)</f>
        <v>1428.08</v>
      </c>
      <c r="Q43" s="24">
        <f>SUMIFS('Saldos Iniciales'!$D:$D,'Saldos Iniciales'!$A:$A,"2515 Overbrook")+SUMIFS(Movimientos!$K$1:$K$987,Movimientos!$C$1:$C$987,"2515 Overbrook",Movimientos!$B$1:$B$987,"&lt;="&amp;$B43)</f>
        <v>25789.969999999961</v>
      </c>
      <c r="R43" s="24">
        <f>SUMIFS('Saldos Iniciales'!$D:$D,'Saldos Iniciales'!$A:$A,"112 Florida Ave")+SUMIFS(Movimientos!$K$1:$K$987,Movimientos!$C$1:$C$987,"112 Florida Ave",Movimientos!$B$1:$B$987,"&lt;="&amp;$B43)</f>
        <v>5321.4300000000021</v>
      </c>
      <c r="S43" s="24">
        <f>SUMIFS('Saldos Iniciales'!$D:$D,'Saldos Iniciales'!$A:$A,"3628 Thomas Ave")+SUMIFS(Movimientos!$K$1:$K$987,Movimientos!$C$1:$C$987,"3628 Thomas Ave",Movimientos!$B$1:$B$987,"&lt;="&amp;$B43)</f>
        <v>24743.98</v>
      </c>
      <c r="T43" s="24">
        <f>SUMIFS('Saldos Iniciales'!$D:$D,'Saldos Iniciales'!$A:$A,"Green Harbor Trust")+SUMIFS(Movimientos!$K$1:$K$987,Movimientos!$C$1:$C$987,"Green Harbor Trust",Movimientos!$B$1:$B$987,"&lt;="&amp;$B43)</f>
        <v>345</v>
      </c>
      <c r="U43" s="24">
        <f>SUMIFS('Saldos Iniciales'!$D:$D,'Saldos Iniciales'!$A:$A,"Go Blue")+SUMIFS(Movimientos!$K$1:$K$987,Movimientos!$C$1:$C$987,"Go Blue",Movimientos!$B$1:$B$987,"&lt;="&amp;$B43)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Group")+SUMIFS(Movimientos!$K$1:$K$987,Movimientos!$C$1:$C$987,"CFT Group",Movimientos!$B$1:$B$987,"&lt;="&amp;$B44)</f>
        <v>1919118.1700000002</v>
      </c>
      <c r="D44" s="24">
        <f>SUMIFS('Saldos Iniciales'!$D:$D,'Saldos Iniciales'!$A:$A,"M1B")+SUMIFS(Movimientos!$K$1:$K$987,Movimientos!$C$1:$C$987,"M1B",Movimientos!$B$1:$B$987,"&lt;="&amp;$B44)</f>
        <v>69376.390000000174</v>
      </c>
      <c r="E44" s="24">
        <f>SUMIFS('Saldos Iniciales'!$D:$D,'Saldos Iniciales'!$A:$A,"Durand")+SUMIFS(Movimientos!$K$1:$K$987,Movimientos!$C$1:$C$987,"Durand",Movimientos!$B$1:$B$987,"&lt;="&amp;$B44)</f>
        <v>1669.89</v>
      </c>
      <c r="F44" s="24">
        <f>SUMIFS('Saldos Iniciales'!$D:$D,'Saldos Iniciales'!$A:$A,"A&amp;M Imports")+SUMIFS(Movimientos!$K$1:$K$987,Movimientos!$C$1:$C$987,"A&amp;M Imports",Movimientos!$B$1:$B$987,"&lt;="&amp;$B44)</f>
        <v>395665.96999999986</v>
      </c>
      <c r="G44" s="24">
        <f>SUMIFS('Saldos Iniciales'!$D:$D,'Saldos Iniciales'!$A:$A,"SSP Capital")+SUMIFS(Movimientos!$K$1:$K$987,Movimientos!$C$1:$C$987,"SSP Capital",Movimientos!$B$1:$B$987,"&lt;="&amp;$B44)</f>
        <v>3777590.9499999997</v>
      </c>
      <c r="H44" s="24">
        <f>SUMIFS('Saldos Iniciales'!$D:$D,'Saldos Iniciales'!$A:$A,"Cross Family Trust")+SUMIFS(Movimientos!$K$1:$K$987,Movimientos!$C$1:$C$987,"Cross Family Trust",Movimientos!$B$1:$B$987,"&lt;="&amp;$B44)</f>
        <v>116496.38</v>
      </c>
      <c r="I44" s="24">
        <f>SUMIFS('Saldos Iniciales'!$D:$D,'Saldos Iniciales'!$A:$A,"Cross Security Trust")+SUMIFS(Movimientos!$K$1:$K$987,Movimientos!$C$1:$C$987,"Cross Security Trust",Movimientos!$B$1:$B$987,"&lt;="&amp;$B44)</f>
        <v>88090.37</v>
      </c>
      <c r="J44" s="24">
        <f>SUMIFS('Saldos Iniciales'!$D:$D,'Saldos Iniciales'!$A:$A,"Electrama")+SUMIFS(Movimientos!$K$1:$K$987,Movimientos!$C$1:$C$987,"Electrama",Movimientos!$B$1:$B$987,"&lt;="&amp;$B44)</f>
        <v>511.15999999999985</v>
      </c>
      <c r="K44" s="24">
        <f>SUMIFS('Saldos Iniciales'!$D:$D,'Saldos Iniciales'!$A:$A,"Sacred Valley Capital")+SUMIFS(Movimientos!$K$1:$K$987,Movimientos!$C$1:$C$987,"Sacred Valley Capital",Movimientos!$B$1:$B$987,"&lt;="&amp;$B44)</f>
        <v>84.35</v>
      </c>
      <c r="L44" s="24">
        <f>SUMIFS('Saldos Iniciales'!$D:$D,'Saldos Iniciales'!$A:$A,"YWC Capital")+SUMIFS(Movimientos!$K$1:$K$987,Movimientos!$C$1:$C$987,"YWC Capital",Movimientos!$B$1:$B$987,"&lt;="&amp;$B44)</f>
        <v>2237.77</v>
      </c>
      <c r="M44" s="24">
        <f>SUMIFS('Saldos Iniciales'!$D:$D,'Saldos Iniciales'!$A:$A,"Soweto")+SUMIFS(Movimientos!$K$1:$K$987,Movimientos!$C$1:$C$987,"Soweto",Movimientos!$B$1:$B$987,"&lt;="&amp;$B44)</f>
        <v>3349.94</v>
      </c>
      <c r="N44" s="24">
        <f>SUMIFS('Saldos Iniciales'!$D:$D,'Saldos Iniciales'!$A:$A,"Green Stone Trust")+SUMIFS(Movimientos!$K$1:$K$987,Movimientos!$C$1:$C$987,"Green Stone Trust",Movimientos!$B$1:$B$987,"&lt;="&amp;$B44)</f>
        <v>1968.99</v>
      </c>
      <c r="O44" s="24">
        <f>SUMIFS('Saldos Iniciales'!$D:$D,'Saldos Iniciales'!$A:$A,"EC Auto")+SUMIFS(Movimientos!$K$1:$K$987,Movimientos!$C$1:$C$987,"EC Auto",Movimientos!$B$1:$B$987,"&lt;="&amp;$B44)</f>
        <v>382.69000000000005</v>
      </c>
      <c r="P44" s="24">
        <f>SUMIFS('Saldos Iniciales'!$D:$D,'Saldos Iniciales'!$A:$A,"Arbor Capital Properties")+SUMIFS(Movimientos!$K$1:$K$987,Movimientos!$C$1:$C$987,"Arbor Capital Properties",Movimientos!$B$1:$B$987,"&lt;="&amp;$B44)</f>
        <v>1428.08</v>
      </c>
      <c r="Q44" s="24">
        <f>SUMIFS('Saldos Iniciales'!$D:$D,'Saldos Iniciales'!$A:$A,"2515 Overbrook")+SUMIFS(Movimientos!$K$1:$K$987,Movimientos!$C$1:$C$987,"2515 Overbrook",Movimientos!$B$1:$B$987,"&lt;="&amp;$B44)</f>
        <v>27789.969999999961</v>
      </c>
      <c r="R44" s="24">
        <f>SUMIFS('Saldos Iniciales'!$D:$D,'Saldos Iniciales'!$A:$A,"112 Florida Ave")+SUMIFS(Movimientos!$K$1:$K$987,Movimientos!$C$1:$C$987,"112 Florida Ave",Movimientos!$B$1:$B$987,"&lt;="&amp;$B44)</f>
        <v>5321.4300000000021</v>
      </c>
      <c r="S44" s="24">
        <f>SUMIFS('Saldos Iniciales'!$D:$D,'Saldos Iniciales'!$A:$A,"3628 Thomas Ave")+SUMIFS(Movimientos!$K$1:$K$987,Movimientos!$C$1:$C$987,"3628 Thomas Ave",Movimientos!$B$1:$B$987,"&lt;="&amp;$B44)</f>
        <v>24484.85</v>
      </c>
      <c r="T44" s="24">
        <f>SUMIFS('Saldos Iniciales'!$D:$D,'Saldos Iniciales'!$A:$A,"Green Harbor Trust")+SUMIFS(Movimientos!$K$1:$K$987,Movimientos!$C$1:$C$987,"Green Harbor Trust",Movimientos!$B$1:$B$987,"&lt;="&amp;$B44)</f>
        <v>345</v>
      </c>
      <c r="U44" s="24">
        <f>SUMIFS('Saldos Iniciales'!$D:$D,'Saldos Iniciales'!$A:$A,"Go Blue")+SUMIFS(Movimientos!$K$1:$K$987,Movimientos!$C$1:$C$987,"Go Blue",Movimientos!$B$1:$B$987,"&lt;="&amp;$B44)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Group")+SUMIFS(Movimientos!$K$1:$K$987,Movimientos!$C$1:$C$987,"CFT Group",Movimientos!$B$1:$B$987,"&lt;="&amp;$B45)</f>
        <v>1919118.1700000002</v>
      </c>
      <c r="D45" s="24">
        <f>SUMIFS('Saldos Iniciales'!$D:$D,'Saldos Iniciales'!$A:$A,"M1B")+SUMIFS(Movimientos!$K$1:$K$987,Movimientos!$C$1:$C$987,"M1B",Movimientos!$B$1:$B$987,"&lt;="&amp;$B45)</f>
        <v>69376.390000000174</v>
      </c>
      <c r="E45" s="24">
        <f>SUMIFS('Saldos Iniciales'!$D:$D,'Saldos Iniciales'!$A:$A,"Durand")+SUMIFS(Movimientos!$K$1:$K$987,Movimientos!$C$1:$C$987,"Durand",Movimientos!$B$1:$B$987,"&lt;="&amp;$B45)</f>
        <v>1669.89</v>
      </c>
      <c r="F45" s="24">
        <f>SUMIFS('Saldos Iniciales'!$D:$D,'Saldos Iniciales'!$A:$A,"A&amp;M Imports")+SUMIFS(Movimientos!$K$1:$K$987,Movimientos!$C$1:$C$987,"A&amp;M Imports",Movimientos!$B$1:$B$987,"&lt;="&amp;$B45)</f>
        <v>395665.96999999986</v>
      </c>
      <c r="G45" s="24">
        <f>SUMIFS('Saldos Iniciales'!$D:$D,'Saldos Iniciales'!$A:$A,"SSP Capital")+SUMIFS(Movimientos!$K$1:$K$987,Movimientos!$C$1:$C$987,"SSP Capital",Movimientos!$B$1:$B$987,"&lt;="&amp;$B45)</f>
        <v>3777590.9499999997</v>
      </c>
      <c r="H45" s="24">
        <f>SUMIFS('Saldos Iniciales'!$D:$D,'Saldos Iniciales'!$A:$A,"Cross Family Trust")+SUMIFS(Movimientos!$K$1:$K$987,Movimientos!$C$1:$C$987,"Cross Family Trust",Movimientos!$B$1:$B$987,"&lt;="&amp;$B45)</f>
        <v>116496.38</v>
      </c>
      <c r="I45" s="24">
        <f>SUMIFS('Saldos Iniciales'!$D:$D,'Saldos Iniciales'!$A:$A,"Cross Security Trust")+SUMIFS(Movimientos!$K$1:$K$987,Movimientos!$C$1:$C$987,"Cross Security Trust",Movimientos!$B$1:$B$987,"&lt;="&amp;$B45)</f>
        <v>88090.37</v>
      </c>
      <c r="J45" s="24">
        <f>SUMIFS('Saldos Iniciales'!$D:$D,'Saldos Iniciales'!$A:$A,"Electrama")+SUMIFS(Movimientos!$K$1:$K$987,Movimientos!$C$1:$C$987,"Electrama",Movimientos!$B$1:$B$987,"&lt;="&amp;$B45)</f>
        <v>511.15999999999985</v>
      </c>
      <c r="K45" s="24">
        <f>SUMIFS('Saldos Iniciales'!$D:$D,'Saldos Iniciales'!$A:$A,"Sacred Valley Capital")+SUMIFS(Movimientos!$K$1:$K$987,Movimientos!$C$1:$C$987,"Sacred Valley Capital",Movimientos!$B$1:$B$987,"&lt;="&amp;$B45)</f>
        <v>84.35</v>
      </c>
      <c r="L45" s="24">
        <f>SUMIFS('Saldos Iniciales'!$D:$D,'Saldos Iniciales'!$A:$A,"YWC Capital")+SUMIFS(Movimientos!$K$1:$K$987,Movimientos!$C$1:$C$987,"YWC Capital",Movimientos!$B$1:$B$987,"&lt;="&amp;$B45)</f>
        <v>2237.77</v>
      </c>
      <c r="M45" s="24">
        <f>SUMIFS('Saldos Iniciales'!$D:$D,'Saldos Iniciales'!$A:$A,"Soweto")+SUMIFS(Movimientos!$K$1:$K$987,Movimientos!$C$1:$C$987,"Soweto",Movimientos!$B$1:$B$987,"&lt;="&amp;$B45)</f>
        <v>3349.94</v>
      </c>
      <c r="N45" s="24">
        <f>SUMIFS('Saldos Iniciales'!$D:$D,'Saldos Iniciales'!$A:$A,"Green Stone Trust")+SUMIFS(Movimientos!$K$1:$K$987,Movimientos!$C$1:$C$987,"Green Stone Trust",Movimientos!$B$1:$B$987,"&lt;="&amp;$B45)</f>
        <v>1968.99</v>
      </c>
      <c r="O45" s="24">
        <f>SUMIFS('Saldos Iniciales'!$D:$D,'Saldos Iniciales'!$A:$A,"EC Auto")+SUMIFS(Movimientos!$K$1:$K$987,Movimientos!$C$1:$C$987,"EC Auto",Movimientos!$B$1:$B$987,"&lt;="&amp;$B45)</f>
        <v>382.69000000000005</v>
      </c>
      <c r="P45" s="24">
        <f>SUMIFS('Saldos Iniciales'!$D:$D,'Saldos Iniciales'!$A:$A,"Arbor Capital Properties")+SUMIFS(Movimientos!$K$1:$K$987,Movimientos!$C$1:$C$987,"Arbor Capital Properties",Movimientos!$B$1:$B$987,"&lt;="&amp;$B45)</f>
        <v>1428.08</v>
      </c>
      <c r="Q45" s="24">
        <f>SUMIFS('Saldos Iniciales'!$D:$D,'Saldos Iniciales'!$A:$A,"2515 Overbrook")+SUMIFS(Movimientos!$K$1:$K$987,Movimientos!$C$1:$C$987,"2515 Overbrook",Movimientos!$B$1:$B$987,"&lt;="&amp;$B45)</f>
        <v>27789.969999999961</v>
      </c>
      <c r="R45" s="24">
        <f>SUMIFS('Saldos Iniciales'!$D:$D,'Saldos Iniciales'!$A:$A,"112 Florida Ave")+SUMIFS(Movimientos!$K$1:$K$987,Movimientos!$C$1:$C$987,"112 Florida Ave",Movimientos!$B$1:$B$987,"&lt;="&amp;$B45)</f>
        <v>5321.4300000000021</v>
      </c>
      <c r="S45" s="24">
        <f>SUMIFS('Saldos Iniciales'!$D:$D,'Saldos Iniciales'!$A:$A,"3628 Thomas Ave")+SUMIFS(Movimientos!$K$1:$K$987,Movimientos!$C$1:$C$987,"3628 Thomas Ave",Movimientos!$B$1:$B$987,"&lt;="&amp;$B45)</f>
        <v>24484.85</v>
      </c>
      <c r="T45" s="24">
        <f>SUMIFS('Saldos Iniciales'!$D:$D,'Saldos Iniciales'!$A:$A,"Green Harbor Trust")+SUMIFS(Movimientos!$K$1:$K$987,Movimientos!$C$1:$C$987,"Green Harbor Trust",Movimientos!$B$1:$B$987,"&lt;="&amp;$B45)</f>
        <v>345</v>
      </c>
      <c r="U45" s="24">
        <f>SUMIFS('Saldos Iniciales'!$D:$D,'Saldos Iniciales'!$A:$A,"Go Blue")+SUMIFS(Movimientos!$K$1:$K$987,Movimientos!$C$1:$C$987,"Go Blue",Movimientos!$B$1:$B$987,"&lt;="&amp;$B45)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Group")+SUMIFS(Movimientos!$K$1:$K$987,Movimientos!$C$1:$C$987,"CFT Group",Movimientos!$B$1:$B$987,"&lt;="&amp;$B46)</f>
        <v>1919118.1700000002</v>
      </c>
      <c r="D46" s="24">
        <f>SUMIFS('Saldos Iniciales'!$D:$D,'Saldos Iniciales'!$A:$A,"M1B")+SUMIFS(Movimientos!$K$1:$K$987,Movimientos!$C$1:$C$987,"M1B",Movimientos!$B$1:$B$987,"&lt;="&amp;$B46)</f>
        <v>69376.390000000174</v>
      </c>
      <c r="E46" s="24">
        <f>SUMIFS('Saldos Iniciales'!$D:$D,'Saldos Iniciales'!$A:$A,"Durand")+SUMIFS(Movimientos!$K$1:$K$987,Movimientos!$C$1:$C$987,"Durand",Movimientos!$B$1:$B$987,"&lt;="&amp;$B46)</f>
        <v>1669.89</v>
      </c>
      <c r="F46" s="24">
        <f>SUMIFS('Saldos Iniciales'!$D:$D,'Saldos Iniciales'!$A:$A,"A&amp;M Imports")+SUMIFS(Movimientos!$K$1:$K$987,Movimientos!$C$1:$C$987,"A&amp;M Imports",Movimientos!$B$1:$B$987,"&lt;="&amp;$B46)</f>
        <v>395665.96999999986</v>
      </c>
      <c r="G46" s="24">
        <f>SUMIFS('Saldos Iniciales'!$D:$D,'Saldos Iniciales'!$A:$A,"SSP Capital")+SUMIFS(Movimientos!$K$1:$K$987,Movimientos!$C$1:$C$987,"SSP Capital",Movimientos!$B$1:$B$987,"&lt;="&amp;$B46)</f>
        <v>3777590.9499999997</v>
      </c>
      <c r="H46" s="24">
        <f>SUMIFS('Saldos Iniciales'!$D:$D,'Saldos Iniciales'!$A:$A,"Cross Family Trust")+SUMIFS(Movimientos!$K$1:$K$987,Movimientos!$C$1:$C$987,"Cross Family Trust",Movimientos!$B$1:$B$987,"&lt;="&amp;$B46)</f>
        <v>116496.38</v>
      </c>
      <c r="I46" s="24">
        <f>SUMIFS('Saldos Iniciales'!$D:$D,'Saldos Iniciales'!$A:$A,"Cross Security Trust")+SUMIFS(Movimientos!$K$1:$K$987,Movimientos!$C$1:$C$987,"Cross Security Trust",Movimientos!$B$1:$B$987,"&lt;="&amp;$B46)</f>
        <v>88090.37</v>
      </c>
      <c r="J46" s="24">
        <f>SUMIFS('Saldos Iniciales'!$D:$D,'Saldos Iniciales'!$A:$A,"Electrama")+SUMIFS(Movimientos!$K$1:$K$987,Movimientos!$C$1:$C$987,"Electrama",Movimientos!$B$1:$B$987,"&lt;="&amp;$B46)</f>
        <v>511.15999999999985</v>
      </c>
      <c r="K46" s="24">
        <f>SUMIFS('Saldos Iniciales'!$D:$D,'Saldos Iniciales'!$A:$A,"Sacred Valley Capital")+SUMIFS(Movimientos!$K$1:$K$987,Movimientos!$C$1:$C$987,"Sacred Valley Capital",Movimientos!$B$1:$B$987,"&lt;="&amp;$B46)</f>
        <v>84.35</v>
      </c>
      <c r="L46" s="24">
        <f>SUMIFS('Saldos Iniciales'!$D:$D,'Saldos Iniciales'!$A:$A,"YWC Capital")+SUMIFS(Movimientos!$K$1:$K$987,Movimientos!$C$1:$C$987,"YWC Capital",Movimientos!$B$1:$B$987,"&lt;="&amp;$B46)</f>
        <v>2237.77</v>
      </c>
      <c r="M46" s="24">
        <f>SUMIFS('Saldos Iniciales'!$D:$D,'Saldos Iniciales'!$A:$A,"Soweto")+SUMIFS(Movimientos!$K$1:$K$987,Movimientos!$C$1:$C$987,"Soweto",Movimientos!$B$1:$B$987,"&lt;="&amp;$B46)</f>
        <v>3349.94</v>
      </c>
      <c r="N46" s="24">
        <f>SUMIFS('Saldos Iniciales'!$D:$D,'Saldos Iniciales'!$A:$A,"Green Stone Trust")+SUMIFS(Movimientos!$K$1:$K$987,Movimientos!$C$1:$C$987,"Green Stone Trust",Movimientos!$B$1:$B$987,"&lt;="&amp;$B46)</f>
        <v>1968.99</v>
      </c>
      <c r="O46" s="24">
        <f>SUMIFS('Saldos Iniciales'!$D:$D,'Saldos Iniciales'!$A:$A,"EC Auto")+SUMIFS(Movimientos!$K$1:$K$987,Movimientos!$C$1:$C$987,"EC Auto",Movimientos!$B$1:$B$987,"&lt;="&amp;$B46)</f>
        <v>382.69000000000005</v>
      </c>
      <c r="P46" s="24">
        <f>SUMIFS('Saldos Iniciales'!$D:$D,'Saldos Iniciales'!$A:$A,"Arbor Capital Properties")+SUMIFS(Movimientos!$K$1:$K$987,Movimientos!$C$1:$C$987,"Arbor Capital Properties",Movimientos!$B$1:$B$987,"&lt;="&amp;$B46)</f>
        <v>1428.08</v>
      </c>
      <c r="Q46" s="24">
        <f>SUMIFS('Saldos Iniciales'!$D:$D,'Saldos Iniciales'!$A:$A,"2515 Overbrook")+SUMIFS(Movimientos!$K$1:$K$987,Movimientos!$C$1:$C$987,"2515 Overbrook",Movimientos!$B$1:$B$987,"&lt;="&amp;$B46)</f>
        <v>27789.969999999961</v>
      </c>
      <c r="R46" s="24">
        <f>SUMIFS('Saldos Iniciales'!$D:$D,'Saldos Iniciales'!$A:$A,"112 Florida Ave")+SUMIFS(Movimientos!$K$1:$K$987,Movimientos!$C$1:$C$987,"112 Florida Ave",Movimientos!$B$1:$B$987,"&lt;="&amp;$B46)</f>
        <v>5321.4300000000021</v>
      </c>
      <c r="S46" s="24">
        <f>SUMIFS('Saldos Iniciales'!$D:$D,'Saldos Iniciales'!$A:$A,"3628 Thomas Ave")+SUMIFS(Movimientos!$K$1:$K$987,Movimientos!$C$1:$C$987,"3628 Thomas Ave",Movimientos!$B$1:$B$987,"&lt;="&amp;$B46)</f>
        <v>24484.85</v>
      </c>
      <c r="T46" s="24">
        <f>SUMIFS('Saldos Iniciales'!$D:$D,'Saldos Iniciales'!$A:$A,"Green Harbor Trust")+SUMIFS(Movimientos!$K$1:$K$987,Movimientos!$C$1:$C$987,"Green Harbor Trust",Movimientos!$B$1:$B$987,"&lt;="&amp;$B46)</f>
        <v>345</v>
      </c>
      <c r="U46" s="24">
        <f>SUMIFS('Saldos Iniciales'!$D:$D,'Saldos Iniciales'!$A:$A,"Go Blue")+SUMIFS(Movimientos!$K$1:$K$987,Movimientos!$C$1:$C$987,"Go Blue",Movimientos!$B$1:$B$987,"&lt;="&amp;$B46)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Group")+SUMIFS(Movimientos!$K$1:$K$987,Movimientos!$C$1:$C$987,"CFT Group",Movimientos!$B$1:$B$987,"&lt;="&amp;$B47)</f>
        <v>1067309.2700000003</v>
      </c>
      <c r="D47" s="24">
        <f>SUMIFS('Saldos Iniciales'!$D:$D,'Saldos Iniciales'!$A:$A,"M1B")+SUMIFS(Movimientos!$K$1:$K$987,Movimientos!$C$1:$C$987,"M1B",Movimientos!$B$1:$B$987,"&lt;="&amp;$B47)</f>
        <v>69376.390000000174</v>
      </c>
      <c r="E47" s="24">
        <f>SUMIFS('Saldos Iniciales'!$D:$D,'Saldos Iniciales'!$A:$A,"Durand")+SUMIFS(Movimientos!$K$1:$K$987,Movimientos!$C$1:$C$987,"Durand",Movimientos!$B$1:$B$987,"&lt;="&amp;$B47)</f>
        <v>1669.89</v>
      </c>
      <c r="F47" s="24">
        <f>SUMIFS('Saldos Iniciales'!$D:$D,'Saldos Iniciales'!$A:$A,"A&amp;M Imports")+SUMIFS(Movimientos!$K$1:$K$987,Movimientos!$C$1:$C$987,"A&amp;M Imports",Movimientos!$B$1:$B$987,"&lt;="&amp;$B47)</f>
        <v>334944.56999999983</v>
      </c>
      <c r="G47" s="24">
        <f>SUMIFS('Saldos Iniciales'!$D:$D,'Saldos Iniciales'!$A:$A,"SSP Capital")+SUMIFS(Movimientos!$K$1:$K$987,Movimientos!$C$1:$C$987,"SSP Capital",Movimientos!$B$1:$B$987,"&lt;="&amp;$B47)</f>
        <v>3345979.36</v>
      </c>
      <c r="H47" s="24">
        <f>SUMIFS('Saldos Iniciales'!$D:$D,'Saldos Iniciales'!$A:$A,"Cross Family Trust")+SUMIFS(Movimientos!$K$1:$K$987,Movimientos!$C$1:$C$987,"Cross Family Trust",Movimientos!$B$1:$B$987,"&lt;="&amp;$B47)</f>
        <v>116496.38</v>
      </c>
      <c r="I47" s="24">
        <f>SUMIFS('Saldos Iniciales'!$D:$D,'Saldos Iniciales'!$A:$A,"Cross Security Trust")+SUMIFS(Movimientos!$K$1:$K$987,Movimientos!$C$1:$C$987,"Cross Security Trust",Movimientos!$B$1:$B$987,"&lt;="&amp;$B47)</f>
        <v>88090.37</v>
      </c>
      <c r="J47" s="24">
        <f>SUMIFS('Saldos Iniciales'!$D:$D,'Saldos Iniciales'!$A:$A,"Electrama")+SUMIFS(Movimientos!$K$1:$K$987,Movimientos!$C$1:$C$987,"Electrama",Movimientos!$B$1:$B$987,"&lt;="&amp;$B47)</f>
        <v>511.15999999999985</v>
      </c>
      <c r="K47" s="24">
        <f>SUMIFS('Saldos Iniciales'!$D:$D,'Saldos Iniciales'!$A:$A,"Sacred Valley Capital")+SUMIFS(Movimientos!$K$1:$K$987,Movimientos!$C$1:$C$987,"Sacred Valley Capital",Movimientos!$B$1:$B$987,"&lt;="&amp;$B47)</f>
        <v>84.35</v>
      </c>
      <c r="L47" s="24">
        <f>SUMIFS('Saldos Iniciales'!$D:$D,'Saldos Iniciales'!$A:$A,"YWC Capital")+SUMIFS(Movimientos!$K$1:$K$987,Movimientos!$C$1:$C$987,"YWC Capital",Movimientos!$B$1:$B$987,"&lt;="&amp;$B47)</f>
        <v>2237.77</v>
      </c>
      <c r="M47" s="24">
        <f>SUMIFS('Saldos Iniciales'!$D:$D,'Saldos Iniciales'!$A:$A,"Soweto")+SUMIFS(Movimientos!$K$1:$K$987,Movimientos!$C$1:$C$987,"Soweto",Movimientos!$B$1:$B$987,"&lt;="&amp;$B47)</f>
        <v>3349.94</v>
      </c>
      <c r="N47" s="24">
        <f>SUMIFS('Saldos Iniciales'!$D:$D,'Saldos Iniciales'!$A:$A,"Green Stone Trust")+SUMIFS(Movimientos!$K$1:$K$987,Movimientos!$C$1:$C$987,"Green Stone Trust",Movimientos!$B$1:$B$987,"&lt;="&amp;$B47)</f>
        <v>1968.99</v>
      </c>
      <c r="O47" s="24">
        <f>SUMIFS('Saldos Iniciales'!$D:$D,'Saldos Iniciales'!$A:$A,"EC Auto")+SUMIFS(Movimientos!$K$1:$K$987,Movimientos!$C$1:$C$987,"EC Auto",Movimientos!$B$1:$B$987,"&lt;="&amp;$B47)</f>
        <v>382.69000000000005</v>
      </c>
      <c r="P47" s="24">
        <f>SUMIFS('Saldos Iniciales'!$D:$D,'Saldos Iniciales'!$A:$A,"Arbor Capital Properties")+SUMIFS(Movimientos!$K$1:$K$987,Movimientos!$C$1:$C$987,"Arbor Capital Properties",Movimientos!$B$1:$B$987,"&lt;="&amp;$B47)</f>
        <v>1428.08</v>
      </c>
      <c r="Q47" s="24">
        <f>SUMIFS('Saldos Iniciales'!$D:$D,'Saldos Iniciales'!$A:$A,"2515 Overbrook")+SUMIFS(Movimientos!$K$1:$K$987,Movimientos!$C$1:$C$987,"2515 Overbrook",Movimientos!$B$1:$B$987,"&lt;="&amp;$B47)</f>
        <v>29789.969999999961</v>
      </c>
      <c r="R47" s="24">
        <f>SUMIFS('Saldos Iniciales'!$D:$D,'Saldos Iniciales'!$A:$A,"112 Florida Ave")+SUMIFS(Movimientos!$K$1:$K$987,Movimientos!$C$1:$C$987,"112 Florida Ave",Movimientos!$B$1:$B$987,"&lt;="&amp;$B47)</f>
        <v>5321.4300000000021</v>
      </c>
      <c r="S47" s="24">
        <f>SUMIFS('Saldos Iniciales'!$D:$D,'Saldos Iniciales'!$A:$A,"3628 Thomas Ave")+SUMIFS(Movimientos!$K$1:$K$987,Movimientos!$C$1:$C$987,"3628 Thomas Ave",Movimientos!$B$1:$B$987,"&lt;="&amp;$B47)</f>
        <v>20484.849999999999</v>
      </c>
      <c r="T47" s="24">
        <f>SUMIFS('Saldos Iniciales'!$D:$D,'Saldos Iniciales'!$A:$A,"Green Harbor Trust")+SUMIFS(Movimientos!$K$1:$K$987,Movimientos!$C$1:$C$987,"Green Harbor Trust",Movimientos!$B$1:$B$987,"&lt;="&amp;$B47)</f>
        <v>345</v>
      </c>
      <c r="U47" s="24">
        <f>SUMIFS('Saldos Iniciales'!$D:$D,'Saldos Iniciales'!$A:$A,"Go Blue")+SUMIFS(Movimientos!$K$1:$K$987,Movimientos!$C$1:$C$987,"Go Blue",Movimientos!$B$1:$B$987,"&lt;="&amp;$B47)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Group")+SUMIFS(Movimientos!$K$1:$K$987,Movimientos!$C$1:$C$987,"CFT Group",Movimientos!$B$1:$B$987,"&lt;="&amp;$B48)</f>
        <v>1167692.0800000003</v>
      </c>
      <c r="D48" s="24">
        <f>SUMIFS('Saldos Iniciales'!$D:$D,'Saldos Iniciales'!$A:$A,"M1B")+SUMIFS(Movimientos!$K$1:$K$987,Movimientos!$C$1:$C$987,"M1B",Movimientos!$B$1:$B$987,"&lt;="&amp;$B48)</f>
        <v>69376.390000000174</v>
      </c>
      <c r="E48" s="24">
        <f>SUMIFS('Saldos Iniciales'!$D:$D,'Saldos Iniciales'!$A:$A,"Durand")+SUMIFS(Movimientos!$K$1:$K$987,Movimientos!$C$1:$C$987,"Durand",Movimientos!$B$1:$B$987,"&lt;="&amp;$B48)</f>
        <v>1669.89</v>
      </c>
      <c r="F48" s="24">
        <f>SUMIFS('Saldos Iniciales'!$D:$D,'Saldos Iniciales'!$A:$A,"A&amp;M Imports")+SUMIFS(Movimientos!$K$1:$K$987,Movimientos!$C$1:$C$987,"A&amp;M Imports",Movimientos!$B$1:$B$987,"&lt;="&amp;$B48)</f>
        <v>334944.56999999983</v>
      </c>
      <c r="G48" s="24">
        <f>SUMIFS('Saldos Iniciales'!$D:$D,'Saldos Iniciales'!$A:$A,"SSP Capital")+SUMIFS(Movimientos!$K$1:$K$987,Movimientos!$C$1:$C$987,"SSP Capital",Movimientos!$B$1:$B$987,"&lt;="&amp;$B48)</f>
        <v>3343489</v>
      </c>
      <c r="H48" s="24">
        <f>SUMIFS('Saldos Iniciales'!$D:$D,'Saldos Iniciales'!$A:$A,"Cross Family Trust")+SUMIFS(Movimientos!$K$1:$K$987,Movimientos!$C$1:$C$987,"Cross Family Trust",Movimientos!$B$1:$B$987,"&lt;="&amp;$B48)</f>
        <v>116496.38</v>
      </c>
      <c r="I48" s="24">
        <f>SUMIFS('Saldos Iniciales'!$D:$D,'Saldos Iniciales'!$A:$A,"Cross Security Trust")+SUMIFS(Movimientos!$K$1:$K$987,Movimientos!$C$1:$C$987,"Cross Security Trust",Movimientos!$B$1:$B$987,"&lt;="&amp;$B48)</f>
        <v>88090.37</v>
      </c>
      <c r="J48" s="24">
        <f>SUMIFS('Saldos Iniciales'!$D:$D,'Saldos Iniciales'!$A:$A,"Electrama")+SUMIFS(Movimientos!$K$1:$K$987,Movimientos!$C$1:$C$987,"Electrama",Movimientos!$B$1:$B$987,"&lt;="&amp;$B48)</f>
        <v>511.15999999999985</v>
      </c>
      <c r="K48" s="24">
        <f>SUMIFS('Saldos Iniciales'!$D:$D,'Saldos Iniciales'!$A:$A,"Sacred Valley Capital")+SUMIFS(Movimientos!$K$1:$K$987,Movimientos!$C$1:$C$987,"Sacred Valley Capital",Movimientos!$B$1:$B$987,"&lt;="&amp;$B48)</f>
        <v>84.35</v>
      </c>
      <c r="L48" s="24">
        <f>SUMIFS('Saldos Iniciales'!$D:$D,'Saldos Iniciales'!$A:$A,"YWC Capital")+SUMIFS(Movimientos!$K$1:$K$987,Movimientos!$C$1:$C$987,"YWC Capital",Movimientos!$B$1:$B$987,"&lt;="&amp;$B48)</f>
        <v>2237.77</v>
      </c>
      <c r="M48" s="24">
        <f>SUMIFS('Saldos Iniciales'!$D:$D,'Saldos Iniciales'!$A:$A,"Soweto")+SUMIFS(Movimientos!$K$1:$K$987,Movimientos!$C$1:$C$987,"Soweto",Movimientos!$B$1:$B$987,"&lt;="&amp;$B48)</f>
        <v>3349.94</v>
      </c>
      <c r="N48" s="24">
        <f>SUMIFS('Saldos Iniciales'!$D:$D,'Saldos Iniciales'!$A:$A,"Green Stone Trust")+SUMIFS(Movimientos!$K$1:$K$987,Movimientos!$C$1:$C$987,"Green Stone Trust",Movimientos!$B$1:$B$987,"&lt;="&amp;$B48)</f>
        <v>1968.99</v>
      </c>
      <c r="O48" s="24">
        <f>SUMIFS('Saldos Iniciales'!$D:$D,'Saldos Iniciales'!$A:$A,"EC Auto")+SUMIFS(Movimientos!$K$1:$K$987,Movimientos!$C$1:$C$987,"EC Auto",Movimientos!$B$1:$B$987,"&lt;="&amp;$B48)</f>
        <v>382.69000000000005</v>
      </c>
      <c r="P48" s="24">
        <f>SUMIFS('Saldos Iniciales'!$D:$D,'Saldos Iniciales'!$A:$A,"Arbor Capital Properties")+SUMIFS(Movimientos!$K$1:$K$987,Movimientos!$C$1:$C$987,"Arbor Capital Properties",Movimientos!$B$1:$B$987,"&lt;="&amp;$B48)</f>
        <v>1428.08</v>
      </c>
      <c r="Q48" s="24">
        <f>SUMIFS('Saldos Iniciales'!$D:$D,'Saldos Iniciales'!$A:$A,"2515 Overbrook")+SUMIFS(Movimientos!$K$1:$K$987,Movimientos!$C$1:$C$987,"2515 Overbrook",Movimientos!$B$1:$B$987,"&lt;="&amp;$B48)</f>
        <v>29789.969999999961</v>
      </c>
      <c r="R48" s="24">
        <f>SUMIFS('Saldos Iniciales'!$D:$D,'Saldos Iniciales'!$A:$A,"112 Florida Ave")+SUMIFS(Movimientos!$K$1:$K$987,Movimientos!$C$1:$C$987,"112 Florida Ave",Movimientos!$B$1:$B$987,"&lt;="&amp;$B48)</f>
        <v>20321.43</v>
      </c>
      <c r="S48" s="24">
        <f>SUMIFS('Saldos Iniciales'!$D:$D,'Saldos Iniciales'!$A:$A,"3628 Thomas Ave")+SUMIFS(Movimientos!$K$1:$K$987,Movimientos!$C$1:$C$987,"3628 Thomas Ave",Movimientos!$B$1:$B$987,"&lt;="&amp;$B48)</f>
        <v>19811.349999999999</v>
      </c>
      <c r="T48" s="24">
        <f>SUMIFS('Saldos Iniciales'!$D:$D,'Saldos Iniciales'!$A:$A,"Green Harbor Trust")+SUMIFS(Movimientos!$K$1:$K$987,Movimientos!$C$1:$C$987,"Green Harbor Trust",Movimientos!$B$1:$B$987,"&lt;="&amp;$B48)</f>
        <v>345</v>
      </c>
      <c r="U48" s="24">
        <f>SUMIFS('Saldos Iniciales'!$D:$D,'Saldos Iniciales'!$A:$A,"Go Blue")+SUMIFS(Movimientos!$K$1:$K$987,Movimientos!$C$1:$C$987,"Go Blue",Movimientos!$B$1:$B$987,"&lt;="&amp;$B48)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Group")+SUMIFS(Movimientos!$K$1:$K$987,Movimientos!$C$1:$C$987,"CFT Group",Movimientos!$B$1:$B$987,"&lt;="&amp;$B49)</f>
        <v>1179692.0800000003</v>
      </c>
      <c r="D49" s="24">
        <f>SUMIFS('Saldos Iniciales'!$D:$D,'Saldos Iniciales'!$A:$A,"M1B")+SUMIFS(Movimientos!$K$1:$K$987,Movimientos!$C$1:$C$987,"M1B",Movimientos!$B$1:$B$987,"&lt;="&amp;$B49)</f>
        <v>69376.390000000174</v>
      </c>
      <c r="E49" s="24">
        <f>SUMIFS('Saldos Iniciales'!$D:$D,'Saldos Iniciales'!$A:$A,"Durand")+SUMIFS(Movimientos!$K$1:$K$987,Movimientos!$C$1:$C$987,"Durand",Movimientos!$B$1:$B$987,"&lt;="&amp;$B49)</f>
        <v>1669.89</v>
      </c>
      <c r="F49" s="24">
        <f>SUMIFS('Saldos Iniciales'!$D:$D,'Saldos Iniciales'!$A:$A,"A&amp;M Imports")+SUMIFS(Movimientos!$K$1:$K$987,Movimientos!$C$1:$C$987,"A&amp;M Imports",Movimientos!$B$1:$B$987,"&lt;="&amp;$B49)</f>
        <v>334944.56999999983</v>
      </c>
      <c r="G49" s="24">
        <f>SUMIFS('Saldos Iniciales'!$D:$D,'Saldos Iniciales'!$A:$A,"SSP Capital")+SUMIFS(Movimientos!$K$1:$K$987,Movimientos!$C$1:$C$987,"SSP Capital",Movimientos!$B$1:$B$987,"&lt;="&amp;$B49)</f>
        <v>3341105.51</v>
      </c>
      <c r="H49" s="24">
        <f>SUMIFS('Saldos Iniciales'!$D:$D,'Saldos Iniciales'!$A:$A,"Cross Family Trust")+SUMIFS(Movimientos!$K$1:$K$987,Movimientos!$C$1:$C$987,"Cross Family Trust",Movimientos!$B$1:$B$987,"&lt;="&amp;$B49)</f>
        <v>116496.38</v>
      </c>
      <c r="I49" s="24">
        <f>SUMIFS('Saldos Iniciales'!$D:$D,'Saldos Iniciales'!$A:$A,"Cross Security Trust")+SUMIFS(Movimientos!$K$1:$K$987,Movimientos!$C$1:$C$987,"Cross Security Trust",Movimientos!$B$1:$B$987,"&lt;="&amp;$B49)</f>
        <v>88090.37</v>
      </c>
      <c r="J49" s="24">
        <f>SUMIFS('Saldos Iniciales'!$D:$D,'Saldos Iniciales'!$A:$A,"Electrama")+SUMIFS(Movimientos!$K$1:$K$987,Movimientos!$C$1:$C$987,"Electrama",Movimientos!$B$1:$B$987,"&lt;="&amp;$B49)</f>
        <v>511.15999999999985</v>
      </c>
      <c r="K49" s="24">
        <f>SUMIFS('Saldos Iniciales'!$D:$D,'Saldos Iniciales'!$A:$A,"Sacred Valley Capital")+SUMIFS(Movimientos!$K$1:$K$987,Movimientos!$C$1:$C$987,"Sacred Valley Capital",Movimientos!$B$1:$B$987,"&lt;="&amp;$B49)</f>
        <v>84.35</v>
      </c>
      <c r="L49" s="24">
        <f>SUMIFS('Saldos Iniciales'!$D:$D,'Saldos Iniciales'!$A:$A,"YWC Capital")+SUMIFS(Movimientos!$K$1:$K$987,Movimientos!$C$1:$C$987,"YWC Capital",Movimientos!$B$1:$B$987,"&lt;="&amp;$B49)</f>
        <v>2237.77</v>
      </c>
      <c r="M49" s="24">
        <f>SUMIFS('Saldos Iniciales'!$D:$D,'Saldos Iniciales'!$A:$A,"Soweto")+SUMIFS(Movimientos!$K$1:$K$987,Movimientos!$C$1:$C$987,"Soweto",Movimientos!$B$1:$B$987,"&lt;="&amp;$B49)</f>
        <v>3349.94</v>
      </c>
      <c r="N49" s="24">
        <f>SUMIFS('Saldos Iniciales'!$D:$D,'Saldos Iniciales'!$A:$A,"Green Stone Trust")+SUMIFS(Movimientos!$K$1:$K$987,Movimientos!$C$1:$C$987,"Green Stone Trust",Movimientos!$B$1:$B$987,"&lt;="&amp;$B49)</f>
        <v>1968.99</v>
      </c>
      <c r="O49" s="24">
        <f>SUMIFS('Saldos Iniciales'!$D:$D,'Saldos Iniciales'!$A:$A,"EC Auto")+SUMIFS(Movimientos!$K$1:$K$987,Movimientos!$C$1:$C$987,"EC Auto",Movimientos!$B$1:$B$987,"&lt;="&amp;$B49)</f>
        <v>382.69000000000005</v>
      </c>
      <c r="P49" s="24">
        <f>SUMIFS('Saldos Iniciales'!$D:$D,'Saldos Iniciales'!$A:$A,"Arbor Capital Properties")+SUMIFS(Movimientos!$K$1:$K$987,Movimientos!$C$1:$C$987,"Arbor Capital Properties",Movimientos!$B$1:$B$987,"&lt;="&amp;$B49)</f>
        <v>1428.08</v>
      </c>
      <c r="Q49" s="24">
        <f>SUMIFS('Saldos Iniciales'!$D:$D,'Saldos Iniciales'!$A:$A,"2515 Overbrook")+SUMIFS(Movimientos!$K$1:$K$987,Movimientos!$C$1:$C$987,"2515 Overbrook",Movimientos!$B$1:$B$987,"&lt;="&amp;$B49)</f>
        <v>29789.969999999961</v>
      </c>
      <c r="R49" s="24">
        <f>SUMIFS('Saldos Iniciales'!$D:$D,'Saldos Iniciales'!$A:$A,"112 Florida Ave")+SUMIFS(Movimientos!$K$1:$K$987,Movimientos!$C$1:$C$987,"112 Florida Ave",Movimientos!$B$1:$B$987,"&lt;="&amp;$B49)</f>
        <v>20321.43</v>
      </c>
      <c r="S49" s="24">
        <f>SUMIFS('Saldos Iniciales'!$D:$D,'Saldos Iniciales'!$A:$A,"3628 Thomas Ave")+SUMIFS(Movimientos!$K$1:$K$987,Movimientos!$C$1:$C$987,"3628 Thomas Ave",Movimientos!$B$1:$B$987,"&lt;="&amp;$B49)</f>
        <v>16681.349999999999</v>
      </c>
      <c r="T49" s="24">
        <f>SUMIFS('Saldos Iniciales'!$D:$D,'Saldos Iniciales'!$A:$A,"Green Harbor Trust")+SUMIFS(Movimientos!$K$1:$K$987,Movimientos!$C$1:$C$987,"Green Harbor Trust",Movimientos!$B$1:$B$987,"&lt;="&amp;$B49)</f>
        <v>345</v>
      </c>
      <c r="U49" s="24">
        <f>SUMIFS('Saldos Iniciales'!$D:$D,'Saldos Iniciales'!$A:$A,"Go Blue")+SUMIFS(Movimientos!$K$1:$K$987,Movimientos!$C$1:$C$987,"Go Blue",Movimientos!$B$1:$B$987,"&lt;="&amp;$B49)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Group")+SUMIFS(Movimientos!$K$1:$K$987,Movimientos!$C$1:$C$987,"CFT Group",Movimientos!$B$1:$B$987,"&lt;="&amp;$B50)</f>
        <v>1179692.0800000003</v>
      </c>
      <c r="D50" s="24">
        <f>SUMIFS('Saldos Iniciales'!$D:$D,'Saldos Iniciales'!$A:$A,"M1B")+SUMIFS(Movimientos!$K$1:$K$987,Movimientos!$C$1:$C$987,"M1B",Movimientos!$B$1:$B$987,"&lt;="&amp;$B50)</f>
        <v>69376.390000000174</v>
      </c>
      <c r="E50" s="24">
        <f>SUMIFS('Saldos Iniciales'!$D:$D,'Saldos Iniciales'!$A:$A,"Durand")+SUMIFS(Movimientos!$K$1:$K$987,Movimientos!$C$1:$C$987,"Durand",Movimientos!$B$1:$B$987,"&lt;="&amp;$B50)</f>
        <v>1669.89</v>
      </c>
      <c r="F50" s="24">
        <f>SUMIFS('Saldos Iniciales'!$D:$D,'Saldos Iniciales'!$A:$A,"A&amp;M Imports")+SUMIFS(Movimientos!$K$1:$K$987,Movimientos!$C$1:$C$987,"A&amp;M Imports",Movimientos!$B$1:$B$987,"&lt;="&amp;$B50)</f>
        <v>334944.56999999983</v>
      </c>
      <c r="G50" s="24">
        <f>SUMIFS('Saldos Iniciales'!$D:$D,'Saldos Iniciales'!$A:$A,"SSP Capital")+SUMIFS(Movimientos!$K$1:$K$987,Movimientos!$C$1:$C$987,"SSP Capital",Movimientos!$B$1:$B$987,"&lt;="&amp;$B50)</f>
        <v>3340938.8499999996</v>
      </c>
      <c r="H50" s="24">
        <f>SUMIFS('Saldos Iniciales'!$D:$D,'Saldos Iniciales'!$A:$A,"Cross Family Trust")+SUMIFS(Movimientos!$K$1:$K$987,Movimientos!$C$1:$C$987,"Cross Family Trust",Movimientos!$B$1:$B$987,"&lt;="&amp;$B50)</f>
        <v>116496.38</v>
      </c>
      <c r="I50" s="24">
        <f>SUMIFS('Saldos Iniciales'!$D:$D,'Saldos Iniciales'!$A:$A,"Cross Security Trust")+SUMIFS(Movimientos!$K$1:$K$987,Movimientos!$C$1:$C$987,"Cross Security Trust",Movimientos!$B$1:$B$987,"&lt;="&amp;$B50)</f>
        <v>88090.37</v>
      </c>
      <c r="J50" s="24">
        <f>SUMIFS('Saldos Iniciales'!$D:$D,'Saldos Iniciales'!$A:$A,"Electrama")+SUMIFS(Movimientos!$K$1:$K$987,Movimientos!$C$1:$C$987,"Electrama",Movimientos!$B$1:$B$987,"&lt;="&amp;$B50)</f>
        <v>511.15999999999985</v>
      </c>
      <c r="K50" s="24">
        <f>SUMIFS('Saldos Iniciales'!$D:$D,'Saldos Iniciales'!$A:$A,"Sacred Valley Capital")+SUMIFS(Movimientos!$K$1:$K$987,Movimientos!$C$1:$C$987,"Sacred Valley Capital",Movimientos!$B$1:$B$987,"&lt;="&amp;$B50)</f>
        <v>84.35</v>
      </c>
      <c r="L50" s="24">
        <f>SUMIFS('Saldos Iniciales'!$D:$D,'Saldos Iniciales'!$A:$A,"YWC Capital")+SUMIFS(Movimientos!$K$1:$K$987,Movimientos!$C$1:$C$987,"YWC Capital",Movimientos!$B$1:$B$987,"&lt;="&amp;$B50)</f>
        <v>2237.77</v>
      </c>
      <c r="M50" s="24">
        <f>SUMIFS('Saldos Iniciales'!$D:$D,'Saldos Iniciales'!$A:$A,"Soweto")+SUMIFS(Movimientos!$K$1:$K$987,Movimientos!$C$1:$C$987,"Soweto",Movimientos!$B$1:$B$987,"&lt;="&amp;$B50)</f>
        <v>3349.94</v>
      </c>
      <c r="N50" s="24">
        <f>SUMIFS('Saldos Iniciales'!$D:$D,'Saldos Iniciales'!$A:$A,"Green Stone Trust")+SUMIFS(Movimientos!$K$1:$K$987,Movimientos!$C$1:$C$987,"Green Stone Trust",Movimientos!$B$1:$B$987,"&lt;="&amp;$B50)</f>
        <v>1968.99</v>
      </c>
      <c r="O50" s="24">
        <f>SUMIFS('Saldos Iniciales'!$D:$D,'Saldos Iniciales'!$A:$A,"EC Auto")+SUMIFS(Movimientos!$K$1:$K$987,Movimientos!$C$1:$C$987,"EC Auto",Movimientos!$B$1:$B$987,"&lt;="&amp;$B50)</f>
        <v>382.69000000000005</v>
      </c>
      <c r="P50" s="24">
        <f>SUMIFS('Saldos Iniciales'!$D:$D,'Saldos Iniciales'!$A:$A,"Arbor Capital Properties")+SUMIFS(Movimientos!$K$1:$K$987,Movimientos!$C$1:$C$987,"Arbor Capital Properties",Movimientos!$B$1:$B$987,"&lt;="&amp;$B50)</f>
        <v>1428.08</v>
      </c>
      <c r="Q50" s="24">
        <f>SUMIFS('Saldos Iniciales'!$D:$D,'Saldos Iniciales'!$A:$A,"2515 Overbrook")+SUMIFS(Movimientos!$K$1:$K$987,Movimientos!$C$1:$C$987,"2515 Overbrook",Movimientos!$B$1:$B$987,"&lt;="&amp;$B50)</f>
        <v>29789.969999999961</v>
      </c>
      <c r="R50" s="24">
        <f>SUMIFS('Saldos Iniciales'!$D:$D,'Saldos Iniciales'!$A:$A,"112 Florida Ave")+SUMIFS(Movimientos!$K$1:$K$987,Movimientos!$C$1:$C$987,"112 Florida Ave",Movimientos!$B$1:$B$987,"&lt;="&amp;$B50)</f>
        <v>20321.43</v>
      </c>
      <c r="S50" s="24">
        <f>SUMIFS('Saldos Iniciales'!$D:$D,'Saldos Iniciales'!$A:$A,"3628 Thomas Ave")+SUMIFS(Movimientos!$K$1:$K$987,Movimientos!$C$1:$C$987,"3628 Thomas Ave",Movimientos!$B$1:$B$987,"&lt;="&amp;$B50)</f>
        <v>16681.349999999999</v>
      </c>
      <c r="T50" s="24">
        <f>SUMIFS('Saldos Iniciales'!$D:$D,'Saldos Iniciales'!$A:$A,"Green Harbor Trust")+SUMIFS(Movimientos!$K$1:$K$987,Movimientos!$C$1:$C$987,"Green Harbor Trust",Movimientos!$B$1:$B$987,"&lt;="&amp;$B50)</f>
        <v>345</v>
      </c>
      <c r="U50" s="24">
        <f>SUMIFS('Saldos Iniciales'!$D:$D,'Saldos Iniciales'!$A:$A,"Go Blue")+SUMIFS(Movimientos!$K$1:$K$987,Movimientos!$C$1:$C$987,"Go Blue",Movimientos!$B$1:$B$987,"&lt;="&amp;$B50)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Group")+SUMIFS(Movimientos!$K$1:$K$987,Movimientos!$C$1:$C$987,"CFT Group",Movimientos!$B$1:$B$987,"&lt;="&amp;$B51)</f>
        <v>1179692.0800000003</v>
      </c>
      <c r="D51" s="24">
        <f>SUMIFS('Saldos Iniciales'!$D:$D,'Saldos Iniciales'!$A:$A,"M1B")+SUMIFS(Movimientos!$K$1:$K$987,Movimientos!$C$1:$C$987,"M1B",Movimientos!$B$1:$B$987,"&lt;="&amp;$B51)</f>
        <v>69376.390000000174</v>
      </c>
      <c r="E51" s="24">
        <f>SUMIFS('Saldos Iniciales'!$D:$D,'Saldos Iniciales'!$A:$A,"Durand")+SUMIFS(Movimientos!$K$1:$K$987,Movimientos!$C$1:$C$987,"Durand",Movimientos!$B$1:$B$987,"&lt;="&amp;$B51)</f>
        <v>1669.89</v>
      </c>
      <c r="F51" s="24">
        <f>SUMIFS('Saldos Iniciales'!$D:$D,'Saldos Iniciales'!$A:$A,"A&amp;M Imports")+SUMIFS(Movimientos!$K$1:$K$987,Movimientos!$C$1:$C$987,"A&amp;M Imports",Movimientos!$B$1:$B$987,"&lt;="&amp;$B51)</f>
        <v>334944.56999999983</v>
      </c>
      <c r="G51" s="24">
        <f>SUMIFS('Saldos Iniciales'!$D:$D,'Saldos Iniciales'!$A:$A,"SSP Capital")+SUMIFS(Movimientos!$K$1:$K$987,Movimientos!$C$1:$C$987,"SSP Capital",Movimientos!$B$1:$B$987,"&lt;="&amp;$B51)</f>
        <v>3340938.8499999996</v>
      </c>
      <c r="H51" s="24">
        <f>SUMIFS('Saldos Iniciales'!$D:$D,'Saldos Iniciales'!$A:$A,"Cross Family Trust")+SUMIFS(Movimientos!$K$1:$K$987,Movimientos!$C$1:$C$987,"Cross Family Trust",Movimientos!$B$1:$B$987,"&lt;="&amp;$B51)</f>
        <v>116496.38</v>
      </c>
      <c r="I51" s="24">
        <f>SUMIFS('Saldos Iniciales'!$D:$D,'Saldos Iniciales'!$A:$A,"Cross Security Trust")+SUMIFS(Movimientos!$K$1:$K$987,Movimientos!$C$1:$C$987,"Cross Security Trust",Movimientos!$B$1:$B$987,"&lt;="&amp;$B51)</f>
        <v>88090.37</v>
      </c>
      <c r="J51" s="24">
        <f>SUMIFS('Saldos Iniciales'!$D:$D,'Saldos Iniciales'!$A:$A,"Electrama")+SUMIFS(Movimientos!$K$1:$K$987,Movimientos!$C$1:$C$987,"Electrama",Movimientos!$B$1:$B$987,"&lt;="&amp;$B51)</f>
        <v>511.15999999999985</v>
      </c>
      <c r="K51" s="24">
        <f>SUMIFS('Saldos Iniciales'!$D:$D,'Saldos Iniciales'!$A:$A,"Sacred Valley Capital")+SUMIFS(Movimientos!$K$1:$K$987,Movimientos!$C$1:$C$987,"Sacred Valley Capital",Movimientos!$B$1:$B$987,"&lt;="&amp;$B51)</f>
        <v>84.35</v>
      </c>
      <c r="L51" s="24">
        <f>SUMIFS('Saldos Iniciales'!$D:$D,'Saldos Iniciales'!$A:$A,"YWC Capital")+SUMIFS(Movimientos!$K$1:$K$987,Movimientos!$C$1:$C$987,"YWC Capital",Movimientos!$B$1:$B$987,"&lt;="&amp;$B51)</f>
        <v>2237.77</v>
      </c>
      <c r="M51" s="24">
        <f>SUMIFS('Saldos Iniciales'!$D:$D,'Saldos Iniciales'!$A:$A,"Soweto")+SUMIFS(Movimientos!$K$1:$K$987,Movimientos!$C$1:$C$987,"Soweto",Movimientos!$B$1:$B$987,"&lt;="&amp;$B51)</f>
        <v>3349.94</v>
      </c>
      <c r="N51" s="24">
        <f>SUMIFS('Saldos Iniciales'!$D:$D,'Saldos Iniciales'!$A:$A,"Green Stone Trust")+SUMIFS(Movimientos!$K$1:$K$987,Movimientos!$C$1:$C$987,"Green Stone Trust",Movimientos!$B$1:$B$987,"&lt;="&amp;$B51)</f>
        <v>1968.99</v>
      </c>
      <c r="O51" s="24">
        <f>SUMIFS('Saldos Iniciales'!$D:$D,'Saldos Iniciales'!$A:$A,"EC Auto")+SUMIFS(Movimientos!$K$1:$K$987,Movimientos!$C$1:$C$987,"EC Auto",Movimientos!$B$1:$B$987,"&lt;="&amp;$B51)</f>
        <v>382.69000000000005</v>
      </c>
      <c r="P51" s="24">
        <f>SUMIFS('Saldos Iniciales'!$D:$D,'Saldos Iniciales'!$A:$A,"Arbor Capital Properties")+SUMIFS(Movimientos!$K$1:$K$987,Movimientos!$C$1:$C$987,"Arbor Capital Properties",Movimientos!$B$1:$B$987,"&lt;="&amp;$B51)</f>
        <v>1428.08</v>
      </c>
      <c r="Q51" s="24">
        <f>SUMIFS('Saldos Iniciales'!$D:$D,'Saldos Iniciales'!$A:$A,"2515 Overbrook")+SUMIFS(Movimientos!$K$1:$K$987,Movimientos!$C$1:$C$987,"2515 Overbrook",Movimientos!$B$1:$B$987,"&lt;="&amp;$B51)</f>
        <v>29789.969999999961</v>
      </c>
      <c r="R51" s="24">
        <f>SUMIFS('Saldos Iniciales'!$D:$D,'Saldos Iniciales'!$A:$A,"112 Florida Ave")+SUMIFS(Movimientos!$K$1:$K$987,Movimientos!$C$1:$C$987,"112 Florida Ave",Movimientos!$B$1:$B$987,"&lt;="&amp;$B51)</f>
        <v>20321.43</v>
      </c>
      <c r="S51" s="24">
        <f>SUMIFS('Saldos Iniciales'!$D:$D,'Saldos Iniciales'!$A:$A,"3628 Thomas Ave")+SUMIFS(Movimientos!$K$1:$K$987,Movimientos!$C$1:$C$987,"3628 Thomas Ave",Movimientos!$B$1:$B$987,"&lt;="&amp;$B51)</f>
        <v>16681.349999999999</v>
      </c>
      <c r="T51" s="24">
        <f>SUMIFS('Saldos Iniciales'!$D:$D,'Saldos Iniciales'!$A:$A,"Green Harbor Trust")+SUMIFS(Movimientos!$K$1:$K$987,Movimientos!$C$1:$C$987,"Green Harbor Trust",Movimientos!$B$1:$B$987,"&lt;="&amp;$B51)</f>
        <v>345</v>
      </c>
      <c r="U51" s="24">
        <f>SUMIFS('Saldos Iniciales'!$D:$D,'Saldos Iniciales'!$A:$A,"Go Blue")+SUMIFS(Movimientos!$K$1:$K$987,Movimientos!$C$1:$C$987,"Go Blue",Movimientos!$B$1:$B$987,"&lt;="&amp;$B51)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Group")+SUMIFS(Movimientos!$K$1:$K$987,Movimientos!$C$1:$C$987,"CFT Group",Movimientos!$B$1:$B$987,"&lt;="&amp;$B52)</f>
        <v>1179692.0800000003</v>
      </c>
      <c r="D52" s="24">
        <f>SUMIFS('Saldos Iniciales'!$D:$D,'Saldos Iniciales'!$A:$A,"M1B")+SUMIFS(Movimientos!$K$1:$K$987,Movimientos!$C$1:$C$987,"M1B",Movimientos!$B$1:$B$987,"&lt;="&amp;$B52)</f>
        <v>69376.390000000174</v>
      </c>
      <c r="E52" s="24">
        <f>SUMIFS('Saldos Iniciales'!$D:$D,'Saldos Iniciales'!$A:$A,"Durand")+SUMIFS(Movimientos!$K$1:$K$987,Movimientos!$C$1:$C$987,"Durand",Movimientos!$B$1:$B$987,"&lt;="&amp;$B52)</f>
        <v>1669.89</v>
      </c>
      <c r="F52" s="24">
        <f>SUMIFS('Saldos Iniciales'!$D:$D,'Saldos Iniciales'!$A:$A,"A&amp;M Imports")+SUMIFS(Movimientos!$K$1:$K$987,Movimientos!$C$1:$C$987,"A&amp;M Imports",Movimientos!$B$1:$B$987,"&lt;="&amp;$B52)</f>
        <v>334944.56999999983</v>
      </c>
      <c r="G52" s="24">
        <f>SUMIFS('Saldos Iniciales'!$D:$D,'Saldos Iniciales'!$A:$A,"SSP Capital")+SUMIFS(Movimientos!$K$1:$K$987,Movimientos!$C$1:$C$987,"SSP Capital",Movimientos!$B$1:$B$987,"&lt;="&amp;$B52)</f>
        <v>3340938.8499999996</v>
      </c>
      <c r="H52" s="24">
        <f>SUMIFS('Saldos Iniciales'!$D:$D,'Saldos Iniciales'!$A:$A,"Cross Family Trust")+SUMIFS(Movimientos!$K$1:$K$987,Movimientos!$C$1:$C$987,"Cross Family Trust",Movimientos!$B$1:$B$987,"&lt;="&amp;$B52)</f>
        <v>116496.38</v>
      </c>
      <c r="I52" s="24">
        <f>SUMIFS('Saldos Iniciales'!$D:$D,'Saldos Iniciales'!$A:$A,"Cross Security Trust")+SUMIFS(Movimientos!$K$1:$K$987,Movimientos!$C$1:$C$987,"Cross Security Trust",Movimientos!$B$1:$B$987,"&lt;="&amp;$B52)</f>
        <v>88090.37</v>
      </c>
      <c r="J52" s="24">
        <f>SUMIFS('Saldos Iniciales'!$D:$D,'Saldos Iniciales'!$A:$A,"Electrama")+SUMIFS(Movimientos!$K$1:$K$987,Movimientos!$C$1:$C$987,"Electrama",Movimientos!$B$1:$B$987,"&lt;="&amp;$B52)</f>
        <v>511.15999999999985</v>
      </c>
      <c r="K52" s="24">
        <f>SUMIFS('Saldos Iniciales'!$D:$D,'Saldos Iniciales'!$A:$A,"Sacred Valley Capital")+SUMIFS(Movimientos!$K$1:$K$987,Movimientos!$C$1:$C$987,"Sacred Valley Capital",Movimientos!$B$1:$B$987,"&lt;="&amp;$B52)</f>
        <v>84.35</v>
      </c>
      <c r="L52" s="24">
        <f>SUMIFS('Saldos Iniciales'!$D:$D,'Saldos Iniciales'!$A:$A,"YWC Capital")+SUMIFS(Movimientos!$K$1:$K$987,Movimientos!$C$1:$C$987,"YWC Capital",Movimientos!$B$1:$B$987,"&lt;="&amp;$B52)</f>
        <v>2237.77</v>
      </c>
      <c r="M52" s="24">
        <f>SUMIFS('Saldos Iniciales'!$D:$D,'Saldos Iniciales'!$A:$A,"Soweto")+SUMIFS(Movimientos!$K$1:$K$987,Movimientos!$C$1:$C$987,"Soweto",Movimientos!$B$1:$B$987,"&lt;="&amp;$B52)</f>
        <v>3349.94</v>
      </c>
      <c r="N52" s="24">
        <f>SUMIFS('Saldos Iniciales'!$D:$D,'Saldos Iniciales'!$A:$A,"Green Stone Trust")+SUMIFS(Movimientos!$K$1:$K$987,Movimientos!$C$1:$C$987,"Green Stone Trust",Movimientos!$B$1:$B$987,"&lt;="&amp;$B52)</f>
        <v>1968.99</v>
      </c>
      <c r="O52" s="24">
        <f>SUMIFS('Saldos Iniciales'!$D:$D,'Saldos Iniciales'!$A:$A,"EC Auto")+SUMIFS(Movimientos!$K$1:$K$987,Movimientos!$C$1:$C$987,"EC Auto",Movimientos!$B$1:$B$987,"&lt;="&amp;$B52)</f>
        <v>382.69000000000005</v>
      </c>
      <c r="P52" s="24">
        <f>SUMIFS('Saldos Iniciales'!$D:$D,'Saldos Iniciales'!$A:$A,"Arbor Capital Properties")+SUMIFS(Movimientos!$K$1:$K$987,Movimientos!$C$1:$C$987,"Arbor Capital Properties",Movimientos!$B$1:$B$987,"&lt;="&amp;$B52)</f>
        <v>1428.08</v>
      </c>
      <c r="Q52" s="24">
        <f>SUMIFS('Saldos Iniciales'!$D:$D,'Saldos Iniciales'!$A:$A,"2515 Overbrook")+SUMIFS(Movimientos!$K$1:$K$987,Movimientos!$C$1:$C$987,"2515 Overbrook",Movimientos!$B$1:$B$987,"&lt;="&amp;$B52)</f>
        <v>29789.969999999961</v>
      </c>
      <c r="R52" s="24">
        <f>SUMIFS('Saldos Iniciales'!$D:$D,'Saldos Iniciales'!$A:$A,"112 Florida Ave")+SUMIFS(Movimientos!$K$1:$K$987,Movimientos!$C$1:$C$987,"112 Florida Ave",Movimientos!$B$1:$B$987,"&lt;="&amp;$B52)</f>
        <v>20321.43</v>
      </c>
      <c r="S52" s="24">
        <f>SUMIFS('Saldos Iniciales'!$D:$D,'Saldos Iniciales'!$A:$A,"3628 Thomas Ave")+SUMIFS(Movimientos!$K$1:$K$987,Movimientos!$C$1:$C$987,"3628 Thomas Ave",Movimientos!$B$1:$B$987,"&lt;="&amp;$B52)</f>
        <v>16681.349999999999</v>
      </c>
      <c r="T52" s="24">
        <f>SUMIFS('Saldos Iniciales'!$D:$D,'Saldos Iniciales'!$A:$A,"Green Harbor Trust")+SUMIFS(Movimientos!$K$1:$K$987,Movimientos!$C$1:$C$987,"Green Harbor Trust",Movimientos!$B$1:$B$987,"&lt;="&amp;$B52)</f>
        <v>345</v>
      </c>
      <c r="U52" s="24">
        <f>SUMIFS('Saldos Iniciales'!$D:$D,'Saldos Iniciales'!$A:$A,"Go Blue")+SUMIFS(Movimientos!$K$1:$K$987,Movimientos!$C$1:$C$987,"Go Blue",Movimientos!$B$1:$B$987,"&lt;="&amp;$B52)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Group")+SUMIFS(Movimientos!$K$1:$K$987,Movimientos!$C$1:$C$987,"CFT Group",Movimientos!$B$1:$B$987,"&lt;="&amp;$B53)</f>
        <v>1179692.0800000003</v>
      </c>
      <c r="D53" s="24">
        <f>SUMIFS('Saldos Iniciales'!$D:$D,'Saldos Iniciales'!$A:$A,"M1B")+SUMIFS(Movimientos!$K$1:$K$987,Movimientos!$C$1:$C$987,"M1B",Movimientos!$B$1:$B$987,"&lt;="&amp;$B53)</f>
        <v>69376.390000000174</v>
      </c>
      <c r="E53" s="24">
        <f>SUMIFS('Saldos Iniciales'!$D:$D,'Saldos Iniciales'!$A:$A,"Durand")+SUMIFS(Movimientos!$K$1:$K$987,Movimientos!$C$1:$C$987,"Durand",Movimientos!$B$1:$B$987,"&lt;="&amp;$B53)</f>
        <v>1669.89</v>
      </c>
      <c r="F53" s="24">
        <f>SUMIFS('Saldos Iniciales'!$D:$D,'Saldos Iniciales'!$A:$A,"A&amp;M Imports")+SUMIFS(Movimientos!$K$1:$K$987,Movimientos!$C$1:$C$987,"A&amp;M Imports",Movimientos!$B$1:$B$987,"&lt;="&amp;$B53)</f>
        <v>334944.56999999983</v>
      </c>
      <c r="G53" s="24">
        <f>SUMIFS('Saldos Iniciales'!$D:$D,'Saldos Iniciales'!$A:$A,"SSP Capital")+SUMIFS(Movimientos!$K$1:$K$987,Movimientos!$C$1:$C$987,"SSP Capital",Movimientos!$B$1:$B$987,"&lt;="&amp;$B53)</f>
        <v>3340938.8499999996</v>
      </c>
      <c r="H53" s="24">
        <f>SUMIFS('Saldos Iniciales'!$D:$D,'Saldos Iniciales'!$A:$A,"Cross Family Trust")+SUMIFS(Movimientos!$K$1:$K$987,Movimientos!$C$1:$C$987,"Cross Family Trust",Movimientos!$B$1:$B$987,"&lt;="&amp;$B53)</f>
        <v>116496.38</v>
      </c>
      <c r="I53" s="24">
        <f>SUMIFS('Saldos Iniciales'!$D:$D,'Saldos Iniciales'!$A:$A,"Cross Security Trust")+SUMIFS(Movimientos!$K$1:$K$987,Movimientos!$C$1:$C$987,"Cross Security Trust",Movimientos!$B$1:$B$987,"&lt;="&amp;$B53)</f>
        <v>88090.37</v>
      </c>
      <c r="J53" s="24">
        <f>SUMIFS('Saldos Iniciales'!$D:$D,'Saldos Iniciales'!$A:$A,"Electrama")+SUMIFS(Movimientos!$K$1:$K$987,Movimientos!$C$1:$C$987,"Electrama",Movimientos!$B$1:$B$987,"&lt;="&amp;$B53)</f>
        <v>511.15999999999985</v>
      </c>
      <c r="K53" s="24">
        <f>SUMIFS('Saldos Iniciales'!$D:$D,'Saldos Iniciales'!$A:$A,"Sacred Valley Capital")+SUMIFS(Movimientos!$K$1:$K$987,Movimientos!$C$1:$C$987,"Sacred Valley Capital",Movimientos!$B$1:$B$987,"&lt;="&amp;$B53)</f>
        <v>84.35</v>
      </c>
      <c r="L53" s="24">
        <f>SUMIFS('Saldos Iniciales'!$D:$D,'Saldos Iniciales'!$A:$A,"YWC Capital")+SUMIFS(Movimientos!$K$1:$K$987,Movimientos!$C$1:$C$987,"YWC Capital",Movimientos!$B$1:$B$987,"&lt;="&amp;$B53)</f>
        <v>2237.77</v>
      </c>
      <c r="M53" s="24">
        <f>SUMIFS('Saldos Iniciales'!$D:$D,'Saldos Iniciales'!$A:$A,"Soweto")+SUMIFS(Movimientos!$K$1:$K$987,Movimientos!$C$1:$C$987,"Soweto",Movimientos!$B$1:$B$987,"&lt;="&amp;$B53)</f>
        <v>3349.94</v>
      </c>
      <c r="N53" s="24">
        <f>SUMIFS('Saldos Iniciales'!$D:$D,'Saldos Iniciales'!$A:$A,"Green Stone Trust")+SUMIFS(Movimientos!$K$1:$K$987,Movimientos!$C$1:$C$987,"Green Stone Trust",Movimientos!$B$1:$B$987,"&lt;="&amp;$B53)</f>
        <v>1968.99</v>
      </c>
      <c r="O53" s="24">
        <f>SUMIFS('Saldos Iniciales'!$D:$D,'Saldos Iniciales'!$A:$A,"EC Auto")+SUMIFS(Movimientos!$K$1:$K$987,Movimientos!$C$1:$C$987,"EC Auto",Movimientos!$B$1:$B$987,"&lt;="&amp;$B53)</f>
        <v>382.69000000000005</v>
      </c>
      <c r="P53" s="24">
        <f>SUMIFS('Saldos Iniciales'!$D:$D,'Saldos Iniciales'!$A:$A,"Arbor Capital Properties")+SUMIFS(Movimientos!$K$1:$K$987,Movimientos!$C$1:$C$987,"Arbor Capital Properties",Movimientos!$B$1:$B$987,"&lt;="&amp;$B53)</f>
        <v>1428.08</v>
      </c>
      <c r="Q53" s="24">
        <f>SUMIFS('Saldos Iniciales'!$D:$D,'Saldos Iniciales'!$A:$A,"2515 Overbrook")+SUMIFS(Movimientos!$K$1:$K$987,Movimientos!$C$1:$C$987,"2515 Overbrook",Movimientos!$B$1:$B$987,"&lt;="&amp;$B53)</f>
        <v>29789.969999999961</v>
      </c>
      <c r="R53" s="24">
        <f>SUMIFS('Saldos Iniciales'!$D:$D,'Saldos Iniciales'!$A:$A,"112 Florida Ave")+SUMIFS(Movimientos!$K$1:$K$987,Movimientos!$C$1:$C$987,"112 Florida Ave",Movimientos!$B$1:$B$987,"&lt;="&amp;$B53)</f>
        <v>20321.43</v>
      </c>
      <c r="S53" s="24">
        <f>SUMIFS('Saldos Iniciales'!$D:$D,'Saldos Iniciales'!$A:$A,"3628 Thomas Ave")+SUMIFS(Movimientos!$K$1:$K$987,Movimientos!$C$1:$C$987,"3628 Thomas Ave",Movimientos!$B$1:$B$987,"&lt;="&amp;$B53)</f>
        <v>16681.349999999999</v>
      </c>
      <c r="T53" s="24">
        <f>SUMIFS('Saldos Iniciales'!$D:$D,'Saldos Iniciales'!$A:$A,"Green Harbor Trust")+SUMIFS(Movimientos!$K$1:$K$987,Movimientos!$C$1:$C$987,"Green Harbor Trust",Movimientos!$B$1:$B$987,"&lt;="&amp;$B53)</f>
        <v>345</v>
      </c>
      <c r="U53" s="24">
        <f>SUMIFS('Saldos Iniciales'!$D:$D,'Saldos Iniciales'!$A:$A,"Go Blue")+SUMIFS(Movimientos!$K$1:$K$987,Movimientos!$C$1:$C$987,"Go Blue",Movimientos!$B$1:$B$987,"&lt;="&amp;$B53)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Group")+SUMIFS(Movimientos!$K$1:$K$987,Movimientos!$C$1:$C$987,"CFT Group",Movimientos!$B$1:$B$987,"&lt;="&amp;$B54)</f>
        <v>7694665.4700000007</v>
      </c>
      <c r="D54" s="24">
        <f>SUMIFS('Saldos Iniciales'!$D:$D,'Saldos Iniciales'!$A:$A,"M1B")+SUMIFS(Movimientos!$K$1:$K$987,Movimientos!$C$1:$C$987,"M1B",Movimientos!$B$1:$B$987,"&lt;="&amp;$B54)</f>
        <v>69376.390000000174</v>
      </c>
      <c r="E54" s="24">
        <f>SUMIFS('Saldos Iniciales'!$D:$D,'Saldos Iniciales'!$A:$A,"Durand")+SUMIFS(Movimientos!$K$1:$K$987,Movimientos!$C$1:$C$987,"Durand",Movimientos!$B$1:$B$987,"&lt;="&amp;$B54)</f>
        <v>1669.89</v>
      </c>
      <c r="F54" s="24">
        <f>SUMIFS('Saldos Iniciales'!$D:$D,'Saldos Iniciales'!$A:$A,"A&amp;M Imports")+SUMIFS(Movimientos!$K$1:$K$987,Movimientos!$C$1:$C$987,"A&amp;M Imports",Movimientos!$B$1:$B$987,"&lt;="&amp;$B54)</f>
        <v>334944.56999999983</v>
      </c>
      <c r="G54" s="24">
        <f>SUMIFS('Saldos Iniciales'!$D:$D,'Saldos Iniciales'!$A:$A,"SSP Capital")+SUMIFS(Movimientos!$K$1:$K$987,Movimientos!$C$1:$C$987,"SSP Capital",Movimientos!$B$1:$B$987,"&lt;="&amp;$B54)</f>
        <v>3340110.8099999996</v>
      </c>
      <c r="H54" s="24">
        <f>SUMIFS('Saldos Iniciales'!$D:$D,'Saldos Iniciales'!$A:$A,"Cross Family Trust")+SUMIFS(Movimientos!$K$1:$K$987,Movimientos!$C$1:$C$987,"Cross Family Trust",Movimientos!$B$1:$B$987,"&lt;="&amp;$B54)</f>
        <v>116496.38</v>
      </c>
      <c r="I54" s="24">
        <f>SUMIFS('Saldos Iniciales'!$D:$D,'Saldos Iniciales'!$A:$A,"Cross Security Trust")+SUMIFS(Movimientos!$K$1:$K$987,Movimientos!$C$1:$C$987,"Cross Security Trust",Movimientos!$B$1:$B$987,"&lt;="&amp;$B54)</f>
        <v>88090.37</v>
      </c>
      <c r="J54" s="24">
        <f>SUMIFS('Saldos Iniciales'!$D:$D,'Saldos Iniciales'!$A:$A,"Electrama")+SUMIFS(Movimientos!$K$1:$K$987,Movimientos!$C$1:$C$987,"Electrama",Movimientos!$B$1:$B$987,"&lt;="&amp;$B54)</f>
        <v>511.15999999999985</v>
      </c>
      <c r="K54" s="24">
        <f>SUMIFS('Saldos Iniciales'!$D:$D,'Saldos Iniciales'!$A:$A,"Sacred Valley Capital")+SUMIFS(Movimientos!$K$1:$K$987,Movimientos!$C$1:$C$987,"Sacred Valley Capital",Movimientos!$B$1:$B$987,"&lt;="&amp;$B54)</f>
        <v>84.35</v>
      </c>
      <c r="L54" s="24">
        <f>SUMIFS('Saldos Iniciales'!$D:$D,'Saldos Iniciales'!$A:$A,"YWC Capital")+SUMIFS(Movimientos!$K$1:$K$987,Movimientos!$C$1:$C$987,"YWC Capital",Movimientos!$B$1:$B$987,"&lt;="&amp;$B54)</f>
        <v>2237.77</v>
      </c>
      <c r="M54" s="24">
        <f>SUMIFS('Saldos Iniciales'!$D:$D,'Saldos Iniciales'!$A:$A,"Soweto")+SUMIFS(Movimientos!$K$1:$K$987,Movimientos!$C$1:$C$987,"Soweto",Movimientos!$B$1:$B$987,"&lt;="&amp;$B54)</f>
        <v>3349.94</v>
      </c>
      <c r="N54" s="24">
        <f>SUMIFS('Saldos Iniciales'!$D:$D,'Saldos Iniciales'!$A:$A,"Green Stone Trust")+SUMIFS(Movimientos!$K$1:$K$987,Movimientos!$C$1:$C$987,"Green Stone Trust",Movimientos!$B$1:$B$987,"&lt;="&amp;$B54)</f>
        <v>1968.99</v>
      </c>
      <c r="O54" s="24">
        <f>SUMIFS('Saldos Iniciales'!$D:$D,'Saldos Iniciales'!$A:$A,"EC Auto")+SUMIFS(Movimientos!$K$1:$K$987,Movimientos!$C$1:$C$987,"EC Auto",Movimientos!$B$1:$B$987,"&lt;="&amp;$B54)</f>
        <v>382.69000000000005</v>
      </c>
      <c r="P54" s="24">
        <f>SUMIFS('Saldos Iniciales'!$D:$D,'Saldos Iniciales'!$A:$A,"Arbor Capital Properties")+SUMIFS(Movimientos!$K$1:$K$987,Movimientos!$C$1:$C$987,"Arbor Capital Properties",Movimientos!$B$1:$B$987,"&lt;="&amp;$B54)</f>
        <v>1428.08</v>
      </c>
      <c r="Q54" s="24">
        <f>SUMIFS('Saldos Iniciales'!$D:$D,'Saldos Iniciales'!$A:$A,"2515 Overbrook")+SUMIFS(Movimientos!$K$1:$K$987,Movimientos!$C$1:$C$987,"2515 Overbrook",Movimientos!$B$1:$B$987,"&lt;="&amp;$B54)</f>
        <v>31039.969999999961</v>
      </c>
      <c r="R54" s="24">
        <f>SUMIFS('Saldos Iniciales'!$D:$D,'Saldos Iniciales'!$A:$A,"112 Florida Ave")+SUMIFS(Movimientos!$K$1:$K$987,Movimientos!$C$1:$C$987,"112 Florida Ave",Movimientos!$B$1:$B$987,"&lt;="&amp;$B54)</f>
        <v>20321.43</v>
      </c>
      <c r="S54" s="24">
        <f>SUMIFS('Saldos Iniciales'!$D:$D,'Saldos Iniciales'!$A:$A,"3628 Thomas Ave")+SUMIFS(Movimientos!$K$1:$K$987,Movimientos!$C$1:$C$987,"3628 Thomas Ave",Movimientos!$B$1:$B$987,"&lt;="&amp;$B54)</f>
        <v>16681.349999999999</v>
      </c>
      <c r="T54" s="24">
        <f>SUMIFS('Saldos Iniciales'!$D:$D,'Saldos Iniciales'!$A:$A,"Green Harbor Trust")+SUMIFS(Movimientos!$K$1:$K$987,Movimientos!$C$1:$C$987,"Green Harbor Trust",Movimientos!$B$1:$B$987,"&lt;="&amp;$B54)</f>
        <v>345</v>
      </c>
      <c r="U54" s="24">
        <f>SUMIFS('Saldos Iniciales'!$D:$D,'Saldos Iniciales'!$A:$A,"Go Blue")+SUMIFS(Movimientos!$K$1:$K$987,Movimientos!$C$1:$C$987,"Go Blue",Movimientos!$B$1:$B$987,"&lt;="&amp;$B54)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Group")+SUMIFS(Movimientos!$K$1:$K$987,Movimientos!$C$1:$C$987,"CFT Group",Movimientos!$B$1:$B$987,"&lt;="&amp;$B55)</f>
        <v>7757074.9200000009</v>
      </c>
      <c r="D55" s="24">
        <f>SUMIFS('Saldos Iniciales'!$D:$D,'Saldos Iniciales'!$A:$A,"M1B")+SUMIFS(Movimientos!$K$1:$K$987,Movimientos!$C$1:$C$987,"M1B",Movimientos!$B$1:$B$987,"&lt;="&amp;$B55)</f>
        <v>69376.390000000174</v>
      </c>
      <c r="E55" s="24">
        <f>SUMIFS('Saldos Iniciales'!$D:$D,'Saldos Iniciales'!$A:$A,"Durand")+SUMIFS(Movimientos!$K$1:$K$987,Movimientos!$C$1:$C$987,"Durand",Movimientos!$B$1:$B$987,"&lt;="&amp;$B55)</f>
        <v>1669.89</v>
      </c>
      <c r="F55" s="24">
        <f>SUMIFS('Saldos Iniciales'!$D:$D,'Saldos Iniciales'!$A:$A,"A&amp;M Imports")+SUMIFS(Movimientos!$K$1:$K$987,Movimientos!$C$1:$C$987,"A&amp;M Imports",Movimientos!$B$1:$B$987,"&lt;="&amp;$B55)</f>
        <v>334944.56999999983</v>
      </c>
      <c r="G55" s="24">
        <f>SUMIFS('Saldos Iniciales'!$D:$D,'Saldos Iniciales'!$A:$A,"SSP Capital")+SUMIFS(Movimientos!$K$1:$K$987,Movimientos!$C$1:$C$987,"SSP Capital",Movimientos!$B$1:$B$987,"&lt;="&amp;$B55)</f>
        <v>3340110.8099999996</v>
      </c>
      <c r="H55" s="24">
        <f>SUMIFS('Saldos Iniciales'!$D:$D,'Saldos Iniciales'!$A:$A,"Cross Family Trust")+SUMIFS(Movimientos!$K$1:$K$987,Movimientos!$C$1:$C$987,"Cross Family Trust",Movimientos!$B$1:$B$987,"&lt;="&amp;$B55)</f>
        <v>116496.38</v>
      </c>
      <c r="I55" s="24">
        <f>SUMIFS('Saldos Iniciales'!$D:$D,'Saldos Iniciales'!$A:$A,"Cross Security Trust")+SUMIFS(Movimientos!$K$1:$K$987,Movimientos!$C$1:$C$987,"Cross Security Trust",Movimientos!$B$1:$B$987,"&lt;="&amp;$B55)</f>
        <v>88090.37</v>
      </c>
      <c r="J55" s="24">
        <f>SUMIFS('Saldos Iniciales'!$D:$D,'Saldos Iniciales'!$A:$A,"Electrama")+SUMIFS(Movimientos!$K$1:$K$987,Movimientos!$C$1:$C$987,"Electrama",Movimientos!$B$1:$B$987,"&lt;="&amp;$B55)</f>
        <v>511.15999999999985</v>
      </c>
      <c r="K55" s="24">
        <f>SUMIFS('Saldos Iniciales'!$D:$D,'Saldos Iniciales'!$A:$A,"Sacred Valley Capital")+SUMIFS(Movimientos!$K$1:$K$987,Movimientos!$C$1:$C$987,"Sacred Valley Capital",Movimientos!$B$1:$B$987,"&lt;="&amp;$B55)</f>
        <v>84.35</v>
      </c>
      <c r="L55" s="24">
        <f>SUMIFS('Saldos Iniciales'!$D:$D,'Saldos Iniciales'!$A:$A,"YWC Capital")+SUMIFS(Movimientos!$K$1:$K$987,Movimientos!$C$1:$C$987,"YWC Capital",Movimientos!$B$1:$B$987,"&lt;="&amp;$B55)</f>
        <v>2237.77</v>
      </c>
      <c r="M55" s="24">
        <f>SUMIFS('Saldos Iniciales'!$D:$D,'Saldos Iniciales'!$A:$A,"Soweto")+SUMIFS(Movimientos!$K$1:$K$987,Movimientos!$C$1:$C$987,"Soweto",Movimientos!$B$1:$B$987,"&lt;="&amp;$B55)</f>
        <v>3349.94</v>
      </c>
      <c r="N55" s="24">
        <f>SUMIFS('Saldos Iniciales'!$D:$D,'Saldos Iniciales'!$A:$A,"Green Stone Trust")+SUMIFS(Movimientos!$K$1:$K$987,Movimientos!$C$1:$C$987,"Green Stone Trust",Movimientos!$B$1:$B$987,"&lt;="&amp;$B55)</f>
        <v>1968.99</v>
      </c>
      <c r="O55" s="24">
        <f>SUMIFS('Saldos Iniciales'!$D:$D,'Saldos Iniciales'!$A:$A,"EC Auto")+SUMIFS(Movimientos!$K$1:$K$987,Movimientos!$C$1:$C$987,"EC Auto",Movimientos!$B$1:$B$987,"&lt;="&amp;$B55)</f>
        <v>382.69000000000005</v>
      </c>
      <c r="P55" s="24">
        <f>SUMIFS('Saldos Iniciales'!$D:$D,'Saldos Iniciales'!$A:$A,"Arbor Capital Properties")+SUMIFS(Movimientos!$K$1:$K$987,Movimientos!$C$1:$C$987,"Arbor Capital Properties",Movimientos!$B$1:$B$987,"&lt;="&amp;$B55)</f>
        <v>1428.08</v>
      </c>
      <c r="Q55" s="24">
        <f>SUMIFS('Saldos Iniciales'!$D:$D,'Saldos Iniciales'!$A:$A,"2515 Overbrook")+SUMIFS(Movimientos!$K$1:$K$987,Movimientos!$C$1:$C$987,"2515 Overbrook",Movimientos!$B$1:$B$987,"&lt;="&amp;$B55)</f>
        <v>31039.969999999961</v>
      </c>
      <c r="R55" s="24">
        <f>SUMIFS('Saldos Iniciales'!$D:$D,'Saldos Iniciales'!$A:$A,"112 Florida Ave")+SUMIFS(Movimientos!$K$1:$K$987,Movimientos!$C$1:$C$987,"112 Florida Ave",Movimientos!$B$1:$B$987,"&lt;="&amp;$B55)</f>
        <v>20321.43</v>
      </c>
      <c r="S55" s="24">
        <f>SUMIFS('Saldos Iniciales'!$D:$D,'Saldos Iniciales'!$A:$A,"3628 Thomas Ave")+SUMIFS(Movimientos!$K$1:$K$987,Movimientos!$C$1:$C$987,"3628 Thomas Ave",Movimientos!$B$1:$B$987,"&lt;="&amp;$B55)</f>
        <v>16681.349999999999</v>
      </c>
      <c r="T55" s="24">
        <f>SUMIFS('Saldos Iniciales'!$D:$D,'Saldos Iniciales'!$A:$A,"Green Harbor Trust")+SUMIFS(Movimientos!$K$1:$K$987,Movimientos!$C$1:$C$987,"Green Harbor Trust",Movimientos!$B$1:$B$987,"&lt;="&amp;$B55)</f>
        <v>345</v>
      </c>
      <c r="U55" s="24">
        <f>SUMIFS('Saldos Iniciales'!$D:$D,'Saldos Iniciales'!$A:$A,"Go Blue")+SUMIFS(Movimientos!$K$1:$K$987,Movimientos!$C$1:$C$987,"Go Blue",Movimientos!$B$1:$B$987,"&lt;="&amp;$B55)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Group")+SUMIFS(Movimientos!$K$1:$K$987,Movimientos!$C$1:$C$987,"CFT Group",Movimientos!$B$1:$B$987,"&lt;="&amp;$B56)</f>
        <v>7824144.040000001</v>
      </c>
      <c r="D56" s="24">
        <f>SUMIFS('Saldos Iniciales'!$D:$D,'Saldos Iniciales'!$A:$A,"M1B")+SUMIFS(Movimientos!$K$1:$K$987,Movimientos!$C$1:$C$987,"M1B",Movimientos!$B$1:$B$987,"&lt;="&amp;$B56)</f>
        <v>72386.190000000177</v>
      </c>
      <c r="E56" s="24">
        <f>SUMIFS('Saldos Iniciales'!$D:$D,'Saldos Iniciales'!$A:$A,"Durand")+SUMIFS(Movimientos!$K$1:$K$987,Movimientos!$C$1:$C$987,"Durand",Movimientos!$B$1:$B$987,"&lt;="&amp;$B56)</f>
        <v>1669.89</v>
      </c>
      <c r="F56" s="24">
        <f>SUMIFS('Saldos Iniciales'!$D:$D,'Saldos Iniciales'!$A:$A,"A&amp;M Imports")+SUMIFS(Movimientos!$K$1:$K$987,Movimientos!$C$1:$C$987,"A&amp;M Imports",Movimientos!$B$1:$B$987,"&lt;="&amp;$B56)</f>
        <v>363806.48999999987</v>
      </c>
      <c r="G56" s="24">
        <f>SUMIFS('Saldos Iniciales'!$D:$D,'Saldos Iniciales'!$A:$A,"SSP Capital")+SUMIFS(Movimientos!$K$1:$K$987,Movimientos!$C$1:$C$987,"SSP Capital",Movimientos!$B$1:$B$987,"&lt;="&amp;$B56)</f>
        <v>3340110.8099999996</v>
      </c>
      <c r="H56" s="24">
        <f>SUMIFS('Saldos Iniciales'!$D:$D,'Saldos Iniciales'!$A:$A,"Cross Family Trust")+SUMIFS(Movimientos!$K$1:$K$987,Movimientos!$C$1:$C$987,"Cross Family Trust",Movimientos!$B$1:$B$987,"&lt;="&amp;$B56)</f>
        <v>116496.38</v>
      </c>
      <c r="I56" s="24">
        <f>SUMIFS('Saldos Iniciales'!$D:$D,'Saldos Iniciales'!$A:$A,"Cross Security Trust")+SUMIFS(Movimientos!$K$1:$K$987,Movimientos!$C$1:$C$987,"Cross Security Trust",Movimientos!$B$1:$B$987,"&lt;="&amp;$B56)</f>
        <v>88090.37</v>
      </c>
      <c r="J56" s="24">
        <f>SUMIFS('Saldos Iniciales'!$D:$D,'Saldos Iniciales'!$A:$A,"Electrama")+SUMIFS(Movimientos!$K$1:$K$987,Movimientos!$C$1:$C$987,"Electrama",Movimientos!$B$1:$B$987,"&lt;="&amp;$B56)</f>
        <v>511.15999999999985</v>
      </c>
      <c r="K56" s="24">
        <f>SUMIFS('Saldos Iniciales'!$D:$D,'Saldos Iniciales'!$A:$A,"Sacred Valley Capital")+SUMIFS(Movimientos!$K$1:$K$987,Movimientos!$C$1:$C$987,"Sacred Valley Capital",Movimientos!$B$1:$B$987,"&lt;="&amp;$B56)</f>
        <v>84.35</v>
      </c>
      <c r="L56" s="24">
        <f>SUMIFS('Saldos Iniciales'!$D:$D,'Saldos Iniciales'!$A:$A,"YWC Capital")+SUMIFS(Movimientos!$K$1:$K$987,Movimientos!$C$1:$C$987,"YWC Capital",Movimientos!$B$1:$B$987,"&lt;="&amp;$B56)</f>
        <v>2237.77</v>
      </c>
      <c r="M56" s="24">
        <f>SUMIFS('Saldos Iniciales'!$D:$D,'Saldos Iniciales'!$A:$A,"Soweto")+SUMIFS(Movimientos!$K$1:$K$987,Movimientos!$C$1:$C$987,"Soweto",Movimientos!$B$1:$B$987,"&lt;="&amp;$B56)</f>
        <v>3349.94</v>
      </c>
      <c r="N56" s="24">
        <f>SUMIFS('Saldos Iniciales'!$D:$D,'Saldos Iniciales'!$A:$A,"Green Stone Trust")+SUMIFS(Movimientos!$K$1:$K$987,Movimientos!$C$1:$C$987,"Green Stone Trust",Movimientos!$B$1:$B$987,"&lt;="&amp;$B56)</f>
        <v>1968.99</v>
      </c>
      <c r="O56" s="24">
        <f>SUMIFS('Saldos Iniciales'!$D:$D,'Saldos Iniciales'!$A:$A,"EC Auto")+SUMIFS(Movimientos!$K$1:$K$987,Movimientos!$C$1:$C$987,"EC Auto",Movimientos!$B$1:$B$987,"&lt;="&amp;$B56)</f>
        <v>382.69000000000005</v>
      </c>
      <c r="P56" s="24">
        <f>SUMIFS('Saldos Iniciales'!$D:$D,'Saldos Iniciales'!$A:$A,"Arbor Capital Properties")+SUMIFS(Movimientos!$K$1:$K$987,Movimientos!$C$1:$C$987,"Arbor Capital Properties",Movimientos!$B$1:$B$987,"&lt;="&amp;$B56)</f>
        <v>1428.08</v>
      </c>
      <c r="Q56" s="24">
        <f>SUMIFS('Saldos Iniciales'!$D:$D,'Saldos Iniciales'!$A:$A,"2515 Overbrook")+SUMIFS(Movimientos!$K$1:$K$987,Movimientos!$C$1:$C$987,"2515 Overbrook",Movimientos!$B$1:$B$987,"&lt;="&amp;$B56)</f>
        <v>31039.969999999961</v>
      </c>
      <c r="R56" s="24">
        <f>SUMIFS('Saldos Iniciales'!$D:$D,'Saldos Iniciales'!$A:$A,"112 Florida Ave")+SUMIFS(Movimientos!$K$1:$K$987,Movimientos!$C$1:$C$987,"112 Florida Ave",Movimientos!$B$1:$B$987,"&lt;="&amp;$B56)</f>
        <v>20321.43</v>
      </c>
      <c r="S56" s="24">
        <f>SUMIFS('Saldos Iniciales'!$D:$D,'Saldos Iniciales'!$A:$A,"3628 Thomas Ave")+SUMIFS(Movimientos!$K$1:$K$987,Movimientos!$C$1:$C$987,"3628 Thomas Ave",Movimientos!$B$1:$B$987,"&lt;="&amp;$B56)</f>
        <v>16681.349999999999</v>
      </c>
      <c r="T56" s="24">
        <f>SUMIFS('Saldos Iniciales'!$D:$D,'Saldos Iniciales'!$A:$A,"Green Harbor Trust")+SUMIFS(Movimientos!$K$1:$K$987,Movimientos!$C$1:$C$987,"Green Harbor Trust",Movimientos!$B$1:$B$987,"&lt;="&amp;$B56)</f>
        <v>345</v>
      </c>
      <c r="U56" s="24">
        <f>SUMIFS('Saldos Iniciales'!$D:$D,'Saldos Iniciales'!$A:$A,"Go Blue")+SUMIFS(Movimientos!$K$1:$K$987,Movimientos!$C$1:$C$987,"Go Blue",Movimientos!$B$1:$B$987,"&lt;="&amp;$B56)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Group")+SUMIFS(Movimientos!$K$1:$K$987,Movimientos!$C$1:$C$987,"CFT Group",Movimientos!$B$1:$B$987,"&lt;="&amp;$B57)</f>
        <v>6380269.040000001</v>
      </c>
      <c r="D57" s="24">
        <f>SUMIFS('Saldos Iniciales'!$D:$D,'Saldos Iniciales'!$A:$A,"M1B")+SUMIFS(Movimientos!$K$1:$K$987,Movimientos!$C$1:$C$987,"M1B",Movimientos!$B$1:$B$987,"&lt;="&amp;$B57)</f>
        <v>72386.190000000177</v>
      </c>
      <c r="E57" s="24">
        <f>SUMIFS('Saldos Iniciales'!$D:$D,'Saldos Iniciales'!$A:$A,"Durand")+SUMIFS(Movimientos!$K$1:$K$987,Movimientos!$C$1:$C$987,"Durand",Movimientos!$B$1:$B$987,"&lt;="&amp;$B57)</f>
        <v>1669.89</v>
      </c>
      <c r="F57" s="24">
        <f>SUMIFS('Saldos Iniciales'!$D:$D,'Saldos Iniciales'!$A:$A,"A&amp;M Imports")+SUMIFS(Movimientos!$K$1:$K$987,Movimientos!$C$1:$C$987,"A&amp;M Imports",Movimientos!$B$1:$B$987,"&lt;="&amp;$B57)</f>
        <v>303806.48999999982</v>
      </c>
      <c r="G57" s="24">
        <f>SUMIFS('Saldos Iniciales'!$D:$D,'Saldos Iniciales'!$A:$A,"SSP Capital")+SUMIFS(Movimientos!$K$1:$K$987,Movimientos!$C$1:$C$987,"SSP Capital",Movimientos!$B$1:$B$987,"&lt;="&amp;$B57)</f>
        <v>1947394.8299999994</v>
      </c>
      <c r="H57" s="24">
        <f>SUMIFS('Saldos Iniciales'!$D:$D,'Saldos Iniciales'!$A:$A,"Cross Family Trust")+SUMIFS(Movimientos!$K$1:$K$987,Movimientos!$C$1:$C$987,"Cross Family Trust",Movimientos!$B$1:$B$987,"&lt;="&amp;$B57)</f>
        <v>1996496.38</v>
      </c>
      <c r="I57" s="24">
        <f>SUMIFS('Saldos Iniciales'!$D:$D,'Saldos Iniciales'!$A:$A,"Cross Security Trust")+SUMIFS(Movimientos!$K$1:$K$987,Movimientos!$C$1:$C$987,"Cross Security Trust",Movimientos!$B$1:$B$987,"&lt;="&amp;$B57)</f>
        <v>88090.37</v>
      </c>
      <c r="J57" s="24">
        <f>SUMIFS('Saldos Iniciales'!$D:$D,'Saldos Iniciales'!$A:$A,"Electrama")+SUMIFS(Movimientos!$K$1:$K$987,Movimientos!$C$1:$C$987,"Electrama",Movimientos!$B$1:$B$987,"&lt;="&amp;$B57)</f>
        <v>511.15999999999985</v>
      </c>
      <c r="K57" s="24">
        <f>SUMIFS('Saldos Iniciales'!$D:$D,'Saldos Iniciales'!$A:$A,"Sacred Valley Capital")+SUMIFS(Movimientos!$K$1:$K$987,Movimientos!$C$1:$C$987,"Sacred Valley Capital",Movimientos!$B$1:$B$987,"&lt;="&amp;$B57)</f>
        <v>84.35</v>
      </c>
      <c r="L57" s="24">
        <f>SUMIFS('Saldos Iniciales'!$D:$D,'Saldos Iniciales'!$A:$A,"YWC Capital")+SUMIFS(Movimientos!$K$1:$K$987,Movimientos!$C$1:$C$987,"YWC Capital",Movimientos!$B$1:$B$987,"&lt;="&amp;$B57)</f>
        <v>2237.77</v>
      </c>
      <c r="M57" s="24">
        <f>SUMIFS('Saldos Iniciales'!$D:$D,'Saldos Iniciales'!$A:$A,"Soweto")+SUMIFS(Movimientos!$K$1:$K$987,Movimientos!$C$1:$C$987,"Soweto",Movimientos!$B$1:$B$987,"&lt;="&amp;$B57)</f>
        <v>3349.94</v>
      </c>
      <c r="N57" s="24">
        <f>SUMIFS('Saldos Iniciales'!$D:$D,'Saldos Iniciales'!$A:$A,"Green Stone Trust")+SUMIFS(Movimientos!$K$1:$K$987,Movimientos!$C$1:$C$987,"Green Stone Trust",Movimientos!$B$1:$B$987,"&lt;="&amp;$B57)</f>
        <v>1968.99</v>
      </c>
      <c r="O57" s="24">
        <f>SUMIFS('Saldos Iniciales'!$D:$D,'Saldos Iniciales'!$A:$A,"EC Auto")+SUMIFS(Movimientos!$K$1:$K$987,Movimientos!$C$1:$C$987,"EC Auto",Movimientos!$B$1:$B$987,"&lt;="&amp;$B57)</f>
        <v>382.69000000000005</v>
      </c>
      <c r="P57" s="24">
        <f>SUMIFS('Saldos Iniciales'!$D:$D,'Saldos Iniciales'!$A:$A,"Arbor Capital Properties")+SUMIFS(Movimientos!$K$1:$K$987,Movimientos!$C$1:$C$987,"Arbor Capital Properties",Movimientos!$B$1:$B$987,"&lt;="&amp;$B57)</f>
        <v>1428.08</v>
      </c>
      <c r="Q57" s="24">
        <f>SUMIFS('Saldos Iniciales'!$D:$D,'Saldos Iniciales'!$A:$A,"2515 Overbrook")+SUMIFS(Movimientos!$K$1:$K$987,Movimientos!$C$1:$C$987,"2515 Overbrook",Movimientos!$B$1:$B$987,"&lt;="&amp;$B57)</f>
        <v>31039.969999999961</v>
      </c>
      <c r="R57" s="24">
        <f>SUMIFS('Saldos Iniciales'!$D:$D,'Saldos Iniciales'!$A:$A,"112 Florida Ave")+SUMIFS(Movimientos!$K$1:$K$987,Movimientos!$C$1:$C$987,"112 Florida Ave",Movimientos!$B$1:$B$987,"&lt;="&amp;$B57)</f>
        <v>20321.43</v>
      </c>
      <c r="S57" s="24">
        <f>SUMIFS('Saldos Iniciales'!$D:$D,'Saldos Iniciales'!$A:$A,"3628 Thomas Ave")+SUMIFS(Movimientos!$K$1:$K$987,Movimientos!$C$1:$C$987,"3628 Thomas Ave",Movimientos!$B$1:$B$987,"&lt;="&amp;$B57)</f>
        <v>28473.599999999999</v>
      </c>
      <c r="T57" s="24">
        <f>SUMIFS('Saldos Iniciales'!$D:$D,'Saldos Iniciales'!$A:$A,"Green Harbor Trust")+SUMIFS(Movimientos!$K$1:$K$987,Movimientos!$C$1:$C$987,"Green Harbor Trust",Movimientos!$B$1:$B$987,"&lt;="&amp;$B57)</f>
        <v>345</v>
      </c>
      <c r="U57" s="24">
        <f>SUMIFS('Saldos Iniciales'!$D:$D,'Saldos Iniciales'!$A:$A,"Go Blue")+SUMIFS(Movimientos!$K$1:$K$987,Movimientos!$C$1:$C$987,"Go Blue",Movimientos!$B$1:$B$987,"&lt;="&amp;$B57)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Group")+SUMIFS(Movimientos!$K$1:$K$987,Movimientos!$C$1:$C$987,"CFT Group",Movimientos!$B$1:$B$987,"&lt;="&amp;$B58)</f>
        <v>6369389.040000001</v>
      </c>
      <c r="D58" s="24">
        <f>SUMIFS('Saldos Iniciales'!$D:$D,'Saldos Iniciales'!$A:$A,"M1B")+SUMIFS(Movimientos!$K$1:$K$987,Movimientos!$C$1:$C$987,"M1B",Movimientos!$B$1:$B$987,"&lt;="&amp;$B58)</f>
        <v>72386.190000000177</v>
      </c>
      <c r="E58" s="24">
        <f>SUMIFS('Saldos Iniciales'!$D:$D,'Saldos Iniciales'!$A:$A,"Durand")+SUMIFS(Movimientos!$K$1:$K$987,Movimientos!$C$1:$C$987,"Durand",Movimientos!$B$1:$B$987,"&lt;="&amp;$B58)</f>
        <v>1669.89</v>
      </c>
      <c r="F58" s="24">
        <f>SUMIFS('Saldos Iniciales'!$D:$D,'Saldos Iniciales'!$A:$A,"A&amp;M Imports")+SUMIFS(Movimientos!$K$1:$K$987,Movimientos!$C$1:$C$987,"A&amp;M Imports",Movimientos!$B$1:$B$987,"&lt;="&amp;$B58)</f>
        <v>303806.48999999982</v>
      </c>
      <c r="G58" s="24">
        <f>SUMIFS('Saldos Iniciales'!$D:$D,'Saldos Iniciales'!$A:$A,"SSP Capital")+SUMIFS(Movimientos!$K$1:$K$987,Movimientos!$C$1:$C$987,"SSP Capital",Movimientos!$B$1:$B$987,"&lt;="&amp;$B58)</f>
        <v>1946631.8399999994</v>
      </c>
      <c r="H58" s="24">
        <f>SUMIFS('Saldos Iniciales'!$D:$D,'Saldos Iniciales'!$A:$A,"Cross Family Trust")+SUMIFS(Movimientos!$K$1:$K$987,Movimientos!$C$1:$C$987,"Cross Family Trust",Movimientos!$B$1:$B$987,"&lt;="&amp;$B58)</f>
        <v>1396496.38</v>
      </c>
      <c r="I58" s="24">
        <f>SUMIFS('Saldos Iniciales'!$D:$D,'Saldos Iniciales'!$A:$A,"Cross Security Trust")+SUMIFS(Movimientos!$K$1:$K$987,Movimientos!$C$1:$C$987,"Cross Security Trust",Movimientos!$B$1:$B$987,"&lt;="&amp;$B58)</f>
        <v>88090.37</v>
      </c>
      <c r="J58" s="24">
        <f>SUMIFS('Saldos Iniciales'!$D:$D,'Saldos Iniciales'!$A:$A,"Electrama")+SUMIFS(Movimientos!$K$1:$K$987,Movimientos!$C$1:$C$987,"Electrama",Movimientos!$B$1:$B$987,"&lt;="&amp;$B58)</f>
        <v>511.15999999999985</v>
      </c>
      <c r="K58" s="24">
        <f>SUMIFS('Saldos Iniciales'!$D:$D,'Saldos Iniciales'!$A:$A,"Sacred Valley Capital")+SUMIFS(Movimientos!$K$1:$K$987,Movimientos!$C$1:$C$987,"Sacred Valley Capital",Movimientos!$B$1:$B$987,"&lt;="&amp;$B58)</f>
        <v>84.35</v>
      </c>
      <c r="L58" s="24">
        <f>SUMIFS('Saldos Iniciales'!$D:$D,'Saldos Iniciales'!$A:$A,"YWC Capital")+SUMIFS(Movimientos!$K$1:$K$987,Movimientos!$C$1:$C$987,"YWC Capital",Movimientos!$B$1:$B$987,"&lt;="&amp;$B58)</f>
        <v>2237.77</v>
      </c>
      <c r="M58" s="24">
        <f>SUMIFS('Saldos Iniciales'!$D:$D,'Saldos Iniciales'!$A:$A,"Soweto")+SUMIFS(Movimientos!$K$1:$K$987,Movimientos!$C$1:$C$987,"Soweto",Movimientos!$B$1:$B$987,"&lt;="&amp;$B58)</f>
        <v>3349.94</v>
      </c>
      <c r="N58" s="24">
        <f>SUMIFS('Saldos Iniciales'!$D:$D,'Saldos Iniciales'!$A:$A,"Green Stone Trust")+SUMIFS(Movimientos!$K$1:$K$987,Movimientos!$C$1:$C$987,"Green Stone Trust",Movimientos!$B$1:$B$987,"&lt;="&amp;$B58)</f>
        <v>1968.99</v>
      </c>
      <c r="O58" s="24">
        <f>SUMIFS('Saldos Iniciales'!$D:$D,'Saldos Iniciales'!$A:$A,"EC Auto")+SUMIFS(Movimientos!$K$1:$K$987,Movimientos!$C$1:$C$987,"EC Auto",Movimientos!$B$1:$B$987,"&lt;="&amp;$B58)</f>
        <v>382.69000000000005</v>
      </c>
      <c r="P58" s="24">
        <f>SUMIFS('Saldos Iniciales'!$D:$D,'Saldos Iniciales'!$A:$A,"Arbor Capital Properties")+SUMIFS(Movimientos!$K$1:$K$987,Movimientos!$C$1:$C$987,"Arbor Capital Properties",Movimientos!$B$1:$B$987,"&lt;="&amp;$B58)</f>
        <v>1428.08</v>
      </c>
      <c r="Q58" s="24">
        <f>SUMIFS('Saldos Iniciales'!$D:$D,'Saldos Iniciales'!$A:$A,"2515 Overbrook")+SUMIFS(Movimientos!$K$1:$K$987,Movimientos!$C$1:$C$987,"2515 Overbrook",Movimientos!$B$1:$B$987,"&lt;="&amp;$B58)</f>
        <v>31039.969999999961</v>
      </c>
      <c r="R58" s="24">
        <f>SUMIFS('Saldos Iniciales'!$D:$D,'Saldos Iniciales'!$A:$A,"112 Florida Ave")+SUMIFS(Movimientos!$K$1:$K$987,Movimientos!$C$1:$C$987,"112 Florida Ave",Movimientos!$B$1:$B$987,"&lt;="&amp;$B58)</f>
        <v>20321.43</v>
      </c>
      <c r="S58" s="24">
        <f>SUMIFS('Saldos Iniciales'!$D:$D,'Saldos Iniciales'!$A:$A,"3628 Thomas Ave")+SUMIFS(Movimientos!$K$1:$K$987,Movimientos!$C$1:$C$987,"3628 Thomas Ave",Movimientos!$B$1:$B$987,"&lt;="&amp;$B58)</f>
        <v>28458.6</v>
      </c>
      <c r="T58" s="24">
        <f>SUMIFS('Saldos Iniciales'!$D:$D,'Saldos Iniciales'!$A:$A,"Green Harbor Trust")+SUMIFS(Movimientos!$K$1:$K$987,Movimientos!$C$1:$C$987,"Green Harbor Trust",Movimientos!$B$1:$B$987,"&lt;="&amp;$B58)</f>
        <v>345</v>
      </c>
      <c r="U58" s="24">
        <f>SUMIFS('Saldos Iniciales'!$D:$D,'Saldos Iniciales'!$A:$A,"Go Blue")+SUMIFS(Movimientos!$K$1:$K$987,Movimientos!$C$1:$C$987,"Go Blue",Movimientos!$B$1:$B$987,"&lt;="&amp;$B58)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Group")+SUMIFS(Movimientos!$K$1:$K$987,Movimientos!$C$1:$C$987,"CFT Group",Movimientos!$B$1:$B$987,"&lt;="&amp;$B59)</f>
        <v>6369389.040000001</v>
      </c>
      <c r="D59" s="24">
        <f>SUMIFS('Saldos Iniciales'!$D:$D,'Saldos Iniciales'!$A:$A,"M1B")+SUMIFS(Movimientos!$K$1:$K$987,Movimientos!$C$1:$C$987,"M1B",Movimientos!$B$1:$B$987,"&lt;="&amp;$B59)</f>
        <v>72386.190000000177</v>
      </c>
      <c r="E59" s="24">
        <f>SUMIFS('Saldos Iniciales'!$D:$D,'Saldos Iniciales'!$A:$A,"Durand")+SUMIFS(Movimientos!$K$1:$K$987,Movimientos!$C$1:$C$987,"Durand",Movimientos!$B$1:$B$987,"&lt;="&amp;$B59)</f>
        <v>1669.89</v>
      </c>
      <c r="F59" s="24">
        <f>SUMIFS('Saldos Iniciales'!$D:$D,'Saldos Iniciales'!$A:$A,"A&amp;M Imports")+SUMIFS(Movimientos!$K$1:$K$987,Movimientos!$C$1:$C$987,"A&amp;M Imports",Movimientos!$B$1:$B$987,"&lt;="&amp;$B59)</f>
        <v>303806.48999999982</v>
      </c>
      <c r="G59" s="24">
        <f>SUMIFS('Saldos Iniciales'!$D:$D,'Saldos Iniciales'!$A:$A,"SSP Capital")+SUMIFS(Movimientos!$K$1:$K$987,Movimientos!$C$1:$C$987,"SSP Capital",Movimientos!$B$1:$B$987,"&lt;="&amp;$B59)</f>
        <v>1946631.8399999994</v>
      </c>
      <c r="H59" s="24">
        <f>SUMIFS('Saldos Iniciales'!$D:$D,'Saldos Iniciales'!$A:$A,"Cross Family Trust")+SUMIFS(Movimientos!$K$1:$K$987,Movimientos!$C$1:$C$987,"Cross Family Trust",Movimientos!$B$1:$B$987,"&lt;="&amp;$B59)</f>
        <v>1396496.38</v>
      </c>
      <c r="I59" s="24">
        <f>SUMIFS('Saldos Iniciales'!$D:$D,'Saldos Iniciales'!$A:$A,"Cross Security Trust")+SUMIFS(Movimientos!$K$1:$K$987,Movimientos!$C$1:$C$987,"Cross Security Trust",Movimientos!$B$1:$B$987,"&lt;="&amp;$B59)</f>
        <v>88090.37</v>
      </c>
      <c r="J59" s="24">
        <f>SUMIFS('Saldos Iniciales'!$D:$D,'Saldos Iniciales'!$A:$A,"Electrama")+SUMIFS(Movimientos!$K$1:$K$987,Movimientos!$C$1:$C$987,"Electrama",Movimientos!$B$1:$B$987,"&lt;="&amp;$B59)</f>
        <v>511.15999999999985</v>
      </c>
      <c r="K59" s="24">
        <f>SUMIFS('Saldos Iniciales'!$D:$D,'Saldos Iniciales'!$A:$A,"Sacred Valley Capital")+SUMIFS(Movimientos!$K$1:$K$987,Movimientos!$C$1:$C$987,"Sacred Valley Capital",Movimientos!$B$1:$B$987,"&lt;="&amp;$B59)</f>
        <v>84.35</v>
      </c>
      <c r="L59" s="24">
        <f>SUMIFS('Saldos Iniciales'!$D:$D,'Saldos Iniciales'!$A:$A,"YWC Capital")+SUMIFS(Movimientos!$K$1:$K$987,Movimientos!$C$1:$C$987,"YWC Capital",Movimientos!$B$1:$B$987,"&lt;="&amp;$B59)</f>
        <v>2237.77</v>
      </c>
      <c r="M59" s="24">
        <f>SUMIFS('Saldos Iniciales'!$D:$D,'Saldos Iniciales'!$A:$A,"Soweto")+SUMIFS(Movimientos!$K$1:$K$987,Movimientos!$C$1:$C$987,"Soweto",Movimientos!$B$1:$B$987,"&lt;="&amp;$B59)</f>
        <v>3349.94</v>
      </c>
      <c r="N59" s="24">
        <f>SUMIFS('Saldos Iniciales'!$D:$D,'Saldos Iniciales'!$A:$A,"Green Stone Trust")+SUMIFS(Movimientos!$K$1:$K$987,Movimientos!$C$1:$C$987,"Green Stone Trust",Movimientos!$B$1:$B$987,"&lt;="&amp;$B59)</f>
        <v>1968.99</v>
      </c>
      <c r="O59" s="24">
        <f>SUMIFS('Saldos Iniciales'!$D:$D,'Saldos Iniciales'!$A:$A,"EC Auto")+SUMIFS(Movimientos!$K$1:$K$987,Movimientos!$C$1:$C$987,"EC Auto",Movimientos!$B$1:$B$987,"&lt;="&amp;$B59)</f>
        <v>382.69000000000005</v>
      </c>
      <c r="P59" s="24">
        <f>SUMIFS('Saldos Iniciales'!$D:$D,'Saldos Iniciales'!$A:$A,"Arbor Capital Properties")+SUMIFS(Movimientos!$K$1:$K$987,Movimientos!$C$1:$C$987,"Arbor Capital Properties",Movimientos!$B$1:$B$987,"&lt;="&amp;$B59)</f>
        <v>1428.08</v>
      </c>
      <c r="Q59" s="24">
        <f>SUMIFS('Saldos Iniciales'!$D:$D,'Saldos Iniciales'!$A:$A,"2515 Overbrook")+SUMIFS(Movimientos!$K$1:$K$987,Movimientos!$C$1:$C$987,"2515 Overbrook",Movimientos!$B$1:$B$987,"&lt;="&amp;$B59)</f>
        <v>31039.969999999961</v>
      </c>
      <c r="R59" s="24">
        <f>SUMIFS('Saldos Iniciales'!$D:$D,'Saldos Iniciales'!$A:$A,"112 Florida Ave")+SUMIFS(Movimientos!$K$1:$K$987,Movimientos!$C$1:$C$987,"112 Florida Ave",Movimientos!$B$1:$B$987,"&lt;="&amp;$B59)</f>
        <v>20321.43</v>
      </c>
      <c r="S59" s="24">
        <f>SUMIFS('Saldos Iniciales'!$D:$D,'Saldos Iniciales'!$A:$A,"3628 Thomas Ave")+SUMIFS(Movimientos!$K$1:$K$987,Movimientos!$C$1:$C$987,"3628 Thomas Ave",Movimientos!$B$1:$B$987,"&lt;="&amp;$B59)</f>
        <v>28458.6</v>
      </c>
      <c r="T59" s="24">
        <f>SUMIFS('Saldos Iniciales'!$D:$D,'Saldos Iniciales'!$A:$A,"Green Harbor Trust")+SUMIFS(Movimientos!$K$1:$K$987,Movimientos!$C$1:$C$987,"Green Harbor Trust",Movimientos!$B$1:$B$987,"&lt;="&amp;$B59)</f>
        <v>345</v>
      </c>
      <c r="U59" s="24">
        <f>SUMIFS('Saldos Iniciales'!$D:$D,'Saldos Iniciales'!$A:$A,"Go Blue")+SUMIFS(Movimientos!$K$1:$K$987,Movimientos!$C$1:$C$987,"Go Blue",Movimientos!$B$1:$B$987,"&lt;="&amp;$B59)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Group")+SUMIFS(Movimientos!$K$1:$K$987,Movimientos!$C$1:$C$987,"CFT Group",Movimientos!$B$1:$B$987,"&lt;="&amp;$B60)</f>
        <v>6369389.040000001</v>
      </c>
      <c r="D60" s="24">
        <f>SUMIFS('Saldos Iniciales'!$D:$D,'Saldos Iniciales'!$A:$A,"M1B")+SUMIFS(Movimientos!$K$1:$K$987,Movimientos!$C$1:$C$987,"M1B",Movimientos!$B$1:$B$987,"&lt;="&amp;$B60)</f>
        <v>72386.190000000177</v>
      </c>
      <c r="E60" s="24">
        <f>SUMIFS('Saldos Iniciales'!$D:$D,'Saldos Iniciales'!$A:$A,"Durand")+SUMIFS(Movimientos!$K$1:$K$987,Movimientos!$C$1:$C$987,"Durand",Movimientos!$B$1:$B$987,"&lt;="&amp;$B60)</f>
        <v>1669.89</v>
      </c>
      <c r="F60" s="24">
        <f>SUMIFS('Saldos Iniciales'!$D:$D,'Saldos Iniciales'!$A:$A,"A&amp;M Imports")+SUMIFS(Movimientos!$K$1:$K$987,Movimientos!$C$1:$C$987,"A&amp;M Imports",Movimientos!$B$1:$B$987,"&lt;="&amp;$B60)</f>
        <v>303806.48999999982</v>
      </c>
      <c r="G60" s="24">
        <f>SUMIFS('Saldos Iniciales'!$D:$D,'Saldos Iniciales'!$A:$A,"SSP Capital")+SUMIFS(Movimientos!$K$1:$K$987,Movimientos!$C$1:$C$987,"SSP Capital",Movimientos!$B$1:$B$987,"&lt;="&amp;$B60)</f>
        <v>1946631.8399999994</v>
      </c>
      <c r="H60" s="24">
        <f>SUMIFS('Saldos Iniciales'!$D:$D,'Saldos Iniciales'!$A:$A,"Cross Family Trust")+SUMIFS(Movimientos!$K$1:$K$987,Movimientos!$C$1:$C$987,"Cross Family Trust",Movimientos!$B$1:$B$987,"&lt;="&amp;$B60)</f>
        <v>1396496.38</v>
      </c>
      <c r="I60" s="24">
        <f>SUMIFS('Saldos Iniciales'!$D:$D,'Saldos Iniciales'!$A:$A,"Cross Security Trust")+SUMIFS(Movimientos!$K$1:$K$987,Movimientos!$C$1:$C$987,"Cross Security Trust",Movimientos!$B$1:$B$987,"&lt;="&amp;$B60)</f>
        <v>88090.37</v>
      </c>
      <c r="J60" s="24">
        <f>SUMIFS('Saldos Iniciales'!$D:$D,'Saldos Iniciales'!$A:$A,"Electrama")+SUMIFS(Movimientos!$K$1:$K$987,Movimientos!$C$1:$C$987,"Electrama",Movimientos!$B$1:$B$987,"&lt;="&amp;$B60)</f>
        <v>511.15999999999985</v>
      </c>
      <c r="K60" s="24">
        <f>SUMIFS('Saldos Iniciales'!$D:$D,'Saldos Iniciales'!$A:$A,"Sacred Valley Capital")+SUMIFS(Movimientos!$K$1:$K$987,Movimientos!$C$1:$C$987,"Sacred Valley Capital",Movimientos!$B$1:$B$987,"&lt;="&amp;$B60)</f>
        <v>84.35</v>
      </c>
      <c r="L60" s="24">
        <f>SUMIFS('Saldos Iniciales'!$D:$D,'Saldos Iniciales'!$A:$A,"YWC Capital")+SUMIFS(Movimientos!$K$1:$K$987,Movimientos!$C$1:$C$987,"YWC Capital",Movimientos!$B$1:$B$987,"&lt;="&amp;$B60)</f>
        <v>2237.77</v>
      </c>
      <c r="M60" s="24">
        <f>SUMIFS('Saldos Iniciales'!$D:$D,'Saldos Iniciales'!$A:$A,"Soweto")+SUMIFS(Movimientos!$K$1:$K$987,Movimientos!$C$1:$C$987,"Soweto",Movimientos!$B$1:$B$987,"&lt;="&amp;$B60)</f>
        <v>3349.94</v>
      </c>
      <c r="N60" s="24">
        <f>SUMIFS('Saldos Iniciales'!$D:$D,'Saldos Iniciales'!$A:$A,"Green Stone Trust")+SUMIFS(Movimientos!$K$1:$K$987,Movimientos!$C$1:$C$987,"Green Stone Trust",Movimientos!$B$1:$B$987,"&lt;="&amp;$B60)</f>
        <v>1968.99</v>
      </c>
      <c r="O60" s="24">
        <f>SUMIFS('Saldos Iniciales'!$D:$D,'Saldos Iniciales'!$A:$A,"EC Auto")+SUMIFS(Movimientos!$K$1:$K$987,Movimientos!$C$1:$C$987,"EC Auto",Movimientos!$B$1:$B$987,"&lt;="&amp;$B60)</f>
        <v>382.69000000000005</v>
      </c>
      <c r="P60" s="24">
        <f>SUMIFS('Saldos Iniciales'!$D:$D,'Saldos Iniciales'!$A:$A,"Arbor Capital Properties")+SUMIFS(Movimientos!$K$1:$K$987,Movimientos!$C$1:$C$987,"Arbor Capital Properties",Movimientos!$B$1:$B$987,"&lt;="&amp;$B60)</f>
        <v>1428.08</v>
      </c>
      <c r="Q60" s="24">
        <f>SUMIFS('Saldos Iniciales'!$D:$D,'Saldos Iniciales'!$A:$A,"2515 Overbrook")+SUMIFS(Movimientos!$K$1:$K$987,Movimientos!$C$1:$C$987,"2515 Overbrook",Movimientos!$B$1:$B$987,"&lt;="&amp;$B60)</f>
        <v>31039.969999999961</v>
      </c>
      <c r="R60" s="24">
        <f>SUMIFS('Saldos Iniciales'!$D:$D,'Saldos Iniciales'!$A:$A,"112 Florida Ave")+SUMIFS(Movimientos!$K$1:$K$987,Movimientos!$C$1:$C$987,"112 Florida Ave",Movimientos!$B$1:$B$987,"&lt;="&amp;$B60)</f>
        <v>20321.43</v>
      </c>
      <c r="S60" s="24">
        <f>SUMIFS('Saldos Iniciales'!$D:$D,'Saldos Iniciales'!$A:$A,"3628 Thomas Ave")+SUMIFS(Movimientos!$K$1:$K$987,Movimientos!$C$1:$C$987,"3628 Thomas Ave",Movimientos!$B$1:$B$987,"&lt;="&amp;$B60)</f>
        <v>28458.6</v>
      </c>
      <c r="T60" s="24">
        <f>SUMIFS('Saldos Iniciales'!$D:$D,'Saldos Iniciales'!$A:$A,"Green Harbor Trust")+SUMIFS(Movimientos!$K$1:$K$987,Movimientos!$C$1:$C$987,"Green Harbor Trust",Movimientos!$B$1:$B$987,"&lt;="&amp;$B60)</f>
        <v>345</v>
      </c>
      <c r="U60" s="24">
        <f>SUMIFS('Saldos Iniciales'!$D:$D,'Saldos Iniciales'!$A:$A,"Go Blue")+SUMIFS(Movimientos!$K$1:$K$987,Movimientos!$C$1:$C$987,"Go Blue",Movimientos!$B$1:$B$987,"&lt;="&amp;$B60)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Group")+SUMIFS(Movimientos!$K$1:$K$987,Movimientos!$C$1:$C$987,"CFT Group",Movimientos!$B$1:$B$987,"&lt;="&amp;$B61)</f>
        <v>6380508.1400000015</v>
      </c>
      <c r="D61" s="24">
        <f>SUMIFS('Saldos Iniciales'!$D:$D,'Saldos Iniciales'!$A:$A,"M1B")+SUMIFS(Movimientos!$K$1:$K$987,Movimientos!$C$1:$C$987,"M1B",Movimientos!$B$1:$B$987,"&lt;="&amp;$B61)</f>
        <v>72386.190000000177</v>
      </c>
      <c r="E61" s="24">
        <f>SUMIFS('Saldos Iniciales'!$D:$D,'Saldos Iniciales'!$A:$A,"Durand")+SUMIFS(Movimientos!$K$1:$K$987,Movimientos!$C$1:$C$987,"Durand",Movimientos!$B$1:$B$987,"&lt;="&amp;$B61)</f>
        <v>1669.89</v>
      </c>
      <c r="F61" s="24">
        <f>SUMIFS('Saldos Iniciales'!$D:$D,'Saldos Iniciales'!$A:$A,"A&amp;M Imports")+SUMIFS(Movimientos!$K$1:$K$987,Movimientos!$C$1:$C$987,"A&amp;M Imports",Movimientos!$B$1:$B$987,"&lt;="&amp;$B61)</f>
        <v>320785.3899999999</v>
      </c>
      <c r="G61" s="24">
        <f>SUMIFS('Saldos Iniciales'!$D:$D,'Saldos Iniciales'!$A:$A,"SSP Capital")+SUMIFS(Movimientos!$K$1:$K$987,Movimientos!$C$1:$C$987,"SSP Capital",Movimientos!$B$1:$B$987,"&lt;="&amp;$B61)</f>
        <v>1782410.0399999993</v>
      </c>
      <c r="H61" s="24">
        <f>SUMIFS('Saldos Iniciales'!$D:$D,'Saldos Iniciales'!$A:$A,"Cross Family Trust")+SUMIFS(Movimientos!$K$1:$K$987,Movimientos!$C$1:$C$987,"Cross Family Trust",Movimientos!$B$1:$B$987,"&lt;="&amp;$B61)</f>
        <v>396496.38</v>
      </c>
      <c r="I61" s="24">
        <f>SUMIFS('Saldos Iniciales'!$D:$D,'Saldos Iniciales'!$A:$A,"Cross Security Trust")+SUMIFS(Movimientos!$K$1:$K$987,Movimientos!$C$1:$C$987,"Cross Security Trust",Movimientos!$B$1:$B$987,"&lt;="&amp;$B61)</f>
        <v>88090.37</v>
      </c>
      <c r="J61" s="24">
        <f>SUMIFS('Saldos Iniciales'!$D:$D,'Saldos Iniciales'!$A:$A,"Electrama")+SUMIFS(Movimientos!$K$1:$K$987,Movimientos!$C$1:$C$987,"Electrama",Movimientos!$B$1:$B$987,"&lt;="&amp;$B61)</f>
        <v>511.15999999999985</v>
      </c>
      <c r="K61" s="24">
        <f>SUMIFS('Saldos Iniciales'!$D:$D,'Saldos Iniciales'!$A:$A,"Sacred Valley Capital")+SUMIFS(Movimientos!$K$1:$K$987,Movimientos!$C$1:$C$987,"Sacred Valley Capital",Movimientos!$B$1:$B$987,"&lt;="&amp;$B61)</f>
        <v>84.35</v>
      </c>
      <c r="L61" s="24">
        <f>SUMIFS('Saldos Iniciales'!$D:$D,'Saldos Iniciales'!$A:$A,"YWC Capital")+SUMIFS(Movimientos!$K$1:$K$987,Movimientos!$C$1:$C$987,"YWC Capital",Movimientos!$B$1:$B$987,"&lt;="&amp;$B61)</f>
        <v>2237.77</v>
      </c>
      <c r="M61" s="24">
        <f>SUMIFS('Saldos Iniciales'!$D:$D,'Saldos Iniciales'!$A:$A,"Soweto")+SUMIFS(Movimientos!$K$1:$K$987,Movimientos!$C$1:$C$987,"Soweto",Movimientos!$B$1:$B$987,"&lt;="&amp;$B61)</f>
        <v>3349.94</v>
      </c>
      <c r="N61" s="24">
        <f>SUMIFS('Saldos Iniciales'!$D:$D,'Saldos Iniciales'!$A:$A,"Green Stone Trust")+SUMIFS(Movimientos!$K$1:$K$987,Movimientos!$C$1:$C$987,"Green Stone Trust",Movimientos!$B$1:$B$987,"&lt;="&amp;$B61)</f>
        <v>1968.99</v>
      </c>
      <c r="O61" s="24">
        <f>SUMIFS('Saldos Iniciales'!$D:$D,'Saldos Iniciales'!$A:$A,"EC Auto")+SUMIFS(Movimientos!$K$1:$K$987,Movimientos!$C$1:$C$987,"EC Auto",Movimientos!$B$1:$B$987,"&lt;="&amp;$B61)</f>
        <v>382.69000000000005</v>
      </c>
      <c r="P61" s="24">
        <f>SUMIFS('Saldos Iniciales'!$D:$D,'Saldos Iniciales'!$A:$A,"Arbor Capital Properties")+SUMIFS(Movimientos!$K$1:$K$987,Movimientos!$C$1:$C$987,"Arbor Capital Properties",Movimientos!$B$1:$B$987,"&lt;="&amp;$B61)</f>
        <v>1428.08</v>
      </c>
      <c r="Q61" s="24">
        <f>SUMIFS('Saldos Iniciales'!$D:$D,'Saldos Iniciales'!$A:$A,"2515 Overbrook")+SUMIFS(Movimientos!$K$1:$K$987,Movimientos!$C$1:$C$987,"2515 Overbrook",Movimientos!$B$1:$B$987,"&lt;="&amp;$B61)</f>
        <v>31039.969999999961</v>
      </c>
      <c r="R61" s="24">
        <f>SUMIFS('Saldos Iniciales'!$D:$D,'Saldos Iniciales'!$A:$A,"112 Florida Ave")+SUMIFS(Movimientos!$K$1:$K$987,Movimientos!$C$1:$C$987,"112 Florida Ave",Movimientos!$B$1:$B$987,"&lt;="&amp;$B61)</f>
        <v>20321.43</v>
      </c>
      <c r="S61" s="24">
        <f>SUMIFS('Saldos Iniciales'!$D:$D,'Saldos Iniciales'!$A:$A,"3628 Thomas Ave")+SUMIFS(Movimientos!$K$1:$K$987,Movimientos!$C$1:$C$987,"3628 Thomas Ave",Movimientos!$B$1:$B$987,"&lt;="&amp;$B61)</f>
        <v>28458.6</v>
      </c>
      <c r="T61" s="24">
        <f>SUMIFS('Saldos Iniciales'!$D:$D,'Saldos Iniciales'!$A:$A,"Green Harbor Trust")+SUMIFS(Movimientos!$K$1:$K$987,Movimientos!$C$1:$C$987,"Green Harbor Trust",Movimientos!$B$1:$B$987,"&lt;="&amp;$B61)</f>
        <v>345</v>
      </c>
      <c r="U61" s="24">
        <f>SUMIFS('Saldos Iniciales'!$D:$D,'Saldos Iniciales'!$A:$A,"Go Blue")+SUMIFS(Movimientos!$K$1:$K$987,Movimientos!$C$1:$C$987,"Go Blue",Movimientos!$B$1:$B$987,"&lt;="&amp;$B61)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Group")+SUMIFS(Movimientos!$K$1:$K$987,Movimientos!$C$1:$C$987,"CFT Group",Movimientos!$B$1:$B$987,"&lt;="&amp;$B62)</f>
        <v>6376919.080000001</v>
      </c>
      <c r="D62" s="24">
        <f>SUMIFS('Saldos Iniciales'!$D:$D,'Saldos Iniciales'!$A:$A,"M1B")+SUMIFS(Movimientos!$K$1:$K$987,Movimientos!$C$1:$C$987,"M1B",Movimientos!$B$1:$B$987,"&lt;="&amp;$B62)</f>
        <v>79139.680000000168</v>
      </c>
      <c r="E62" s="24">
        <f>SUMIFS('Saldos Iniciales'!$D:$D,'Saldos Iniciales'!$A:$A,"Durand")+SUMIFS(Movimientos!$K$1:$K$987,Movimientos!$C$1:$C$987,"Durand",Movimientos!$B$1:$B$987,"&lt;="&amp;$B62)</f>
        <v>1669.89</v>
      </c>
      <c r="F62" s="24">
        <f>SUMIFS('Saldos Iniciales'!$D:$D,'Saldos Iniciales'!$A:$A,"A&amp;M Imports")+SUMIFS(Movimientos!$K$1:$K$987,Movimientos!$C$1:$C$987,"A&amp;M Imports",Movimientos!$B$1:$B$987,"&lt;="&amp;$B62)</f>
        <v>320785.3899999999</v>
      </c>
      <c r="G62" s="24">
        <f>SUMIFS('Saldos Iniciales'!$D:$D,'Saldos Iniciales'!$A:$A,"SSP Capital")+SUMIFS(Movimientos!$K$1:$K$987,Movimientos!$C$1:$C$987,"SSP Capital",Movimientos!$B$1:$B$987,"&lt;="&amp;$B62)</f>
        <v>1710526.8499999994</v>
      </c>
      <c r="H62" s="24">
        <f>SUMIFS('Saldos Iniciales'!$D:$D,'Saldos Iniciales'!$A:$A,"Cross Family Trust")+SUMIFS(Movimientos!$K$1:$K$987,Movimientos!$C$1:$C$987,"Cross Family Trust",Movimientos!$B$1:$B$987,"&lt;="&amp;$B62)</f>
        <v>390496.38</v>
      </c>
      <c r="I62" s="24">
        <f>SUMIFS('Saldos Iniciales'!$D:$D,'Saldos Iniciales'!$A:$A,"Cross Security Trust")+SUMIFS(Movimientos!$K$1:$K$987,Movimientos!$C$1:$C$987,"Cross Security Trust",Movimientos!$B$1:$B$987,"&lt;="&amp;$B62)</f>
        <v>88090.37</v>
      </c>
      <c r="J62" s="24">
        <f>SUMIFS('Saldos Iniciales'!$D:$D,'Saldos Iniciales'!$A:$A,"Electrama")+SUMIFS(Movimientos!$K$1:$K$987,Movimientos!$C$1:$C$987,"Electrama",Movimientos!$B$1:$B$987,"&lt;="&amp;$B62)</f>
        <v>511.15999999999985</v>
      </c>
      <c r="K62" s="24">
        <f>SUMIFS('Saldos Iniciales'!$D:$D,'Saldos Iniciales'!$A:$A,"Sacred Valley Capital")+SUMIFS(Movimientos!$K$1:$K$987,Movimientos!$C$1:$C$987,"Sacred Valley Capital",Movimientos!$B$1:$B$987,"&lt;="&amp;$B62)</f>
        <v>84.35</v>
      </c>
      <c r="L62" s="24">
        <f>SUMIFS('Saldos Iniciales'!$D:$D,'Saldos Iniciales'!$A:$A,"YWC Capital")+SUMIFS(Movimientos!$K$1:$K$987,Movimientos!$C$1:$C$987,"YWC Capital",Movimientos!$B$1:$B$987,"&lt;="&amp;$B62)</f>
        <v>2237.77</v>
      </c>
      <c r="M62" s="24">
        <f>SUMIFS('Saldos Iniciales'!$D:$D,'Saldos Iniciales'!$A:$A,"Soweto")+SUMIFS(Movimientos!$K$1:$K$987,Movimientos!$C$1:$C$987,"Soweto",Movimientos!$B$1:$B$987,"&lt;="&amp;$B62)</f>
        <v>3349.94</v>
      </c>
      <c r="N62" s="24">
        <f>SUMIFS('Saldos Iniciales'!$D:$D,'Saldos Iniciales'!$A:$A,"Green Stone Trust")+SUMIFS(Movimientos!$K$1:$K$987,Movimientos!$C$1:$C$987,"Green Stone Trust",Movimientos!$B$1:$B$987,"&lt;="&amp;$B62)</f>
        <v>1968.99</v>
      </c>
      <c r="O62" s="24">
        <f>SUMIFS('Saldos Iniciales'!$D:$D,'Saldos Iniciales'!$A:$A,"EC Auto")+SUMIFS(Movimientos!$K$1:$K$987,Movimientos!$C$1:$C$987,"EC Auto",Movimientos!$B$1:$B$987,"&lt;="&amp;$B62)</f>
        <v>382.69000000000005</v>
      </c>
      <c r="P62" s="24">
        <f>SUMIFS('Saldos Iniciales'!$D:$D,'Saldos Iniciales'!$A:$A,"Arbor Capital Properties")+SUMIFS(Movimientos!$K$1:$K$987,Movimientos!$C$1:$C$987,"Arbor Capital Properties",Movimientos!$B$1:$B$987,"&lt;="&amp;$B62)</f>
        <v>1428.08</v>
      </c>
      <c r="Q62" s="24">
        <f>SUMIFS('Saldos Iniciales'!$D:$D,'Saldos Iniciales'!$A:$A,"2515 Overbrook")+SUMIFS(Movimientos!$K$1:$K$987,Movimientos!$C$1:$C$987,"2515 Overbrook",Movimientos!$B$1:$B$987,"&lt;="&amp;$B62)</f>
        <v>31039.969999999961</v>
      </c>
      <c r="R62" s="24">
        <f>SUMIFS('Saldos Iniciales'!$D:$D,'Saldos Iniciales'!$A:$A,"112 Florida Ave")+SUMIFS(Movimientos!$K$1:$K$987,Movimientos!$C$1:$C$987,"112 Florida Ave",Movimientos!$B$1:$B$987,"&lt;="&amp;$B62)</f>
        <v>20321.43</v>
      </c>
      <c r="S62" s="24">
        <f>SUMIFS('Saldos Iniciales'!$D:$D,'Saldos Iniciales'!$A:$A,"3628 Thomas Ave")+SUMIFS(Movimientos!$K$1:$K$987,Movimientos!$C$1:$C$987,"3628 Thomas Ave",Movimientos!$B$1:$B$987,"&lt;="&amp;$B62)</f>
        <v>28458.6</v>
      </c>
      <c r="T62" s="24">
        <f>SUMIFS('Saldos Iniciales'!$D:$D,'Saldos Iniciales'!$A:$A,"Green Harbor Trust")+SUMIFS(Movimientos!$K$1:$K$987,Movimientos!$C$1:$C$987,"Green Harbor Trust",Movimientos!$B$1:$B$987,"&lt;="&amp;$B62)</f>
        <v>345</v>
      </c>
      <c r="U62" s="24">
        <f>SUMIFS('Saldos Iniciales'!$D:$D,'Saldos Iniciales'!$A:$A,"Go Blue")+SUMIFS(Movimientos!$K$1:$K$987,Movimientos!$C$1:$C$987,"Go Blue",Movimientos!$B$1:$B$987,"&lt;="&amp;$B62)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Group")+SUMIFS(Movimientos!$K$1:$K$987,Movimientos!$C$1:$C$987,"CFT Group",Movimientos!$B$1:$B$987,"&lt;="&amp;$B63)</f>
        <v>6376919.080000001</v>
      </c>
      <c r="D63" s="24">
        <f>SUMIFS('Saldos Iniciales'!$D:$D,'Saldos Iniciales'!$A:$A,"M1B")+SUMIFS(Movimientos!$K$1:$K$987,Movimientos!$C$1:$C$987,"M1B",Movimientos!$B$1:$B$987,"&lt;="&amp;$B63)</f>
        <v>79139.680000000168</v>
      </c>
      <c r="E63" s="24">
        <f>SUMIFS('Saldos Iniciales'!$D:$D,'Saldos Iniciales'!$A:$A,"Durand")+SUMIFS(Movimientos!$K$1:$K$987,Movimientos!$C$1:$C$987,"Durand",Movimientos!$B$1:$B$987,"&lt;="&amp;$B63)</f>
        <v>1669.89</v>
      </c>
      <c r="F63" s="24">
        <f>SUMIFS('Saldos Iniciales'!$D:$D,'Saldos Iniciales'!$A:$A,"A&amp;M Imports")+SUMIFS(Movimientos!$K$1:$K$987,Movimientos!$C$1:$C$987,"A&amp;M Imports",Movimientos!$B$1:$B$987,"&lt;="&amp;$B63)</f>
        <v>338976.1399999999</v>
      </c>
      <c r="G63" s="24">
        <f>SUMIFS('Saldos Iniciales'!$D:$D,'Saldos Iniciales'!$A:$A,"SSP Capital")+SUMIFS(Movimientos!$K$1:$K$987,Movimientos!$C$1:$C$987,"SSP Capital",Movimientos!$B$1:$B$987,"&lt;="&amp;$B63)</f>
        <v>1710526.8499999994</v>
      </c>
      <c r="H63" s="24">
        <f>SUMIFS('Saldos Iniciales'!$D:$D,'Saldos Iniciales'!$A:$A,"Cross Family Trust")+SUMIFS(Movimientos!$K$1:$K$987,Movimientos!$C$1:$C$987,"Cross Family Trust",Movimientos!$B$1:$B$987,"&lt;="&amp;$B63)</f>
        <v>390496.38</v>
      </c>
      <c r="I63" s="24">
        <f>SUMIFS('Saldos Iniciales'!$D:$D,'Saldos Iniciales'!$A:$A,"Cross Security Trust")+SUMIFS(Movimientos!$K$1:$K$987,Movimientos!$C$1:$C$987,"Cross Security Trust",Movimientos!$B$1:$B$987,"&lt;="&amp;$B63)</f>
        <v>88090.37</v>
      </c>
      <c r="J63" s="24">
        <f>SUMIFS('Saldos Iniciales'!$D:$D,'Saldos Iniciales'!$A:$A,"Electrama")+SUMIFS(Movimientos!$K$1:$K$987,Movimientos!$C$1:$C$987,"Electrama",Movimientos!$B$1:$B$987,"&lt;="&amp;$B63)</f>
        <v>511.15999999999985</v>
      </c>
      <c r="K63" s="24">
        <f>SUMIFS('Saldos Iniciales'!$D:$D,'Saldos Iniciales'!$A:$A,"Sacred Valley Capital")+SUMIFS(Movimientos!$K$1:$K$987,Movimientos!$C$1:$C$987,"Sacred Valley Capital",Movimientos!$B$1:$B$987,"&lt;="&amp;$B63)</f>
        <v>54.400000000000006</v>
      </c>
      <c r="L63" s="24">
        <f>SUMIFS('Saldos Iniciales'!$D:$D,'Saldos Iniciales'!$A:$A,"YWC Capital")+SUMIFS(Movimientos!$K$1:$K$987,Movimientos!$C$1:$C$987,"YWC Capital",Movimientos!$B$1:$B$987,"&lt;="&amp;$B63)</f>
        <v>2207.8200000000002</v>
      </c>
      <c r="M63" s="24">
        <f>SUMIFS('Saldos Iniciales'!$D:$D,'Saldos Iniciales'!$A:$A,"Soweto")+SUMIFS(Movimientos!$K$1:$K$987,Movimientos!$C$1:$C$987,"Soweto",Movimientos!$B$1:$B$987,"&lt;="&amp;$B63)</f>
        <v>3349.94</v>
      </c>
      <c r="N63" s="24">
        <f>SUMIFS('Saldos Iniciales'!$D:$D,'Saldos Iniciales'!$A:$A,"Green Stone Trust")+SUMIFS(Movimientos!$K$1:$K$987,Movimientos!$C$1:$C$987,"Green Stone Trust",Movimientos!$B$1:$B$987,"&lt;="&amp;$B63)</f>
        <v>1968.99</v>
      </c>
      <c r="O63" s="24">
        <f>SUMIFS('Saldos Iniciales'!$D:$D,'Saldos Iniciales'!$A:$A,"EC Auto")+SUMIFS(Movimientos!$K$1:$K$987,Movimientos!$C$1:$C$987,"EC Auto",Movimientos!$B$1:$B$987,"&lt;="&amp;$B63)</f>
        <v>382.69000000000005</v>
      </c>
      <c r="P63" s="24">
        <f>SUMIFS('Saldos Iniciales'!$D:$D,'Saldos Iniciales'!$A:$A,"Arbor Capital Properties")+SUMIFS(Movimientos!$K$1:$K$987,Movimientos!$C$1:$C$987,"Arbor Capital Properties",Movimientos!$B$1:$B$987,"&lt;="&amp;$B63)</f>
        <v>1412.08</v>
      </c>
      <c r="Q63" s="24">
        <f>SUMIFS('Saldos Iniciales'!$D:$D,'Saldos Iniciales'!$A:$A,"2515 Overbrook")+SUMIFS(Movimientos!$K$1:$K$987,Movimientos!$C$1:$C$987,"2515 Overbrook",Movimientos!$B$1:$B$987,"&lt;="&amp;$B63)</f>
        <v>22496.639999999959</v>
      </c>
      <c r="R63" s="24">
        <f>SUMIFS('Saldos Iniciales'!$D:$D,'Saldos Iniciales'!$A:$A,"112 Florida Ave")+SUMIFS(Movimientos!$K$1:$K$987,Movimientos!$C$1:$C$987,"112 Florida Ave",Movimientos!$B$1:$B$987,"&lt;="&amp;$B63)</f>
        <v>10522.800000000003</v>
      </c>
      <c r="S63" s="24">
        <f>SUMIFS('Saldos Iniciales'!$D:$D,'Saldos Iniciales'!$A:$A,"3628 Thomas Ave")+SUMIFS(Movimientos!$K$1:$K$987,Movimientos!$C$1:$C$987,"3628 Thomas Ave",Movimientos!$B$1:$B$987,"&lt;="&amp;$B63)</f>
        <v>19685.559999999998</v>
      </c>
      <c r="T63" s="24">
        <f>SUMIFS('Saldos Iniciales'!$D:$D,'Saldos Iniciales'!$A:$A,"Green Harbor Trust")+SUMIFS(Movimientos!$K$1:$K$987,Movimientos!$C$1:$C$987,"Green Harbor Trust",Movimientos!$B$1:$B$987,"&lt;="&amp;$B63)</f>
        <v>345</v>
      </c>
      <c r="U63" s="24">
        <f>SUMIFS('Saldos Iniciales'!$D:$D,'Saldos Iniciales'!$A:$A,"Go Blue")+SUMIFS(Movimientos!$K$1:$K$987,Movimientos!$C$1:$C$987,"Go Blue",Movimientos!$B$1:$B$987,"&lt;="&amp;$B63)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Group")+SUMIFS(Movimientos!$K$1:$K$987,Movimientos!$C$1:$C$987,"CFT Group",Movimientos!$B$1:$B$987,"&lt;="&amp;$B64)</f>
        <v>5673919.080000001</v>
      </c>
      <c r="D64" s="24">
        <f>SUMIFS('Saldos Iniciales'!$D:$D,'Saldos Iniciales'!$A:$A,"M1B")+SUMIFS(Movimientos!$K$1:$K$987,Movimientos!$C$1:$C$987,"M1B",Movimientos!$B$1:$B$987,"&lt;="&amp;$B64)</f>
        <v>79139.680000000168</v>
      </c>
      <c r="E64" s="24">
        <f>SUMIFS('Saldos Iniciales'!$D:$D,'Saldos Iniciales'!$A:$A,"Durand")+SUMIFS(Movimientos!$K$1:$K$987,Movimientos!$C$1:$C$987,"Durand",Movimientos!$B$1:$B$987,"&lt;="&amp;$B64)</f>
        <v>1669.89</v>
      </c>
      <c r="F64" s="24">
        <f>SUMIFS('Saldos Iniciales'!$D:$D,'Saldos Iniciales'!$A:$A,"A&amp;M Imports")+SUMIFS(Movimientos!$K$1:$K$987,Movimientos!$C$1:$C$987,"A&amp;M Imports",Movimientos!$B$1:$B$987,"&lt;="&amp;$B64)</f>
        <v>181515.38999999987</v>
      </c>
      <c r="G64" s="24">
        <f>SUMIFS('Saldos Iniciales'!$D:$D,'Saldos Iniciales'!$A:$A,"SSP Capital")+SUMIFS(Movimientos!$K$1:$K$987,Movimientos!$C$1:$C$987,"SSP Capital",Movimientos!$B$1:$B$987,"&lt;="&amp;$B64)</f>
        <v>1775806.9999999995</v>
      </c>
      <c r="H64" s="24">
        <f>SUMIFS('Saldos Iniciales'!$D:$D,'Saldos Iniciales'!$A:$A,"Cross Family Trust")+SUMIFS(Movimientos!$K$1:$K$987,Movimientos!$C$1:$C$987,"Cross Family Trust",Movimientos!$B$1:$B$987,"&lt;="&amp;$B64)</f>
        <v>220496.38</v>
      </c>
      <c r="I64" s="24">
        <f>SUMIFS('Saldos Iniciales'!$D:$D,'Saldos Iniciales'!$A:$A,"Cross Security Trust")+SUMIFS(Movimientos!$K$1:$K$987,Movimientos!$C$1:$C$987,"Cross Security Trust",Movimientos!$B$1:$B$987,"&lt;="&amp;$B64)</f>
        <v>88090.37</v>
      </c>
      <c r="J64" s="24">
        <f>SUMIFS('Saldos Iniciales'!$D:$D,'Saldos Iniciales'!$A:$A,"Electrama")+SUMIFS(Movimientos!$K$1:$K$987,Movimientos!$C$1:$C$987,"Electrama",Movimientos!$B$1:$B$987,"&lt;="&amp;$B64)</f>
        <v>511.15999999999985</v>
      </c>
      <c r="K64" s="24">
        <f>SUMIFS('Saldos Iniciales'!$D:$D,'Saldos Iniciales'!$A:$A,"Sacred Valley Capital")+SUMIFS(Movimientos!$K$1:$K$987,Movimientos!$C$1:$C$987,"Sacred Valley Capital",Movimientos!$B$1:$B$987,"&lt;="&amp;$B64)</f>
        <v>54.400000000000006</v>
      </c>
      <c r="L64" s="24">
        <f>SUMIFS('Saldos Iniciales'!$D:$D,'Saldos Iniciales'!$A:$A,"YWC Capital")+SUMIFS(Movimientos!$K$1:$K$987,Movimientos!$C$1:$C$987,"YWC Capital",Movimientos!$B$1:$B$987,"&lt;="&amp;$B64)</f>
        <v>2207.8200000000002</v>
      </c>
      <c r="M64" s="24">
        <f>SUMIFS('Saldos Iniciales'!$D:$D,'Saldos Iniciales'!$A:$A,"Soweto")+SUMIFS(Movimientos!$K$1:$K$987,Movimientos!$C$1:$C$987,"Soweto",Movimientos!$B$1:$B$987,"&lt;="&amp;$B64)</f>
        <v>3349.94</v>
      </c>
      <c r="N64" s="24">
        <f>SUMIFS('Saldos Iniciales'!$D:$D,'Saldos Iniciales'!$A:$A,"Green Stone Trust")+SUMIFS(Movimientos!$K$1:$K$987,Movimientos!$C$1:$C$987,"Green Stone Trust",Movimientos!$B$1:$B$987,"&lt;="&amp;$B64)</f>
        <v>1968.99</v>
      </c>
      <c r="O64" s="24">
        <f>SUMIFS('Saldos Iniciales'!$D:$D,'Saldos Iniciales'!$A:$A,"EC Auto")+SUMIFS(Movimientos!$K$1:$K$987,Movimientos!$C$1:$C$987,"EC Auto",Movimientos!$B$1:$B$987,"&lt;="&amp;$B64)</f>
        <v>382.69000000000005</v>
      </c>
      <c r="P64" s="24">
        <f>SUMIFS('Saldos Iniciales'!$D:$D,'Saldos Iniciales'!$A:$A,"Arbor Capital Properties")+SUMIFS(Movimientos!$K$1:$K$987,Movimientos!$C$1:$C$987,"Arbor Capital Properties",Movimientos!$B$1:$B$987,"&lt;="&amp;$B64)</f>
        <v>1412.08</v>
      </c>
      <c r="Q64" s="24">
        <f>SUMIFS('Saldos Iniciales'!$D:$D,'Saldos Iniciales'!$A:$A,"2515 Overbrook")+SUMIFS(Movimientos!$K$1:$K$987,Movimientos!$C$1:$C$987,"2515 Overbrook",Movimientos!$B$1:$B$987,"&lt;="&amp;$B64)</f>
        <v>22496.639999999959</v>
      </c>
      <c r="R64" s="24">
        <f>SUMIFS('Saldos Iniciales'!$D:$D,'Saldos Iniciales'!$A:$A,"112 Florida Ave")+SUMIFS(Movimientos!$K$1:$K$987,Movimientos!$C$1:$C$987,"112 Florida Ave",Movimientos!$B$1:$B$987,"&lt;="&amp;$B64)</f>
        <v>10522.800000000003</v>
      </c>
      <c r="S64" s="24">
        <f>SUMIFS('Saldos Iniciales'!$D:$D,'Saldos Iniciales'!$A:$A,"3628 Thomas Ave")+SUMIFS(Movimientos!$K$1:$K$987,Movimientos!$C$1:$C$987,"3628 Thomas Ave",Movimientos!$B$1:$B$987,"&lt;="&amp;$B64)</f>
        <v>28485.559999999998</v>
      </c>
      <c r="T64" s="24">
        <f>SUMIFS('Saldos Iniciales'!$D:$D,'Saldos Iniciales'!$A:$A,"Green Harbor Trust")+SUMIFS(Movimientos!$K$1:$K$987,Movimientos!$C$1:$C$987,"Green Harbor Trust",Movimientos!$B$1:$B$987,"&lt;="&amp;$B64)</f>
        <v>345</v>
      </c>
      <c r="U64" s="24">
        <f>SUMIFS('Saldos Iniciales'!$D:$D,'Saldos Iniciales'!$A:$A,"Go Blue")+SUMIFS(Movimientos!$K$1:$K$987,Movimientos!$C$1:$C$987,"Go Blue",Movimientos!$B$1:$B$987,"&lt;="&amp;$B64)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Group")+SUMIFS(Movimientos!$K$1:$K$987,Movimientos!$C$1:$C$987,"CFT Group",Movimientos!$B$1:$B$987,"&lt;="&amp;$B65)</f>
        <v>5673919.080000001</v>
      </c>
      <c r="D65" s="24">
        <f>SUMIFS('Saldos Iniciales'!$D:$D,'Saldos Iniciales'!$A:$A,"M1B")+SUMIFS(Movimientos!$K$1:$K$987,Movimientos!$C$1:$C$987,"M1B",Movimientos!$B$1:$B$987,"&lt;="&amp;$B65)</f>
        <v>79139.680000000168</v>
      </c>
      <c r="E65" s="24">
        <f>SUMIFS('Saldos Iniciales'!$D:$D,'Saldos Iniciales'!$A:$A,"Durand")+SUMIFS(Movimientos!$K$1:$K$987,Movimientos!$C$1:$C$987,"Durand",Movimientos!$B$1:$B$987,"&lt;="&amp;$B65)</f>
        <v>1669.89</v>
      </c>
      <c r="F65" s="24">
        <f>SUMIFS('Saldos Iniciales'!$D:$D,'Saldos Iniciales'!$A:$A,"A&amp;M Imports")+SUMIFS(Movimientos!$K$1:$K$987,Movimientos!$C$1:$C$987,"A&amp;M Imports",Movimientos!$B$1:$B$987,"&lt;="&amp;$B65)</f>
        <v>181515.38999999987</v>
      </c>
      <c r="G65" s="24">
        <f>SUMIFS('Saldos Iniciales'!$D:$D,'Saldos Iniciales'!$A:$A,"SSP Capital")+SUMIFS(Movimientos!$K$1:$K$987,Movimientos!$C$1:$C$987,"SSP Capital",Movimientos!$B$1:$B$987,"&lt;="&amp;$B65)</f>
        <v>1775806.9999999995</v>
      </c>
      <c r="H65" s="24">
        <f>SUMIFS('Saldos Iniciales'!$D:$D,'Saldos Iniciales'!$A:$A,"Cross Family Trust")+SUMIFS(Movimientos!$K$1:$K$987,Movimientos!$C$1:$C$987,"Cross Family Trust",Movimientos!$B$1:$B$987,"&lt;="&amp;$B65)</f>
        <v>220496.38</v>
      </c>
      <c r="I65" s="24">
        <f>SUMIFS('Saldos Iniciales'!$D:$D,'Saldos Iniciales'!$A:$A,"Cross Security Trust")+SUMIFS(Movimientos!$K$1:$K$987,Movimientos!$C$1:$C$987,"Cross Security Trust",Movimientos!$B$1:$B$987,"&lt;="&amp;$B65)</f>
        <v>88090.37</v>
      </c>
      <c r="J65" s="24">
        <f>SUMIFS('Saldos Iniciales'!$D:$D,'Saldos Iniciales'!$A:$A,"Electrama")+SUMIFS(Movimientos!$K$1:$K$987,Movimientos!$C$1:$C$987,"Electrama",Movimientos!$B$1:$B$987,"&lt;="&amp;$B65)</f>
        <v>471.15999999999985</v>
      </c>
      <c r="K65" s="24">
        <f>SUMIFS('Saldos Iniciales'!$D:$D,'Saldos Iniciales'!$A:$A,"Sacred Valley Capital")+SUMIFS(Movimientos!$K$1:$K$987,Movimientos!$C$1:$C$987,"Sacred Valley Capital",Movimientos!$B$1:$B$987,"&lt;="&amp;$B65)</f>
        <v>54.400000000000006</v>
      </c>
      <c r="L65" s="24">
        <f>SUMIFS('Saldos Iniciales'!$D:$D,'Saldos Iniciales'!$A:$A,"YWC Capital")+SUMIFS(Movimientos!$K$1:$K$987,Movimientos!$C$1:$C$987,"YWC Capital",Movimientos!$B$1:$B$987,"&lt;="&amp;$B65)</f>
        <v>2207.8200000000002</v>
      </c>
      <c r="M65" s="24">
        <f>SUMIFS('Saldos Iniciales'!$D:$D,'Saldos Iniciales'!$A:$A,"Soweto")+SUMIFS(Movimientos!$K$1:$K$987,Movimientos!$C$1:$C$987,"Soweto",Movimientos!$B$1:$B$987,"&lt;="&amp;$B65)</f>
        <v>3349.94</v>
      </c>
      <c r="N65" s="24">
        <f>SUMIFS('Saldos Iniciales'!$D:$D,'Saldos Iniciales'!$A:$A,"Green Stone Trust")+SUMIFS(Movimientos!$K$1:$K$987,Movimientos!$C$1:$C$987,"Green Stone Trust",Movimientos!$B$1:$B$987,"&lt;="&amp;$B65)</f>
        <v>1968.99</v>
      </c>
      <c r="O65" s="24">
        <f>SUMIFS('Saldos Iniciales'!$D:$D,'Saldos Iniciales'!$A:$A,"EC Auto")+SUMIFS(Movimientos!$K$1:$K$987,Movimientos!$C$1:$C$987,"EC Auto",Movimientos!$B$1:$B$987,"&lt;="&amp;$B65)</f>
        <v>382.69000000000005</v>
      </c>
      <c r="P65" s="24">
        <f>SUMIFS('Saldos Iniciales'!$D:$D,'Saldos Iniciales'!$A:$A,"Arbor Capital Properties")+SUMIFS(Movimientos!$K$1:$K$987,Movimientos!$C$1:$C$987,"Arbor Capital Properties",Movimientos!$B$1:$B$987,"&lt;="&amp;$B65)</f>
        <v>1412.08</v>
      </c>
      <c r="Q65" s="24">
        <f>SUMIFS('Saldos Iniciales'!$D:$D,'Saldos Iniciales'!$A:$A,"2515 Overbrook")+SUMIFS(Movimientos!$K$1:$K$987,Movimientos!$C$1:$C$987,"2515 Overbrook",Movimientos!$B$1:$B$987,"&lt;="&amp;$B65)</f>
        <v>22496.639999999959</v>
      </c>
      <c r="R65" s="24">
        <f>SUMIFS('Saldos Iniciales'!$D:$D,'Saldos Iniciales'!$A:$A,"112 Florida Ave")+SUMIFS(Movimientos!$K$1:$K$987,Movimientos!$C$1:$C$987,"112 Florida Ave",Movimientos!$B$1:$B$987,"&lt;="&amp;$B65)</f>
        <v>10522.800000000003</v>
      </c>
      <c r="S65" s="24">
        <f>SUMIFS('Saldos Iniciales'!$D:$D,'Saldos Iniciales'!$A:$A,"3628 Thomas Ave")+SUMIFS(Movimientos!$K$1:$K$987,Movimientos!$C$1:$C$987,"3628 Thomas Ave",Movimientos!$B$1:$B$987,"&lt;="&amp;$B65)</f>
        <v>28485.559999999998</v>
      </c>
      <c r="T65" s="24">
        <f>SUMIFS('Saldos Iniciales'!$D:$D,'Saldos Iniciales'!$A:$A,"Green Harbor Trust")+SUMIFS(Movimientos!$K$1:$K$987,Movimientos!$C$1:$C$987,"Green Harbor Trust",Movimientos!$B$1:$B$987,"&lt;="&amp;$B65)</f>
        <v>345</v>
      </c>
      <c r="U65" s="24">
        <f>SUMIFS('Saldos Iniciales'!$D:$D,'Saldos Iniciales'!$A:$A,"Go Blue")+SUMIFS(Movimientos!$K$1:$K$987,Movimientos!$C$1:$C$987,"Go Blue",Movimientos!$B$1:$B$987,"&lt;="&amp;$B65)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Group")+SUMIFS(Movimientos!$K$1:$K$987,Movimientos!$C$1:$C$987,"CFT Group",Movimientos!$B$1:$B$987,"&lt;="&amp;$B66)</f>
        <v>5673919.080000001</v>
      </c>
      <c r="D66" s="24">
        <f>SUMIFS('Saldos Iniciales'!$D:$D,'Saldos Iniciales'!$A:$A,"M1B")+SUMIFS(Movimientos!$K$1:$K$987,Movimientos!$C$1:$C$987,"M1B",Movimientos!$B$1:$B$987,"&lt;="&amp;$B66)</f>
        <v>79139.680000000168</v>
      </c>
      <c r="E66" s="24">
        <f>SUMIFS('Saldos Iniciales'!$D:$D,'Saldos Iniciales'!$A:$A,"Durand")+SUMIFS(Movimientos!$K$1:$K$987,Movimientos!$C$1:$C$987,"Durand",Movimientos!$B$1:$B$987,"&lt;="&amp;$B66)</f>
        <v>1669.89</v>
      </c>
      <c r="F66" s="24">
        <f>SUMIFS('Saldos Iniciales'!$D:$D,'Saldos Iniciales'!$A:$A,"A&amp;M Imports")+SUMIFS(Movimientos!$K$1:$K$987,Movimientos!$C$1:$C$987,"A&amp;M Imports",Movimientos!$B$1:$B$987,"&lt;="&amp;$B66)</f>
        <v>181515.38999999987</v>
      </c>
      <c r="G66" s="24">
        <f>SUMIFS('Saldos Iniciales'!$D:$D,'Saldos Iniciales'!$A:$A,"SSP Capital")+SUMIFS(Movimientos!$K$1:$K$987,Movimientos!$C$1:$C$987,"SSP Capital",Movimientos!$B$1:$B$987,"&lt;="&amp;$B66)</f>
        <v>1775806.9999999995</v>
      </c>
      <c r="H66" s="24">
        <f>SUMIFS('Saldos Iniciales'!$D:$D,'Saldos Iniciales'!$A:$A,"Cross Family Trust")+SUMIFS(Movimientos!$K$1:$K$987,Movimientos!$C$1:$C$987,"Cross Family Trust",Movimientos!$B$1:$B$987,"&lt;="&amp;$B66)</f>
        <v>220496.38</v>
      </c>
      <c r="I66" s="24">
        <f>SUMIFS('Saldos Iniciales'!$D:$D,'Saldos Iniciales'!$A:$A,"Cross Security Trust")+SUMIFS(Movimientos!$K$1:$K$987,Movimientos!$C$1:$C$987,"Cross Security Trust",Movimientos!$B$1:$B$987,"&lt;="&amp;$B66)</f>
        <v>88090.37</v>
      </c>
      <c r="J66" s="24">
        <f>SUMIFS('Saldos Iniciales'!$D:$D,'Saldos Iniciales'!$A:$A,"Electrama")+SUMIFS(Movimientos!$K$1:$K$987,Movimientos!$C$1:$C$987,"Electrama",Movimientos!$B$1:$B$987,"&lt;="&amp;$B66)</f>
        <v>471.15999999999985</v>
      </c>
      <c r="K66" s="24">
        <f>SUMIFS('Saldos Iniciales'!$D:$D,'Saldos Iniciales'!$A:$A,"Sacred Valley Capital")+SUMIFS(Movimientos!$K$1:$K$987,Movimientos!$C$1:$C$987,"Sacred Valley Capital",Movimientos!$B$1:$B$987,"&lt;="&amp;$B66)</f>
        <v>54.400000000000006</v>
      </c>
      <c r="L66" s="24">
        <f>SUMIFS('Saldos Iniciales'!$D:$D,'Saldos Iniciales'!$A:$A,"YWC Capital")+SUMIFS(Movimientos!$K$1:$K$987,Movimientos!$C$1:$C$987,"YWC Capital",Movimientos!$B$1:$B$987,"&lt;="&amp;$B66)</f>
        <v>2207.8200000000002</v>
      </c>
      <c r="M66" s="24">
        <f>SUMIFS('Saldos Iniciales'!$D:$D,'Saldos Iniciales'!$A:$A,"Soweto")+SUMIFS(Movimientos!$K$1:$K$987,Movimientos!$C$1:$C$987,"Soweto",Movimientos!$B$1:$B$987,"&lt;="&amp;$B66)</f>
        <v>3349.94</v>
      </c>
      <c r="N66" s="24">
        <f>SUMIFS('Saldos Iniciales'!$D:$D,'Saldos Iniciales'!$A:$A,"Green Stone Trust")+SUMIFS(Movimientos!$K$1:$K$987,Movimientos!$C$1:$C$987,"Green Stone Trust",Movimientos!$B$1:$B$987,"&lt;="&amp;$B66)</f>
        <v>1968.99</v>
      </c>
      <c r="O66" s="24">
        <f>SUMIFS('Saldos Iniciales'!$D:$D,'Saldos Iniciales'!$A:$A,"EC Auto")+SUMIFS(Movimientos!$K$1:$K$987,Movimientos!$C$1:$C$987,"EC Auto",Movimientos!$B$1:$B$987,"&lt;="&amp;$B66)</f>
        <v>382.69000000000005</v>
      </c>
      <c r="P66" s="24">
        <f>SUMIFS('Saldos Iniciales'!$D:$D,'Saldos Iniciales'!$A:$A,"Arbor Capital Properties")+SUMIFS(Movimientos!$K$1:$K$987,Movimientos!$C$1:$C$987,"Arbor Capital Properties",Movimientos!$B$1:$B$987,"&lt;="&amp;$B66)</f>
        <v>1412.08</v>
      </c>
      <c r="Q66" s="24">
        <f>SUMIFS('Saldos Iniciales'!$D:$D,'Saldos Iniciales'!$A:$A,"2515 Overbrook")+SUMIFS(Movimientos!$K$1:$K$987,Movimientos!$C$1:$C$987,"2515 Overbrook",Movimientos!$B$1:$B$987,"&lt;="&amp;$B66)</f>
        <v>22496.639999999959</v>
      </c>
      <c r="R66" s="24">
        <f>SUMIFS('Saldos Iniciales'!$D:$D,'Saldos Iniciales'!$A:$A,"112 Florida Ave")+SUMIFS(Movimientos!$K$1:$K$987,Movimientos!$C$1:$C$987,"112 Florida Ave",Movimientos!$B$1:$B$987,"&lt;="&amp;$B66)</f>
        <v>10522.800000000003</v>
      </c>
      <c r="S66" s="24">
        <f>SUMIFS('Saldos Iniciales'!$D:$D,'Saldos Iniciales'!$A:$A,"3628 Thomas Ave")+SUMIFS(Movimientos!$K$1:$K$987,Movimientos!$C$1:$C$987,"3628 Thomas Ave",Movimientos!$B$1:$B$987,"&lt;="&amp;$B66)</f>
        <v>28485.559999999998</v>
      </c>
      <c r="T66" s="24">
        <f>SUMIFS('Saldos Iniciales'!$D:$D,'Saldos Iniciales'!$A:$A,"Green Harbor Trust")+SUMIFS(Movimientos!$K$1:$K$987,Movimientos!$C$1:$C$987,"Green Harbor Trust",Movimientos!$B$1:$B$987,"&lt;="&amp;$B66)</f>
        <v>345</v>
      </c>
      <c r="U66" s="24">
        <f>SUMIFS('Saldos Iniciales'!$D:$D,'Saldos Iniciales'!$A:$A,"Go Blue")+SUMIFS(Movimientos!$K$1:$K$987,Movimientos!$C$1:$C$987,"Go Blue",Movimientos!$B$1:$B$987,"&lt;="&amp;$B66)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Group")+SUMIFS(Movimientos!$K$1:$K$987,Movimientos!$C$1:$C$987,"CFT Group",Movimientos!$B$1:$B$987,"&lt;="&amp;$B67)</f>
        <v>5673919.080000001</v>
      </c>
      <c r="D67" s="24">
        <f>SUMIFS('Saldos Iniciales'!$D:$D,'Saldos Iniciales'!$A:$A,"M1B")+SUMIFS(Movimientos!$K$1:$K$987,Movimientos!$C$1:$C$987,"M1B",Movimientos!$B$1:$B$987,"&lt;="&amp;$B67)</f>
        <v>79139.680000000168</v>
      </c>
      <c r="E67" s="24">
        <f>SUMIFS('Saldos Iniciales'!$D:$D,'Saldos Iniciales'!$A:$A,"Durand")+SUMIFS(Movimientos!$K$1:$K$987,Movimientos!$C$1:$C$987,"Durand",Movimientos!$B$1:$B$987,"&lt;="&amp;$B67)</f>
        <v>1669.89</v>
      </c>
      <c r="F67" s="24">
        <f>SUMIFS('Saldos Iniciales'!$D:$D,'Saldos Iniciales'!$A:$A,"A&amp;M Imports")+SUMIFS(Movimientos!$K$1:$K$987,Movimientos!$C$1:$C$987,"A&amp;M Imports",Movimientos!$B$1:$B$987,"&lt;="&amp;$B67)</f>
        <v>181515.38999999987</v>
      </c>
      <c r="G67" s="24">
        <f>SUMIFS('Saldos Iniciales'!$D:$D,'Saldos Iniciales'!$A:$A,"SSP Capital")+SUMIFS(Movimientos!$K$1:$K$987,Movimientos!$C$1:$C$987,"SSP Capital",Movimientos!$B$1:$B$987,"&lt;="&amp;$B67)</f>
        <v>1775806.9999999995</v>
      </c>
      <c r="H67" s="24">
        <f>SUMIFS('Saldos Iniciales'!$D:$D,'Saldos Iniciales'!$A:$A,"Cross Family Trust")+SUMIFS(Movimientos!$K$1:$K$987,Movimientos!$C$1:$C$987,"Cross Family Trust",Movimientos!$B$1:$B$987,"&lt;="&amp;$B67)</f>
        <v>220496.38</v>
      </c>
      <c r="I67" s="24">
        <f>SUMIFS('Saldos Iniciales'!$D:$D,'Saldos Iniciales'!$A:$A,"Cross Security Trust")+SUMIFS(Movimientos!$K$1:$K$987,Movimientos!$C$1:$C$987,"Cross Security Trust",Movimientos!$B$1:$B$987,"&lt;="&amp;$B67)</f>
        <v>88090.37</v>
      </c>
      <c r="J67" s="24">
        <f>SUMIFS('Saldos Iniciales'!$D:$D,'Saldos Iniciales'!$A:$A,"Electrama")+SUMIFS(Movimientos!$K$1:$K$987,Movimientos!$C$1:$C$987,"Electrama",Movimientos!$B$1:$B$987,"&lt;="&amp;$B67)</f>
        <v>471.15999999999985</v>
      </c>
      <c r="K67" s="24">
        <f>SUMIFS('Saldos Iniciales'!$D:$D,'Saldos Iniciales'!$A:$A,"Sacred Valley Capital")+SUMIFS(Movimientos!$K$1:$K$987,Movimientos!$C$1:$C$987,"Sacred Valley Capital",Movimientos!$B$1:$B$987,"&lt;="&amp;$B67)</f>
        <v>54.400000000000006</v>
      </c>
      <c r="L67" s="24">
        <f>SUMIFS('Saldos Iniciales'!$D:$D,'Saldos Iniciales'!$A:$A,"YWC Capital")+SUMIFS(Movimientos!$K$1:$K$987,Movimientos!$C$1:$C$987,"YWC Capital",Movimientos!$B$1:$B$987,"&lt;="&amp;$B67)</f>
        <v>2207.8200000000002</v>
      </c>
      <c r="M67" s="24">
        <f>SUMIFS('Saldos Iniciales'!$D:$D,'Saldos Iniciales'!$A:$A,"Soweto")+SUMIFS(Movimientos!$K$1:$K$987,Movimientos!$C$1:$C$987,"Soweto",Movimientos!$B$1:$B$987,"&lt;="&amp;$B67)</f>
        <v>3349.94</v>
      </c>
      <c r="N67" s="24">
        <f>SUMIFS('Saldos Iniciales'!$D:$D,'Saldos Iniciales'!$A:$A,"Green Stone Trust")+SUMIFS(Movimientos!$K$1:$K$987,Movimientos!$C$1:$C$987,"Green Stone Trust",Movimientos!$B$1:$B$987,"&lt;="&amp;$B67)</f>
        <v>1968.99</v>
      </c>
      <c r="O67" s="24">
        <f>SUMIFS('Saldos Iniciales'!$D:$D,'Saldos Iniciales'!$A:$A,"EC Auto")+SUMIFS(Movimientos!$K$1:$K$987,Movimientos!$C$1:$C$987,"EC Auto",Movimientos!$B$1:$B$987,"&lt;="&amp;$B67)</f>
        <v>382.69000000000005</v>
      </c>
      <c r="P67" s="24">
        <f>SUMIFS('Saldos Iniciales'!$D:$D,'Saldos Iniciales'!$A:$A,"Arbor Capital Properties")+SUMIFS(Movimientos!$K$1:$K$987,Movimientos!$C$1:$C$987,"Arbor Capital Properties",Movimientos!$B$1:$B$987,"&lt;="&amp;$B67)</f>
        <v>1412.08</v>
      </c>
      <c r="Q67" s="24">
        <f>SUMIFS('Saldos Iniciales'!$D:$D,'Saldos Iniciales'!$A:$A,"2515 Overbrook")+SUMIFS(Movimientos!$K$1:$K$987,Movimientos!$C$1:$C$987,"2515 Overbrook",Movimientos!$B$1:$B$987,"&lt;="&amp;$B67)</f>
        <v>22496.639999999959</v>
      </c>
      <c r="R67" s="24">
        <f>SUMIFS('Saldos Iniciales'!$D:$D,'Saldos Iniciales'!$A:$A,"112 Florida Ave")+SUMIFS(Movimientos!$K$1:$K$987,Movimientos!$C$1:$C$987,"112 Florida Ave",Movimientos!$B$1:$B$987,"&lt;="&amp;$B67)</f>
        <v>10522.800000000003</v>
      </c>
      <c r="S67" s="24">
        <f>SUMIFS('Saldos Iniciales'!$D:$D,'Saldos Iniciales'!$A:$A,"3628 Thomas Ave")+SUMIFS(Movimientos!$K$1:$K$987,Movimientos!$C$1:$C$987,"3628 Thomas Ave",Movimientos!$B$1:$B$987,"&lt;="&amp;$B67)</f>
        <v>28485.559999999998</v>
      </c>
      <c r="T67" s="24">
        <f>SUMIFS('Saldos Iniciales'!$D:$D,'Saldos Iniciales'!$A:$A,"Green Harbor Trust")+SUMIFS(Movimientos!$K$1:$K$987,Movimientos!$C$1:$C$987,"Green Harbor Trust",Movimientos!$B$1:$B$987,"&lt;="&amp;$B67)</f>
        <v>345</v>
      </c>
      <c r="U67" s="24">
        <f>SUMIFS('Saldos Iniciales'!$D:$D,'Saldos Iniciales'!$A:$A,"Go Blue")+SUMIFS(Movimientos!$K$1:$K$987,Movimientos!$C$1:$C$987,"Go Blue",Movimientos!$B$1:$B$987,"&lt;="&amp;$B67)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Group")+SUMIFS(Movimientos!$K$1:$K$987,Movimientos!$C$1:$C$987,"CFT Group",Movimientos!$B$1:$B$987,"&lt;="&amp;$B68)</f>
        <v>5673919.080000001</v>
      </c>
      <c r="D68" s="24">
        <f>SUMIFS('Saldos Iniciales'!$D:$D,'Saldos Iniciales'!$A:$A,"M1B")+SUMIFS(Movimientos!$K$1:$K$987,Movimientos!$C$1:$C$987,"M1B",Movimientos!$B$1:$B$987,"&lt;="&amp;$B68)</f>
        <v>79139.680000000168</v>
      </c>
      <c r="E68" s="24">
        <f>SUMIFS('Saldos Iniciales'!$D:$D,'Saldos Iniciales'!$A:$A,"Durand")+SUMIFS(Movimientos!$K$1:$K$987,Movimientos!$C$1:$C$987,"Durand",Movimientos!$B$1:$B$987,"&lt;="&amp;$B68)</f>
        <v>1669.89</v>
      </c>
      <c r="F68" s="24">
        <f>SUMIFS('Saldos Iniciales'!$D:$D,'Saldos Iniciales'!$A:$A,"A&amp;M Imports")+SUMIFS(Movimientos!$K$1:$K$987,Movimientos!$C$1:$C$987,"A&amp;M Imports",Movimientos!$B$1:$B$987,"&lt;="&amp;$B68)</f>
        <v>181515.38999999987</v>
      </c>
      <c r="G68" s="24">
        <f>SUMIFS('Saldos Iniciales'!$D:$D,'Saldos Iniciales'!$A:$A,"SSP Capital")+SUMIFS(Movimientos!$K$1:$K$987,Movimientos!$C$1:$C$987,"SSP Capital",Movimientos!$B$1:$B$987,"&lt;="&amp;$B68)</f>
        <v>1775268.5799999994</v>
      </c>
      <c r="H68" s="24">
        <f>SUMIFS('Saldos Iniciales'!$D:$D,'Saldos Iniciales'!$A:$A,"Cross Family Trust")+SUMIFS(Movimientos!$K$1:$K$987,Movimientos!$C$1:$C$987,"Cross Family Trust",Movimientos!$B$1:$B$987,"&lt;="&amp;$B68)</f>
        <v>220496.38</v>
      </c>
      <c r="I68" s="24">
        <f>SUMIFS('Saldos Iniciales'!$D:$D,'Saldos Iniciales'!$A:$A,"Cross Security Trust")+SUMIFS(Movimientos!$K$1:$K$987,Movimientos!$C$1:$C$987,"Cross Security Trust",Movimientos!$B$1:$B$987,"&lt;="&amp;$B68)</f>
        <v>88090.37</v>
      </c>
      <c r="J68" s="24">
        <f>SUMIFS('Saldos Iniciales'!$D:$D,'Saldos Iniciales'!$A:$A,"Electrama")+SUMIFS(Movimientos!$K$1:$K$987,Movimientos!$C$1:$C$987,"Electrama",Movimientos!$B$1:$B$987,"&lt;="&amp;$B68)</f>
        <v>471.15999999999985</v>
      </c>
      <c r="K68" s="24">
        <f>SUMIFS('Saldos Iniciales'!$D:$D,'Saldos Iniciales'!$A:$A,"Sacred Valley Capital")+SUMIFS(Movimientos!$K$1:$K$987,Movimientos!$C$1:$C$987,"Sacred Valley Capital",Movimientos!$B$1:$B$987,"&lt;="&amp;$B68)</f>
        <v>54.400000000000006</v>
      </c>
      <c r="L68" s="24">
        <f>SUMIFS('Saldos Iniciales'!$D:$D,'Saldos Iniciales'!$A:$A,"YWC Capital")+SUMIFS(Movimientos!$K$1:$K$987,Movimientos!$C$1:$C$987,"YWC Capital",Movimientos!$B$1:$B$987,"&lt;="&amp;$B68)</f>
        <v>2207.8200000000002</v>
      </c>
      <c r="M68" s="24">
        <f>SUMIFS('Saldos Iniciales'!$D:$D,'Saldos Iniciales'!$A:$A,"Soweto")+SUMIFS(Movimientos!$K$1:$K$987,Movimientos!$C$1:$C$987,"Soweto",Movimientos!$B$1:$B$987,"&lt;="&amp;$B68)</f>
        <v>3349.94</v>
      </c>
      <c r="N68" s="24">
        <f>SUMIFS('Saldos Iniciales'!$D:$D,'Saldos Iniciales'!$A:$A,"Green Stone Trust")+SUMIFS(Movimientos!$K$1:$K$987,Movimientos!$C$1:$C$987,"Green Stone Trust",Movimientos!$B$1:$B$987,"&lt;="&amp;$B68)</f>
        <v>1968.99</v>
      </c>
      <c r="O68" s="24">
        <f>SUMIFS('Saldos Iniciales'!$D:$D,'Saldos Iniciales'!$A:$A,"EC Auto")+SUMIFS(Movimientos!$K$1:$K$987,Movimientos!$C$1:$C$987,"EC Auto",Movimientos!$B$1:$B$987,"&lt;="&amp;$B68)</f>
        <v>382.69000000000005</v>
      </c>
      <c r="P68" s="24">
        <f>SUMIFS('Saldos Iniciales'!$D:$D,'Saldos Iniciales'!$A:$A,"Arbor Capital Properties")+SUMIFS(Movimientos!$K$1:$K$987,Movimientos!$C$1:$C$987,"Arbor Capital Properties",Movimientos!$B$1:$B$987,"&lt;="&amp;$B68)</f>
        <v>1412.08</v>
      </c>
      <c r="Q68" s="24">
        <f>SUMIFS('Saldos Iniciales'!$D:$D,'Saldos Iniciales'!$A:$A,"2515 Overbrook")+SUMIFS(Movimientos!$K$1:$K$987,Movimientos!$C$1:$C$987,"2515 Overbrook",Movimientos!$B$1:$B$987,"&lt;="&amp;$B68)</f>
        <v>22496.639999999959</v>
      </c>
      <c r="R68" s="24">
        <f>SUMIFS('Saldos Iniciales'!$D:$D,'Saldos Iniciales'!$A:$A,"112 Florida Ave")+SUMIFS(Movimientos!$K$1:$K$987,Movimientos!$C$1:$C$987,"112 Florida Ave",Movimientos!$B$1:$B$987,"&lt;="&amp;$B68)</f>
        <v>10522.800000000003</v>
      </c>
      <c r="S68" s="24">
        <f>SUMIFS('Saldos Iniciales'!$D:$D,'Saldos Iniciales'!$A:$A,"3628 Thomas Ave")+SUMIFS(Movimientos!$K$1:$K$987,Movimientos!$C$1:$C$987,"3628 Thomas Ave",Movimientos!$B$1:$B$987,"&lt;="&amp;$B68)</f>
        <v>28485.559999999998</v>
      </c>
      <c r="T68" s="24">
        <f>SUMIFS('Saldos Iniciales'!$D:$D,'Saldos Iniciales'!$A:$A,"Green Harbor Trust")+SUMIFS(Movimientos!$K$1:$K$987,Movimientos!$C$1:$C$987,"Green Harbor Trust",Movimientos!$B$1:$B$987,"&lt;="&amp;$B68)</f>
        <v>345</v>
      </c>
      <c r="U68" s="24">
        <f>SUMIFS('Saldos Iniciales'!$D:$D,'Saldos Iniciales'!$A:$A,"Go Blue")+SUMIFS(Movimientos!$K$1:$K$987,Movimientos!$C$1:$C$987,"Go Blue",Movimientos!$B$1:$B$987,"&lt;="&amp;$B68)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Group")+SUMIFS(Movimientos!$K$1:$K$987,Movimientos!$C$1:$C$987,"CFT Group",Movimientos!$B$1:$B$987,"&lt;="&amp;$B69)</f>
        <v>5673919.080000001</v>
      </c>
      <c r="D69" s="24">
        <f>SUMIFS('Saldos Iniciales'!$D:$D,'Saldos Iniciales'!$A:$A,"M1B")+SUMIFS(Movimientos!$K$1:$K$987,Movimientos!$C$1:$C$987,"M1B",Movimientos!$B$1:$B$987,"&lt;="&amp;$B69)</f>
        <v>79139.680000000168</v>
      </c>
      <c r="E69" s="24">
        <f>SUMIFS('Saldos Iniciales'!$D:$D,'Saldos Iniciales'!$A:$A,"Durand")+SUMIFS(Movimientos!$K$1:$K$987,Movimientos!$C$1:$C$987,"Durand",Movimientos!$B$1:$B$987,"&lt;="&amp;$B69)</f>
        <v>1669.89</v>
      </c>
      <c r="F69" s="24">
        <f>SUMIFS('Saldos Iniciales'!$D:$D,'Saldos Iniciales'!$A:$A,"A&amp;M Imports")+SUMIFS(Movimientos!$K$1:$K$987,Movimientos!$C$1:$C$987,"A&amp;M Imports",Movimientos!$B$1:$B$987,"&lt;="&amp;$B69)</f>
        <v>181515.38999999987</v>
      </c>
      <c r="G69" s="24">
        <f>SUMIFS('Saldos Iniciales'!$D:$D,'Saldos Iniciales'!$A:$A,"SSP Capital")+SUMIFS(Movimientos!$K$1:$K$987,Movimientos!$C$1:$C$987,"SSP Capital",Movimientos!$B$1:$B$987,"&lt;="&amp;$B69)</f>
        <v>1775268.5799999994</v>
      </c>
      <c r="H69" s="24">
        <f>SUMIFS('Saldos Iniciales'!$D:$D,'Saldos Iniciales'!$A:$A,"Cross Family Trust")+SUMIFS(Movimientos!$K$1:$K$987,Movimientos!$C$1:$C$987,"Cross Family Trust",Movimientos!$B$1:$B$987,"&lt;="&amp;$B69)</f>
        <v>220496.38</v>
      </c>
      <c r="I69" s="24">
        <f>SUMIFS('Saldos Iniciales'!$D:$D,'Saldos Iniciales'!$A:$A,"Cross Security Trust")+SUMIFS(Movimientos!$K$1:$K$987,Movimientos!$C$1:$C$987,"Cross Security Trust",Movimientos!$B$1:$B$987,"&lt;="&amp;$B69)</f>
        <v>88090.37</v>
      </c>
      <c r="J69" s="24">
        <f>SUMIFS('Saldos Iniciales'!$D:$D,'Saldos Iniciales'!$A:$A,"Electrama")+SUMIFS(Movimientos!$K$1:$K$987,Movimientos!$C$1:$C$987,"Electrama",Movimientos!$B$1:$B$987,"&lt;="&amp;$B69)</f>
        <v>471.15999999999985</v>
      </c>
      <c r="K69" s="24">
        <f>SUMIFS('Saldos Iniciales'!$D:$D,'Saldos Iniciales'!$A:$A,"Sacred Valley Capital")+SUMIFS(Movimientos!$K$1:$K$987,Movimientos!$C$1:$C$987,"Sacred Valley Capital",Movimientos!$B$1:$B$987,"&lt;="&amp;$B69)</f>
        <v>54.400000000000006</v>
      </c>
      <c r="L69" s="24">
        <f>SUMIFS('Saldos Iniciales'!$D:$D,'Saldos Iniciales'!$A:$A,"YWC Capital")+SUMIFS(Movimientos!$K$1:$K$987,Movimientos!$C$1:$C$987,"YWC Capital",Movimientos!$B$1:$B$987,"&lt;="&amp;$B69)</f>
        <v>2207.8200000000002</v>
      </c>
      <c r="M69" s="24">
        <f>SUMIFS('Saldos Iniciales'!$D:$D,'Saldos Iniciales'!$A:$A,"Soweto")+SUMIFS(Movimientos!$K$1:$K$987,Movimientos!$C$1:$C$987,"Soweto",Movimientos!$B$1:$B$987,"&lt;="&amp;$B69)</f>
        <v>3349.94</v>
      </c>
      <c r="N69" s="24">
        <f>SUMIFS('Saldos Iniciales'!$D:$D,'Saldos Iniciales'!$A:$A,"Green Stone Trust")+SUMIFS(Movimientos!$K$1:$K$987,Movimientos!$C$1:$C$987,"Green Stone Trust",Movimientos!$B$1:$B$987,"&lt;="&amp;$B69)</f>
        <v>1968.99</v>
      </c>
      <c r="O69" s="24">
        <f>SUMIFS('Saldos Iniciales'!$D:$D,'Saldos Iniciales'!$A:$A,"EC Auto")+SUMIFS(Movimientos!$K$1:$K$987,Movimientos!$C$1:$C$987,"EC Auto",Movimientos!$B$1:$B$987,"&lt;="&amp;$B69)</f>
        <v>382.69000000000005</v>
      </c>
      <c r="P69" s="24">
        <f>SUMIFS('Saldos Iniciales'!$D:$D,'Saldos Iniciales'!$A:$A,"Arbor Capital Properties")+SUMIFS(Movimientos!$K$1:$K$987,Movimientos!$C$1:$C$987,"Arbor Capital Properties",Movimientos!$B$1:$B$987,"&lt;="&amp;$B69)</f>
        <v>1412.08</v>
      </c>
      <c r="Q69" s="24">
        <f>SUMIFS('Saldos Iniciales'!$D:$D,'Saldos Iniciales'!$A:$A,"2515 Overbrook")+SUMIFS(Movimientos!$K$1:$K$987,Movimientos!$C$1:$C$987,"2515 Overbrook",Movimientos!$B$1:$B$987,"&lt;="&amp;$B69)</f>
        <v>22496.639999999959</v>
      </c>
      <c r="R69" s="24">
        <f>SUMIFS('Saldos Iniciales'!$D:$D,'Saldos Iniciales'!$A:$A,"112 Florida Ave")+SUMIFS(Movimientos!$K$1:$K$987,Movimientos!$C$1:$C$987,"112 Florida Ave",Movimientos!$B$1:$B$987,"&lt;="&amp;$B69)</f>
        <v>10522.800000000003</v>
      </c>
      <c r="S69" s="24">
        <f>SUMIFS('Saldos Iniciales'!$D:$D,'Saldos Iniciales'!$A:$A,"3628 Thomas Ave")+SUMIFS(Movimientos!$K$1:$K$987,Movimientos!$C$1:$C$987,"3628 Thomas Ave",Movimientos!$B$1:$B$987,"&lt;="&amp;$B69)</f>
        <v>28485.559999999998</v>
      </c>
      <c r="T69" s="24">
        <f>SUMIFS('Saldos Iniciales'!$D:$D,'Saldos Iniciales'!$A:$A,"Green Harbor Trust")+SUMIFS(Movimientos!$K$1:$K$987,Movimientos!$C$1:$C$987,"Green Harbor Trust",Movimientos!$B$1:$B$987,"&lt;="&amp;$B69)</f>
        <v>345</v>
      </c>
      <c r="U69" s="24">
        <f>SUMIFS('Saldos Iniciales'!$D:$D,'Saldos Iniciales'!$A:$A,"Go Blue")+SUMIFS(Movimientos!$K$1:$K$987,Movimientos!$C$1:$C$987,"Go Blue",Movimientos!$B$1:$B$987,"&lt;="&amp;$B69)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Group")+SUMIFS(Movimientos!$K$1:$K$987,Movimientos!$C$1:$C$987,"CFT Group",Movimientos!$B$1:$B$987,"&lt;="&amp;$B70)</f>
        <v>5673919.080000001</v>
      </c>
      <c r="D70" s="24">
        <f>SUMIFS('Saldos Iniciales'!$D:$D,'Saldos Iniciales'!$A:$A,"M1B")+SUMIFS(Movimientos!$K$1:$K$987,Movimientos!$C$1:$C$987,"M1B",Movimientos!$B$1:$B$987,"&lt;="&amp;$B70)</f>
        <v>79139.680000000168</v>
      </c>
      <c r="E70" s="24">
        <f>SUMIFS('Saldos Iniciales'!$D:$D,'Saldos Iniciales'!$A:$A,"Durand")+SUMIFS(Movimientos!$K$1:$K$987,Movimientos!$C$1:$C$987,"Durand",Movimientos!$B$1:$B$987,"&lt;="&amp;$B70)</f>
        <v>1669.89</v>
      </c>
      <c r="F70" s="24">
        <f>SUMIFS('Saldos Iniciales'!$D:$D,'Saldos Iniciales'!$A:$A,"A&amp;M Imports")+SUMIFS(Movimientos!$K$1:$K$987,Movimientos!$C$1:$C$987,"A&amp;M Imports",Movimientos!$B$1:$B$987,"&lt;="&amp;$B70)</f>
        <v>181515.38999999987</v>
      </c>
      <c r="G70" s="24">
        <f>SUMIFS('Saldos Iniciales'!$D:$D,'Saldos Iniciales'!$A:$A,"SSP Capital")+SUMIFS(Movimientos!$K$1:$K$987,Movimientos!$C$1:$C$987,"SSP Capital",Movimientos!$B$1:$B$987,"&lt;="&amp;$B70)</f>
        <v>1765937.9599999995</v>
      </c>
      <c r="H70" s="24">
        <f>SUMIFS('Saldos Iniciales'!$D:$D,'Saldos Iniciales'!$A:$A,"Cross Family Trust")+SUMIFS(Movimientos!$K$1:$K$987,Movimientos!$C$1:$C$987,"Cross Family Trust",Movimientos!$B$1:$B$987,"&lt;="&amp;$B70)</f>
        <v>220496.38</v>
      </c>
      <c r="I70" s="24">
        <f>SUMIFS('Saldos Iniciales'!$D:$D,'Saldos Iniciales'!$A:$A,"Cross Security Trust")+SUMIFS(Movimientos!$K$1:$K$987,Movimientos!$C$1:$C$987,"Cross Security Trust",Movimientos!$B$1:$B$987,"&lt;="&amp;$B70)</f>
        <v>88090.37</v>
      </c>
      <c r="J70" s="24">
        <f>SUMIFS('Saldos Iniciales'!$D:$D,'Saldos Iniciales'!$A:$A,"Electrama")+SUMIFS(Movimientos!$K$1:$K$987,Movimientos!$C$1:$C$987,"Electrama",Movimientos!$B$1:$B$987,"&lt;="&amp;$B70)</f>
        <v>471.15999999999985</v>
      </c>
      <c r="K70" s="24">
        <f>SUMIFS('Saldos Iniciales'!$D:$D,'Saldos Iniciales'!$A:$A,"Sacred Valley Capital")+SUMIFS(Movimientos!$K$1:$K$987,Movimientos!$C$1:$C$987,"Sacred Valley Capital",Movimientos!$B$1:$B$987,"&lt;="&amp;$B70)</f>
        <v>54.400000000000006</v>
      </c>
      <c r="L70" s="24">
        <f>SUMIFS('Saldos Iniciales'!$D:$D,'Saldos Iniciales'!$A:$A,"YWC Capital")+SUMIFS(Movimientos!$K$1:$K$987,Movimientos!$C$1:$C$987,"YWC Capital",Movimientos!$B$1:$B$987,"&lt;="&amp;$B70)</f>
        <v>2207.8200000000002</v>
      </c>
      <c r="M70" s="24">
        <f>SUMIFS('Saldos Iniciales'!$D:$D,'Saldos Iniciales'!$A:$A,"Soweto")+SUMIFS(Movimientos!$K$1:$K$987,Movimientos!$C$1:$C$987,"Soweto",Movimientos!$B$1:$B$987,"&lt;="&amp;$B70)</f>
        <v>3334.94</v>
      </c>
      <c r="N70" s="24">
        <f>SUMIFS('Saldos Iniciales'!$D:$D,'Saldos Iniciales'!$A:$A,"Green Stone Trust")+SUMIFS(Movimientos!$K$1:$K$987,Movimientos!$C$1:$C$987,"Green Stone Trust",Movimientos!$B$1:$B$987,"&lt;="&amp;$B70)</f>
        <v>1968.99</v>
      </c>
      <c r="O70" s="24">
        <f>SUMIFS('Saldos Iniciales'!$D:$D,'Saldos Iniciales'!$A:$A,"EC Auto")+SUMIFS(Movimientos!$K$1:$K$987,Movimientos!$C$1:$C$987,"EC Auto",Movimientos!$B$1:$B$987,"&lt;="&amp;$B70)</f>
        <v>382.69000000000005</v>
      </c>
      <c r="P70" s="24">
        <f>SUMIFS('Saldos Iniciales'!$D:$D,'Saldos Iniciales'!$A:$A,"Arbor Capital Properties")+SUMIFS(Movimientos!$K$1:$K$987,Movimientos!$C$1:$C$987,"Arbor Capital Properties",Movimientos!$B$1:$B$987,"&lt;="&amp;$B70)</f>
        <v>1412.08</v>
      </c>
      <c r="Q70" s="24">
        <f>SUMIFS('Saldos Iniciales'!$D:$D,'Saldos Iniciales'!$A:$A,"2515 Overbrook")+SUMIFS(Movimientos!$K$1:$K$987,Movimientos!$C$1:$C$987,"2515 Overbrook",Movimientos!$B$1:$B$987,"&lt;="&amp;$B70)</f>
        <v>22496.639999999959</v>
      </c>
      <c r="R70" s="24">
        <f>SUMIFS('Saldos Iniciales'!$D:$D,'Saldos Iniciales'!$A:$A,"112 Florida Ave")+SUMIFS(Movimientos!$K$1:$K$987,Movimientos!$C$1:$C$987,"112 Florida Ave",Movimientos!$B$1:$B$987,"&lt;="&amp;$B70)</f>
        <v>6522.8000000000029</v>
      </c>
      <c r="S70" s="24">
        <f>SUMIFS('Saldos Iniciales'!$D:$D,'Saldos Iniciales'!$A:$A,"3628 Thomas Ave")+SUMIFS(Movimientos!$K$1:$K$987,Movimientos!$C$1:$C$987,"3628 Thomas Ave",Movimientos!$B$1:$B$987,"&lt;="&amp;$B70)</f>
        <v>28485.559999999998</v>
      </c>
      <c r="T70" s="24">
        <f>SUMIFS('Saldos Iniciales'!$D:$D,'Saldos Iniciales'!$A:$A,"Green Harbor Trust")+SUMIFS(Movimientos!$K$1:$K$987,Movimientos!$C$1:$C$987,"Green Harbor Trust",Movimientos!$B$1:$B$987,"&lt;="&amp;$B70)</f>
        <v>345</v>
      </c>
      <c r="U70" s="24">
        <f>SUMIFS('Saldos Iniciales'!$D:$D,'Saldos Iniciales'!$A:$A,"Go Blue")+SUMIFS(Movimientos!$K$1:$K$987,Movimientos!$C$1:$C$987,"Go Blue",Movimientos!$B$1:$B$987,"&lt;="&amp;$B70)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Group")+SUMIFS(Movimientos!$K$1:$K$987,Movimientos!$C$1:$C$987,"CFT Group",Movimientos!$B$1:$B$987,"&lt;="&amp;$B71)</f>
        <v>4459277.4100000011</v>
      </c>
      <c r="D71" s="24">
        <f>SUMIFS('Saldos Iniciales'!$D:$D,'Saldos Iniciales'!$A:$A,"M1B")+SUMIFS(Movimientos!$K$1:$K$987,Movimientos!$C$1:$C$987,"M1B",Movimientos!$B$1:$B$987,"&lt;="&amp;$B71)</f>
        <v>73157.680000000168</v>
      </c>
      <c r="E71" s="24">
        <f>SUMIFS('Saldos Iniciales'!$D:$D,'Saldos Iniciales'!$A:$A,"Durand")+SUMIFS(Movimientos!$K$1:$K$987,Movimientos!$C$1:$C$987,"Durand",Movimientos!$B$1:$B$987,"&lt;="&amp;$B71)</f>
        <v>1669.89</v>
      </c>
      <c r="F71" s="24">
        <f>SUMIFS('Saldos Iniciales'!$D:$D,'Saldos Iniciales'!$A:$A,"A&amp;M Imports")+SUMIFS(Movimientos!$K$1:$K$987,Movimientos!$C$1:$C$987,"A&amp;M Imports",Movimientos!$B$1:$B$987,"&lt;="&amp;$B71)</f>
        <v>121515.38999999987</v>
      </c>
      <c r="G71" s="24">
        <f>SUMIFS('Saldos Iniciales'!$D:$D,'Saldos Iniciales'!$A:$A,"SSP Capital")+SUMIFS(Movimientos!$K$1:$K$987,Movimientos!$C$1:$C$987,"SSP Capital",Movimientos!$B$1:$B$987,"&lt;="&amp;$B71)</f>
        <v>2133835.0599999996</v>
      </c>
      <c r="H71" s="24">
        <f>SUMIFS('Saldos Iniciales'!$D:$D,'Saldos Iniciales'!$A:$A,"Cross Family Trust")+SUMIFS(Movimientos!$K$1:$K$987,Movimientos!$C$1:$C$987,"Cross Family Trust",Movimientos!$B$1:$B$987,"&lt;="&amp;$B71)</f>
        <v>200496.38</v>
      </c>
      <c r="I71" s="24">
        <f>SUMIFS('Saldos Iniciales'!$D:$D,'Saldos Iniciales'!$A:$A,"Cross Security Trust")+SUMIFS(Movimientos!$K$1:$K$987,Movimientos!$C$1:$C$987,"Cross Security Trust",Movimientos!$B$1:$B$987,"&lt;="&amp;$B71)</f>
        <v>88090.37</v>
      </c>
      <c r="J71" s="24">
        <f>SUMIFS('Saldos Iniciales'!$D:$D,'Saldos Iniciales'!$A:$A,"Electrama")+SUMIFS(Movimientos!$K$1:$K$987,Movimientos!$C$1:$C$987,"Electrama",Movimientos!$B$1:$B$987,"&lt;="&amp;$B71)</f>
        <v>15130.45</v>
      </c>
      <c r="K71" s="24">
        <f>SUMIFS('Saldos Iniciales'!$D:$D,'Saldos Iniciales'!$A:$A,"Sacred Valley Capital")+SUMIFS(Movimientos!$K$1:$K$987,Movimientos!$C$1:$C$987,"Sacred Valley Capital",Movimientos!$B$1:$B$987,"&lt;="&amp;$B71)</f>
        <v>54.400000000000006</v>
      </c>
      <c r="L71" s="24">
        <f>SUMIFS('Saldos Iniciales'!$D:$D,'Saldos Iniciales'!$A:$A,"YWC Capital")+SUMIFS(Movimientos!$K$1:$K$987,Movimientos!$C$1:$C$987,"YWC Capital",Movimientos!$B$1:$B$987,"&lt;="&amp;$B71)</f>
        <v>2207.8200000000002</v>
      </c>
      <c r="M71" s="24">
        <f>SUMIFS('Saldos Iniciales'!$D:$D,'Saldos Iniciales'!$A:$A,"Soweto")+SUMIFS(Movimientos!$K$1:$K$987,Movimientos!$C$1:$C$987,"Soweto",Movimientos!$B$1:$B$987,"&lt;="&amp;$B71)</f>
        <v>1454604.72</v>
      </c>
      <c r="N71" s="24">
        <f>SUMIFS('Saldos Iniciales'!$D:$D,'Saldos Iniciales'!$A:$A,"Green Stone Trust")+SUMIFS(Movimientos!$K$1:$K$987,Movimientos!$C$1:$C$987,"Green Stone Trust",Movimientos!$B$1:$B$987,"&lt;="&amp;$B71)</f>
        <v>1968.99</v>
      </c>
      <c r="O71" s="24">
        <f>SUMIFS('Saldos Iniciales'!$D:$D,'Saldos Iniciales'!$A:$A,"EC Auto")+SUMIFS(Movimientos!$K$1:$K$987,Movimientos!$C$1:$C$987,"EC Auto",Movimientos!$B$1:$B$987,"&lt;="&amp;$B71)</f>
        <v>382.69000000000005</v>
      </c>
      <c r="P71" s="24">
        <f>SUMIFS('Saldos Iniciales'!$D:$D,'Saldos Iniciales'!$A:$A,"Arbor Capital Properties")+SUMIFS(Movimientos!$K$1:$K$987,Movimientos!$C$1:$C$987,"Arbor Capital Properties",Movimientos!$B$1:$B$987,"&lt;="&amp;$B71)</f>
        <v>1412.08</v>
      </c>
      <c r="Q71" s="24">
        <f>SUMIFS('Saldos Iniciales'!$D:$D,'Saldos Iniciales'!$A:$A,"2515 Overbrook")+SUMIFS(Movimientos!$K$1:$K$987,Movimientos!$C$1:$C$987,"2515 Overbrook",Movimientos!$B$1:$B$987,"&lt;="&amp;$B71)</f>
        <v>22496.639999999959</v>
      </c>
      <c r="R71" s="24">
        <f>SUMIFS('Saldos Iniciales'!$D:$D,'Saldos Iniciales'!$A:$A,"112 Florida Ave")+SUMIFS(Movimientos!$K$1:$K$987,Movimientos!$C$1:$C$987,"112 Florida Ave",Movimientos!$B$1:$B$987,"&lt;="&amp;$B71)</f>
        <v>6522.8000000000029</v>
      </c>
      <c r="S71" s="24">
        <f>SUMIFS('Saldos Iniciales'!$D:$D,'Saldos Iniciales'!$A:$A,"3628 Thomas Ave")+SUMIFS(Movimientos!$K$1:$K$987,Movimientos!$C$1:$C$987,"3628 Thomas Ave",Movimientos!$B$1:$B$987,"&lt;="&amp;$B71)</f>
        <v>28485.559999999998</v>
      </c>
      <c r="T71" s="24">
        <f>SUMIFS('Saldos Iniciales'!$D:$D,'Saldos Iniciales'!$A:$A,"Green Harbor Trust")+SUMIFS(Movimientos!$K$1:$K$987,Movimientos!$C$1:$C$987,"Green Harbor Trust",Movimientos!$B$1:$B$987,"&lt;="&amp;$B71)</f>
        <v>345</v>
      </c>
      <c r="U71" s="24">
        <f>SUMIFS('Saldos Iniciales'!$D:$D,'Saldos Iniciales'!$A:$A,"Go Blue")+SUMIFS(Movimientos!$K$1:$K$987,Movimientos!$C$1:$C$987,"Go Blue",Movimientos!$B$1:$B$987,"&lt;="&amp;$B71)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Group")+SUMIFS(Movimientos!$K$1:$K$987,Movimientos!$C$1:$C$987,"CFT Group",Movimientos!$B$1:$B$987,"&lt;="&amp;$B72)</f>
        <v>4245089.080000001</v>
      </c>
      <c r="D72" s="24">
        <f>SUMIFS('Saldos Iniciales'!$D:$D,'Saldos Iniciales'!$A:$A,"M1B")+SUMIFS(Movimientos!$K$1:$K$987,Movimientos!$C$1:$C$987,"M1B",Movimientos!$B$1:$B$987,"&lt;="&amp;$B72)</f>
        <v>73157.680000000168</v>
      </c>
      <c r="E72" s="24">
        <f>SUMIFS('Saldos Iniciales'!$D:$D,'Saldos Iniciales'!$A:$A,"Durand")+SUMIFS(Movimientos!$K$1:$K$987,Movimientos!$C$1:$C$987,"Durand",Movimientos!$B$1:$B$987,"&lt;="&amp;$B72)</f>
        <v>1669.89</v>
      </c>
      <c r="F72" s="24">
        <f>SUMIFS('Saldos Iniciales'!$D:$D,'Saldos Iniciales'!$A:$A,"A&amp;M Imports")+SUMIFS(Movimientos!$K$1:$K$987,Movimientos!$C$1:$C$987,"A&amp;M Imports",Movimientos!$B$1:$B$987,"&lt;="&amp;$B72)</f>
        <v>121181.38999999987</v>
      </c>
      <c r="G72" s="24">
        <f>SUMIFS('Saldos Iniciales'!$D:$D,'Saldos Iniciales'!$A:$A,"SSP Capital")+SUMIFS(Movimientos!$K$1:$K$987,Movimientos!$C$1:$C$987,"SSP Capital",Movimientos!$B$1:$B$987,"&lt;="&amp;$B72)</f>
        <v>1935994.3899999992</v>
      </c>
      <c r="H72" s="24">
        <f>SUMIFS('Saldos Iniciales'!$D:$D,'Saldos Iniciales'!$A:$A,"Cross Family Trust")+SUMIFS(Movimientos!$K$1:$K$987,Movimientos!$C$1:$C$987,"Cross Family Trust",Movimientos!$B$1:$B$987,"&lt;="&amp;$B72)</f>
        <v>200496.38</v>
      </c>
      <c r="I72" s="24">
        <f>SUMIFS('Saldos Iniciales'!$D:$D,'Saldos Iniciales'!$A:$A,"Cross Security Trust")+SUMIFS(Movimientos!$K$1:$K$987,Movimientos!$C$1:$C$987,"Cross Security Trust",Movimientos!$B$1:$B$987,"&lt;="&amp;$B72)</f>
        <v>88090.37</v>
      </c>
      <c r="J72" s="24">
        <f>SUMIFS('Saldos Iniciales'!$D:$D,'Saldos Iniciales'!$A:$A,"Electrama")+SUMIFS(Movimientos!$K$1:$K$987,Movimientos!$C$1:$C$987,"Electrama",Movimientos!$B$1:$B$987,"&lt;="&amp;$B72)</f>
        <v>14580.45</v>
      </c>
      <c r="K72" s="24">
        <f>SUMIFS('Saldos Iniciales'!$D:$D,'Saldos Iniciales'!$A:$A,"Sacred Valley Capital")+SUMIFS(Movimientos!$K$1:$K$987,Movimientos!$C$1:$C$987,"Sacred Valley Capital",Movimientos!$B$1:$B$987,"&lt;="&amp;$B72)</f>
        <v>54.400000000000006</v>
      </c>
      <c r="L72" s="24">
        <f>SUMIFS('Saldos Iniciales'!$D:$D,'Saldos Iniciales'!$A:$A,"YWC Capital")+SUMIFS(Movimientos!$K$1:$K$987,Movimientos!$C$1:$C$987,"YWC Capital",Movimientos!$B$1:$B$987,"&lt;="&amp;$B72)</f>
        <v>2207.8200000000002</v>
      </c>
      <c r="M72" s="24">
        <f>SUMIFS('Saldos Iniciales'!$D:$D,'Saldos Iniciales'!$A:$A,"Soweto")+SUMIFS(Movimientos!$K$1:$K$987,Movimientos!$C$1:$C$987,"Soweto",Movimientos!$B$1:$B$987,"&lt;="&amp;$B72)</f>
        <v>1454589.72</v>
      </c>
      <c r="N72" s="24">
        <f>SUMIFS('Saldos Iniciales'!$D:$D,'Saldos Iniciales'!$A:$A,"Green Stone Trust")+SUMIFS(Movimientos!$K$1:$K$987,Movimientos!$C$1:$C$987,"Green Stone Trust",Movimientos!$B$1:$B$987,"&lt;="&amp;$B72)</f>
        <v>1968.99</v>
      </c>
      <c r="O72" s="24">
        <f>SUMIFS('Saldos Iniciales'!$D:$D,'Saldos Iniciales'!$A:$A,"EC Auto")+SUMIFS(Movimientos!$K$1:$K$987,Movimientos!$C$1:$C$987,"EC Auto",Movimientos!$B$1:$B$987,"&lt;="&amp;$B72)</f>
        <v>382.69000000000005</v>
      </c>
      <c r="P72" s="24">
        <f>SUMIFS('Saldos Iniciales'!$D:$D,'Saldos Iniciales'!$A:$A,"Arbor Capital Properties")+SUMIFS(Movimientos!$K$1:$K$987,Movimientos!$C$1:$C$987,"Arbor Capital Properties",Movimientos!$B$1:$B$987,"&lt;="&amp;$B72)</f>
        <v>1412.08</v>
      </c>
      <c r="Q72" s="24">
        <f>SUMIFS('Saldos Iniciales'!$D:$D,'Saldos Iniciales'!$A:$A,"2515 Overbrook")+SUMIFS(Movimientos!$K$1:$K$987,Movimientos!$C$1:$C$987,"2515 Overbrook",Movimientos!$B$1:$B$987,"&lt;="&amp;$B72)</f>
        <v>22496.639999999959</v>
      </c>
      <c r="R72" s="24">
        <f>SUMIFS('Saldos Iniciales'!$D:$D,'Saldos Iniciales'!$A:$A,"112 Florida Ave")+SUMIFS(Movimientos!$K$1:$K$987,Movimientos!$C$1:$C$987,"112 Florida Ave",Movimientos!$B$1:$B$987,"&lt;="&amp;$B72)</f>
        <v>6522.8000000000029</v>
      </c>
      <c r="S72" s="24">
        <f>SUMIFS('Saldos Iniciales'!$D:$D,'Saldos Iniciales'!$A:$A,"3628 Thomas Ave")+SUMIFS(Movimientos!$K$1:$K$987,Movimientos!$C$1:$C$987,"3628 Thomas Ave",Movimientos!$B$1:$B$987,"&lt;="&amp;$B72)</f>
        <v>28485.559999999998</v>
      </c>
      <c r="T72" s="24">
        <f>SUMIFS('Saldos Iniciales'!$D:$D,'Saldos Iniciales'!$A:$A,"Green Harbor Trust")+SUMIFS(Movimientos!$K$1:$K$987,Movimientos!$C$1:$C$987,"Green Harbor Trust",Movimientos!$B$1:$B$987,"&lt;="&amp;$B72)</f>
        <v>345</v>
      </c>
      <c r="U72" s="24">
        <f>SUMIFS('Saldos Iniciales'!$D:$D,'Saldos Iniciales'!$A:$A,"Go Blue")+SUMIFS(Movimientos!$K$1:$K$987,Movimientos!$C$1:$C$987,"Go Blue",Movimientos!$B$1:$B$987,"&lt;="&amp;$B72)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Group")+SUMIFS(Movimientos!$K$1:$K$987,Movimientos!$C$1:$C$987,"CFT Group",Movimientos!$B$1:$B$987,"&lt;="&amp;$B73)</f>
        <v>4245089.080000001</v>
      </c>
      <c r="D73" s="24">
        <f>SUMIFS('Saldos Iniciales'!$D:$D,'Saldos Iniciales'!$A:$A,"M1B")+SUMIFS(Movimientos!$K$1:$K$987,Movimientos!$C$1:$C$987,"M1B",Movimientos!$B$1:$B$987,"&lt;="&amp;$B73)</f>
        <v>73157.680000000168</v>
      </c>
      <c r="E73" s="24">
        <f>SUMIFS('Saldos Iniciales'!$D:$D,'Saldos Iniciales'!$A:$A,"Durand")+SUMIFS(Movimientos!$K$1:$K$987,Movimientos!$C$1:$C$987,"Durand",Movimientos!$B$1:$B$987,"&lt;="&amp;$B73)</f>
        <v>1669.89</v>
      </c>
      <c r="F73" s="24">
        <f>SUMIFS('Saldos Iniciales'!$D:$D,'Saldos Iniciales'!$A:$A,"A&amp;M Imports")+SUMIFS(Movimientos!$K$1:$K$987,Movimientos!$C$1:$C$987,"A&amp;M Imports",Movimientos!$B$1:$B$987,"&lt;="&amp;$B73)</f>
        <v>121181.38999999987</v>
      </c>
      <c r="G73" s="24">
        <f>SUMIFS('Saldos Iniciales'!$D:$D,'Saldos Iniciales'!$A:$A,"SSP Capital")+SUMIFS(Movimientos!$K$1:$K$987,Movimientos!$C$1:$C$987,"SSP Capital",Movimientos!$B$1:$B$987,"&lt;="&amp;$B73)</f>
        <v>1935994.3899999992</v>
      </c>
      <c r="H73" s="24">
        <f>SUMIFS('Saldos Iniciales'!$D:$D,'Saldos Iniciales'!$A:$A,"Cross Family Trust")+SUMIFS(Movimientos!$K$1:$K$987,Movimientos!$C$1:$C$987,"Cross Family Trust",Movimientos!$B$1:$B$987,"&lt;="&amp;$B73)</f>
        <v>200496.38</v>
      </c>
      <c r="I73" s="24">
        <f>SUMIFS('Saldos Iniciales'!$D:$D,'Saldos Iniciales'!$A:$A,"Cross Security Trust")+SUMIFS(Movimientos!$K$1:$K$987,Movimientos!$C$1:$C$987,"Cross Security Trust",Movimientos!$B$1:$B$987,"&lt;="&amp;$B73)</f>
        <v>88090.37</v>
      </c>
      <c r="J73" s="24">
        <f>SUMIFS('Saldos Iniciales'!$D:$D,'Saldos Iniciales'!$A:$A,"Electrama")+SUMIFS(Movimientos!$K$1:$K$987,Movimientos!$C$1:$C$987,"Electrama",Movimientos!$B$1:$B$987,"&lt;="&amp;$B73)</f>
        <v>14580.45</v>
      </c>
      <c r="K73" s="24">
        <f>SUMIFS('Saldos Iniciales'!$D:$D,'Saldos Iniciales'!$A:$A,"Sacred Valley Capital")+SUMIFS(Movimientos!$K$1:$K$987,Movimientos!$C$1:$C$987,"Sacred Valley Capital",Movimientos!$B$1:$B$987,"&lt;="&amp;$B73)</f>
        <v>54.400000000000006</v>
      </c>
      <c r="L73" s="24">
        <f>SUMIFS('Saldos Iniciales'!$D:$D,'Saldos Iniciales'!$A:$A,"YWC Capital")+SUMIFS(Movimientos!$K$1:$K$987,Movimientos!$C$1:$C$987,"YWC Capital",Movimientos!$B$1:$B$987,"&lt;="&amp;$B73)</f>
        <v>2207.8200000000002</v>
      </c>
      <c r="M73" s="24">
        <f>SUMIFS('Saldos Iniciales'!$D:$D,'Saldos Iniciales'!$A:$A,"Soweto")+SUMIFS(Movimientos!$K$1:$K$987,Movimientos!$C$1:$C$987,"Soweto",Movimientos!$B$1:$B$987,"&lt;="&amp;$B73)</f>
        <v>1454589.72</v>
      </c>
      <c r="N73" s="24">
        <f>SUMIFS('Saldos Iniciales'!$D:$D,'Saldos Iniciales'!$A:$A,"Green Stone Trust")+SUMIFS(Movimientos!$K$1:$K$987,Movimientos!$C$1:$C$987,"Green Stone Trust",Movimientos!$B$1:$B$987,"&lt;="&amp;$B73)</f>
        <v>1968.99</v>
      </c>
      <c r="O73" s="24">
        <f>SUMIFS('Saldos Iniciales'!$D:$D,'Saldos Iniciales'!$A:$A,"EC Auto")+SUMIFS(Movimientos!$K$1:$K$987,Movimientos!$C$1:$C$987,"EC Auto",Movimientos!$B$1:$B$987,"&lt;="&amp;$B73)</f>
        <v>382.69000000000005</v>
      </c>
      <c r="P73" s="24">
        <f>SUMIFS('Saldos Iniciales'!$D:$D,'Saldos Iniciales'!$A:$A,"Arbor Capital Properties")+SUMIFS(Movimientos!$K$1:$K$987,Movimientos!$C$1:$C$987,"Arbor Capital Properties",Movimientos!$B$1:$B$987,"&lt;="&amp;$B73)</f>
        <v>1412.08</v>
      </c>
      <c r="Q73" s="24">
        <f>SUMIFS('Saldos Iniciales'!$D:$D,'Saldos Iniciales'!$A:$A,"2515 Overbrook")+SUMIFS(Movimientos!$K$1:$K$987,Movimientos!$C$1:$C$987,"2515 Overbrook",Movimientos!$B$1:$B$987,"&lt;="&amp;$B73)</f>
        <v>22496.639999999959</v>
      </c>
      <c r="R73" s="24">
        <f>SUMIFS('Saldos Iniciales'!$D:$D,'Saldos Iniciales'!$A:$A,"112 Florida Ave")+SUMIFS(Movimientos!$K$1:$K$987,Movimientos!$C$1:$C$987,"112 Florida Ave",Movimientos!$B$1:$B$987,"&lt;="&amp;$B73)</f>
        <v>6522.8000000000029</v>
      </c>
      <c r="S73" s="24">
        <f>SUMIFS('Saldos Iniciales'!$D:$D,'Saldos Iniciales'!$A:$A,"3628 Thomas Ave")+SUMIFS(Movimientos!$K$1:$K$987,Movimientos!$C$1:$C$987,"3628 Thomas Ave",Movimientos!$B$1:$B$987,"&lt;="&amp;$B73)</f>
        <v>28485.559999999998</v>
      </c>
      <c r="T73" s="24">
        <f>SUMIFS('Saldos Iniciales'!$D:$D,'Saldos Iniciales'!$A:$A,"Green Harbor Trust")+SUMIFS(Movimientos!$K$1:$K$987,Movimientos!$C$1:$C$987,"Green Harbor Trust",Movimientos!$B$1:$B$987,"&lt;="&amp;$B73)</f>
        <v>345</v>
      </c>
      <c r="U73" s="24">
        <f>SUMIFS('Saldos Iniciales'!$D:$D,'Saldos Iniciales'!$A:$A,"Go Blue")+SUMIFS(Movimientos!$K$1:$K$987,Movimientos!$C$1:$C$987,"Go Blue",Movimientos!$B$1:$B$987,"&lt;="&amp;$B73)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Group")+SUMIFS(Movimientos!$K$1:$K$987,Movimientos!$C$1:$C$987,"CFT Group",Movimientos!$B$1:$B$987,"&lt;="&amp;$B74)</f>
        <v>4245089.080000001</v>
      </c>
      <c r="D74" s="24">
        <f>SUMIFS('Saldos Iniciales'!$D:$D,'Saldos Iniciales'!$A:$A,"M1B")+SUMIFS(Movimientos!$K$1:$K$987,Movimientos!$C$1:$C$987,"M1B",Movimientos!$B$1:$B$987,"&lt;="&amp;$B74)</f>
        <v>73157.680000000168</v>
      </c>
      <c r="E74" s="24">
        <f>SUMIFS('Saldos Iniciales'!$D:$D,'Saldos Iniciales'!$A:$A,"Durand")+SUMIFS(Movimientos!$K$1:$K$987,Movimientos!$C$1:$C$987,"Durand",Movimientos!$B$1:$B$987,"&lt;="&amp;$B74)</f>
        <v>1669.89</v>
      </c>
      <c r="F74" s="24">
        <f>SUMIFS('Saldos Iniciales'!$D:$D,'Saldos Iniciales'!$A:$A,"A&amp;M Imports")+SUMIFS(Movimientos!$K$1:$K$987,Movimientos!$C$1:$C$987,"A&amp;M Imports",Movimientos!$B$1:$B$987,"&lt;="&amp;$B74)</f>
        <v>121181.38999999987</v>
      </c>
      <c r="G74" s="24">
        <f>SUMIFS('Saldos Iniciales'!$D:$D,'Saldos Iniciales'!$A:$A,"SSP Capital")+SUMIFS(Movimientos!$K$1:$K$987,Movimientos!$C$1:$C$987,"SSP Capital",Movimientos!$B$1:$B$987,"&lt;="&amp;$B74)</f>
        <v>1935994.3899999992</v>
      </c>
      <c r="H74" s="24">
        <f>SUMIFS('Saldos Iniciales'!$D:$D,'Saldos Iniciales'!$A:$A,"Cross Family Trust")+SUMIFS(Movimientos!$K$1:$K$987,Movimientos!$C$1:$C$987,"Cross Family Trust",Movimientos!$B$1:$B$987,"&lt;="&amp;$B74)</f>
        <v>200496.38</v>
      </c>
      <c r="I74" s="24">
        <f>SUMIFS('Saldos Iniciales'!$D:$D,'Saldos Iniciales'!$A:$A,"Cross Security Trust")+SUMIFS(Movimientos!$K$1:$K$987,Movimientos!$C$1:$C$987,"Cross Security Trust",Movimientos!$B$1:$B$987,"&lt;="&amp;$B74)</f>
        <v>88090.37</v>
      </c>
      <c r="J74" s="24">
        <f>SUMIFS('Saldos Iniciales'!$D:$D,'Saldos Iniciales'!$A:$A,"Electrama")+SUMIFS(Movimientos!$K$1:$K$987,Movimientos!$C$1:$C$987,"Electrama",Movimientos!$B$1:$B$987,"&lt;="&amp;$B74)</f>
        <v>14580.45</v>
      </c>
      <c r="K74" s="24">
        <f>SUMIFS('Saldos Iniciales'!$D:$D,'Saldos Iniciales'!$A:$A,"Sacred Valley Capital")+SUMIFS(Movimientos!$K$1:$K$987,Movimientos!$C$1:$C$987,"Sacred Valley Capital",Movimientos!$B$1:$B$987,"&lt;="&amp;$B74)</f>
        <v>54.400000000000006</v>
      </c>
      <c r="L74" s="24">
        <f>SUMIFS('Saldos Iniciales'!$D:$D,'Saldos Iniciales'!$A:$A,"YWC Capital")+SUMIFS(Movimientos!$K$1:$K$987,Movimientos!$C$1:$C$987,"YWC Capital",Movimientos!$B$1:$B$987,"&lt;="&amp;$B74)</f>
        <v>2207.8200000000002</v>
      </c>
      <c r="M74" s="24">
        <f>SUMIFS('Saldos Iniciales'!$D:$D,'Saldos Iniciales'!$A:$A,"Soweto")+SUMIFS(Movimientos!$K$1:$K$987,Movimientos!$C$1:$C$987,"Soweto",Movimientos!$B$1:$B$987,"&lt;="&amp;$B74)</f>
        <v>1454589.72</v>
      </c>
      <c r="N74" s="24">
        <f>SUMIFS('Saldos Iniciales'!$D:$D,'Saldos Iniciales'!$A:$A,"Green Stone Trust")+SUMIFS(Movimientos!$K$1:$K$987,Movimientos!$C$1:$C$987,"Green Stone Trust",Movimientos!$B$1:$B$987,"&lt;="&amp;$B74)</f>
        <v>1968.99</v>
      </c>
      <c r="O74" s="24">
        <f>SUMIFS('Saldos Iniciales'!$D:$D,'Saldos Iniciales'!$A:$A,"EC Auto")+SUMIFS(Movimientos!$K$1:$K$987,Movimientos!$C$1:$C$987,"EC Auto",Movimientos!$B$1:$B$987,"&lt;="&amp;$B74)</f>
        <v>382.69000000000005</v>
      </c>
      <c r="P74" s="24">
        <f>SUMIFS('Saldos Iniciales'!$D:$D,'Saldos Iniciales'!$A:$A,"Arbor Capital Properties")+SUMIFS(Movimientos!$K$1:$K$987,Movimientos!$C$1:$C$987,"Arbor Capital Properties",Movimientos!$B$1:$B$987,"&lt;="&amp;$B74)</f>
        <v>1412.08</v>
      </c>
      <c r="Q74" s="24">
        <f>SUMIFS('Saldos Iniciales'!$D:$D,'Saldos Iniciales'!$A:$A,"2515 Overbrook")+SUMIFS(Movimientos!$K$1:$K$987,Movimientos!$C$1:$C$987,"2515 Overbrook",Movimientos!$B$1:$B$987,"&lt;="&amp;$B74)</f>
        <v>22496.639999999959</v>
      </c>
      <c r="R74" s="24">
        <f>SUMIFS('Saldos Iniciales'!$D:$D,'Saldos Iniciales'!$A:$A,"112 Florida Ave")+SUMIFS(Movimientos!$K$1:$K$987,Movimientos!$C$1:$C$987,"112 Florida Ave",Movimientos!$B$1:$B$987,"&lt;="&amp;$B74)</f>
        <v>6522.8000000000029</v>
      </c>
      <c r="S74" s="24">
        <f>SUMIFS('Saldos Iniciales'!$D:$D,'Saldos Iniciales'!$A:$A,"3628 Thomas Ave")+SUMIFS(Movimientos!$K$1:$K$987,Movimientos!$C$1:$C$987,"3628 Thomas Ave",Movimientos!$B$1:$B$987,"&lt;="&amp;$B74)</f>
        <v>28485.559999999998</v>
      </c>
      <c r="T74" s="24">
        <f>SUMIFS('Saldos Iniciales'!$D:$D,'Saldos Iniciales'!$A:$A,"Green Harbor Trust")+SUMIFS(Movimientos!$K$1:$K$987,Movimientos!$C$1:$C$987,"Green Harbor Trust",Movimientos!$B$1:$B$987,"&lt;="&amp;$B74)</f>
        <v>345</v>
      </c>
      <c r="U74" s="24">
        <f>SUMIFS('Saldos Iniciales'!$D:$D,'Saldos Iniciales'!$A:$A,"Go Blue")+SUMIFS(Movimientos!$K$1:$K$987,Movimientos!$C$1:$C$987,"Go Blue",Movimientos!$B$1:$B$987,"&lt;="&amp;$B74)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Group")+SUMIFS(Movimientos!$K$1:$K$987,Movimientos!$C$1:$C$987,"CFT Group",Movimientos!$B$1:$B$987,"&lt;="&amp;$B75)</f>
        <v>4245089.080000001</v>
      </c>
      <c r="D75" s="24">
        <f>SUMIFS('Saldos Iniciales'!$D:$D,'Saldos Iniciales'!$A:$A,"M1B")+SUMIFS(Movimientos!$K$1:$K$987,Movimientos!$C$1:$C$987,"M1B",Movimientos!$B$1:$B$987,"&lt;="&amp;$B75)</f>
        <v>73157.680000000168</v>
      </c>
      <c r="E75" s="24">
        <f>SUMIFS('Saldos Iniciales'!$D:$D,'Saldos Iniciales'!$A:$A,"Durand")+SUMIFS(Movimientos!$K$1:$K$987,Movimientos!$C$1:$C$987,"Durand",Movimientos!$B$1:$B$987,"&lt;="&amp;$B75)</f>
        <v>1669.89</v>
      </c>
      <c r="F75" s="24">
        <f>SUMIFS('Saldos Iniciales'!$D:$D,'Saldos Iniciales'!$A:$A,"A&amp;M Imports")+SUMIFS(Movimientos!$K$1:$K$987,Movimientos!$C$1:$C$987,"A&amp;M Imports",Movimientos!$B$1:$B$987,"&lt;="&amp;$B75)</f>
        <v>121181.38999999987</v>
      </c>
      <c r="G75" s="24">
        <f>SUMIFS('Saldos Iniciales'!$D:$D,'Saldos Iniciales'!$A:$A,"SSP Capital")+SUMIFS(Movimientos!$K$1:$K$987,Movimientos!$C$1:$C$987,"SSP Capital",Movimientos!$B$1:$B$987,"&lt;="&amp;$B75)</f>
        <v>1935994.3899999992</v>
      </c>
      <c r="H75" s="24">
        <f>SUMIFS('Saldos Iniciales'!$D:$D,'Saldos Iniciales'!$A:$A,"Cross Family Trust")+SUMIFS(Movimientos!$K$1:$K$987,Movimientos!$C$1:$C$987,"Cross Family Trust",Movimientos!$B$1:$B$987,"&lt;="&amp;$B75)</f>
        <v>200496.38</v>
      </c>
      <c r="I75" s="24">
        <f>SUMIFS('Saldos Iniciales'!$D:$D,'Saldos Iniciales'!$A:$A,"Cross Security Trust")+SUMIFS(Movimientos!$K$1:$K$987,Movimientos!$C$1:$C$987,"Cross Security Trust",Movimientos!$B$1:$B$987,"&lt;="&amp;$B75)</f>
        <v>88090.37</v>
      </c>
      <c r="J75" s="24">
        <f>SUMIFS('Saldos Iniciales'!$D:$D,'Saldos Iniciales'!$A:$A,"Electrama")+SUMIFS(Movimientos!$K$1:$K$987,Movimientos!$C$1:$C$987,"Electrama",Movimientos!$B$1:$B$987,"&lt;="&amp;$B75)</f>
        <v>14580.45</v>
      </c>
      <c r="K75" s="24">
        <f>SUMIFS('Saldos Iniciales'!$D:$D,'Saldos Iniciales'!$A:$A,"Sacred Valley Capital")+SUMIFS(Movimientos!$K$1:$K$987,Movimientos!$C$1:$C$987,"Sacred Valley Capital",Movimientos!$B$1:$B$987,"&lt;="&amp;$B75)</f>
        <v>54.400000000000006</v>
      </c>
      <c r="L75" s="24">
        <f>SUMIFS('Saldos Iniciales'!$D:$D,'Saldos Iniciales'!$A:$A,"YWC Capital")+SUMIFS(Movimientos!$K$1:$K$987,Movimientos!$C$1:$C$987,"YWC Capital",Movimientos!$B$1:$B$987,"&lt;="&amp;$B75)</f>
        <v>2207.8200000000002</v>
      </c>
      <c r="M75" s="24">
        <f>SUMIFS('Saldos Iniciales'!$D:$D,'Saldos Iniciales'!$A:$A,"Soweto")+SUMIFS(Movimientos!$K$1:$K$987,Movimientos!$C$1:$C$987,"Soweto",Movimientos!$B$1:$B$987,"&lt;="&amp;$B75)</f>
        <v>1454589.72</v>
      </c>
      <c r="N75" s="24">
        <f>SUMIFS('Saldos Iniciales'!$D:$D,'Saldos Iniciales'!$A:$A,"Green Stone Trust")+SUMIFS(Movimientos!$K$1:$K$987,Movimientos!$C$1:$C$987,"Green Stone Trust",Movimientos!$B$1:$B$987,"&lt;="&amp;$B75)</f>
        <v>1968.99</v>
      </c>
      <c r="O75" s="24">
        <f>SUMIFS('Saldos Iniciales'!$D:$D,'Saldos Iniciales'!$A:$A,"EC Auto")+SUMIFS(Movimientos!$K$1:$K$987,Movimientos!$C$1:$C$987,"EC Auto",Movimientos!$B$1:$B$987,"&lt;="&amp;$B75)</f>
        <v>901.34</v>
      </c>
      <c r="P75" s="24">
        <f>SUMIFS('Saldos Iniciales'!$D:$D,'Saldos Iniciales'!$A:$A,"Arbor Capital Properties")+SUMIFS(Movimientos!$K$1:$K$987,Movimientos!$C$1:$C$987,"Arbor Capital Properties",Movimientos!$B$1:$B$987,"&lt;="&amp;$B75)</f>
        <v>1412.08</v>
      </c>
      <c r="Q75" s="24">
        <f>SUMIFS('Saldos Iniciales'!$D:$D,'Saldos Iniciales'!$A:$A,"2515 Overbrook")+SUMIFS(Movimientos!$K$1:$K$987,Movimientos!$C$1:$C$987,"2515 Overbrook",Movimientos!$B$1:$B$987,"&lt;="&amp;$B75)</f>
        <v>22496.639999999959</v>
      </c>
      <c r="R75" s="24">
        <f>SUMIFS('Saldos Iniciales'!$D:$D,'Saldos Iniciales'!$A:$A,"112 Florida Ave")+SUMIFS(Movimientos!$K$1:$K$987,Movimientos!$C$1:$C$987,"112 Florida Ave",Movimientos!$B$1:$B$987,"&lt;="&amp;$B75)</f>
        <v>6522.8000000000029</v>
      </c>
      <c r="S75" s="24">
        <f>SUMIFS('Saldos Iniciales'!$D:$D,'Saldos Iniciales'!$A:$A,"3628 Thomas Ave")+SUMIFS(Movimientos!$K$1:$K$987,Movimientos!$C$1:$C$987,"3628 Thomas Ave",Movimientos!$B$1:$B$987,"&lt;="&amp;$B75)</f>
        <v>28485.559999999998</v>
      </c>
      <c r="T75" s="24">
        <f>SUMIFS('Saldos Iniciales'!$D:$D,'Saldos Iniciales'!$A:$A,"Green Harbor Trust")+SUMIFS(Movimientos!$K$1:$K$987,Movimientos!$C$1:$C$987,"Green Harbor Trust",Movimientos!$B$1:$B$987,"&lt;="&amp;$B75)</f>
        <v>345</v>
      </c>
      <c r="U75" s="24">
        <f>SUMIFS('Saldos Iniciales'!$D:$D,'Saldos Iniciales'!$A:$A,"Go Blue")+SUMIFS(Movimientos!$K$1:$K$987,Movimientos!$C$1:$C$987,"Go Blue",Movimientos!$B$1:$B$987,"&lt;="&amp;$B75)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Group")+SUMIFS(Movimientos!$K$1:$K$987,Movimientos!$C$1:$C$987,"CFT Group",Movimientos!$B$1:$B$987,"&lt;="&amp;$B76)</f>
        <v>3445089.0800000005</v>
      </c>
      <c r="D76" s="24">
        <f>SUMIFS('Saldos Iniciales'!$D:$D,'Saldos Iniciales'!$A:$A,"M1B")+SUMIFS(Movimientos!$K$1:$K$987,Movimientos!$C$1:$C$987,"M1B",Movimientos!$B$1:$B$987,"&lt;="&amp;$B76)</f>
        <v>73157.680000000168</v>
      </c>
      <c r="E76" s="24">
        <f>SUMIFS('Saldos Iniciales'!$D:$D,'Saldos Iniciales'!$A:$A,"Durand")+SUMIFS(Movimientos!$K$1:$K$987,Movimientos!$C$1:$C$987,"Durand",Movimientos!$B$1:$B$987,"&lt;="&amp;$B76)</f>
        <v>1669.89</v>
      </c>
      <c r="F76" s="24">
        <f>SUMIFS('Saldos Iniciales'!$D:$D,'Saldos Iniciales'!$A:$A,"A&amp;M Imports")+SUMIFS(Movimientos!$K$1:$K$987,Movimientos!$C$1:$C$987,"A&amp;M Imports",Movimientos!$B$1:$B$987,"&lt;="&amp;$B76)</f>
        <v>921181.38999999978</v>
      </c>
      <c r="G76" s="24">
        <f>SUMIFS('Saldos Iniciales'!$D:$D,'Saldos Iniciales'!$A:$A,"SSP Capital")+SUMIFS(Movimientos!$K$1:$K$987,Movimientos!$C$1:$C$987,"SSP Capital",Movimientos!$B$1:$B$987,"&lt;="&amp;$B76)</f>
        <v>1870785.0099999993</v>
      </c>
      <c r="H76" s="24">
        <f>SUMIFS('Saldos Iniciales'!$D:$D,'Saldos Iniciales'!$A:$A,"Cross Family Trust")+SUMIFS(Movimientos!$K$1:$K$987,Movimientos!$C$1:$C$987,"Cross Family Trust",Movimientos!$B$1:$B$987,"&lt;="&amp;$B76)</f>
        <v>200496.38</v>
      </c>
      <c r="I76" s="24">
        <f>SUMIFS('Saldos Iniciales'!$D:$D,'Saldos Iniciales'!$A:$A,"Cross Security Trust")+SUMIFS(Movimientos!$K$1:$K$987,Movimientos!$C$1:$C$987,"Cross Security Trust",Movimientos!$B$1:$B$987,"&lt;="&amp;$B76)</f>
        <v>88090.37</v>
      </c>
      <c r="J76" s="24">
        <f>SUMIFS('Saldos Iniciales'!$D:$D,'Saldos Iniciales'!$A:$A,"Electrama")+SUMIFS(Movimientos!$K$1:$K$987,Movimientos!$C$1:$C$987,"Electrama",Movimientos!$B$1:$B$987,"&lt;="&amp;$B76)</f>
        <v>14580.45</v>
      </c>
      <c r="K76" s="24">
        <f>SUMIFS('Saldos Iniciales'!$D:$D,'Saldos Iniciales'!$A:$A,"Sacred Valley Capital")+SUMIFS(Movimientos!$K$1:$K$987,Movimientos!$C$1:$C$987,"Sacred Valley Capital",Movimientos!$B$1:$B$987,"&lt;="&amp;$B76)</f>
        <v>54.400000000000006</v>
      </c>
      <c r="L76" s="24">
        <f>SUMIFS('Saldos Iniciales'!$D:$D,'Saldos Iniciales'!$A:$A,"YWC Capital")+SUMIFS(Movimientos!$K$1:$K$987,Movimientos!$C$1:$C$987,"YWC Capital",Movimientos!$B$1:$B$987,"&lt;="&amp;$B76)</f>
        <v>2207.8200000000002</v>
      </c>
      <c r="M76" s="24">
        <f>SUMIFS('Saldos Iniciales'!$D:$D,'Saldos Iniciales'!$A:$A,"Soweto")+SUMIFS(Movimientos!$K$1:$K$987,Movimientos!$C$1:$C$987,"Soweto",Movimientos!$B$1:$B$987,"&lt;="&amp;$B76)</f>
        <v>1454589.72</v>
      </c>
      <c r="N76" s="24">
        <f>SUMIFS('Saldos Iniciales'!$D:$D,'Saldos Iniciales'!$A:$A,"Green Stone Trust")+SUMIFS(Movimientos!$K$1:$K$987,Movimientos!$C$1:$C$987,"Green Stone Trust",Movimientos!$B$1:$B$987,"&lt;="&amp;$B76)</f>
        <v>1968.99</v>
      </c>
      <c r="O76" s="24">
        <f>SUMIFS('Saldos Iniciales'!$D:$D,'Saldos Iniciales'!$A:$A,"EC Auto")+SUMIFS(Movimientos!$K$1:$K$987,Movimientos!$C$1:$C$987,"EC Auto",Movimientos!$B$1:$B$987,"&lt;="&amp;$B76)</f>
        <v>901.34</v>
      </c>
      <c r="P76" s="24">
        <f>SUMIFS('Saldos Iniciales'!$D:$D,'Saldos Iniciales'!$A:$A,"Arbor Capital Properties")+SUMIFS(Movimientos!$K$1:$K$987,Movimientos!$C$1:$C$987,"Arbor Capital Properties",Movimientos!$B$1:$B$987,"&lt;="&amp;$B76)</f>
        <v>1412.08</v>
      </c>
      <c r="Q76" s="24">
        <f>SUMIFS('Saldos Iniciales'!$D:$D,'Saldos Iniciales'!$A:$A,"2515 Overbrook")+SUMIFS(Movimientos!$K$1:$K$987,Movimientos!$C$1:$C$987,"2515 Overbrook",Movimientos!$B$1:$B$987,"&lt;="&amp;$B76)</f>
        <v>22347.56999999996</v>
      </c>
      <c r="R76" s="24">
        <f>SUMIFS('Saldos Iniciales'!$D:$D,'Saldos Iniciales'!$A:$A,"112 Florida Ave")+SUMIFS(Movimientos!$K$1:$K$987,Movimientos!$C$1:$C$987,"112 Florida Ave",Movimientos!$B$1:$B$987,"&lt;="&amp;$B76)</f>
        <v>6522.8000000000029</v>
      </c>
      <c r="S76" s="24">
        <f>SUMIFS('Saldos Iniciales'!$D:$D,'Saldos Iniciales'!$A:$A,"3628 Thomas Ave")+SUMIFS(Movimientos!$K$1:$K$987,Movimientos!$C$1:$C$987,"3628 Thomas Ave",Movimientos!$B$1:$B$987,"&lt;="&amp;$B76)</f>
        <v>28485.559999999998</v>
      </c>
      <c r="T76" s="24">
        <f>SUMIFS('Saldos Iniciales'!$D:$D,'Saldos Iniciales'!$A:$A,"Green Harbor Trust")+SUMIFS(Movimientos!$K$1:$K$987,Movimientos!$C$1:$C$987,"Green Harbor Trust",Movimientos!$B$1:$B$987,"&lt;="&amp;$B76)</f>
        <v>345</v>
      </c>
      <c r="U76" s="24">
        <f>SUMIFS('Saldos Iniciales'!$D:$D,'Saldos Iniciales'!$A:$A,"Go Blue")+SUMIFS(Movimientos!$K$1:$K$987,Movimientos!$C$1:$C$987,"Go Blue",Movimientos!$B$1:$B$987,"&lt;="&amp;$B76)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Group")+SUMIFS(Movimientos!$K$1:$K$987,Movimientos!$C$1:$C$987,"CFT Group",Movimientos!$B$1:$B$987,"&lt;="&amp;$B77)</f>
        <v>3445089.0800000005</v>
      </c>
      <c r="D77" s="24">
        <f>SUMIFS('Saldos Iniciales'!$D:$D,'Saldos Iniciales'!$A:$A,"M1B")+SUMIFS(Movimientos!$K$1:$K$987,Movimientos!$C$1:$C$987,"M1B",Movimientos!$B$1:$B$987,"&lt;="&amp;$B77)</f>
        <v>73157.680000000168</v>
      </c>
      <c r="E77" s="24">
        <f>SUMIFS('Saldos Iniciales'!$D:$D,'Saldos Iniciales'!$A:$A,"Durand")+SUMIFS(Movimientos!$K$1:$K$987,Movimientos!$C$1:$C$987,"Durand",Movimientos!$B$1:$B$987,"&lt;="&amp;$B77)</f>
        <v>1669.89</v>
      </c>
      <c r="F77" s="24">
        <f>SUMIFS('Saldos Iniciales'!$D:$D,'Saldos Iniciales'!$A:$A,"A&amp;M Imports")+SUMIFS(Movimientos!$K$1:$K$987,Movimientos!$C$1:$C$987,"A&amp;M Imports",Movimientos!$B$1:$B$987,"&lt;="&amp;$B77)</f>
        <v>920844.50999999978</v>
      </c>
      <c r="G77" s="24">
        <f>SUMIFS('Saldos Iniciales'!$D:$D,'Saldos Iniciales'!$A:$A,"SSP Capital")+SUMIFS(Movimientos!$K$1:$K$987,Movimientos!$C$1:$C$987,"SSP Capital",Movimientos!$B$1:$B$987,"&lt;="&amp;$B77)</f>
        <v>1870755.5699999994</v>
      </c>
      <c r="H77" s="24">
        <f>SUMIFS('Saldos Iniciales'!$D:$D,'Saldos Iniciales'!$A:$A,"Cross Family Trust")+SUMIFS(Movimientos!$K$1:$K$987,Movimientos!$C$1:$C$987,"Cross Family Trust",Movimientos!$B$1:$B$987,"&lt;="&amp;$B77)</f>
        <v>200496.38</v>
      </c>
      <c r="I77" s="24">
        <f>SUMIFS('Saldos Iniciales'!$D:$D,'Saldos Iniciales'!$A:$A,"Cross Security Trust")+SUMIFS(Movimientos!$K$1:$K$987,Movimientos!$C$1:$C$987,"Cross Security Trust",Movimientos!$B$1:$B$987,"&lt;="&amp;$B77)</f>
        <v>88090.37</v>
      </c>
      <c r="J77" s="24">
        <f>SUMIFS('Saldos Iniciales'!$D:$D,'Saldos Iniciales'!$A:$A,"Electrama")+SUMIFS(Movimientos!$K$1:$K$987,Movimientos!$C$1:$C$987,"Electrama",Movimientos!$B$1:$B$987,"&lt;="&amp;$B77)</f>
        <v>14580.45</v>
      </c>
      <c r="K77" s="24">
        <f>SUMIFS('Saldos Iniciales'!$D:$D,'Saldos Iniciales'!$A:$A,"Sacred Valley Capital")+SUMIFS(Movimientos!$K$1:$K$987,Movimientos!$C$1:$C$987,"Sacred Valley Capital",Movimientos!$B$1:$B$987,"&lt;="&amp;$B77)</f>
        <v>54.400000000000006</v>
      </c>
      <c r="L77" s="24">
        <f>SUMIFS('Saldos Iniciales'!$D:$D,'Saldos Iniciales'!$A:$A,"YWC Capital")+SUMIFS(Movimientos!$K$1:$K$987,Movimientos!$C$1:$C$987,"YWC Capital",Movimientos!$B$1:$B$987,"&lt;="&amp;$B77)</f>
        <v>2207.8200000000002</v>
      </c>
      <c r="M77" s="24">
        <f>SUMIFS('Saldos Iniciales'!$D:$D,'Saldos Iniciales'!$A:$A,"Soweto")+SUMIFS(Movimientos!$K$1:$K$987,Movimientos!$C$1:$C$987,"Soweto",Movimientos!$B$1:$B$987,"&lt;="&amp;$B77)</f>
        <v>1454589.72</v>
      </c>
      <c r="N77" s="24">
        <f>SUMIFS('Saldos Iniciales'!$D:$D,'Saldos Iniciales'!$A:$A,"Green Stone Trust")+SUMIFS(Movimientos!$K$1:$K$987,Movimientos!$C$1:$C$987,"Green Stone Trust",Movimientos!$B$1:$B$987,"&lt;="&amp;$B77)</f>
        <v>1968.99</v>
      </c>
      <c r="O77" s="24">
        <f>SUMIFS('Saldos Iniciales'!$D:$D,'Saldos Iniciales'!$A:$A,"EC Auto")+SUMIFS(Movimientos!$K$1:$K$987,Movimientos!$C$1:$C$987,"EC Auto",Movimientos!$B$1:$B$987,"&lt;="&amp;$B77)</f>
        <v>901.34</v>
      </c>
      <c r="P77" s="24">
        <f>SUMIFS('Saldos Iniciales'!$D:$D,'Saldos Iniciales'!$A:$A,"Arbor Capital Properties")+SUMIFS(Movimientos!$K$1:$K$987,Movimientos!$C$1:$C$987,"Arbor Capital Properties",Movimientos!$B$1:$B$987,"&lt;="&amp;$B77)</f>
        <v>1412.08</v>
      </c>
      <c r="Q77" s="24">
        <f>SUMIFS('Saldos Iniciales'!$D:$D,'Saldos Iniciales'!$A:$A,"2515 Overbrook")+SUMIFS(Movimientos!$K$1:$K$987,Movimientos!$C$1:$C$987,"2515 Overbrook",Movimientos!$B$1:$B$987,"&lt;="&amp;$B77)</f>
        <v>22347.56999999996</v>
      </c>
      <c r="R77" s="24">
        <f>SUMIFS('Saldos Iniciales'!$D:$D,'Saldos Iniciales'!$A:$A,"112 Florida Ave")+SUMIFS(Movimientos!$K$1:$K$987,Movimientos!$C$1:$C$987,"112 Florida Ave",Movimientos!$B$1:$B$987,"&lt;="&amp;$B77)</f>
        <v>6522.8000000000029</v>
      </c>
      <c r="S77" s="24">
        <f>SUMIFS('Saldos Iniciales'!$D:$D,'Saldos Iniciales'!$A:$A,"3628 Thomas Ave")+SUMIFS(Movimientos!$K$1:$K$987,Movimientos!$C$1:$C$987,"3628 Thomas Ave",Movimientos!$B$1:$B$987,"&lt;="&amp;$B77)</f>
        <v>28485.559999999998</v>
      </c>
      <c r="T77" s="24">
        <f>SUMIFS('Saldos Iniciales'!$D:$D,'Saldos Iniciales'!$A:$A,"Green Harbor Trust")+SUMIFS(Movimientos!$K$1:$K$987,Movimientos!$C$1:$C$987,"Green Harbor Trust",Movimientos!$B$1:$B$987,"&lt;="&amp;$B77)</f>
        <v>345</v>
      </c>
      <c r="U77" s="24">
        <f>SUMIFS('Saldos Iniciales'!$D:$D,'Saldos Iniciales'!$A:$A,"Go Blue")+SUMIFS(Movimientos!$K$1:$K$987,Movimientos!$C$1:$C$987,"Go Blue",Movimientos!$B$1:$B$987,"&lt;="&amp;$B77)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Group")+SUMIFS(Movimientos!$K$1:$K$987,Movimientos!$C$1:$C$987,"CFT Group",Movimientos!$B$1:$B$987,"&lt;="&amp;$B78)</f>
        <v>3191672.4000000008</v>
      </c>
      <c r="D78" s="24">
        <f>SUMIFS('Saldos Iniciales'!$D:$D,'Saldos Iniciales'!$A:$A,"M1B")+SUMIFS(Movimientos!$K$1:$K$987,Movimientos!$C$1:$C$987,"M1B",Movimientos!$B$1:$B$987,"&lt;="&amp;$B78)</f>
        <v>73157.680000000168</v>
      </c>
      <c r="E78" s="24">
        <f>SUMIFS('Saldos Iniciales'!$D:$D,'Saldos Iniciales'!$A:$A,"Durand")+SUMIFS(Movimientos!$K$1:$K$987,Movimientos!$C$1:$C$987,"Durand",Movimientos!$B$1:$B$987,"&lt;="&amp;$B78)</f>
        <v>1669.89</v>
      </c>
      <c r="F78" s="24">
        <f>SUMIFS('Saldos Iniciales'!$D:$D,'Saldos Iniciales'!$A:$A,"A&amp;M Imports")+SUMIFS(Movimientos!$K$1:$K$987,Movimientos!$C$1:$C$987,"A&amp;M Imports",Movimientos!$B$1:$B$987,"&lt;="&amp;$B78)</f>
        <v>860844.50999999978</v>
      </c>
      <c r="G78" s="24">
        <f>SUMIFS('Saldos Iniciales'!$D:$D,'Saldos Iniciales'!$A:$A,"SSP Capital")+SUMIFS(Movimientos!$K$1:$K$987,Movimientos!$C$1:$C$987,"SSP Capital",Movimientos!$B$1:$B$987,"&lt;="&amp;$B78)</f>
        <v>1692431.8699999994</v>
      </c>
      <c r="H78" s="24">
        <f>SUMIFS('Saldos Iniciales'!$D:$D,'Saldos Iniciales'!$A:$A,"Cross Family Trust")+SUMIFS(Movimientos!$K$1:$K$987,Movimientos!$C$1:$C$987,"Cross Family Trust",Movimientos!$B$1:$B$987,"&lt;="&amp;$B78)</f>
        <v>200496.38</v>
      </c>
      <c r="I78" s="24">
        <f>SUMIFS('Saldos Iniciales'!$D:$D,'Saldos Iniciales'!$A:$A,"Cross Security Trust")+SUMIFS(Movimientos!$K$1:$K$987,Movimientos!$C$1:$C$987,"Cross Security Trust",Movimientos!$B$1:$B$987,"&lt;="&amp;$B78)</f>
        <v>88090.37</v>
      </c>
      <c r="J78" s="24">
        <f>SUMIFS('Saldos Iniciales'!$D:$D,'Saldos Iniciales'!$A:$A,"Electrama")+SUMIFS(Movimientos!$K$1:$K$987,Movimientos!$C$1:$C$987,"Electrama",Movimientos!$B$1:$B$987,"&lt;="&amp;$B78)</f>
        <v>14580.45</v>
      </c>
      <c r="K78" s="24">
        <f>SUMIFS('Saldos Iniciales'!$D:$D,'Saldos Iniciales'!$A:$A,"Sacred Valley Capital")+SUMIFS(Movimientos!$K$1:$K$987,Movimientos!$C$1:$C$987,"Sacred Valley Capital",Movimientos!$B$1:$B$987,"&lt;="&amp;$B78)</f>
        <v>54.400000000000006</v>
      </c>
      <c r="L78" s="24">
        <f>SUMIFS('Saldos Iniciales'!$D:$D,'Saldos Iniciales'!$A:$A,"YWC Capital")+SUMIFS(Movimientos!$K$1:$K$987,Movimientos!$C$1:$C$987,"YWC Capital",Movimientos!$B$1:$B$987,"&lt;="&amp;$B78)</f>
        <v>2207.8200000000002</v>
      </c>
      <c r="M78" s="24">
        <f>SUMIFS('Saldos Iniciales'!$D:$D,'Saldos Iniciales'!$A:$A,"Soweto")+SUMIFS(Movimientos!$K$1:$K$987,Movimientos!$C$1:$C$987,"Soweto",Movimientos!$B$1:$B$987,"&lt;="&amp;$B78)</f>
        <v>1454589.72</v>
      </c>
      <c r="N78" s="24">
        <f>SUMIFS('Saldos Iniciales'!$D:$D,'Saldos Iniciales'!$A:$A,"Green Stone Trust")+SUMIFS(Movimientos!$K$1:$K$987,Movimientos!$C$1:$C$987,"Green Stone Trust",Movimientos!$B$1:$B$987,"&lt;="&amp;$B78)</f>
        <v>1968.99</v>
      </c>
      <c r="O78" s="24">
        <f>SUMIFS('Saldos Iniciales'!$D:$D,'Saldos Iniciales'!$A:$A,"EC Auto")+SUMIFS(Movimientos!$K$1:$K$987,Movimientos!$C$1:$C$987,"EC Auto",Movimientos!$B$1:$B$987,"&lt;="&amp;$B78)</f>
        <v>901.34</v>
      </c>
      <c r="P78" s="24">
        <f>SUMIFS('Saldos Iniciales'!$D:$D,'Saldos Iniciales'!$A:$A,"Arbor Capital Properties")+SUMIFS(Movimientos!$K$1:$K$987,Movimientos!$C$1:$C$987,"Arbor Capital Properties",Movimientos!$B$1:$B$987,"&lt;="&amp;$B78)</f>
        <v>1412.08</v>
      </c>
      <c r="Q78" s="24">
        <f>SUMIFS('Saldos Iniciales'!$D:$D,'Saldos Iniciales'!$A:$A,"2515 Overbrook")+SUMIFS(Movimientos!$K$1:$K$987,Movimientos!$C$1:$C$987,"2515 Overbrook",Movimientos!$B$1:$B$987,"&lt;="&amp;$B78)</f>
        <v>22347.56999999996</v>
      </c>
      <c r="R78" s="24">
        <f>SUMIFS('Saldos Iniciales'!$D:$D,'Saldos Iniciales'!$A:$A,"112 Florida Ave")+SUMIFS(Movimientos!$K$1:$K$987,Movimientos!$C$1:$C$987,"112 Florida Ave",Movimientos!$B$1:$B$987,"&lt;="&amp;$B78)</f>
        <v>3522.8000000000029</v>
      </c>
      <c r="S78" s="24">
        <f>SUMIFS('Saldos Iniciales'!$D:$D,'Saldos Iniciales'!$A:$A,"3628 Thomas Ave")+SUMIFS(Movimientos!$K$1:$K$987,Movimientos!$C$1:$C$987,"3628 Thomas Ave",Movimientos!$B$1:$B$987,"&lt;="&amp;$B78)</f>
        <v>28485.559999999998</v>
      </c>
      <c r="T78" s="24">
        <f>SUMIFS('Saldos Iniciales'!$D:$D,'Saldos Iniciales'!$A:$A,"Green Harbor Trust")+SUMIFS(Movimientos!$K$1:$K$987,Movimientos!$C$1:$C$987,"Green Harbor Trust",Movimientos!$B$1:$B$987,"&lt;="&amp;$B78)</f>
        <v>345</v>
      </c>
      <c r="U78" s="24">
        <f>SUMIFS('Saldos Iniciales'!$D:$D,'Saldos Iniciales'!$A:$A,"Go Blue")+SUMIFS(Movimientos!$K$1:$K$987,Movimientos!$C$1:$C$987,"Go Blue",Movimientos!$B$1:$B$987,"&lt;="&amp;$B78)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Group")+SUMIFS(Movimientos!$K$1:$K$987,Movimientos!$C$1:$C$987,"CFT Group",Movimientos!$B$1:$B$987,"&lt;="&amp;$B79)</f>
        <v>3191672.4000000008</v>
      </c>
      <c r="D79" s="24">
        <f>SUMIFS('Saldos Iniciales'!$D:$D,'Saldos Iniciales'!$A:$A,"M1B")+SUMIFS(Movimientos!$K$1:$K$987,Movimientos!$C$1:$C$987,"M1B",Movimientos!$B$1:$B$987,"&lt;="&amp;$B79)</f>
        <v>73157.680000000168</v>
      </c>
      <c r="E79" s="24">
        <f>SUMIFS('Saldos Iniciales'!$D:$D,'Saldos Iniciales'!$A:$A,"Durand")+SUMIFS(Movimientos!$K$1:$K$987,Movimientos!$C$1:$C$987,"Durand",Movimientos!$B$1:$B$987,"&lt;="&amp;$B79)</f>
        <v>1669.89</v>
      </c>
      <c r="F79" s="24">
        <f>SUMIFS('Saldos Iniciales'!$D:$D,'Saldos Iniciales'!$A:$A,"A&amp;M Imports")+SUMIFS(Movimientos!$K$1:$K$987,Movimientos!$C$1:$C$987,"A&amp;M Imports",Movimientos!$B$1:$B$987,"&lt;="&amp;$B79)</f>
        <v>860844.50999999978</v>
      </c>
      <c r="G79" s="24">
        <f>SUMIFS('Saldos Iniciales'!$D:$D,'Saldos Iniciales'!$A:$A,"SSP Capital")+SUMIFS(Movimientos!$K$1:$K$987,Movimientos!$C$1:$C$987,"SSP Capital",Movimientos!$B$1:$B$987,"&lt;="&amp;$B79)</f>
        <v>1762431.8699999994</v>
      </c>
      <c r="H79" s="24">
        <f>SUMIFS('Saldos Iniciales'!$D:$D,'Saldos Iniciales'!$A:$A,"Cross Family Trust")+SUMIFS(Movimientos!$K$1:$K$987,Movimientos!$C$1:$C$987,"Cross Family Trust",Movimientos!$B$1:$B$987,"&lt;="&amp;$B79)</f>
        <v>200496.38</v>
      </c>
      <c r="I79" s="24">
        <f>SUMIFS('Saldos Iniciales'!$D:$D,'Saldos Iniciales'!$A:$A,"Cross Security Trust")+SUMIFS(Movimientos!$K$1:$K$987,Movimientos!$C$1:$C$987,"Cross Security Trust",Movimientos!$B$1:$B$987,"&lt;="&amp;$B79)</f>
        <v>88090.37</v>
      </c>
      <c r="J79" s="24">
        <f>SUMIFS('Saldos Iniciales'!$D:$D,'Saldos Iniciales'!$A:$A,"Electrama")+SUMIFS(Movimientos!$K$1:$K$987,Movimientos!$C$1:$C$987,"Electrama",Movimientos!$B$1:$B$987,"&lt;="&amp;$B79)</f>
        <v>14580.45</v>
      </c>
      <c r="K79" s="24">
        <f>SUMIFS('Saldos Iniciales'!$D:$D,'Saldos Iniciales'!$A:$A,"Sacred Valley Capital")+SUMIFS(Movimientos!$K$1:$K$987,Movimientos!$C$1:$C$987,"Sacred Valley Capital",Movimientos!$B$1:$B$987,"&lt;="&amp;$B79)</f>
        <v>54.400000000000006</v>
      </c>
      <c r="L79" s="24">
        <f>SUMIFS('Saldos Iniciales'!$D:$D,'Saldos Iniciales'!$A:$A,"YWC Capital")+SUMIFS(Movimientos!$K$1:$K$987,Movimientos!$C$1:$C$987,"YWC Capital",Movimientos!$B$1:$B$987,"&lt;="&amp;$B79)</f>
        <v>2207.8200000000002</v>
      </c>
      <c r="M79" s="24">
        <f>SUMIFS('Saldos Iniciales'!$D:$D,'Saldos Iniciales'!$A:$A,"Soweto")+SUMIFS(Movimientos!$K$1:$K$987,Movimientos!$C$1:$C$987,"Soweto",Movimientos!$B$1:$B$987,"&lt;="&amp;$B79)</f>
        <v>1454589.72</v>
      </c>
      <c r="N79" s="24">
        <f>SUMIFS('Saldos Iniciales'!$D:$D,'Saldos Iniciales'!$A:$A,"Green Stone Trust")+SUMIFS(Movimientos!$K$1:$K$987,Movimientos!$C$1:$C$987,"Green Stone Trust",Movimientos!$B$1:$B$987,"&lt;="&amp;$B79)</f>
        <v>1968.99</v>
      </c>
      <c r="O79" s="24">
        <f>SUMIFS('Saldos Iniciales'!$D:$D,'Saldos Iniciales'!$A:$A,"EC Auto")+SUMIFS(Movimientos!$K$1:$K$987,Movimientos!$C$1:$C$987,"EC Auto",Movimientos!$B$1:$B$987,"&lt;="&amp;$B79)</f>
        <v>901.34</v>
      </c>
      <c r="P79" s="24">
        <f>SUMIFS('Saldos Iniciales'!$D:$D,'Saldos Iniciales'!$A:$A,"Arbor Capital Properties")+SUMIFS(Movimientos!$K$1:$K$987,Movimientos!$C$1:$C$987,"Arbor Capital Properties",Movimientos!$B$1:$B$987,"&lt;="&amp;$B79)</f>
        <v>1412.08</v>
      </c>
      <c r="Q79" s="24">
        <f>SUMIFS('Saldos Iniciales'!$D:$D,'Saldos Iniciales'!$A:$A,"2515 Overbrook")+SUMIFS(Movimientos!$K$1:$K$987,Movimientos!$C$1:$C$987,"2515 Overbrook",Movimientos!$B$1:$B$987,"&lt;="&amp;$B79)</f>
        <v>22347.56999999996</v>
      </c>
      <c r="R79" s="24">
        <f>SUMIFS('Saldos Iniciales'!$D:$D,'Saldos Iniciales'!$A:$A,"112 Florida Ave")+SUMIFS(Movimientos!$K$1:$K$987,Movimientos!$C$1:$C$987,"112 Florida Ave",Movimientos!$B$1:$B$987,"&lt;="&amp;$B79)</f>
        <v>3522.8000000000029</v>
      </c>
      <c r="S79" s="24">
        <f>SUMIFS('Saldos Iniciales'!$D:$D,'Saldos Iniciales'!$A:$A,"3628 Thomas Ave")+SUMIFS(Movimientos!$K$1:$K$987,Movimientos!$C$1:$C$987,"3628 Thomas Ave",Movimientos!$B$1:$B$987,"&lt;="&amp;$B79)</f>
        <v>28485.559999999998</v>
      </c>
      <c r="T79" s="24">
        <f>SUMIFS('Saldos Iniciales'!$D:$D,'Saldos Iniciales'!$A:$A,"Green Harbor Trust")+SUMIFS(Movimientos!$K$1:$K$987,Movimientos!$C$1:$C$987,"Green Harbor Trust",Movimientos!$B$1:$B$987,"&lt;="&amp;$B79)</f>
        <v>345</v>
      </c>
      <c r="U79" s="24">
        <f>SUMIFS('Saldos Iniciales'!$D:$D,'Saldos Iniciales'!$A:$A,"Go Blue")+SUMIFS(Movimientos!$K$1:$K$987,Movimientos!$C$1:$C$987,"Go Blue",Movimientos!$B$1:$B$987,"&lt;="&amp;$B79)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Group")+SUMIFS(Movimientos!$K$1:$K$987,Movimientos!$C$1:$C$987,"CFT Group",Movimientos!$B$1:$B$987,"&lt;="&amp;$B80)</f>
        <v>3191672.4000000008</v>
      </c>
      <c r="D80" s="24">
        <f>SUMIFS('Saldos Iniciales'!$D:$D,'Saldos Iniciales'!$A:$A,"M1B")+SUMIFS(Movimientos!$K$1:$K$987,Movimientos!$C$1:$C$987,"M1B",Movimientos!$B$1:$B$987,"&lt;="&amp;$B80)</f>
        <v>73157.680000000168</v>
      </c>
      <c r="E80" s="24">
        <f>SUMIFS('Saldos Iniciales'!$D:$D,'Saldos Iniciales'!$A:$A,"Durand")+SUMIFS(Movimientos!$K$1:$K$987,Movimientos!$C$1:$C$987,"Durand",Movimientos!$B$1:$B$987,"&lt;="&amp;$B80)</f>
        <v>1669.89</v>
      </c>
      <c r="F80" s="24">
        <f>SUMIFS('Saldos Iniciales'!$D:$D,'Saldos Iniciales'!$A:$A,"A&amp;M Imports")+SUMIFS(Movimientos!$K$1:$K$987,Movimientos!$C$1:$C$987,"A&amp;M Imports",Movimientos!$B$1:$B$987,"&lt;="&amp;$B80)</f>
        <v>860844.50999999978</v>
      </c>
      <c r="G80" s="24">
        <f>SUMIFS('Saldos Iniciales'!$D:$D,'Saldos Iniciales'!$A:$A,"SSP Capital")+SUMIFS(Movimientos!$K$1:$K$987,Movimientos!$C$1:$C$987,"SSP Capital",Movimientos!$B$1:$B$987,"&lt;="&amp;$B80)</f>
        <v>1762431.8699999994</v>
      </c>
      <c r="H80" s="24">
        <f>SUMIFS('Saldos Iniciales'!$D:$D,'Saldos Iniciales'!$A:$A,"Cross Family Trust")+SUMIFS(Movimientos!$K$1:$K$987,Movimientos!$C$1:$C$987,"Cross Family Trust",Movimientos!$B$1:$B$987,"&lt;="&amp;$B80)</f>
        <v>200496.38</v>
      </c>
      <c r="I80" s="24">
        <f>SUMIFS('Saldos Iniciales'!$D:$D,'Saldos Iniciales'!$A:$A,"Cross Security Trust")+SUMIFS(Movimientos!$K$1:$K$987,Movimientos!$C$1:$C$987,"Cross Security Trust",Movimientos!$B$1:$B$987,"&lt;="&amp;$B80)</f>
        <v>88090.37</v>
      </c>
      <c r="J80" s="24">
        <f>SUMIFS('Saldos Iniciales'!$D:$D,'Saldos Iniciales'!$A:$A,"Electrama")+SUMIFS(Movimientos!$K$1:$K$987,Movimientos!$C$1:$C$987,"Electrama",Movimientos!$B$1:$B$987,"&lt;="&amp;$B80)</f>
        <v>14580.45</v>
      </c>
      <c r="K80" s="24">
        <f>SUMIFS('Saldos Iniciales'!$D:$D,'Saldos Iniciales'!$A:$A,"Sacred Valley Capital")+SUMIFS(Movimientos!$K$1:$K$987,Movimientos!$C$1:$C$987,"Sacred Valley Capital",Movimientos!$B$1:$B$987,"&lt;="&amp;$B80)</f>
        <v>54.400000000000006</v>
      </c>
      <c r="L80" s="24">
        <f>SUMIFS('Saldos Iniciales'!$D:$D,'Saldos Iniciales'!$A:$A,"YWC Capital")+SUMIFS(Movimientos!$K$1:$K$987,Movimientos!$C$1:$C$987,"YWC Capital",Movimientos!$B$1:$B$987,"&lt;="&amp;$B80)</f>
        <v>2207.8200000000002</v>
      </c>
      <c r="M80" s="24">
        <f>SUMIFS('Saldos Iniciales'!$D:$D,'Saldos Iniciales'!$A:$A,"Soweto")+SUMIFS(Movimientos!$K$1:$K$987,Movimientos!$C$1:$C$987,"Soweto",Movimientos!$B$1:$B$987,"&lt;="&amp;$B80)</f>
        <v>1454589.72</v>
      </c>
      <c r="N80" s="24">
        <f>SUMIFS('Saldos Iniciales'!$D:$D,'Saldos Iniciales'!$A:$A,"Green Stone Trust")+SUMIFS(Movimientos!$K$1:$K$987,Movimientos!$C$1:$C$987,"Green Stone Trust",Movimientos!$B$1:$B$987,"&lt;="&amp;$B80)</f>
        <v>1968.99</v>
      </c>
      <c r="O80" s="24">
        <f>SUMIFS('Saldos Iniciales'!$D:$D,'Saldos Iniciales'!$A:$A,"EC Auto")+SUMIFS(Movimientos!$K$1:$K$987,Movimientos!$C$1:$C$987,"EC Auto",Movimientos!$B$1:$B$987,"&lt;="&amp;$B80)</f>
        <v>901.34</v>
      </c>
      <c r="P80" s="24">
        <f>SUMIFS('Saldos Iniciales'!$D:$D,'Saldos Iniciales'!$A:$A,"Arbor Capital Properties")+SUMIFS(Movimientos!$K$1:$K$987,Movimientos!$C$1:$C$987,"Arbor Capital Properties",Movimientos!$B$1:$B$987,"&lt;="&amp;$B80)</f>
        <v>1412.08</v>
      </c>
      <c r="Q80" s="24">
        <f>SUMIFS('Saldos Iniciales'!$D:$D,'Saldos Iniciales'!$A:$A,"2515 Overbrook")+SUMIFS(Movimientos!$K$1:$K$987,Movimientos!$C$1:$C$987,"2515 Overbrook",Movimientos!$B$1:$B$987,"&lt;="&amp;$B80)</f>
        <v>22347.56999999996</v>
      </c>
      <c r="R80" s="24">
        <f>SUMIFS('Saldos Iniciales'!$D:$D,'Saldos Iniciales'!$A:$A,"112 Florida Ave")+SUMIFS(Movimientos!$K$1:$K$987,Movimientos!$C$1:$C$987,"112 Florida Ave",Movimientos!$B$1:$B$987,"&lt;="&amp;$B80)</f>
        <v>3522.8000000000029</v>
      </c>
      <c r="S80" s="24">
        <f>SUMIFS('Saldos Iniciales'!$D:$D,'Saldos Iniciales'!$A:$A,"3628 Thomas Ave")+SUMIFS(Movimientos!$K$1:$K$987,Movimientos!$C$1:$C$987,"3628 Thomas Ave",Movimientos!$B$1:$B$987,"&lt;="&amp;$B80)</f>
        <v>28485.559999999998</v>
      </c>
      <c r="T80" s="24">
        <f>SUMIFS('Saldos Iniciales'!$D:$D,'Saldos Iniciales'!$A:$A,"Green Harbor Trust")+SUMIFS(Movimientos!$K$1:$K$987,Movimientos!$C$1:$C$987,"Green Harbor Trust",Movimientos!$B$1:$B$987,"&lt;="&amp;$B80)</f>
        <v>345</v>
      </c>
      <c r="U80" s="24">
        <f>SUMIFS('Saldos Iniciales'!$D:$D,'Saldos Iniciales'!$A:$A,"Go Blue")+SUMIFS(Movimientos!$K$1:$K$987,Movimientos!$C$1:$C$987,"Go Blue",Movimientos!$B$1:$B$987,"&lt;="&amp;$B80)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Group")+SUMIFS(Movimientos!$K$1:$K$987,Movimientos!$C$1:$C$987,"CFT Group",Movimientos!$B$1:$B$987,"&lt;="&amp;$B81)</f>
        <v>3191672.4000000008</v>
      </c>
      <c r="D81" s="24">
        <f>SUMIFS('Saldos Iniciales'!$D:$D,'Saldos Iniciales'!$A:$A,"M1B")+SUMIFS(Movimientos!$K$1:$K$987,Movimientos!$C$1:$C$987,"M1B",Movimientos!$B$1:$B$987,"&lt;="&amp;$B81)</f>
        <v>73157.680000000168</v>
      </c>
      <c r="E81" s="24">
        <f>SUMIFS('Saldos Iniciales'!$D:$D,'Saldos Iniciales'!$A:$A,"Durand")+SUMIFS(Movimientos!$K$1:$K$987,Movimientos!$C$1:$C$987,"Durand",Movimientos!$B$1:$B$987,"&lt;="&amp;$B81)</f>
        <v>1669.89</v>
      </c>
      <c r="F81" s="24">
        <f>SUMIFS('Saldos Iniciales'!$D:$D,'Saldos Iniciales'!$A:$A,"A&amp;M Imports")+SUMIFS(Movimientos!$K$1:$K$987,Movimientos!$C$1:$C$987,"A&amp;M Imports",Movimientos!$B$1:$B$987,"&lt;="&amp;$B81)</f>
        <v>860844.50999999978</v>
      </c>
      <c r="G81" s="24">
        <f>SUMIFS('Saldos Iniciales'!$D:$D,'Saldos Iniciales'!$A:$A,"SSP Capital")+SUMIFS(Movimientos!$K$1:$K$987,Movimientos!$C$1:$C$987,"SSP Capital",Movimientos!$B$1:$B$987,"&lt;="&amp;$B81)</f>
        <v>1762431.8699999994</v>
      </c>
      <c r="H81" s="24">
        <f>SUMIFS('Saldos Iniciales'!$D:$D,'Saldos Iniciales'!$A:$A,"Cross Family Trust")+SUMIFS(Movimientos!$K$1:$K$987,Movimientos!$C$1:$C$987,"Cross Family Trust",Movimientos!$B$1:$B$987,"&lt;="&amp;$B81)</f>
        <v>200496.38</v>
      </c>
      <c r="I81" s="24">
        <f>SUMIFS('Saldos Iniciales'!$D:$D,'Saldos Iniciales'!$A:$A,"Cross Security Trust")+SUMIFS(Movimientos!$K$1:$K$987,Movimientos!$C$1:$C$987,"Cross Security Trust",Movimientos!$B$1:$B$987,"&lt;="&amp;$B81)</f>
        <v>88090.37</v>
      </c>
      <c r="J81" s="24">
        <f>SUMIFS('Saldos Iniciales'!$D:$D,'Saldos Iniciales'!$A:$A,"Electrama")+SUMIFS(Movimientos!$K$1:$K$987,Movimientos!$C$1:$C$987,"Electrama",Movimientos!$B$1:$B$987,"&lt;="&amp;$B81)</f>
        <v>14580.45</v>
      </c>
      <c r="K81" s="24">
        <f>SUMIFS('Saldos Iniciales'!$D:$D,'Saldos Iniciales'!$A:$A,"Sacred Valley Capital")+SUMIFS(Movimientos!$K$1:$K$987,Movimientos!$C$1:$C$987,"Sacred Valley Capital",Movimientos!$B$1:$B$987,"&lt;="&amp;$B81)</f>
        <v>54.400000000000006</v>
      </c>
      <c r="L81" s="24">
        <f>SUMIFS('Saldos Iniciales'!$D:$D,'Saldos Iniciales'!$A:$A,"YWC Capital")+SUMIFS(Movimientos!$K$1:$K$987,Movimientos!$C$1:$C$987,"YWC Capital",Movimientos!$B$1:$B$987,"&lt;="&amp;$B81)</f>
        <v>2207.8200000000002</v>
      </c>
      <c r="M81" s="24">
        <f>SUMIFS('Saldos Iniciales'!$D:$D,'Saldos Iniciales'!$A:$A,"Soweto")+SUMIFS(Movimientos!$K$1:$K$987,Movimientos!$C$1:$C$987,"Soweto",Movimientos!$B$1:$B$987,"&lt;="&amp;$B81)</f>
        <v>1454589.72</v>
      </c>
      <c r="N81" s="24">
        <f>SUMIFS('Saldos Iniciales'!$D:$D,'Saldos Iniciales'!$A:$A,"Green Stone Trust")+SUMIFS(Movimientos!$K$1:$K$987,Movimientos!$C$1:$C$987,"Green Stone Trust",Movimientos!$B$1:$B$987,"&lt;="&amp;$B81)</f>
        <v>1968.99</v>
      </c>
      <c r="O81" s="24">
        <f>SUMIFS('Saldos Iniciales'!$D:$D,'Saldos Iniciales'!$A:$A,"EC Auto")+SUMIFS(Movimientos!$K$1:$K$987,Movimientos!$C$1:$C$987,"EC Auto",Movimientos!$B$1:$B$987,"&lt;="&amp;$B81)</f>
        <v>901.34</v>
      </c>
      <c r="P81" s="24">
        <f>SUMIFS('Saldos Iniciales'!$D:$D,'Saldos Iniciales'!$A:$A,"Arbor Capital Properties")+SUMIFS(Movimientos!$K$1:$K$987,Movimientos!$C$1:$C$987,"Arbor Capital Properties",Movimientos!$B$1:$B$987,"&lt;="&amp;$B81)</f>
        <v>1412.08</v>
      </c>
      <c r="Q81" s="24">
        <f>SUMIFS('Saldos Iniciales'!$D:$D,'Saldos Iniciales'!$A:$A,"2515 Overbrook")+SUMIFS(Movimientos!$K$1:$K$987,Movimientos!$C$1:$C$987,"2515 Overbrook",Movimientos!$B$1:$B$987,"&lt;="&amp;$B81)</f>
        <v>22347.56999999996</v>
      </c>
      <c r="R81" s="24">
        <f>SUMIFS('Saldos Iniciales'!$D:$D,'Saldos Iniciales'!$A:$A,"112 Florida Ave")+SUMIFS(Movimientos!$K$1:$K$987,Movimientos!$C$1:$C$987,"112 Florida Ave",Movimientos!$B$1:$B$987,"&lt;="&amp;$B81)</f>
        <v>3522.8000000000029</v>
      </c>
      <c r="S81" s="24">
        <f>SUMIFS('Saldos Iniciales'!$D:$D,'Saldos Iniciales'!$A:$A,"3628 Thomas Ave")+SUMIFS(Movimientos!$K$1:$K$987,Movimientos!$C$1:$C$987,"3628 Thomas Ave",Movimientos!$B$1:$B$987,"&lt;="&amp;$B81)</f>
        <v>28485.559999999998</v>
      </c>
      <c r="T81" s="24">
        <f>SUMIFS('Saldos Iniciales'!$D:$D,'Saldos Iniciales'!$A:$A,"Green Harbor Trust")+SUMIFS(Movimientos!$K$1:$K$987,Movimientos!$C$1:$C$987,"Green Harbor Trust",Movimientos!$B$1:$B$987,"&lt;="&amp;$B81)</f>
        <v>345</v>
      </c>
      <c r="U81" s="24">
        <f>SUMIFS('Saldos Iniciales'!$D:$D,'Saldos Iniciales'!$A:$A,"Go Blue")+SUMIFS(Movimientos!$K$1:$K$987,Movimientos!$C$1:$C$987,"Go Blue",Movimientos!$B$1:$B$987,"&lt;="&amp;$B81)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Group")+SUMIFS(Movimientos!$K$1:$K$987,Movimientos!$C$1:$C$987,"CFT Group",Movimientos!$B$1:$B$987,"&lt;="&amp;$B82)</f>
        <v>3191672.4000000008</v>
      </c>
      <c r="D82" s="24">
        <f>SUMIFS('Saldos Iniciales'!$D:$D,'Saldos Iniciales'!$A:$A,"M1B")+SUMIFS(Movimientos!$K$1:$K$987,Movimientos!$C$1:$C$987,"M1B",Movimientos!$B$1:$B$987,"&lt;="&amp;$B82)</f>
        <v>73157.680000000168</v>
      </c>
      <c r="E82" s="24">
        <f>SUMIFS('Saldos Iniciales'!$D:$D,'Saldos Iniciales'!$A:$A,"Durand")+SUMIFS(Movimientos!$K$1:$K$987,Movimientos!$C$1:$C$987,"Durand",Movimientos!$B$1:$B$987,"&lt;="&amp;$B82)</f>
        <v>1669.89</v>
      </c>
      <c r="F82" s="24">
        <f>SUMIFS('Saldos Iniciales'!$D:$D,'Saldos Iniciales'!$A:$A,"A&amp;M Imports")+SUMIFS(Movimientos!$K$1:$K$987,Movimientos!$C$1:$C$987,"A&amp;M Imports",Movimientos!$B$1:$B$987,"&lt;="&amp;$B82)</f>
        <v>860844.50999999978</v>
      </c>
      <c r="G82" s="24">
        <f>SUMIFS('Saldos Iniciales'!$D:$D,'Saldos Iniciales'!$A:$A,"SSP Capital")+SUMIFS(Movimientos!$K$1:$K$987,Movimientos!$C$1:$C$987,"SSP Capital",Movimientos!$B$1:$B$987,"&lt;="&amp;$B82)</f>
        <v>1758499.9899999993</v>
      </c>
      <c r="H82" s="24">
        <f>SUMIFS('Saldos Iniciales'!$D:$D,'Saldos Iniciales'!$A:$A,"Cross Family Trust")+SUMIFS(Movimientos!$K$1:$K$987,Movimientos!$C$1:$C$987,"Cross Family Trust",Movimientos!$B$1:$B$987,"&lt;="&amp;$B82)</f>
        <v>200496.38</v>
      </c>
      <c r="I82" s="24">
        <f>SUMIFS('Saldos Iniciales'!$D:$D,'Saldos Iniciales'!$A:$A,"Cross Security Trust")+SUMIFS(Movimientos!$K$1:$K$987,Movimientos!$C$1:$C$987,"Cross Security Trust",Movimientos!$B$1:$B$987,"&lt;="&amp;$B82)</f>
        <v>88090.37</v>
      </c>
      <c r="J82" s="24">
        <f>SUMIFS('Saldos Iniciales'!$D:$D,'Saldos Iniciales'!$A:$A,"Electrama")+SUMIFS(Movimientos!$K$1:$K$987,Movimientos!$C$1:$C$987,"Electrama",Movimientos!$B$1:$B$987,"&lt;="&amp;$B82)</f>
        <v>14580.45</v>
      </c>
      <c r="K82" s="24">
        <f>SUMIFS('Saldos Iniciales'!$D:$D,'Saldos Iniciales'!$A:$A,"Sacred Valley Capital")+SUMIFS(Movimientos!$K$1:$K$987,Movimientos!$C$1:$C$987,"Sacred Valley Capital",Movimientos!$B$1:$B$987,"&lt;="&amp;$B82)</f>
        <v>54.400000000000006</v>
      </c>
      <c r="L82" s="24">
        <f>SUMIFS('Saldos Iniciales'!$D:$D,'Saldos Iniciales'!$A:$A,"YWC Capital")+SUMIFS(Movimientos!$K$1:$K$987,Movimientos!$C$1:$C$987,"YWC Capital",Movimientos!$B$1:$B$987,"&lt;="&amp;$B82)</f>
        <v>2207.8200000000002</v>
      </c>
      <c r="M82" s="24">
        <f>SUMIFS('Saldos Iniciales'!$D:$D,'Saldos Iniciales'!$A:$A,"Soweto")+SUMIFS(Movimientos!$K$1:$K$987,Movimientos!$C$1:$C$987,"Soweto",Movimientos!$B$1:$B$987,"&lt;="&amp;$B82)</f>
        <v>1454589.72</v>
      </c>
      <c r="N82" s="24">
        <f>SUMIFS('Saldos Iniciales'!$D:$D,'Saldos Iniciales'!$A:$A,"Green Stone Trust")+SUMIFS(Movimientos!$K$1:$K$987,Movimientos!$C$1:$C$987,"Green Stone Trust",Movimientos!$B$1:$B$987,"&lt;="&amp;$B82)</f>
        <v>1968.99</v>
      </c>
      <c r="O82" s="24">
        <f>SUMIFS('Saldos Iniciales'!$D:$D,'Saldos Iniciales'!$A:$A,"EC Auto")+SUMIFS(Movimientos!$K$1:$K$987,Movimientos!$C$1:$C$987,"EC Auto",Movimientos!$B$1:$B$987,"&lt;="&amp;$B82)</f>
        <v>901.34</v>
      </c>
      <c r="P82" s="24">
        <f>SUMIFS('Saldos Iniciales'!$D:$D,'Saldos Iniciales'!$A:$A,"Arbor Capital Properties")+SUMIFS(Movimientos!$K$1:$K$987,Movimientos!$C$1:$C$987,"Arbor Capital Properties",Movimientos!$B$1:$B$987,"&lt;="&amp;$B82)</f>
        <v>1412.08</v>
      </c>
      <c r="Q82" s="24">
        <f>SUMIFS('Saldos Iniciales'!$D:$D,'Saldos Iniciales'!$A:$A,"2515 Overbrook")+SUMIFS(Movimientos!$K$1:$K$987,Movimientos!$C$1:$C$987,"2515 Overbrook",Movimientos!$B$1:$B$987,"&lt;="&amp;$B82)</f>
        <v>22347.56999999996</v>
      </c>
      <c r="R82" s="24">
        <f>SUMIFS('Saldos Iniciales'!$D:$D,'Saldos Iniciales'!$A:$A,"112 Florida Ave")+SUMIFS(Movimientos!$K$1:$K$987,Movimientos!$C$1:$C$987,"112 Florida Ave",Movimientos!$B$1:$B$987,"&lt;="&amp;$B82)</f>
        <v>3522.8000000000029</v>
      </c>
      <c r="S82" s="24">
        <f>SUMIFS('Saldos Iniciales'!$D:$D,'Saldos Iniciales'!$A:$A,"3628 Thomas Ave")+SUMIFS(Movimientos!$K$1:$K$987,Movimientos!$C$1:$C$987,"3628 Thomas Ave",Movimientos!$B$1:$B$987,"&lt;="&amp;$B82)</f>
        <v>28485.559999999998</v>
      </c>
      <c r="T82" s="24">
        <f>SUMIFS('Saldos Iniciales'!$D:$D,'Saldos Iniciales'!$A:$A,"Green Harbor Trust")+SUMIFS(Movimientos!$K$1:$K$987,Movimientos!$C$1:$C$987,"Green Harbor Trust",Movimientos!$B$1:$B$987,"&lt;="&amp;$B82)</f>
        <v>345</v>
      </c>
      <c r="U82" s="24">
        <f>SUMIFS('Saldos Iniciales'!$D:$D,'Saldos Iniciales'!$A:$A,"Go Blue")+SUMIFS(Movimientos!$K$1:$K$987,Movimientos!$C$1:$C$987,"Go Blue",Movimientos!$B$1:$B$987,"&lt;="&amp;$B82)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Group")+SUMIFS(Movimientos!$K$1:$K$987,Movimientos!$C$1:$C$987,"CFT Group",Movimientos!$B$1:$B$987,"&lt;="&amp;$B83)</f>
        <v>3191672.4000000008</v>
      </c>
      <c r="D83" s="24">
        <f>SUMIFS('Saldos Iniciales'!$D:$D,'Saldos Iniciales'!$A:$A,"M1B")+SUMIFS(Movimientos!$K$1:$K$987,Movimientos!$C$1:$C$987,"M1B",Movimientos!$B$1:$B$987,"&lt;="&amp;$B83)</f>
        <v>73157.680000000168</v>
      </c>
      <c r="E83" s="24">
        <f>SUMIFS('Saldos Iniciales'!$D:$D,'Saldos Iniciales'!$A:$A,"Durand")+SUMIFS(Movimientos!$K$1:$K$987,Movimientos!$C$1:$C$987,"Durand",Movimientos!$B$1:$B$987,"&lt;="&amp;$B83)</f>
        <v>1669.89</v>
      </c>
      <c r="F83" s="24">
        <f>SUMIFS('Saldos Iniciales'!$D:$D,'Saldos Iniciales'!$A:$A,"A&amp;M Imports")+SUMIFS(Movimientos!$K$1:$K$987,Movimientos!$C$1:$C$987,"A&amp;M Imports",Movimientos!$B$1:$B$987,"&lt;="&amp;$B83)</f>
        <v>860844.50999999978</v>
      </c>
      <c r="G83" s="24">
        <f>SUMIFS('Saldos Iniciales'!$D:$D,'Saldos Iniciales'!$A:$A,"SSP Capital")+SUMIFS(Movimientos!$K$1:$K$987,Movimientos!$C$1:$C$987,"SSP Capital",Movimientos!$B$1:$B$987,"&lt;="&amp;$B83)</f>
        <v>1758499.9899999993</v>
      </c>
      <c r="H83" s="24">
        <f>SUMIFS('Saldos Iniciales'!$D:$D,'Saldos Iniciales'!$A:$A,"Cross Family Trust")+SUMIFS(Movimientos!$K$1:$K$987,Movimientos!$C$1:$C$987,"Cross Family Trust",Movimientos!$B$1:$B$987,"&lt;="&amp;$B83)</f>
        <v>200496.38</v>
      </c>
      <c r="I83" s="24">
        <f>SUMIFS('Saldos Iniciales'!$D:$D,'Saldos Iniciales'!$A:$A,"Cross Security Trust")+SUMIFS(Movimientos!$K$1:$K$987,Movimientos!$C$1:$C$987,"Cross Security Trust",Movimientos!$B$1:$B$987,"&lt;="&amp;$B83)</f>
        <v>88090.37</v>
      </c>
      <c r="J83" s="24">
        <f>SUMIFS('Saldos Iniciales'!$D:$D,'Saldos Iniciales'!$A:$A,"Electrama")+SUMIFS(Movimientos!$K$1:$K$987,Movimientos!$C$1:$C$987,"Electrama",Movimientos!$B$1:$B$987,"&lt;="&amp;$B83)</f>
        <v>14580.45</v>
      </c>
      <c r="K83" s="24">
        <f>SUMIFS('Saldos Iniciales'!$D:$D,'Saldos Iniciales'!$A:$A,"Sacred Valley Capital")+SUMIFS(Movimientos!$K$1:$K$987,Movimientos!$C$1:$C$987,"Sacred Valley Capital",Movimientos!$B$1:$B$987,"&lt;="&amp;$B83)</f>
        <v>54.400000000000006</v>
      </c>
      <c r="L83" s="24">
        <f>SUMIFS('Saldos Iniciales'!$D:$D,'Saldos Iniciales'!$A:$A,"YWC Capital")+SUMIFS(Movimientos!$K$1:$K$987,Movimientos!$C$1:$C$987,"YWC Capital",Movimientos!$B$1:$B$987,"&lt;="&amp;$B83)</f>
        <v>2207.8200000000002</v>
      </c>
      <c r="M83" s="24">
        <f>SUMIFS('Saldos Iniciales'!$D:$D,'Saldos Iniciales'!$A:$A,"Soweto")+SUMIFS(Movimientos!$K$1:$K$987,Movimientos!$C$1:$C$987,"Soweto",Movimientos!$B$1:$B$987,"&lt;="&amp;$B83)</f>
        <v>1454589.72</v>
      </c>
      <c r="N83" s="24">
        <f>SUMIFS('Saldos Iniciales'!$D:$D,'Saldos Iniciales'!$A:$A,"Green Stone Trust")+SUMIFS(Movimientos!$K$1:$K$987,Movimientos!$C$1:$C$987,"Green Stone Trust",Movimientos!$B$1:$B$987,"&lt;="&amp;$B83)</f>
        <v>1968.99</v>
      </c>
      <c r="O83" s="24">
        <f>SUMIFS('Saldos Iniciales'!$D:$D,'Saldos Iniciales'!$A:$A,"EC Auto")+SUMIFS(Movimientos!$K$1:$K$987,Movimientos!$C$1:$C$987,"EC Auto",Movimientos!$B$1:$B$987,"&lt;="&amp;$B83)</f>
        <v>901.34</v>
      </c>
      <c r="P83" s="24">
        <f>SUMIFS('Saldos Iniciales'!$D:$D,'Saldos Iniciales'!$A:$A,"Arbor Capital Properties")+SUMIFS(Movimientos!$K$1:$K$987,Movimientos!$C$1:$C$987,"Arbor Capital Properties",Movimientos!$B$1:$B$987,"&lt;="&amp;$B83)</f>
        <v>1412.08</v>
      </c>
      <c r="Q83" s="24">
        <f>SUMIFS('Saldos Iniciales'!$D:$D,'Saldos Iniciales'!$A:$A,"2515 Overbrook")+SUMIFS(Movimientos!$K$1:$K$987,Movimientos!$C$1:$C$987,"2515 Overbrook",Movimientos!$B$1:$B$987,"&lt;="&amp;$B83)</f>
        <v>22347.56999999996</v>
      </c>
      <c r="R83" s="24">
        <f>SUMIFS('Saldos Iniciales'!$D:$D,'Saldos Iniciales'!$A:$A,"112 Florida Ave")+SUMIFS(Movimientos!$K$1:$K$987,Movimientos!$C$1:$C$987,"112 Florida Ave",Movimientos!$B$1:$B$987,"&lt;="&amp;$B83)</f>
        <v>3522.8000000000029</v>
      </c>
      <c r="S83" s="24">
        <f>SUMIFS('Saldos Iniciales'!$D:$D,'Saldos Iniciales'!$A:$A,"3628 Thomas Ave")+SUMIFS(Movimientos!$K$1:$K$987,Movimientos!$C$1:$C$987,"3628 Thomas Ave",Movimientos!$B$1:$B$987,"&lt;="&amp;$B83)</f>
        <v>28485.559999999998</v>
      </c>
      <c r="T83" s="24">
        <f>SUMIFS('Saldos Iniciales'!$D:$D,'Saldos Iniciales'!$A:$A,"Green Harbor Trust")+SUMIFS(Movimientos!$K$1:$K$987,Movimientos!$C$1:$C$987,"Green Harbor Trust",Movimientos!$B$1:$B$987,"&lt;="&amp;$B83)</f>
        <v>345</v>
      </c>
      <c r="U83" s="24">
        <f>SUMIFS('Saldos Iniciales'!$D:$D,'Saldos Iniciales'!$A:$A,"Go Blue")+SUMIFS(Movimientos!$K$1:$K$987,Movimientos!$C$1:$C$987,"Go Blue",Movimientos!$B$1:$B$987,"&lt;="&amp;$B83)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Group")+SUMIFS(Movimientos!$K$1:$K$987,Movimientos!$C$1:$C$987,"CFT Group",Movimientos!$B$1:$B$987,"&lt;="&amp;$B84)</f>
        <v>2337089.0700000008</v>
      </c>
      <c r="D84" s="24">
        <f>SUMIFS('Saldos Iniciales'!$D:$D,'Saldos Iniciales'!$A:$A,"M1B")+SUMIFS(Movimientos!$K$1:$K$987,Movimientos!$C$1:$C$987,"M1B",Movimientos!$B$1:$B$987,"&lt;="&amp;$B84)</f>
        <v>73157.680000000168</v>
      </c>
      <c r="E84" s="24">
        <f>SUMIFS('Saldos Iniciales'!$D:$D,'Saldos Iniciales'!$A:$A,"Durand")+SUMIFS(Movimientos!$K$1:$K$987,Movimientos!$C$1:$C$987,"Durand",Movimientos!$B$1:$B$987,"&lt;="&amp;$B84)</f>
        <v>1669.89</v>
      </c>
      <c r="F84" s="24">
        <f>SUMIFS('Saldos Iniciales'!$D:$D,'Saldos Iniciales'!$A:$A,"A&amp;M Imports")+SUMIFS(Movimientos!$K$1:$K$987,Movimientos!$C$1:$C$987,"A&amp;M Imports",Movimientos!$B$1:$B$987,"&lt;="&amp;$B84)</f>
        <v>833794.74999999977</v>
      </c>
      <c r="G84" s="24">
        <f>SUMIFS('Saldos Iniciales'!$D:$D,'Saldos Iniciales'!$A:$A,"SSP Capital")+SUMIFS(Movimientos!$K$1:$K$987,Movimientos!$C$1:$C$987,"SSP Capital",Movimientos!$B$1:$B$987,"&lt;="&amp;$B84)</f>
        <v>2037119.9899999995</v>
      </c>
      <c r="H84" s="24">
        <f>SUMIFS('Saldos Iniciales'!$D:$D,'Saldos Iniciales'!$A:$A,"Cross Family Trust")+SUMIFS(Movimientos!$K$1:$K$987,Movimientos!$C$1:$C$987,"Cross Family Trust",Movimientos!$B$1:$B$987,"&lt;="&amp;$B84)</f>
        <v>200496.38</v>
      </c>
      <c r="I84" s="24">
        <f>SUMIFS('Saldos Iniciales'!$D:$D,'Saldos Iniciales'!$A:$A,"Cross Security Trust")+SUMIFS(Movimientos!$K$1:$K$987,Movimientos!$C$1:$C$987,"Cross Security Trust",Movimientos!$B$1:$B$987,"&lt;="&amp;$B84)</f>
        <v>88090.37</v>
      </c>
      <c r="J84" s="24">
        <f>SUMIFS('Saldos Iniciales'!$D:$D,'Saldos Iniciales'!$A:$A,"Electrama")+SUMIFS(Movimientos!$K$1:$K$987,Movimientos!$C$1:$C$987,"Electrama",Movimientos!$B$1:$B$987,"&lt;="&amp;$B84)</f>
        <v>14580.45</v>
      </c>
      <c r="K84" s="24">
        <f>SUMIFS('Saldos Iniciales'!$D:$D,'Saldos Iniciales'!$A:$A,"Sacred Valley Capital")+SUMIFS(Movimientos!$K$1:$K$987,Movimientos!$C$1:$C$987,"Sacred Valley Capital",Movimientos!$B$1:$B$987,"&lt;="&amp;$B84)</f>
        <v>54.400000000000006</v>
      </c>
      <c r="L84" s="24">
        <f>SUMIFS('Saldos Iniciales'!$D:$D,'Saldos Iniciales'!$A:$A,"YWC Capital")+SUMIFS(Movimientos!$K$1:$K$987,Movimientos!$C$1:$C$987,"YWC Capital",Movimientos!$B$1:$B$987,"&lt;="&amp;$B84)</f>
        <v>2207.8200000000002</v>
      </c>
      <c r="M84" s="24">
        <f>SUMIFS('Saldos Iniciales'!$D:$D,'Saldos Iniciales'!$A:$A,"Soweto")+SUMIFS(Movimientos!$K$1:$K$987,Movimientos!$C$1:$C$987,"Soweto",Movimientos!$B$1:$B$987,"&lt;="&amp;$B84)</f>
        <v>1454589.72</v>
      </c>
      <c r="N84" s="24">
        <f>SUMIFS('Saldos Iniciales'!$D:$D,'Saldos Iniciales'!$A:$A,"Green Stone Trust")+SUMIFS(Movimientos!$K$1:$K$987,Movimientos!$C$1:$C$987,"Green Stone Trust",Movimientos!$B$1:$B$987,"&lt;="&amp;$B84)</f>
        <v>1968.99</v>
      </c>
      <c r="O84" s="24">
        <f>SUMIFS('Saldos Iniciales'!$D:$D,'Saldos Iniciales'!$A:$A,"EC Auto")+SUMIFS(Movimientos!$K$1:$K$987,Movimientos!$C$1:$C$987,"EC Auto",Movimientos!$B$1:$B$987,"&lt;="&amp;$B84)</f>
        <v>901.34</v>
      </c>
      <c r="P84" s="24">
        <f>SUMIFS('Saldos Iniciales'!$D:$D,'Saldos Iniciales'!$A:$A,"Arbor Capital Properties")+SUMIFS(Movimientos!$K$1:$K$987,Movimientos!$C$1:$C$987,"Arbor Capital Properties",Movimientos!$B$1:$B$987,"&lt;="&amp;$B84)</f>
        <v>1412.08</v>
      </c>
      <c r="Q84" s="24">
        <f>SUMIFS('Saldos Iniciales'!$D:$D,'Saldos Iniciales'!$A:$A,"2515 Overbrook")+SUMIFS(Movimientos!$K$1:$K$987,Movimientos!$C$1:$C$987,"2515 Overbrook",Movimientos!$B$1:$B$987,"&lt;="&amp;$B84)</f>
        <v>22347.56999999996</v>
      </c>
      <c r="R84" s="24">
        <f>SUMIFS('Saldos Iniciales'!$D:$D,'Saldos Iniciales'!$A:$A,"112 Florida Ave")+SUMIFS(Movimientos!$K$1:$K$987,Movimientos!$C$1:$C$987,"112 Florida Ave",Movimientos!$B$1:$B$987,"&lt;="&amp;$B84)</f>
        <v>3522.8000000000029</v>
      </c>
      <c r="S84" s="24">
        <f>SUMIFS('Saldos Iniciales'!$D:$D,'Saldos Iniciales'!$A:$A,"3628 Thomas Ave")+SUMIFS(Movimientos!$K$1:$K$987,Movimientos!$C$1:$C$987,"3628 Thomas Ave",Movimientos!$B$1:$B$987,"&lt;="&amp;$B84)</f>
        <v>28485.559999999998</v>
      </c>
      <c r="T84" s="24">
        <f>SUMIFS('Saldos Iniciales'!$D:$D,'Saldos Iniciales'!$A:$A,"Green Harbor Trust")+SUMIFS(Movimientos!$K$1:$K$987,Movimientos!$C$1:$C$987,"Green Harbor Trust",Movimientos!$B$1:$B$987,"&lt;="&amp;$B84)</f>
        <v>345</v>
      </c>
      <c r="U84" s="24">
        <f>SUMIFS('Saldos Iniciales'!$D:$D,'Saldos Iniciales'!$A:$A,"Go Blue")+SUMIFS(Movimientos!$K$1:$K$987,Movimientos!$C$1:$C$987,"Go Blue",Movimientos!$B$1:$B$987,"&lt;="&amp;$B84)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Group")+SUMIFS(Movimientos!$K$1:$K$987,Movimientos!$C$1:$C$987,"CFT Group",Movimientos!$B$1:$B$987,"&lt;="&amp;$B85)</f>
        <v>2337084.0700000008</v>
      </c>
      <c r="D85" s="24">
        <f>SUMIFS('Saldos Iniciales'!$D:$D,'Saldos Iniciales'!$A:$A,"M1B")+SUMIFS(Movimientos!$K$1:$K$987,Movimientos!$C$1:$C$987,"M1B",Movimientos!$B$1:$B$987,"&lt;="&amp;$B85)</f>
        <v>73157.680000000168</v>
      </c>
      <c r="E85" s="24">
        <f>SUMIFS('Saldos Iniciales'!$D:$D,'Saldos Iniciales'!$A:$A,"Durand")+SUMIFS(Movimientos!$K$1:$K$987,Movimientos!$C$1:$C$987,"Durand",Movimientos!$B$1:$B$987,"&lt;="&amp;$B85)</f>
        <v>1669.89</v>
      </c>
      <c r="F85" s="24">
        <f>SUMIFS('Saldos Iniciales'!$D:$D,'Saldos Iniciales'!$A:$A,"A&amp;M Imports")+SUMIFS(Movimientos!$K$1:$K$987,Movimientos!$C$1:$C$987,"A&amp;M Imports",Movimientos!$B$1:$B$987,"&lt;="&amp;$B85)</f>
        <v>873784.44999999972</v>
      </c>
      <c r="G85" s="24">
        <f>SUMIFS('Saldos Iniciales'!$D:$D,'Saldos Iniciales'!$A:$A,"SSP Capital")+SUMIFS(Movimientos!$K$1:$K$987,Movimientos!$C$1:$C$987,"SSP Capital",Movimientos!$B$1:$B$987,"&lt;="&amp;$B85)</f>
        <v>2037119.9899999995</v>
      </c>
      <c r="H85" s="24">
        <f>SUMIFS('Saldos Iniciales'!$D:$D,'Saldos Iniciales'!$A:$A,"Cross Family Trust")+SUMIFS(Movimientos!$K$1:$K$987,Movimientos!$C$1:$C$987,"Cross Family Trust",Movimientos!$B$1:$B$987,"&lt;="&amp;$B85)</f>
        <v>200496.38</v>
      </c>
      <c r="I85" s="24">
        <f>SUMIFS('Saldos Iniciales'!$D:$D,'Saldos Iniciales'!$A:$A,"Cross Security Trust")+SUMIFS(Movimientos!$K$1:$K$987,Movimientos!$C$1:$C$987,"Cross Security Trust",Movimientos!$B$1:$B$987,"&lt;="&amp;$B85)</f>
        <v>88090.37</v>
      </c>
      <c r="J85" s="24">
        <f>SUMIFS('Saldos Iniciales'!$D:$D,'Saldos Iniciales'!$A:$A,"Electrama")+SUMIFS(Movimientos!$K$1:$K$987,Movimientos!$C$1:$C$987,"Electrama",Movimientos!$B$1:$B$987,"&lt;="&amp;$B85)</f>
        <v>14580.45</v>
      </c>
      <c r="K85" s="24">
        <f>SUMIFS('Saldos Iniciales'!$D:$D,'Saldos Iniciales'!$A:$A,"Sacred Valley Capital")+SUMIFS(Movimientos!$K$1:$K$987,Movimientos!$C$1:$C$987,"Sacred Valley Capital",Movimientos!$B$1:$B$987,"&lt;="&amp;$B85)</f>
        <v>54.400000000000006</v>
      </c>
      <c r="L85" s="24">
        <f>SUMIFS('Saldos Iniciales'!$D:$D,'Saldos Iniciales'!$A:$A,"YWC Capital")+SUMIFS(Movimientos!$K$1:$K$987,Movimientos!$C$1:$C$987,"YWC Capital",Movimientos!$B$1:$B$987,"&lt;="&amp;$B85)</f>
        <v>2207.8200000000002</v>
      </c>
      <c r="M85" s="24">
        <f>SUMIFS('Saldos Iniciales'!$D:$D,'Saldos Iniciales'!$A:$A,"Soweto")+SUMIFS(Movimientos!$K$1:$K$987,Movimientos!$C$1:$C$987,"Soweto",Movimientos!$B$1:$B$987,"&lt;="&amp;$B85)</f>
        <v>1454589.72</v>
      </c>
      <c r="N85" s="24">
        <f>SUMIFS('Saldos Iniciales'!$D:$D,'Saldos Iniciales'!$A:$A,"Green Stone Trust")+SUMIFS(Movimientos!$K$1:$K$987,Movimientos!$C$1:$C$987,"Green Stone Trust",Movimientos!$B$1:$B$987,"&lt;="&amp;$B85)</f>
        <v>1968.99</v>
      </c>
      <c r="O85" s="24">
        <f>SUMIFS('Saldos Iniciales'!$D:$D,'Saldos Iniciales'!$A:$A,"EC Auto")+SUMIFS(Movimientos!$K$1:$K$987,Movimientos!$C$1:$C$987,"EC Auto",Movimientos!$B$1:$B$987,"&lt;="&amp;$B85)</f>
        <v>901.34</v>
      </c>
      <c r="P85" s="24">
        <f>SUMIFS('Saldos Iniciales'!$D:$D,'Saldos Iniciales'!$A:$A,"Arbor Capital Properties")+SUMIFS(Movimientos!$K$1:$K$987,Movimientos!$C$1:$C$987,"Arbor Capital Properties",Movimientos!$B$1:$B$987,"&lt;="&amp;$B85)</f>
        <v>1412.08</v>
      </c>
      <c r="Q85" s="24">
        <f>SUMIFS('Saldos Iniciales'!$D:$D,'Saldos Iniciales'!$A:$A,"2515 Overbrook")+SUMIFS(Movimientos!$K$1:$K$987,Movimientos!$C$1:$C$987,"2515 Overbrook",Movimientos!$B$1:$B$987,"&lt;="&amp;$B85)</f>
        <v>22347.56999999996</v>
      </c>
      <c r="R85" s="24">
        <f>SUMIFS('Saldos Iniciales'!$D:$D,'Saldos Iniciales'!$A:$A,"112 Florida Ave")+SUMIFS(Movimientos!$K$1:$K$987,Movimientos!$C$1:$C$987,"112 Florida Ave",Movimientos!$B$1:$B$987,"&lt;="&amp;$B85)</f>
        <v>18522.800000000003</v>
      </c>
      <c r="S85" s="24">
        <f>SUMIFS('Saldos Iniciales'!$D:$D,'Saldos Iniciales'!$A:$A,"3628 Thomas Ave")+SUMIFS(Movimientos!$K$1:$K$987,Movimientos!$C$1:$C$987,"3628 Thomas Ave",Movimientos!$B$1:$B$987,"&lt;="&amp;$B85)</f>
        <v>28485.559999999998</v>
      </c>
      <c r="T85" s="24">
        <f>SUMIFS('Saldos Iniciales'!$D:$D,'Saldos Iniciales'!$A:$A,"Green Harbor Trust")+SUMIFS(Movimientos!$K$1:$K$987,Movimientos!$C$1:$C$987,"Green Harbor Trust",Movimientos!$B$1:$B$987,"&lt;="&amp;$B85)</f>
        <v>345</v>
      </c>
      <c r="U85" s="24">
        <f>SUMIFS('Saldos Iniciales'!$D:$D,'Saldos Iniciales'!$A:$A,"Go Blue")+SUMIFS(Movimientos!$K$1:$K$987,Movimientos!$C$1:$C$987,"Go Blue",Movimientos!$B$1:$B$987,"&lt;="&amp;$B85)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Group")+SUMIFS(Movimientos!$K$1:$K$987,Movimientos!$C$1:$C$987,"CFT Group",Movimientos!$B$1:$B$987,"&lt;="&amp;$B86)</f>
        <v>2337084.0700000008</v>
      </c>
      <c r="D86" s="24">
        <f>SUMIFS('Saldos Iniciales'!$D:$D,'Saldos Iniciales'!$A:$A,"M1B")+SUMIFS(Movimientos!$K$1:$K$987,Movimientos!$C$1:$C$987,"M1B",Movimientos!$B$1:$B$987,"&lt;="&amp;$B86)</f>
        <v>73157.680000000168</v>
      </c>
      <c r="E86" s="24">
        <f>SUMIFS('Saldos Iniciales'!$D:$D,'Saldos Iniciales'!$A:$A,"Durand")+SUMIFS(Movimientos!$K$1:$K$987,Movimientos!$C$1:$C$987,"Durand",Movimientos!$B$1:$B$987,"&lt;="&amp;$B86)</f>
        <v>1669.89</v>
      </c>
      <c r="F86" s="24">
        <f>SUMIFS('Saldos Iniciales'!$D:$D,'Saldos Iniciales'!$A:$A,"A&amp;M Imports")+SUMIFS(Movimientos!$K$1:$K$987,Movimientos!$C$1:$C$987,"A&amp;M Imports",Movimientos!$B$1:$B$987,"&lt;="&amp;$B86)</f>
        <v>873784.44999999972</v>
      </c>
      <c r="G86" s="24">
        <f>SUMIFS('Saldos Iniciales'!$D:$D,'Saldos Iniciales'!$A:$A,"SSP Capital")+SUMIFS(Movimientos!$K$1:$K$987,Movimientos!$C$1:$C$987,"SSP Capital",Movimientos!$B$1:$B$987,"&lt;="&amp;$B86)</f>
        <v>2037119.9899999995</v>
      </c>
      <c r="H86" s="24">
        <f>SUMIFS('Saldos Iniciales'!$D:$D,'Saldos Iniciales'!$A:$A,"Cross Family Trust")+SUMIFS(Movimientos!$K$1:$K$987,Movimientos!$C$1:$C$987,"Cross Family Trust",Movimientos!$B$1:$B$987,"&lt;="&amp;$B86)</f>
        <v>200496.38</v>
      </c>
      <c r="I86" s="24">
        <f>SUMIFS('Saldos Iniciales'!$D:$D,'Saldos Iniciales'!$A:$A,"Cross Security Trust")+SUMIFS(Movimientos!$K$1:$K$987,Movimientos!$C$1:$C$987,"Cross Security Trust",Movimientos!$B$1:$B$987,"&lt;="&amp;$B86)</f>
        <v>88090.37</v>
      </c>
      <c r="J86" s="24">
        <f>SUMIFS('Saldos Iniciales'!$D:$D,'Saldos Iniciales'!$A:$A,"Electrama")+SUMIFS(Movimientos!$K$1:$K$987,Movimientos!$C$1:$C$987,"Electrama",Movimientos!$B$1:$B$987,"&lt;="&amp;$B86)</f>
        <v>14580.45</v>
      </c>
      <c r="K86" s="24">
        <f>SUMIFS('Saldos Iniciales'!$D:$D,'Saldos Iniciales'!$A:$A,"Sacred Valley Capital")+SUMIFS(Movimientos!$K$1:$K$987,Movimientos!$C$1:$C$987,"Sacred Valley Capital",Movimientos!$B$1:$B$987,"&lt;="&amp;$B86)</f>
        <v>54.400000000000006</v>
      </c>
      <c r="L86" s="24">
        <f>SUMIFS('Saldos Iniciales'!$D:$D,'Saldos Iniciales'!$A:$A,"YWC Capital")+SUMIFS(Movimientos!$K$1:$K$987,Movimientos!$C$1:$C$987,"YWC Capital",Movimientos!$B$1:$B$987,"&lt;="&amp;$B86)</f>
        <v>2207.8200000000002</v>
      </c>
      <c r="M86" s="24">
        <f>SUMIFS('Saldos Iniciales'!$D:$D,'Saldos Iniciales'!$A:$A,"Soweto")+SUMIFS(Movimientos!$K$1:$K$987,Movimientos!$C$1:$C$987,"Soweto",Movimientos!$B$1:$B$987,"&lt;="&amp;$B86)</f>
        <v>1454589.72</v>
      </c>
      <c r="N86" s="24">
        <f>SUMIFS('Saldos Iniciales'!$D:$D,'Saldos Iniciales'!$A:$A,"Green Stone Trust")+SUMIFS(Movimientos!$K$1:$K$987,Movimientos!$C$1:$C$987,"Green Stone Trust",Movimientos!$B$1:$B$987,"&lt;="&amp;$B86)</f>
        <v>1968.99</v>
      </c>
      <c r="O86" s="24">
        <f>SUMIFS('Saldos Iniciales'!$D:$D,'Saldos Iniciales'!$A:$A,"EC Auto")+SUMIFS(Movimientos!$K$1:$K$987,Movimientos!$C$1:$C$987,"EC Auto",Movimientos!$B$1:$B$987,"&lt;="&amp;$B86)</f>
        <v>901.34</v>
      </c>
      <c r="P86" s="24">
        <f>SUMIFS('Saldos Iniciales'!$D:$D,'Saldos Iniciales'!$A:$A,"Arbor Capital Properties")+SUMIFS(Movimientos!$K$1:$K$987,Movimientos!$C$1:$C$987,"Arbor Capital Properties",Movimientos!$B$1:$B$987,"&lt;="&amp;$B86)</f>
        <v>1412.08</v>
      </c>
      <c r="Q86" s="24">
        <f>SUMIFS('Saldos Iniciales'!$D:$D,'Saldos Iniciales'!$A:$A,"2515 Overbrook")+SUMIFS(Movimientos!$K$1:$K$987,Movimientos!$C$1:$C$987,"2515 Overbrook",Movimientos!$B$1:$B$987,"&lt;="&amp;$B86)</f>
        <v>22347.56999999996</v>
      </c>
      <c r="R86" s="24">
        <f>SUMIFS('Saldos Iniciales'!$D:$D,'Saldos Iniciales'!$A:$A,"112 Florida Ave")+SUMIFS(Movimientos!$K$1:$K$987,Movimientos!$C$1:$C$987,"112 Florida Ave",Movimientos!$B$1:$B$987,"&lt;="&amp;$B86)</f>
        <v>18522.800000000003</v>
      </c>
      <c r="S86" s="24">
        <f>SUMIFS('Saldos Iniciales'!$D:$D,'Saldos Iniciales'!$A:$A,"3628 Thomas Ave")+SUMIFS(Movimientos!$K$1:$K$987,Movimientos!$C$1:$C$987,"3628 Thomas Ave",Movimientos!$B$1:$B$987,"&lt;="&amp;$B86)</f>
        <v>28485.559999999998</v>
      </c>
      <c r="T86" s="24">
        <f>SUMIFS('Saldos Iniciales'!$D:$D,'Saldos Iniciales'!$A:$A,"Green Harbor Trust")+SUMIFS(Movimientos!$K$1:$K$987,Movimientos!$C$1:$C$987,"Green Harbor Trust",Movimientos!$B$1:$B$987,"&lt;="&amp;$B86)</f>
        <v>345</v>
      </c>
      <c r="U86" s="24">
        <f>SUMIFS('Saldos Iniciales'!$D:$D,'Saldos Iniciales'!$A:$A,"Go Blue")+SUMIFS(Movimientos!$K$1:$K$987,Movimientos!$C$1:$C$987,"Go Blue",Movimientos!$B$1:$B$987,"&lt;="&amp;$B86)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Group")+SUMIFS(Movimientos!$K$1:$K$987,Movimientos!$C$1:$C$987,"CFT Group",Movimientos!$B$1:$B$987,"&lt;="&amp;$B87)</f>
        <v>2337084.0700000008</v>
      </c>
      <c r="D87" s="24">
        <f>SUMIFS('Saldos Iniciales'!$D:$D,'Saldos Iniciales'!$A:$A,"M1B")+SUMIFS(Movimientos!$K$1:$K$987,Movimientos!$C$1:$C$987,"M1B",Movimientos!$B$1:$B$987,"&lt;="&amp;$B87)</f>
        <v>73157.680000000168</v>
      </c>
      <c r="E87" s="24">
        <f>SUMIFS('Saldos Iniciales'!$D:$D,'Saldos Iniciales'!$A:$A,"Durand")+SUMIFS(Movimientos!$K$1:$K$987,Movimientos!$C$1:$C$987,"Durand",Movimientos!$B$1:$B$987,"&lt;="&amp;$B87)</f>
        <v>1669.89</v>
      </c>
      <c r="F87" s="24">
        <f>SUMIFS('Saldos Iniciales'!$D:$D,'Saldos Iniciales'!$A:$A,"A&amp;M Imports")+SUMIFS(Movimientos!$K$1:$K$987,Movimientos!$C$1:$C$987,"A&amp;M Imports",Movimientos!$B$1:$B$987,"&lt;="&amp;$B87)</f>
        <v>873784.44999999972</v>
      </c>
      <c r="G87" s="24">
        <f>SUMIFS('Saldos Iniciales'!$D:$D,'Saldos Iniciales'!$A:$A,"SSP Capital")+SUMIFS(Movimientos!$K$1:$K$987,Movimientos!$C$1:$C$987,"SSP Capital",Movimientos!$B$1:$B$987,"&lt;="&amp;$B87)</f>
        <v>2037119.9899999995</v>
      </c>
      <c r="H87" s="24">
        <f>SUMIFS('Saldos Iniciales'!$D:$D,'Saldos Iniciales'!$A:$A,"Cross Family Trust")+SUMIFS(Movimientos!$K$1:$K$987,Movimientos!$C$1:$C$987,"Cross Family Trust",Movimientos!$B$1:$B$987,"&lt;="&amp;$B87)</f>
        <v>200496.38</v>
      </c>
      <c r="I87" s="24">
        <f>SUMIFS('Saldos Iniciales'!$D:$D,'Saldos Iniciales'!$A:$A,"Cross Security Trust")+SUMIFS(Movimientos!$K$1:$K$987,Movimientos!$C$1:$C$987,"Cross Security Trust",Movimientos!$B$1:$B$987,"&lt;="&amp;$B87)</f>
        <v>88090.37</v>
      </c>
      <c r="J87" s="24">
        <f>SUMIFS('Saldos Iniciales'!$D:$D,'Saldos Iniciales'!$A:$A,"Electrama")+SUMIFS(Movimientos!$K$1:$K$987,Movimientos!$C$1:$C$987,"Electrama",Movimientos!$B$1:$B$987,"&lt;="&amp;$B87)</f>
        <v>14580.45</v>
      </c>
      <c r="K87" s="24">
        <f>SUMIFS('Saldos Iniciales'!$D:$D,'Saldos Iniciales'!$A:$A,"Sacred Valley Capital")+SUMIFS(Movimientos!$K$1:$K$987,Movimientos!$C$1:$C$987,"Sacred Valley Capital",Movimientos!$B$1:$B$987,"&lt;="&amp;$B87)</f>
        <v>54.400000000000006</v>
      </c>
      <c r="L87" s="24">
        <f>SUMIFS('Saldos Iniciales'!$D:$D,'Saldos Iniciales'!$A:$A,"YWC Capital")+SUMIFS(Movimientos!$K$1:$K$987,Movimientos!$C$1:$C$987,"YWC Capital",Movimientos!$B$1:$B$987,"&lt;="&amp;$B87)</f>
        <v>2207.8200000000002</v>
      </c>
      <c r="M87" s="24">
        <f>SUMIFS('Saldos Iniciales'!$D:$D,'Saldos Iniciales'!$A:$A,"Soweto")+SUMIFS(Movimientos!$K$1:$K$987,Movimientos!$C$1:$C$987,"Soweto",Movimientos!$B$1:$B$987,"&lt;="&amp;$B87)</f>
        <v>1454589.72</v>
      </c>
      <c r="N87" s="24">
        <f>SUMIFS('Saldos Iniciales'!$D:$D,'Saldos Iniciales'!$A:$A,"Green Stone Trust")+SUMIFS(Movimientos!$K$1:$K$987,Movimientos!$C$1:$C$987,"Green Stone Trust",Movimientos!$B$1:$B$987,"&lt;="&amp;$B87)</f>
        <v>1968.99</v>
      </c>
      <c r="O87" s="24">
        <f>SUMIFS('Saldos Iniciales'!$D:$D,'Saldos Iniciales'!$A:$A,"EC Auto")+SUMIFS(Movimientos!$K$1:$K$987,Movimientos!$C$1:$C$987,"EC Auto",Movimientos!$B$1:$B$987,"&lt;="&amp;$B87)</f>
        <v>901.34</v>
      </c>
      <c r="P87" s="24">
        <f>SUMIFS('Saldos Iniciales'!$D:$D,'Saldos Iniciales'!$A:$A,"Arbor Capital Properties")+SUMIFS(Movimientos!$K$1:$K$987,Movimientos!$C$1:$C$987,"Arbor Capital Properties",Movimientos!$B$1:$B$987,"&lt;="&amp;$B87)</f>
        <v>1412.08</v>
      </c>
      <c r="Q87" s="24">
        <f>SUMIFS('Saldos Iniciales'!$D:$D,'Saldos Iniciales'!$A:$A,"2515 Overbrook")+SUMIFS(Movimientos!$K$1:$K$987,Movimientos!$C$1:$C$987,"2515 Overbrook",Movimientos!$B$1:$B$987,"&lt;="&amp;$B87)</f>
        <v>22347.56999999996</v>
      </c>
      <c r="R87" s="24">
        <f>SUMIFS('Saldos Iniciales'!$D:$D,'Saldos Iniciales'!$A:$A,"112 Florida Ave")+SUMIFS(Movimientos!$K$1:$K$987,Movimientos!$C$1:$C$987,"112 Florida Ave",Movimientos!$B$1:$B$987,"&lt;="&amp;$B87)</f>
        <v>18522.800000000003</v>
      </c>
      <c r="S87" s="24">
        <f>SUMIFS('Saldos Iniciales'!$D:$D,'Saldos Iniciales'!$A:$A,"3628 Thomas Ave")+SUMIFS(Movimientos!$K$1:$K$987,Movimientos!$C$1:$C$987,"3628 Thomas Ave",Movimientos!$B$1:$B$987,"&lt;="&amp;$B87)</f>
        <v>28485.559999999998</v>
      </c>
      <c r="T87" s="24">
        <f>SUMIFS('Saldos Iniciales'!$D:$D,'Saldos Iniciales'!$A:$A,"Green Harbor Trust")+SUMIFS(Movimientos!$K$1:$K$987,Movimientos!$C$1:$C$987,"Green Harbor Trust",Movimientos!$B$1:$B$987,"&lt;="&amp;$B87)</f>
        <v>345</v>
      </c>
      <c r="U87" s="24">
        <f>SUMIFS('Saldos Iniciales'!$D:$D,'Saldos Iniciales'!$A:$A,"Go Blue")+SUMIFS(Movimientos!$K$1:$K$987,Movimientos!$C$1:$C$987,"Go Blue",Movimientos!$B$1:$B$987,"&lt;="&amp;$B87)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Group")+SUMIFS(Movimientos!$K$1:$K$987,Movimientos!$C$1:$C$987,"CFT Group",Movimientos!$B$1:$B$987,"&lt;="&amp;$B88)</f>
        <v>2337084.0700000008</v>
      </c>
      <c r="D88" s="24">
        <f>SUMIFS('Saldos Iniciales'!$D:$D,'Saldos Iniciales'!$A:$A,"M1B")+SUMIFS(Movimientos!$K$1:$K$987,Movimientos!$C$1:$C$987,"M1B",Movimientos!$B$1:$B$987,"&lt;="&amp;$B88)</f>
        <v>73157.680000000168</v>
      </c>
      <c r="E88" s="24">
        <f>SUMIFS('Saldos Iniciales'!$D:$D,'Saldos Iniciales'!$A:$A,"Durand")+SUMIFS(Movimientos!$K$1:$K$987,Movimientos!$C$1:$C$987,"Durand",Movimientos!$B$1:$B$987,"&lt;="&amp;$B88)</f>
        <v>1669.89</v>
      </c>
      <c r="F88" s="24">
        <f>SUMIFS('Saldos Iniciales'!$D:$D,'Saldos Iniciales'!$A:$A,"A&amp;M Imports")+SUMIFS(Movimientos!$K$1:$K$987,Movimientos!$C$1:$C$987,"A&amp;M Imports",Movimientos!$B$1:$B$987,"&lt;="&amp;$B88)</f>
        <v>873784.44999999972</v>
      </c>
      <c r="G88" s="24">
        <f>SUMIFS('Saldos Iniciales'!$D:$D,'Saldos Iniciales'!$A:$A,"SSP Capital")+SUMIFS(Movimientos!$K$1:$K$987,Movimientos!$C$1:$C$987,"SSP Capital",Movimientos!$B$1:$B$987,"&lt;="&amp;$B88)</f>
        <v>2037119.9899999995</v>
      </c>
      <c r="H88" s="24">
        <f>SUMIFS('Saldos Iniciales'!$D:$D,'Saldos Iniciales'!$A:$A,"Cross Family Trust")+SUMIFS(Movimientos!$K$1:$K$987,Movimientos!$C$1:$C$987,"Cross Family Trust",Movimientos!$B$1:$B$987,"&lt;="&amp;$B88)</f>
        <v>200496.38</v>
      </c>
      <c r="I88" s="24">
        <f>SUMIFS('Saldos Iniciales'!$D:$D,'Saldos Iniciales'!$A:$A,"Cross Security Trust")+SUMIFS(Movimientos!$K$1:$K$987,Movimientos!$C$1:$C$987,"Cross Security Trust",Movimientos!$B$1:$B$987,"&lt;="&amp;$B88)</f>
        <v>88090.37</v>
      </c>
      <c r="J88" s="24">
        <f>SUMIFS('Saldos Iniciales'!$D:$D,'Saldos Iniciales'!$A:$A,"Electrama")+SUMIFS(Movimientos!$K$1:$K$987,Movimientos!$C$1:$C$987,"Electrama",Movimientos!$B$1:$B$987,"&lt;="&amp;$B88)</f>
        <v>14580.45</v>
      </c>
      <c r="K88" s="24">
        <f>SUMIFS('Saldos Iniciales'!$D:$D,'Saldos Iniciales'!$A:$A,"Sacred Valley Capital")+SUMIFS(Movimientos!$K$1:$K$987,Movimientos!$C$1:$C$987,"Sacred Valley Capital",Movimientos!$B$1:$B$987,"&lt;="&amp;$B88)</f>
        <v>54.400000000000006</v>
      </c>
      <c r="L88" s="24">
        <f>SUMIFS('Saldos Iniciales'!$D:$D,'Saldos Iniciales'!$A:$A,"YWC Capital")+SUMIFS(Movimientos!$K$1:$K$987,Movimientos!$C$1:$C$987,"YWC Capital",Movimientos!$B$1:$B$987,"&lt;="&amp;$B88)</f>
        <v>2207.8200000000002</v>
      </c>
      <c r="M88" s="24">
        <f>SUMIFS('Saldos Iniciales'!$D:$D,'Saldos Iniciales'!$A:$A,"Soweto")+SUMIFS(Movimientos!$K$1:$K$987,Movimientos!$C$1:$C$987,"Soweto",Movimientos!$B$1:$B$987,"&lt;="&amp;$B88)</f>
        <v>1454589.72</v>
      </c>
      <c r="N88" s="24">
        <f>SUMIFS('Saldos Iniciales'!$D:$D,'Saldos Iniciales'!$A:$A,"Green Stone Trust")+SUMIFS(Movimientos!$K$1:$K$987,Movimientos!$C$1:$C$987,"Green Stone Trust",Movimientos!$B$1:$B$987,"&lt;="&amp;$B88)</f>
        <v>1968.99</v>
      </c>
      <c r="O88" s="24">
        <f>SUMIFS('Saldos Iniciales'!$D:$D,'Saldos Iniciales'!$A:$A,"EC Auto")+SUMIFS(Movimientos!$K$1:$K$987,Movimientos!$C$1:$C$987,"EC Auto",Movimientos!$B$1:$B$987,"&lt;="&amp;$B88)</f>
        <v>901.34</v>
      </c>
      <c r="P88" s="24">
        <f>SUMIFS('Saldos Iniciales'!$D:$D,'Saldos Iniciales'!$A:$A,"Arbor Capital Properties")+SUMIFS(Movimientos!$K$1:$K$987,Movimientos!$C$1:$C$987,"Arbor Capital Properties",Movimientos!$B$1:$B$987,"&lt;="&amp;$B88)</f>
        <v>1412.08</v>
      </c>
      <c r="Q88" s="24">
        <f>SUMIFS('Saldos Iniciales'!$D:$D,'Saldos Iniciales'!$A:$A,"2515 Overbrook")+SUMIFS(Movimientos!$K$1:$K$987,Movimientos!$C$1:$C$987,"2515 Overbrook",Movimientos!$B$1:$B$987,"&lt;="&amp;$B88)</f>
        <v>22347.56999999996</v>
      </c>
      <c r="R88" s="24">
        <f>SUMIFS('Saldos Iniciales'!$D:$D,'Saldos Iniciales'!$A:$A,"112 Florida Ave")+SUMIFS(Movimientos!$K$1:$K$987,Movimientos!$C$1:$C$987,"112 Florida Ave",Movimientos!$B$1:$B$987,"&lt;="&amp;$B88)</f>
        <v>18522.800000000003</v>
      </c>
      <c r="S88" s="24">
        <f>SUMIFS('Saldos Iniciales'!$D:$D,'Saldos Iniciales'!$A:$A,"3628 Thomas Ave")+SUMIFS(Movimientos!$K$1:$K$987,Movimientos!$C$1:$C$987,"3628 Thomas Ave",Movimientos!$B$1:$B$987,"&lt;="&amp;$B88)</f>
        <v>28485.559999999998</v>
      </c>
      <c r="T88" s="24">
        <f>SUMIFS('Saldos Iniciales'!$D:$D,'Saldos Iniciales'!$A:$A,"Green Harbor Trust")+SUMIFS(Movimientos!$K$1:$K$987,Movimientos!$C$1:$C$987,"Green Harbor Trust",Movimientos!$B$1:$B$987,"&lt;="&amp;$B88)</f>
        <v>345</v>
      </c>
      <c r="U88" s="24">
        <f>SUMIFS('Saldos Iniciales'!$D:$D,'Saldos Iniciales'!$A:$A,"Go Blue")+SUMIFS(Movimientos!$K$1:$K$987,Movimientos!$C$1:$C$987,"Go Blue",Movimientos!$B$1:$B$987,"&lt;="&amp;$B88)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Group")+SUMIFS(Movimientos!$K$1:$K$987,Movimientos!$C$1:$C$987,"CFT Group",Movimientos!$B$1:$B$987,"&lt;="&amp;$B89)</f>
        <v>2337084.0700000008</v>
      </c>
      <c r="D89" s="24">
        <f>SUMIFS('Saldos Iniciales'!$D:$D,'Saldos Iniciales'!$A:$A,"M1B")+SUMIFS(Movimientos!$K$1:$K$987,Movimientos!$C$1:$C$987,"M1B",Movimientos!$B$1:$B$987,"&lt;="&amp;$B89)</f>
        <v>73157.680000000168</v>
      </c>
      <c r="E89" s="24">
        <f>SUMIFS('Saldos Iniciales'!$D:$D,'Saldos Iniciales'!$A:$A,"Durand")+SUMIFS(Movimientos!$K$1:$K$987,Movimientos!$C$1:$C$987,"Durand",Movimientos!$B$1:$B$987,"&lt;="&amp;$B89)</f>
        <v>1669.89</v>
      </c>
      <c r="F89" s="24">
        <f>SUMIFS('Saldos Iniciales'!$D:$D,'Saldos Iniciales'!$A:$A,"A&amp;M Imports")+SUMIFS(Movimientos!$K$1:$K$987,Movimientos!$C$1:$C$987,"A&amp;M Imports",Movimientos!$B$1:$B$987,"&lt;="&amp;$B89)</f>
        <v>1223784.4499999997</v>
      </c>
      <c r="G89" s="24">
        <f>SUMIFS('Saldos Iniciales'!$D:$D,'Saldos Iniciales'!$A:$A,"SSP Capital")+SUMIFS(Movimientos!$K$1:$K$987,Movimientos!$C$1:$C$987,"SSP Capital",Movimientos!$B$1:$B$987,"&lt;="&amp;$B89)</f>
        <v>2037119.9899999995</v>
      </c>
      <c r="H89" s="24">
        <f>SUMIFS('Saldos Iniciales'!$D:$D,'Saldos Iniciales'!$A:$A,"Cross Family Trust")+SUMIFS(Movimientos!$K$1:$K$987,Movimientos!$C$1:$C$987,"Cross Family Trust",Movimientos!$B$1:$B$987,"&lt;="&amp;$B89)</f>
        <v>190496.38</v>
      </c>
      <c r="I89" s="24">
        <f>SUMIFS('Saldos Iniciales'!$D:$D,'Saldos Iniciales'!$A:$A,"Cross Security Trust")+SUMIFS(Movimientos!$K$1:$K$987,Movimientos!$C$1:$C$987,"Cross Security Trust",Movimientos!$B$1:$B$987,"&lt;="&amp;$B89)</f>
        <v>88090.37</v>
      </c>
      <c r="J89" s="24">
        <f>SUMIFS('Saldos Iniciales'!$D:$D,'Saldos Iniciales'!$A:$A,"Electrama")+SUMIFS(Movimientos!$K$1:$K$987,Movimientos!$C$1:$C$987,"Electrama",Movimientos!$B$1:$B$987,"&lt;="&amp;$B89)</f>
        <v>14580.45</v>
      </c>
      <c r="K89" s="24">
        <f>SUMIFS('Saldos Iniciales'!$D:$D,'Saldos Iniciales'!$A:$A,"Sacred Valley Capital")+SUMIFS(Movimientos!$K$1:$K$987,Movimientos!$C$1:$C$987,"Sacred Valley Capital",Movimientos!$B$1:$B$987,"&lt;="&amp;$B89)</f>
        <v>54.400000000000006</v>
      </c>
      <c r="L89" s="24">
        <f>SUMIFS('Saldos Iniciales'!$D:$D,'Saldos Iniciales'!$A:$A,"YWC Capital")+SUMIFS(Movimientos!$K$1:$K$987,Movimientos!$C$1:$C$987,"YWC Capital",Movimientos!$B$1:$B$987,"&lt;="&amp;$B89)</f>
        <v>2207.8200000000002</v>
      </c>
      <c r="M89" s="24">
        <f>SUMIFS('Saldos Iniciales'!$D:$D,'Saldos Iniciales'!$A:$A,"Soweto")+SUMIFS(Movimientos!$K$1:$K$987,Movimientos!$C$1:$C$987,"Soweto",Movimientos!$B$1:$B$987,"&lt;="&amp;$B89)</f>
        <v>1454589.72</v>
      </c>
      <c r="N89" s="24">
        <f>SUMIFS('Saldos Iniciales'!$D:$D,'Saldos Iniciales'!$A:$A,"Green Stone Trust")+SUMIFS(Movimientos!$K$1:$K$987,Movimientos!$C$1:$C$987,"Green Stone Trust",Movimientos!$B$1:$B$987,"&lt;="&amp;$B89)</f>
        <v>1968.99</v>
      </c>
      <c r="O89" s="24">
        <f>SUMIFS('Saldos Iniciales'!$D:$D,'Saldos Iniciales'!$A:$A,"EC Auto")+SUMIFS(Movimientos!$K$1:$K$987,Movimientos!$C$1:$C$987,"EC Auto",Movimientos!$B$1:$B$987,"&lt;="&amp;$B89)</f>
        <v>901.34</v>
      </c>
      <c r="P89" s="24">
        <f>SUMIFS('Saldos Iniciales'!$D:$D,'Saldos Iniciales'!$A:$A,"Arbor Capital Properties")+SUMIFS(Movimientos!$K$1:$K$987,Movimientos!$C$1:$C$987,"Arbor Capital Properties",Movimientos!$B$1:$B$987,"&lt;="&amp;$B89)</f>
        <v>1412.08</v>
      </c>
      <c r="Q89" s="24">
        <f>SUMIFS('Saldos Iniciales'!$D:$D,'Saldos Iniciales'!$A:$A,"2515 Overbrook")+SUMIFS(Movimientos!$K$1:$K$987,Movimientos!$C$1:$C$987,"2515 Overbrook",Movimientos!$B$1:$B$987,"&lt;="&amp;$B89)</f>
        <v>22347.56999999996</v>
      </c>
      <c r="R89" s="24">
        <f>SUMIFS('Saldos Iniciales'!$D:$D,'Saldos Iniciales'!$A:$A,"112 Florida Ave")+SUMIFS(Movimientos!$K$1:$K$987,Movimientos!$C$1:$C$987,"112 Florida Ave",Movimientos!$B$1:$B$987,"&lt;="&amp;$B89)</f>
        <v>18522.800000000003</v>
      </c>
      <c r="S89" s="24">
        <f>SUMIFS('Saldos Iniciales'!$D:$D,'Saldos Iniciales'!$A:$A,"3628 Thomas Ave")+SUMIFS(Movimientos!$K$1:$K$987,Movimientos!$C$1:$C$987,"3628 Thomas Ave",Movimientos!$B$1:$B$987,"&lt;="&amp;$B89)</f>
        <v>28485.559999999998</v>
      </c>
      <c r="T89" s="24">
        <f>SUMIFS('Saldos Iniciales'!$D:$D,'Saldos Iniciales'!$A:$A,"Green Harbor Trust")+SUMIFS(Movimientos!$K$1:$K$987,Movimientos!$C$1:$C$987,"Green Harbor Trust",Movimientos!$B$1:$B$987,"&lt;="&amp;$B89)</f>
        <v>345</v>
      </c>
      <c r="U89" s="24">
        <f>SUMIFS('Saldos Iniciales'!$D:$D,'Saldos Iniciales'!$A:$A,"Go Blue")+SUMIFS(Movimientos!$K$1:$K$987,Movimientos!$C$1:$C$987,"Go Blue",Movimientos!$B$1:$B$987,"&lt;="&amp;$B89)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Group")+SUMIFS(Movimientos!$K$1:$K$987,Movimientos!$C$1:$C$987,"CFT Group",Movimientos!$B$1:$B$987,"&lt;="&amp;$B90)</f>
        <v>2337084.0700000008</v>
      </c>
      <c r="D90" s="24">
        <f>SUMIFS('Saldos Iniciales'!$D:$D,'Saldos Iniciales'!$A:$A,"M1B")+SUMIFS(Movimientos!$K$1:$K$987,Movimientos!$C$1:$C$987,"M1B",Movimientos!$B$1:$B$987,"&lt;="&amp;$B90)</f>
        <v>80574.12000000017</v>
      </c>
      <c r="E90" s="24">
        <f>SUMIFS('Saldos Iniciales'!$D:$D,'Saldos Iniciales'!$A:$A,"Durand")+SUMIFS(Movimientos!$K$1:$K$987,Movimientos!$C$1:$C$987,"Durand",Movimientos!$B$1:$B$987,"&lt;="&amp;$B90)</f>
        <v>1669.89</v>
      </c>
      <c r="F90" s="24">
        <f>SUMIFS('Saldos Iniciales'!$D:$D,'Saldos Iniciales'!$A:$A,"A&amp;M Imports")+SUMIFS(Movimientos!$K$1:$K$987,Movimientos!$C$1:$C$987,"A&amp;M Imports",Movimientos!$B$1:$B$987,"&lt;="&amp;$B90)</f>
        <v>1246676.4999999998</v>
      </c>
      <c r="G90" s="24">
        <f>SUMIFS('Saldos Iniciales'!$D:$D,'Saldos Iniciales'!$A:$A,"SSP Capital")+SUMIFS(Movimientos!$K$1:$K$987,Movimientos!$C$1:$C$987,"SSP Capital",Movimientos!$B$1:$B$987,"&lt;="&amp;$B90)</f>
        <v>1872239.2199999997</v>
      </c>
      <c r="H90" s="24">
        <f>SUMIFS('Saldos Iniciales'!$D:$D,'Saldos Iniciales'!$A:$A,"Cross Family Trust")+SUMIFS(Movimientos!$K$1:$K$987,Movimientos!$C$1:$C$987,"Cross Family Trust",Movimientos!$B$1:$B$987,"&lt;="&amp;$B90)</f>
        <v>190496.38</v>
      </c>
      <c r="I90" s="24">
        <f>SUMIFS('Saldos Iniciales'!$D:$D,'Saldos Iniciales'!$A:$A,"Cross Security Trust")+SUMIFS(Movimientos!$K$1:$K$987,Movimientos!$C$1:$C$987,"Cross Security Trust",Movimientos!$B$1:$B$987,"&lt;="&amp;$B90)</f>
        <v>88090.37</v>
      </c>
      <c r="J90" s="24">
        <f>SUMIFS('Saldos Iniciales'!$D:$D,'Saldos Iniciales'!$A:$A,"Electrama")+SUMIFS(Movimientos!$K$1:$K$987,Movimientos!$C$1:$C$987,"Electrama",Movimientos!$B$1:$B$987,"&lt;="&amp;$B90)</f>
        <v>14580.45</v>
      </c>
      <c r="K90" s="24">
        <f>SUMIFS('Saldos Iniciales'!$D:$D,'Saldos Iniciales'!$A:$A,"Sacred Valley Capital")+SUMIFS(Movimientos!$K$1:$K$987,Movimientos!$C$1:$C$987,"Sacred Valley Capital",Movimientos!$B$1:$B$987,"&lt;="&amp;$B90)</f>
        <v>54.400000000000006</v>
      </c>
      <c r="L90" s="24">
        <f>SUMIFS('Saldos Iniciales'!$D:$D,'Saldos Iniciales'!$A:$A,"YWC Capital")+SUMIFS(Movimientos!$K$1:$K$987,Movimientos!$C$1:$C$987,"YWC Capital",Movimientos!$B$1:$B$987,"&lt;="&amp;$B90)</f>
        <v>2207.8200000000002</v>
      </c>
      <c r="M90" s="24">
        <f>SUMIFS('Saldos Iniciales'!$D:$D,'Saldos Iniciales'!$A:$A,"Soweto")+SUMIFS(Movimientos!$K$1:$K$987,Movimientos!$C$1:$C$987,"Soweto",Movimientos!$B$1:$B$987,"&lt;="&amp;$B90)</f>
        <v>1454589.72</v>
      </c>
      <c r="N90" s="24">
        <f>SUMIFS('Saldos Iniciales'!$D:$D,'Saldos Iniciales'!$A:$A,"Green Stone Trust")+SUMIFS(Movimientos!$K$1:$K$987,Movimientos!$C$1:$C$987,"Green Stone Trust",Movimientos!$B$1:$B$987,"&lt;="&amp;$B90)</f>
        <v>1968.99</v>
      </c>
      <c r="O90" s="24">
        <f>SUMIFS('Saldos Iniciales'!$D:$D,'Saldos Iniciales'!$A:$A,"EC Auto")+SUMIFS(Movimientos!$K$1:$K$987,Movimientos!$C$1:$C$987,"EC Auto",Movimientos!$B$1:$B$987,"&lt;="&amp;$B90)</f>
        <v>901.34</v>
      </c>
      <c r="P90" s="24">
        <f>SUMIFS('Saldos Iniciales'!$D:$D,'Saldos Iniciales'!$A:$A,"Arbor Capital Properties")+SUMIFS(Movimientos!$K$1:$K$987,Movimientos!$C$1:$C$987,"Arbor Capital Properties",Movimientos!$B$1:$B$987,"&lt;="&amp;$B90)</f>
        <v>1412.08</v>
      </c>
      <c r="Q90" s="24">
        <f>SUMIFS('Saldos Iniciales'!$D:$D,'Saldos Iniciales'!$A:$A,"2515 Overbrook")+SUMIFS(Movimientos!$K$1:$K$987,Movimientos!$C$1:$C$987,"2515 Overbrook",Movimientos!$B$1:$B$987,"&lt;="&amp;$B90)</f>
        <v>22347.56999999996</v>
      </c>
      <c r="R90" s="24">
        <f>SUMIFS('Saldos Iniciales'!$D:$D,'Saldos Iniciales'!$A:$A,"112 Florida Ave")+SUMIFS(Movimientos!$K$1:$K$987,Movimientos!$C$1:$C$987,"112 Florida Ave",Movimientos!$B$1:$B$987,"&lt;="&amp;$B90)</f>
        <v>18522.800000000003</v>
      </c>
      <c r="S90" s="24">
        <f>SUMIFS('Saldos Iniciales'!$D:$D,'Saldos Iniciales'!$A:$A,"3628 Thomas Ave")+SUMIFS(Movimientos!$K$1:$K$987,Movimientos!$C$1:$C$987,"3628 Thomas Ave",Movimientos!$B$1:$B$987,"&lt;="&amp;$B90)</f>
        <v>28485.559999999998</v>
      </c>
      <c r="T90" s="24">
        <f>SUMIFS('Saldos Iniciales'!$D:$D,'Saldos Iniciales'!$A:$A,"Green Harbor Trust")+SUMIFS(Movimientos!$K$1:$K$987,Movimientos!$C$1:$C$987,"Green Harbor Trust",Movimientos!$B$1:$B$987,"&lt;="&amp;$B90)</f>
        <v>345</v>
      </c>
      <c r="U90" s="24">
        <f>SUMIFS('Saldos Iniciales'!$D:$D,'Saldos Iniciales'!$A:$A,"Go Blue")+SUMIFS(Movimientos!$K$1:$K$987,Movimientos!$C$1:$C$987,"Go Blue",Movimientos!$B$1:$B$987,"&lt;="&amp;$B90)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Group")+SUMIFS(Movimientos!$K$1:$K$987,Movimientos!$C$1:$C$987,"CFT Group",Movimientos!$B$1:$B$987,"&lt;="&amp;$B91)</f>
        <v>2351872.4600000004</v>
      </c>
      <c r="D91" s="24">
        <f>SUMIFS('Saldos Iniciales'!$D:$D,'Saldos Iniciales'!$A:$A,"M1B")+SUMIFS(Movimientos!$K$1:$K$987,Movimientos!$C$1:$C$987,"M1B",Movimientos!$B$1:$B$987,"&lt;="&amp;$B91)</f>
        <v>83211.250000000175</v>
      </c>
      <c r="E91" s="24">
        <f>SUMIFS('Saldos Iniciales'!$D:$D,'Saldos Iniciales'!$A:$A,"Durand")+SUMIFS(Movimientos!$K$1:$K$987,Movimientos!$C$1:$C$987,"Durand",Movimientos!$B$1:$B$987,"&lt;="&amp;$B91)</f>
        <v>1669.89</v>
      </c>
      <c r="F91" s="24">
        <f>SUMIFS('Saldos Iniciales'!$D:$D,'Saldos Iniciales'!$A:$A,"A&amp;M Imports")+SUMIFS(Movimientos!$K$1:$K$987,Movimientos!$C$1:$C$987,"A&amp;M Imports",Movimientos!$B$1:$B$987,"&lt;="&amp;$B91)</f>
        <v>1265674.3599999999</v>
      </c>
      <c r="G91" s="24">
        <f>SUMIFS('Saldos Iniciales'!$D:$D,'Saldos Iniciales'!$A:$A,"SSP Capital")+SUMIFS(Movimientos!$K$1:$K$987,Movimientos!$C$1:$C$987,"SSP Capital",Movimientos!$B$1:$B$987,"&lt;="&amp;$B91)</f>
        <v>1872239.2199999997</v>
      </c>
      <c r="H91" s="24">
        <f>SUMIFS('Saldos Iniciales'!$D:$D,'Saldos Iniciales'!$A:$A,"Cross Family Trust")+SUMIFS(Movimientos!$K$1:$K$987,Movimientos!$C$1:$C$987,"Cross Family Trust",Movimientos!$B$1:$B$987,"&lt;="&amp;$B91)</f>
        <v>190496.38</v>
      </c>
      <c r="I91" s="24">
        <f>SUMIFS('Saldos Iniciales'!$D:$D,'Saldos Iniciales'!$A:$A,"Cross Security Trust")+SUMIFS(Movimientos!$K$1:$K$987,Movimientos!$C$1:$C$987,"Cross Security Trust",Movimientos!$B$1:$B$987,"&lt;="&amp;$B91)</f>
        <v>88090.37</v>
      </c>
      <c r="J91" s="24">
        <f>SUMIFS('Saldos Iniciales'!$D:$D,'Saldos Iniciales'!$A:$A,"Electrama")+SUMIFS(Movimientos!$K$1:$K$987,Movimientos!$C$1:$C$987,"Electrama",Movimientos!$B$1:$B$987,"&lt;="&amp;$B91)</f>
        <v>14580.45</v>
      </c>
      <c r="K91" s="24">
        <f>SUMIFS('Saldos Iniciales'!$D:$D,'Saldos Iniciales'!$A:$A,"Sacred Valley Capital")+SUMIFS(Movimientos!$K$1:$K$987,Movimientos!$C$1:$C$987,"Sacred Valley Capital",Movimientos!$B$1:$B$987,"&lt;="&amp;$B91)</f>
        <v>54.400000000000006</v>
      </c>
      <c r="L91" s="24">
        <f>SUMIFS('Saldos Iniciales'!$D:$D,'Saldos Iniciales'!$A:$A,"YWC Capital")+SUMIFS(Movimientos!$K$1:$K$987,Movimientos!$C$1:$C$987,"YWC Capital",Movimientos!$B$1:$B$987,"&lt;="&amp;$B91)</f>
        <v>2207.8200000000002</v>
      </c>
      <c r="M91" s="24">
        <f>SUMIFS('Saldos Iniciales'!$D:$D,'Saldos Iniciales'!$A:$A,"Soweto")+SUMIFS(Movimientos!$K$1:$K$987,Movimientos!$C$1:$C$987,"Soweto",Movimientos!$B$1:$B$987,"&lt;="&amp;$B91)</f>
        <v>1454589.72</v>
      </c>
      <c r="N91" s="24">
        <f>SUMIFS('Saldos Iniciales'!$D:$D,'Saldos Iniciales'!$A:$A,"Green Stone Trust")+SUMIFS(Movimientos!$K$1:$K$987,Movimientos!$C$1:$C$987,"Green Stone Trust",Movimientos!$B$1:$B$987,"&lt;="&amp;$B91)</f>
        <v>1968.99</v>
      </c>
      <c r="O91" s="24">
        <f>SUMIFS('Saldos Iniciales'!$D:$D,'Saldos Iniciales'!$A:$A,"EC Auto")+SUMIFS(Movimientos!$K$1:$K$987,Movimientos!$C$1:$C$987,"EC Auto",Movimientos!$B$1:$B$987,"&lt;="&amp;$B91)</f>
        <v>901.34</v>
      </c>
      <c r="P91" s="24">
        <f>SUMIFS('Saldos Iniciales'!$D:$D,'Saldos Iniciales'!$A:$A,"Arbor Capital Properties")+SUMIFS(Movimientos!$K$1:$K$987,Movimientos!$C$1:$C$987,"Arbor Capital Properties",Movimientos!$B$1:$B$987,"&lt;="&amp;$B91)</f>
        <v>1412.08</v>
      </c>
      <c r="Q91" s="24">
        <f>SUMIFS('Saldos Iniciales'!$D:$D,'Saldos Iniciales'!$A:$A,"2515 Overbrook")+SUMIFS(Movimientos!$K$1:$K$987,Movimientos!$C$1:$C$987,"2515 Overbrook",Movimientos!$B$1:$B$987,"&lt;="&amp;$B91)</f>
        <v>22347.56999999996</v>
      </c>
      <c r="R91" s="24">
        <f>SUMIFS('Saldos Iniciales'!$D:$D,'Saldos Iniciales'!$A:$A,"112 Florida Ave")+SUMIFS(Movimientos!$K$1:$K$987,Movimientos!$C$1:$C$987,"112 Florida Ave",Movimientos!$B$1:$B$987,"&lt;="&amp;$B91)</f>
        <v>18522.800000000003</v>
      </c>
      <c r="S91" s="24">
        <f>SUMIFS('Saldos Iniciales'!$D:$D,'Saldos Iniciales'!$A:$A,"3628 Thomas Ave")+SUMIFS(Movimientos!$K$1:$K$987,Movimientos!$C$1:$C$987,"3628 Thomas Ave",Movimientos!$B$1:$B$987,"&lt;="&amp;$B91)</f>
        <v>28485.559999999998</v>
      </c>
      <c r="T91" s="24">
        <f>SUMIFS('Saldos Iniciales'!$D:$D,'Saldos Iniciales'!$A:$A,"Green Harbor Trust")+SUMIFS(Movimientos!$K$1:$K$987,Movimientos!$C$1:$C$987,"Green Harbor Trust",Movimientos!$B$1:$B$987,"&lt;="&amp;$B91)</f>
        <v>345</v>
      </c>
      <c r="U91" s="24">
        <f>SUMIFS('Saldos Iniciales'!$D:$D,'Saldos Iniciales'!$A:$A,"Go Blue")+SUMIFS(Movimientos!$K$1:$K$987,Movimientos!$C$1:$C$987,"Go Blue",Movimientos!$B$1:$B$987,"&lt;="&amp;$B91)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Group")+SUMIFS(Movimientos!$K$1:$K$987,Movimientos!$C$1:$C$987,"CFT Group",Movimientos!$B$1:$B$987,"&lt;="&amp;$B92)</f>
        <v>2551684.0300000003</v>
      </c>
      <c r="D92" s="24">
        <f>SUMIFS('Saldos Iniciales'!$D:$D,'Saldos Iniciales'!$A:$A,"M1B")+SUMIFS(Movimientos!$K$1:$K$987,Movimientos!$C$1:$C$987,"M1B",Movimientos!$B$1:$B$987,"&lt;="&amp;$B92)</f>
        <v>83211.250000000175</v>
      </c>
      <c r="E92" s="24">
        <f>SUMIFS('Saldos Iniciales'!$D:$D,'Saldos Iniciales'!$A:$A,"Durand")+SUMIFS(Movimientos!$K$1:$K$987,Movimientos!$C$1:$C$987,"Durand",Movimientos!$B$1:$B$987,"&lt;="&amp;$B92)</f>
        <v>1669.89</v>
      </c>
      <c r="F92" s="24">
        <f>SUMIFS('Saldos Iniciales'!$D:$D,'Saldos Iniciales'!$A:$A,"A&amp;M Imports")+SUMIFS(Movimientos!$K$1:$K$987,Movimientos!$C$1:$C$987,"A&amp;M Imports",Movimientos!$B$1:$B$987,"&lt;="&amp;$B92)</f>
        <v>1289465.7999999998</v>
      </c>
      <c r="G92" s="24">
        <f>SUMIFS('Saldos Iniciales'!$D:$D,'Saldos Iniciales'!$A:$A,"SSP Capital")+SUMIFS(Movimientos!$K$1:$K$987,Movimientos!$C$1:$C$987,"SSP Capital",Movimientos!$B$1:$B$987,"&lt;="&amp;$B92)</f>
        <v>1872235.9699999997</v>
      </c>
      <c r="H92" s="24">
        <f>SUMIFS('Saldos Iniciales'!$D:$D,'Saldos Iniciales'!$A:$A,"Cross Family Trust")+SUMIFS(Movimientos!$K$1:$K$987,Movimientos!$C$1:$C$987,"Cross Family Trust",Movimientos!$B$1:$B$987,"&lt;="&amp;$B92)</f>
        <v>190496.38</v>
      </c>
      <c r="I92" s="24">
        <f>SUMIFS('Saldos Iniciales'!$D:$D,'Saldos Iniciales'!$A:$A,"Cross Security Trust")+SUMIFS(Movimientos!$K$1:$K$987,Movimientos!$C$1:$C$987,"Cross Security Trust",Movimientos!$B$1:$B$987,"&lt;="&amp;$B92)</f>
        <v>88090.37</v>
      </c>
      <c r="J92" s="24">
        <f>SUMIFS('Saldos Iniciales'!$D:$D,'Saldos Iniciales'!$A:$A,"Electrama")+SUMIFS(Movimientos!$K$1:$K$987,Movimientos!$C$1:$C$987,"Electrama",Movimientos!$B$1:$B$987,"&lt;="&amp;$B92)</f>
        <v>14580.45</v>
      </c>
      <c r="K92" s="24">
        <f>SUMIFS('Saldos Iniciales'!$D:$D,'Saldos Iniciales'!$A:$A,"Sacred Valley Capital")+SUMIFS(Movimientos!$K$1:$K$987,Movimientos!$C$1:$C$987,"Sacred Valley Capital",Movimientos!$B$1:$B$987,"&lt;="&amp;$B92)</f>
        <v>54.400000000000006</v>
      </c>
      <c r="L92" s="24">
        <f>SUMIFS('Saldos Iniciales'!$D:$D,'Saldos Iniciales'!$A:$A,"YWC Capital")+SUMIFS(Movimientos!$K$1:$K$987,Movimientos!$C$1:$C$987,"YWC Capital",Movimientos!$B$1:$B$987,"&lt;="&amp;$B92)</f>
        <v>2207.8200000000002</v>
      </c>
      <c r="M92" s="24">
        <f>SUMIFS('Saldos Iniciales'!$D:$D,'Saldos Iniciales'!$A:$A,"Soweto")+SUMIFS(Movimientos!$K$1:$K$987,Movimientos!$C$1:$C$987,"Soweto",Movimientos!$B$1:$B$987,"&lt;="&amp;$B92)</f>
        <v>1454589.72</v>
      </c>
      <c r="N92" s="24">
        <f>SUMIFS('Saldos Iniciales'!$D:$D,'Saldos Iniciales'!$A:$A,"Green Stone Trust")+SUMIFS(Movimientos!$K$1:$K$987,Movimientos!$C$1:$C$987,"Green Stone Trust",Movimientos!$B$1:$B$987,"&lt;="&amp;$B92)</f>
        <v>1968.99</v>
      </c>
      <c r="O92" s="24">
        <f>SUMIFS('Saldos Iniciales'!$D:$D,'Saldos Iniciales'!$A:$A,"EC Auto")+SUMIFS(Movimientos!$K$1:$K$987,Movimientos!$C$1:$C$987,"EC Auto",Movimientos!$B$1:$B$987,"&lt;="&amp;$B92)</f>
        <v>901.34</v>
      </c>
      <c r="P92" s="24">
        <f>SUMIFS('Saldos Iniciales'!$D:$D,'Saldos Iniciales'!$A:$A,"Arbor Capital Properties")+SUMIFS(Movimientos!$K$1:$K$987,Movimientos!$C$1:$C$987,"Arbor Capital Properties",Movimientos!$B$1:$B$987,"&lt;="&amp;$B92)</f>
        <v>1412.08</v>
      </c>
      <c r="Q92" s="24">
        <f>SUMIFS('Saldos Iniciales'!$D:$D,'Saldos Iniciales'!$A:$A,"2515 Overbrook")+SUMIFS(Movimientos!$K$1:$K$987,Movimientos!$C$1:$C$987,"2515 Overbrook",Movimientos!$B$1:$B$987,"&lt;="&amp;$B92)</f>
        <v>22347.56999999996</v>
      </c>
      <c r="R92" s="24">
        <f>SUMIFS('Saldos Iniciales'!$D:$D,'Saldos Iniciales'!$A:$A,"112 Florida Ave")+SUMIFS(Movimientos!$K$1:$K$987,Movimientos!$C$1:$C$987,"112 Florida Ave",Movimientos!$B$1:$B$987,"&lt;="&amp;$B92)</f>
        <v>18522.800000000003</v>
      </c>
      <c r="S92" s="24">
        <f>SUMIFS('Saldos Iniciales'!$D:$D,'Saldos Iniciales'!$A:$A,"3628 Thomas Ave")+SUMIFS(Movimientos!$K$1:$K$987,Movimientos!$C$1:$C$987,"3628 Thomas Ave",Movimientos!$B$1:$B$987,"&lt;="&amp;$B92)</f>
        <v>28485.559999999998</v>
      </c>
      <c r="T92" s="24">
        <f>SUMIFS('Saldos Iniciales'!$D:$D,'Saldos Iniciales'!$A:$A,"Green Harbor Trust")+SUMIFS(Movimientos!$K$1:$K$987,Movimientos!$C$1:$C$987,"Green Harbor Trust",Movimientos!$B$1:$B$987,"&lt;="&amp;$B92)</f>
        <v>345</v>
      </c>
      <c r="U92" s="24">
        <f>SUMIFS('Saldos Iniciales'!$D:$D,'Saldos Iniciales'!$A:$A,"Go Blue")+SUMIFS(Movimientos!$K$1:$K$987,Movimientos!$C$1:$C$987,"Go Blue",Movimientos!$B$1:$B$987,"&lt;="&amp;$B92)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Group")+SUMIFS(Movimientos!$K$1:$K$987,Movimientos!$C$1:$C$987,"CFT Group",Movimientos!$B$1:$B$987,"&lt;="&amp;$B93)</f>
        <v>2549365.41</v>
      </c>
      <c r="D93" s="24">
        <f>SUMIFS('Saldos Iniciales'!$D:$D,'Saldos Iniciales'!$A:$A,"M1B")+SUMIFS(Movimientos!$K$1:$K$987,Movimientos!$C$1:$C$987,"M1B",Movimientos!$B$1:$B$987,"&lt;="&amp;$B93)</f>
        <v>83211.250000000175</v>
      </c>
      <c r="E93" s="24">
        <f>SUMIFS('Saldos Iniciales'!$D:$D,'Saldos Iniciales'!$A:$A,"Durand")+SUMIFS(Movimientos!$K$1:$K$987,Movimientos!$C$1:$C$987,"Durand",Movimientos!$B$1:$B$987,"&lt;="&amp;$B93)</f>
        <v>1669.89</v>
      </c>
      <c r="F93" s="24">
        <f>SUMIFS('Saldos Iniciales'!$D:$D,'Saldos Iniciales'!$A:$A,"A&amp;M Imports")+SUMIFS(Movimientos!$K$1:$K$987,Movimientos!$C$1:$C$987,"A&amp;M Imports",Movimientos!$B$1:$B$987,"&lt;="&amp;$B93)</f>
        <v>1289465.7999999998</v>
      </c>
      <c r="G93" s="24">
        <f>SUMIFS('Saldos Iniciales'!$D:$D,'Saldos Iniciales'!$A:$A,"SSP Capital")+SUMIFS(Movimientos!$K$1:$K$987,Movimientos!$C$1:$C$987,"SSP Capital",Movimientos!$B$1:$B$987,"&lt;="&amp;$B93)</f>
        <v>1528719.2399999995</v>
      </c>
      <c r="H93" s="24">
        <f>SUMIFS('Saldos Iniciales'!$D:$D,'Saldos Iniciales'!$A:$A,"Cross Family Trust")+SUMIFS(Movimientos!$K$1:$K$987,Movimientos!$C$1:$C$987,"Cross Family Trust",Movimientos!$B$1:$B$987,"&lt;="&amp;$B93)</f>
        <v>190496.38</v>
      </c>
      <c r="I93" s="24">
        <f>SUMIFS('Saldos Iniciales'!$D:$D,'Saldos Iniciales'!$A:$A,"Cross Security Trust")+SUMIFS(Movimientos!$K$1:$K$987,Movimientos!$C$1:$C$987,"Cross Security Trust",Movimientos!$B$1:$B$987,"&lt;="&amp;$B93)</f>
        <v>88090.37</v>
      </c>
      <c r="J93" s="24">
        <f>SUMIFS('Saldos Iniciales'!$D:$D,'Saldos Iniciales'!$A:$A,"Electrama")+SUMIFS(Movimientos!$K$1:$K$987,Movimientos!$C$1:$C$987,"Electrama",Movimientos!$B$1:$B$987,"&lt;="&amp;$B93)</f>
        <v>14580.45</v>
      </c>
      <c r="K93" s="24">
        <f>SUMIFS('Saldos Iniciales'!$D:$D,'Saldos Iniciales'!$A:$A,"Sacred Valley Capital")+SUMIFS(Movimientos!$K$1:$K$987,Movimientos!$C$1:$C$987,"Sacred Valley Capital",Movimientos!$B$1:$B$987,"&lt;="&amp;$B93)</f>
        <v>54.400000000000006</v>
      </c>
      <c r="L93" s="24">
        <f>SUMIFS('Saldos Iniciales'!$D:$D,'Saldos Iniciales'!$A:$A,"YWC Capital")+SUMIFS(Movimientos!$K$1:$K$987,Movimientos!$C$1:$C$987,"YWC Capital",Movimientos!$B$1:$B$987,"&lt;="&amp;$B93)</f>
        <v>2207.8200000000002</v>
      </c>
      <c r="M93" s="24">
        <f>SUMIFS('Saldos Iniciales'!$D:$D,'Saldos Iniciales'!$A:$A,"Soweto")+SUMIFS(Movimientos!$K$1:$K$987,Movimientos!$C$1:$C$987,"Soweto",Movimientos!$B$1:$B$987,"&lt;="&amp;$B93)</f>
        <v>1454589.72</v>
      </c>
      <c r="N93" s="24">
        <f>SUMIFS('Saldos Iniciales'!$D:$D,'Saldos Iniciales'!$A:$A,"Green Stone Trust")+SUMIFS(Movimientos!$K$1:$K$987,Movimientos!$C$1:$C$987,"Green Stone Trust",Movimientos!$B$1:$B$987,"&lt;="&amp;$B93)</f>
        <v>1968.99</v>
      </c>
      <c r="O93" s="24">
        <f>SUMIFS('Saldos Iniciales'!$D:$D,'Saldos Iniciales'!$A:$A,"EC Auto")+SUMIFS(Movimientos!$K$1:$K$987,Movimientos!$C$1:$C$987,"EC Auto",Movimientos!$B$1:$B$987,"&lt;="&amp;$B93)</f>
        <v>901.34</v>
      </c>
      <c r="P93" s="24">
        <f>SUMIFS('Saldos Iniciales'!$D:$D,'Saldos Iniciales'!$A:$A,"Arbor Capital Properties")+SUMIFS(Movimientos!$K$1:$K$987,Movimientos!$C$1:$C$987,"Arbor Capital Properties",Movimientos!$B$1:$B$987,"&lt;="&amp;$B93)</f>
        <v>1412.08</v>
      </c>
      <c r="Q93" s="24">
        <f>SUMIFS('Saldos Iniciales'!$D:$D,'Saldos Iniciales'!$A:$A,"2515 Overbrook")+SUMIFS(Movimientos!$K$1:$K$987,Movimientos!$C$1:$C$987,"2515 Overbrook",Movimientos!$B$1:$B$987,"&lt;="&amp;$B93)</f>
        <v>22347.56999999996</v>
      </c>
      <c r="R93" s="24">
        <f>SUMIFS('Saldos Iniciales'!$D:$D,'Saldos Iniciales'!$A:$A,"112 Florida Ave")+SUMIFS(Movimientos!$K$1:$K$987,Movimientos!$C$1:$C$987,"112 Florida Ave",Movimientos!$B$1:$B$987,"&lt;="&amp;$B93)</f>
        <v>18522.800000000003</v>
      </c>
      <c r="S93" s="24">
        <f>SUMIFS('Saldos Iniciales'!$D:$D,'Saldos Iniciales'!$A:$A,"3628 Thomas Ave")+SUMIFS(Movimientos!$K$1:$K$987,Movimientos!$C$1:$C$987,"3628 Thomas Ave",Movimientos!$B$1:$B$987,"&lt;="&amp;$B93)</f>
        <v>28485.559999999998</v>
      </c>
      <c r="T93" s="24">
        <f>SUMIFS('Saldos Iniciales'!$D:$D,'Saldos Iniciales'!$A:$A,"Green Harbor Trust")+SUMIFS(Movimientos!$K$1:$K$987,Movimientos!$C$1:$C$987,"Green Harbor Trust",Movimientos!$B$1:$B$987,"&lt;="&amp;$B93)</f>
        <v>345</v>
      </c>
      <c r="U93" s="24">
        <f>SUMIFS('Saldos Iniciales'!$D:$D,'Saldos Iniciales'!$A:$A,"Go Blue")+SUMIFS(Movimientos!$K$1:$K$987,Movimientos!$C$1:$C$987,"Go Blue",Movimientos!$B$1:$B$987,"&lt;="&amp;$B93)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Group")+SUMIFS(Movimientos!$K$1:$K$987,Movimientos!$C$1:$C$987,"CFT Group",Movimientos!$B$1:$B$987,"&lt;="&amp;$B94)</f>
        <v>2549365.41</v>
      </c>
      <c r="D94" s="24">
        <f>SUMIFS('Saldos Iniciales'!$D:$D,'Saldos Iniciales'!$A:$A,"M1B")+SUMIFS(Movimientos!$K$1:$K$987,Movimientos!$C$1:$C$987,"M1B",Movimientos!$B$1:$B$987,"&lt;="&amp;$B94)</f>
        <v>83211.250000000175</v>
      </c>
      <c r="E94" s="24">
        <f>SUMIFS('Saldos Iniciales'!$D:$D,'Saldos Iniciales'!$A:$A,"Durand")+SUMIFS(Movimientos!$K$1:$K$987,Movimientos!$C$1:$C$987,"Durand",Movimientos!$B$1:$B$987,"&lt;="&amp;$B94)</f>
        <v>1669.89</v>
      </c>
      <c r="F94" s="24">
        <f>SUMIFS('Saldos Iniciales'!$D:$D,'Saldos Iniciales'!$A:$A,"A&amp;M Imports")+SUMIFS(Movimientos!$K$1:$K$987,Movimientos!$C$1:$C$987,"A&amp;M Imports",Movimientos!$B$1:$B$987,"&lt;="&amp;$B94)</f>
        <v>1289465.7999999998</v>
      </c>
      <c r="G94" s="24">
        <f>SUMIFS('Saldos Iniciales'!$D:$D,'Saldos Iniciales'!$A:$A,"SSP Capital")+SUMIFS(Movimientos!$K$1:$K$987,Movimientos!$C$1:$C$987,"SSP Capital",Movimientos!$B$1:$B$987,"&lt;="&amp;$B94)</f>
        <v>1528719.2399999995</v>
      </c>
      <c r="H94" s="24">
        <f>SUMIFS('Saldos Iniciales'!$D:$D,'Saldos Iniciales'!$A:$A,"Cross Family Trust")+SUMIFS(Movimientos!$K$1:$K$987,Movimientos!$C$1:$C$987,"Cross Family Trust",Movimientos!$B$1:$B$987,"&lt;="&amp;$B94)</f>
        <v>190496.38</v>
      </c>
      <c r="I94" s="24">
        <f>SUMIFS('Saldos Iniciales'!$D:$D,'Saldos Iniciales'!$A:$A,"Cross Security Trust")+SUMIFS(Movimientos!$K$1:$K$987,Movimientos!$C$1:$C$987,"Cross Security Trust",Movimientos!$B$1:$B$987,"&lt;="&amp;$B94)</f>
        <v>88090.37</v>
      </c>
      <c r="J94" s="24">
        <f>SUMIFS('Saldos Iniciales'!$D:$D,'Saldos Iniciales'!$A:$A,"Electrama")+SUMIFS(Movimientos!$K$1:$K$987,Movimientos!$C$1:$C$987,"Electrama",Movimientos!$B$1:$B$987,"&lt;="&amp;$B94)</f>
        <v>14580.45</v>
      </c>
      <c r="K94" s="24">
        <f>SUMIFS('Saldos Iniciales'!$D:$D,'Saldos Iniciales'!$A:$A,"Sacred Valley Capital")+SUMIFS(Movimientos!$K$1:$K$987,Movimientos!$C$1:$C$987,"Sacred Valley Capital",Movimientos!$B$1:$B$987,"&lt;="&amp;$B94)</f>
        <v>54.400000000000006</v>
      </c>
      <c r="L94" s="24">
        <f>SUMIFS('Saldos Iniciales'!$D:$D,'Saldos Iniciales'!$A:$A,"YWC Capital")+SUMIFS(Movimientos!$K$1:$K$987,Movimientos!$C$1:$C$987,"YWC Capital",Movimientos!$B$1:$B$987,"&lt;="&amp;$B94)</f>
        <v>2207.8200000000002</v>
      </c>
      <c r="M94" s="24">
        <f>SUMIFS('Saldos Iniciales'!$D:$D,'Saldos Iniciales'!$A:$A,"Soweto")+SUMIFS(Movimientos!$K$1:$K$987,Movimientos!$C$1:$C$987,"Soweto",Movimientos!$B$1:$B$987,"&lt;="&amp;$B94)</f>
        <v>1454589.72</v>
      </c>
      <c r="N94" s="24">
        <f>SUMIFS('Saldos Iniciales'!$D:$D,'Saldos Iniciales'!$A:$A,"Green Stone Trust")+SUMIFS(Movimientos!$K$1:$K$987,Movimientos!$C$1:$C$987,"Green Stone Trust",Movimientos!$B$1:$B$987,"&lt;="&amp;$B94)</f>
        <v>1968.99</v>
      </c>
      <c r="O94" s="24">
        <f>SUMIFS('Saldos Iniciales'!$D:$D,'Saldos Iniciales'!$A:$A,"EC Auto")+SUMIFS(Movimientos!$K$1:$K$987,Movimientos!$C$1:$C$987,"EC Auto",Movimientos!$B$1:$B$987,"&lt;="&amp;$B94)</f>
        <v>901.34</v>
      </c>
      <c r="P94" s="24">
        <f>SUMIFS('Saldos Iniciales'!$D:$D,'Saldos Iniciales'!$A:$A,"Arbor Capital Properties")+SUMIFS(Movimientos!$K$1:$K$987,Movimientos!$C$1:$C$987,"Arbor Capital Properties",Movimientos!$B$1:$B$987,"&lt;="&amp;$B94)</f>
        <v>1412.08</v>
      </c>
      <c r="Q94" s="24">
        <f>SUMIFS('Saldos Iniciales'!$D:$D,'Saldos Iniciales'!$A:$A,"2515 Overbrook")+SUMIFS(Movimientos!$K$1:$K$987,Movimientos!$C$1:$C$987,"2515 Overbrook",Movimientos!$B$1:$B$987,"&lt;="&amp;$B94)</f>
        <v>22347.56999999996</v>
      </c>
      <c r="R94" s="24">
        <f>SUMIFS('Saldos Iniciales'!$D:$D,'Saldos Iniciales'!$A:$A,"112 Florida Ave")+SUMIFS(Movimientos!$K$1:$K$987,Movimientos!$C$1:$C$987,"112 Florida Ave",Movimientos!$B$1:$B$987,"&lt;="&amp;$B94)</f>
        <v>18522.800000000003</v>
      </c>
      <c r="S94" s="24">
        <f>SUMIFS('Saldos Iniciales'!$D:$D,'Saldos Iniciales'!$A:$A,"3628 Thomas Ave")+SUMIFS(Movimientos!$K$1:$K$987,Movimientos!$C$1:$C$987,"3628 Thomas Ave",Movimientos!$B$1:$B$987,"&lt;="&amp;$B94)</f>
        <v>28485.559999999998</v>
      </c>
      <c r="T94" s="24">
        <f>SUMIFS('Saldos Iniciales'!$D:$D,'Saldos Iniciales'!$A:$A,"Green Harbor Trust")+SUMIFS(Movimientos!$K$1:$K$987,Movimientos!$C$1:$C$987,"Green Harbor Trust",Movimientos!$B$1:$B$987,"&lt;="&amp;$B94)</f>
        <v>345</v>
      </c>
      <c r="U94" s="24">
        <f>SUMIFS('Saldos Iniciales'!$D:$D,'Saldos Iniciales'!$A:$A,"Go Blue")+SUMIFS(Movimientos!$K$1:$K$987,Movimientos!$C$1:$C$987,"Go Blue",Movimientos!$B$1:$B$987,"&lt;="&amp;$B94)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Group")+SUMIFS(Movimientos!$K$1:$K$987,Movimientos!$C$1:$C$987,"CFT Group",Movimientos!$B$1:$B$987,"&lt;="&amp;$B95)</f>
        <v>2549365.41</v>
      </c>
      <c r="D95" s="24">
        <f>SUMIFS('Saldos Iniciales'!$D:$D,'Saldos Iniciales'!$A:$A,"M1B")+SUMIFS(Movimientos!$K$1:$K$987,Movimientos!$C$1:$C$987,"M1B",Movimientos!$B$1:$B$987,"&lt;="&amp;$B95)</f>
        <v>83211.250000000175</v>
      </c>
      <c r="E95" s="24">
        <f>SUMIFS('Saldos Iniciales'!$D:$D,'Saldos Iniciales'!$A:$A,"Durand")+SUMIFS(Movimientos!$K$1:$K$987,Movimientos!$C$1:$C$987,"Durand",Movimientos!$B$1:$B$987,"&lt;="&amp;$B95)</f>
        <v>1669.89</v>
      </c>
      <c r="F95" s="24">
        <f>SUMIFS('Saldos Iniciales'!$D:$D,'Saldos Iniciales'!$A:$A,"A&amp;M Imports")+SUMIFS(Movimientos!$K$1:$K$987,Movimientos!$C$1:$C$987,"A&amp;M Imports",Movimientos!$B$1:$B$987,"&lt;="&amp;$B95)</f>
        <v>1289465.7999999998</v>
      </c>
      <c r="G95" s="24">
        <f>SUMIFS('Saldos Iniciales'!$D:$D,'Saldos Iniciales'!$A:$A,"SSP Capital")+SUMIFS(Movimientos!$K$1:$K$987,Movimientos!$C$1:$C$987,"SSP Capital",Movimientos!$B$1:$B$987,"&lt;="&amp;$B95)</f>
        <v>1528719.2399999995</v>
      </c>
      <c r="H95" s="24">
        <f>SUMIFS('Saldos Iniciales'!$D:$D,'Saldos Iniciales'!$A:$A,"Cross Family Trust")+SUMIFS(Movimientos!$K$1:$K$987,Movimientos!$C$1:$C$987,"Cross Family Trust",Movimientos!$B$1:$B$987,"&lt;="&amp;$B95)</f>
        <v>190496.38</v>
      </c>
      <c r="I95" s="24">
        <f>SUMIFS('Saldos Iniciales'!$D:$D,'Saldos Iniciales'!$A:$A,"Cross Security Trust")+SUMIFS(Movimientos!$K$1:$K$987,Movimientos!$C$1:$C$987,"Cross Security Trust",Movimientos!$B$1:$B$987,"&lt;="&amp;$B95)</f>
        <v>88090.37</v>
      </c>
      <c r="J95" s="24">
        <f>SUMIFS('Saldos Iniciales'!$D:$D,'Saldos Iniciales'!$A:$A,"Electrama")+SUMIFS(Movimientos!$K$1:$K$987,Movimientos!$C$1:$C$987,"Electrama",Movimientos!$B$1:$B$987,"&lt;="&amp;$B95)</f>
        <v>14580.45</v>
      </c>
      <c r="K95" s="24">
        <f>SUMIFS('Saldos Iniciales'!$D:$D,'Saldos Iniciales'!$A:$A,"Sacred Valley Capital")+SUMIFS(Movimientos!$K$1:$K$987,Movimientos!$C$1:$C$987,"Sacred Valley Capital",Movimientos!$B$1:$B$987,"&lt;="&amp;$B95)</f>
        <v>54.400000000000006</v>
      </c>
      <c r="L95" s="24">
        <f>SUMIFS('Saldos Iniciales'!$D:$D,'Saldos Iniciales'!$A:$A,"YWC Capital")+SUMIFS(Movimientos!$K$1:$K$987,Movimientos!$C$1:$C$987,"YWC Capital",Movimientos!$B$1:$B$987,"&lt;="&amp;$B95)</f>
        <v>2207.8200000000002</v>
      </c>
      <c r="M95" s="24">
        <f>SUMIFS('Saldos Iniciales'!$D:$D,'Saldos Iniciales'!$A:$A,"Soweto")+SUMIFS(Movimientos!$K$1:$K$987,Movimientos!$C$1:$C$987,"Soweto",Movimientos!$B$1:$B$987,"&lt;="&amp;$B95)</f>
        <v>1454589.72</v>
      </c>
      <c r="N95" s="24">
        <f>SUMIFS('Saldos Iniciales'!$D:$D,'Saldos Iniciales'!$A:$A,"Green Stone Trust")+SUMIFS(Movimientos!$K$1:$K$987,Movimientos!$C$1:$C$987,"Green Stone Trust",Movimientos!$B$1:$B$987,"&lt;="&amp;$B95)</f>
        <v>1968.99</v>
      </c>
      <c r="O95" s="24">
        <f>SUMIFS('Saldos Iniciales'!$D:$D,'Saldos Iniciales'!$A:$A,"EC Auto")+SUMIFS(Movimientos!$K$1:$K$987,Movimientos!$C$1:$C$987,"EC Auto",Movimientos!$B$1:$B$987,"&lt;="&amp;$B95)</f>
        <v>901.34</v>
      </c>
      <c r="P95" s="24">
        <f>SUMIFS('Saldos Iniciales'!$D:$D,'Saldos Iniciales'!$A:$A,"Arbor Capital Properties")+SUMIFS(Movimientos!$K$1:$K$987,Movimientos!$C$1:$C$987,"Arbor Capital Properties",Movimientos!$B$1:$B$987,"&lt;="&amp;$B95)</f>
        <v>1412.08</v>
      </c>
      <c r="Q95" s="24">
        <f>SUMIFS('Saldos Iniciales'!$D:$D,'Saldos Iniciales'!$A:$A,"2515 Overbrook")+SUMIFS(Movimientos!$K$1:$K$987,Movimientos!$C$1:$C$987,"2515 Overbrook",Movimientos!$B$1:$B$987,"&lt;="&amp;$B95)</f>
        <v>22347.56999999996</v>
      </c>
      <c r="R95" s="24">
        <f>SUMIFS('Saldos Iniciales'!$D:$D,'Saldos Iniciales'!$A:$A,"112 Florida Ave")+SUMIFS(Movimientos!$K$1:$K$987,Movimientos!$C$1:$C$987,"112 Florida Ave",Movimientos!$B$1:$B$987,"&lt;="&amp;$B95)</f>
        <v>18522.800000000003</v>
      </c>
      <c r="S95" s="24">
        <f>SUMIFS('Saldos Iniciales'!$D:$D,'Saldos Iniciales'!$A:$A,"3628 Thomas Ave")+SUMIFS(Movimientos!$K$1:$K$987,Movimientos!$C$1:$C$987,"3628 Thomas Ave",Movimientos!$B$1:$B$987,"&lt;="&amp;$B95)</f>
        <v>28485.559999999998</v>
      </c>
      <c r="T95" s="24">
        <f>SUMIFS('Saldos Iniciales'!$D:$D,'Saldos Iniciales'!$A:$A,"Green Harbor Trust")+SUMIFS(Movimientos!$K$1:$K$987,Movimientos!$C$1:$C$987,"Green Harbor Trust",Movimientos!$B$1:$B$987,"&lt;="&amp;$B95)</f>
        <v>345</v>
      </c>
      <c r="U95" s="24">
        <f>SUMIFS('Saldos Iniciales'!$D:$D,'Saldos Iniciales'!$A:$A,"Go Blue")+SUMIFS(Movimientos!$K$1:$K$987,Movimientos!$C$1:$C$987,"Go Blue",Movimientos!$B$1:$B$987,"&lt;="&amp;$B95)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Group")+SUMIFS(Movimientos!$K$1:$K$987,Movimientos!$C$1:$C$987,"CFT Group",Movimientos!$B$1:$B$987,"&lt;="&amp;$B96)</f>
        <v>2549365.41</v>
      </c>
      <c r="D96" s="24">
        <f>SUMIFS('Saldos Iniciales'!$D:$D,'Saldos Iniciales'!$A:$A,"M1B")+SUMIFS(Movimientos!$K$1:$K$987,Movimientos!$C$1:$C$987,"M1B",Movimientos!$B$1:$B$987,"&lt;="&amp;$B96)</f>
        <v>83211.250000000175</v>
      </c>
      <c r="E96" s="24">
        <f>SUMIFS('Saldos Iniciales'!$D:$D,'Saldos Iniciales'!$A:$A,"Durand")+SUMIFS(Movimientos!$K$1:$K$987,Movimientos!$C$1:$C$987,"Durand",Movimientos!$B$1:$B$987,"&lt;="&amp;$B96)</f>
        <v>1669.89</v>
      </c>
      <c r="F96" s="24">
        <f>SUMIFS('Saldos Iniciales'!$D:$D,'Saldos Iniciales'!$A:$A,"A&amp;M Imports")+SUMIFS(Movimientos!$K$1:$K$987,Movimientos!$C$1:$C$987,"A&amp;M Imports",Movimientos!$B$1:$B$987,"&lt;="&amp;$B96)</f>
        <v>1289465.7999999998</v>
      </c>
      <c r="G96" s="24">
        <f>SUMIFS('Saldos Iniciales'!$D:$D,'Saldos Iniciales'!$A:$A,"SSP Capital")+SUMIFS(Movimientos!$K$1:$K$987,Movimientos!$C$1:$C$987,"SSP Capital",Movimientos!$B$1:$B$987,"&lt;="&amp;$B96)</f>
        <v>1528719.2399999995</v>
      </c>
      <c r="H96" s="24">
        <f>SUMIFS('Saldos Iniciales'!$D:$D,'Saldos Iniciales'!$A:$A,"Cross Family Trust")+SUMIFS(Movimientos!$K$1:$K$987,Movimientos!$C$1:$C$987,"Cross Family Trust",Movimientos!$B$1:$B$987,"&lt;="&amp;$B96)</f>
        <v>190496.38</v>
      </c>
      <c r="I96" s="24">
        <f>SUMIFS('Saldos Iniciales'!$D:$D,'Saldos Iniciales'!$A:$A,"Cross Security Trust")+SUMIFS(Movimientos!$K$1:$K$987,Movimientos!$C$1:$C$987,"Cross Security Trust",Movimientos!$B$1:$B$987,"&lt;="&amp;$B96)</f>
        <v>88090.37</v>
      </c>
      <c r="J96" s="24">
        <f>SUMIFS('Saldos Iniciales'!$D:$D,'Saldos Iniciales'!$A:$A,"Electrama")+SUMIFS(Movimientos!$K$1:$K$987,Movimientos!$C$1:$C$987,"Electrama",Movimientos!$B$1:$B$987,"&lt;="&amp;$B96)</f>
        <v>14580.45</v>
      </c>
      <c r="K96" s="24">
        <f>SUMIFS('Saldos Iniciales'!$D:$D,'Saldos Iniciales'!$A:$A,"Sacred Valley Capital")+SUMIFS(Movimientos!$K$1:$K$987,Movimientos!$C$1:$C$987,"Sacred Valley Capital",Movimientos!$B$1:$B$987,"&lt;="&amp;$B96)</f>
        <v>24.450000000000003</v>
      </c>
      <c r="L96" s="24">
        <f>SUMIFS('Saldos Iniciales'!$D:$D,'Saldos Iniciales'!$A:$A,"YWC Capital")+SUMIFS(Movimientos!$K$1:$K$987,Movimientos!$C$1:$C$987,"YWC Capital",Movimientos!$B$1:$B$987,"&lt;="&amp;$B96)</f>
        <v>2177.87</v>
      </c>
      <c r="M96" s="24">
        <f>SUMIFS('Saldos Iniciales'!$D:$D,'Saldos Iniciales'!$A:$A,"Soweto")+SUMIFS(Movimientos!$K$1:$K$987,Movimientos!$C$1:$C$987,"Soweto",Movimientos!$B$1:$B$987,"&lt;="&amp;$B96)</f>
        <v>1454589.72</v>
      </c>
      <c r="N96" s="24">
        <f>SUMIFS('Saldos Iniciales'!$D:$D,'Saldos Iniciales'!$A:$A,"Green Stone Trust")+SUMIFS(Movimientos!$K$1:$K$987,Movimientos!$C$1:$C$987,"Green Stone Trust",Movimientos!$B$1:$B$987,"&lt;="&amp;$B96)</f>
        <v>1968.99</v>
      </c>
      <c r="O96" s="24">
        <f>SUMIFS('Saldos Iniciales'!$D:$D,'Saldos Iniciales'!$A:$A,"EC Auto")+SUMIFS(Movimientos!$K$1:$K$987,Movimientos!$C$1:$C$987,"EC Auto",Movimientos!$B$1:$B$987,"&lt;="&amp;$B96)</f>
        <v>901.34</v>
      </c>
      <c r="P96" s="24">
        <f>SUMIFS('Saldos Iniciales'!$D:$D,'Saldos Iniciales'!$A:$A,"Arbor Capital Properties")+SUMIFS(Movimientos!$K$1:$K$987,Movimientos!$C$1:$C$987,"Arbor Capital Properties",Movimientos!$B$1:$B$987,"&lt;="&amp;$B96)</f>
        <v>1396.08</v>
      </c>
      <c r="Q96" s="24">
        <f>SUMIFS('Saldos Iniciales'!$D:$D,'Saldos Iniciales'!$A:$A,"2515 Overbrook")+SUMIFS(Movimientos!$K$1:$K$987,Movimientos!$C$1:$C$987,"2515 Overbrook",Movimientos!$B$1:$B$987,"&lt;="&amp;$B96)</f>
        <v>13804.239999999962</v>
      </c>
      <c r="R96" s="24">
        <f>SUMIFS('Saldos Iniciales'!$D:$D,'Saldos Iniciales'!$A:$A,"112 Florida Ave")+SUMIFS(Movimientos!$K$1:$K$987,Movimientos!$C$1:$C$987,"112 Florida Ave",Movimientos!$B$1:$B$987,"&lt;="&amp;$B96)</f>
        <v>8724.1700000000037</v>
      </c>
      <c r="S96" s="24">
        <f>SUMIFS('Saldos Iniciales'!$D:$D,'Saldos Iniciales'!$A:$A,"3628 Thomas Ave")+SUMIFS(Movimientos!$K$1:$K$987,Movimientos!$C$1:$C$987,"3628 Thomas Ave",Movimientos!$B$1:$B$987,"&lt;="&amp;$B96)</f>
        <v>15106.099999999997</v>
      </c>
      <c r="T96" s="24">
        <f>SUMIFS('Saldos Iniciales'!$D:$D,'Saldos Iniciales'!$A:$A,"Green Harbor Trust")+SUMIFS(Movimientos!$K$1:$K$987,Movimientos!$C$1:$C$987,"Green Harbor Trust",Movimientos!$B$1:$B$987,"&lt;="&amp;$B96)</f>
        <v>345</v>
      </c>
      <c r="U96" s="24">
        <f>SUMIFS('Saldos Iniciales'!$D:$D,'Saldos Iniciales'!$A:$A,"Go Blue")+SUMIFS(Movimientos!$K$1:$K$987,Movimientos!$C$1:$C$987,"Go Blue",Movimientos!$B$1:$B$987,"&lt;="&amp;$B96)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Group")+SUMIFS(Movimientos!$K$1:$K$987,Movimientos!$C$1:$C$987,"CFT Group",Movimientos!$B$1:$B$987,"&lt;="&amp;$B97)</f>
        <v>2549365.41</v>
      </c>
      <c r="D97" s="24">
        <f>SUMIFS('Saldos Iniciales'!$D:$D,'Saldos Iniciales'!$A:$A,"M1B")+SUMIFS(Movimientos!$K$1:$K$987,Movimientos!$C$1:$C$987,"M1B",Movimientos!$B$1:$B$987,"&lt;="&amp;$B97)</f>
        <v>83211.250000000175</v>
      </c>
      <c r="E97" s="24">
        <f>SUMIFS('Saldos Iniciales'!$D:$D,'Saldos Iniciales'!$A:$A,"Durand")+SUMIFS(Movimientos!$K$1:$K$987,Movimientos!$C$1:$C$987,"Durand",Movimientos!$B$1:$B$987,"&lt;="&amp;$B97)</f>
        <v>1669.89</v>
      </c>
      <c r="F97" s="24">
        <f>SUMIFS('Saldos Iniciales'!$D:$D,'Saldos Iniciales'!$A:$A,"A&amp;M Imports")+SUMIFS(Movimientos!$K$1:$K$987,Movimientos!$C$1:$C$987,"A&amp;M Imports",Movimientos!$B$1:$B$987,"&lt;="&amp;$B97)</f>
        <v>1289465.7999999998</v>
      </c>
      <c r="G97" s="24">
        <f>SUMIFS('Saldos Iniciales'!$D:$D,'Saldos Iniciales'!$A:$A,"SSP Capital")+SUMIFS(Movimientos!$K$1:$K$987,Movimientos!$C$1:$C$987,"SSP Capital",Movimientos!$B$1:$B$987,"&lt;="&amp;$B97)</f>
        <v>1528109.5399999996</v>
      </c>
      <c r="H97" s="24">
        <f>SUMIFS('Saldos Iniciales'!$D:$D,'Saldos Iniciales'!$A:$A,"Cross Family Trust")+SUMIFS(Movimientos!$K$1:$K$987,Movimientos!$C$1:$C$987,"Cross Family Trust",Movimientos!$B$1:$B$987,"&lt;="&amp;$B97)</f>
        <v>184496.38</v>
      </c>
      <c r="I97" s="24">
        <f>SUMIFS('Saldos Iniciales'!$D:$D,'Saldos Iniciales'!$A:$A,"Cross Security Trust")+SUMIFS(Movimientos!$K$1:$K$987,Movimientos!$C$1:$C$987,"Cross Security Trust",Movimientos!$B$1:$B$987,"&lt;="&amp;$B97)</f>
        <v>88090.37</v>
      </c>
      <c r="J97" s="24">
        <f>SUMIFS('Saldos Iniciales'!$D:$D,'Saldos Iniciales'!$A:$A,"Electrama")+SUMIFS(Movimientos!$K$1:$K$987,Movimientos!$C$1:$C$987,"Electrama",Movimientos!$B$1:$B$987,"&lt;="&amp;$B97)</f>
        <v>14580.45</v>
      </c>
      <c r="K97" s="24">
        <f>SUMIFS('Saldos Iniciales'!$D:$D,'Saldos Iniciales'!$A:$A,"Sacred Valley Capital")+SUMIFS(Movimientos!$K$1:$K$987,Movimientos!$C$1:$C$987,"Sacred Valley Capital",Movimientos!$B$1:$B$987,"&lt;="&amp;$B97)</f>
        <v>24.450000000000003</v>
      </c>
      <c r="L97" s="24">
        <f>SUMIFS('Saldos Iniciales'!$D:$D,'Saldos Iniciales'!$A:$A,"YWC Capital")+SUMIFS(Movimientos!$K$1:$K$987,Movimientos!$C$1:$C$987,"YWC Capital",Movimientos!$B$1:$B$987,"&lt;="&amp;$B97)</f>
        <v>2177.87</v>
      </c>
      <c r="M97" s="24">
        <f>SUMIFS('Saldos Iniciales'!$D:$D,'Saldos Iniciales'!$A:$A,"Soweto")+SUMIFS(Movimientos!$K$1:$K$987,Movimientos!$C$1:$C$987,"Soweto",Movimientos!$B$1:$B$987,"&lt;="&amp;$B97)</f>
        <v>1454589.72</v>
      </c>
      <c r="N97" s="24">
        <f>SUMIFS('Saldos Iniciales'!$D:$D,'Saldos Iniciales'!$A:$A,"Green Stone Trust")+SUMIFS(Movimientos!$K$1:$K$987,Movimientos!$C$1:$C$987,"Green Stone Trust",Movimientos!$B$1:$B$987,"&lt;="&amp;$B97)</f>
        <v>1968.99</v>
      </c>
      <c r="O97" s="24">
        <f>SUMIFS('Saldos Iniciales'!$D:$D,'Saldos Iniciales'!$A:$A,"EC Auto")+SUMIFS(Movimientos!$K$1:$K$987,Movimientos!$C$1:$C$987,"EC Auto",Movimientos!$B$1:$B$987,"&lt;="&amp;$B97)</f>
        <v>901.34</v>
      </c>
      <c r="P97" s="24">
        <f>SUMIFS('Saldos Iniciales'!$D:$D,'Saldos Iniciales'!$A:$A,"Arbor Capital Properties")+SUMIFS(Movimientos!$K$1:$K$987,Movimientos!$C$1:$C$987,"Arbor Capital Properties",Movimientos!$B$1:$B$987,"&lt;="&amp;$B97)</f>
        <v>1396.08</v>
      </c>
      <c r="Q97" s="24">
        <f>SUMIFS('Saldos Iniciales'!$D:$D,'Saldos Iniciales'!$A:$A,"2515 Overbrook")+SUMIFS(Movimientos!$K$1:$K$987,Movimientos!$C$1:$C$987,"2515 Overbrook",Movimientos!$B$1:$B$987,"&lt;="&amp;$B97)</f>
        <v>13804.239999999962</v>
      </c>
      <c r="R97" s="24">
        <f>SUMIFS('Saldos Iniciales'!$D:$D,'Saldos Iniciales'!$A:$A,"112 Florida Ave")+SUMIFS(Movimientos!$K$1:$K$987,Movimientos!$C$1:$C$987,"112 Florida Ave",Movimientos!$B$1:$B$987,"&lt;="&amp;$B97)</f>
        <v>8724.1700000000037</v>
      </c>
      <c r="S97" s="24">
        <f>SUMIFS('Saldos Iniciales'!$D:$D,'Saldos Iniciales'!$A:$A,"3628 Thomas Ave")+SUMIFS(Movimientos!$K$1:$K$987,Movimientos!$C$1:$C$987,"3628 Thomas Ave",Movimientos!$B$1:$B$987,"&lt;="&amp;$B97)</f>
        <v>15106.099999999997</v>
      </c>
      <c r="T97" s="24">
        <f>SUMIFS('Saldos Iniciales'!$D:$D,'Saldos Iniciales'!$A:$A,"Green Harbor Trust")+SUMIFS(Movimientos!$K$1:$K$987,Movimientos!$C$1:$C$987,"Green Harbor Trust",Movimientos!$B$1:$B$987,"&lt;="&amp;$B97)</f>
        <v>345</v>
      </c>
      <c r="U97" s="24">
        <f>SUMIFS('Saldos Iniciales'!$D:$D,'Saldos Iniciales'!$A:$A,"Go Blue")+SUMIFS(Movimientos!$K$1:$K$987,Movimientos!$C$1:$C$987,"Go Blue",Movimientos!$B$1:$B$987,"&lt;="&amp;$B97)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Group")+SUMIFS(Movimientos!$K$1:$K$987,Movimientos!$C$1:$C$987,"CFT Group",Movimientos!$B$1:$B$987,"&lt;="&amp;$B98)</f>
        <v>2549365.41</v>
      </c>
      <c r="D98" s="24">
        <f>SUMIFS('Saldos Iniciales'!$D:$D,'Saldos Iniciales'!$A:$A,"M1B")+SUMIFS(Movimientos!$K$1:$K$987,Movimientos!$C$1:$C$987,"M1B",Movimientos!$B$1:$B$987,"&lt;="&amp;$B98)</f>
        <v>83211.250000000175</v>
      </c>
      <c r="E98" s="24">
        <f>SUMIFS('Saldos Iniciales'!$D:$D,'Saldos Iniciales'!$A:$A,"Durand")+SUMIFS(Movimientos!$K$1:$K$987,Movimientos!$C$1:$C$987,"Durand",Movimientos!$B$1:$B$987,"&lt;="&amp;$B98)</f>
        <v>1669.89</v>
      </c>
      <c r="F98" s="24">
        <f>SUMIFS('Saldos Iniciales'!$D:$D,'Saldos Iniciales'!$A:$A,"A&amp;M Imports")+SUMIFS(Movimientos!$K$1:$K$987,Movimientos!$C$1:$C$987,"A&amp;M Imports",Movimientos!$B$1:$B$987,"&lt;="&amp;$B98)</f>
        <v>1283465.7999999998</v>
      </c>
      <c r="G98" s="24">
        <f>SUMIFS('Saldos Iniciales'!$D:$D,'Saldos Iniciales'!$A:$A,"SSP Capital")+SUMIFS(Movimientos!$K$1:$K$987,Movimientos!$C$1:$C$987,"SSP Capital",Movimientos!$B$1:$B$987,"&lt;="&amp;$B98)</f>
        <v>1526429.7599999995</v>
      </c>
      <c r="H98" s="24">
        <f>SUMIFS('Saldos Iniciales'!$D:$D,'Saldos Iniciales'!$A:$A,"Cross Family Trust")+SUMIFS(Movimientos!$K$1:$K$987,Movimientos!$C$1:$C$987,"Cross Family Trust",Movimientos!$B$1:$B$987,"&lt;="&amp;$B98)</f>
        <v>184496.38</v>
      </c>
      <c r="I98" s="24">
        <f>SUMIFS('Saldos Iniciales'!$D:$D,'Saldos Iniciales'!$A:$A,"Cross Security Trust")+SUMIFS(Movimientos!$K$1:$K$987,Movimientos!$C$1:$C$987,"Cross Security Trust",Movimientos!$B$1:$B$987,"&lt;="&amp;$B98)</f>
        <v>88090.37</v>
      </c>
      <c r="J98" s="24">
        <f>SUMIFS('Saldos Iniciales'!$D:$D,'Saldos Iniciales'!$A:$A,"Electrama")+SUMIFS(Movimientos!$K$1:$K$987,Movimientos!$C$1:$C$987,"Electrama",Movimientos!$B$1:$B$987,"&lt;="&amp;$B98)</f>
        <v>14540.45</v>
      </c>
      <c r="K98" s="24">
        <f>SUMIFS('Saldos Iniciales'!$D:$D,'Saldos Iniciales'!$A:$A,"Sacred Valley Capital")+SUMIFS(Movimientos!$K$1:$K$987,Movimientos!$C$1:$C$987,"Sacred Valley Capital",Movimientos!$B$1:$B$987,"&lt;="&amp;$B98)</f>
        <v>24.450000000000003</v>
      </c>
      <c r="L98" s="24">
        <f>SUMIFS('Saldos Iniciales'!$D:$D,'Saldos Iniciales'!$A:$A,"YWC Capital")+SUMIFS(Movimientos!$K$1:$K$987,Movimientos!$C$1:$C$987,"YWC Capital",Movimientos!$B$1:$B$987,"&lt;="&amp;$B98)</f>
        <v>2177.87</v>
      </c>
      <c r="M98" s="24">
        <f>SUMIFS('Saldos Iniciales'!$D:$D,'Saldos Iniciales'!$A:$A,"Soweto")+SUMIFS(Movimientos!$K$1:$K$987,Movimientos!$C$1:$C$987,"Soweto",Movimientos!$B$1:$B$987,"&lt;="&amp;$B98)</f>
        <v>1454589.72</v>
      </c>
      <c r="N98" s="24">
        <f>SUMIFS('Saldos Iniciales'!$D:$D,'Saldos Iniciales'!$A:$A,"Green Stone Trust")+SUMIFS(Movimientos!$K$1:$K$987,Movimientos!$C$1:$C$987,"Green Stone Trust",Movimientos!$B$1:$B$987,"&lt;="&amp;$B98)</f>
        <v>1968.99</v>
      </c>
      <c r="O98" s="24">
        <f>SUMIFS('Saldos Iniciales'!$D:$D,'Saldos Iniciales'!$A:$A,"EC Auto")+SUMIFS(Movimientos!$K$1:$K$987,Movimientos!$C$1:$C$987,"EC Auto",Movimientos!$B$1:$B$987,"&lt;="&amp;$B98)</f>
        <v>901.34</v>
      </c>
      <c r="P98" s="24">
        <f>SUMIFS('Saldos Iniciales'!$D:$D,'Saldos Iniciales'!$A:$A,"Arbor Capital Properties")+SUMIFS(Movimientos!$K$1:$K$987,Movimientos!$C$1:$C$987,"Arbor Capital Properties",Movimientos!$B$1:$B$987,"&lt;="&amp;$B98)</f>
        <v>1396.08</v>
      </c>
      <c r="Q98" s="24">
        <f>SUMIFS('Saldos Iniciales'!$D:$D,'Saldos Iniciales'!$A:$A,"2515 Overbrook")+SUMIFS(Movimientos!$K$1:$K$987,Movimientos!$C$1:$C$987,"2515 Overbrook",Movimientos!$B$1:$B$987,"&lt;="&amp;$B98)</f>
        <v>13804.239999999962</v>
      </c>
      <c r="R98" s="24">
        <f>SUMIFS('Saldos Iniciales'!$D:$D,'Saldos Iniciales'!$A:$A,"112 Florida Ave")+SUMIFS(Movimientos!$K$1:$K$987,Movimientos!$C$1:$C$987,"112 Florida Ave",Movimientos!$B$1:$B$987,"&lt;="&amp;$B98)</f>
        <v>8724.1700000000037</v>
      </c>
      <c r="S98" s="24">
        <f>SUMIFS('Saldos Iniciales'!$D:$D,'Saldos Iniciales'!$A:$A,"3628 Thomas Ave")+SUMIFS(Movimientos!$K$1:$K$987,Movimientos!$C$1:$C$987,"3628 Thomas Ave",Movimientos!$B$1:$B$987,"&lt;="&amp;$B98)</f>
        <v>15106.099999999997</v>
      </c>
      <c r="T98" s="24">
        <f>SUMIFS('Saldos Iniciales'!$D:$D,'Saldos Iniciales'!$A:$A,"Green Harbor Trust")+SUMIFS(Movimientos!$K$1:$K$987,Movimientos!$C$1:$C$987,"Green Harbor Trust",Movimientos!$B$1:$B$987,"&lt;="&amp;$B98)</f>
        <v>345</v>
      </c>
      <c r="U98" s="24">
        <f>SUMIFS('Saldos Iniciales'!$D:$D,'Saldos Iniciales'!$A:$A,"Go Blue")+SUMIFS(Movimientos!$K$1:$K$987,Movimientos!$C$1:$C$987,"Go Blue",Movimientos!$B$1:$B$987,"&lt;="&amp;$B98)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Group")+SUMIFS(Movimientos!$K$1:$K$987,Movimientos!$C$1:$C$987,"CFT Group",Movimientos!$B$1:$B$987,"&lt;="&amp;$B99)</f>
        <v>1234723.7400000002</v>
      </c>
      <c r="D99" s="24">
        <f>SUMIFS('Saldos Iniciales'!$D:$D,'Saldos Iniciales'!$A:$A,"M1B")+SUMIFS(Movimientos!$K$1:$K$987,Movimientos!$C$1:$C$987,"M1B",Movimientos!$B$1:$B$987,"&lt;="&amp;$B99)</f>
        <v>83211.250000000175</v>
      </c>
      <c r="E99" s="24">
        <f>SUMIFS('Saldos Iniciales'!$D:$D,'Saldos Iniciales'!$A:$A,"Durand")+SUMIFS(Movimientos!$K$1:$K$987,Movimientos!$C$1:$C$987,"Durand",Movimientos!$B$1:$B$987,"&lt;="&amp;$B99)</f>
        <v>1669.89</v>
      </c>
      <c r="F99" s="24">
        <f>SUMIFS('Saldos Iniciales'!$D:$D,'Saldos Iniciales'!$A:$A,"A&amp;M Imports")+SUMIFS(Movimientos!$K$1:$K$987,Movimientos!$C$1:$C$987,"A&amp;M Imports",Movimientos!$B$1:$B$987,"&lt;="&amp;$B99)</f>
        <v>1180491.7</v>
      </c>
      <c r="G99" s="24">
        <f>SUMIFS('Saldos Iniciales'!$D:$D,'Saldos Iniciales'!$A:$A,"SSP Capital")+SUMIFS(Movimientos!$K$1:$K$987,Movimientos!$C$1:$C$987,"SSP Capital",Movimientos!$B$1:$B$987,"&lt;="&amp;$B99)</f>
        <v>2116315.9099999997</v>
      </c>
      <c r="H99" s="24">
        <f>SUMIFS('Saldos Iniciales'!$D:$D,'Saldos Iniciales'!$A:$A,"Cross Family Trust")+SUMIFS(Movimientos!$K$1:$K$987,Movimientos!$C$1:$C$987,"Cross Family Trust",Movimientos!$B$1:$B$987,"&lt;="&amp;$B99)</f>
        <v>171496.38</v>
      </c>
      <c r="I99" s="24">
        <f>SUMIFS('Saldos Iniciales'!$D:$D,'Saldos Iniciales'!$A:$A,"Cross Security Trust")+SUMIFS(Movimientos!$K$1:$K$987,Movimientos!$C$1:$C$987,"Cross Security Trust",Movimientos!$B$1:$B$987,"&lt;="&amp;$B99)</f>
        <v>88067.39</v>
      </c>
      <c r="J99" s="24">
        <f>SUMIFS('Saldos Iniciales'!$D:$D,'Saldos Iniciales'!$A:$A,"Electrama")+SUMIFS(Movimientos!$K$1:$K$987,Movimientos!$C$1:$C$987,"Electrama",Movimientos!$B$1:$B$987,"&lt;="&amp;$B99)</f>
        <v>13270.02</v>
      </c>
      <c r="K99" s="24">
        <f>SUMIFS('Saldos Iniciales'!$D:$D,'Saldos Iniciales'!$A:$A,"Sacred Valley Capital")+SUMIFS(Movimientos!$K$1:$K$987,Movimientos!$C$1:$C$987,"Sacred Valley Capital",Movimientos!$B$1:$B$987,"&lt;="&amp;$B99)</f>
        <v>24.450000000000003</v>
      </c>
      <c r="L99" s="24">
        <f>SUMIFS('Saldos Iniciales'!$D:$D,'Saldos Iniciales'!$A:$A,"YWC Capital")+SUMIFS(Movimientos!$K$1:$K$987,Movimientos!$C$1:$C$987,"YWC Capital",Movimientos!$B$1:$B$987,"&lt;="&amp;$B99)</f>
        <v>2177.87</v>
      </c>
      <c r="M99" s="24">
        <f>SUMIFS('Saldos Iniciales'!$D:$D,'Saldos Iniciales'!$A:$A,"Soweto")+SUMIFS(Movimientos!$K$1:$K$987,Movimientos!$C$1:$C$987,"Soweto",Movimientos!$B$1:$B$987,"&lt;="&amp;$B99)</f>
        <v>1454589.72</v>
      </c>
      <c r="N99" s="24">
        <f>SUMIFS('Saldos Iniciales'!$D:$D,'Saldos Iniciales'!$A:$A,"Green Stone Trust")+SUMIFS(Movimientos!$K$1:$K$987,Movimientos!$C$1:$C$987,"Green Stone Trust",Movimientos!$B$1:$B$987,"&lt;="&amp;$B99)</f>
        <v>1968.99</v>
      </c>
      <c r="O99" s="24">
        <f>SUMIFS('Saldos Iniciales'!$D:$D,'Saldos Iniciales'!$A:$A,"EC Auto")+SUMIFS(Movimientos!$K$1:$K$987,Movimientos!$C$1:$C$987,"EC Auto",Movimientos!$B$1:$B$987,"&lt;="&amp;$B99)</f>
        <v>901.34</v>
      </c>
      <c r="P99" s="24">
        <f>SUMIFS('Saldos Iniciales'!$D:$D,'Saldos Iniciales'!$A:$A,"Arbor Capital Properties")+SUMIFS(Movimientos!$K$1:$K$987,Movimientos!$C$1:$C$987,"Arbor Capital Properties",Movimientos!$B$1:$B$987,"&lt;="&amp;$B99)</f>
        <v>1396.08</v>
      </c>
      <c r="Q99" s="24">
        <f>SUMIFS('Saldos Iniciales'!$D:$D,'Saldos Iniciales'!$A:$A,"2515 Overbrook")+SUMIFS(Movimientos!$K$1:$K$987,Movimientos!$C$1:$C$987,"2515 Overbrook",Movimientos!$B$1:$B$987,"&lt;="&amp;$B99)</f>
        <v>13804.239999999962</v>
      </c>
      <c r="R99" s="24">
        <f>SUMIFS('Saldos Iniciales'!$D:$D,'Saldos Iniciales'!$A:$A,"112 Florida Ave")+SUMIFS(Movimientos!$K$1:$K$987,Movimientos!$C$1:$C$987,"112 Florida Ave",Movimientos!$B$1:$B$987,"&lt;="&amp;$B99)</f>
        <v>8724.1700000000037</v>
      </c>
      <c r="S99" s="24">
        <f>SUMIFS('Saldos Iniciales'!$D:$D,'Saldos Iniciales'!$A:$A,"3628 Thomas Ave")+SUMIFS(Movimientos!$K$1:$K$987,Movimientos!$C$1:$C$987,"3628 Thomas Ave",Movimientos!$B$1:$B$987,"&lt;="&amp;$B99)</f>
        <v>15106.099999999997</v>
      </c>
      <c r="T99" s="24">
        <f>SUMIFS('Saldos Iniciales'!$D:$D,'Saldos Iniciales'!$A:$A,"Green Harbor Trust")+SUMIFS(Movimientos!$K$1:$K$987,Movimientos!$C$1:$C$987,"Green Harbor Trust",Movimientos!$B$1:$B$987,"&lt;="&amp;$B99)</f>
        <v>345</v>
      </c>
      <c r="U99" s="24">
        <f>SUMIFS('Saldos Iniciales'!$D:$D,'Saldos Iniciales'!$A:$A,"Go Blue")+SUMIFS(Movimientos!$K$1:$K$987,Movimientos!$C$1:$C$987,"Go Blue",Movimientos!$B$1:$B$987,"&lt;="&amp;$B99)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Group")+SUMIFS(Movimientos!$K$1:$K$987,Movimientos!$C$1:$C$987,"CFT Group",Movimientos!$B$1:$B$987,"&lt;="&amp;$B100)</f>
        <v>1234723.7400000002</v>
      </c>
      <c r="D100" s="24">
        <f>SUMIFS('Saldos Iniciales'!$D:$D,'Saldos Iniciales'!$A:$A,"M1B")+SUMIFS(Movimientos!$K$1:$K$987,Movimientos!$C$1:$C$987,"M1B",Movimientos!$B$1:$B$987,"&lt;="&amp;$B100)</f>
        <v>83211.250000000175</v>
      </c>
      <c r="E100" s="24">
        <f>SUMIFS('Saldos Iniciales'!$D:$D,'Saldos Iniciales'!$A:$A,"Durand")+SUMIFS(Movimientos!$K$1:$K$987,Movimientos!$C$1:$C$987,"Durand",Movimientos!$B$1:$B$987,"&lt;="&amp;$B100)</f>
        <v>1669.89</v>
      </c>
      <c r="F100" s="24">
        <f>SUMIFS('Saldos Iniciales'!$D:$D,'Saldos Iniciales'!$A:$A,"A&amp;M Imports")+SUMIFS(Movimientos!$K$1:$K$987,Movimientos!$C$1:$C$987,"A&amp;M Imports",Movimientos!$B$1:$B$987,"&lt;="&amp;$B100)</f>
        <v>1180491.7</v>
      </c>
      <c r="G100" s="24">
        <f>SUMIFS('Saldos Iniciales'!$D:$D,'Saldos Iniciales'!$A:$A,"SSP Capital")+SUMIFS(Movimientos!$K$1:$K$987,Movimientos!$C$1:$C$987,"SSP Capital",Movimientos!$B$1:$B$987,"&lt;="&amp;$B100)</f>
        <v>2116315.9099999997</v>
      </c>
      <c r="H100" s="24">
        <f>SUMIFS('Saldos Iniciales'!$D:$D,'Saldos Iniciales'!$A:$A,"Cross Family Trust")+SUMIFS(Movimientos!$K$1:$K$987,Movimientos!$C$1:$C$987,"Cross Family Trust",Movimientos!$B$1:$B$987,"&lt;="&amp;$B100)</f>
        <v>171496.38</v>
      </c>
      <c r="I100" s="24">
        <f>SUMIFS('Saldos Iniciales'!$D:$D,'Saldos Iniciales'!$A:$A,"Cross Security Trust")+SUMIFS(Movimientos!$K$1:$K$987,Movimientos!$C$1:$C$987,"Cross Security Trust",Movimientos!$B$1:$B$987,"&lt;="&amp;$B100)</f>
        <v>88067.39</v>
      </c>
      <c r="J100" s="24">
        <f>SUMIFS('Saldos Iniciales'!$D:$D,'Saldos Iniciales'!$A:$A,"Electrama")+SUMIFS(Movimientos!$K$1:$K$987,Movimientos!$C$1:$C$987,"Electrama",Movimientos!$B$1:$B$987,"&lt;="&amp;$B100)</f>
        <v>13270.02</v>
      </c>
      <c r="K100" s="24">
        <f>SUMIFS('Saldos Iniciales'!$D:$D,'Saldos Iniciales'!$A:$A,"Sacred Valley Capital")+SUMIFS(Movimientos!$K$1:$K$987,Movimientos!$C$1:$C$987,"Sacred Valley Capital",Movimientos!$B$1:$B$987,"&lt;="&amp;$B100)</f>
        <v>24.450000000000003</v>
      </c>
      <c r="L100" s="24">
        <f>SUMIFS('Saldos Iniciales'!$D:$D,'Saldos Iniciales'!$A:$A,"YWC Capital")+SUMIFS(Movimientos!$K$1:$K$987,Movimientos!$C$1:$C$987,"YWC Capital",Movimientos!$B$1:$B$987,"&lt;="&amp;$B100)</f>
        <v>2177.87</v>
      </c>
      <c r="M100" s="24">
        <f>SUMIFS('Saldos Iniciales'!$D:$D,'Saldos Iniciales'!$A:$A,"Soweto")+SUMIFS(Movimientos!$K$1:$K$987,Movimientos!$C$1:$C$987,"Soweto",Movimientos!$B$1:$B$987,"&lt;="&amp;$B100)</f>
        <v>1454589.72</v>
      </c>
      <c r="N100" s="24">
        <f>SUMIFS('Saldos Iniciales'!$D:$D,'Saldos Iniciales'!$A:$A,"Green Stone Trust")+SUMIFS(Movimientos!$K$1:$K$987,Movimientos!$C$1:$C$987,"Green Stone Trust",Movimientos!$B$1:$B$987,"&lt;="&amp;$B100)</f>
        <v>1968.99</v>
      </c>
      <c r="O100" s="24">
        <f>SUMIFS('Saldos Iniciales'!$D:$D,'Saldos Iniciales'!$A:$A,"EC Auto")+SUMIFS(Movimientos!$K$1:$K$987,Movimientos!$C$1:$C$987,"EC Auto",Movimientos!$B$1:$B$987,"&lt;="&amp;$B100)</f>
        <v>901.34</v>
      </c>
      <c r="P100" s="24">
        <f>SUMIFS('Saldos Iniciales'!$D:$D,'Saldos Iniciales'!$A:$A,"Arbor Capital Properties")+SUMIFS(Movimientos!$K$1:$K$987,Movimientos!$C$1:$C$987,"Arbor Capital Properties",Movimientos!$B$1:$B$987,"&lt;="&amp;$B100)</f>
        <v>1396.08</v>
      </c>
      <c r="Q100" s="24">
        <f>SUMIFS('Saldos Iniciales'!$D:$D,'Saldos Iniciales'!$A:$A,"2515 Overbrook")+SUMIFS(Movimientos!$K$1:$K$987,Movimientos!$C$1:$C$987,"2515 Overbrook",Movimientos!$B$1:$B$987,"&lt;="&amp;$B100)</f>
        <v>11259.639999999961</v>
      </c>
      <c r="R100" s="24">
        <f>SUMIFS('Saldos Iniciales'!$D:$D,'Saldos Iniciales'!$A:$A,"112 Florida Ave")+SUMIFS(Movimientos!$K$1:$K$987,Movimientos!$C$1:$C$987,"112 Florida Ave",Movimientos!$B$1:$B$987,"&lt;="&amp;$B100)</f>
        <v>8724.1700000000037</v>
      </c>
      <c r="S100" s="24">
        <f>SUMIFS('Saldos Iniciales'!$D:$D,'Saldos Iniciales'!$A:$A,"3628 Thomas Ave")+SUMIFS(Movimientos!$K$1:$K$987,Movimientos!$C$1:$C$987,"3628 Thomas Ave",Movimientos!$B$1:$B$987,"&lt;="&amp;$B100)</f>
        <v>20106.099999999999</v>
      </c>
      <c r="T100" s="24">
        <f>SUMIFS('Saldos Iniciales'!$D:$D,'Saldos Iniciales'!$A:$A,"Green Harbor Trust")+SUMIFS(Movimientos!$K$1:$K$987,Movimientos!$C$1:$C$987,"Green Harbor Trust",Movimientos!$B$1:$B$987,"&lt;="&amp;$B100)</f>
        <v>345</v>
      </c>
      <c r="U100" s="24">
        <f>SUMIFS('Saldos Iniciales'!$D:$D,'Saldos Iniciales'!$A:$A,"Go Blue")+SUMIFS(Movimientos!$K$1:$K$987,Movimientos!$C$1:$C$987,"Go Blue",Movimientos!$B$1:$B$987,"&lt;="&amp;$B100)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Group")+SUMIFS(Movimientos!$K$1:$K$987,Movimientos!$C$1:$C$987,"CFT Group",Movimientos!$B$1:$B$987,"&lt;="&amp;$B101)</f>
        <v>1234723.7400000002</v>
      </c>
      <c r="D101" s="24">
        <f>SUMIFS('Saldos Iniciales'!$D:$D,'Saldos Iniciales'!$A:$A,"M1B")+SUMIFS(Movimientos!$K$1:$K$987,Movimientos!$C$1:$C$987,"M1B",Movimientos!$B$1:$B$987,"&lt;="&amp;$B101)</f>
        <v>83211.250000000175</v>
      </c>
      <c r="E101" s="24">
        <f>SUMIFS('Saldos Iniciales'!$D:$D,'Saldos Iniciales'!$A:$A,"Durand")+SUMIFS(Movimientos!$K$1:$K$987,Movimientos!$C$1:$C$987,"Durand",Movimientos!$B$1:$B$987,"&lt;="&amp;$B101)</f>
        <v>1669.89</v>
      </c>
      <c r="F101" s="24">
        <f>SUMIFS('Saldos Iniciales'!$D:$D,'Saldos Iniciales'!$A:$A,"A&amp;M Imports")+SUMIFS(Movimientos!$K$1:$K$987,Movimientos!$C$1:$C$987,"A&amp;M Imports",Movimientos!$B$1:$B$987,"&lt;="&amp;$B101)</f>
        <v>1180491.7</v>
      </c>
      <c r="G101" s="24">
        <f>SUMIFS('Saldos Iniciales'!$D:$D,'Saldos Iniciales'!$A:$A,"SSP Capital")+SUMIFS(Movimientos!$K$1:$K$987,Movimientos!$C$1:$C$987,"SSP Capital",Movimientos!$B$1:$B$987,"&lt;="&amp;$B101)</f>
        <v>2116315.9099999997</v>
      </c>
      <c r="H101" s="24">
        <f>SUMIFS('Saldos Iniciales'!$D:$D,'Saldos Iniciales'!$A:$A,"Cross Family Trust")+SUMIFS(Movimientos!$K$1:$K$987,Movimientos!$C$1:$C$987,"Cross Family Trust",Movimientos!$B$1:$B$987,"&lt;="&amp;$B101)</f>
        <v>171496.38</v>
      </c>
      <c r="I101" s="24">
        <f>SUMIFS('Saldos Iniciales'!$D:$D,'Saldos Iniciales'!$A:$A,"Cross Security Trust")+SUMIFS(Movimientos!$K$1:$K$987,Movimientos!$C$1:$C$987,"Cross Security Trust",Movimientos!$B$1:$B$987,"&lt;="&amp;$B101)</f>
        <v>88067.39</v>
      </c>
      <c r="J101" s="24">
        <f>SUMIFS('Saldos Iniciales'!$D:$D,'Saldos Iniciales'!$A:$A,"Electrama")+SUMIFS(Movimientos!$K$1:$K$987,Movimientos!$C$1:$C$987,"Electrama",Movimientos!$B$1:$B$987,"&lt;="&amp;$B101)</f>
        <v>13270.02</v>
      </c>
      <c r="K101" s="24">
        <f>SUMIFS('Saldos Iniciales'!$D:$D,'Saldos Iniciales'!$A:$A,"Sacred Valley Capital")+SUMIFS(Movimientos!$K$1:$K$987,Movimientos!$C$1:$C$987,"Sacred Valley Capital",Movimientos!$B$1:$B$987,"&lt;="&amp;$B101)</f>
        <v>24.450000000000003</v>
      </c>
      <c r="L101" s="24">
        <f>SUMIFS('Saldos Iniciales'!$D:$D,'Saldos Iniciales'!$A:$A,"YWC Capital")+SUMIFS(Movimientos!$K$1:$K$987,Movimientos!$C$1:$C$987,"YWC Capital",Movimientos!$B$1:$B$987,"&lt;="&amp;$B101)</f>
        <v>2177.87</v>
      </c>
      <c r="M101" s="24">
        <f>SUMIFS('Saldos Iniciales'!$D:$D,'Saldos Iniciales'!$A:$A,"Soweto")+SUMIFS(Movimientos!$K$1:$K$987,Movimientos!$C$1:$C$987,"Soweto",Movimientos!$B$1:$B$987,"&lt;="&amp;$B101)</f>
        <v>1454589.72</v>
      </c>
      <c r="N101" s="24">
        <f>SUMIFS('Saldos Iniciales'!$D:$D,'Saldos Iniciales'!$A:$A,"Green Stone Trust")+SUMIFS(Movimientos!$K$1:$K$987,Movimientos!$C$1:$C$987,"Green Stone Trust",Movimientos!$B$1:$B$987,"&lt;="&amp;$B101)</f>
        <v>1968.99</v>
      </c>
      <c r="O101" s="24">
        <f>SUMIFS('Saldos Iniciales'!$D:$D,'Saldos Iniciales'!$A:$A,"EC Auto")+SUMIFS(Movimientos!$K$1:$K$987,Movimientos!$C$1:$C$987,"EC Auto",Movimientos!$B$1:$B$987,"&lt;="&amp;$B101)</f>
        <v>901.34</v>
      </c>
      <c r="P101" s="24">
        <f>SUMIFS('Saldos Iniciales'!$D:$D,'Saldos Iniciales'!$A:$A,"Arbor Capital Properties")+SUMIFS(Movimientos!$K$1:$K$987,Movimientos!$C$1:$C$987,"Arbor Capital Properties",Movimientos!$B$1:$B$987,"&lt;="&amp;$B101)</f>
        <v>1396.08</v>
      </c>
      <c r="Q101" s="24">
        <f>SUMIFS('Saldos Iniciales'!$D:$D,'Saldos Iniciales'!$A:$A,"2515 Overbrook")+SUMIFS(Movimientos!$K$1:$K$987,Movimientos!$C$1:$C$987,"2515 Overbrook",Movimientos!$B$1:$B$987,"&lt;="&amp;$B101)</f>
        <v>11259.639999999961</v>
      </c>
      <c r="R101" s="24">
        <f>SUMIFS('Saldos Iniciales'!$D:$D,'Saldos Iniciales'!$A:$A,"112 Florida Ave")+SUMIFS(Movimientos!$K$1:$K$987,Movimientos!$C$1:$C$987,"112 Florida Ave",Movimientos!$B$1:$B$987,"&lt;="&amp;$B101)</f>
        <v>8724.1700000000037</v>
      </c>
      <c r="S101" s="24">
        <f>SUMIFS('Saldos Iniciales'!$D:$D,'Saldos Iniciales'!$A:$A,"3628 Thomas Ave")+SUMIFS(Movimientos!$K$1:$K$987,Movimientos!$C$1:$C$987,"3628 Thomas Ave",Movimientos!$B$1:$B$987,"&lt;="&amp;$B101)</f>
        <v>20106.099999999999</v>
      </c>
      <c r="T101" s="24">
        <f>SUMIFS('Saldos Iniciales'!$D:$D,'Saldos Iniciales'!$A:$A,"Green Harbor Trust")+SUMIFS(Movimientos!$K$1:$K$987,Movimientos!$C$1:$C$987,"Green Harbor Trust",Movimientos!$B$1:$B$987,"&lt;="&amp;$B101)</f>
        <v>345</v>
      </c>
      <c r="U101" s="24">
        <f>SUMIFS('Saldos Iniciales'!$D:$D,'Saldos Iniciales'!$A:$A,"Go Blue")+SUMIFS(Movimientos!$K$1:$K$987,Movimientos!$C$1:$C$987,"Go Blue",Movimientos!$B$1:$B$987,"&lt;="&amp;$B101)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Group")+SUMIFS(Movimientos!$K$1:$K$987,Movimientos!$C$1:$C$987,"CFT Group",Movimientos!$B$1:$B$987,"&lt;="&amp;$B102)</f>
        <v>1234723.7400000002</v>
      </c>
      <c r="D102" s="24">
        <f>SUMIFS('Saldos Iniciales'!$D:$D,'Saldos Iniciales'!$A:$A,"M1B")+SUMIFS(Movimientos!$K$1:$K$987,Movimientos!$C$1:$C$987,"M1B",Movimientos!$B$1:$B$987,"&lt;="&amp;$B102)</f>
        <v>83211.250000000175</v>
      </c>
      <c r="E102" s="24">
        <f>SUMIFS('Saldos Iniciales'!$D:$D,'Saldos Iniciales'!$A:$A,"Durand")+SUMIFS(Movimientos!$K$1:$K$987,Movimientos!$C$1:$C$987,"Durand",Movimientos!$B$1:$B$987,"&lt;="&amp;$B102)</f>
        <v>1669.89</v>
      </c>
      <c r="F102" s="24">
        <f>SUMIFS('Saldos Iniciales'!$D:$D,'Saldos Iniciales'!$A:$A,"A&amp;M Imports")+SUMIFS(Movimientos!$K$1:$K$987,Movimientos!$C$1:$C$987,"A&amp;M Imports",Movimientos!$B$1:$B$987,"&lt;="&amp;$B102)</f>
        <v>1180491.7</v>
      </c>
      <c r="G102" s="24">
        <f>SUMIFS('Saldos Iniciales'!$D:$D,'Saldos Iniciales'!$A:$A,"SSP Capital")+SUMIFS(Movimientos!$K$1:$K$987,Movimientos!$C$1:$C$987,"SSP Capital",Movimientos!$B$1:$B$987,"&lt;="&amp;$B102)</f>
        <v>2116315.9099999997</v>
      </c>
      <c r="H102" s="24">
        <f>SUMIFS('Saldos Iniciales'!$D:$D,'Saldos Iniciales'!$A:$A,"Cross Family Trust")+SUMIFS(Movimientos!$K$1:$K$987,Movimientos!$C$1:$C$987,"Cross Family Trust",Movimientos!$B$1:$B$987,"&lt;="&amp;$B102)</f>
        <v>171496.38</v>
      </c>
      <c r="I102" s="24">
        <f>SUMIFS('Saldos Iniciales'!$D:$D,'Saldos Iniciales'!$A:$A,"Cross Security Trust")+SUMIFS(Movimientos!$K$1:$K$987,Movimientos!$C$1:$C$987,"Cross Security Trust",Movimientos!$B$1:$B$987,"&lt;="&amp;$B102)</f>
        <v>88067.39</v>
      </c>
      <c r="J102" s="24">
        <f>SUMIFS('Saldos Iniciales'!$D:$D,'Saldos Iniciales'!$A:$A,"Electrama")+SUMIFS(Movimientos!$K$1:$K$987,Movimientos!$C$1:$C$987,"Electrama",Movimientos!$B$1:$B$987,"&lt;="&amp;$B102)</f>
        <v>13270.02</v>
      </c>
      <c r="K102" s="24">
        <f>SUMIFS('Saldos Iniciales'!$D:$D,'Saldos Iniciales'!$A:$A,"Sacred Valley Capital")+SUMIFS(Movimientos!$K$1:$K$987,Movimientos!$C$1:$C$987,"Sacred Valley Capital",Movimientos!$B$1:$B$987,"&lt;="&amp;$B102)</f>
        <v>24.450000000000003</v>
      </c>
      <c r="L102" s="24">
        <f>SUMIFS('Saldos Iniciales'!$D:$D,'Saldos Iniciales'!$A:$A,"YWC Capital")+SUMIFS(Movimientos!$K$1:$K$987,Movimientos!$C$1:$C$987,"YWC Capital",Movimientos!$B$1:$B$987,"&lt;="&amp;$B102)</f>
        <v>2177.87</v>
      </c>
      <c r="M102" s="24">
        <f>SUMIFS('Saldos Iniciales'!$D:$D,'Saldos Iniciales'!$A:$A,"Soweto")+SUMIFS(Movimientos!$K$1:$K$987,Movimientos!$C$1:$C$987,"Soweto",Movimientos!$B$1:$B$987,"&lt;="&amp;$B102)</f>
        <v>1454589.72</v>
      </c>
      <c r="N102" s="24">
        <f>SUMIFS('Saldos Iniciales'!$D:$D,'Saldos Iniciales'!$A:$A,"Green Stone Trust")+SUMIFS(Movimientos!$K$1:$K$987,Movimientos!$C$1:$C$987,"Green Stone Trust",Movimientos!$B$1:$B$987,"&lt;="&amp;$B102)</f>
        <v>1968.99</v>
      </c>
      <c r="O102" s="24">
        <f>SUMIFS('Saldos Iniciales'!$D:$D,'Saldos Iniciales'!$A:$A,"EC Auto")+SUMIFS(Movimientos!$K$1:$K$987,Movimientos!$C$1:$C$987,"EC Auto",Movimientos!$B$1:$B$987,"&lt;="&amp;$B102)</f>
        <v>901.34</v>
      </c>
      <c r="P102" s="24">
        <f>SUMIFS('Saldos Iniciales'!$D:$D,'Saldos Iniciales'!$A:$A,"Arbor Capital Properties")+SUMIFS(Movimientos!$K$1:$K$987,Movimientos!$C$1:$C$987,"Arbor Capital Properties",Movimientos!$B$1:$B$987,"&lt;="&amp;$B102)</f>
        <v>1396.08</v>
      </c>
      <c r="Q102" s="24">
        <f>SUMIFS('Saldos Iniciales'!$D:$D,'Saldos Iniciales'!$A:$A,"2515 Overbrook")+SUMIFS(Movimientos!$K$1:$K$987,Movimientos!$C$1:$C$987,"2515 Overbrook",Movimientos!$B$1:$B$987,"&lt;="&amp;$B102)</f>
        <v>11259.639999999961</v>
      </c>
      <c r="R102" s="24">
        <f>SUMIFS('Saldos Iniciales'!$D:$D,'Saldos Iniciales'!$A:$A,"112 Florida Ave")+SUMIFS(Movimientos!$K$1:$K$987,Movimientos!$C$1:$C$987,"112 Florida Ave",Movimientos!$B$1:$B$987,"&lt;="&amp;$B102)</f>
        <v>8724.1700000000037</v>
      </c>
      <c r="S102" s="24">
        <f>SUMIFS('Saldos Iniciales'!$D:$D,'Saldos Iniciales'!$A:$A,"3628 Thomas Ave")+SUMIFS(Movimientos!$K$1:$K$987,Movimientos!$C$1:$C$987,"3628 Thomas Ave",Movimientos!$B$1:$B$987,"&lt;="&amp;$B102)</f>
        <v>20106.099999999999</v>
      </c>
      <c r="T102" s="24">
        <f>SUMIFS('Saldos Iniciales'!$D:$D,'Saldos Iniciales'!$A:$A,"Green Harbor Trust")+SUMIFS(Movimientos!$K$1:$K$987,Movimientos!$C$1:$C$987,"Green Harbor Trust",Movimientos!$B$1:$B$987,"&lt;="&amp;$B102)</f>
        <v>345</v>
      </c>
      <c r="U102" s="24">
        <f>SUMIFS('Saldos Iniciales'!$D:$D,'Saldos Iniciales'!$A:$A,"Go Blue")+SUMIFS(Movimientos!$K$1:$K$987,Movimientos!$C$1:$C$987,"Go Blue",Movimientos!$B$1:$B$987,"&lt;="&amp;$B102)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Group")+SUMIFS(Movimientos!$K$1:$K$987,Movimientos!$C$1:$C$987,"CFT Group",Movimientos!$B$1:$B$987,"&lt;="&amp;$B103)</f>
        <v>1341410.31</v>
      </c>
      <c r="D103" s="24">
        <f>SUMIFS('Saldos Iniciales'!$D:$D,'Saldos Iniciales'!$A:$A,"M1B")+SUMIFS(Movimientos!$K$1:$K$987,Movimientos!$C$1:$C$987,"M1B",Movimientos!$B$1:$B$987,"&lt;="&amp;$B103)</f>
        <v>83211.250000000175</v>
      </c>
      <c r="E103" s="24">
        <f>SUMIFS('Saldos Iniciales'!$D:$D,'Saldos Iniciales'!$A:$A,"Durand")+SUMIFS(Movimientos!$K$1:$K$987,Movimientos!$C$1:$C$987,"Durand",Movimientos!$B$1:$B$987,"&lt;="&amp;$B103)</f>
        <v>1669.89</v>
      </c>
      <c r="F103" s="24">
        <f>SUMIFS('Saldos Iniciales'!$D:$D,'Saldos Iniciales'!$A:$A,"A&amp;M Imports")+SUMIFS(Movimientos!$K$1:$K$987,Movimientos!$C$1:$C$987,"A&amp;M Imports",Movimientos!$B$1:$B$987,"&lt;="&amp;$B103)</f>
        <v>1180491.7</v>
      </c>
      <c r="G103" s="24">
        <f>SUMIFS('Saldos Iniciales'!$D:$D,'Saldos Iniciales'!$A:$A,"SSP Capital")+SUMIFS(Movimientos!$K$1:$K$987,Movimientos!$C$1:$C$987,"SSP Capital",Movimientos!$B$1:$B$987,"&lt;="&amp;$B103)</f>
        <v>2113044.0199999996</v>
      </c>
      <c r="H103" s="24">
        <f>SUMIFS('Saldos Iniciales'!$D:$D,'Saldos Iniciales'!$A:$A,"Cross Family Trust")+SUMIFS(Movimientos!$K$1:$K$987,Movimientos!$C$1:$C$987,"Cross Family Trust",Movimientos!$B$1:$B$987,"&lt;="&amp;$B103)</f>
        <v>171496.38</v>
      </c>
      <c r="I103" s="24">
        <f>SUMIFS('Saldos Iniciales'!$D:$D,'Saldos Iniciales'!$A:$A,"Cross Security Trust")+SUMIFS(Movimientos!$K$1:$K$987,Movimientos!$C$1:$C$987,"Cross Security Trust",Movimientos!$B$1:$B$987,"&lt;="&amp;$B103)</f>
        <v>88067.39</v>
      </c>
      <c r="J103" s="24">
        <f>SUMIFS('Saldos Iniciales'!$D:$D,'Saldos Iniciales'!$A:$A,"Electrama")+SUMIFS(Movimientos!$K$1:$K$987,Movimientos!$C$1:$C$987,"Electrama",Movimientos!$B$1:$B$987,"&lt;="&amp;$B103)</f>
        <v>13270.02</v>
      </c>
      <c r="K103" s="24">
        <f>SUMIFS('Saldos Iniciales'!$D:$D,'Saldos Iniciales'!$A:$A,"Sacred Valley Capital")+SUMIFS(Movimientos!$K$1:$K$987,Movimientos!$C$1:$C$987,"Sacred Valley Capital",Movimientos!$B$1:$B$987,"&lt;="&amp;$B103)</f>
        <v>24.450000000000003</v>
      </c>
      <c r="L103" s="24">
        <f>SUMIFS('Saldos Iniciales'!$D:$D,'Saldos Iniciales'!$A:$A,"YWC Capital")+SUMIFS(Movimientos!$K$1:$K$987,Movimientos!$C$1:$C$987,"YWC Capital",Movimientos!$B$1:$B$987,"&lt;="&amp;$B103)</f>
        <v>2177.87</v>
      </c>
      <c r="M103" s="24">
        <f>SUMIFS('Saldos Iniciales'!$D:$D,'Saldos Iniciales'!$A:$A,"Soweto")+SUMIFS(Movimientos!$K$1:$K$987,Movimientos!$C$1:$C$987,"Soweto",Movimientos!$B$1:$B$987,"&lt;="&amp;$B103)</f>
        <v>1454589.72</v>
      </c>
      <c r="N103" s="24">
        <f>SUMIFS('Saldos Iniciales'!$D:$D,'Saldos Iniciales'!$A:$A,"Green Stone Trust")+SUMIFS(Movimientos!$K$1:$K$987,Movimientos!$C$1:$C$987,"Green Stone Trust",Movimientos!$B$1:$B$987,"&lt;="&amp;$B103)</f>
        <v>1968.99</v>
      </c>
      <c r="O103" s="24">
        <f>SUMIFS('Saldos Iniciales'!$D:$D,'Saldos Iniciales'!$A:$A,"EC Auto")+SUMIFS(Movimientos!$K$1:$K$987,Movimientos!$C$1:$C$987,"EC Auto",Movimientos!$B$1:$B$987,"&lt;="&amp;$B103)</f>
        <v>901.34</v>
      </c>
      <c r="P103" s="24">
        <f>SUMIFS('Saldos Iniciales'!$D:$D,'Saldos Iniciales'!$A:$A,"Arbor Capital Properties")+SUMIFS(Movimientos!$K$1:$K$987,Movimientos!$C$1:$C$987,"Arbor Capital Properties",Movimientos!$B$1:$B$987,"&lt;="&amp;$B103)</f>
        <v>1396.08</v>
      </c>
      <c r="Q103" s="24">
        <f>SUMIFS('Saldos Iniciales'!$D:$D,'Saldos Iniciales'!$A:$A,"2515 Overbrook")+SUMIFS(Movimientos!$K$1:$K$987,Movimientos!$C$1:$C$987,"2515 Overbrook",Movimientos!$B$1:$B$987,"&lt;="&amp;$B103)</f>
        <v>3700.7099999999591</v>
      </c>
      <c r="R103" s="24">
        <f>SUMIFS('Saldos Iniciales'!$D:$D,'Saldos Iniciales'!$A:$A,"112 Florida Ave")+SUMIFS(Movimientos!$K$1:$K$987,Movimientos!$C$1:$C$987,"112 Florida Ave",Movimientos!$B$1:$B$987,"&lt;="&amp;$B103)</f>
        <v>8724.1700000000037</v>
      </c>
      <c r="S103" s="24">
        <f>SUMIFS('Saldos Iniciales'!$D:$D,'Saldos Iniciales'!$A:$A,"3628 Thomas Ave")+SUMIFS(Movimientos!$K$1:$K$987,Movimientos!$C$1:$C$987,"3628 Thomas Ave",Movimientos!$B$1:$B$987,"&lt;="&amp;$B103)</f>
        <v>20106.099999999999</v>
      </c>
      <c r="T103" s="24">
        <f>SUMIFS('Saldos Iniciales'!$D:$D,'Saldos Iniciales'!$A:$A,"Green Harbor Trust")+SUMIFS(Movimientos!$K$1:$K$987,Movimientos!$C$1:$C$987,"Green Harbor Trust",Movimientos!$B$1:$B$987,"&lt;="&amp;$B103)</f>
        <v>345</v>
      </c>
      <c r="U103" s="24">
        <f>SUMIFS('Saldos Iniciales'!$D:$D,'Saldos Iniciales'!$A:$A,"Go Blue")+SUMIFS(Movimientos!$K$1:$K$987,Movimientos!$C$1:$C$987,"Go Blue",Movimientos!$B$1:$B$987,"&lt;="&amp;$B103)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Group")+SUMIFS(Movimientos!$K$1:$K$987,Movimientos!$C$1:$C$987,"CFT Group",Movimientos!$B$1:$B$987,"&lt;="&amp;$B104)</f>
        <v>1341410.31</v>
      </c>
      <c r="D104" s="24">
        <f>SUMIFS('Saldos Iniciales'!$D:$D,'Saldos Iniciales'!$A:$A,"M1B")+SUMIFS(Movimientos!$K$1:$K$987,Movimientos!$C$1:$C$987,"M1B",Movimientos!$B$1:$B$987,"&lt;="&amp;$B104)</f>
        <v>83211.250000000175</v>
      </c>
      <c r="E104" s="24">
        <f>SUMIFS('Saldos Iniciales'!$D:$D,'Saldos Iniciales'!$A:$A,"Durand")+SUMIFS(Movimientos!$K$1:$K$987,Movimientos!$C$1:$C$987,"Durand",Movimientos!$B$1:$B$987,"&lt;="&amp;$B104)</f>
        <v>1669.89</v>
      </c>
      <c r="F104" s="24">
        <f>SUMIFS('Saldos Iniciales'!$D:$D,'Saldos Iniciales'!$A:$A,"A&amp;M Imports")+SUMIFS(Movimientos!$K$1:$K$987,Movimientos!$C$1:$C$987,"A&amp;M Imports",Movimientos!$B$1:$B$987,"&lt;="&amp;$B104)</f>
        <v>1180491.7</v>
      </c>
      <c r="G104" s="24">
        <f>SUMIFS('Saldos Iniciales'!$D:$D,'Saldos Iniciales'!$A:$A,"SSP Capital")+SUMIFS(Movimientos!$K$1:$K$987,Movimientos!$C$1:$C$987,"SSP Capital",Movimientos!$B$1:$B$987,"&lt;="&amp;$B104)</f>
        <v>1637162.9399999995</v>
      </c>
      <c r="H104" s="24">
        <f>SUMIFS('Saldos Iniciales'!$D:$D,'Saldos Iniciales'!$A:$A,"Cross Family Trust")+SUMIFS(Movimientos!$K$1:$K$987,Movimientos!$C$1:$C$987,"Cross Family Trust",Movimientos!$B$1:$B$987,"&lt;="&amp;$B104)</f>
        <v>171496.38</v>
      </c>
      <c r="I104" s="24">
        <f>SUMIFS('Saldos Iniciales'!$D:$D,'Saldos Iniciales'!$A:$A,"Cross Security Trust")+SUMIFS(Movimientos!$K$1:$K$987,Movimientos!$C$1:$C$987,"Cross Security Trust",Movimientos!$B$1:$B$987,"&lt;="&amp;$B104)</f>
        <v>88067.39</v>
      </c>
      <c r="J104" s="24">
        <f>SUMIFS('Saldos Iniciales'!$D:$D,'Saldos Iniciales'!$A:$A,"Electrama")+SUMIFS(Movimientos!$K$1:$K$987,Movimientos!$C$1:$C$987,"Electrama",Movimientos!$B$1:$B$987,"&lt;="&amp;$B104)</f>
        <v>13270.02</v>
      </c>
      <c r="K104" s="24">
        <f>SUMIFS('Saldos Iniciales'!$D:$D,'Saldos Iniciales'!$A:$A,"Sacred Valley Capital")+SUMIFS(Movimientos!$K$1:$K$987,Movimientos!$C$1:$C$987,"Sacred Valley Capital",Movimientos!$B$1:$B$987,"&lt;="&amp;$B104)</f>
        <v>24.450000000000003</v>
      </c>
      <c r="L104" s="24">
        <f>SUMIFS('Saldos Iniciales'!$D:$D,'Saldos Iniciales'!$A:$A,"YWC Capital")+SUMIFS(Movimientos!$K$1:$K$987,Movimientos!$C$1:$C$987,"YWC Capital",Movimientos!$B$1:$B$987,"&lt;="&amp;$B104)</f>
        <v>2177.87</v>
      </c>
      <c r="M104" s="24">
        <f>SUMIFS('Saldos Iniciales'!$D:$D,'Saldos Iniciales'!$A:$A,"Soweto")+SUMIFS(Movimientos!$K$1:$K$987,Movimientos!$C$1:$C$987,"Soweto",Movimientos!$B$1:$B$987,"&lt;="&amp;$B104)</f>
        <v>1454589.72</v>
      </c>
      <c r="N104" s="24">
        <f>SUMIFS('Saldos Iniciales'!$D:$D,'Saldos Iniciales'!$A:$A,"Green Stone Trust")+SUMIFS(Movimientos!$K$1:$K$987,Movimientos!$C$1:$C$987,"Green Stone Trust",Movimientos!$B$1:$B$987,"&lt;="&amp;$B104)</f>
        <v>1968.99</v>
      </c>
      <c r="O104" s="24">
        <f>SUMIFS('Saldos Iniciales'!$D:$D,'Saldos Iniciales'!$A:$A,"EC Auto")+SUMIFS(Movimientos!$K$1:$K$987,Movimientos!$C$1:$C$987,"EC Auto",Movimientos!$B$1:$B$987,"&lt;="&amp;$B104)</f>
        <v>901.34</v>
      </c>
      <c r="P104" s="24">
        <f>SUMIFS('Saldos Iniciales'!$D:$D,'Saldos Iniciales'!$A:$A,"Arbor Capital Properties")+SUMIFS(Movimientos!$K$1:$K$987,Movimientos!$C$1:$C$987,"Arbor Capital Properties",Movimientos!$B$1:$B$987,"&lt;="&amp;$B104)</f>
        <v>1396.08</v>
      </c>
      <c r="Q104" s="24">
        <f>SUMIFS('Saldos Iniciales'!$D:$D,'Saldos Iniciales'!$A:$A,"2515 Overbrook")+SUMIFS(Movimientos!$K$1:$K$987,Movimientos!$C$1:$C$987,"2515 Overbrook",Movimientos!$B$1:$B$987,"&lt;="&amp;$B104)</f>
        <v>3700.7099999999591</v>
      </c>
      <c r="R104" s="24">
        <f>SUMIFS('Saldos Iniciales'!$D:$D,'Saldos Iniciales'!$A:$A,"112 Florida Ave")+SUMIFS(Movimientos!$K$1:$K$987,Movimientos!$C$1:$C$987,"112 Florida Ave",Movimientos!$B$1:$B$987,"&lt;="&amp;$B104)</f>
        <v>8724.1700000000037</v>
      </c>
      <c r="S104" s="24">
        <f>SUMIFS('Saldos Iniciales'!$D:$D,'Saldos Iniciales'!$A:$A,"3628 Thomas Ave")+SUMIFS(Movimientos!$K$1:$K$987,Movimientos!$C$1:$C$987,"3628 Thomas Ave",Movimientos!$B$1:$B$987,"&lt;="&amp;$B104)</f>
        <v>19442.439999999995</v>
      </c>
      <c r="T104" s="24">
        <f>SUMIFS('Saldos Iniciales'!$D:$D,'Saldos Iniciales'!$A:$A,"Green Harbor Trust")+SUMIFS(Movimientos!$K$1:$K$987,Movimientos!$C$1:$C$987,"Green Harbor Trust",Movimientos!$B$1:$B$987,"&lt;="&amp;$B104)</f>
        <v>345</v>
      </c>
      <c r="U104" s="24">
        <f>SUMIFS('Saldos Iniciales'!$D:$D,'Saldos Iniciales'!$A:$A,"Go Blue")+SUMIFS(Movimientos!$K$1:$K$987,Movimientos!$C$1:$C$987,"Go Blue",Movimientos!$B$1:$B$987,"&lt;="&amp;$B104)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Group")+SUMIFS(Movimientos!$K$1:$K$987,Movimientos!$C$1:$C$987,"CFT Group",Movimientos!$B$1:$B$987,"&lt;="&amp;$B105)</f>
        <v>1341410.31</v>
      </c>
      <c r="D105" s="24">
        <f>SUMIFS('Saldos Iniciales'!$D:$D,'Saldos Iniciales'!$A:$A,"M1B")+SUMIFS(Movimientos!$K$1:$K$987,Movimientos!$C$1:$C$987,"M1B",Movimientos!$B$1:$B$987,"&lt;="&amp;$B105)</f>
        <v>83211.250000000175</v>
      </c>
      <c r="E105" s="24">
        <f>SUMIFS('Saldos Iniciales'!$D:$D,'Saldos Iniciales'!$A:$A,"Durand")+SUMIFS(Movimientos!$K$1:$K$987,Movimientos!$C$1:$C$987,"Durand",Movimientos!$B$1:$B$987,"&lt;="&amp;$B105)</f>
        <v>1669.89</v>
      </c>
      <c r="F105" s="24">
        <f>SUMIFS('Saldos Iniciales'!$D:$D,'Saldos Iniciales'!$A:$A,"A&amp;M Imports")+SUMIFS(Movimientos!$K$1:$K$987,Movimientos!$C$1:$C$987,"A&amp;M Imports",Movimientos!$B$1:$B$987,"&lt;="&amp;$B105)</f>
        <v>1180491.7</v>
      </c>
      <c r="G105" s="24">
        <f>SUMIFS('Saldos Iniciales'!$D:$D,'Saldos Iniciales'!$A:$A,"SSP Capital")+SUMIFS(Movimientos!$K$1:$K$987,Movimientos!$C$1:$C$987,"SSP Capital",Movimientos!$B$1:$B$987,"&lt;="&amp;$B105)</f>
        <v>1637156.9399999995</v>
      </c>
      <c r="H105" s="24">
        <f>SUMIFS('Saldos Iniciales'!$D:$D,'Saldos Iniciales'!$A:$A,"Cross Family Trust")+SUMIFS(Movimientos!$K$1:$K$987,Movimientos!$C$1:$C$987,"Cross Family Trust",Movimientos!$B$1:$B$987,"&lt;="&amp;$B105)</f>
        <v>731496.38</v>
      </c>
      <c r="I105" s="24">
        <f>SUMIFS('Saldos Iniciales'!$D:$D,'Saldos Iniciales'!$A:$A,"Cross Security Trust")+SUMIFS(Movimientos!$K$1:$K$987,Movimientos!$C$1:$C$987,"Cross Security Trust",Movimientos!$B$1:$B$987,"&lt;="&amp;$B105)</f>
        <v>158067.38999999998</v>
      </c>
      <c r="J105" s="24">
        <f>SUMIFS('Saldos Iniciales'!$D:$D,'Saldos Iniciales'!$A:$A,"Electrama")+SUMIFS(Movimientos!$K$1:$K$987,Movimientos!$C$1:$C$987,"Electrama",Movimientos!$B$1:$B$987,"&lt;="&amp;$B105)</f>
        <v>13270.02</v>
      </c>
      <c r="K105" s="24">
        <f>SUMIFS('Saldos Iniciales'!$D:$D,'Saldos Iniciales'!$A:$A,"Sacred Valley Capital")+SUMIFS(Movimientos!$K$1:$K$987,Movimientos!$C$1:$C$987,"Sacred Valley Capital",Movimientos!$B$1:$B$987,"&lt;="&amp;$B105)</f>
        <v>24.450000000000003</v>
      </c>
      <c r="L105" s="24">
        <f>SUMIFS('Saldos Iniciales'!$D:$D,'Saldos Iniciales'!$A:$A,"YWC Capital")+SUMIFS(Movimientos!$K$1:$K$987,Movimientos!$C$1:$C$987,"YWC Capital",Movimientos!$B$1:$B$987,"&lt;="&amp;$B105)</f>
        <v>2177.87</v>
      </c>
      <c r="M105" s="24">
        <f>SUMIFS('Saldos Iniciales'!$D:$D,'Saldos Iniciales'!$A:$A,"Soweto")+SUMIFS(Movimientos!$K$1:$K$987,Movimientos!$C$1:$C$987,"Soweto",Movimientos!$B$1:$B$987,"&lt;="&amp;$B105)</f>
        <v>754424.72</v>
      </c>
      <c r="N105" s="24">
        <f>SUMIFS('Saldos Iniciales'!$D:$D,'Saldos Iniciales'!$A:$A,"Green Stone Trust")+SUMIFS(Movimientos!$K$1:$K$987,Movimientos!$C$1:$C$987,"Green Stone Trust",Movimientos!$B$1:$B$987,"&lt;="&amp;$B105)</f>
        <v>1968.99</v>
      </c>
      <c r="O105" s="24">
        <f>SUMIFS('Saldos Iniciales'!$D:$D,'Saldos Iniciales'!$A:$A,"EC Auto")+SUMIFS(Movimientos!$K$1:$K$987,Movimientos!$C$1:$C$987,"EC Auto",Movimientos!$B$1:$B$987,"&lt;="&amp;$B105)</f>
        <v>901.34</v>
      </c>
      <c r="P105" s="24">
        <f>SUMIFS('Saldos Iniciales'!$D:$D,'Saldos Iniciales'!$A:$A,"Arbor Capital Properties")+SUMIFS(Movimientos!$K$1:$K$987,Movimientos!$C$1:$C$987,"Arbor Capital Properties",Movimientos!$B$1:$B$987,"&lt;="&amp;$B105)</f>
        <v>1396.08</v>
      </c>
      <c r="Q105" s="24">
        <f>SUMIFS('Saldos Iniciales'!$D:$D,'Saldos Iniciales'!$A:$A,"2515 Overbrook")+SUMIFS(Movimientos!$K$1:$K$987,Movimientos!$C$1:$C$987,"2515 Overbrook",Movimientos!$B$1:$B$987,"&lt;="&amp;$B105)</f>
        <v>3700.7099999999591</v>
      </c>
      <c r="R105" s="24">
        <f>SUMIFS('Saldos Iniciales'!$D:$D,'Saldos Iniciales'!$A:$A,"112 Florida Ave")+SUMIFS(Movimientos!$K$1:$K$987,Movimientos!$C$1:$C$987,"112 Florida Ave",Movimientos!$B$1:$B$987,"&lt;="&amp;$B105)</f>
        <v>8724.1700000000037</v>
      </c>
      <c r="S105" s="24">
        <f>SUMIFS('Saldos Iniciales'!$D:$D,'Saldos Iniciales'!$A:$A,"3628 Thomas Ave")+SUMIFS(Movimientos!$K$1:$K$987,Movimientos!$C$1:$C$987,"3628 Thomas Ave",Movimientos!$B$1:$B$987,"&lt;="&amp;$B105)</f>
        <v>19336.039999999997</v>
      </c>
      <c r="T105" s="24">
        <f>SUMIFS('Saldos Iniciales'!$D:$D,'Saldos Iniciales'!$A:$A,"Green Harbor Trust")+SUMIFS(Movimientos!$K$1:$K$987,Movimientos!$C$1:$C$987,"Green Harbor Trust",Movimientos!$B$1:$B$987,"&lt;="&amp;$B105)</f>
        <v>345</v>
      </c>
      <c r="U105" s="24">
        <f>SUMIFS('Saldos Iniciales'!$D:$D,'Saldos Iniciales'!$A:$A,"Go Blue")+SUMIFS(Movimientos!$K$1:$K$987,Movimientos!$C$1:$C$987,"Go Blue",Movimientos!$B$1:$B$987,"&lt;="&amp;$B105)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Group")+SUMIFS(Movimientos!$K$1:$K$987,Movimientos!$C$1:$C$987,"CFT Group",Movimientos!$B$1:$B$987,"&lt;="&amp;$B106)</f>
        <v>1122556.9100000004</v>
      </c>
      <c r="D106" s="24">
        <f>SUMIFS('Saldos Iniciales'!$D:$D,'Saldos Iniciales'!$A:$A,"M1B")+SUMIFS(Movimientos!$K$1:$K$987,Movimientos!$C$1:$C$987,"M1B",Movimientos!$B$1:$B$987,"&lt;="&amp;$B106)</f>
        <v>83211.250000000175</v>
      </c>
      <c r="E106" s="24">
        <f>SUMIFS('Saldos Iniciales'!$D:$D,'Saldos Iniciales'!$A:$A,"Durand")+SUMIFS(Movimientos!$K$1:$K$987,Movimientos!$C$1:$C$987,"Durand",Movimientos!$B$1:$B$987,"&lt;="&amp;$B106)</f>
        <v>1669.89</v>
      </c>
      <c r="F106" s="24">
        <f>SUMIFS('Saldos Iniciales'!$D:$D,'Saldos Iniciales'!$A:$A,"A&amp;M Imports")+SUMIFS(Movimientos!$K$1:$K$987,Movimientos!$C$1:$C$987,"A&amp;M Imports",Movimientos!$B$1:$B$987,"&lt;="&amp;$B106)</f>
        <v>1120491.7</v>
      </c>
      <c r="G106" s="24">
        <f>SUMIFS('Saldos Iniciales'!$D:$D,'Saldos Iniciales'!$A:$A,"SSP Capital")+SUMIFS(Movimientos!$K$1:$K$987,Movimientos!$C$1:$C$987,"SSP Capital",Movimientos!$B$1:$B$987,"&lt;="&amp;$B106)</f>
        <v>1433050.7599999995</v>
      </c>
      <c r="H106" s="24">
        <f>SUMIFS('Saldos Iniciales'!$D:$D,'Saldos Iniciales'!$A:$A,"Cross Family Trust")+SUMIFS(Movimientos!$K$1:$K$987,Movimientos!$C$1:$C$987,"Cross Family Trust",Movimientos!$B$1:$B$987,"&lt;="&amp;$B106)</f>
        <v>221496.38</v>
      </c>
      <c r="I106" s="24">
        <f>SUMIFS('Saldos Iniciales'!$D:$D,'Saldos Iniciales'!$A:$A,"Cross Security Trust")+SUMIFS(Movimientos!$K$1:$K$987,Movimientos!$C$1:$C$987,"Cross Security Trust",Movimientos!$B$1:$B$987,"&lt;="&amp;$B106)</f>
        <v>158067.38999999998</v>
      </c>
      <c r="J106" s="24">
        <f>SUMIFS('Saldos Iniciales'!$D:$D,'Saldos Iniciales'!$A:$A,"Electrama")+SUMIFS(Movimientos!$K$1:$K$987,Movimientos!$C$1:$C$987,"Electrama",Movimientos!$B$1:$B$987,"&lt;="&amp;$B106)</f>
        <v>13270.02</v>
      </c>
      <c r="K106" s="24">
        <f>SUMIFS('Saldos Iniciales'!$D:$D,'Saldos Iniciales'!$A:$A,"Sacred Valley Capital")+SUMIFS(Movimientos!$K$1:$K$987,Movimientos!$C$1:$C$987,"Sacred Valley Capital",Movimientos!$B$1:$B$987,"&lt;="&amp;$B106)</f>
        <v>24.450000000000003</v>
      </c>
      <c r="L106" s="24">
        <f>SUMIFS('Saldos Iniciales'!$D:$D,'Saldos Iniciales'!$A:$A,"YWC Capital")+SUMIFS(Movimientos!$K$1:$K$987,Movimientos!$C$1:$C$987,"YWC Capital",Movimientos!$B$1:$B$987,"&lt;="&amp;$B106)</f>
        <v>2177.87</v>
      </c>
      <c r="M106" s="24">
        <f>SUMIFS('Saldos Iniciales'!$D:$D,'Saldos Iniciales'!$A:$A,"Soweto")+SUMIFS(Movimientos!$K$1:$K$987,Movimientos!$C$1:$C$987,"Soweto",Movimientos!$B$1:$B$987,"&lt;="&amp;$B106)</f>
        <v>754424.72</v>
      </c>
      <c r="N106" s="24">
        <f>SUMIFS('Saldos Iniciales'!$D:$D,'Saldos Iniciales'!$A:$A,"Green Stone Trust")+SUMIFS(Movimientos!$K$1:$K$987,Movimientos!$C$1:$C$987,"Green Stone Trust",Movimientos!$B$1:$B$987,"&lt;="&amp;$B106)</f>
        <v>1968.99</v>
      </c>
      <c r="O106" s="24">
        <f>SUMIFS('Saldos Iniciales'!$D:$D,'Saldos Iniciales'!$A:$A,"EC Auto")+SUMIFS(Movimientos!$K$1:$K$987,Movimientos!$C$1:$C$987,"EC Auto",Movimientos!$B$1:$B$987,"&lt;="&amp;$B106)</f>
        <v>901.34</v>
      </c>
      <c r="P106" s="24">
        <f>SUMIFS('Saldos Iniciales'!$D:$D,'Saldos Iniciales'!$A:$A,"Arbor Capital Properties")+SUMIFS(Movimientos!$K$1:$K$987,Movimientos!$C$1:$C$987,"Arbor Capital Properties",Movimientos!$B$1:$B$987,"&lt;="&amp;$B106)</f>
        <v>1396.08</v>
      </c>
      <c r="Q106" s="24">
        <f>SUMIFS('Saldos Iniciales'!$D:$D,'Saldos Iniciales'!$A:$A,"2515 Overbrook")+SUMIFS(Movimientos!$K$1:$K$987,Movimientos!$C$1:$C$987,"2515 Overbrook",Movimientos!$B$1:$B$987,"&lt;="&amp;$B106)</f>
        <v>13700.709999999959</v>
      </c>
      <c r="R106" s="24">
        <f>SUMIFS('Saldos Iniciales'!$D:$D,'Saldos Iniciales'!$A:$A,"112 Florida Ave")+SUMIFS(Movimientos!$K$1:$K$987,Movimientos!$C$1:$C$987,"112 Florida Ave",Movimientos!$B$1:$B$987,"&lt;="&amp;$B106)</f>
        <v>8724.1700000000037</v>
      </c>
      <c r="S106" s="24">
        <f>SUMIFS('Saldos Iniciales'!$D:$D,'Saldos Iniciales'!$A:$A,"3628 Thomas Ave")+SUMIFS(Movimientos!$K$1:$K$987,Movimientos!$C$1:$C$987,"3628 Thomas Ave",Movimientos!$B$1:$B$987,"&lt;="&amp;$B106)</f>
        <v>19336.039999999997</v>
      </c>
      <c r="T106" s="24">
        <f>SUMIFS('Saldos Iniciales'!$D:$D,'Saldos Iniciales'!$A:$A,"Green Harbor Trust")+SUMIFS(Movimientos!$K$1:$K$987,Movimientos!$C$1:$C$987,"Green Harbor Trust",Movimientos!$B$1:$B$987,"&lt;="&amp;$B106)</f>
        <v>345</v>
      </c>
      <c r="U106" s="24">
        <f>SUMIFS('Saldos Iniciales'!$D:$D,'Saldos Iniciales'!$A:$A,"Go Blue")+SUMIFS(Movimientos!$K$1:$K$987,Movimientos!$C$1:$C$987,"Go Blue",Movimientos!$B$1:$B$987,"&lt;="&amp;$B106)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Group")+SUMIFS(Movimientos!$K$1:$K$987,Movimientos!$C$1:$C$987,"CFT Group",Movimientos!$B$1:$B$987,"&lt;="&amp;$B107)</f>
        <v>1022556.9100000004</v>
      </c>
      <c r="D107" s="24">
        <f>SUMIFS('Saldos Iniciales'!$D:$D,'Saldos Iniciales'!$A:$A,"M1B")+SUMIFS(Movimientos!$K$1:$K$987,Movimientos!$C$1:$C$987,"M1B",Movimientos!$B$1:$B$987,"&lt;="&amp;$B107)</f>
        <v>83211.250000000175</v>
      </c>
      <c r="E107" s="24">
        <f>SUMIFS('Saldos Iniciales'!$D:$D,'Saldos Iniciales'!$A:$A,"Durand")+SUMIFS(Movimientos!$K$1:$K$987,Movimientos!$C$1:$C$987,"Durand",Movimientos!$B$1:$B$987,"&lt;="&amp;$B107)</f>
        <v>1669.89</v>
      </c>
      <c r="F107" s="24">
        <f>SUMIFS('Saldos Iniciales'!$D:$D,'Saldos Iniciales'!$A:$A,"A&amp;M Imports")+SUMIFS(Movimientos!$K$1:$K$987,Movimientos!$C$1:$C$987,"A&amp;M Imports",Movimientos!$B$1:$B$987,"&lt;="&amp;$B107)</f>
        <v>1120491.7</v>
      </c>
      <c r="G107" s="24">
        <f>SUMIFS('Saldos Iniciales'!$D:$D,'Saldos Iniciales'!$A:$A,"SSP Capital")+SUMIFS(Movimientos!$K$1:$K$987,Movimientos!$C$1:$C$987,"SSP Capital",Movimientos!$B$1:$B$987,"&lt;="&amp;$B107)</f>
        <v>1433050.7599999995</v>
      </c>
      <c r="H107" s="24">
        <f>SUMIFS('Saldos Iniciales'!$D:$D,'Saldos Iniciales'!$A:$A,"Cross Family Trust")+SUMIFS(Movimientos!$K$1:$K$987,Movimientos!$C$1:$C$987,"Cross Family Trust",Movimientos!$B$1:$B$987,"&lt;="&amp;$B107)</f>
        <v>221496.38</v>
      </c>
      <c r="I107" s="24">
        <f>SUMIFS('Saldos Iniciales'!$D:$D,'Saldos Iniciales'!$A:$A,"Cross Security Trust")+SUMIFS(Movimientos!$K$1:$K$987,Movimientos!$C$1:$C$987,"Cross Security Trust",Movimientos!$B$1:$B$987,"&lt;="&amp;$B107)</f>
        <v>158071.25999999998</v>
      </c>
      <c r="J107" s="24">
        <f>SUMIFS('Saldos Iniciales'!$D:$D,'Saldos Iniciales'!$A:$A,"Electrama")+SUMIFS(Movimientos!$K$1:$K$987,Movimientos!$C$1:$C$987,"Electrama",Movimientos!$B$1:$B$987,"&lt;="&amp;$B107)</f>
        <v>13270.02</v>
      </c>
      <c r="K107" s="24">
        <f>SUMIFS('Saldos Iniciales'!$D:$D,'Saldos Iniciales'!$A:$A,"Sacred Valley Capital")+SUMIFS(Movimientos!$K$1:$K$987,Movimientos!$C$1:$C$987,"Sacred Valley Capital",Movimientos!$B$1:$B$987,"&lt;="&amp;$B107)</f>
        <v>24.450000000000003</v>
      </c>
      <c r="L107" s="24">
        <f>SUMIFS('Saldos Iniciales'!$D:$D,'Saldos Iniciales'!$A:$A,"YWC Capital")+SUMIFS(Movimientos!$K$1:$K$987,Movimientos!$C$1:$C$987,"YWC Capital",Movimientos!$B$1:$B$987,"&lt;="&amp;$B107)</f>
        <v>2177.87</v>
      </c>
      <c r="M107" s="24">
        <f>SUMIFS('Saldos Iniciales'!$D:$D,'Saldos Iniciales'!$A:$A,"Soweto")+SUMIFS(Movimientos!$K$1:$K$987,Movimientos!$C$1:$C$987,"Soweto",Movimientos!$B$1:$B$987,"&lt;="&amp;$B107)</f>
        <v>754424.72</v>
      </c>
      <c r="N107" s="24">
        <f>SUMIFS('Saldos Iniciales'!$D:$D,'Saldos Iniciales'!$A:$A,"Green Stone Trust")+SUMIFS(Movimientos!$K$1:$K$987,Movimientos!$C$1:$C$987,"Green Stone Trust",Movimientos!$B$1:$B$987,"&lt;="&amp;$B107)</f>
        <v>1968.99</v>
      </c>
      <c r="O107" s="24">
        <f>SUMIFS('Saldos Iniciales'!$D:$D,'Saldos Iniciales'!$A:$A,"EC Auto")+SUMIFS(Movimientos!$K$1:$K$987,Movimientos!$C$1:$C$987,"EC Auto",Movimientos!$B$1:$B$987,"&lt;="&amp;$B107)</f>
        <v>901.34</v>
      </c>
      <c r="P107" s="24">
        <f>SUMIFS('Saldos Iniciales'!$D:$D,'Saldos Iniciales'!$A:$A,"Arbor Capital Properties")+SUMIFS(Movimientos!$K$1:$K$987,Movimientos!$C$1:$C$987,"Arbor Capital Properties",Movimientos!$B$1:$B$987,"&lt;="&amp;$B107)</f>
        <v>1396.08</v>
      </c>
      <c r="Q107" s="24">
        <f>SUMIFS('Saldos Iniciales'!$D:$D,'Saldos Iniciales'!$A:$A,"2515 Overbrook")+SUMIFS(Movimientos!$K$1:$K$987,Movimientos!$C$1:$C$987,"2515 Overbrook",Movimientos!$B$1:$B$987,"&lt;="&amp;$B107)</f>
        <v>13685.709999999959</v>
      </c>
      <c r="R107" s="24">
        <f>SUMIFS('Saldos Iniciales'!$D:$D,'Saldos Iniciales'!$A:$A,"112 Florida Ave")+SUMIFS(Movimientos!$K$1:$K$987,Movimientos!$C$1:$C$987,"112 Florida Ave",Movimientos!$B$1:$B$987,"&lt;="&amp;$B107)</f>
        <v>8724.1700000000037</v>
      </c>
      <c r="S107" s="24">
        <f>SUMIFS('Saldos Iniciales'!$D:$D,'Saldos Iniciales'!$A:$A,"3628 Thomas Ave")+SUMIFS(Movimientos!$K$1:$K$987,Movimientos!$C$1:$C$987,"3628 Thomas Ave",Movimientos!$B$1:$B$987,"&lt;="&amp;$B107)</f>
        <v>19336.039999999997</v>
      </c>
      <c r="T107" s="24">
        <f>SUMIFS('Saldos Iniciales'!$D:$D,'Saldos Iniciales'!$A:$A,"Green Harbor Trust")+SUMIFS(Movimientos!$K$1:$K$987,Movimientos!$C$1:$C$987,"Green Harbor Trust",Movimientos!$B$1:$B$987,"&lt;="&amp;$B107)</f>
        <v>345</v>
      </c>
      <c r="U107" s="24">
        <f>SUMIFS('Saldos Iniciales'!$D:$D,'Saldos Iniciales'!$A:$A,"Go Blue")+SUMIFS(Movimientos!$K$1:$K$987,Movimientos!$C$1:$C$987,"Go Blue",Movimientos!$B$1:$B$987,"&lt;="&amp;$B107)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Group")+SUMIFS(Movimientos!$K$1:$K$987,Movimientos!$C$1:$C$987,"CFT Group",Movimientos!$B$1:$B$987,"&lt;="&amp;$B108)</f>
        <v>1022556.9100000004</v>
      </c>
      <c r="D108" s="24">
        <f>SUMIFS('Saldos Iniciales'!$D:$D,'Saldos Iniciales'!$A:$A,"M1B")+SUMIFS(Movimientos!$K$1:$K$987,Movimientos!$C$1:$C$987,"M1B",Movimientos!$B$1:$B$987,"&lt;="&amp;$B108)</f>
        <v>83211.250000000175</v>
      </c>
      <c r="E108" s="24">
        <f>SUMIFS('Saldos Iniciales'!$D:$D,'Saldos Iniciales'!$A:$A,"Durand")+SUMIFS(Movimientos!$K$1:$K$987,Movimientos!$C$1:$C$987,"Durand",Movimientos!$B$1:$B$987,"&lt;="&amp;$B108)</f>
        <v>1669.89</v>
      </c>
      <c r="F108" s="24">
        <f>SUMIFS('Saldos Iniciales'!$D:$D,'Saldos Iniciales'!$A:$A,"A&amp;M Imports")+SUMIFS(Movimientos!$K$1:$K$987,Movimientos!$C$1:$C$987,"A&amp;M Imports",Movimientos!$B$1:$B$987,"&lt;="&amp;$B108)</f>
        <v>1120491.7</v>
      </c>
      <c r="G108" s="24">
        <f>SUMIFS('Saldos Iniciales'!$D:$D,'Saldos Iniciales'!$A:$A,"SSP Capital")+SUMIFS(Movimientos!$K$1:$K$987,Movimientos!$C$1:$C$987,"SSP Capital",Movimientos!$B$1:$B$987,"&lt;="&amp;$B108)</f>
        <v>1433050.7599999995</v>
      </c>
      <c r="H108" s="24">
        <f>SUMIFS('Saldos Iniciales'!$D:$D,'Saldos Iniciales'!$A:$A,"Cross Family Trust")+SUMIFS(Movimientos!$K$1:$K$987,Movimientos!$C$1:$C$987,"Cross Family Trust",Movimientos!$B$1:$B$987,"&lt;="&amp;$B108)</f>
        <v>221496.38</v>
      </c>
      <c r="I108" s="24">
        <f>SUMIFS('Saldos Iniciales'!$D:$D,'Saldos Iniciales'!$A:$A,"Cross Security Trust")+SUMIFS(Movimientos!$K$1:$K$987,Movimientos!$C$1:$C$987,"Cross Security Trust",Movimientos!$B$1:$B$987,"&lt;="&amp;$B108)</f>
        <v>158071.25999999998</v>
      </c>
      <c r="J108" s="24">
        <f>SUMIFS('Saldos Iniciales'!$D:$D,'Saldos Iniciales'!$A:$A,"Electrama")+SUMIFS(Movimientos!$K$1:$K$987,Movimientos!$C$1:$C$987,"Electrama",Movimientos!$B$1:$B$987,"&lt;="&amp;$B108)</f>
        <v>13270.02</v>
      </c>
      <c r="K108" s="24">
        <f>SUMIFS('Saldos Iniciales'!$D:$D,'Saldos Iniciales'!$A:$A,"Sacred Valley Capital")+SUMIFS(Movimientos!$K$1:$K$987,Movimientos!$C$1:$C$987,"Sacred Valley Capital",Movimientos!$B$1:$B$987,"&lt;="&amp;$B108)</f>
        <v>24.450000000000003</v>
      </c>
      <c r="L108" s="24">
        <f>SUMIFS('Saldos Iniciales'!$D:$D,'Saldos Iniciales'!$A:$A,"YWC Capital")+SUMIFS(Movimientos!$K$1:$K$987,Movimientos!$C$1:$C$987,"YWC Capital",Movimientos!$B$1:$B$987,"&lt;="&amp;$B108)</f>
        <v>2177.87</v>
      </c>
      <c r="M108" s="24">
        <f>SUMIFS('Saldos Iniciales'!$D:$D,'Saldos Iniciales'!$A:$A,"Soweto")+SUMIFS(Movimientos!$K$1:$K$987,Movimientos!$C$1:$C$987,"Soweto",Movimientos!$B$1:$B$987,"&lt;="&amp;$B108)</f>
        <v>754424.72</v>
      </c>
      <c r="N108" s="24">
        <f>SUMIFS('Saldos Iniciales'!$D:$D,'Saldos Iniciales'!$A:$A,"Green Stone Trust")+SUMIFS(Movimientos!$K$1:$K$987,Movimientos!$C$1:$C$987,"Green Stone Trust",Movimientos!$B$1:$B$987,"&lt;="&amp;$B108)</f>
        <v>1968.99</v>
      </c>
      <c r="O108" s="24">
        <f>SUMIFS('Saldos Iniciales'!$D:$D,'Saldos Iniciales'!$A:$A,"EC Auto")+SUMIFS(Movimientos!$K$1:$K$987,Movimientos!$C$1:$C$987,"EC Auto",Movimientos!$B$1:$B$987,"&lt;="&amp;$B108)</f>
        <v>901.34</v>
      </c>
      <c r="P108" s="24">
        <f>SUMIFS('Saldos Iniciales'!$D:$D,'Saldos Iniciales'!$A:$A,"Arbor Capital Properties")+SUMIFS(Movimientos!$K$1:$K$987,Movimientos!$C$1:$C$987,"Arbor Capital Properties",Movimientos!$B$1:$B$987,"&lt;="&amp;$B108)</f>
        <v>1396.08</v>
      </c>
      <c r="Q108" s="24">
        <f>SUMIFS('Saldos Iniciales'!$D:$D,'Saldos Iniciales'!$A:$A,"2515 Overbrook")+SUMIFS(Movimientos!$K$1:$K$987,Movimientos!$C$1:$C$987,"2515 Overbrook",Movimientos!$B$1:$B$987,"&lt;="&amp;$B108)</f>
        <v>13685.709999999959</v>
      </c>
      <c r="R108" s="24">
        <f>SUMIFS('Saldos Iniciales'!$D:$D,'Saldos Iniciales'!$A:$A,"112 Florida Ave")+SUMIFS(Movimientos!$K$1:$K$987,Movimientos!$C$1:$C$987,"112 Florida Ave",Movimientos!$B$1:$B$987,"&lt;="&amp;$B108)</f>
        <v>8724.1700000000037</v>
      </c>
      <c r="S108" s="24">
        <f>SUMIFS('Saldos Iniciales'!$D:$D,'Saldos Iniciales'!$A:$A,"3628 Thomas Ave")+SUMIFS(Movimientos!$K$1:$K$987,Movimientos!$C$1:$C$987,"3628 Thomas Ave",Movimientos!$B$1:$B$987,"&lt;="&amp;$B108)</f>
        <v>19336.039999999997</v>
      </c>
      <c r="T108" s="24">
        <f>SUMIFS('Saldos Iniciales'!$D:$D,'Saldos Iniciales'!$A:$A,"Green Harbor Trust")+SUMIFS(Movimientos!$K$1:$K$987,Movimientos!$C$1:$C$987,"Green Harbor Trust",Movimientos!$B$1:$B$987,"&lt;="&amp;$B108)</f>
        <v>345</v>
      </c>
      <c r="U108" s="24">
        <f>SUMIFS('Saldos Iniciales'!$D:$D,'Saldos Iniciales'!$A:$A,"Go Blue")+SUMIFS(Movimientos!$K$1:$K$987,Movimientos!$C$1:$C$987,"Go Blue",Movimientos!$B$1:$B$987,"&lt;="&amp;$B108)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Group")+SUMIFS(Movimientos!$K$1:$K$987,Movimientos!$C$1:$C$987,"CFT Group",Movimientos!$B$1:$B$987,"&lt;="&amp;$B109)</f>
        <v>1022556.9100000004</v>
      </c>
      <c r="D109" s="24">
        <f>SUMIFS('Saldos Iniciales'!$D:$D,'Saldos Iniciales'!$A:$A,"M1B")+SUMIFS(Movimientos!$K$1:$K$987,Movimientos!$C$1:$C$987,"M1B",Movimientos!$B$1:$B$987,"&lt;="&amp;$B109)</f>
        <v>83211.250000000175</v>
      </c>
      <c r="E109" s="24">
        <f>SUMIFS('Saldos Iniciales'!$D:$D,'Saldos Iniciales'!$A:$A,"Durand")+SUMIFS(Movimientos!$K$1:$K$987,Movimientos!$C$1:$C$987,"Durand",Movimientos!$B$1:$B$987,"&lt;="&amp;$B109)</f>
        <v>1669.89</v>
      </c>
      <c r="F109" s="24">
        <f>SUMIFS('Saldos Iniciales'!$D:$D,'Saldos Iniciales'!$A:$A,"A&amp;M Imports")+SUMIFS(Movimientos!$K$1:$K$987,Movimientos!$C$1:$C$987,"A&amp;M Imports",Movimientos!$B$1:$B$987,"&lt;="&amp;$B109)</f>
        <v>1120491.7</v>
      </c>
      <c r="G109" s="24">
        <f>SUMIFS('Saldos Iniciales'!$D:$D,'Saldos Iniciales'!$A:$A,"SSP Capital")+SUMIFS(Movimientos!$K$1:$K$987,Movimientos!$C$1:$C$987,"SSP Capital",Movimientos!$B$1:$B$987,"&lt;="&amp;$B109)</f>
        <v>1433050.7599999995</v>
      </c>
      <c r="H109" s="24">
        <f>SUMIFS('Saldos Iniciales'!$D:$D,'Saldos Iniciales'!$A:$A,"Cross Family Trust")+SUMIFS(Movimientos!$K$1:$K$987,Movimientos!$C$1:$C$987,"Cross Family Trust",Movimientos!$B$1:$B$987,"&lt;="&amp;$B109)</f>
        <v>221496.38</v>
      </c>
      <c r="I109" s="24">
        <f>SUMIFS('Saldos Iniciales'!$D:$D,'Saldos Iniciales'!$A:$A,"Cross Security Trust")+SUMIFS(Movimientos!$K$1:$K$987,Movimientos!$C$1:$C$987,"Cross Security Trust",Movimientos!$B$1:$B$987,"&lt;="&amp;$B109)</f>
        <v>158071.25999999998</v>
      </c>
      <c r="J109" s="24">
        <f>SUMIFS('Saldos Iniciales'!$D:$D,'Saldos Iniciales'!$A:$A,"Electrama")+SUMIFS(Movimientos!$K$1:$K$987,Movimientos!$C$1:$C$987,"Electrama",Movimientos!$B$1:$B$987,"&lt;="&amp;$B109)</f>
        <v>13270.02</v>
      </c>
      <c r="K109" s="24">
        <f>SUMIFS('Saldos Iniciales'!$D:$D,'Saldos Iniciales'!$A:$A,"Sacred Valley Capital")+SUMIFS(Movimientos!$K$1:$K$987,Movimientos!$C$1:$C$987,"Sacred Valley Capital",Movimientos!$B$1:$B$987,"&lt;="&amp;$B109)</f>
        <v>24.450000000000003</v>
      </c>
      <c r="L109" s="24">
        <f>SUMIFS('Saldos Iniciales'!$D:$D,'Saldos Iniciales'!$A:$A,"YWC Capital")+SUMIFS(Movimientos!$K$1:$K$987,Movimientos!$C$1:$C$987,"YWC Capital",Movimientos!$B$1:$B$987,"&lt;="&amp;$B109)</f>
        <v>2177.87</v>
      </c>
      <c r="M109" s="24">
        <f>SUMIFS('Saldos Iniciales'!$D:$D,'Saldos Iniciales'!$A:$A,"Soweto")+SUMIFS(Movimientos!$K$1:$K$987,Movimientos!$C$1:$C$987,"Soweto",Movimientos!$B$1:$B$987,"&lt;="&amp;$B109)</f>
        <v>754424.72</v>
      </c>
      <c r="N109" s="24">
        <f>SUMIFS('Saldos Iniciales'!$D:$D,'Saldos Iniciales'!$A:$A,"Green Stone Trust")+SUMIFS(Movimientos!$K$1:$K$987,Movimientos!$C$1:$C$987,"Green Stone Trust",Movimientos!$B$1:$B$987,"&lt;="&amp;$B109)</f>
        <v>1968.99</v>
      </c>
      <c r="O109" s="24">
        <f>SUMIFS('Saldos Iniciales'!$D:$D,'Saldos Iniciales'!$A:$A,"EC Auto")+SUMIFS(Movimientos!$K$1:$K$987,Movimientos!$C$1:$C$987,"EC Auto",Movimientos!$B$1:$B$987,"&lt;="&amp;$B109)</f>
        <v>901.34</v>
      </c>
      <c r="P109" s="24">
        <f>SUMIFS('Saldos Iniciales'!$D:$D,'Saldos Iniciales'!$A:$A,"Arbor Capital Properties")+SUMIFS(Movimientos!$K$1:$K$987,Movimientos!$C$1:$C$987,"Arbor Capital Properties",Movimientos!$B$1:$B$987,"&lt;="&amp;$B109)</f>
        <v>1396.08</v>
      </c>
      <c r="Q109" s="24">
        <f>SUMIFS('Saldos Iniciales'!$D:$D,'Saldos Iniciales'!$A:$A,"2515 Overbrook")+SUMIFS(Movimientos!$K$1:$K$987,Movimientos!$C$1:$C$987,"2515 Overbrook",Movimientos!$B$1:$B$987,"&lt;="&amp;$B109)</f>
        <v>13685.709999999959</v>
      </c>
      <c r="R109" s="24">
        <f>SUMIFS('Saldos Iniciales'!$D:$D,'Saldos Iniciales'!$A:$A,"112 Florida Ave")+SUMIFS(Movimientos!$K$1:$K$987,Movimientos!$C$1:$C$987,"112 Florida Ave",Movimientos!$B$1:$B$987,"&lt;="&amp;$B109)</f>
        <v>8724.1700000000037</v>
      </c>
      <c r="S109" s="24">
        <f>SUMIFS('Saldos Iniciales'!$D:$D,'Saldos Iniciales'!$A:$A,"3628 Thomas Ave")+SUMIFS(Movimientos!$K$1:$K$987,Movimientos!$C$1:$C$987,"3628 Thomas Ave",Movimientos!$B$1:$B$987,"&lt;="&amp;$B109)</f>
        <v>19336.039999999997</v>
      </c>
      <c r="T109" s="24">
        <f>SUMIFS('Saldos Iniciales'!$D:$D,'Saldos Iniciales'!$A:$A,"Green Harbor Trust")+SUMIFS(Movimientos!$K$1:$K$987,Movimientos!$C$1:$C$987,"Green Harbor Trust",Movimientos!$B$1:$B$987,"&lt;="&amp;$B109)</f>
        <v>345</v>
      </c>
      <c r="U109" s="24">
        <f>SUMIFS('Saldos Iniciales'!$D:$D,'Saldos Iniciales'!$A:$A,"Go Blue")+SUMIFS(Movimientos!$K$1:$K$987,Movimientos!$C$1:$C$987,"Go Blue",Movimientos!$B$1:$B$987,"&lt;="&amp;$B109)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Group")+SUMIFS(Movimientos!$K$1:$K$987,Movimientos!$C$1:$C$987,"CFT Group",Movimientos!$B$1:$B$987,"&lt;="&amp;$B110)</f>
        <v>1022556.9100000004</v>
      </c>
      <c r="D110" s="24">
        <f>SUMIFS('Saldos Iniciales'!$D:$D,'Saldos Iniciales'!$A:$A,"M1B")+SUMIFS(Movimientos!$K$1:$K$987,Movimientos!$C$1:$C$987,"M1B",Movimientos!$B$1:$B$987,"&lt;="&amp;$B110)</f>
        <v>83211.250000000175</v>
      </c>
      <c r="E110" s="24">
        <f>SUMIFS('Saldos Iniciales'!$D:$D,'Saldos Iniciales'!$A:$A,"Durand")+SUMIFS(Movimientos!$K$1:$K$987,Movimientos!$C$1:$C$987,"Durand",Movimientos!$B$1:$B$987,"&lt;="&amp;$B110)</f>
        <v>1669.89</v>
      </c>
      <c r="F110" s="24">
        <f>SUMIFS('Saldos Iniciales'!$D:$D,'Saldos Iniciales'!$A:$A,"A&amp;M Imports")+SUMIFS(Movimientos!$K$1:$K$987,Movimientos!$C$1:$C$987,"A&amp;M Imports",Movimientos!$B$1:$B$987,"&lt;="&amp;$B110)</f>
        <v>1120071.0999999999</v>
      </c>
      <c r="G110" s="24">
        <f>SUMIFS('Saldos Iniciales'!$D:$D,'Saldos Iniciales'!$A:$A,"SSP Capital")+SUMIFS(Movimientos!$K$1:$K$987,Movimientos!$C$1:$C$987,"SSP Capital",Movimientos!$B$1:$B$987,"&lt;="&amp;$B110)</f>
        <v>1398219.6699999995</v>
      </c>
      <c r="H110" s="24">
        <f>SUMIFS('Saldos Iniciales'!$D:$D,'Saldos Iniciales'!$A:$A,"Cross Family Trust")+SUMIFS(Movimientos!$K$1:$K$987,Movimientos!$C$1:$C$987,"Cross Family Trust",Movimientos!$B$1:$B$987,"&lt;="&amp;$B110)</f>
        <v>221496.38</v>
      </c>
      <c r="I110" s="24">
        <f>SUMIFS('Saldos Iniciales'!$D:$D,'Saldos Iniciales'!$A:$A,"Cross Security Trust")+SUMIFS(Movimientos!$K$1:$K$987,Movimientos!$C$1:$C$987,"Cross Security Trust",Movimientos!$B$1:$B$987,"&lt;="&amp;$B110)</f>
        <v>158071.25999999998</v>
      </c>
      <c r="J110" s="24">
        <f>SUMIFS('Saldos Iniciales'!$D:$D,'Saldos Iniciales'!$A:$A,"Electrama")+SUMIFS(Movimientos!$K$1:$K$987,Movimientos!$C$1:$C$987,"Electrama",Movimientos!$B$1:$B$987,"&lt;="&amp;$B110)</f>
        <v>13270.02</v>
      </c>
      <c r="K110" s="24">
        <f>SUMIFS('Saldos Iniciales'!$D:$D,'Saldos Iniciales'!$A:$A,"Sacred Valley Capital")+SUMIFS(Movimientos!$K$1:$K$987,Movimientos!$C$1:$C$987,"Sacred Valley Capital",Movimientos!$B$1:$B$987,"&lt;="&amp;$B110)</f>
        <v>24.450000000000003</v>
      </c>
      <c r="L110" s="24">
        <f>SUMIFS('Saldos Iniciales'!$D:$D,'Saldos Iniciales'!$A:$A,"YWC Capital")+SUMIFS(Movimientos!$K$1:$K$987,Movimientos!$C$1:$C$987,"YWC Capital",Movimientos!$B$1:$B$987,"&lt;="&amp;$B110)</f>
        <v>2177.87</v>
      </c>
      <c r="M110" s="24">
        <f>SUMIFS('Saldos Iniciales'!$D:$D,'Saldos Iniciales'!$A:$A,"Soweto")+SUMIFS(Movimientos!$K$1:$K$987,Movimientos!$C$1:$C$987,"Soweto",Movimientos!$B$1:$B$987,"&lt;="&amp;$B110)</f>
        <v>754424.72</v>
      </c>
      <c r="N110" s="24">
        <f>SUMIFS('Saldos Iniciales'!$D:$D,'Saldos Iniciales'!$A:$A,"Green Stone Trust")+SUMIFS(Movimientos!$K$1:$K$987,Movimientos!$C$1:$C$987,"Green Stone Trust",Movimientos!$B$1:$B$987,"&lt;="&amp;$B110)</f>
        <v>1968.99</v>
      </c>
      <c r="O110" s="24">
        <f>SUMIFS('Saldos Iniciales'!$D:$D,'Saldos Iniciales'!$A:$A,"EC Auto")+SUMIFS(Movimientos!$K$1:$K$987,Movimientos!$C$1:$C$987,"EC Auto",Movimientos!$B$1:$B$987,"&lt;="&amp;$B110)</f>
        <v>901.34</v>
      </c>
      <c r="P110" s="24">
        <f>SUMIFS('Saldos Iniciales'!$D:$D,'Saldos Iniciales'!$A:$A,"Arbor Capital Properties")+SUMIFS(Movimientos!$K$1:$K$987,Movimientos!$C$1:$C$987,"Arbor Capital Properties",Movimientos!$B$1:$B$987,"&lt;="&amp;$B110)</f>
        <v>1396.08</v>
      </c>
      <c r="Q110" s="24">
        <f>SUMIFS('Saldos Iniciales'!$D:$D,'Saldos Iniciales'!$A:$A,"2515 Overbrook")+SUMIFS(Movimientos!$K$1:$K$987,Movimientos!$C$1:$C$987,"2515 Overbrook",Movimientos!$B$1:$B$987,"&lt;="&amp;$B110)</f>
        <v>13685.709999999959</v>
      </c>
      <c r="R110" s="24">
        <f>SUMIFS('Saldos Iniciales'!$D:$D,'Saldos Iniciales'!$A:$A,"112 Florida Ave")+SUMIFS(Movimientos!$K$1:$K$987,Movimientos!$C$1:$C$987,"112 Florida Ave",Movimientos!$B$1:$B$987,"&lt;="&amp;$B110)</f>
        <v>8724.1700000000037</v>
      </c>
      <c r="S110" s="24">
        <f>SUMIFS('Saldos Iniciales'!$D:$D,'Saldos Iniciales'!$A:$A,"3628 Thomas Ave")+SUMIFS(Movimientos!$K$1:$K$987,Movimientos!$C$1:$C$987,"3628 Thomas Ave",Movimientos!$B$1:$B$987,"&lt;="&amp;$B110)</f>
        <v>19336.039999999997</v>
      </c>
      <c r="T110" s="24">
        <f>SUMIFS('Saldos Iniciales'!$D:$D,'Saldos Iniciales'!$A:$A,"Green Harbor Trust")+SUMIFS(Movimientos!$K$1:$K$987,Movimientos!$C$1:$C$987,"Green Harbor Trust",Movimientos!$B$1:$B$987,"&lt;="&amp;$B110)</f>
        <v>345</v>
      </c>
      <c r="U110" s="24">
        <f>SUMIFS('Saldos Iniciales'!$D:$D,'Saldos Iniciales'!$A:$A,"Go Blue")+SUMIFS(Movimientos!$K$1:$K$987,Movimientos!$C$1:$C$987,"Go Blue",Movimientos!$B$1:$B$987,"&lt;="&amp;$B110)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Group")+SUMIFS(Movimientos!$K$1:$K$987,Movimientos!$C$1:$C$987,"CFT Group",Movimientos!$B$1:$B$987,"&lt;="&amp;$B111)</f>
        <v>1128418.6900000004</v>
      </c>
      <c r="D111" s="24">
        <f>SUMIFS('Saldos Iniciales'!$D:$D,'Saldos Iniciales'!$A:$A,"M1B")+SUMIFS(Movimientos!$K$1:$K$987,Movimientos!$C$1:$C$987,"M1B",Movimientos!$B$1:$B$987,"&lt;="&amp;$B111)</f>
        <v>83211.250000000175</v>
      </c>
      <c r="E111" s="24">
        <f>SUMIFS('Saldos Iniciales'!$D:$D,'Saldos Iniciales'!$A:$A,"Durand")+SUMIFS(Movimientos!$K$1:$K$987,Movimientos!$C$1:$C$987,"Durand",Movimientos!$B$1:$B$987,"&lt;="&amp;$B111)</f>
        <v>1669.89</v>
      </c>
      <c r="F111" s="24">
        <f>SUMIFS('Saldos Iniciales'!$D:$D,'Saldos Iniciales'!$A:$A,"A&amp;M Imports")+SUMIFS(Movimientos!$K$1:$K$987,Movimientos!$C$1:$C$987,"A&amp;M Imports",Movimientos!$B$1:$B$987,"&lt;="&amp;$B111)</f>
        <v>1120071.0999999999</v>
      </c>
      <c r="G111" s="24">
        <f>SUMIFS('Saldos Iniciales'!$D:$D,'Saldos Iniciales'!$A:$A,"SSP Capital")+SUMIFS(Movimientos!$K$1:$K$987,Movimientos!$C$1:$C$987,"SSP Capital",Movimientos!$B$1:$B$987,"&lt;="&amp;$B111)</f>
        <v>1395729.3099999996</v>
      </c>
      <c r="H111" s="24">
        <f>SUMIFS('Saldos Iniciales'!$D:$D,'Saldos Iniciales'!$A:$A,"Cross Family Trust")+SUMIFS(Movimientos!$K$1:$K$987,Movimientos!$C$1:$C$987,"Cross Family Trust",Movimientos!$B$1:$B$987,"&lt;="&amp;$B111)</f>
        <v>221496.38</v>
      </c>
      <c r="I111" s="24">
        <f>SUMIFS('Saldos Iniciales'!$D:$D,'Saldos Iniciales'!$A:$A,"Cross Security Trust")+SUMIFS(Movimientos!$K$1:$K$987,Movimientos!$C$1:$C$987,"Cross Security Trust",Movimientos!$B$1:$B$987,"&lt;="&amp;$B111)</f>
        <v>158071.25999999998</v>
      </c>
      <c r="J111" s="24">
        <f>SUMIFS('Saldos Iniciales'!$D:$D,'Saldos Iniciales'!$A:$A,"Electrama")+SUMIFS(Movimientos!$K$1:$K$987,Movimientos!$C$1:$C$987,"Electrama",Movimientos!$B$1:$B$987,"&lt;="&amp;$B111)</f>
        <v>13270.02</v>
      </c>
      <c r="K111" s="24">
        <f>SUMIFS('Saldos Iniciales'!$D:$D,'Saldos Iniciales'!$A:$A,"Sacred Valley Capital")+SUMIFS(Movimientos!$K$1:$K$987,Movimientos!$C$1:$C$987,"Sacred Valley Capital",Movimientos!$B$1:$B$987,"&lt;="&amp;$B111)</f>
        <v>24.450000000000003</v>
      </c>
      <c r="L111" s="24">
        <f>SUMIFS('Saldos Iniciales'!$D:$D,'Saldos Iniciales'!$A:$A,"YWC Capital")+SUMIFS(Movimientos!$K$1:$K$987,Movimientos!$C$1:$C$987,"YWC Capital",Movimientos!$B$1:$B$987,"&lt;="&amp;$B111)</f>
        <v>2177.87</v>
      </c>
      <c r="M111" s="24">
        <f>SUMIFS('Saldos Iniciales'!$D:$D,'Saldos Iniciales'!$A:$A,"Soweto")+SUMIFS(Movimientos!$K$1:$K$987,Movimientos!$C$1:$C$987,"Soweto",Movimientos!$B$1:$B$987,"&lt;="&amp;$B111)</f>
        <v>754424.72</v>
      </c>
      <c r="N111" s="24">
        <f>SUMIFS('Saldos Iniciales'!$D:$D,'Saldos Iniciales'!$A:$A,"Green Stone Trust")+SUMIFS(Movimientos!$K$1:$K$987,Movimientos!$C$1:$C$987,"Green Stone Trust",Movimientos!$B$1:$B$987,"&lt;="&amp;$B111)</f>
        <v>1968.99</v>
      </c>
      <c r="O111" s="24">
        <f>SUMIFS('Saldos Iniciales'!$D:$D,'Saldos Iniciales'!$A:$A,"EC Auto")+SUMIFS(Movimientos!$K$1:$K$987,Movimientos!$C$1:$C$987,"EC Auto",Movimientos!$B$1:$B$987,"&lt;="&amp;$B111)</f>
        <v>901.34</v>
      </c>
      <c r="P111" s="24">
        <f>SUMIFS('Saldos Iniciales'!$D:$D,'Saldos Iniciales'!$A:$A,"Arbor Capital Properties")+SUMIFS(Movimientos!$K$1:$K$987,Movimientos!$C$1:$C$987,"Arbor Capital Properties",Movimientos!$B$1:$B$987,"&lt;="&amp;$B111)</f>
        <v>1396.08</v>
      </c>
      <c r="Q111" s="24">
        <f>SUMIFS('Saldos Iniciales'!$D:$D,'Saldos Iniciales'!$A:$A,"2515 Overbrook")+SUMIFS(Movimientos!$K$1:$K$987,Movimientos!$C$1:$C$987,"2515 Overbrook",Movimientos!$B$1:$B$987,"&lt;="&amp;$B111)</f>
        <v>13685.709999999959</v>
      </c>
      <c r="R111" s="24">
        <f>SUMIFS('Saldos Iniciales'!$D:$D,'Saldos Iniciales'!$A:$A,"112 Florida Ave")+SUMIFS(Movimientos!$K$1:$K$987,Movimientos!$C$1:$C$987,"112 Florida Ave",Movimientos!$B$1:$B$987,"&lt;="&amp;$B111)</f>
        <v>8724.1700000000037</v>
      </c>
      <c r="S111" s="24">
        <f>SUMIFS('Saldos Iniciales'!$D:$D,'Saldos Iniciales'!$A:$A,"3628 Thomas Ave")+SUMIFS(Movimientos!$K$1:$K$987,Movimientos!$C$1:$C$987,"3628 Thomas Ave",Movimientos!$B$1:$B$987,"&lt;="&amp;$B111)</f>
        <v>19336.039999999997</v>
      </c>
      <c r="T111" s="24">
        <f>SUMIFS('Saldos Iniciales'!$D:$D,'Saldos Iniciales'!$A:$A,"Green Harbor Trust")+SUMIFS(Movimientos!$K$1:$K$987,Movimientos!$C$1:$C$987,"Green Harbor Trust",Movimientos!$B$1:$B$987,"&lt;="&amp;$B111)</f>
        <v>345</v>
      </c>
      <c r="U111" s="24">
        <f>SUMIFS('Saldos Iniciales'!$D:$D,'Saldos Iniciales'!$A:$A,"Go Blue")+SUMIFS(Movimientos!$K$1:$K$987,Movimientos!$C$1:$C$987,"Go Blue",Movimientos!$B$1:$B$987,"&lt;="&amp;$B111)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Group")+SUMIFS(Movimientos!$K$1:$K$987,Movimientos!$C$1:$C$987,"CFT Group",Movimientos!$B$1:$B$987,"&lt;="&amp;$B112)</f>
        <v>1128418.6900000004</v>
      </c>
      <c r="D112" s="24">
        <f>SUMIFS('Saldos Iniciales'!$D:$D,'Saldos Iniciales'!$A:$A,"M1B")+SUMIFS(Movimientos!$K$1:$K$987,Movimientos!$C$1:$C$987,"M1B",Movimientos!$B$1:$B$987,"&lt;="&amp;$B112)</f>
        <v>83211.250000000175</v>
      </c>
      <c r="E112" s="24">
        <f>SUMIFS('Saldos Iniciales'!$D:$D,'Saldos Iniciales'!$A:$A,"Durand")+SUMIFS(Movimientos!$K$1:$K$987,Movimientos!$C$1:$C$987,"Durand",Movimientos!$B$1:$B$987,"&lt;="&amp;$B112)</f>
        <v>1669.89</v>
      </c>
      <c r="F112" s="24">
        <f>SUMIFS('Saldos Iniciales'!$D:$D,'Saldos Iniciales'!$A:$A,"A&amp;M Imports")+SUMIFS(Movimientos!$K$1:$K$987,Movimientos!$C$1:$C$987,"A&amp;M Imports",Movimientos!$B$1:$B$987,"&lt;="&amp;$B112)</f>
        <v>1120071.0999999999</v>
      </c>
      <c r="G112" s="24">
        <f>SUMIFS('Saldos Iniciales'!$D:$D,'Saldos Iniciales'!$A:$A,"SSP Capital")+SUMIFS(Movimientos!$K$1:$K$987,Movimientos!$C$1:$C$987,"SSP Capital",Movimientos!$B$1:$B$987,"&lt;="&amp;$B112)</f>
        <v>1894825.6099999996</v>
      </c>
      <c r="H112" s="24">
        <f>SUMIFS('Saldos Iniciales'!$D:$D,'Saldos Iniciales'!$A:$A,"Cross Family Trust")+SUMIFS(Movimientos!$K$1:$K$987,Movimientos!$C$1:$C$987,"Cross Family Trust",Movimientos!$B$1:$B$987,"&lt;="&amp;$B112)</f>
        <v>221496.38</v>
      </c>
      <c r="I112" s="24">
        <f>SUMIFS('Saldos Iniciales'!$D:$D,'Saldos Iniciales'!$A:$A,"Cross Security Trust")+SUMIFS(Movimientos!$K$1:$K$987,Movimientos!$C$1:$C$987,"Cross Security Trust",Movimientos!$B$1:$B$987,"&lt;="&amp;$B112)</f>
        <v>158071.25999999998</v>
      </c>
      <c r="J112" s="24">
        <f>SUMIFS('Saldos Iniciales'!$D:$D,'Saldos Iniciales'!$A:$A,"Electrama")+SUMIFS(Movimientos!$K$1:$K$987,Movimientos!$C$1:$C$987,"Electrama",Movimientos!$B$1:$B$987,"&lt;="&amp;$B112)</f>
        <v>13270.02</v>
      </c>
      <c r="K112" s="24">
        <f>SUMIFS('Saldos Iniciales'!$D:$D,'Saldos Iniciales'!$A:$A,"Sacred Valley Capital")+SUMIFS(Movimientos!$K$1:$K$987,Movimientos!$C$1:$C$987,"Sacred Valley Capital",Movimientos!$B$1:$B$987,"&lt;="&amp;$B112)</f>
        <v>24.450000000000003</v>
      </c>
      <c r="L112" s="24">
        <f>SUMIFS('Saldos Iniciales'!$D:$D,'Saldos Iniciales'!$A:$A,"YWC Capital")+SUMIFS(Movimientos!$K$1:$K$987,Movimientos!$C$1:$C$987,"YWC Capital",Movimientos!$B$1:$B$987,"&lt;="&amp;$B112)</f>
        <v>2177.87</v>
      </c>
      <c r="M112" s="24">
        <f>SUMIFS('Saldos Iniciales'!$D:$D,'Saldos Iniciales'!$A:$A,"Soweto")+SUMIFS(Movimientos!$K$1:$K$987,Movimientos!$C$1:$C$987,"Soweto",Movimientos!$B$1:$B$987,"&lt;="&amp;$B112)</f>
        <v>754424.72</v>
      </c>
      <c r="N112" s="24">
        <f>SUMIFS('Saldos Iniciales'!$D:$D,'Saldos Iniciales'!$A:$A,"Green Stone Trust")+SUMIFS(Movimientos!$K$1:$K$987,Movimientos!$C$1:$C$987,"Green Stone Trust",Movimientos!$B$1:$B$987,"&lt;="&amp;$B112)</f>
        <v>1968.99</v>
      </c>
      <c r="O112" s="24">
        <f>SUMIFS('Saldos Iniciales'!$D:$D,'Saldos Iniciales'!$A:$A,"EC Auto")+SUMIFS(Movimientos!$K$1:$K$987,Movimientos!$C$1:$C$987,"EC Auto",Movimientos!$B$1:$B$987,"&lt;="&amp;$B112)</f>
        <v>901.34</v>
      </c>
      <c r="P112" s="24">
        <f>SUMIFS('Saldos Iniciales'!$D:$D,'Saldos Iniciales'!$A:$A,"Arbor Capital Properties")+SUMIFS(Movimientos!$K$1:$K$987,Movimientos!$C$1:$C$987,"Arbor Capital Properties",Movimientos!$B$1:$B$987,"&lt;="&amp;$B112)</f>
        <v>1396.08</v>
      </c>
      <c r="Q112" s="24">
        <f>SUMIFS('Saldos Iniciales'!$D:$D,'Saldos Iniciales'!$A:$A,"2515 Overbrook")+SUMIFS(Movimientos!$K$1:$K$987,Movimientos!$C$1:$C$987,"2515 Overbrook",Movimientos!$B$1:$B$987,"&lt;="&amp;$B112)</f>
        <v>13685.709999999959</v>
      </c>
      <c r="R112" s="24">
        <f>SUMIFS('Saldos Iniciales'!$D:$D,'Saldos Iniciales'!$A:$A,"112 Florida Ave")+SUMIFS(Movimientos!$K$1:$K$987,Movimientos!$C$1:$C$987,"112 Florida Ave",Movimientos!$B$1:$B$987,"&lt;="&amp;$B112)</f>
        <v>8724.1700000000037</v>
      </c>
      <c r="S112" s="24">
        <f>SUMIFS('Saldos Iniciales'!$D:$D,'Saldos Iniciales'!$A:$A,"3628 Thomas Ave")+SUMIFS(Movimientos!$K$1:$K$987,Movimientos!$C$1:$C$987,"3628 Thomas Ave",Movimientos!$B$1:$B$987,"&lt;="&amp;$B112)</f>
        <v>19336.039999999997</v>
      </c>
      <c r="T112" s="24">
        <f>SUMIFS('Saldos Iniciales'!$D:$D,'Saldos Iniciales'!$A:$A,"Green Harbor Trust")+SUMIFS(Movimientos!$K$1:$K$987,Movimientos!$C$1:$C$987,"Green Harbor Trust",Movimientos!$B$1:$B$987,"&lt;="&amp;$B112)</f>
        <v>345</v>
      </c>
      <c r="U112" s="24">
        <f>SUMIFS('Saldos Iniciales'!$D:$D,'Saldos Iniciales'!$A:$A,"Go Blue")+SUMIFS(Movimientos!$K$1:$K$987,Movimientos!$C$1:$C$987,"Go Blue",Movimientos!$B$1:$B$987,"&lt;="&amp;$B112)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Group")+SUMIFS(Movimientos!$K$1:$K$987,Movimientos!$C$1:$C$987,"CFT Group",Movimientos!$B$1:$B$987,"&lt;="&amp;$B113)</f>
        <v>783543.69000000053</v>
      </c>
      <c r="D113" s="24">
        <f>SUMIFS('Saldos Iniciales'!$D:$D,'Saldos Iniciales'!$A:$A,"M1B")+SUMIFS(Movimientos!$K$1:$K$987,Movimientos!$C$1:$C$987,"M1B",Movimientos!$B$1:$B$987,"&lt;="&amp;$B113)</f>
        <v>83211.250000000175</v>
      </c>
      <c r="E113" s="24">
        <f>SUMIFS('Saldos Iniciales'!$D:$D,'Saldos Iniciales'!$A:$A,"Durand")+SUMIFS(Movimientos!$K$1:$K$987,Movimientos!$C$1:$C$987,"Durand",Movimientos!$B$1:$B$987,"&lt;="&amp;$B113)</f>
        <v>1669.89</v>
      </c>
      <c r="F113" s="24">
        <f>SUMIFS('Saldos Iniciales'!$D:$D,'Saldos Iniciales'!$A:$A,"A&amp;M Imports")+SUMIFS(Movimientos!$K$1:$K$987,Movimientos!$C$1:$C$987,"A&amp;M Imports",Movimientos!$B$1:$B$987,"&lt;="&amp;$B113)</f>
        <v>1060071.0999999999</v>
      </c>
      <c r="G113" s="24">
        <f>SUMIFS('Saldos Iniciales'!$D:$D,'Saldos Iniciales'!$A:$A,"SSP Capital")+SUMIFS(Movimientos!$K$1:$K$987,Movimientos!$C$1:$C$987,"SSP Capital",Movimientos!$B$1:$B$987,"&lt;="&amp;$B113)</f>
        <v>1758294.6999999997</v>
      </c>
      <c r="H113" s="24">
        <f>SUMIFS('Saldos Iniciales'!$D:$D,'Saldos Iniciales'!$A:$A,"Cross Family Trust")+SUMIFS(Movimientos!$K$1:$K$987,Movimientos!$C$1:$C$987,"Cross Family Trust",Movimientos!$B$1:$B$987,"&lt;="&amp;$B113)</f>
        <v>221496.38</v>
      </c>
      <c r="I113" s="24">
        <f>SUMIFS('Saldos Iniciales'!$D:$D,'Saldos Iniciales'!$A:$A,"Cross Security Trust")+SUMIFS(Movimientos!$K$1:$K$987,Movimientos!$C$1:$C$987,"Cross Security Trust",Movimientos!$B$1:$B$987,"&lt;="&amp;$B113)</f>
        <v>158071.25999999998</v>
      </c>
      <c r="J113" s="24">
        <f>SUMIFS('Saldos Iniciales'!$D:$D,'Saldos Iniciales'!$A:$A,"Electrama")+SUMIFS(Movimientos!$K$1:$K$987,Movimientos!$C$1:$C$987,"Electrama",Movimientos!$B$1:$B$987,"&lt;="&amp;$B113)</f>
        <v>13270.02</v>
      </c>
      <c r="K113" s="24">
        <f>SUMIFS('Saldos Iniciales'!$D:$D,'Saldos Iniciales'!$A:$A,"Sacred Valley Capital")+SUMIFS(Movimientos!$K$1:$K$987,Movimientos!$C$1:$C$987,"Sacred Valley Capital",Movimientos!$B$1:$B$987,"&lt;="&amp;$B113)</f>
        <v>24.450000000000003</v>
      </c>
      <c r="L113" s="24">
        <f>SUMIFS('Saldos Iniciales'!$D:$D,'Saldos Iniciales'!$A:$A,"YWC Capital")+SUMIFS(Movimientos!$K$1:$K$987,Movimientos!$C$1:$C$987,"YWC Capital",Movimientos!$B$1:$B$987,"&lt;="&amp;$B113)</f>
        <v>2177.87</v>
      </c>
      <c r="M113" s="24">
        <f>SUMIFS('Saldos Iniciales'!$D:$D,'Saldos Iniciales'!$A:$A,"Soweto")+SUMIFS(Movimientos!$K$1:$K$987,Movimientos!$C$1:$C$987,"Soweto",Movimientos!$B$1:$B$987,"&lt;="&amp;$B113)</f>
        <v>754424.72</v>
      </c>
      <c r="N113" s="24">
        <f>SUMIFS('Saldos Iniciales'!$D:$D,'Saldos Iniciales'!$A:$A,"Green Stone Trust")+SUMIFS(Movimientos!$K$1:$K$987,Movimientos!$C$1:$C$987,"Green Stone Trust",Movimientos!$B$1:$B$987,"&lt;="&amp;$B113)</f>
        <v>1968.99</v>
      </c>
      <c r="O113" s="24">
        <f>SUMIFS('Saldos Iniciales'!$D:$D,'Saldos Iniciales'!$A:$A,"EC Auto")+SUMIFS(Movimientos!$K$1:$K$987,Movimientos!$C$1:$C$987,"EC Auto",Movimientos!$B$1:$B$987,"&lt;="&amp;$B113)</f>
        <v>901.34</v>
      </c>
      <c r="P113" s="24">
        <f>SUMIFS('Saldos Iniciales'!$D:$D,'Saldos Iniciales'!$A:$A,"Arbor Capital Properties")+SUMIFS(Movimientos!$K$1:$K$987,Movimientos!$C$1:$C$987,"Arbor Capital Properties",Movimientos!$B$1:$B$987,"&lt;="&amp;$B113)</f>
        <v>1396.08</v>
      </c>
      <c r="Q113" s="24">
        <f>SUMIFS('Saldos Iniciales'!$D:$D,'Saldos Iniciales'!$A:$A,"2515 Overbrook")+SUMIFS(Movimientos!$K$1:$K$987,Movimientos!$C$1:$C$987,"2515 Overbrook",Movimientos!$B$1:$B$987,"&lt;="&amp;$B113)</f>
        <v>13685.709999999959</v>
      </c>
      <c r="R113" s="24">
        <f>SUMIFS('Saldos Iniciales'!$D:$D,'Saldos Iniciales'!$A:$A,"112 Florida Ave")+SUMIFS(Movimientos!$K$1:$K$987,Movimientos!$C$1:$C$987,"112 Florida Ave",Movimientos!$B$1:$B$987,"&lt;="&amp;$B113)</f>
        <v>8724.1700000000037</v>
      </c>
      <c r="S113" s="24">
        <f>SUMIFS('Saldos Iniciales'!$D:$D,'Saldos Iniciales'!$A:$A,"3628 Thomas Ave")+SUMIFS(Movimientos!$K$1:$K$987,Movimientos!$C$1:$C$987,"3628 Thomas Ave",Movimientos!$B$1:$B$987,"&lt;="&amp;$B113)</f>
        <v>19336.039999999997</v>
      </c>
      <c r="T113" s="24">
        <f>SUMIFS('Saldos Iniciales'!$D:$D,'Saldos Iniciales'!$A:$A,"Green Harbor Trust")+SUMIFS(Movimientos!$K$1:$K$987,Movimientos!$C$1:$C$987,"Green Harbor Trust",Movimientos!$B$1:$B$987,"&lt;="&amp;$B113)</f>
        <v>345</v>
      </c>
      <c r="U113" s="24">
        <f>SUMIFS('Saldos Iniciales'!$D:$D,'Saldos Iniciales'!$A:$A,"Go Blue")+SUMIFS(Movimientos!$K$1:$K$987,Movimientos!$C$1:$C$987,"Go Blue",Movimientos!$B$1:$B$987,"&lt;="&amp;$B113)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Group")+SUMIFS(Movimientos!$K$1:$K$987,Movimientos!$C$1:$C$987,"CFT Group",Movimientos!$B$1:$B$987,"&lt;="&amp;$B114)</f>
        <v>783543.69000000053</v>
      </c>
      <c r="D114" s="24">
        <f>SUMIFS('Saldos Iniciales'!$D:$D,'Saldos Iniciales'!$A:$A,"M1B")+SUMIFS(Movimientos!$K$1:$K$987,Movimientos!$C$1:$C$987,"M1B",Movimientos!$B$1:$B$987,"&lt;="&amp;$B114)</f>
        <v>83211.250000000175</v>
      </c>
      <c r="E114" s="24">
        <f>SUMIFS('Saldos Iniciales'!$D:$D,'Saldos Iniciales'!$A:$A,"Durand")+SUMIFS(Movimientos!$K$1:$K$987,Movimientos!$C$1:$C$987,"Durand",Movimientos!$B$1:$B$987,"&lt;="&amp;$B114)</f>
        <v>1669.89</v>
      </c>
      <c r="F114" s="24">
        <f>SUMIFS('Saldos Iniciales'!$D:$D,'Saldos Iniciales'!$A:$A,"A&amp;M Imports")+SUMIFS(Movimientos!$K$1:$K$987,Movimientos!$C$1:$C$987,"A&amp;M Imports",Movimientos!$B$1:$B$987,"&lt;="&amp;$B114)</f>
        <v>1060071.0999999999</v>
      </c>
      <c r="G114" s="24">
        <f>SUMIFS('Saldos Iniciales'!$D:$D,'Saldos Iniciales'!$A:$A,"SSP Capital")+SUMIFS(Movimientos!$K$1:$K$987,Movimientos!$C$1:$C$987,"SSP Capital",Movimientos!$B$1:$B$987,"&lt;="&amp;$B114)</f>
        <v>1758294.6999999997</v>
      </c>
      <c r="H114" s="24">
        <f>SUMIFS('Saldos Iniciales'!$D:$D,'Saldos Iniciales'!$A:$A,"Cross Family Trust")+SUMIFS(Movimientos!$K$1:$K$987,Movimientos!$C$1:$C$987,"Cross Family Trust",Movimientos!$B$1:$B$987,"&lt;="&amp;$B114)</f>
        <v>221496.38</v>
      </c>
      <c r="I114" s="24">
        <f>SUMIFS('Saldos Iniciales'!$D:$D,'Saldos Iniciales'!$A:$A,"Cross Security Trust")+SUMIFS(Movimientos!$K$1:$K$987,Movimientos!$C$1:$C$987,"Cross Security Trust",Movimientos!$B$1:$B$987,"&lt;="&amp;$B114)</f>
        <v>158071.25999999998</v>
      </c>
      <c r="J114" s="24">
        <f>SUMIFS('Saldos Iniciales'!$D:$D,'Saldos Iniciales'!$A:$A,"Electrama")+SUMIFS(Movimientos!$K$1:$K$987,Movimientos!$C$1:$C$987,"Electrama",Movimientos!$B$1:$B$987,"&lt;="&amp;$B114)</f>
        <v>13270.02</v>
      </c>
      <c r="K114" s="24">
        <f>SUMIFS('Saldos Iniciales'!$D:$D,'Saldos Iniciales'!$A:$A,"Sacred Valley Capital")+SUMIFS(Movimientos!$K$1:$K$987,Movimientos!$C$1:$C$987,"Sacred Valley Capital",Movimientos!$B$1:$B$987,"&lt;="&amp;$B114)</f>
        <v>24.450000000000003</v>
      </c>
      <c r="L114" s="24">
        <f>SUMIFS('Saldos Iniciales'!$D:$D,'Saldos Iniciales'!$A:$A,"YWC Capital")+SUMIFS(Movimientos!$K$1:$K$987,Movimientos!$C$1:$C$987,"YWC Capital",Movimientos!$B$1:$B$987,"&lt;="&amp;$B114)</f>
        <v>2177.87</v>
      </c>
      <c r="M114" s="24">
        <f>SUMIFS('Saldos Iniciales'!$D:$D,'Saldos Iniciales'!$A:$A,"Soweto")+SUMIFS(Movimientos!$K$1:$K$987,Movimientos!$C$1:$C$987,"Soweto",Movimientos!$B$1:$B$987,"&lt;="&amp;$B114)</f>
        <v>754424.72</v>
      </c>
      <c r="N114" s="24">
        <f>SUMIFS('Saldos Iniciales'!$D:$D,'Saldos Iniciales'!$A:$A,"Green Stone Trust")+SUMIFS(Movimientos!$K$1:$K$987,Movimientos!$C$1:$C$987,"Green Stone Trust",Movimientos!$B$1:$B$987,"&lt;="&amp;$B114)</f>
        <v>1968.99</v>
      </c>
      <c r="O114" s="24">
        <f>SUMIFS('Saldos Iniciales'!$D:$D,'Saldos Iniciales'!$A:$A,"EC Auto")+SUMIFS(Movimientos!$K$1:$K$987,Movimientos!$C$1:$C$987,"EC Auto",Movimientos!$B$1:$B$987,"&lt;="&amp;$B114)</f>
        <v>901.34</v>
      </c>
      <c r="P114" s="24">
        <f>SUMIFS('Saldos Iniciales'!$D:$D,'Saldos Iniciales'!$A:$A,"Arbor Capital Properties")+SUMIFS(Movimientos!$K$1:$K$987,Movimientos!$C$1:$C$987,"Arbor Capital Properties",Movimientos!$B$1:$B$987,"&lt;="&amp;$B114)</f>
        <v>1396.08</v>
      </c>
      <c r="Q114" s="24">
        <f>SUMIFS('Saldos Iniciales'!$D:$D,'Saldos Iniciales'!$A:$A,"2515 Overbrook")+SUMIFS(Movimientos!$K$1:$K$987,Movimientos!$C$1:$C$987,"2515 Overbrook",Movimientos!$B$1:$B$987,"&lt;="&amp;$B114)</f>
        <v>13685.709999999959</v>
      </c>
      <c r="R114" s="24">
        <f>SUMIFS('Saldos Iniciales'!$D:$D,'Saldos Iniciales'!$A:$A,"112 Florida Ave")+SUMIFS(Movimientos!$K$1:$K$987,Movimientos!$C$1:$C$987,"112 Florida Ave",Movimientos!$B$1:$B$987,"&lt;="&amp;$B114)</f>
        <v>8724.1700000000037</v>
      </c>
      <c r="S114" s="24">
        <f>SUMIFS('Saldos Iniciales'!$D:$D,'Saldos Iniciales'!$A:$A,"3628 Thomas Ave")+SUMIFS(Movimientos!$K$1:$K$987,Movimientos!$C$1:$C$987,"3628 Thomas Ave",Movimientos!$B$1:$B$987,"&lt;="&amp;$B114)</f>
        <v>19336.039999999997</v>
      </c>
      <c r="T114" s="24">
        <f>SUMIFS('Saldos Iniciales'!$D:$D,'Saldos Iniciales'!$A:$A,"Green Harbor Trust")+SUMIFS(Movimientos!$K$1:$K$987,Movimientos!$C$1:$C$987,"Green Harbor Trust",Movimientos!$B$1:$B$987,"&lt;="&amp;$B114)</f>
        <v>345</v>
      </c>
      <c r="U114" s="24">
        <f>SUMIFS('Saldos Iniciales'!$D:$D,'Saldos Iniciales'!$A:$A,"Go Blue")+SUMIFS(Movimientos!$K$1:$K$987,Movimientos!$C$1:$C$987,"Go Blue",Movimientos!$B$1:$B$987,"&lt;="&amp;$B114)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Group")+SUMIFS(Movimientos!$K$1:$K$987,Movimientos!$C$1:$C$987,"CFT Group",Movimientos!$B$1:$B$987,"&lt;="&amp;$B115)</f>
        <v>783543.69000000053</v>
      </c>
      <c r="D115" s="24">
        <f>SUMIFS('Saldos Iniciales'!$D:$D,'Saldos Iniciales'!$A:$A,"M1B")+SUMIFS(Movimientos!$K$1:$K$987,Movimientos!$C$1:$C$987,"M1B",Movimientos!$B$1:$B$987,"&lt;="&amp;$B115)</f>
        <v>83211.250000000175</v>
      </c>
      <c r="E115" s="24">
        <f>SUMIFS('Saldos Iniciales'!$D:$D,'Saldos Iniciales'!$A:$A,"Durand")+SUMIFS(Movimientos!$K$1:$K$987,Movimientos!$C$1:$C$987,"Durand",Movimientos!$B$1:$B$987,"&lt;="&amp;$B115)</f>
        <v>1669.89</v>
      </c>
      <c r="F115" s="24">
        <f>SUMIFS('Saldos Iniciales'!$D:$D,'Saldos Iniciales'!$A:$A,"A&amp;M Imports")+SUMIFS(Movimientos!$K$1:$K$987,Movimientos!$C$1:$C$987,"A&amp;M Imports",Movimientos!$B$1:$B$987,"&lt;="&amp;$B115)</f>
        <v>1060071.0999999999</v>
      </c>
      <c r="G115" s="24">
        <f>SUMIFS('Saldos Iniciales'!$D:$D,'Saldos Iniciales'!$A:$A,"SSP Capital")+SUMIFS(Movimientos!$K$1:$K$987,Movimientos!$C$1:$C$987,"SSP Capital",Movimientos!$B$1:$B$987,"&lt;="&amp;$B115)</f>
        <v>1758294.6999999997</v>
      </c>
      <c r="H115" s="24">
        <f>SUMIFS('Saldos Iniciales'!$D:$D,'Saldos Iniciales'!$A:$A,"Cross Family Trust")+SUMIFS(Movimientos!$K$1:$K$987,Movimientos!$C$1:$C$987,"Cross Family Trust",Movimientos!$B$1:$B$987,"&lt;="&amp;$B115)</f>
        <v>221496.38</v>
      </c>
      <c r="I115" s="24">
        <f>SUMIFS('Saldos Iniciales'!$D:$D,'Saldos Iniciales'!$A:$A,"Cross Security Trust")+SUMIFS(Movimientos!$K$1:$K$987,Movimientos!$C$1:$C$987,"Cross Security Trust",Movimientos!$B$1:$B$987,"&lt;="&amp;$B115)</f>
        <v>158071.25999999998</v>
      </c>
      <c r="J115" s="24">
        <f>SUMIFS('Saldos Iniciales'!$D:$D,'Saldos Iniciales'!$A:$A,"Electrama")+SUMIFS(Movimientos!$K$1:$K$987,Movimientos!$C$1:$C$987,"Electrama",Movimientos!$B$1:$B$987,"&lt;="&amp;$B115)</f>
        <v>13270.02</v>
      </c>
      <c r="K115" s="24">
        <f>SUMIFS('Saldos Iniciales'!$D:$D,'Saldos Iniciales'!$A:$A,"Sacred Valley Capital")+SUMIFS(Movimientos!$K$1:$K$987,Movimientos!$C$1:$C$987,"Sacred Valley Capital",Movimientos!$B$1:$B$987,"&lt;="&amp;$B115)</f>
        <v>24.450000000000003</v>
      </c>
      <c r="L115" s="24">
        <f>SUMIFS('Saldos Iniciales'!$D:$D,'Saldos Iniciales'!$A:$A,"YWC Capital")+SUMIFS(Movimientos!$K$1:$K$987,Movimientos!$C$1:$C$987,"YWC Capital",Movimientos!$B$1:$B$987,"&lt;="&amp;$B115)</f>
        <v>2177.87</v>
      </c>
      <c r="M115" s="24">
        <f>SUMIFS('Saldos Iniciales'!$D:$D,'Saldos Iniciales'!$A:$A,"Soweto")+SUMIFS(Movimientos!$K$1:$K$987,Movimientos!$C$1:$C$987,"Soweto",Movimientos!$B$1:$B$987,"&lt;="&amp;$B115)</f>
        <v>754424.72</v>
      </c>
      <c r="N115" s="24">
        <f>SUMIFS('Saldos Iniciales'!$D:$D,'Saldos Iniciales'!$A:$A,"Green Stone Trust")+SUMIFS(Movimientos!$K$1:$K$987,Movimientos!$C$1:$C$987,"Green Stone Trust",Movimientos!$B$1:$B$987,"&lt;="&amp;$B115)</f>
        <v>1968.99</v>
      </c>
      <c r="O115" s="24">
        <f>SUMIFS('Saldos Iniciales'!$D:$D,'Saldos Iniciales'!$A:$A,"EC Auto")+SUMIFS(Movimientos!$K$1:$K$987,Movimientos!$C$1:$C$987,"EC Auto",Movimientos!$B$1:$B$987,"&lt;="&amp;$B115)</f>
        <v>901.34</v>
      </c>
      <c r="P115" s="24">
        <f>SUMIFS('Saldos Iniciales'!$D:$D,'Saldos Iniciales'!$A:$A,"Arbor Capital Properties")+SUMIFS(Movimientos!$K$1:$K$987,Movimientos!$C$1:$C$987,"Arbor Capital Properties",Movimientos!$B$1:$B$987,"&lt;="&amp;$B115)</f>
        <v>1396.08</v>
      </c>
      <c r="Q115" s="24">
        <f>SUMIFS('Saldos Iniciales'!$D:$D,'Saldos Iniciales'!$A:$A,"2515 Overbrook")+SUMIFS(Movimientos!$K$1:$K$987,Movimientos!$C$1:$C$987,"2515 Overbrook",Movimientos!$B$1:$B$987,"&lt;="&amp;$B115)</f>
        <v>13685.709999999959</v>
      </c>
      <c r="R115" s="24">
        <f>SUMIFS('Saldos Iniciales'!$D:$D,'Saldos Iniciales'!$A:$A,"112 Florida Ave")+SUMIFS(Movimientos!$K$1:$K$987,Movimientos!$C$1:$C$987,"112 Florida Ave",Movimientos!$B$1:$B$987,"&lt;="&amp;$B115)</f>
        <v>8724.1700000000037</v>
      </c>
      <c r="S115" s="24">
        <f>SUMIFS('Saldos Iniciales'!$D:$D,'Saldos Iniciales'!$A:$A,"3628 Thomas Ave")+SUMIFS(Movimientos!$K$1:$K$987,Movimientos!$C$1:$C$987,"3628 Thomas Ave",Movimientos!$B$1:$B$987,"&lt;="&amp;$B115)</f>
        <v>19336.039999999997</v>
      </c>
      <c r="T115" s="24">
        <f>SUMIFS('Saldos Iniciales'!$D:$D,'Saldos Iniciales'!$A:$A,"Green Harbor Trust")+SUMIFS(Movimientos!$K$1:$K$987,Movimientos!$C$1:$C$987,"Green Harbor Trust",Movimientos!$B$1:$B$987,"&lt;="&amp;$B115)</f>
        <v>345</v>
      </c>
      <c r="U115" s="24">
        <f>SUMIFS('Saldos Iniciales'!$D:$D,'Saldos Iniciales'!$A:$A,"Go Blue")+SUMIFS(Movimientos!$K$1:$K$987,Movimientos!$C$1:$C$987,"Go Blue",Movimientos!$B$1:$B$987,"&lt;="&amp;$B115)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Group")+SUMIFS(Movimientos!$K$1:$K$987,Movimientos!$C$1:$C$987,"CFT Group",Movimientos!$B$1:$B$987,"&lt;="&amp;$B116)</f>
        <v>783543.69000000053</v>
      </c>
      <c r="D116" s="24">
        <f>SUMIFS('Saldos Iniciales'!$D:$D,'Saldos Iniciales'!$A:$A,"M1B")+SUMIFS(Movimientos!$K$1:$K$987,Movimientos!$C$1:$C$987,"M1B",Movimientos!$B$1:$B$987,"&lt;="&amp;$B116)</f>
        <v>83211.250000000175</v>
      </c>
      <c r="E116" s="24">
        <f>SUMIFS('Saldos Iniciales'!$D:$D,'Saldos Iniciales'!$A:$A,"Durand")+SUMIFS(Movimientos!$K$1:$K$987,Movimientos!$C$1:$C$987,"Durand",Movimientos!$B$1:$B$987,"&lt;="&amp;$B116)</f>
        <v>1669.89</v>
      </c>
      <c r="F116" s="24">
        <f>SUMIFS('Saldos Iniciales'!$D:$D,'Saldos Iniciales'!$A:$A,"A&amp;M Imports")+SUMIFS(Movimientos!$K$1:$K$987,Movimientos!$C$1:$C$987,"A&amp;M Imports",Movimientos!$B$1:$B$987,"&lt;="&amp;$B116)</f>
        <v>1060071.0999999999</v>
      </c>
      <c r="G116" s="24">
        <f>SUMIFS('Saldos Iniciales'!$D:$D,'Saldos Iniciales'!$A:$A,"SSP Capital")+SUMIFS(Movimientos!$K$1:$K$987,Movimientos!$C$1:$C$987,"SSP Capital",Movimientos!$B$1:$B$987,"&lt;="&amp;$B116)</f>
        <v>1758294.6999999997</v>
      </c>
      <c r="H116" s="24">
        <f>SUMIFS('Saldos Iniciales'!$D:$D,'Saldos Iniciales'!$A:$A,"Cross Family Trust")+SUMIFS(Movimientos!$K$1:$K$987,Movimientos!$C$1:$C$987,"Cross Family Trust",Movimientos!$B$1:$B$987,"&lt;="&amp;$B116)</f>
        <v>221496.38</v>
      </c>
      <c r="I116" s="24">
        <f>SUMIFS('Saldos Iniciales'!$D:$D,'Saldos Iniciales'!$A:$A,"Cross Security Trust")+SUMIFS(Movimientos!$K$1:$K$987,Movimientos!$C$1:$C$987,"Cross Security Trust",Movimientos!$B$1:$B$987,"&lt;="&amp;$B116)</f>
        <v>158071.25999999998</v>
      </c>
      <c r="J116" s="24">
        <f>SUMIFS('Saldos Iniciales'!$D:$D,'Saldos Iniciales'!$A:$A,"Electrama")+SUMIFS(Movimientos!$K$1:$K$987,Movimientos!$C$1:$C$987,"Electrama",Movimientos!$B$1:$B$987,"&lt;="&amp;$B116)</f>
        <v>13270.02</v>
      </c>
      <c r="K116" s="24">
        <f>SUMIFS('Saldos Iniciales'!$D:$D,'Saldos Iniciales'!$A:$A,"Sacred Valley Capital")+SUMIFS(Movimientos!$K$1:$K$987,Movimientos!$C$1:$C$987,"Sacred Valley Capital",Movimientos!$B$1:$B$987,"&lt;="&amp;$B116)</f>
        <v>24.450000000000003</v>
      </c>
      <c r="L116" s="24">
        <f>SUMIFS('Saldos Iniciales'!$D:$D,'Saldos Iniciales'!$A:$A,"YWC Capital")+SUMIFS(Movimientos!$K$1:$K$987,Movimientos!$C$1:$C$987,"YWC Capital",Movimientos!$B$1:$B$987,"&lt;="&amp;$B116)</f>
        <v>2177.87</v>
      </c>
      <c r="M116" s="24">
        <f>SUMIFS('Saldos Iniciales'!$D:$D,'Saldos Iniciales'!$A:$A,"Soweto")+SUMIFS(Movimientos!$K$1:$K$987,Movimientos!$C$1:$C$987,"Soweto",Movimientos!$B$1:$B$987,"&lt;="&amp;$B116)</f>
        <v>754424.72</v>
      </c>
      <c r="N116" s="24">
        <f>SUMIFS('Saldos Iniciales'!$D:$D,'Saldos Iniciales'!$A:$A,"Green Stone Trust")+SUMIFS(Movimientos!$K$1:$K$987,Movimientos!$C$1:$C$987,"Green Stone Trust",Movimientos!$B$1:$B$987,"&lt;="&amp;$B116)</f>
        <v>1968.99</v>
      </c>
      <c r="O116" s="24">
        <f>SUMIFS('Saldos Iniciales'!$D:$D,'Saldos Iniciales'!$A:$A,"EC Auto")+SUMIFS(Movimientos!$K$1:$K$987,Movimientos!$C$1:$C$987,"EC Auto",Movimientos!$B$1:$B$987,"&lt;="&amp;$B116)</f>
        <v>901.34</v>
      </c>
      <c r="P116" s="24">
        <f>SUMIFS('Saldos Iniciales'!$D:$D,'Saldos Iniciales'!$A:$A,"Arbor Capital Properties")+SUMIFS(Movimientos!$K$1:$K$987,Movimientos!$C$1:$C$987,"Arbor Capital Properties",Movimientos!$B$1:$B$987,"&lt;="&amp;$B116)</f>
        <v>1396.08</v>
      </c>
      <c r="Q116" s="24">
        <f>SUMIFS('Saldos Iniciales'!$D:$D,'Saldos Iniciales'!$A:$A,"2515 Overbrook")+SUMIFS(Movimientos!$K$1:$K$987,Movimientos!$C$1:$C$987,"2515 Overbrook",Movimientos!$B$1:$B$987,"&lt;="&amp;$B116)</f>
        <v>13685.709999999959</v>
      </c>
      <c r="R116" s="24">
        <f>SUMIFS('Saldos Iniciales'!$D:$D,'Saldos Iniciales'!$A:$A,"112 Florida Ave")+SUMIFS(Movimientos!$K$1:$K$987,Movimientos!$C$1:$C$987,"112 Florida Ave",Movimientos!$B$1:$B$987,"&lt;="&amp;$B116)</f>
        <v>8724.1700000000037</v>
      </c>
      <c r="S116" s="24">
        <f>SUMIFS('Saldos Iniciales'!$D:$D,'Saldos Iniciales'!$A:$A,"3628 Thomas Ave")+SUMIFS(Movimientos!$K$1:$K$987,Movimientos!$C$1:$C$987,"3628 Thomas Ave",Movimientos!$B$1:$B$987,"&lt;="&amp;$B116)</f>
        <v>19336.039999999997</v>
      </c>
      <c r="T116" s="24">
        <f>SUMIFS('Saldos Iniciales'!$D:$D,'Saldos Iniciales'!$A:$A,"Green Harbor Trust")+SUMIFS(Movimientos!$K$1:$K$987,Movimientos!$C$1:$C$987,"Green Harbor Trust",Movimientos!$B$1:$B$987,"&lt;="&amp;$B116)</f>
        <v>345</v>
      </c>
      <c r="U116" s="24">
        <f>SUMIFS('Saldos Iniciales'!$D:$D,'Saldos Iniciales'!$A:$A,"Go Blue")+SUMIFS(Movimientos!$K$1:$K$987,Movimientos!$C$1:$C$987,"Go Blue",Movimientos!$B$1:$B$987,"&lt;="&amp;$B116)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Group")+SUMIFS(Movimientos!$K$1:$K$987,Movimientos!$C$1:$C$987,"CFT Group",Movimientos!$B$1:$B$987,"&lt;="&amp;$B117)</f>
        <v>453543.69000000041</v>
      </c>
      <c r="D117" s="24">
        <f>SUMIFS('Saldos Iniciales'!$D:$D,'Saldos Iniciales'!$A:$A,"M1B")+SUMIFS(Movimientos!$K$1:$K$987,Movimientos!$C$1:$C$987,"M1B",Movimientos!$B$1:$B$987,"&lt;="&amp;$B117)</f>
        <v>83668.990000000165</v>
      </c>
      <c r="E117" s="24">
        <f>SUMIFS('Saldos Iniciales'!$D:$D,'Saldos Iniciales'!$A:$A,"Durand")+SUMIFS(Movimientos!$K$1:$K$987,Movimientos!$C$1:$C$987,"Durand",Movimientos!$B$1:$B$987,"&lt;="&amp;$B117)</f>
        <v>1669.89</v>
      </c>
      <c r="F117" s="24">
        <f>SUMIFS('Saldos Iniciales'!$D:$D,'Saldos Iniciales'!$A:$A,"A&amp;M Imports")+SUMIFS(Movimientos!$K$1:$K$987,Movimientos!$C$1:$C$987,"A&amp;M Imports",Movimientos!$B$1:$B$987,"&lt;="&amp;$B117)</f>
        <v>1065803.0899999999</v>
      </c>
      <c r="G117" s="24">
        <f>SUMIFS('Saldos Iniciales'!$D:$D,'Saldos Iniciales'!$A:$A,"SSP Capital")+SUMIFS(Movimientos!$K$1:$K$987,Movimientos!$C$1:$C$987,"SSP Capital",Movimientos!$B$1:$B$987,"&lt;="&amp;$B117)</f>
        <v>1757531.7099999995</v>
      </c>
      <c r="H117" s="24">
        <f>SUMIFS('Saldos Iniciales'!$D:$D,'Saldos Iniciales'!$A:$A,"Cross Family Trust")+SUMIFS(Movimientos!$K$1:$K$987,Movimientos!$C$1:$C$987,"Cross Family Trust",Movimientos!$B$1:$B$987,"&lt;="&amp;$B117)</f>
        <v>221496.38</v>
      </c>
      <c r="I117" s="24">
        <f>SUMIFS('Saldos Iniciales'!$D:$D,'Saldos Iniciales'!$A:$A,"Cross Security Trust")+SUMIFS(Movimientos!$K$1:$K$987,Movimientos!$C$1:$C$987,"Cross Security Trust",Movimientos!$B$1:$B$987,"&lt;="&amp;$B117)</f>
        <v>158071.25999999998</v>
      </c>
      <c r="J117" s="24">
        <f>SUMIFS('Saldos Iniciales'!$D:$D,'Saldos Iniciales'!$A:$A,"Electrama")+SUMIFS(Movimientos!$K$1:$K$987,Movimientos!$C$1:$C$987,"Electrama",Movimientos!$B$1:$B$987,"&lt;="&amp;$B117)</f>
        <v>13270.02</v>
      </c>
      <c r="K117" s="24">
        <f>SUMIFS('Saldos Iniciales'!$D:$D,'Saldos Iniciales'!$A:$A,"Sacred Valley Capital")+SUMIFS(Movimientos!$K$1:$K$987,Movimientos!$C$1:$C$987,"Sacred Valley Capital",Movimientos!$B$1:$B$987,"&lt;="&amp;$B117)</f>
        <v>24.450000000000003</v>
      </c>
      <c r="L117" s="24">
        <f>SUMIFS('Saldos Iniciales'!$D:$D,'Saldos Iniciales'!$A:$A,"YWC Capital")+SUMIFS(Movimientos!$K$1:$K$987,Movimientos!$C$1:$C$987,"YWC Capital",Movimientos!$B$1:$B$987,"&lt;="&amp;$B117)</f>
        <v>2177.87</v>
      </c>
      <c r="M117" s="24">
        <f>SUMIFS('Saldos Iniciales'!$D:$D,'Saldos Iniciales'!$A:$A,"Soweto")+SUMIFS(Movimientos!$K$1:$K$987,Movimientos!$C$1:$C$987,"Soweto",Movimientos!$B$1:$B$987,"&lt;="&amp;$B117)</f>
        <v>754424.72</v>
      </c>
      <c r="N117" s="24">
        <f>SUMIFS('Saldos Iniciales'!$D:$D,'Saldos Iniciales'!$A:$A,"Green Stone Trust")+SUMIFS(Movimientos!$K$1:$K$987,Movimientos!$C$1:$C$987,"Green Stone Trust",Movimientos!$B$1:$B$987,"&lt;="&amp;$B117)</f>
        <v>1968.99</v>
      </c>
      <c r="O117" s="24">
        <f>SUMIFS('Saldos Iniciales'!$D:$D,'Saldos Iniciales'!$A:$A,"EC Auto")+SUMIFS(Movimientos!$K$1:$K$987,Movimientos!$C$1:$C$987,"EC Auto",Movimientos!$B$1:$B$987,"&lt;="&amp;$B117)</f>
        <v>901.34</v>
      </c>
      <c r="P117" s="24">
        <f>SUMIFS('Saldos Iniciales'!$D:$D,'Saldos Iniciales'!$A:$A,"Arbor Capital Properties")+SUMIFS(Movimientos!$K$1:$K$987,Movimientos!$C$1:$C$987,"Arbor Capital Properties",Movimientos!$B$1:$B$987,"&lt;="&amp;$B117)</f>
        <v>1396.08</v>
      </c>
      <c r="Q117" s="24">
        <f>SUMIFS('Saldos Iniciales'!$D:$D,'Saldos Iniciales'!$A:$A,"2515 Overbrook")+SUMIFS(Movimientos!$K$1:$K$987,Movimientos!$C$1:$C$987,"2515 Overbrook",Movimientos!$B$1:$B$987,"&lt;="&amp;$B117)</f>
        <v>13685.709999999959</v>
      </c>
      <c r="R117" s="24">
        <f>SUMIFS('Saldos Iniciales'!$D:$D,'Saldos Iniciales'!$A:$A,"112 Florida Ave")+SUMIFS(Movimientos!$K$1:$K$987,Movimientos!$C$1:$C$987,"112 Florida Ave",Movimientos!$B$1:$B$987,"&lt;="&amp;$B117)</f>
        <v>8724.1700000000037</v>
      </c>
      <c r="S117" s="24">
        <f>SUMIFS('Saldos Iniciales'!$D:$D,'Saldos Iniciales'!$A:$A,"3628 Thomas Ave")+SUMIFS(Movimientos!$K$1:$K$987,Movimientos!$C$1:$C$987,"3628 Thomas Ave",Movimientos!$B$1:$B$987,"&lt;="&amp;$B117)</f>
        <v>19336.039999999997</v>
      </c>
      <c r="T117" s="24">
        <f>SUMIFS('Saldos Iniciales'!$D:$D,'Saldos Iniciales'!$A:$A,"Green Harbor Trust")+SUMIFS(Movimientos!$K$1:$K$987,Movimientos!$C$1:$C$987,"Green Harbor Trust",Movimientos!$B$1:$B$987,"&lt;="&amp;$B117)</f>
        <v>345</v>
      </c>
      <c r="U117" s="24">
        <f>SUMIFS('Saldos Iniciales'!$D:$D,'Saldos Iniciales'!$A:$A,"Go Blue")+SUMIFS(Movimientos!$K$1:$K$987,Movimientos!$C$1:$C$987,"Go Blue",Movimientos!$B$1:$B$987,"&lt;="&amp;$B117)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Group")+SUMIFS(Movimientos!$K$1:$K$987,Movimientos!$C$1:$C$987,"CFT Group",Movimientos!$B$1:$B$987,"&lt;="&amp;$B118)</f>
        <v>607429.86000000045</v>
      </c>
      <c r="D118" s="24">
        <f>SUMIFS('Saldos Iniciales'!$D:$D,'Saldos Iniciales'!$A:$A,"M1B")+SUMIFS(Movimientos!$K$1:$K$987,Movimientos!$C$1:$C$987,"M1B",Movimientos!$B$1:$B$987,"&lt;="&amp;$B118)</f>
        <v>90643.10000000018</v>
      </c>
      <c r="E118" s="24">
        <f>SUMIFS('Saldos Iniciales'!$D:$D,'Saldos Iniciales'!$A:$A,"Durand")+SUMIFS(Movimientos!$K$1:$K$987,Movimientos!$C$1:$C$987,"Durand",Movimientos!$B$1:$B$987,"&lt;="&amp;$B118)</f>
        <v>1669.89</v>
      </c>
      <c r="F118" s="24">
        <f>SUMIFS('Saldos Iniciales'!$D:$D,'Saldos Iniciales'!$A:$A,"A&amp;M Imports")+SUMIFS(Movimientos!$K$1:$K$987,Movimientos!$C$1:$C$987,"A&amp;M Imports",Movimientos!$B$1:$B$987,"&lt;="&amp;$B118)</f>
        <v>1083148.7</v>
      </c>
      <c r="G118" s="24">
        <f>SUMIFS('Saldos Iniciales'!$D:$D,'Saldos Iniciales'!$A:$A,"SSP Capital")+SUMIFS(Movimientos!$K$1:$K$987,Movimientos!$C$1:$C$987,"SSP Capital",Movimientos!$B$1:$B$987,"&lt;="&amp;$B118)</f>
        <v>1757531.7099999995</v>
      </c>
      <c r="H118" s="24">
        <f>SUMIFS('Saldos Iniciales'!$D:$D,'Saldos Iniciales'!$A:$A,"Cross Family Trust")+SUMIFS(Movimientos!$K$1:$K$987,Movimientos!$C$1:$C$987,"Cross Family Trust",Movimientos!$B$1:$B$987,"&lt;="&amp;$B118)</f>
        <v>221496.38</v>
      </c>
      <c r="I118" s="24">
        <f>SUMIFS('Saldos Iniciales'!$D:$D,'Saldos Iniciales'!$A:$A,"Cross Security Trust")+SUMIFS(Movimientos!$K$1:$K$987,Movimientos!$C$1:$C$987,"Cross Security Trust",Movimientos!$B$1:$B$987,"&lt;="&amp;$B118)</f>
        <v>158071.25999999998</v>
      </c>
      <c r="J118" s="24">
        <f>SUMIFS('Saldos Iniciales'!$D:$D,'Saldos Iniciales'!$A:$A,"Electrama")+SUMIFS(Movimientos!$K$1:$K$987,Movimientos!$C$1:$C$987,"Electrama",Movimientos!$B$1:$B$987,"&lt;="&amp;$B118)</f>
        <v>13270.02</v>
      </c>
      <c r="K118" s="24">
        <f>SUMIFS('Saldos Iniciales'!$D:$D,'Saldos Iniciales'!$A:$A,"Sacred Valley Capital")+SUMIFS(Movimientos!$K$1:$K$987,Movimientos!$C$1:$C$987,"Sacred Valley Capital",Movimientos!$B$1:$B$987,"&lt;="&amp;$B118)</f>
        <v>24.450000000000003</v>
      </c>
      <c r="L118" s="24">
        <f>SUMIFS('Saldos Iniciales'!$D:$D,'Saldos Iniciales'!$A:$A,"YWC Capital")+SUMIFS(Movimientos!$K$1:$K$987,Movimientos!$C$1:$C$987,"YWC Capital",Movimientos!$B$1:$B$987,"&lt;="&amp;$B118)</f>
        <v>2177.87</v>
      </c>
      <c r="M118" s="24">
        <f>SUMIFS('Saldos Iniciales'!$D:$D,'Saldos Iniciales'!$A:$A,"Soweto")+SUMIFS(Movimientos!$K$1:$K$987,Movimientos!$C$1:$C$987,"Soweto",Movimientos!$B$1:$B$987,"&lt;="&amp;$B118)</f>
        <v>754424.72</v>
      </c>
      <c r="N118" s="24">
        <f>SUMIFS('Saldos Iniciales'!$D:$D,'Saldos Iniciales'!$A:$A,"Green Stone Trust")+SUMIFS(Movimientos!$K$1:$K$987,Movimientos!$C$1:$C$987,"Green Stone Trust",Movimientos!$B$1:$B$987,"&lt;="&amp;$B118)</f>
        <v>1968.99</v>
      </c>
      <c r="O118" s="24">
        <f>SUMIFS('Saldos Iniciales'!$D:$D,'Saldos Iniciales'!$A:$A,"EC Auto")+SUMIFS(Movimientos!$K$1:$K$987,Movimientos!$C$1:$C$987,"EC Auto",Movimientos!$B$1:$B$987,"&lt;="&amp;$B118)</f>
        <v>901.34</v>
      </c>
      <c r="P118" s="24">
        <f>SUMIFS('Saldos Iniciales'!$D:$D,'Saldos Iniciales'!$A:$A,"Arbor Capital Properties")+SUMIFS(Movimientos!$K$1:$K$987,Movimientos!$C$1:$C$987,"Arbor Capital Properties",Movimientos!$B$1:$B$987,"&lt;="&amp;$B118)</f>
        <v>1396.08</v>
      </c>
      <c r="Q118" s="24">
        <f>SUMIFS('Saldos Iniciales'!$D:$D,'Saldos Iniciales'!$A:$A,"2515 Overbrook")+SUMIFS(Movimientos!$K$1:$K$987,Movimientos!$C$1:$C$987,"2515 Overbrook",Movimientos!$B$1:$B$987,"&lt;="&amp;$B118)</f>
        <v>13685.709999999959</v>
      </c>
      <c r="R118" s="24">
        <f>SUMIFS('Saldos Iniciales'!$D:$D,'Saldos Iniciales'!$A:$A,"112 Florida Ave")+SUMIFS(Movimientos!$K$1:$K$987,Movimientos!$C$1:$C$987,"112 Florida Ave",Movimientos!$B$1:$B$987,"&lt;="&amp;$B118)</f>
        <v>8724.1700000000037</v>
      </c>
      <c r="S118" s="24">
        <f>SUMIFS('Saldos Iniciales'!$D:$D,'Saldos Iniciales'!$A:$A,"3628 Thomas Ave")+SUMIFS(Movimientos!$K$1:$K$987,Movimientos!$C$1:$C$987,"3628 Thomas Ave",Movimientos!$B$1:$B$987,"&lt;="&amp;$B118)</f>
        <v>19336.039999999997</v>
      </c>
      <c r="T118" s="24">
        <f>SUMIFS('Saldos Iniciales'!$D:$D,'Saldos Iniciales'!$A:$A,"Green Harbor Trust")+SUMIFS(Movimientos!$K$1:$K$987,Movimientos!$C$1:$C$987,"Green Harbor Trust",Movimientos!$B$1:$B$987,"&lt;="&amp;$B118)</f>
        <v>345</v>
      </c>
      <c r="U118" s="24">
        <f>SUMIFS('Saldos Iniciales'!$D:$D,'Saldos Iniciales'!$A:$A,"Go Blue")+SUMIFS(Movimientos!$K$1:$K$987,Movimientos!$C$1:$C$987,"Go Blue",Movimientos!$B$1:$B$987,"&lt;="&amp;$B118)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Group")+SUMIFS(Movimientos!$K$1:$K$987,Movimientos!$C$1:$C$987,"CFT Group",Movimientos!$B$1:$B$987,"&lt;="&amp;$B119)</f>
        <v>607429.86000000045</v>
      </c>
      <c r="D119" s="24">
        <f>SUMIFS('Saldos Iniciales'!$D:$D,'Saldos Iniciales'!$A:$A,"M1B")+SUMIFS(Movimientos!$K$1:$K$987,Movimientos!$C$1:$C$987,"M1B",Movimientos!$B$1:$B$987,"&lt;="&amp;$B119)</f>
        <v>90643.10000000018</v>
      </c>
      <c r="E119" s="24">
        <f>SUMIFS('Saldos Iniciales'!$D:$D,'Saldos Iniciales'!$A:$A,"Durand")+SUMIFS(Movimientos!$K$1:$K$987,Movimientos!$C$1:$C$987,"Durand",Movimientos!$B$1:$B$987,"&lt;="&amp;$B119)</f>
        <v>1669.89</v>
      </c>
      <c r="F119" s="24">
        <f>SUMIFS('Saldos Iniciales'!$D:$D,'Saldos Iniciales'!$A:$A,"A&amp;M Imports")+SUMIFS(Movimientos!$K$1:$K$987,Movimientos!$C$1:$C$987,"A&amp;M Imports",Movimientos!$B$1:$B$987,"&lt;="&amp;$B119)</f>
        <v>1100694.23</v>
      </c>
      <c r="G119" s="24">
        <f>SUMIFS('Saldos Iniciales'!$D:$D,'Saldos Iniciales'!$A:$A,"SSP Capital")+SUMIFS(Movimientos!$K$1:$K$987,Movimientos!$C$1:$C$987,"SSP Capital",Movimientos!$B$1:$B$987,"&lt;="&amp;$B119)</f>
        <v>1757531.7099999995</v>
      </c>
      <c r="H119" s="24">
        <f>SUMIFS('Saldos Iniciales'!$D:$D,'Saldos Iniciales'!$A:$A,"Cross Family Trust")+SUMIFS(Movimientos!$K$1:$K$987,Movimientos!$C$1:$C$987,"Cross Family Trust",Movimientos!$B$1:$B$987,"&lt;="&amp;$B119)</f>
        <v>221496.38</v>
      </c>
      <c r="I119" s="24">
        <f>SUMIFS('Saldos Iniciales'!$D:$D,'Saldos Iniciales'!$A:$A,"Cross Security Trust")+SUMIFS(Movimientos!$K$1:$K$987,Movimientos!$C$1:$C$987,"Cross Security Trust",Movimientos!$B$1:$B$987,"&lt;="&amp;$B119)</f>
        <v>158071.25999999998</v>
      </c>
      <c r="J119" s="24">
        <f>SUMIFS('Saldos Iniciales'!$D:$D,'Saldos Iniciales'!$A:$A,"Electrama")+SUMIFS(Movimientos!$K$1:$K$987,Movimientos!$C$1:$C$987,"Electrama",Movimientos!$B$1:$B$987,"&lt;="&amp;$B119)</f>
        <v>13270.02</v>
      </c>
      <c r="K119" s="24">
        <f>SUMIFS('Saldos Iniciales'!$D:$D,'Saldos Iniciales'!$A:$A,"Sacred Valley Capital")+SUMIFS(Movimientos!$K$1:$K$987,Movimientos!$C$1:$C$987,"Sacred Valley Capital",Movimientos!$B$1:$B$987,"&lt;="&amp;$B119)</f>
        <v>24.450000000000003</v>
      </c>
      <c r="L119" s="24">
        <f>SUMIFS('Saldos Iniciales'!$D:$D,'Saldos Iniciales'!$A:$A,"YWC Capital")+SUMIFS(Movimientos!$K$1:$K$987,Movimientos!$C$1:$C$987,"YWC Capital",Movimientos!$B$1:$B$987,"&lt;="&amp;$B119)</f>
        <v>2177.87</v>
      </c>
      <c r="M119" s="24">
        <f>SUMIFS('Saldos Iniciales'!$D:$D,'Saldos Iniciales'!$A:$A,"Soweto")+SUMIFS(Movimientos!$K$1:$K$987,Movimientos!$C$1:$C$987,"Soweto",Movimientos!$B$1:$B$987,"&lt;="&amp;$B119)</f>
        <v>754424.72</v>
      </c>
      <c r="N119" s="24">
        <f>SUMIFS('Saldos Iniciales'!$D:$D,'Saldos Iniciales'!$A:$A,"Green Stone Trust")+SUMIFS(Movimientos!$K$1:$K$987,Movimientos!$C$1:$C$987,"Green Stone Trust",Movimientos!$B$1:$B$987,"&lt;="&amp;$B119)</f>
        <v>1968.99</v>
      </c>
      <c r="O119" s="24">
        <f>SUMIFS('Saldos Iniciales'!$D:$D,'Saldos Iniciales'!$A:$A,"EC Auto")+SUMIFS(Movimientos!$K$1:$K$987,Movimientos!$C$1:$C$987,"EC Auto",Movimientos!$B$1:$B$987,"&lt;="&amp;$B119)</f>
        <v>901.34</v>
      </c>
      <c r="P119" s="24">
        <f>SUMIFS('Saldos Iniciales'!$D:$D,'Saldos Iniciales'!$A:$A,"Arbor Capital Properties")+SUMIFS(Movimientos!$K$1:$K$987,Movimientos!$C$1:$C$987,"Arbor Capital Properties",Movimientos!$B$1:$B$987,"&lt;="&amp;$B119)</f>
        <v>1396.08</v>
      </c>
      <c r="Q119" s="24">
        <f>SUMIFS('Saldos Iniciales'!$D:$D,'Saldos Iniciales'!$A:$A,"2515 Overbrook")+SUMIFS(Movimientos!$K$1:$K$987,Movimientos!$C$1:$C$987,"2515 Overbrook",Movimientos!$B$1:$B$987,"&lt;="&amp;$B119)</f>
        <v>13685.709999999959</v>
      </c>
      <c r="R119" s="24">
        <f>SUMIFS('Saldos Iniciales'!$D:$D,'Saldos Iniciales'!$A:$A,"112 Florida Ave")+SUMIFS(Movimientos!$K$1:$K$987,Movimientos!$C$1:$C$987,"112 Florida Ave",Movimientos!$B$1:$B$987,"&lt;="&amp;$B119)</f>
        <v>8724.1700000000037</v>
      </c>
      <c r="S119" s="24">
        <f>SUMIFS('Saldos Iniciales'!$D:$D,'Saldos Iniciales'!$A:$A,"3628 Thomas Ave")+SUMIFS(Movimientos!$K$1:$K$987,Movimientos!$C$1:$C$987,"3628 Thomas Ave",Movimientos!$B$1:$B$987,"&lt;="&amp;$B119)</f>
        <v>19336.039999999997</v>
      </c>
      <c r="T119" s="24">
        <f>SUMIFS('Saldos Iniciales'!$D:$D,'Saldos Iniciales'!$A:$A,"Green Harbor Trust")+SUMIFS(Movimientos!$K$1:$K$987,Movimientos!$C$1:$C$987,"Green Harbor Trust",Movimientos!$B$1:$B$987,"&lt;="&amp;$B119)</f>
        <v>345</v>
      </c>
      <c r="U119" s="24">
        <f>SUMIFS('Saldos Iniciales'!$D:$D,'Saldos Iniciales'!$A:$A,"Go Blue")+SUMIFS(Movimientos!$K$1:$K$987,Movimientos!$C$1:$C$987,"Go Blue",Movimientos!$B$1:$B$987,"&lt;="&amp;$B119)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Group")+SUMIFS(Movimientos!$K$1:$K$987,Movimientos!$C$1:$C$987,"CFT Group",Movimientos!$B$1:$B$987,"&lt;="&amp;$B120)</f>
        <v>659426.92000000051</v>
      </c>
      <c r="D120" s="24">
        <f>SUMIFS('Saldos Iniciales'!$D:$D,'Saldos Iniciales'!$A:$A,"M1B")+SUMIFS(Movimientos!$K$1:$K$987,Movimientos!$C$1:$C$987,"M1B",Movimientos!$B$1:$B$987,"&lt;="&amp;$B120)</f>
        <v>90643.10000000018</v>
      </c>
      <c r="E120" s="24">
        <f>SUMIFS('Saldos Iniciales'!$D:$D,'Saldos Iniciales'!$A:$A,"Durand")+SUMIFS(Movimientos!$K$1:$K$987,Movimientos!$C$1:$C$987,"Durand",Movimientos!$B$1:$B$987,"&lt;="&amp;$B120)</f>
        <v>1669.89</v>
      </c>
      <c r="F120" s="24">
        <f>SUMIFS('Saldos Iniciales'!$D:$D,'Saldos Iniciales'!$A:$A,"A&amp;M Imports")+SUMIFS(Movimientos!$K$1:$K$987,Movimientos!$C$1:$C$987,"A&amp;M Imports",Movimientos!$B$1:$B$987,"&lt;="&amp;$B120)</f>
        <v>1225694.23</v>
      </c>
      <c r="G120" s="24">
        <f>SUMIFS('Saldos Iniciales'!$D:$D,'Saldos Iniciales'!$A:$A,"SSP Capital")+SUMIFS(Movimientos!$K$1:$K$987,Movimientos!$C$1:$C$987,"SSP Capital",Movimientos!$B$1:$B$987,"&lt;="&amp;$B120)</f>
        <v>1733606.8399999996</v>
      </c>
      <c r="H120" s="24">
        <f>SUMIFS('Saldos Iniciales'!$D:$D,'Saldos Iniciales'!$A:$A,"Cross Family Trust")+SUMIFS(Movimientos!$K$1:$K$987,Movimientos!$C$1:$C$987,"Cross Family Trust",Movimientos!$B$1:$B$987,"&lt;="&amp;$B120)</f>
        <v>221496.38</v>
      </c>
      <c r="I120" s="24">
        <f>SUMIFS('Saldos Iniciales'!$D:$D,'Saldos Iniciales'!$A:$A,"Cross Security Trust")+SUMIFS(Movimientos!$K$1:$K$987,Movimientos!$C$1:$C$987,"Cross Security Trust",Movimientos!$B$1:$B$987,"&lt;="&amp;$B120)</f>
        <v>158071.25999999998</v>
      </c>
      <c r="J120" s="24">
        <f>SUMIFS('Saldos Iniciales'!$D:$D,'Saldos Iniciales'!$A:$A,"Electrama")+SUMIFS(Movimientos!$K$1:$K$987,Movimientos!$C$1:$C$987,"Electrama",Movimientos!$B$1:$B$987,"&lt;="&amp;$B120)</f>
        <v>13270.02</v>
      </c>
      <c r="K120" s="24">
        <f>SUMIFS('Saldos Iniciales'!$D:$D,'Saldos Iniciales'!$A:$A,"Sacred Valley Capital")+SUMIFS(Movimientos!$K$1:$K$987,Movimientos!$C$1:$C$987,"Sacred Valley Capital",Movimientos!$B$1:$B$987,"&lt;="&amp;$B120)</f>
        <v>124.45</v>
      </c>
      <c r="L120" s="24">
        <f>SUMIFS('Saldos Iniciales'!$D:$D,'Saldos Iniciales'!$A:$A,"YWC Capital")+SUMIFS(Movimientos!$K$1:$K$987,Movimientos!$C$1:$C$987,"YWC Capital",Movimientos!$B$1:$B$987,"&lt;="&amp;$B120)</f>
        <v>2177.87</v>
      </c>
      <c r="M120" s="24">
        <f>SUMIFS('Saldos Iniciales'!$D:$D,'Saldos Iniciales'!$A:$A,"Soweto")+SUMIFS(Movimientos!$K$1:$K$987,Movimientos!$C$1:$C$987,"Soweto",Movimientos!$B$1:$B$987,"&lt;="&amp;$B120)</f>
        <v>754424.72</v>
      </c>
      <c r="N120" s="24">
        <f>SUMIFS('Saldos Iniciales'!$D:$D,'Saldos Iniciales'!$A:$A,"Green Stone Trust")+SUMIFS(Movimientos!$K$1:$K$987,Movimientos!$C$1:$C$987,"Green Stone Trust",Movimientos!$B$1:$B$987,"&lt;="&amp;$B120)</f>
        <v>1968.99</v>
      </c>
      <c r="O120" s="24">
        <f>SUMIFS('Saldos Iniciales'!$D:$D,'Saldos Iniciales'!$A:$A,"EC Auto")+SUMIFS(Movimientos!$K$1:$K$987,Movimientos!$C$1:$C$987,"EC Auto",Movimientos!$B$1:$B$987,"&lt;="&amp;$B120)</f>
        <v>901.34</v>
      </c>
      <c r="P120" s="24">
        <f>SUMIFS('Saldos Iniciales'!$D:$D,'Saldos Iniciales'!$A:$A,"Arbor Capital Properties")+SUMIFS(Movimientos!$K$1:$K$987,Movimientos!$C$1:$C$987,"Arbor Capital Properties",Movimientos!$B$1:$B$987,"&lt;="&amp;$B120)</f>
        <v>1396.08</v>
      </c>
      <c r="Q120" s="24">
        <f>SUMIFS('Saldos Iniciales'!$D:$D,'Saldos Iniciales'!$A:$A,"2515 Overbrook")+SUMIFS(Movimientos!$K$1:$K$987,Movimientos!$C$1:$C$987,"2515 Overbrook",Movimientos!$B$1:$B$987,"&lt;="&amp;$B120)</f>
        <v>33685.709999999963</v>
      </c>
      <c r="R120" s="24">
        <f>SUMIFS('Saldos Iniciales'!$D:$D,'Saldos Iniciales'!$A:$A,"112 Florida Ave")+SUMIFS(Movimientos!$K$1:$K$987,Movimientos!$C$1:$C$987,"112 Florida Ave",Movimientos!$B$1:$B$987,"&lt;="&amp;$B120)</f>
        <v>29724.170000000006</v>
      </c>
      <c r="S120" s="24">
        <f>SUMIFS('Saldos Iniciales'!$D:$D,'Saldos Iniciales'!$A:$A,"3628 Thomas Ave")+SUMIFS(Movimientos!$K$1:$K$987,Movimientos!$C$1:$C$987,"3628 Thomas Ave",Movimientos!$B$1:$B$987,"&lt;="&amp;$B120)</f>
        <v>19336.039999999997</v>
      </c>
      <c r="T120" s="24">
        <f>SUMIFS('Saldos Iniciales'!$D:$D,'Saldos Iniciales'!$A:$A,"Green Harbor Trust")+SUMIFS(Movimientos!$K$1:$K$987,Movimientos!$C$1:$C$987,"Green Harbor Trust",Movimientos!$B$1:$B$987,"&lt;="&amp;$B120)</f>
        <v>345</v>
      </c>
      <c r="U120" s="24">
        <f>SUMIFS('Saldos Iniciales'!$D:$D,'Saldos Iniciales'!$A:$A,"Go Blue")+SUMIFS(Movimientos!$K$1:$K$987,Movimientos!$C$1:$C$987,"Go Blue",Movimientos!$B$1:$B$987,"&lt;="&amp;$B120)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Group")+SUMIFS(Movimientos!$K$1:$K$987,Movimientos!$C$1:$C$987,"CFT Group",Movimientos!$B$1:$B$987,"&lt;="&amp;$B121)</f>
        <v>824764.1600000005</v>
      </c>
      <c r="D121" s="24">
        <f>SUMIFS('Saldos Iniciales'!$D:$D,'Saldos Iniciales'!$A:$A,"M1B")+SUMIFS(Movimientos!$K$1:$K$987,Movimientos!$C$1:$C$987,"M1B",Movimientos!$B$1:$B$987,"&lt;="&amp;$B121)</f>
        <v>93280.230000000171</v>
      </c>
      <c r="E121" s="24">
        <f>SUMIFS('Saldos Iniciales'!$D:$D,'Saldos Iniciales'!$A:$A,"Durand")+SUMIFS(Movimientos!$K$1:$K$987,Movimientos!$C$1:$C$987,"Durand",Movimientos!$B$1:$B$987,"&lt;="&amp;$B121)</f>
        <v>1669.89</v>
      </c>
      <c r="F121" s="24">
        <f>SUMIFS('Saldos Iniciales'!$D:$D,'Saldos Iniciales'!$A:$A,"A&amp;M Imports")+SUMIFS(Movimientos!$K$1:$K$987,Movimientos!$C$1:$C$987,"A&amp;M Imports",Movimientos!$B$1:$B$987,"&lt;="&amp;$B121)</f>
        <v>1249485.67</v>
      </c>
      <c r="G121" s="24">
        <f>SUMIFS('Saldos Iniciales'!$D:$D,'Saldos Iniciales'!$A:$A,"SSP Capital")+SUMIFS(Movimientos!$K$1:$K$987,Movimientos!$C$1:$C$987,"SSP Capital",Movimientos!$B$1:$B$987,"&lt;="&amp;$B121)</f>
        <v>1567409.3099999996</v>
      </c>
      <c r="H121" s="24">
        <f>SUMIFS('Saldos Iniciales'!$D:$D,'Saldos Iniciales'!$A:$A,"Cross Family Trust")+SUMIFS(Movimientos!$K$1:$K$987,Movimientos!$C$1:$C$987,"Cross Family Trust",Movimientos!$B$1:$B$987,"&lt;="&amp;$B121)</f>
        <v>221496.38</v>
      </c>
      <c r="I121" s="24">
        <f>SUMIFS('Saldos Iniciales'!$D:$D,'Saldos Iniciales'!$A:$A,"Cross Security Trust")+SUMIFS(Movimientos!$K$1:$K$987,Movimientos!$C$1:$C$987,"Cross Security Trust",Movimientos!$B$1:$B$987,"&lt;="&amp;$B121)</f>
        <v>98169.25999999998</v>
      </c>
      <c r="J121" s="24">
        <f>SUMIFS('Saldos Iniciales'!$D:$D,'Saldos Iniciales'!$A:$A,"Electrama")+SUMIFS(Movimientos!$K$1:$K$987,Movimientos!$C$1:$C$987,"Electrama",Movimientos!$B$1:$B$987,"&lt;="&amp;$B121)</f>
        <v>13270.02</v>
      </c>
      <c r="K121" s="24">
        <f>SUMIFS('Saldos Iniciales'!$D:$D,'Saldos Iniciales'!$A:$A,"Sacred Valley Capital")+SUMIFS(Movimientos!$K$1:$K$987,Movimientos!$C$1:$C$987,"Sacred Valley Capital",Movimientos!$B$1:$B$987,"&lt;="&amp;$B121)</f>
        <v>124.45</v>
      </c>
      <c r="L121" s="24">
        <f>SUMIFS('Saldos Iniciales'!$D:$D,'Saldos Iniciales'!$A:$A,"YWC Capital")+SUMIFS(Movimientos!$K$1:$K$987,Movimientos!$C$1:$C$987,"YWC Capital",Movimientos!$B$1:$B$987,"&lt;="&amp;$B121)</f>
        <v>2177.87</v>
      </c>
      <c r="M121" s="24">
        <f>SUMIFS('Saldos Iniciales'!$D:$D,'Saldos Iniciales'!$A:$A,"Soweto")+SUMIFS(Movimientos!$K$1:$K$987,Movimientos!$C$1:$C$987,"Soweto",Movimientos!$B$1:$B$987,"&lt;="&amp;$B121)</f>
        <v>754424.72</v>
      </c>
      <c r="N121" s="24">
        <f>SUMIFS('Saldos Iniciales'!$D:$D,'Saldos Iniciales'!$A:$A,"Green Stone Trust")+SUMIFS(Movimientos!$K$1:$K$987,Movimientos!$C$1:$C$987,"Green Stone Trust",Movimientos!$B$1:$B$987,"&lt;="&amp;$B121)</f>
        <v>1968.99</v>
      </c>
      <c r="O121" s="24">
        <f>SUMIFS('Saldos Iniciales'!$D:$D,'Saldos Iniciales'!$A:$A,"EC Auto")+SUMIFS(Movimientos!$K$1:$K$987,Movimientos!$C$1:$C$987,"EC Auto",Movimientos!$B$1:$B$987,"&lt;="&amp;$B121)</f>
        <v>901.34</v>
      </c>
      <c r="P121" s="24">
        <f>SUMIFS('Saldos Iniciales'!$D:$D,'Saldos Iniciales'!$A:$A,"Arbor Capital Properties")+SUMIFS(Movimientos!$K$1:$K$987,Movimientos!$C$1:$C$987,"Arbor Capital Properties",Movimientos!$B$1:$B$987,"&lt;="&amp;$B121)</f>
        <v>1396.08</v>
      </c>
      <c r="Q121" s="24">
        <f>SUMIFS('Saldos Iniciales'!$D:$D,'Saldos Iniciales'!$A:$A,"2515 Overbrook")+SUMIFS(Movimientos!$K$1:$K$987,Movimientos!$C$1:$C$987,"2515 Overbrook",Movimientos!$B$1:$B$987,"&lt;="&amp;$B121)</f>
        <v>33670.709999999963</v>
      </c>
      <c r="R121" s="24">
        <f>SUMIFS('Saldos Iniciales'!$D:$D,'Saldos Iniciales'!$A:$A,"112 Florida Ave")+SUMIFS(Movimientos!$K$1:$K$987,Movimientos!$C$1:$C$987,"112 Florida Ave",Movimientos!$B$1:$B$987,"&lt;="&amp;$B121)</f>
        <v>29709.170000000006</v>
      </c>
      <c r="S121" s="24">
        <f>SUMIFS('Saldos Iniciales'!$D:$D,'Saldos Iniciales'!$A:$A,"3628 Thomas Ave")+SUMIFS(Movimientos!$K$1:$K$987,Movimientos!$C$1:$C$987,"3628 Thomas Ave",Movimientos!$B$1:$B$987,"&lt;="&amp;$B121)</f>
        <v>19336.039999999997</v>
      </c>
      <c r="T121" s="24">
        <f>SUMIFS('Saldos Iniciales'!$D:$D,'Saldos Iniciales'!$A:$A,"Green Harbor Trust")+SUMIFS(Movimientos!$K$1:$K$987,Movimientos!$C$1:$C$987,"Green Harbor Trust",Movimientos!$B$1:$B$987,"&lt;="&amp;$B121)</f>
        <v>345</v>
      </c>
      <c r="U121" s="24">
        <f>SUMIFS('Saldos Iniciales'!$D:$D,'Saldos Iniciales'!$A:$A,"Go Blue")+SUMIFS(Movimientos!$K$1:$K$987,Movimientos!$C$1:$C$987,"Go Blue",Movimientos!$B$1:$B$987,"&lt;="&amp;$B121)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Group")+SUMIFS(Movimientos!$K$1:$K$987,Movimientos!$C$1:$C$987,"CFT Group",Movimientos!$B$1:$B$987,"&lt;="&amp;$B122)</f>
        <v>824764.1600000005</v>
      </c>
      <c r="D122" s="24">
        <f>SUMIFS('Saldos Iniciales'!$D:$D,'Saldos Iniciales'!$A:$A,"M1B")+SUMIFS(Movimientos!$K$1:$K$987,Movimientos!$C$1:$C$987,"M1B",Movimientos!$B$1:$B$987,"&lt;="&amp;$B122)</f>
        <v>93280.230000000171</v>
      </c>
      <c r="E122" s="24">
        <f>SUMIFS('Saldos Iniciales'!$D:$D,'Saldos Iniciales'!$A:$A,"Durand")+SUMIFS(Movimientos!$K$1:$K$987,Movimientos!$C$1:$C$987,"Durand",Movimientos!$B$1:$B$987,"&lt;="&amp;$B122)</f>
        <v>1669.89</v>
      </c>
      <c r="F122" s="24">
        <f>SUMIFS('Saldos Iniciales'!$D:$D,'Saldos Iniciales'!$A:$A,"A&amp;M Imports")+SUMIFS(Movimientos!$K$1:$K$987,Movimientos!$C$1:$C$987,"A&amp;M Imports",Movimientos!$B$1:$B$987,"&lt;="&amp;$B122)</f>
        <v>1249485.67</v>
      </c>
      <c r="G122" s="24">
        <f>SUMIFS('Saldos Iniciales'!$D:$D,'Saldos Iniciales'!$A:$A,"SSP Capital")+SUMIFS(Movimientos!$K$1:$K$987,Movimientos!$C$1:$C$987,"SSP Capital",Movimientos!$B$1:$B$987,"&lt;="&amp;$B122)</f>
        <v>1567409.3099999996</v>
      </c>
      <c r="H122" s="24">
        <f>SUMIFS('Saldos Iniciales'!$D:$D,'Saldos Iniciales'!$A:$A,"Cross Family Trust")+SUMIFS(Movimientos!$K$1:$K$987,Movimientos!$C$1:$C$987,"Cross Family Trust",Movimientos!$B$1:$B$987,"&lt;="&amp;$B122)</f>
        <v>221496.38</v>
      </c>
      <c r="I122" s="24">
        <f>SUMIFS('Saldos Iniciales'!$D:$D,'Saldos Iniciales'!$A:$A,"Cross Security Trust")+SUMIFS(Movimientos!$K$1:$K$987,Movimientos!$C$1:$C$987,"Cross Security Trust",Movimientos!$B$1:$B$987,"&lt;="&amp;$B122)</f>
        <v>98169.25999999998</v>
      </c>
      <c r="J122" s="24">
        <f>SUMIFS('Saldos Iniciales'!$D:$D,'Saldos Iniciales'!$A:$A,"Electrama")+SUMIFS(Movimientos!$K$1:$K$987,Movimientos!$C$1:$C$987,"Electrama",Movimientos!$B$1:$B$987,"&lt;="&amp;$B122)</f>
        <v>13270.02</v>
      </c>
      <c r="K122" s="24">
        <f>SUMIFS('Saldos Iniciales'!$D:$D,'Saldos Iniciales'!$A:$A,"Sacred Valley Capital")+SUMIFS(Movimientos!$K$1:$K$987,Movimientos!$C$1:$C$987,"Sacred Valley Capital",Movimientos!$B$1:$B$987,"&lt;="&amp;$B122)</f>
        <v>124.45</v>
      </c>
      <c r="L122" s="24">
        <f>SUMIFS('Saldos Iniciales'!$D:$D,'Saldos Iniciales'!$A:$A,"YWC Capital")+SUMIFS(Movimientos!$K$1:$K$987,Movimientos!$C$1:$C$987,"YWC Capital",Movimientos!$B$1:$B$987,"&lt;="&amp;$B122)</f>
        <v>2177.87</v>
      </c>
      <c r="M122" s="24">
        <f>SUMIFS('Saldos Iniciales'!$D:$D,'Saldos Iniciales'!$A:$A,"Soweto")+SUMIFS(Movimientos!$K$1:$K$987,Movimientos!$C$1:$C$987,"Soweto",Movimientos!$B$1:$B$987,"&lt;="&amp;$B122)</f>
        <v>754424.72</v>
      </c>
      <c r="N122" s="24">
        <f>SUMIFS('Saldos Iniciales'!$D:$D,'Saldos Iniciales'!$A:$A,"Green Stone Trust")+SUMIFS(Movimientos!$K$1:$K$987,Movimientos!$C$1:$C$987,"Green Stone Trust",Movimientos!$B$1:$B$987,"&lt;="&amp;$B122)</f>
        <v>1968.99</v>
      </c>
      <c r="O122" s="24">
        <f>SUMIFS('Saldos Iniciales'!$D:$D,'Saldos Iniciales'!$A:$A,"EC Auto")+SUMIFS(Movimientos!$K$1:$K$987,Movimientos!$C$1:$C$987,"EC Auto",Movimientos!$B$1:$B$987,"&lt;="&amp;$B122)</f>
        <v>901.34</v>
      </c>
      <c r="P122" s="24">
        <f>SUMIFS('Saldos Iniciales'!$D:$D,'Saldos Iniciales'!$A:$A,"Arbor Capital Properties")+SUMIFS(Movimientos!$K$1:$K$987,Movimientos!$C$1:$C$987,"Arbor Capital Properties",Movimientos!$B$1:$B$987,"&lt;="&amp;$B122)</f>
        <v>1396.08</v>
      </c>
      <c r="Q122" s="24">
        <f>SUMIFS('Saldos Iniciales'!$D:$D,'Saldos Iniciales'!$A:$A,"2515 Overbrook")+SUMIFS(Movimientos!$K$1:$K$987,Movimientos!$C$1:$C$987,"2515 Overbrook",Movimientos!$B$1:$B$987,"&lt;="&amp;$B122)</f>
        <v>33670.709999999963</v>
      </c>
      <c r="R122" s="24">
        <f>SUMIFS('Saldos Iniciales'!$D:$D,'Saldos Iniciales'!$A:$A,"112 Florida Ave")+SUMIFS(Movimientos!$K$1:$K$987,Movimientos!$C$1:$C$987,"112 Florida Ave",Movimientos!$B$1:$B$987,"&lt;="&amp;$B122)</f>
        <v>29709.170000000006</v>
      </c>
      <c r="S122" s="24">
        <f>SUMIFS('Saldos Iniciales'!$D:$D,'Saldos Iniciales'!$A:$A,"3628 Thomas Ave")+SUMIFS(Movimientos!$K$1:$K$987,Movimientos!$C$1:$C$987,"3628 Thomas Ave",Movimientos!$B$1:$B$987,"&lt;="&amp;$B122)</f>
        <v>19336.039999999997</v>
      </c>
      <c r="T122" s="24">
        <f>SUMIFS('Saldos Iniciales'!$D:$D,'Saldos Iniciales'!$A:$A,"Green Harbor Trust")+SUMIFS(Movimientos!$K$1:$K$987,Movimientos!$C$1:$C$987,"Green Harbor Trust",Movimientos!$B$1:$B$987,"&lt;="&amp;$B122)</f>
        <v>345</v>
      </c>
      <c r="U122" s="24">
        <f>SUMIFS('Saldos Iniciales'!$D:$D,'Saldos Iniciales'!$A:$A,"Go Blue")+SUMIFS(Movimientos!$K$1:$K$987,Movimientos!$C$1:$C$987,"Go Blue",Movimientos!$B$1:$B$987,"&lt;="&amp;$B122)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Group")+SUMIFS(Movimientos!$K$1:$K$987,Movimientos!$C$1:$C$987,"CFT Group",Movimientos!$B$1:$B$987,"&lt;="&amp;$B123)</f>
        <v>824764.1600000005</v>
      </c>
      <c r="D123" s="24">
        <f>SUMIFS('Saldos Iniciales'!$D:$D,'Saldos Iniciales'!$A:$A,"M1B")+SUMIFS(Movimientos!$K$1:$K$987,Movimientos!$C$1:$C$987,"M1B",Movimientos!$B$1:$B$987,"&lt;="&amp;$B123)</f>
        <v>93280.230000000171</v>
      </c>
      <c r="E123" s="24">
        <f>SUMIFS('Saldos Iniciales'!$D:$D,'Saldos Iniciales'!$A:$A,"Durand")+SUMIFS(Movimientos!$K$1:$K$987,Movimientos!$C$1:$C$987,"Durand",Movimientos!$B$1:$B$987,"&lt;="&amp;$B123)</f>
        <v>1669.89</v>
      </c>
      <c r="F123" s="24">
        <f>SUMIFS('Saldos Iniciales'!$D:$D,'Saldos Iniciales'!$A:$A,"A&amp;M Imports")+SUMIFS(Movimientos!$K$1:$K$987,Movimientos!$C$1:$C$987,"A&amp;M Imports",Movimientos!$B$1:$B$987,"&lt;="&amp;$B123)</f>
        <v>1249485.67</v>
      </c>
      <c r="G123" s="24">
        <f>SUMIFS('Saldos Iniciales'!$D:$D,'Saldos Iniciales'!$A:$A,"SSP Capital")+SUMIFS(Movimientos!$K$1:$K$987,Movimientos!$C$1:$C$987,"SSP Capital",Movimientos!$B$1:$B$987,"&lt;="&amp;$B123)</f>
        <v>1567409.3099999996</v>
      </c>
      <c r="H123" s="24">
        <f>SUMIFS('Saldos Iniciales'!$D:$D,'Saldos Iniciales'!$A:$A,"Cross Family Trust")+SUMIFS(Movimientos!$K$1:$K$987,Movimientos!$C$1:$C$987,"Cross Family Trust",Movimientos!$B$1:$B$987,"&lt;="&amp;$B123)</f>
        <v>221496.38</v>
      </c>
      <c r="I123" s="24">
        <f>SUMIFS('Saldos Iniciales'!$D:$D,'Saldos Iniciales'!$A:$A,"Cross Security Trust")+SUMIFS(Movimientos!$K$1:$K$987,Movimientos!$C$1:$C$987,"Cross Security Trust",Movimientos!$B$1:$B$987,"&lt;="&amp;$B123)</f>
        <v>98169.25999999998</v>
      </c>
      <c r="J123" s="24">
        <f>SUMIFS('Saldos Iniciales'!$D:$D,'Saldos Iniciales'!$A:$A,"Electrama")+SUMIFS(Movimientos!$K$1:$K$987,Movimientos!$C$1:$C$987,"Electrama",Movimientos!$B$1:$B$987,"&lt;="&amp;$B123)</f>
        <v>13270.02</v>
      </c>
      <c r="K123" s="24">
        <f>SUMIFS('Saldos Iniciales'!$D:$D,'Saldos Iniciales'!$A:$A,"Sacred Valley Capital")+SUMIFS(Movimientos!$K$1:$K$987,Movimientos!$C$1:$C$987,"Sacred Valley Capital",Movimientos!$B$1:$B$987,"&lt;="&amp;$B123)</f>
        <v>124.45</v>
      </c>
      <c r="L123" s="24">
        <f>SUMIFS('Saldos Iniciales'!$D:$D,'Saldos Iniciales'!$A:$A,"YWC Capital")+SUMIFS(Movimientos!$K$1:$K$987,Movimientos!$C$1:$C$987,"YWC Capital",Movimientos!$B$1:$B$987,"&lt;="&amp;$B123)</f>
        <v>2177.87</v>
      </c>
      <c r="M123" s="24">
        <f>SUMIFS('Saldos Iniciales'!$D:$D,'Saldos Iniciales'!$A:$A,"Soweto")+SUMIFS(Movimientos!$K$1:$K$987,Movimientos!$C$1:$C$987,"Soweto",Movimientos!$B$1:$B$987,"&lt;="&amp;$B123)</f>
        <v>754424.72</v>
      </c>
      <c r="N123" s="24">
        <f>SUMIFS('Saldos Iniciales'!$D:$D,'Saldos Iniciales'!$A:$A,"Green Stone Trust")+SUMIFS(Movimientos!$K$1:$K$987,Movimientos!$C$1:$C$987,"Green Stone Trust",Movimientos!$B$1:$B$987,"&lt;="&amp;$B123)</f>
        <v>1968.99</v>
      </c>
      <c r="O123" s="24">
        <f>SUMIFS('Saldos Iniciales'!$D:$D,'Saldos Iniciales'!$A:$A,"EC Auto")+SUMIFS(Movimientos!$K$1:$K$987,Movimientos!$C$1:$C$987,"EC Auto",Movimientos!$B$1:$B$987,"&lt;="&amp;$B123)</f>
        <v>901.34</v>
      </c>
      <c r="P123" s="24">
        <f>SUMIFS('Saldos Iniciales'!$D:$D,'Saldos Iniciales'!$A:$A,"Arbor Capital Properties")+SUMIFS(Movimientos!$K$1:$K$987,Movimientos!$C$1:$C$987,"Arbor Capital Properties",Movimientos!$B$1:$B$987,"&lt;="&amp;$B123)</f>
        <v>1396.08</v>
      </c>
      <c r="Q123" s="24">
        <f>SUMIFS('Saldos Iniciales'!$D:$D,'Saldos Iniciales'!$A:$A,"2515 Overbrook")+SUMIFS(Movimientos!$K$1:$K$987,Movimientos!$C$1:$C$987,"2515 Overbrook",Movimientos!$B$1:$B$987,"&lt;="&amp;$B123)</f>
        <v>33670.709999999963</v>
      </c>
      <c r="R123" s="24">
        <f>SUMIFS('Saldos Iniciales'!$D:$D,'Saldos Iniciales'!$A:$A,"112 Florida Ave")+SUMIFS(Movimientos!$K$1:$K$987,Movimientos!$C$1:$C$987,"112 Florida Ave",Movimientos!$B$1:$B$987,"&lt;="&amp;$B123)</f>
        <v>29709.170000000006</v>
      </c>
      <c r="S123" s="24">
        <f>SUMIFS('Saldos Iniciales'!$D:$D,'Saldos Iniciales'!$A:$A,"3628 Thomas Ave")+SUMIFS(Movimientos!$K$1:$K$987,Movimientos!$C$1:$C$987,"3628 Thomas Ave",Movimientos!$B$1:$B$987,"&lt;="&amp;$B123)</f>
        <v>19336.039999999997</v>
      </c>
      <c r="T123" s="24">
        <f>SUMIFS('Saldos Iniciales'!$D:$D,'Saldos Iniciales'!$A:$A,"Green Harbor Trust")+SUMIFS(Movimientos!$K$1:$K$987,Movimientos!$C$1:$C$987,"Green Harbor Trust",Movimientos!$B$1:$B$987,"&lt;="&amp;$B123)</f>
        <v>345</v>
      </c>
      <c r="U123" s="24">
        <f>SUMIFS('Saldos Iniciales'!$D:$D,'Saldos Iniciales'!$A:$A,"Go Blue")+SUMIFS(Movimientos!$K$1:$K$987,Movimientos!$C$1:$C$987,"Go Blue",Movimientos!$B$1:$B$987,"&lt;="&amp;$B123)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Group")+SUMIFS(Movimientos!$K$1:$K$987,Movimientos!$C$1:$C$987,"CFT Group",Movimientos!$B$1:$B$987,"&lt;="&amp;$B124)</f>
        <v>821786.21000000054</v>
      </c>
      <c r="D124" s="24">
        <f>SUMIFS('Saldos Iniciales'!$D:$D,'Saldos Iniciales'!$A:$A,"M1B")+SUMIFS(Movimientos!$K$1:$K$987,Movimientos!$C$1:$C$987,"M1B",Movimientos!$B$1:$B$987,"&lt;="&amp;$B124)</f>
        <v>93280.230000000171</v>
      </c>
      <c r="E124" s="24">
        <f>SUMIFS('Saldos Iniciales'!$D:$D,'Saldos Iniciales'!$A:$A,"Durand")+SUMIFS(Movimientos!$K$1:$K$987,Movimientos!$C$1:$C$987,"Durand",Movimientos!$B$1:$B$987,"&lt;="&amp;$B124)</f>
        <v>1669.89</v>
      </c>
      <c r="F124" s="24">
        <f>SUMIFS('Saldos Iniciales'!$D:$D,'Saldos Iniciales'!$A:$A,"A&amp;M Imports")+SUMIFS(Movimientos!$K$1:$K$987,Movimientos!$C$1:$C$987,"A&amp;M Imports",Movimientos!$B$1:$B$987,"&lt;="&amp;$B124)</f>
        <v>1250938</v>
      </c>
      <c r="G124" s="24">
        <f>SUMIFS('Saldos Iniciales'!$D:$D,'Saldos Iniciales'!$A:$A,"SSP Capital")+SUMIFS(Movimientos!$K$1:$K$987,Movimientos!$C$1:$C$987,"SSP Capital",Movimientos!$B$1:$B$987,"&lt;="&amp;$B124)</f>
        <v>1569843.3299999996</v>
      </c>
      <c r="H124" s="24">
        <f>SUMIFS('Saldos Iniciales'!$D:$D,'Saldos Iniciales'!$A:$A,"Cross Family Trust")+SUMIFS(Movimientos!$K$1:$K$987,Movimientos!$C$1:$C$987,"Cross Family Trust",Movimientos!$B$1:$B$987,"&lt;="&amp;$B124)</f>
        <v>221496.38</v>
      </c>
      <c r="I124" s="24">
        <f>SUMIFS('Saldos Iniciales'!$D:$D,'Saldos Iniciales'!$A:$A,"Cross Security Trust")+SUMIFS(Movimientos!$K$1:$K$987,Movimientos!$C$1:$C$987,"Cross Security Trust",Movimientos!$B$1:$B$987,"&lt;="&amp;$B124)</f>
        <v>98169.25999999998</v>
      </c>
      <c r="J124" s="24">
        <f>SUMIFS('Saldos Iniciales'!$D:$D,'Saldos Iniciales'!$A:$A,"Electrama")+SUMIFS(Movimientos!$K$1:$K$987,Movimientos!$C$1:$C$987,"Electrama",Movimientos!$B$1:$B$987,"&lt;="&amp;$B124)</f>
        <v>13270.02</v>
      </c>
      <c r="K124" s="24">
        <f>SUMIFS('Saldos Iniciales'!$D:$D,'Saldos Iniciales'!$A:$A,"Sacred Valley Capital")+SUMIFS(Movimientos!$K$1:$K$987,Movimientos!$C$1:$C$987,"Sacred Valley Capital",Movimientos!$B$1:$B$987,"&lt;="&amp;$B124)</f>
        <v>124.45</v>
      </c>
      <c r="L124" s="24">
        <f>SUMIFS('Saldos Iniciales'!$D:$D,'Saldos Iniciales'!$A:$A,"YWC Capital")+SUMIFS(Movimientos!$K$1:$K$987,Movimientos!$C$1:$C$987,"YWC Capital",Movimientos!$B$1:$B$987,"&lt;="&amp;$B124)</f>
        <v>2177.87</v>
      </c>
      <c r="M124" s="24">
        <f>SUMIFS('Saldos Iniciales'!$D:$D,'Saldos Iniciales'!$A:$A,"Soweto")+SUMIFS(Movimientos!$K$1:$K$987,Movimientos!$C$1:$C$987,"Soweto",Movimientos!$B$1:$B$987,"&lt;="&amp;$B124)</f>
        <v>754424.72</v>
      </c>
      <c r="N124" s="24">
        <f>SUMIFS('Saldos Iniciales'!$D:$D,'Saldos Iniciales'!$A:$A,"Green Stone Trust")+SUMIFS(Movimientos!$K$1:$K$987,Movimientos!$C$1:$C$987,"Green Stone Trust",Movimientos!$B$1:$B$987,"&lt;="&amp;$B124)</f>
        <v>1968.99</v>
      </c>
      <c r="O124" s="24">
        <f>SUMIFS('Saldos Iniciales'!$D:$D,'Saldos Iniciales'!$A:$A,"EC Auto")+SUMIFS(Movimientos!$K$1:$K$987,Movimientos!$C$1:$C$987,"EC Auto",Movimientos!$B$1:$B$987,"&lt;="&amp;$B124)</f>
        <v>901.34</v>
      </c>
      <c r="P124" s="24">
        <f>SUMIFS('Saldos Iniciales'!$D:$D,'Saldos Iniciales'!$A:$A,"Arbor Capital Properties")+SUMIFS(Movimientos!$K$1:$K$987,Movimientos!$C$1:$C$987,"Arbor Capital Properties",Movimientos!$B$1:$B$987,"&lt;="&amp;$B124)</f>
        <v>1396.08</v>
      </c>
      <c r="Q124" s="24">
        <f>SUMIFS('Saldos Iniciales'!$D:$D,'Saldos Iniciales'!$A:$A,"2515 Overbrook")+SUMIFS(Movimientos!$K$1:$K$987,Movimientos!$C$1:$C$987,"2515 Overbrook",Movimientos!$B$1:$B$987,"&lt;="&amp;$B124)</f>
        <v>33570.709999999963</v>
      </c>
      <c r="R124" s="24">
        <f>SUMIFS('Saldos Iniciales'!$D:$D,'Saldos Iniciales'!$A:$A,"112 Florida Ave")+SUMIFS(Movimientos!$K$1:$K$987,Movimientos!$C$1:$C$987,"112 Florida Ave",Movimientos!$B$1:$B$987,"&lt;="&amp;$B124)</f>
        <v>26559.170000000006</v>
      </c>
      <c r="S124" s="24">
        <f>SUMIFS('Saldos Iniciales'!$D:$D,'Saldos Iniciales'!$A:$A,"3628 Thomas Ave")+SUMIFS(Movimientos!$K$1:$K$987,Movimientos!$C$1:$C$987,"3628 Thomas Ave",Movimientos!$B$1:$B$987,"&lt;="&amp;$B124)</f>
        <v>23736.039999999997</v>
      </c>
      <c r="T124" s="24">
        <f>SUMIFS('Saldos Iniciales'!$D:$D,'Saldos Iniciales'!$A:$A,"Green Harbor Trust")+SUMIFS(Movimientos!$K$1:$K$987,Movimientos!$C$1:$C$987,"Green Harbor Trust",Movimientos!$B$1:$B$987,"&lt;="&amp;$B124)</f>
        <v>345</v>
      </c>
      <c r="U124" s="24">
        <f>SUMIFS('Saldos Iniciales'!$D:$D,'Saldos Iniciales'!$A:$A,"Go Blue")+SUMIFS(Movimientos!$K$1:$K$987,Movimientos!$C$1:$C$987,"Go Blue",Movimientos!$B$1:$B$987,"&lt;="&amp;$B124)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Group")+SUMIFS(Movimientos!$K$1:$K$987,Movimientos!$C$1:$C$987,"CFT Group",Movimientos!$B$1:$B$987,"&lt;="&amp;$B125)</f>
        <v>839010.72000000055</v>
      </c>
      <c r="D125" s="24">
        <f>SUMIFS('Saldos Iniciales'!$D:$D,'Saldos Iniciales'!$A:$A,"M1B")+SUMIFS(Movimientos!$K$1:$K$987,Movimientos!$C$1:$C$987,"M1B",Movimientos!$B$1:$B$987,"&lt;="&amp;$B125)</f>
        <v>93280.230000000171</v>
      </c>
      <c r="E125" s="24">
        <f>SUMIFS('Saldos Iniciales'!$D:$D,'Saldos Iniciales'!$A:$A,"Durand")+SUMIFS(Movimientos!$K$1:$K$987,Movimientos!$C$1:$C$987,"Durand",Movimientos!$B$1:$B$987,"&lt;="&amp;$B125)</f>
        <v>1669.89</v>
      </c>
      <c r="F125" s="24">
        <f>SUMIFS('Saldos Iniciales'!$D:$D,'Saldos Iniciales'!$A:$A,"A&amp;M Imports")+SUMIFS(Movimientos!$K$1:$K$987,Movimientos!$C$1:$C$987,"A&amp;M Imports",Movimientos!$B$1:$B$987,"&lt;="&amp;$B125)</f>
        <v>1250938</v>
      </c>
      <c r="G125" s="24">
        <f>SUMIFS('Saldos Iniciales'!$D:$D,'Saldos Iniciales'!$A:$A,"SSP Capital")+SUMIFS(Movimientos!$K$1:$K$987,Movimientos!$C$1:$C$987,"SSP Capital",Movimientos!$B$1:$B$987,"&lt;="&amp;$B125)</f>
        <v>1499204.7399999998</v>
      </c>
      <c r="H125" s="24">
        <f>SUMIFS('Saldos Iniciales'!$D:$D,'Saldos Iniciales'!$A:$A,"Cross Family Trust")+SUMIFS(Movimientos!$K$1:$K$987,Movimientos!$C$1:$C$987,"Cross Family Trust",Movimientos!$B$1:$B$987,"&lt;="&amp;$B125)</f>
        <v>215496.38</v>
      </c>
      <c r="I125" s="24">
        <f>SUMIFS('Saldos Iniciales'!$D:$D,'Saldos Iniciales'!$A:$A,"Cross Security Trust")+SUMIFS(Movimientos!$K$1:$K$987,Movimientos!$C$1:$C$987,"Cross Security Trust",Movimientos!$B$1:$B$987,"&lt;="&amp;$B125)</f>
        <v>98169.25999999998</v>
      </c>
      <c r="J125" s="24">
        <f>SUMIFS('Saldos Iniciales'!$D:$D,'Saldos Iniciales'!$A:$A,"Electrama")+SUMIFS(Movimientos!$K$1:$K$987,Movimientos!$C$1:$C$987,"Electrama",Movimientos!$B$1:$B$987,"&lt;="&amp;$B125)</f>
        <v>13270.02</v>
      </c>
      <c r="K125" s="24">
        <f>SUMIFS('Saldos Iniciales'!$D:$D,'Saldos Iniciales'!$A:$A,"Sacred Valley Capital")+SUMIFS(Movimientos!$K$1:$K$987,Movimientos!$C$1:$C$987,"Sacred Valley Capital",Movimientos!$B$1:$B$987,"&lt;="&amp;$B125)</f>
        <v>94.5</v>
      </c>
      <c r="L125" s="24">
        <f>SUMIFS('Saldos Iniciales'!$D:$D,'Saldos Iniciales'!$A:$A,"YWC Capital")+SUMIFS(Movimientos!$K$1:$K$987,Movimientos!$C$1:$C$987,"YWC Capital",Movimientos!$B$1:$B$987,"&lt;="&amp;$B125)</f>
        <v>2147.92</v>
      </c>
      <c r="M125" s="24">
        <f>SUMIFS('Saldos Iniciales'!$D:$D,'Saldos Iniciales'!$A:$A,"Soweto")+SUMIFS(Movimientos!$K$1:$K$987,Movimientos!$C$1:$C$987,"Soweto",Movimientos!$B$1:$B$987,"&lt;="&amp;$B125)</f>
        <v>754424.72</v>
      </c>
      <c r="N125" s="24">
        <f>SUMIFS('Saldos Iniciales'!$D:$D,'Saldos Iniciales'!$A:$A,"Green Stone Trust")+SUMIFS(Movimientos!$K$1:$K$987,Movimientos!$C$1:$C$987,"Green Stone Trust",Movimientos!$B$1:$B$987,"&lt;="&amp;$B125)</f>
        <v>1968.99</v>
      </c>
      <c r="O125" s="24">
        <f>SUMIFS('Saldos Iniciales'!$D:$D,'Saldos Iniciales'!$A:$A,"EC Auto")+SUMIFS(Movimientos!$K$1:$K$987,Movimientos!$C$1:$C$987,"EC Auto",Movimientos!$B$1:$B$987,"&lt;="&amp;$B125)</f>
        <v>901.34</v>
      </c>
      <c r="P125" s="24">
        <f>SUMIFS('Saldos Iniciales'!$D:$D,'Saldos Iniciales'!$A:$A,"Arbor Capital Properties")+SUMIFS(Movimientos!$K$1:$K$987,Movimientos!$C$1:$C$987,"Arbor Capital Properties",Movimientos!$B$1:$B$987,"&lt;="&amp;$B125)</f>
        <v>1380.08</v>
      </c>
      <c r="Q125" s="24">
        <f>SUMIFS('Saldos Iniciales'!$D:$D,'Saldos Iniciales'!$A:$A,"2515 Overbrook")+SUMIFS(Movimientos!$K$1:$K$987,Movimientos!$C$1:$C$987,"2515 Overbrook",Movimientos!$B$1:$B$987,"&lt;="&amp;$B125)</f>
        <v>25027.379999999961</v>
      </c>
      <c r="R125" s="24">
        <f>SUMIFS('Saldos Iniciales'!$D:$D,'Saldos Iniciales'!$A:$A,"112 Florida Ave")+SUMIFS(Movimientos!$K$1:$K$987,Movimientos!$C$1:$C$987,"112 Florida Ave",Movimientos!$B$1:$B$987,"&lt;="&amp;$B125)</f>
        <v>16760.540000000008</v>
      </c>
      <c r="S125" s="24">
        <f>SUMIFS('Saldos Iniciales'!$D:$D,'Saldos Iniciales'!$A:$A,"3628 Thomas Ave")+SUMIFS(Movimientos!$K$1:$K$987,Movimientos!$C$1:$C$987,"3628 Thomas Ave",Movimientos!$B$1:$B$987,"&lt;="&amp;$B125)</f>
        <v>14962.999999999996</v>
      </c>
      <c r="T125" s="24">
        <f>SUMIFS('Saldos Iniciales'!$D:$D,'Saldos Iniciales'!$A:$A,"Green Harbor Trust")+SUMIFS(Movimientos!$K$1:$K$987,Movimientos!$C$1:$C$987,"Green Harbor Trust",Movimientos!$B$1:$B$987,"&lt;="&amp;$B125)</f>
        <v>345</v>
      </c>
      <c r="U125" s="24">
        <f>SUMIFS('Saldos Iniciales'!$D:$D,'Saldos Iniciales'!$A:$A,"Go Blue")+SUMIFS(Movimientos!$K$1:$K$987,Movimientos!$C$1:$C$987,"Go Blue",Movimientos!$B$1:$B$987,"&lt;="&amp;$B125)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1" si="30">+A125+1</f>
        <v>125</v>
      </c>
      <c r="B126" s="23">
        <v>46267</v>
      </c>
      <c r="C126" s="24">
        <f>SUMIFS('Saldos Iniciales'!$D:$D,'Saldos Iniciales'!$A:$A,"CFT Group")+SUMIFS(Movimientos!$K$1:$K$987,Movimientos!$C$1:$C$987,"CFT Group",Movimientos!$B$1:$B$987,"&lt;="&amp;$B126)</f>
        <v>1549729.4500000007</v>
      </c>
      <c r="D126" s="24">
        <f>SUMIFS('Saldos Iniciales'!$D:$D,'Saldos Iniciales'!$A:$A,"M1B")+SUMIFS(Movimientos!$K$1:$K$987,Movimientos!$C$1:$C$987,"M1B",Movimientos!$B$1:$B$987,"&lt;="&amp;$B126)</f>
        <v>93280.230000000171</v>
      </c>
      <c r="E126" s="24">
        <f>SUMIFS('Saldos Iniciales'!$D:$D,'Saldos Iniciales'!$A:$A,"Durand")+SUMIFS(Movimientos!$K$1:$K$987,Movimientos!$C$1:$C$987,"Durand",Movimientos!$B$1:$B$987,"&lt;="&amp;$B126)</f>
        <v>1669.89</v>
      </c>
      <c r="F126" s="24">
        <f>SUMIFS('Saldos Iniciales'!$D:$D,'Saldos Iniciales'!$A:$A,"A&amp;M Imports")+SUMIFS(Movimientos!$K$1:$K$987,Movimientos!$C$1:$C$987,"A&amp;M Imports",Movimientos!$B$1:$B$987,"&lt;="&amp;$B126)</f>
        <v>1250938</v>
      </c>
      <c r="G126" s="24">
        <f>SUMIFS('Saldos Iniciales'!$D:$D,'Saldos Iniciales'!$A:$A,"SSP Capital")+SUMIFS(Movimientos!$K$1:$K$987,Movimientos!$C$1:$C$987,"SSP Capital",Movimientos!$B$1:$B$987,"&lt;="&amp;$B126)</f>
        <v>1499204.7399999998</v>
      </c>
      <c r="H126" s="24">
        <f>SUMIFS('Saldos Iniciales'!$D:$D,'Saldos Iniciales'!$A:$A,"Cross Family Trust")+SUMIFS(Movimientos!$K$1:$K$987,Movimientos!$C$1:$C$987,"Cross Family Trust",Movimientos!$B$1:$B$987,"&lt;="&amp;$B126)</f>
        <v>249778.14</v>
      </c>
      <c r="I126" s="24">
        <f>SUMIFS('Saldos Iniciales'!$D:$D,'Saldos Iniciales'!$A:$A,"Cross Security Trust")+SUMIFS(Movimientos!$K$1:$K$987,Movimientos!$C$1:$C$987,"Cross Security Trust",Movimientos!$B$1:$B$987,"&lt;="&amp;$B126)</f>
        <v>98169.25999999998</v>
      </c>
      <c r="J126" s="24">
        <f>SUMIFS('Saldos Iniciales'!$D:$D,'Saldos Iniciales'!$A:$A,"Electrama")+SUMIFS(Movimientos!$K$1:$K$987,Movimientos!$C$1:$C$987,"Electrama",Movimientos!$B$1:$B$987,"&lt;="&amp;$B126)</f>
        <v>13270.02</v>
      </c>
      <c r="K126" s="24">
        <f>SUMIFS('Saldos Iniciales'!$D:$D,'Saldos Iniciales'!$A:$A,"Sacred Valley Capital")+SUMIFS(Movimientos!$K$1:$K$987,Movimientos!$C$1:$C$987,"Sacred Valley Capital",Movimientos!$B$1:$B$987,"&lt;="&amp;$B126)</f>
        <v>94.5</v>
      </c>
      <c r="L126" s="24">
        <f>SUMIFS('Saldos Iniciales'!$D:$D,'Saldos Iniciales'!$A:$A,"YWC Capital")+SUMIFS(Movimientos!$K$1:$K$987,Movimientos!$C$1:$C$987,"YWC Capital",Movimientos!$B$1:$B$987,"&lt;="&amp;$B126)</f>
        <v>2147.92</v>
      </c>
      <c r="M126" s="24">
        <f>SUMIFS('Saldos Iniciales'!$D:$D,'Saldos Iniciales'!$A:$A,"Soweto")+SUMIFS(Movimientos!$K$1:$K$987,Movimientos!$C$1:$C$987,"Soweto",Movimientos!$B$1:$B$987,"&lt;="&amp;$B126)</f>
        <v>18005.290000000015</v>
      </c>
      <c r="N126" s="24">
        <f>SUMIFS('Saldos Iniciales'!$D:$D,'Saldos Iniciales'!$A:$A,"Green Stone Trust")+SUMIFS(Movimientos!$K$1:$K$987,Movimientos!$C$1:$C$987,"Green Stone Trust",Movimientos!$B$1:$B$987,"&lt;="&amp;$B126)</f>
        <v>1968.99</v>
      </c>
      <c r="O126" s="24">
        <f>SUMIFS('Saldos Iniciales'!$D:$D,'Saldos Iniciales'!$A:$A,"EC Auto")+SUMIFS(Movimientos!$K$1:$K$987,Movimientos!$C$1:$C$987,"EC Auto",Movimientos!$B$1:$B$987,"&lt;="&amp;$B126)</f>
        <v>901.34</v>
      </c>
      <c r="P126" s="24">
        <f>SUMIFS('Saldos Iniciales'!$D:$D,'Saldos Iniciales'!$A:$A,"Arbor Capital Properties")+SUMIFS(Movimientos!$K$1:$K$987,Movimientos!$C$1:$C$987,"Arbor Capital Properties",Movimientos!$B$1:$B$987,"&lt;="&amp;$B126)</f>
        <v>1380.08</v>
      </c>
      <c r="Q126" s="24">
        <f>SUMIFS('Saldos Iniciales'!$D:$D,'Saldos Iniciales'!$A:$A,"2515 Overbrook")+SUMIFS(Movimientos!$K$1:$K$987,Movimientos!$C$1:$C$987,"2515 Overbrook",Movimientos!$B$1:$B$987,"&lt;="&amp;$B126)</f>
        <v>25027.379999999961</v>
      </c>
      <c r="R126" s="24">
        <f>SUMIFS('Saldos Iniciales'!$D:$D,'Saldos Iniciales'!$A:$A,"112 Florida Ave")+SUMIFS(Movimientos!$K$1:$K$987,Movimientos!$C$1:$C$987,"112 Florida Ave",Movimientos!$B$1:$B$987,"&lt;="&amp;$B126)</f>
        <v>16760.540000000008</v>
      </c>
      <c r="S126" s="24">
        <f>SUMIFS('Saldos Iniciales'!$D:$D,'Saldos Iniciales'!$A:$A,"3628 Thomas Ave")+SUMIFS(Movimientos!$K$1:$K$987,Movimientos!$C$1:$C$987,"3628 Thomas Ave",Movimientos!$B$1:$B$987,"&lt;="&amp;$B126)</f>
        <v>14162.999999999996</v>
      </c>
      <c r="T126" s="24">
        <f>SUMIFS('Saldos Iniciales'!$D:$D,'Saldos Iniciales'!$A:$A,"Green Harbor Trust")+SUMIFS(Movimientos!$K$1:$K$987,Movimientos!$C$1:$C$987,"Green Harbor Trust",Movimientos!$B$1:$B$987,"&lt;="&amp;$B126)</f>
        <v>345</v>
      </c>
      <c r="U126" s="24">
        <f>SUMIFS('Saldos Iniciales'!$D:$D,'Saldos Iniciales'!$A:$A,"Go Blue")+SUMIFS(Movimientos!$K$1:$K$987,Movimientos!$C$1:$C$987,"Go Blue",Movimientos!$B$1:$B$987,"&lt;="&amp;$B126)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Group")+SUMIFS(Movimientos!$K$1:$K$987,Movimientos!$C$1:$C$987,"CFT Group",Movimientos!$B$1:$B$987,"&lt;="&amp;$B127)</f>
        <v>1549729.4500000007</v>
      </c>
      <c r="D127" s="24">
        <f>SUMIFS('Saldos Iniciales'!$D:$D,'Saldos Iniciales'!$A:$A,"M1B")+SUMIFS(Movimientos!$K$1:$K$987,Movimientos!$C$1:$C$987,"M1B",Movimientos!$B$1:$B$987,"&lt;="&amp;$B127)</f>
        <v>93280.230000000171</v>
      </c>
      <c r="E127" s="24">
        <f>SUMIFS('Saldos Iniciales'!$D:$D,'Saldos Iniciales'!$A:$A,"Durand")+SUMIFS(Movimientos!$K$1:$K$987,Movimientos!$C$1:$C$987,"Durand",Movimientos!$B$1:$B$987,"&lt;="&amp;$B127)</f>
        <v>1669.89</v>
      </c>
      <c r="F127" s="24">
        <f>SUMIFS('Saldos Iniciales'!$D:$D,'Saldos Iniciales'!$A:$A,"A&amp;M Imports")+SUMIFS(Movimientos!$K$1:$K$987,Movimientos!$C$1:$C$987,"A&amp;M Imports",Movimientos!$B$1:$B$987,"&lt;="&amp;$B127)</f>
        <v>1250938</v>
      </c>
      <c r="G127" s="24">
        <f>SUMIFS('Saldos Iniciales'!$D:$D,'Saldos Iniciales'!$A:$A,"SSP Capital")+SUMIFS(Movimientos!$K$1:$K$987,Movimientos!$C$1:$C$987,"SSP Capital",Movimientos!$B$1:$B$987,"&lt;="&amp;$B127)</f>
        <v>1499204.7399999998</v>
      </c>
      <c r="H127" s="24">
        <f>SUMIFS('Saldos Iniciales'!$D:$D,'Saldos Iniciales'!$A:$A,"Cross Family Trust")+SUMIFS(Movimientos!$K$1:$K$987,Movimientos!$C$1:$C$987,"Cross Family Trust",Movimientos!$B$1:$B$987,"&lt;="&amp;$B127)</f>
        <v>249778.14</v>
      </c>
      <c r="I127" s="24">
        <f>SUMIFS('Saldos Iniciales'!$D:$D,'Saldos Iniciales'!$A:$A,"Cross Security Trust")+SUMIFS(Movimientos!$K$1:$K$987,Movimientos!$C$1:$C$987,"Cross Security Trust",Movimientos!$B$1:$B$987,"&lt;="&amp;$B127)</f>
        <v>98169.25999999998</v>
      </c>
      <c r="J127" s="24">
        <f>SUMIFS('Saldos Iniciales'!$D:$D,'Saldos Iniciales'!$A:$A,"Electrama")+SUMIFS(Movimientos!$K$1:$K$987,Movimientos!$C$1:$C$987,"Electrama",Movimientos!$B$1:$B$987,"&lt;="&amp;$B127)</f>
        <v>13270.02</v>
      </c>
      <c r="K127" s="24">
        <f>SUMIFS('Saldos Iniciales'!$D:$D,'Saldos Iniciales'!$A:$A,"Sacred Valley Capital")+SUMIFS(Movimientos!$K$1:$K$987,Movimientos!$C$1:$C$987,"Sacred Valley Capital",Movimientos!$B$1:$B$987,"&lt;="&amp;$B127)</f>
        <v>94.5</v>
      </c>
      <c r="L127" s="24">
        <f>SUMIFS('Saldos Iniciales'!$D:$D,'Saldos Iniciales'!$A:$A,"YWC Capital")+SUMIFS(Movimientos!$K$1:$K$987,Movimientos!$C$1:$C$987,"YWC Capital",Movimientos!$B$1:$B$987,"&lt;="&amp;$B127)</f>
        <v>2147.92</v>
      </c>
      <c r="M127" s="24">
        <f>SUMIFS('Saldos Iniciales'!$D:$D,'Saldos Iniciales'!$A:$A,"Soweto")+SUMIFS(Movimientos!$K$1:$K$987,Movimientos!$C$1:$C$987,"Soweto",Movimientos!$B$1:$B$987,"&lt;="&amp;$B127)</f>
        <v>18005.290000000015</v>
      </c>
      <c r="N127" s="24">
        <f>SUMIFS('Saldos Iniciales'!$D:$D,'Saldos Iniciales'!$A:$A,"Green Stone Trust")+SUMIFS(Movimientos!$K$1:$K$987,Movimientos!$C$1:$C$987,"Green Stone Trust",Movimientos!$B$1:$B$987,"&lt;="&amp;$B127)</f>
        <v>1968.99</v>
      </c>
      <c r="O127" s="24">
        <f>SUMIFS('Saldos Iniciales'!$D:$D,'Saldos Iniciales'!$A:$A,"EC Auto")+SUMIFS(Movimientos!$K$1:$K$987,Movimientos!$C$1:$C$987,"EC Auto",Movimientos!$B$1:$B$987,"&lt;="&amp;$B127)</f>
        <v>901.34</v>
      </c>
      <c r="P127" s="24">
        <f>SUMIFS('Saldos Iniciales'!$D:$D,'Saldos Iniciales'!$A:$A,"Arbor Capital Properties")+SUMIFS(Movimientos!$K$1:$K$987,Movimientos!$C$1:$C$987,"Arbor Capital Properties",Movimientos!$B$1:$B$987,"&lt;="&amp;$B127)</f>
        <v>1380.08</v>
      </c>
      <c r="Q127" s="24">
        <f>SUMIFS('Saldos Iniciales'!$D:$D,'Saldos Iniciales'!$A:$A,"2515 Overbrook")+SUMIFS(Movimientos!$K$1:$K$987,Movimientos!$C$1:$C$987,"2515 Overbrook",Movimientos!$B$1:$B$987,"&lt;="&amp;$B127)</f>
        <v>25027.379999999961</v>
      </c>
      <c r="R127" s="24">
        <f>SUMIFS('Saldos Iniciales'!$D:$D,'Saldos Iniciales'!$A:$A,"112 Florida Ave")+SUMIFS(Movimientos!$K$1:$K$987,Movimientos!$C$1:$C$987,"112 Florida Ave",Movimientos!$B$1:$B$987,"&lt;="&amp;$B127)</f>
        <v>16760.540000000008</v>
      </c>
      <c r="S127" s="24">
        <f>SUMIFS('Saldos Iniciales'!$D:$D,'Saldos Iniciales'!$A:$A,"3628 Thomas Ave")+SUMIFS(Movimientos!$K$1:$K$987,Movimientos!$C$1:$C$987,"3628 Thomas Ave",Movimientos!$B$1:$B$987,"&lt;="&amp;$B127)</f>
        <v>14162.999999999996</v>
      </c>
      <c r="T127" s="24">
        <f>SUMIFS('Saldos Iniciales'!$D:$D,'Saldos Iniciales'!$A:$A,"Green Harbor Trust")+SUMIFS(Movimientos!$K$1:$K$987,Movimientos!$C$1:$C$987,"Green Harbor Trust",Movimientos!$B$1:$B$987,"&lt;="&amp;$B127)</f>
        <v>345</v>
      </c>
      <c r="U127" s="24">
        <f>SUMIFS('Saldos Iniciales'!$D:$D,'Saldos Iniciales'!$A:$A,"Go Blue")+SUMIFS(Movimientos!$K$1:$K$987,Movimientos!$C$1:$C$987,"Go Blue",Movimientos!$B$1:$B$987,"&lt;="&amp;$B127)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Group")+SUMIFS(Movimientos!$K$1:$K$987,Movimientos!$C$1:$C$987,"CFT Group",Movimientos!$B$1:$B$987,"&lt;="&amp;$B128)</f>
        <v>1549729.4500000007</v>
      </c>
      <c r="D128" s="24">
        <f>SUMIFS('Saldos Iniciales'!$D:$D,'Saldos Iniciales'!$A:$A,"M1B")+SUMIFS(Movimientos!$K$1:$K$987,Movimientos!$C$1:$C$987,"M1B",Movimientos!$B$1:$B$987,"&lt;="&amp;$B128)</f>
        <v>93280.230000000171</v>
      </c>
      <c r="E128" s="24">
        <f>SUMIFS('Saldos Iniciales'!$D:$D,'Saldos Iniciales'!$A:$A,"Durand")+SUMIFS(Movimientos!$K$1:$K$987,Movimientos!$C$1:$C$987,"Durand",Movimientos!$B$1:$B$987,"&lt;="&amp;$B128)</f>
        <v>1669.89</v>
      </c>
      <c r="F128" s="24">
        <f>SUMIFS('Saldos Iniciales'!$D:$D,'Saldos Iniciales'!$A:$A,"A&amp;M Imports")+SUMIFS(Movimientos!$K$1:$K$987,Movimientos!$C$1:$C$987,"A&amp;M Imports",Movimientos!$B$1:$B$987,"&lt;="&amp;$B128)</f>
        <v>1250938</v>
      </c>
      <c r="G128" s="24">
        <f>SUMIFS('Saldos Iniciales'!$D:$D,'Saldos Iniciales'!$A:$A,"SSP Capital")+SUMIFS(Movimientos!$K$1:$K$987,Movimientos!$C$1:$C$987,"SSP Capital",Movimientos!$B$1:$B$987,"&lt;="&amp;$B128)</f>
        <v>1499204.7399999998</v>
      </c>
      <c r="H128" s="24">
        <f>SUMIFS('Saldos Iniciales'!$D:$D,'Saldos Iniciales'!$A:$A,"Cross Family Trust")+SUMIFS(Movimientos!$K$1:$K$987,Movimientos!$C$1:$C$987,"Cross Family Trust",Movimientos!$B$1:$B$987,"&lt;="&amp;$B128)</f>
        <v>249778.14</v>
      </c>
      <c r="I128" s="24">
        <f>SUMIFS('Saldos Iniciales'!$D:$D,'Saldos Iniciales'!$A:$A,"Cross Security Trust")+SUMIFS(Movimientos!$K$1:$K$987,Movimientos!$C$1:$C$987,"Cross Security Trust",Movimientos!$B$1:$B$987,"&lt;="&amp;$B128)</f>
        <v>98169.25999999998</v>
      </c>
      <c r="J128" s="24">
        <f>SUMIFS('Saldos Iniciales'!$D:$D,'Saldos Iniciales'!$A:$A,"Electrama")+SUMIFS(Movimientos!$K$1:$K$987,Movimientos!$C$1:$C$987,"Electrama",Movimientos!$B$1:$B$987,"&lt;="&amp;$B128)</f>
        <v>13270.02</v>
      </c>
      <c r="K128" s="24">
        <f>SUMIFS('Saldos Iniciales'!$D:$D,'Saldos Iniciales'!$A:$A,"Sacred Valley Capital")+SUMIFS(Movimientos!$K$1:$K$987,Movimientos!$C$1:$C$987,"Sacred Valley Capital",Movimientos!$B$1:$B$987,"&lt;="&amp;$B128)</f>
        <v>94.5</v>
      </c>
      <c r="L128" s="24">
        <f>SUMIFS('Saldos Iniciales'!$D:$D,'Saldos Iniciales'!$A:$A,"YWC Capital")+SUMIFS(Movimientos!$K$1:$K$987,Movimientos!$C$1:$C$987,"YWC Capital",Movimientos!$B$1:$B$987,"&lt;="&amp;$B128)</f>
        <v>2147.92</v>
      </c>
      <c r="M128" s="24">
        <f>SUMIFS('Saldos Iniciales'!$D:$D,'Saldos Iniciales'!$A:$A,"Soweto")+SUMIFS(Movimientos!$K$1:$K$987,Movimientos!$C$1:$C$987,"Soweto",Movimientos!$B$1:$B$987,"&lt;="&amp;$B128)</f>
        <v>18005.290000000015</v>
      </c>
      <c r="N128" s="24">
        <f>SUMIFS('Saldos Iniciales'!$D:$D,'Saldos Iniciales'!$A:$A,"Green Stone Trust")+SUMIFS(Movimientos!$K$1:$K$987,Movimientos!$C$1:$C$987,"Green Stone Trust",Movimientos!$B$1:$B$987,"&lt;="&amp;$B128)</f>
        <v>1968.99</v>
      </c>
      <c r="O128" s="24">
        <f>SUMIFS('Saldos Iniciales'!$D:$D,'Saldos Iniciales'!$A:$A,"EC Auto")+SUMIFS(Movimientos!$K$1:$K$987,Movimientos!$C$1:$C$987,"EC Auto",Movimientos!$B$1:$B$987,"&lt;="&amp;$B128)</f>
        <v>901.34</v>
      </c>
      <c r="P128" s="24">
        <f>SUMIFS('Saldos Iniciales'!$D:$D,'Saldos Iniciales'!$A:$A,"Arbor Capital Properties")+SUMIFS(Movimientos!$K$1:$K$987,Movimientos!$C$1:$C$987,"Arbor Capital Properties",Movimientos!$B$1:$B$987,"&lt;="&amp;$B128)</f>
        <v>1380.08</v>
      </c>
      <c r="Q128" s="24">
        <f>SUMIFS('Saldos Iniciales'!$D:$D,'Saldos Iniciales'!$A:$A,"2515 Overbrook")+SUMIFS(Movimientos!$K$1:$K$987,Movimientos!$C$1:$C$987,"2515 Overbrook",Movimientos!$B$1:$B$987,"&lt;="&amp;$B128)</f>
        <v>25027.379999999961</v>
      </c>
      <c r="R128" s="24">
        <f>SUMIFS('Saldos Iniciales'!$D:$D,'Saldos Iniciales'!$A:$A,"112 Florida Ave")+SUMIFS(Movimientos!$K$1:$K$987,Movimientos!$C$1:$C$987,"112 Florida Ave",Movimientos!$B$1:$B$987,"&lt;="&amp;$B128)</f>
        <v>16760.540000000008</v>
      </c>
      <c r="S128" s="24">
        <f>SUMIFS('Saldos Iniciales'!$D:$D,'Saldos Iniciales'!$A:$A,"3628 Thomas Ave")+SUMIFS(Movimientos!$K$1:$K$987,Movimientos!$C$1:$C$987,"3628 Thomas Ave",Movimientos!$B$1:$B$987,"&lt;="&amp;$B128)</f>
        <v>14162.999999999996</v>
      </c>
      <c r="T128" s="24">
        <f>SUMIFS('Saldos Iniciales'!$D:$D,'Saldos Iniciales'!$A:$A,"Green Harbor Trust")+SUMIFS(Movimientos!$K$1:$K$987,Movimientos!$C$1:$C$987,"Green Harbor Trust",Movimientos!$B$1:$B$987,"&lt;="&amp;$B128)</f>
        <v>345</v>
      </c>
      <c r="U128" s="24">
        <f>SUMIFS('Saldos Iniciales'!$D:$D,'Saldos Iniciales'!$A:$A,"Go Blue")+SUMIFS(Movimientos!$K$1:$K$987,Movimientos!$C$1:$C$987,"Go Blue",Movimientos!$B$1:$B$987,"&lt;="&amp;$B128)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Group")+SUMIFS(Movimientos!$K$1:$K$987,Movimientos!$C$1:$C$987,"CFT Group",Movimientos!$B$1:$B$987,"&lt;="&amp;$B129)</f>
        <v>1549729.4500000007</v>
      </c>
      <c r="D129" s="24">
        <f>SUMIFS('Saldos Iniciales'!$D:$D,'Saldos Iniciales'!$A:$A,"M1B")+SUMIFS(Movimientos!$K$1:$K$987,Movimientos!$C$1:$C$987,"M1B",Movimientos!$B$1:$B$987,"&lt;="&amp;$B129)</f>
        <v>93280.230000000171</v>
      </c>
      <c r="E129" s="24">
        <f>SUMIFS('Saldos Iniciales'!$D:$D,'Saldos Iniciales'!$A:$A,"Durand")+SUMIFS(Movimientos!$K$1:$K$987,Movimientos!$C$1:$C$987,"Durand",Movimientos!$B$1:$B$987,"&lt;="&amp;$B129)</f>
        <v>1669.89</v>
      </c>
      <c r="F129" s="24">
        <f>SUMIFS('Saldos Iniciales'!$D:$D,'Saldos Iniciales'!$A:$A,"A&amp;M Imports")+SUMIFS(Movimientos!$K$1:$K$987,Movimientos!$C$1:$C$987,"A&amp;M Imports",Movimientos!$B$1:$B$987,"&lt;="&amp;$B129)</f>
        <v>1250938</v>
      </c>
      <c r="G129" s="24">
        <f>SUMIFS('Saldos Iniciales'!$D:$D,'Saldos Iniciales'!$A:$A,"SSP Capital")+SUMIFS(Movimientos!$K$1:$K$987,Movimientos!$C$1:$C$987,"SSP Capital",Movimientos!$B$1:$B$987,"&lt;="&amp;$B129)</f>
        <v>1499204.7399999998</v>
      </c>
      <c r="H129" s="24">
        <f>SUMIFS('Saldos Iniciales'!$D:$D,'Saldos Iniciales'!$A:$A,"Cross Family Trust")+SUMIFS(Movimientos!$K$1:$K$987,Movimientos!$C$1:$C$987,"Cross Family Trust",Movimientos!$B$1:$B$987,"&lt;="&amp;$B129)</f>
        <v>249778.14</v>
      </c>
      <c r="I129" s="24">
        <f>SUMIFS('Saldos Iniciales'!$D:$D,'Saldos Iniciales'!$A:$A,"Cross Security Trust")+SUMIFS(Movimientos!$K$1:$K$987,Movimientos!$C$1:$C$987,"Cross Security Trust",Movimientos!$B$1:$B$987,"&lt;="&amp;$B129)</f>
        <v>98169.25999999998</v>
      </c>
      <c r="J129" s="24">
        <f>SUMIFS('Saldos Iniciales'!$D:$D,'Saldos Iniciales'!$A:$A,"Electrama")+SUMIFS(Movimientos!$K$1:$K$987,Movimientos!$C$1:$C$987,"Electrama",Movimientos!$B$1:$B$987,"&lt;="&amp;$B129)</f>
        <v>13270.02</v>
      </c>
      <c r="K129" s="24">
        <f>SUMIFS('Saldos Iniciales'!$D:$D,'Saldos Iniciales'!$A:$A,"Sacred Valley Capital")+SUMIFS(Movimientos!$K$1:$K$987,Movimientos!$C$1:$C$987,"Sacred Valley Capital",Movimientos!$B$1:$B$987,"&lt;="&amp;$B129)</f>
        <v>94.5</v>
      </c>
      <c r="L129" s="24">
        <f>SUMIFS('Saldos Iniciales'!$D:$D,'Saldos Iniciales'!$A:$A,"YWC Capital")+SUMIFS(Movimientos!$K$1:$K$987,Movimientos!$C$1:$C$987,"YWC Capital",Movimientos!$B$1:$B$987,"&lt;="&amp;$B129)</f>
        <v>2147.92</v>
      </c>
      <c r="M129" s="24">
        <f>SUMIFS('Saldos Iniciales'!$D:$D,'Saldos Iniciales'!$A:$A,"Soweto")+SUMIFS(Movimientos!$K$1:$K$987,Movimientos!$C$1:$C$987,"Soweto",Movimientos!$B$1:$B$987,"&lt;="&amp;$B129)</f>
        <v>18005.290000000015</v>
      </c>
      <c r="N129" s="24">
        <f>SUMIFS('Saldos Iniciales'!$D:$D,'Saldos Iniciales'!$A:$A,"Green Stone Trust")+SUMIFS(Movimientos!$K$1:$K$987,Movimientos!$C$1:$C$987,"Green Stone Trust",Movimientos!$B$1:$B$987,"&lt;="&amp;$B129)</f>
        <v>1968.99</v>
      </c>
      <c r="O129" s="24">
        <f>SUMIFS('Saldos Iniciales'!$D:$D,'Saldos Iniciales'!$A:$A,"EC Auto")+SUMIFS(Movimientos!$K$1:$K$987,Movimientos!$C$1:$C$987,"EC Auto",Movimientos!$B$1:$B$987,"&lt;="&amp;$B129)</f>
        <v>901.34</v>
      </c>
      <c r="P129" s="24">
        <f>SUMIFS('Saldos Iniciales'!$D:$D,'Saldos Iniciales'!$A:$A,"Arbor Capital Properties")+SUMIFS(Movimientos!$K$1:$K$987,Movimientos!$C$1:$C$987,"Arbor Capital Properties",Movimientos!$B$1:$B$987,"&lt;="&amp;$B129)</f>
        <v>1380.08</v>
      </c>
      <c r="Q129" s="24">
        <f>SUMIFS('Saldos Iniciales'!$D:$D,'Saldos Iniciales'!$A:$A,"2515 Overbrook")+SUMIFS(Movimientos!$K$1:$K$987,Movimientos!$C$1:$C$987,"2515 Overbrook",Movimientos!$B$1:$B$987,"&lt;="&amp;$B129)</f>
        <v>25027.379999999961</v>
      </c>
      <c r="R129" s="24">
        <f>SUMIFS('Saldos Iniciales'!$D:$D,'Saldos Iniciales'!$A:$A,"112 Florida Ave")+SUMIFS(Movimientos!$K$1:$K$987,Movimientos!$C$1:$C$987,"112 Florida Ave",Movimientos!$B$1:$B$987,"&lt;="&amp;$B129)</f>
        <v>16760.540000000008</v>
      </c>
      <c r="S129" s="24">
        <f>SUMIFS('Saldos Iniciales'!$D:$D,'Saldos Iniciales'!$A:$A,"3628 Thomas Ave")+SUMIFS(Movimientos!$K$1:$K$987,Movimientos!$C$1:$C$987,"3628 Thomas Ave",Movimientos!$B$1:$B$987,"&lt;="&amp;$B129)</f>
        <v>14162.999999999996</v>
      </c>
      <c r="T129" s="24">
        <f>SUMIFS('Saldos Iniciales'!$D:$D,'Saldos Iniciales'!$A:$A,"Green Harbor Trust")+SUMIFS(Movimientos!$K$1:$K$987,Movimientos!$C$1:$C$987,"Green Harbor Trust",Movimientos!$B$1:$B$987,"&lt;="&amp;$B129)</f>
        <v>345</v>
      </c>
      <c r="U129" s="24">
        <f>SUMIFS('Saldos Iniciales'!$D:$D,'Saldos Iniciales'!$A:$A,"Go Blue")+SUMIFS(Movimientos!$K$1:$K$987,Movimientos!$C$1:$C$987,"Go Blue",Movimientos!$B$1:$B$987,"&lt;="&amp;$B129)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Group")+SUMIFS(Movimientos!$K$1:$K$987,Movimientos!$C$1:$C$987,"CFT Group",Movimientos!$B$1:$B$987,"&lt;="&amp;$B130)</f>
        <v>1549729.4500000007</v>
      </c>
      <c r="D130" s="24">
        <f>SUMIFS('Saldos Iniciales'!$D:$D,'Saldos Iniciales'!$A:$A,"M1B")+SUMIFS(Movimientos!$K$1:$K$987,Movimientos!$C$1:$C$987,"M1B",Movimientos!$B$1:$B$987,"&lt;="&amp;$B130)</f>
        <v>93280.230000000171</v>
      </c>
      <c r="E130" s="24">
        <f>SUMIFS('Saldos Iniciales'!$D:$D,'Saldos Iniciales'!$A:$A,"Durand")+SUMIFS(Movimientos!$K$1:$K$987,Movimientos!$C$1:$C$987,"Durand",Movimientos!$B$1:$B$987,"&lt;="&amp;$B130)</f>
        <v>1669.89</v>
      </c>
      <c r="F130" s="24">
        <f>SUMIFS('Saldos Iniciales'!$D:$D,'Saldos Iniciales'!$A:$A,"A&amp;M Imports")+SUMIFS(Movimientos!$K$1:$K$987,Movimientos!$C$1:$C$987,"A&amp;M Imports",Movimientos!$B$1:$B$987,"&lt;="&amp;$B130)</f>
        <v>1250938</v>
      </c>
      <c r="G130" s="24">
        <f>SUMIFS('Saldos Iniciales'!$D:$D,'Saldos Iniciales'!$A:$A,"SSP Capital")+SUMIFS(Movimientos!$K$1:$K$987,Movimientos!$C$1:$C$987,"SSP Capital",Movimientos!$B$1:$B$987,"&lt;="&amp;$B130)</f>
        <v>1499204.7399999998</v>
      </c>
      <c r="H130" s="24">
        <f>SUMIFS('Saldos Iniciales'!$D:$D,'Saldos Iniciales'!$A:$A,"Cross Family Trust")+SUMIFS(Movimientos!$K$1:$K$987,Movimientos!$C$1:$C$987,"Cross Family Trust",Movimientos!$B$1:$B$987,"&lt;="&amp;$B130)</f>
        <v>249778.14</v>
      </c>
      <c r="I130" s="24">
        <f>SUMIFS('Saldos Iniciales'!$D:$D,'Saldos Iniciales'!$A:$A,"Cross Security Trust")+SUMIFS(Movimientos!$K$1:$K$987,Movimientos!$C$1:$C$987,"Cross Security Trust",Movimientos!$B$1:$B$987,"&lt;="&amp;$B130)</f>
        <v>98169.25999999998</v>
      </c>
      <c r="J130" s="24">
        <f>SUMIFS('Saldos Iniciales'!$D:$D,'Saldos Iniciales'!$A:$A,"Electrama")+SUMIFS(Movimientos!$K$1:$K$987,Movimientos!$C$1:$C$987,"Electrama",Movimientos!$B$1:$B$987,"&lt;="&amp;$B130)</f>
        <v>13270.02</v>
      </c>
      <c r="K130" s="24">
        <f>SUMIFS('Saldos Iniciales'!$D:$D,'Saldos Iniciales'!$A:$A,"Sacred Valley Capital")+SUMIFS(Movimientos!$K$1:$K$987,Movimientos!$C$1:$C$987,"Sacred Valley Capital",Movimientos!$B$1:$B$987,"&lt;="&amp;$B130)</f>
        <v>94.5</v>
      </c>
      <c r="L130" s="24">
        <f>SUMIFS('Saldos Iniciales'!$D:$D,'Saldos Iniciales'!$A:$A,"YWC Capital")+SUMIFS(Movimientos!$K$1:$K$987,Movimientos!$C$1:$C$987,"YWC Capital",Movimientos!$B$1:$B$987,"&lt;="&amp;$B130)</f>
        <v>2147.92</v>
      </c>
      <c r="M130" s="24">
        <f>SUMIFS('Saldos Iniciales'!$D:$D,'Saldos Iniciales'!$A:$A,"Soweto")+SUMIFS(Movimientos!$K$1:$K$987,Movimientos!$C$1:$C$987,"Soweto",Movimientos!$B$1:$B$987,"&lt;="&amp;$B130)</f>
        <v>18005.290000000015</v>
      </c>
      <c r="N130" s="24">
        <f>SUMIFS('Saldos Iniciales'!$D:$D,'Saldos Iniciales'!$A:$A,"Green Stone Trust")+SUMIFS(Movimientos!$K$1:$K$987,Movimientos!$C$1:$C$987,"Green Stone Trust",Movimientos!$B$1:$B$987,"&lt;="&amp;$B130)</f>
        <v>1968.99</v>
      </c>
      <c r="O130" s="24">
        <f>SUMIFS('Saldos Iniciales'!$D:$D,'Saldos Iniciales'!$A:$A,"EC Auto")+SUMIFS(Movimientos!$K$1:$K$987,Movimientos!$C$1:$C$987,"EC Auto",Movimientos!$B$1:$B$987,"&lt;="&amp;$B130)</f>
        <v>901.34</v>
      </c>
      <c r="P130" s="24">
        <f>SUMIFS('Saldos Iniciales'!$D:$D,'Saldos Iniciales'!$A:$A,"Arbor Capital Properties")+SUMIFS(Movimientos!$K$1:$K$987,Movimientos!$C$1:$C$987,"Arbor Capital Properties",Movimientos!$B$1:$B$987,"&lt;="&amp;$B130)</f>
        <v>1380.08</v>
      </c>
      <c r="Q130" s="24">
        <f>SUMIFS('Saldos Iniciales'!$D:$D,'Saldos Iniciales'!$A:$A,"2515 Overbrook")+SUMIFS(Movimientos!$K$1:$K$987,Movimientos!$C$1:$C$987,"2515 Overbrook",Movimientos!$B$1:$B$987,"&lt;="&amp;$B130)</f>
        <v>25027.379999999961</v>
      </c>
      <c r="R130" s="24">
        <f>SUMIFS('Saldos Iniciales'!$D:$D,'Saldos Iniciales'!$A:$A,"112 Florida Ave")+SUMIFS(Movimientos!$K$1:$K$987,Movimientos!$C$1:$C$987,"112 Florida Ave",Movimientos!$B$1:$B$987,"&lt;="&amp;$B130)</f>
        <v>16760.540000000008</v>
      </c>
      <c r="S130" s="24">
        <f>SUMIFS('Saldos Iniciales'!$D:$D,'Saldos Iniciales'!$A:$A,"3628 Thomas Ave")+SUMIFS(Movimientos!$K$1:$K$987,Movimientos!$C$1:$C$987,"3628 Thomas Ave",Movimientos!$B$1:$B$987,"&lt;="&amp;$B130)</f>
        <v>14162.999999999996</v>
      </c>
      <c r="T130" s="24">
        <f>SUMIFS('Saldos Iniciales'!$D:$D,'Saldos Iniciales'!$A:$A,"Green Harbor Trust")+SUMIFS(Movimientos!$K$1:$K$987,Movimientos!$C$1:$C$987,"Green Harbor Trust",Movimientos!$B$1:$B$987,"&lt;="&amp;$B130)</f>
        <v>345</v>
      </c>
      <c r="U130" s="24">
        <f>SUMIFS('Saldos Iniciales'!$D:$D,'Saldos Iniciales'!$A:$A,"Go Blue")+SUMIFS(Movimientos!$K$1:$K$987,Movimientos!$C$1:$C$987,"Go Blue",Movimientos!$B$1:$B$987,"&lt;="&amp;$B130)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Group")+SUMIFS(Movimientos!$K$1:$K$987,Movimientos!$C$1:$C$987,"CFT Group",Movimientos!$B$1:$B$987,"&lt;="&amp;$B131)</f>
        <v>1549729.4500000007</v>
      </c>
      <c r="D131" s="24">
        <f>SUMIFS('Saldos Iniciales'!$D:$D,'Saldos Iniciales'!$A:$A,"M1B")+SUMIFS(Movimientos!$K$1:$K$987,Movimientos!$C$1:$C$987,"M1B",Movimientos!$B$1:$B$987,"&lt;="&amp;$B131)</f>
        <v>93280.230000000171</v>
      </c>
      <c r="E131" s="24">
        <f>SUMIFS('Saldos Iniciales'!$D:$D,'Saldos Iniciales'!$A:$A,"Durand")+SUMIFS(Movimientos!$K$1:$K$987,Movimientos!$C$1:$C$987,"Durand",Movimientos!$B$1:$B$987,"&lt;="&amp;$B131)</f>
        <v>1669.89</v>
      </c>
      <c r="F131" s="24">
        <f>SUMIFS('Saldos Iniciales'!$D:$D,'Saldos Iniciales'!$A:$A,"A&amp;M Imports")+SUMIFS(Movimientos!$K$1:$K$987,Movimientos!$C$1:$C$987,"A&amp;M Imports",Movimientos!$B$1:$B$987,"&lt;="&amp;$B131)</f>
        <v>1250938</v>
      </c>
      <c r="G131" s="24">
        <f>SUMIFS('Saldos Iniciales'!$D:$D,'Saldos Iniciales'!$A:$A,"SSP Capital")+SUMIFS(Movimientos!$K$1:$K$987,Movimientos!$C$1:$C$987,"SSP Capital",Movimientos!$B$1:$B$987,"&lt;="&amp;$B131)</f>
        <v>1499204.7399999998</v>
      </c>
      <c r="H131" s="24">
        <f>SUMIFS('Saldos Iniciales'!$D:$D,'Saldos Iniciales'!$A:$A,"Cross Family Trust")+SUMIFS(Movimientos!$K$1:$K$987,Movimientos!$C$1:$C$987,"Cross Family Trust",Movimientos!$B$1:$B$987,"&lt;="&amp;$B131)</f>
        <v>249778.14</v>
      </c>
      <c r="I131" s="24">
        <f>SUMIFS('Saldos Iniciales'!$D:$D,'Saldos Iniciales'!$A:$A,"Cross Security Trust")+SUMIFS(Movimientos!$K$1:$K$987,Movimientos!$C$1:$C$987,"Cross Security Trust",Movimientos!$B$1:$B$987,"&lt;="&amp;$B131)</f>
        <v>98169.25999999998</v>
      </c>
      <c r="J131" s="24">
        <f>SUMIFS('Saldos Iniciales'!$D:$D,'Saldos Iniciales'!$A:$A,"Electrama")+SUMIFS(Movimientos!$K$1:$K$987,Movimientos!$C$1:$C$987,"Electrama",Movimientos!$B$1:$B$987,"&lt;="&amp;$B131)</f>
        <v>13270.02</v>
      </c>
      <c r="K131" s="24">
        <f>SUMIFS('Saldos Iniciales'!$D:$D,'Saldos Iniciales'!$A:$A,"Sacred Valley Capital")+SUMIFS(Movimientos!$K$1:$K$987,Movimientos!$C$1:$C$987,"Sacred Valley Capital",Movimientos!$B$1:$B$987,"&lt;="&amp;$B131)</f>
        <v>94.5</v>
      </c>
      <c r="L131" s="24">
        <f>SUMIFS('Saldos Iniciales'!$D:$D,'Saldos Iniciales'!$A:$A,"YWC Capital")+SUMIFS(Movimientos!$K$1:$K$987,Movimientos!$C$1:$C$987,"YWC Capital",Movimientos!$B$1:$B$987,"&lt;="&amp;$B131)</f>
        <v>2147.92</v>
      </c>
      <c r="M131" s="24">
        <f>SUMIFS('Saldos Iniciales'!$D:$D,'Saldos Iniciales'!$A:$A,"Soweto")+SUMIFS(Movimientos!$K$1:$K$987,Movimientos!$C$1:$C$987,"Soweto",Movimientos!$B$1:$B$987,"&lt;="&amp;$B131)</f>
        <v>18005.290000000015</v>
      </c>
      <c r="N131" s="24">
        <f>SUMIFS('Saldos Iniciales'!$D:$D,'Saldos Iniciales'!$A:$A,"Green Stone Trust")+SUMIFS(Movimientos!$K$1:$K$987,Movimientos!$C$1:$C$987,"Green Stone Trust",Movimientos!$B$1:$B$987,"&lt;="&amp;$B131)</f>
        <v>1968.99</v>
      </c>
      <c r="O131" s="24">
        <f>SUMIFS('Saldos Iniciales'!$D:$D,'Saldos Iniciales'!$A:$A,"EC Auto")+SUMIFS(Movimientos!$K$1:$K$987,Movimientos!$C$1:$C$987,"EC Auto",Movimientos!$B$1:$B$987,"&lt;="&amp;$B131)</f>
        <v>901.34</v>
      </c>
      <c r="P131" s="24">
        <f>SUMIFS('Saldos Iniciales'!$D:$D,'Saldos Iniciales'!$A:$A,"Arbor Capital Properties")+SUMIFS(Movimientos!$K$1:$K$987,Movimientos!$C$1:$C$987,"Arbor Capital Properties",Movimientos!$B$1:$B$987,"&lt;="&amp;$B131)</f>
        <v>1380.08</v>
      </c>
      <c r="Q131" s="24">
        <f>SUMIFS('Saldos Iniciales'!$D:$D,'Saldos Iniciales'!$A:$A,"2515 Overbrook")+SUMIFS(Movimientos!$K$1:$K$987,Movimientos!$C$1:$C$987,"2515 Overbrook",Movimientos!$B$1:$B$987,"&lt;="&amp;$B131)</f>
        <v>25027.379999999961</v>
      </c>
      <c r="R131" s="24">
        <f>SUMIFS('Saldos Iniciales'!$D:$D,'Saldos Iniciales'!$A:$A,"112 Florida Ave")+SUMIFS(Movimientos!$K$1:$K$987,Movimientos!$C$1:$C$987,"112 Florida Ave",Movimientos!$B$1:$B$987,"&lt;="&amp;$B131)</f>
        <v>16760.540000000008</v>
      </c>
      <c r="S131" s="24">
        <f>SUMIFS('Saldos Iniciales'!$D:$D,'Saldos Iniciales'!$A:$A,"3628 Thomas Ave")+SUMIFS(Movimientos!$K$1:$K$987,Movimientos!$C$1:$C$987,"3628 Thomas Ave",Movimientos!$B$1:$B$987,"&lt;="&amp;$B131)</f>
        <v>14162.999999999996</v>
      </c>
      <c r="T131" s="24">
        <f>SUMIFS('Saldos Iniciales'!$D:$D,'Saldos Iniciales'!$A:$A,"Green Harbor Trust")+SUMIFS(Movimientos!$K$1:$K$987,Movimientos!$C$1:$C$987,"Green Harbor Trust",Movimientos!$B$1:$B$987,"&lt;="&amp;$B131)</f>
        <v>345</v>
      </c>
      <c r="U131" s="24">
        <f>SUMIFS('Saldos Iniciales'!$D:$D,'Saldos Iniciales'!$A:$A,"Go Blue")+SUMIFS(Movimientos!$K$1:$K$987,Movimientos!$C$1:$C$987,"Go Blue",Movimientos!$B$1:$B$987,"&lt;="&amp;$B131)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Group")+SUMIFS(Movimientos!$K$1:$K$987,Movimientos!$C$1:$C$987,"CFT Group",Movimientos!$B$1:$B$987,"&lt;="&amp;$B132)</f>
        <v>1805955.2800000007</v>
      </c>
      <c r="D132" s="24">
        <f>SUMIFS('Saldos Iniciales'!$D:$D,'Saldos Iniciales'!$A:$A,"M1B")+SUMIFS(Movimientos!$K$1:$K$987,Movimientos!$C$1:$C$987,"M1B",Movimientos!$B$1:$B$987,"&lt;="&amp;$B132)</f>
        <v>93737.970000000176</v>
      </c>
      <c r="E132" s="24">
        <f>SUMIFS('Saldos Iniciales'!$D:$D,'Saldos Iniciales'!$A:$A,"Durand")+SUMIFS(Movimientos!$K$1:$K$987,Movimientos!$C$1:$C$987,"Durand",Movimientos!$B$1:$B$987,"&lt;="&amp;$B132)</f>
        <v>1669.89</v>
      </c>
      <c r="F132" s="24">
        <f>SUMIFS('Saldos Iniciales'!$D:$D,'Saldos Iniciales'!$A:$A,"A&amp;M Imports")+SUMIFS(Movimientos!$K$1:$K$987,Movimientos!$C$1:$C$987,"A&amp;M Imports",Movimientos!$B$1:$B$987,"&lt;="&amp;$B132)</f>
        <v>1256669.99</v>
      </c>
      <c r="G132" s="24">
        <f>SUMIFS('Saldos Iniciales'!$D:$D,'Saldos Iniciales'!$A:$A,"SSP Capital")+SUMIFS(Movimientos!$K$1:$K$987,Movimientos!$C$1:$C$987,"SSP Capital",Movimientos!$B$1:$B$987,"&lt;="&amp;$B132)</f>
        <v>1490233.3099999996</v>
      </c>
      <c r="H132" s="24">
        <f>SUMIFS('Saldos Iniciales'!$D:$D,'Saldos Iniciales'!$A:$A,"Cross Family Trust")+SUMIFS(Movimientos!$K$1:$K$987,Movimientos!$C$1:$C$987,"Cross Family Trust",Movimientos!$B$1:$B$987,"&lt;="&amp;$B132)</f>
        <v>249778.14</v>
      </c>
      <c r="I132" s="24">
        <f>SUMIFS('Saldos Iniciales'!$D:$D,'Saldos Iniciales'!$A:$A,"Cross Security Trust")+SUMIFS(Movimientos!$K$1:$K$987,Movimientos!$C$1:$C$987,"Cross Security Trust",Movimientos!$B$1:$B$987,"&lt;="&amp;$B132)</f>
        <v>98169.25999999998</v>
      </c>
      <c r="J132" s="24">
        <f>SUMIFS('Saldos Iniciales'!$D:$D,'Saldos Iniciales'!$A:$A,"Electrama")+SUMIFS(Movimientos!$K$1:$K$987,Movimientos!$C$1:$C$987,"Electrama",Movimientos!$B$1:$B$987,"&lt;="&amp;$B132)</f>
        <v>13270.02</v>
      </c>
      <c r="K132" s="24">
        <f>SUMIFS('Saldos Iniciales'!$D:$D,'Saldos Iniciales'!$A:$A,"Sacred Valley Capital")+SUMIFS(Movimientos!$K$1:$K$987,Movimientos!$C$1:$C$987,"Sacred Valley Capital",Movimientos!$B$1:$B$987,"&lt;="&amp;$B132)</f>
        <v>94.5</v>
      </c>
      <c r="L132" s="24">
        <f>SUMIFS('Saldos Iniciales'!$D:$D,'Saldos Iniciales'!$A:$A,"YWC Capital")+SUMIFS(Movimientos!$K$1:$K$987,Movimientos!$C$1:$C$987,"YWC Capital",Movimientos!$B$1:$B$987,"&lt;="&amp;$B132)</f>
        <v>2147.92</v>
      </c>
      <c r="M132" s="24">
        <f>SUMIFS('Saldos Iniciales'!$D:$D,'Saldos Iniciales'!$A:$A,"Soweto")+SUMIFS(Movimientos!$K$1:$K$987,Movimientos!$C$1:$C$987,"Soweto",Movimientos!$B$1:$B$987,"&lt;="&amp;$B132)</f>
        <v>18005.290000000015</v>
      </c>
      <c r="N132" s="24">
        <f>SUMIFS('Saldos Iniciales'!$D:$D,'Saldos Iniciales'!$A:$A,"Green Stone Trust")+SUMIFS(Movimientos!$K$1:$K$987,Movimientos!$C$1:$C$987,"Green Stone Trust",Movimientos!$B$1:$B$987,"&lt;="&amp;$B132)</f>
        <v>1968.99</v>
      </c>
      <c r="O132" s="24">
        <f>SUMIFS('Saldos Iniciales'!$D:$D,'Saldos Iniciales'!$A:$A,"EC Auto")+SUMIFS(Movimientos!$K$1:$K$987,Movimientos!$C$1:$C$987,"EC Auto",Movimientos!$B$1:$B$987,"&lt;="&amp;$B132)</f>
        <v>901.34</v>
      </c>
      <c r="P132" s="24">
        <f>SUMIFS('Saldos Iniciales'!$D:$D,'Saldos Iniciales'!$A:$A,"Arbor Capital Properties")+SUMIFS(Movimientos!$K$1:$K$987,Movimientos!$C$1:$C$987,"Arbor Capital Properties",Movimientos!$B$1:$B$987,"&lt;="&amp;$B132)</f>
        <v>1380.08</v>
      </c>
      <c r="Q132" s="24">
        <f>SUMIFS('Saldos Iniciales'!$D:$D,'Saldos Iniciales'!$A:$A,"2515 Overbrook")+SUMIFS(Movimientos!$K$1:$K$987,Movimientos!$C$1:$C$987,"2515 Overbrook",Movimientos!$B$1:$B$987,"&lt;="&amp;$B132)</f>
        <v>25027.379999999961</v>
      </c>
      <c r="R132" s="24">
        <f>SUMIFS('Saldos Iniciales'!$D:$D,'Saldos Iniciales'!$A:$A,"112 Florida Ave")+SUMIFS(Movimientos!$K$1:$K$987,Movimientos!$C$1:$C$987,"112 Florida Ave",Movimientos!$B$1:$B$987,"&lt;="&amp;$B132)</f>
        <v>16760.540000000008</v>
      </c>
      <c r="S132" s="24">
        <f>SUMIFS('Saldos Iniciales'!$D:$D,'Saldos Iniciales'!$A:$A,"3628 Thomas Ave")+SUMIFS(Movimientos!$K$1:$K$987,Movimientos!$C$1:$C$987,"3628 Thomas Ave",Movimientos!$B$1:$B$987,"&lt;="&amp;$B132)</f>
        <v>14162.999999999996</v>
      </c>
      <c r="T132" s="24">
        <f>SUMIFS('Saldos Iniciales'!$D:$D,'Saldos Iniciales'!$A:$A,"Green Harbor Trust")+SUMIFS(Movimientos!$K$1:$K$987,Movimientos!$C$1:$C$987,"Green Harbor Trust",Movimientos!$B$1:$B$987,"&lt;="&amp;$B132)</f>
        <v>345</v>
      </c>
      <c r="U132" s="24">
        <f>SUMIFS('Saldos Iniciales'!$D:$D,'Saldos Iniciales'!$A:$A,"Go Blue")+SUMIFS(Movimientos!$K$1:$K$987,Movimientos!$C$1:$C$987,"Go Blue",Movimientos!$B$1:$B$987,"&lt;="&amp;$B132)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Group")+SUMIFS(Movimientos!$K$1:$K$987,Movimientos!$C$1:$C$987,"CFT Group",Movimientos!$B$1:$B$987,"&lt;="&amp;$B133)</f>
        <v>1805355.2800000007</v>
      </c>
      <c r="D133" s="24">
        <f>SUMIFS('Saldos Iniciales'!$D:$D,'Saldos Iniciales'!$A:$A,"M1B")+SUMIFS(Movimientos!$K$1:$K$987,Movimientos!$C$1:$C$987,"M1B",Movimientos!$B$1:$B$987,"&lt;="&amp;$B133)</f>
        <v>93737.970000000176</v>
      </c>
      <c r="E133" s="24">
        <f>SUMIFS('Saldos Iniciales'!$D:$D,'Saldos Iniciales'!$A:$A,"Durand")+SUMIFS(Movimientos!$K$1:$K$987,Movimientos!$C$1:$C$987,"Durand",Movimientos!$B$1:$B$987,"&lt;="&amp;$B133)</f>
        <v>1669.89</v>
      </c>
      <c r="F133" s="24">
        <f>SUMIFS('Saldos Iniciales'!$D:$D,'Saldos Iniciales'!$A:$A,"A&amp;M Imports")+SUMIFS(Movimientos!$K$1:$K$987,Movimientos!$C$1:$C$987,"A&amp;M Imports",Movimientos!$B$1:$B$987,"&lt;="&amp;$B133)</f>
        <v>1256669.99</v>
      </c>
      <c r="G133" s="24">
        <f>SUMIFS('Saldos Iniciales'!$D:$D,'Saldos Iniciales'!$A:$A,"SSP Capital")+SUMIFS(Movimientos!$K$1:$K$987,Movimientos!$C$1:$C$987,"SSP Capital",Movimientos!$B$1:$B$987,"&lt;="&amp;$B133)</f>
        <v>1487787.1299999997</v>
      </c>
      <c r="H133" s="24">
        <f>SUMIFS('Saldos Iniciales'!$D:$D,'Saldos Iniciales'!$A:$A,"Cross Family Trust")+SUMIFS(Movimientos!$K$1:$K$987,Movimientos!$C$1:$C$987,"Cross Family Trust",Movimientos!$B$1:$B$987,"&lt;="&amp;$B133)</f>
        <v>229778.14</v>
      </c>
      <c r="I133" s="24">
        <f>SUMIFS('Saldos Iniciales'!$D:$D,'Saldos Iniciales'!$A:$A,"Cross Security Trust")+SUMIFS(Movimientos!$K$1:$K$987,Movimientos!$C$1:$C$987,"Cross Security Trust",Movimientos!$B$1:$B$987,"&lt;="&amp;$B133)</f>
        <v>98169.25999999998</v>
      </c>
      <c r="J133" s="24">
        <f>SUMIFS('Saldos Iniciales'!$D:$D,'Saldos Iniciales'!$A:$A,"Electrama")+SUMIFS(Movimientos!$K$1:$K$987,Movimientos!$C$1:$C$987,"Electrama",Movimientos!$B$1:$B$987,"&lt;="&amp;$B133)</f>
        <v>13270.02</v>
      </c>
      <c r="K133" s="24">
        <f>SUMIFS('Saldos Iniciales'!$D:$D,'Saldos Iniciales'!$A:$A,"Sacred Valley Capital")+SUMIFS(Movimientos!$K$1:$K$987,Movimientos!$C$1:$C$987,"Sacred Valley Capital",Movimientos!$B$1:$B$987,"&lt;="&amp;$B133)</f>
        <v>94.5</v>
      </c>
      <c r="L133" s="24">
        <f>SUMIFS('Saldos Iniciales'!$D:$D,'Saldos Iniciales'!$A:$A,"YWC Capital")+SUMIFS(Movimientos!$K$1:$K$987,Movimientos!$C$1:$C$987,"YWC Capital",Movimientos!$B$1:$B$987,"&lt;="&amp;$B133)</f>
        <v>2147.92</v>
      </c>
      <c r="M133" s="24">
        <f>SUMIFS('Saldos Iniciales'!$D:$D,'Saldos Iniciales'!$A:$A,"Soweto")+SUMIFS(Movimientos!$K$1:$K$987,Movimientos!$C$1:$C$987,"Soweto",Movimientos!$B$1:$B$987,"&lt;="&amp;$B133)</f>
        <v>18005.290000000015</v>
      </c>
      <c r="N133" s="24">
        <f>SUMIFS('Saldos Iniciales'!$D:$D,'Saldos Iniciales'!$A:$A,"Green Stone Trust")+SUMIFS(Movimientos!$K$1:$K$987,Movimientos!$C$1:$C$987,"Green Stone Trust",Movimientos!$B$1:$B$987,"&lt;="&amp;$B133)</f>
        <v>1968.99</v>
      </c>
      <c r="O133" s="24">
        <f>SUMIFS('Saldos Iniciales'!$D:$D,'Saldos Iniciales'!$A:$A,"EC Auto")+SUMIFS(Movimientos!$K$1:$K$987,Movimientos!$C$1:$C$987,"EC Auto",Movimientos!$B$1:$B$987,"&lt;="&amp;$B133)</f>
        <v>901.34</v>
      </c>
      <c r="P133" s="24">
        <f>SUMIFS('Saldos Iniciales'!$D:$D,'Saldos Iniciales'!$A:$A,"Arbor Capital Properties")+SUMIFS(Movimientos!$K$1:$K$987,Movimientos!$C$1:$C$987,"Arbor Capital Properties",Movimientos!$B$1:$B$987,"&lt;="&amp;$B133)</f>
        <v>1380.08</v>
      </c>
      <c r="Q133" s="24">
        <f>SUMIFS('Saldos Iniciales'!$D:$D,'Saldos Iniciales'!$A:$A,"2515 Overbrook")+SUMIFS(Movimientos!$K$1:$K$987,Movimientos!$C$1:$C$987,"2515 Overbrook",Movimientos!$B$1:$B$987,"&lt;="&amp;$B133)</f>
        <v>25027.379999999961</v>
      </c>
      <c r="R133" s="24">
        <f>SUMIFS('Saldos Iniciales'!$D:$D,'Saldos Iniciales'!$A:$A,"112 Florida Ave")+SUMIFS(Movimientos!$K$1:$K$987,Movimientos!$C$1:$C$987,"112 Florida Ave",Movimientos!$B$1:$B$987,"&lt;="&amp;$B133)</f>
        <v>16760.540000000008</v>
      </c>
      <c r="S133" s="24">
        <f>SUMIFS('Saldos Iniciales'!$D:$D,'Saldos Iniciales'!$A:$A,"3628 Thomas Ave")+SUMIFS(Movimientos!$K$1:$K$987,Movimientos!$C$1:$C$987,"3628 Thomas Ave",Movimientos!$B$1:$B$987,"&lt;="&amp;$B133)</f>
        <v>14162.999999999996</v>
      </c>
      <c r="T133" s="24">
        <f>SUMIFS('Saldos Iniciales'!$D:$D,'Saldos Iniciales'!$A:$A,"Green Harbor Trust")+SUMIFS(Movimientos!$K$1:$K$987,Movimientos!$C$1:$C$987,"Green Harbor Trust",Movimientos!$B$1:$B$987,"&lt;="&amp;$B133)</f>
        <v>345</v>
      </c>
      <c r="U133" s="24">
        <f>SUMIFS('Saldos Iniciales'!$D:$D,'Saldos Iniciales'!$A:$A,"Go Blue")+SUMIFS(Movimientos!$K$1:$K$987,Movimientos!$C$1:$C$987,"Go Blue",Movimientos!$B$1:$B$987,"&lt;="&amp;$B133)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Group")+SUMIFS(Movimientos!$K$1:$K$987,Movimientos!$C$1:$C$987,"CFT Group",Movimientos!$B$1:$B$987,"&lt;="&amp;$B134)</f>
        <v>1338116.3900000008</v>
      </c>
      <c r="D134" s="24">
        <f>SUMIFS('Saldos Iniciales'!$D:$D,'Saldos Iniciales'!$A:$A,"M1B")+SUMIFS(Movimientos!$K$1:$K$987,Movimientos!$C$1:$C$987,"M1B",Movimientos!$B$1:$B$987,"&lt;="&amp;$B134)</f>
        <v>93737.970000000176</v>
      </c>
      <c r="E134" s="24">
        <f>SUMIFS('Saldos Iniciales'!$D:$D,'Saldos Iniciales'!$A:$A,"Durand")+SUMIFS(Movimientos!$K$1:$K$987,Movimientos!$C$1:$C$987,"Durand",Movimientos!$B$1:$B$987,"&lt;="&amp;$B134)</f>
        <v>1669.89</v>
      </c>
      <c r="F134" s="24">
        <f>SUMIFS('Saldos Iniciales'!$D:$D,'Saldos Iniciales'!$A:$A,"A&amp;M Imports")+SUMIFS(Movimientos!$K$1:$K$987,Movimientos!$C$1:$C$987,"A&amp;M Imports",Movimientos!$B$1:$B$987,"&lt;="&amp;$B134)</f>
        <v>1089169.99</v>
      </c>
      <c r="G134" s="24">
        <f>SUMIFS('Saldos Iniciales'!$D:$D,'Saldos Iniciales'!$A:$A,"SSP Capital")+SUMIFS(Movimientos!$K$1:$K$987,Movimientos!$C$1:$C$987,"SSP Capital",Movimientos!$B$1:$B$987,"&lt;="&amp;$B134)</f>
        <v>1233789.9099999997</v>
      </c>
      <c r="H134" s="24">
        <f>SUMIFS('Saldos Iniciales'!$D:$D,'Saldos Iniciales'!$A:$A,"Cross Family Trust")+SUMIFS(Movimientos!$K$1:$K$987,Movimientos!$C$1:$C$987,"Cross Family Trust",Movimientos!$B$1:$B$987,"&lt;="&amp;$B134)</f>
        <v>229778.14</v>
      </c>
      <c r="I134" s="24">
        <f>SUMIFS('Saldos Iniciales'!$D:$D,'Saldos Iniciales'!$A:$A,"Cross Security Trust")+SUMIFS(Movimientos!$K$1:$K$987,Movimientos!$C$1:$C$987,"Cross Security Trust",Movimientos!$B$1:$B$987,"&lt;="&amp;$B134)</f>
        <v>98169.25999999998</v>
      </c>
      <c r="J134" s="24">
        <f>SUMIFS('Saldos Iniciales'!$D:$D,'Saldos Iniciales'!$A:$A,"Electrama")+SUMIFS(Movimientos!$K$1:$K$987,Movimientos!$C$1:$C$987,"Electrama",Movimientos!$B$1:$B$987,"&lt;="&amp;$B134)</f>
        <v>13270.02</v>
      </c>
      <c r="K134" s="24">
        <f>SUMIFS('Saldos Iniciales'!$D:$D,'Saldos Iniciales'!$A:$A,"Sacred Valley Capital")+SUMIFS(Movimientos!$K$1:$K$987,Movimientos!$C$1:$C$987,"Sacred Valley Capital",Movimientos!$B$1:$B$987,"&lt;="&amp;$B134)</f>
        <v>94.5</v>
      </c>
      <c r="L134" s="24">
        <f>SUMIFS('Saldos Iniciales'!$D:$D,'Saldos Iniciales'!$A:$A,"YWC Capital")+SUMIFS(Movimientos!$K$1:$K$987,Movimientos!$C$1:$C$987,"YWC Capital",Movimientos!$B$1:$B$987,"&lt;="&amp;$B134)</f>
        <v>2147.92</v>
      </c>
      <c r="M134" s="24">
        <f>SUMIFS('Saldos Iniciales'!$D:$D,'Saldos Iniciales'!$A:$A,"Soweto")+SUMIFS(Movimientos!$K$1:$K$987,Movimientos!$C$1:$C$987,"Soweto",Movimientos!$B$1:$B$987,"&lt;="&amp;$B134)</f>
        <v>18005.290000000015</v>
      </c>
      <c r="N134" s="24">
        <f>SUMIFS('Saldos Iniciales'!$D:$D,'Saldos Iniciales'!$A:$A,"Green Stone Trust")+SUMIFS(Movimientos!$K$1:$K$987,Movimientos!$C$1:$C$987,"Green Stone Trust",Movimientos!$B$1:$B$987,"&lt;="&amp;$B134)</f>
        <v>1968.99</v>
      </c>
      <c r="O134" s="24">
        <f>SUMIFS('Saldos Iniciales'!$D:$D,'Saldos Iniciales'!$A:$A,"EC Auto")+SUMIFS(Movimientos!$K$1:$K$987,Movimientos!$C$1:$C$987,"EC Auto",Movimientos!$B$1:$B$987,"&lt;="&amp;$B134)</f>
        <v>901.34</v>
      </c>
      <c r="P134" s="24">
        <f>SUMIFS('Saldos Iniciales'!$D:$D,'Saldos Iniciales'!$A:$A,"Arbor Capital Properties")+SUMIFS(Movimientos!$K$1:$K$987,Movimientos!$C$1:$C$987,"Arbor Capital Properties",Movimientos!$B$1:$B$987,"&lt;="&amp;$B134)</f>
        <v>1380.08</v>
      </c>
      <c r="Q134" s="24">
        <f>SUMIFS('Saldos Iniciales'!$D:$D,'Saldos Iniciales'!$A:$A,"2515 Overbrook")+SUMIFS(Movimientos!$K$1:$K$987,Movimientos!$C$1:$C$987,"2515 Overbrook",Movimientos!$B$1:$B$987,"&lt;="&amp;$B134)</f>
        <v>25027.379999999961</v>
      </c>
      <c r="R134" s="24">
        <f>SUMIFS('Saldos Iniciales'!$D:$D,'Saldos Iniciales'!$A:$A,"112 Florida Ave")+SUMIFS(Movimientos!$K$1:$K$987,Movimientos!$C$1:$C$987,"112 Florida Ave",Movimientos!$B$1:$B$987,"&lt;="&amp;$B134)</f>
        <v>16760.540000000008</v>
      </c>
      <c r="S134" s="24">
        <f>SUMIFS('Saldos Iniciales'!$D:$D,'Saldos Iniciales'!$A:$A,"3628 Thomas Ave")+SUMIFS(Movimientos!$K$1:$K$987,Movimientos!$C$1:$C$987,"3628 Thomas Ave",Movimientos!$B$1:$B$987,"&lt;="&amp;$B134)</f>
        <v>14162.999999999996</v>
      </c>
      <c r="T134" s="24">
        <f>SUMIFS('Saldos Iniciales'!$D:$D,'Saldos Iniciales'!$A:$A,"Green Harbor Trust")+SUMIFS(Movimientos!$K$1:$K$987,Movimientos!$C$1:$C$987,"Green Harbor Trust",Movimientos!$B$1:$B$987,"&lt;="&amp;$B134)</f>
        <v>345</v>
      </c>
      <c r="U134" s="24">
        <f>SUMIFS('Saldos Iniciales'!$D:$D,'Saldos Iniciales'!$A:$A,"Go Blue")+SUMIFS(Movimientos!$K$1:$K$987,Movimientos!$C$1:$C$987,"Go Blue",Movimientos!$B$1:$B$987,"&lt;="&amp;$B134)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Group")+SUMIFS(Movimientos!$K$1:$K$987,Movimientos!$C$1:$C$987,"CFT Group",Movimientos!$B$1:$B$987,"&lt;="&amp;$B135)</f>
        <v>1892967.3900000008</v>
      </c>
      <c r="D135" s="24">
        <f>SUMIFS('Saldos Iniciales'!$D:$D,'Saldos Iniciales'!$A:$A,"M1B")+SUMIFS(Movimientos!$K$1:$K$987,Movimientos!$C$1:$C$987,"M1B",Movimientos!$B$1:$B$987,"&lt;="&amp;$B135)</f>
        <v>93737.970000000176</v>
      </c>
      <c r="E135" s="24">
        <f>SUMIFS('Saldos Iniciales'!$D:$D,'Saldos Iniciales'!$A:$A,"Durand")+SUMIFS(Movimientos!$K$1:$K$987,Movimientos!$C$1:$C$987,"Durand",Movimientos!$B$1:$B$987,"&lt;="&amp;$B135)</f>
        <v>1669.89</v>
      </c>
      <c r="F135" s="24">
        <f>SUMIFS('Saldos Iniciales'!$D:$D,'Saldos Iniciales'!$A:$A,"A&amp;M Imports")+SUMIFS(Movimientos!$K$1:$K$987,Movimientos!$C$1:$C$987,"A&amp;M Imports",Movimientos!$B$1:$B$987,"&lt;="&amp;$B135)</f>
        <v>1089124.99</v>
      </c>
      <c r="G135" s="24">
        <f>SUMIFS('Saldos Iniciales'!$D:$D,'Saldos Iniciales'!$A:$A,"SSP Capital")+SUMIFS(Movimientos!$K$1:$K$987,Movimientos!$C$1:$C$987,"SSP Capital",Movimientos!$B$1:$B$987,"&lt;="&amp;$B135)</f>
        <v>1233789.9099999997</v>
      </c>
      <c r="H135" s="24">
        <f>SUMIFS('Saldos Iniciales'!$D:$D,'Saldos Iniciales'!$A:$A,"Cross Family Trust")+SUMIFS(Movimientos!$K$1:$K$987,Movimientos!$C$1:$C$987,"Cross Family Trust",Movimientos!$B$1:$B$987,"&lt;="&amp;$B135)</f>
        <v>229778.14</v>
      </c>
      <c r="I135" s="24">
        <f>SUMIFS('Saldos Iniciales'!$D:$D,'Saldos Iniciales'!$A:$A,"Cross Security Trust")+SUMIFS(Movimientos!$K$1:$K$987,Movimientos!$C$1:$C$987,"Cross Security Trust",Movimientos!$B$1:$B$987,"&lt;="&amp;$B135)</f>
        <v>98169.25999999998</v>
      </c>
      <c r="J135" s="24">
        <f>SUMIFS('Saldos Iniciales'!$D:$D,'Saldos Iniciales'!$A:$A,"Electrama")+SUMIFS(Movimientos!$K$1:$K$987,Movimientos!$C$1:$C$987,"Electrama",Movimientos!$B$1:$B$987,"&lt;="&amp;$B135)</f>
        <v>13270.02</v>
      </c>
      <c r="K135" s="24">
        <f>SUMIFS('Saldos Iniciales'!$D:$D,'Saldos Iniciales'!$A:$A,"Sacred Valley Capital")+SUMIFS(Movimientos!$K$1:$K$987,Movimientos!$C$1:$C$987,"Sacred Valley Capital",Movimientos!$B$1:$B$987,"&lt;="&amp;$B135)</f>
        <v>94.5</v>
      </c>
      <c r="L135" s="24">
        <f>SUMIFS('Saldos Iniciales'!$D:$D,'Saldos Iniciales'!$A:$A,"YWC Capital")+SUMIFS(Movimientos!$K$1:$K$987,Movimientos!$C$1:$C$987,"YWC Capital",Movimientos!$B$1:$B$987,"&lt;="&amp;$B135)</f>
        <v>2147.92</v>
      </c>
      <c r="M135" s="24">
        <f>SUMIFS('Saldos Iniciales'!$D:$D,'Saldos Iniciales'!$A:$A,"Soweto")+SUMIFS(Movimientos!$K$1:$K$987,Movimientos!$C$1:$C$987,"Soweto",Movimientos!$B$1:$B$987,"&lt;="&amp;$B135)</f>
        <v>18005.290000000015</v>
      </c>
      <c r="N135" s="24">
        <f>SUMIFS('Saldos Iniciales'!$D:$D,'Saldos Iniciales'!$A:$A,"Green Stone Trust")+SUMIFS(Movimientos!$K$1:$K$987,Movimientos!$C$1:$C$987,"Green Stone Trust",Movimientos!$B$1:$B$987,"&lt;="&amp;$B135)</f>
        <v>1968.99</v>
      </c>
      <c r="O135" s="24">
        <f>SUMIFS('Saldos Iniciales'!$D:$D,'Saldos Iniciales'!$A:$A,"EC Auto")+SUMIFS(Movimientos!$K$1:$K$987,Movimientos!$C$1:$C$987,"EC Auto",Movimientos!$B$1:$B$987,"&lt;="&amp;$B135)</f>
        <v>901.34</v>
      </c>
      <c r="P135" s="24">
        <f>SUMIFS('Saldos Iniciales'!$D:$D,'Saldos Iniciales'!$A:$A,"Arbor Capital Properties")+SUMIFS(Movimientos!$K$1:$K$987,Movimientos!$C$1:$C$987,"Arbor Capital Properties",Movimientos!$B$1:$B$987,"&lt;="&amp;$B135)</f>
        <v>1380.08</v>
      </c>
      <c r="Q135" s="24">
        <f>SUMIFS('Saldos Iniciales'!$D:$D,'Saldos Iniciales'!$A:$A,"2515 Overbrook")+SUMIFS(Movimientos!$K$1:$K$987,Movimientos!$C$1:$C$987,"2515 Overbrook",Movimientos!$B$1:$B$987,"&lt;="&amp;$B135)</f>
        <v>25027.379999999961</v>
      </c>
      <c r="R135" s="24">
        <f>SUMIFS('Saldos Iniciales'!$D:$D,'Saldos Iniciales'!$A:$A,"112 Florida Ave")+SUMIFS(Movimientos!$K$1:$K$987,Movimientos!$C$1:$C$987,"112 Florida Ave",Movimientos!$B$1:$B$987,"&lt;="&amp;$B135)</f>
        <v>16282.630000000006</v>
      </c>
      <c r="S135" s="24">
        <f>SUMIFS('Saldos Iniciales'!$D:$D,'Saldos Iniciales'!$A:$A,"3628 Thomas Ave")+SUMIFS(Movimientos!$K$1:$K$987,Movimientos!$C$1:$C$987,"3628 Thomas Ave",Movimientos!$B$1:$B$987,"&lt;="&amp;$B135)</f>
        <v>13339.389999999996</v>
      </c>
      <c r="T135" s="24">
        <f>SUMIFS('Saldos Iniciales'!$D:$D,'Saldos Iniciales'!$A:$A,"Green Harbor Trust")+SUMIFS(Movimientos!$K$1:$K$987,Movimientos!$C$1:$C$987,"Green Harbor Trust",Movimientos!$B$1:$B$987,"&lt;="&amp;$B135)</f>
        <v>345</v>
      </c>
      <c r="U135" s="24">
        <f>SUMIFS('Saldos Iniciales'!$D:$D,'Saldos Iniciales'!$A:$A,"Go Blue")+SUMIFS(Movimientos!$K$1:$K$987,Movimientos!$C$1:$C$987,"Go Blue",Movimientos!$B$1:$B$987,"&lt;="&amp;$B135)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Group")+SUMIFS(Movimientos!$K$1:$K$987,Movimientos!$C$1:$C$987,"CFT Group",Movimientos!$B$1:$B$987,"&lt;="&amp;$B136)</f>
        <v>1892967.3900000008</v>
      </c>
      <c r="D136" s="24">
        <f>SUMIFS('Saldos Iniciales'!$D:$D,'Saldos Iniciales'!$A:$A,"M1B")+SUMIFS(Movimientos!$K$1:$K$987,Movimientos!$C$1:$C$987,"M1B",Movimientos!$B$1:$B$987,"&lt;="&amp;$B136)</f>
        <v>93737.970000000176</v>
      </c>
      <c r="E136" s="24">
        <f>SUMIFS('Saldos Iniciales'!$D:$D,'Saldos Iniciales'!$A:$A,"Durand")+SUMIFS(Movimientos!$K$1:$K$987,Movimientos!$C$1:$C$987,"Durand",Movimientos!$B$1:$B$987,"&lt;="&amp;$B136)</f>
        <v>1669.89</v>
      </c>
      <c r="F136" s="24">
        <f>SUMIFS('Saldos Iniciales'!$D:$D,'Saldos Iniciales'!$A:$A,"A&amp;M Imports")+SUMIFS(Movimientos!$K$1:$K$987,Movimientos!$C$1:$C$987,"A&amp;M Imports",Movimientos!$B$1:$B$987,"&lt;="&amp;$B136)</f>
        <v>1089124.99</v>
      </c>
      <c r="G136" s="24">
        <f>SUMIFS('Saldos Iniciales'!$D:$D,'Saldos Iniciales'!$A:$A,"SSP Capital")+SUMIFS(Movimientos!$K$1:$K$987,Movimientos!$C$1:$C$987,"SSP Capital",Movimientos!$B$1:$B$987,"&lt;="&amp;$B136)</f>
        <v>1233789.9099999997</v>
      </c>
      <c r="H136" s="24">
        <f>SUMIFS('Saldos Iniciales'!$D:$D,'Saldos Iniciales'!$A:$A,"Cross Family Trust")+SUMIFS(Movimientos!$K$1:$K$987,Movimientos!$C$1:$C$987,"Cross Family Trust",Movimientos!$B$1:$B$987,"&lt;="&amp;$B136)</f>
        <v>229778.14</v>
      </c>
      <c r="I136" s="24">
        <f>SUMIFS('Saldos Iniciales'!$D:$D,'Saldos Iniciales'!$A:$A,"Cross Security Trust")+SUMIFS(Movimientos!$K$1:$K$987,Movimientos!$C$1:$C$987,"Cross Security Trust",Movimientos!$B$1:$B$987,"&lt;="&amp;$B136)</f>
        <v>98169.25999999998</v>
      </c>
      <c r="J136" s="24">
        <f>SUMIFS('Saldos Iniciales'!$D:$D,'Saldos Iniciales'!$A:$A,"Electrama")+SUMIFS(Movimientos!$K$1:$K$987,Movimientos!$C$1:$C$987,"Electrama",Movimientos!$B$1:$B$987,"&lt;="&amp;$B136)</f>
        <v>13270.02</v>
      </c>
      <c r="K136" s="24">
        <f>SUMIFS('Saldos Iniciales'!$D:$D,'Saldos Iniciales'!$A:$A,"Sacred Valley Capital")+SUMIFS(Movimientos!$K$1:$K$987,Movimientos!$C$1:$C$987,"Sacred Valley Capital",Movimientos!$B$1:$B$987,"&lt;="&amp;$B136)</f>
        <v>94.5</v>
      </c>
      <c r="L136" s="24">
        <f>SUMIFS('Saldos Iniciales'!$D:$D,'Saldos Iniciales'!$A:$A,"YWC Capital")+SUMIFS(Movimientos!$K$1:$K$987,Movimientos!$C$1:$C$987,"YWC Capital",Movimientos!$B$1:$B$987,"&lt;="&amp;$B136)</f>
        <v>2147.92</v>
      </c>
      <c r="M136" s="24">
        <f>SUMIFS('Saldos Iniciales'!$D:$D,'Saldos Iniciales'!$A:$A,"Soweto")+SUMIFS(Movimientos!$K$1:$K$987,Movimientos!$C$1:$C$987,"Soweto",Movimientos!$B$1:$B$987,"&lt;="&amp;$B136)</f>
        <v>18005.290000000015</v>
      </c>
      <c r="N136" s="24">
        <f>SUMIFS('Saldos Iniciales'!$D:$D,'Saldos Iniciales'!$A:$A,"Green Stone Trust")+SUMIFS(Movimientos!$K$1:$K$987,Movimientos!$C$1:$C$987,"Green Stone Trust",Movimientos!$B$1:$B$987,"&lt;="&amp;$B136)</f>
        <v>1968.99</v>
      </c>
      <c r="O136" s="24">
        <f>SUMIFS('Saldos Iniciales'!$D:$D,'Saldos Iniciales'!$A:$A,"EC Auto")+SUMIFS(Movimientos!$K$1:$K$987,Movimientos!$C$1:$C$987,"EC Auto",Movimientos!$B$1:$B$987,"&lt;="&amp;$B136)</f>
        <v>901.34</v>
      </c>
      <c r="P136" s="24">
        <f>SUMIFS('Saldos Iniciales'!$D:$D,'Saldos Iniciales'!$A:$A,"Arbor Capital Properties")+SUMIFS(Movimientos!$K$1:$K$987,Movimientos!$C$1:$C$987,"Arbor Capital Properties",Movimientos!$B$1:$B$987,"&lt;="&amp;$B136)</f>
        <v>1380.08</v>
      </c>
      <c r="Q136" s="24">
        <f>SUMIFS('Saldos Iniciales'!$D:$D,'Saldos Iniciales'!$A:$A,"2515 Overbrook")+SUMIFS(Movimientos!$K$1:$K$987,Movimientos!$C$1:$C$987,"2515 Overbrook",Movimientos!$B$1:$B$987,"&lt;="&amp;$B136)</f>
        <v>25027.379999999961</v>
      </c>
      <c r="R136" s="24">
        <f>SUMIFS('Saldos Iniciales'!$D:$D,'Saldos Iniciales'!$A:$A,"112 Florida Ave")+SUMIFS(Movimientos!$K$1:$K$987,Movimientos!$C$1:$C$987,"112 Florida Ave",Movimientos!$B$1:$B$987,"&lt;="&amp;$B136)</f>
        <v>16282.630000000006</v>
      </c>
      <c r="S136" s="24">
        <f>SUMIFS('Saldos Iniciales'!$D:$D,'Saldos Iniciales'!$A:$A,"3628 Thomas Ave")+SUMIFS(Movimientos!$K$1:$K$987,Movimientos!$C$1:$C$987,"3628 Thomas Ave",Movimientos!$B$1:$B$987,"&lt;="&amp;$B136)</f>
        <v>13339.389999999996</v>
      </c>
      <c r="T136" s="24">
        <f>SUMIFS('Saldos Iniciales'!$D:$D,'Saldos Iniciales'!$A:$A,"Green Harbor Trust")+SUMIFS(Movimientos!$K$1:$K$987,Movimientos!$C$1:$C$987,"Green Harbor Trust",Movimientos!$B$1:$B$987,"&lt;="&amp;$B136)</f>
        <v>345</v>
      </c>
      <c r="U136" s="24">
        <f>SUMIFS('Saldos Iniciales'!$D:$D,'Saldos Iniciales'!$A:$A,"Go Blue")+SUMIFS(Movimientos!$K$1:$K$987,Movimientos!$C$1:$C$987,"Go Blue",Movimientos!$B$1:$B$987,"&lt;="&amp;$B136)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Group")+SUMIFS(Movimientos!$K$1:$K$987,Movimientos!$C$1:$C$987,"CFT Group",Movimientos!$B$1:$B$987,"&lt;="&amp;$B137)</f>
        <v>1892967.3900000008</v>
      </c>
      <c r="D137" s="24">
        <f>SUMIFS('Saldos Iniciales'!$D:$D,'Saldos Iniciales'!$A:$A,"M1B")+SUMIFS(Movimientos!$K$1:$K$987,Movimientos!$C$1:$C$987,"M1B",Movimientos!$B$1:$B$987,"&lt;="&amp;$B137)</f>
        <v>93737.970000000176</v>
      </c>
      <c r="E137" s="24">
        <f>SUMIFS('Saldos Iniciales'!$D:$D,'Saldos Iniciales'!$A:$A,"Durand")+SUMIFS(Movimientos!$K$1:$K$987,Movimientos!$C$1:$C$987,"Durand",Movimientos!$B$1:$B$987,"&lt;="&amp;$B137)</f>
        <v>1669.89</v>
      </c>
      <c r="F137" s="24">
        <f>SUMIFS('Saldos Iniciales'!$D:$D,'Saldos Iniciales'!$A:$A,"A&amp;M Imports")+SUMIFS(Movimientos!$K$1:$K$987,Movimientos!$C$1:$C$987,"A&amp;M Imports",Movimientos!$B$1:$B$987,"&lt;="&amp;$B137)</f>
        <v>1089124.99</v>
      </c>
      <c r="G137" s="24">
        <f>SUMIFS('Saldos Iniciales'!$D:$D,'Saldos Iniciales'!$A:$A,"SSP Capital")+SUMIFS(Movimientos!$K$1:$K$987,Movimientos!$C$1:$C$987,"SSP Capital",Movimientos!$B$1:$B$987,"&lt;="&amp;$B137)</f>
        <v>1233789.9099999997</v>
      </c>
      <c r="H137" s="24">
        <f>SUMIFS('Saldos Iniciales'!$D:$D,'Saldos Iniciales'!$A:$A,"Cross Family Trust")+SUMIFS(Movimientos!$K$1:$K$987,Movimientos!$C$1:$C$987,"Cross Family Trust",Movimientos!$B$1:$B$987,"&lt;="&amp;$B137)</f>
        <v>229778.14</v>
      </c>
      <c r="I137" s="24">
        <f>SUMIFS('Saldos Iniciales'!$D:$D,'Saldos Iniciales'!$A:$A,"Cross Security Trust")+SUMIFS(Movimientos!$K$1:$K$987,Movimientos!$C$1:$C$987,"Cross Security Trust",Movimientos!$B$1:$B$987,"&lt;="&amp;$B137)</f>
        <v>98169.25999999998</v>
      </c>
      <c r="J137" s="24">
        <f>SUMIFS('Saldos Iniciales'!$D:$D,'Saldos Iniciales'!$A:$A,"Electrama")+SUMIFS(Movimientos!$K$1:$K$987,Movimientos!$C$1:$C$987,"Electrama",Movimientos!$B$1:$B$987,"&lt;="&amp;$B137)</f>
        <v>13270.02</v>
      </c>
      <c r="K137" s="24">
        <f>SUMIFS('Saldos Iniciales'!$D:$D,'Saldos Iniciales'!$A:$A,"Sacred Valley Capital")+SUMIFS(Movimientos!$K$1:$K$987,Movimientos!$C$1:$C$987,"Sacred Valley Capital",Movimientos!$B$1:$B$987,"&lt;="&amp;$B137)</f>
        <v>94.5</v>
      </c>
      <c r="L137" s="24">
        <f>SUMIFS('Saldos Iniciales'!$D:$D,'Saldos Iniciales'!$A:$A,"YWC Capital")+SUMIFS(Movimientos!$K$1:$K$987,Movimientos!$C$1:$C$987,"YWC Capital",Movimientos!$B$1:$B$987,"&lt;="&amp;$B137)</f>
        <v>2147.92</v>
      </c>
      <c r="M137" s="24">
        <f>SUMIFS('Saldos Iniciales'!$D:$D,'Saldos Iniciales'!$A:$A,"Soweto")+SUMIFS(Movimientos!$K$1:$K$987,Movimientos!$C$1:$C$987,"Soweto",Movimientos!$B$1:$B$987,"&lt;="&amp;$B137)</f>
        <v>18005.290000000015</v>
      </c>
      <c r="N137" s="24">
        <f>SUMIFS('Saldos Iniciales'!$D:$D,'Saldos Iniciales'!$A:$A,"Green Stone Trust")+SUMIFS(Movimientos!$K$1:$K$987,Movimientos!$C$1:$C$987,"Green Stone Trust",Movimientos!$B$1:$B$987,"&lt;="&amp;$B137)</f>
        <v>1968.99</v>
      </c>
      <c r="O137" s="24">
        <f>SUMIFS('Saldos Iniciales'!$D:$D,'Saldos Iniciales'!$A:$A,"EC Auto")+SUMIFS(Movimientos!$K$1:$K$987,Movimientos!$C$1:$C$987,"EC Auto",Movimientos!$B$1:$B$987,"&lt;="&amp;$B137)</f>
        <v>901.34</v>
      </c>
      <c r="P137" s="24">
        <f>SUMIFS('Saldos Iniciales'!$D:$D,'Saldos Iniciales'!$A:$A,"Arbor Capital Properties")+SUMIFS(Movimientos!$K$1:$K$987,Movimientos!$C$1:$C$987,"Arbor Capital Properties",Movimientos!$B$1:$B$987,"&lt;="&amp;$B137)</f>
        <v>1380.08</v>
      </c>
      <c r="Q137" s="24">
        <f>SUMIFS('Saldos Iniciales'!$D:$D,'Saldos Iniciales'!$A:$A,"2515 Overbrook")+SUMIFS(Movimientos!$K$1:$K$987,Movimientos!$C$1:$C$987,"2515 Overbrook",Movimientos!$B$1:$B$987,"&lt;="&amp;$B137)</f>
        <v>25027.379999999961</v>
      </c>
      <c r="R137" s="24">
        <f>SUMIFS('Saldos Iniciales'!$D:$D,'Saldos Iniciales'!$A:$A,"112 Florida Ave")+SUMIFS(Movimientos!$K$1:$K$987,Movimientos!$C$1:$C$987,"112 Florida Ave",Movimientos!$B$1:$B$987,"&lt;="&amp;$B137)</f>
        <v>16282.630000000006</v>
      </c>
      <c r="S137" s="24">
        <f>SUMIFS('Saldos Iniciales'!$D:$D,'Saldos Iniciales'!$A:$A,"3628 Thomas Ave")+SUMIFS(Movimientos!$K$1:$K$987,Movimientos!$C$1:$C$987,"3628 Thomas Ave",Movimientos!$B$1:$B$987,"&lt;="&amp;$B137)</f>
        <v>13339.389999999996</v>
      </c>
      <c r="T137" s="24">
        <f>SUMIFS('Saldos Iniciales'!$D:$D,'Saldos Iniciales'!$A:$A,"Green Harbor Trust")+SUMIFS(Movimientos!$K$1:$K$987,Movimientos!$C$1:$C$987,"Green Harbor Trust",Movimientos!$B$1:$B$987,"&lt;="&amp;$B137)</f>
        <v>345</v>
      </c>
      <c r="U137" s="24">
        <f>SUMIFS('Saldos Iniciales'!$D:$D,'Saldos Iniciales'!$A:$A,"Go Blue")+SUMIFS(Movimientos!$K$1:$K$987,Movimientos!$C$1:$C$987,"Go Blue",Movimientos!$B$1:$B$987,"&lt;="&amp;$B137)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Group")+SUMIFS(Movimientos!$K$1:$K$987,Movimientos!$C$1:$C$987,"CFT Group",Movimientos!$B$1:$B$987,"&lt;="&amp;$B138)</f>
        <v>2042967.3900000008</v>
      </c>
      <c r="D138" s="24">
        <f>SUMIFS('Saldos Iniciales'!$D:$D,'Saldos Iniciales'!$A:$A,"M1B")+SUMIFS(Movimientos!$K$1:$K$987,Movimientos!$C$1:$C$987,"M1B",Movimientos!$B$1:$B$987,"&lt;="&amp;$B138)</f>
        <v>93737.970000000176</v>
      </c>
      <c r="E138" s="24">
        <f>SUMIFS('Saldos Iniciales'!$D:$D,'Saldos Iniciales'!$A:$A,"Durand")+SUMIFS(Movimientos!$K$1:$K$987,Movimientos!$C$1:$C$987,"Durand",Movimientos!$B$1:$B$987,"&lt;="&amp;$B138)</f>
        <v>1669.89</v>
      </c>
      <c r="F138" s="24">
        <f>SUMIFS('Saldos Iniciales'!$D:$D,'Saldos Iniciales'!$A:$A,"A&amp;M Imports")+SUMIFS(Movimientos!$K$1:$K$987,Movimientos!$C$1:$C$987,"A&amp;M Imports",Movimientos!$B$1:$B$987,"&lt;="&amp;$B138)</f>
        <v>1105910.26</v>
      </c>
      <c r="G138" s="24">
        <f>SUMIFS('Saldos Iniciales'!$D:$D,'Saldos Iniciales'!$A:$A,"SSP Capital")+SUMIFS(Movimientos!$K$1:$K$987,Movimientos!$C$1:$C$987,"SSP Capital",Movimientos!$B$1:$B$987,"&lt;="&amp;$B138)</f>
        <v>1192065.5999999996</v>
      </c>
      <c r="H138" s="24">
        <f>SUMIFS('Saldos Iniciales'!$D:$D,'Saldos Iniciales'!$A:$A,"Cross Family Trust")+SUMIFS(Movimientos!$K$1:$K$987,Movimientos!$C$1:$C$987,"Cross Family Trust",Movimientos!$B$1:$B$987,"&lt;="&amp;$B138)</f>
        <v>229778.14</v>
      </c>
      <c r="I138" s="24">
        <f>SUMIFS('Saldos Iniciales'!$D:$D,'Saldos Iniciales'!$A:$A,"Cross Security Trust")+SUMIFS(Movimientos!$K$1:$K$987,Movimientos!$C$1:$C$987,"Cross Security Trust",Movimientos!$B$1:$B$987,"&lt;="&amp;$B138)</f>
        <v>98169.25999999998</v>
      </c>
      <c r="J138" s="24">
        <f>SUMIFS('Saldos Iniciales'!$D:$D,'Saldos Iniciales'!$A:$A,"Electrama")+SUMIFS(Movimientos!$K$1:$K$987,Movimientos!$C$1:$C$987,"Electrama",Movimientos!$B$1:$B$987,"&lt;="&amp;$B138)</f>
        <v>13270.02</v>
      </c>
      <c r="K138" s="24">
        <f>SUMIFS('Saldos Iniciales'!$D:$D,'Saldos Iniciales'!$A:$A,"Sacred Valley Capital")+SUMIFS(Movimientos!$K$1:$K$987,Movimientos!$C$1:$C$987,"Sacred Valley Capital",Movimientos!$B$1:$B$987,"&lt;="&amp;$B138)</f>
        <v>94.5</v>
      </c>
      <c r="L138" s="24">
        <f>SUMIFS('Saldos Iniciales'!$D:$D,'Saldos Iniciales'!$A:$A,"YWC Capital")+SUMIFS(Movimientos!$K$1:$K$987,Movimientos!$C$1:$C$987,"YWC Capital",Movimientos!$B$1:$B$987,"&lt;="&amp;$B138)</f>
        <v>2147.92</v>
      </c>
      <c r="M138" s="24">
        <f>SUMIFS('Saldos Iniciales'!$D:$D,'Saldos Iniciales'!$A:$A,"Soweto")+SUMIFS(Movimientos!$K$1:$K$987,Movimientos!$C$1:$C$987,"Soweto",Movimientos!$B$1:$B$987,"&lt;="&amp;$B138)</f>
        <v>18005.290000000015</v>
      </c>
      <c r="N138" s="24">
        <f>SUMIFS('Saldos Iniciales'!$D:$D,'Saldos Iniciales'!$A:$A,"Green Stone Trust")+SUMIFS(Movimientos!$K$1:$K$987,Movimientos!$C$1:$C$987,"Green Stone Trust",Movimientos!$B$1:$B$987,"&lt;="&amp;$B138)</f>
        <v>1968.99</v>
      </c>
      <c r="O138" s="24">
        <f>SUMIFS('Saldos Iniciales'!$D:$D,'Saldos Iniciales'!$A:$A,"EC Auto")+SUMIFS(Movimientos!$K$1:$K$987,Movimientos!$C$1:$C$987,"EC Auto",Movimientos!$B$1:$B$987,"&lt;="&amp;$B138)</f>
        <v>901.34</v>
      </c>
      <c r="P138" s="24">
        <f>SUMIFS('Saldos Iniciales'!$D:$D,'Saldos Iniciales'!$A:$A,"Arbor Capital Properties")+SUMIFS(Movimientos!$K$1:$K$987,Movimientos!$C$1:$C$987,"Arbor Capital Properties",Movimientos!$B$1:$B$987,"&lt;="&amp;$B138)</f>
        <v>1380.08</v>
      </c>
      <c r="Q138" s="24">
        <f>SUMIFS('Saldos Iniciales'!$D:$D,'Saldos Iniciales'!$A:$A,"2515 Overbrook")+SUMIFS(Movimientos!$K$1:$K$987,Movimientos!$C$1:$C$987,"2515 Overbrook",Movimientos!$B$1:$B$987,"&lt;="&amp;$B138)</f>
        <v>25027.379999999961</v>
      </c>
      <c r="R138" s="24">
        <f>SUMIFS('Saldos Iniciales'!$D:$D,'Saldos Iniciales'!$A:$A,"112 Florida Ave")+SUMIFS(Movimientos!$K$1:$K$987,Movimientos!$C$1:$C$987,"112 Florida Ave",Movimientos!$B$1:$B$987,"&lt;="&amp;$B138)</f>
        <v>16282.630000000006</v>
      </c>
      <c r="S138" s="24">
        <f>SUMIFS('Saldos Iniciales'!$D:$D,'Saldos Iniciales'!$A:$A,"3628 Thomas Ave")+SUMIFS(Movimientos!$K$1:$K$987,Movimientos!$C$1:$C$987,"3628 Thomas Ave",Movimientos!$B$1:$B$987,"&lt;="&amp;$B138)</f>
        <v>13685.999999999996</v>
      </c>
      <c r="T138" s="24">
        <f>SUMIFS('Saldos Iniciales'!$D:$D,'Saldos Iniciales'!$A:$A,"Green Harbor Trust")+SUMIFS(Movimientos!$K$1:$K$987,Movimientos!$C$1:$C$987,"Green Harbor Trust",Movimientos!$B$1:$B$987,"&lt;="&amp;$B138)</f>
        <v>345</v>
      </c>
      <c r="U138" s="24">
        <f>SUMIFS('Saldos Iniciales'!$D:$D,'Saldos Iniciales'!$A:$A,"Go Blue")+SUMIFS(Movimientos!$K$1:$K$987,Movimientos!$C$1:$C$987,"Go Blue",Movimientos!$B$1:$B$987,"&lt;="&amp;$B138)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Group")+SUMIFS(Movimientos!$K$1:$K$987,Movimientos!$C$1:$C$987,"CFT Group",Movimientos!$B$1:$B$987,"&lt;="&amp;$B139)</f>
        <v>2042967.3900000008</v>
      </c>
      <c r="D139" s="24">
        <f>SUMIFS('Saldos Iniciales'!$D:$D,'Saldos Iniciales'!$A:$A,"M1B")+SUMIFS(Movimientos!$K$1:$K$987,Movimientos!$C$1:$C$987,"M1B",Movimientos!$B$1:$B$987,"&lt;="&amp;$B139)</f>
        <v>100486.46000000017</v>
      </c>
      <c r="E139" s="24">
        <f>SUMIFS('Saldos Iniciales'!$D:$D,'Saldos Iniciales'!$A:$A,"Durand")+SUMIFS(Movimientos!$K$1:$K$987,Movimientos!$C$1:$C$987,"Durand",Movimientos!$B$1:$B$987,"&lt;="&amp;$B139)</f>
        <v>1669.89</v>
      </c>
      <c r="F139" s="24">
        <f>SUMIFS('Saldos Iniciales'!$D:$D,'Saldos Iniciales'!$A:$A,"A&amp;M Imports")+SUMIFS(Movimientos!$K$1:$K$987,Movimientos!$C$1:$C$987,"A&amp;M Imports",Movimientos!$B$1:$B$987,"&lt;="&amp;$B139)</f>
        <v>1105534.6399999999</v>
      </c>
      <c r="G139" s="24">
        <f>SUMIFS('Saldos Iniciales'!$D:$D,'Saldos Iniciales'!$A:$A,"SSP Capital")+SUMIFS(Movimientos!$K$1:$K$987,Movimientos!$C$1:$C$987,"SSP Capital",Movimientos!$B$1:$B$987,"&lt;="&amp;$B139)</f>
        <v>1192036.1899999995</v>
      </c>
      <c r="H139" s="24">
        <f>SUMIFS('Saldos Iniciales'!$D:$D,'Saldos Iniciales'!$A:$A,"Cross Family Trust")+SUMIFS(Movimientos!$K$1:$K$987,Movimientos!$C$1:$C$987,"Cross Family Trust",Movimientos!$B$1:$B$987,"&lt;="&amp;$B139)</f>
        <v>229778.14</v>
      </c>
      <c r="I139" s="24">
        <f>SUMIFS('Saldos Iniciales'!$D:$D,'Saldos Iniciales'!$A:$A,"Cross Security Trust")+SUMIFS(Movimientos!$K$1:$K$987,Movimientos!$C$1:$C$987,"Cross Security Trust",Movimientos!$B$1:$B$987,"&lt;="&amp;$B139)</f>
        <v>98169.25999999998</v>
      </c>
      <c r="J139" s="24">
        <f>SUMIFS('Saldos Iniciales'!$D:$D,'Saldos Iniciales'!$A:$A,"Electrama")+SUMIFS(Movimientos!$K$1:$K$987,Movimientos!$C$1:$C$987,"Electrama",Movimientos!$B$1:$B$987,"&lt;="&amp;$B139)</f>
        <v>13270.02</v>
      </c>
      <c r="K139" s="24">
        <f>SUMIFS('Saldos Iniciales'!$D:$D,'Saldos Iniciales'!$A:$A,"Sacred Valley Capital")+SUMIFS(Movimientos!$K$1:$K$987,Movimientos!$C$1:$C$987,"Sacred Valley Capital",Movimientos!$B$1:$B$987,"&lt;="&amp;$B139)</f>
        <v>94.5</v>
      </c>
      <c r="L139" s="24">
        <f>SUMIFS('Saldos Iniciales'!$D:$D,'Saldos Iniciales'!$A:$A,"YWC Capital")+SUMIFS(Movimientos!$K$1:$K$987,Movimientos!$C$1:$C$987,"YWC Capital",Movimientos!$B$1:$B$987,"&lt;="&amp;$B139)</f>
        <v>2147.92</v>
      </c>
      <c r="M139" s="24">
        <f>SUMIFS('Saldos Iniciales'!$D:$D,'Saldos Iniciales'!$A:$A,"Soweto")+SUMIFS(Movimientos!$K$1:$K$987,Movimientos!$C$1:$C$987,"Soweto",Movimientos!$B$1:$B$987,"&lt;="&amp;$B139)</f>
        <v>18005.290000000015</v>
      </c>
      <c r="N139" s="24">
        <f>SUMIFS('Saldos Iniciales'!$D:$D,'Saldos Iniciales'!$A:$A,"Green Stone Trust")+SUMIFS(Movimientos!$K$1:$K$987,Movimientos!$C$1:$C$987,"Green Stone Trust",Movimientos!$B$1:$B$987,"&lt;="&amp;$B139)</f>
        <v>1968.99</v>
      </c>
      <c r="O139" s="24">
        <f>SUMIFS('Saldos Iniciales'!$D:$D,'Saldos Iniciales'!$A:$A,"EC Auto")+SUMIFS(Movimientos!$K$1:$K$987,Movimientos!$C$1:$C$987,"EC Auto",Movimientos!$B$1:$B$987,"&lt;="&amp;$B139)</f>
        <v>901.34</v>
      </c>
      <c r="P139" s="24">
        <f>SUMIFS('Saldos Iniciales'!$D:$D,'Saldos Iniciales'!$A:$A,"Arbor Capital Properties")+SUMIFS(Movimientos!$K$1:$K$987,Movimientos!$C$1:$C$987,"Arbor Capital Properties",Movimientos!$B$1:$B$987,"&lt;="&amp;$B139)</f>
        <v>1380.08</v>
      </c>
      <c r="Q139" s="24">
        <f>SUMIFS('Saldos Iniciales'!$D:$D,'Saldos Iniciales'!$A:$A,"2515 Overbrook")+SUMIFS(Movimientos!$K$1:$K$987,Movimientos!$C$1:$C$987,"2515 Overbrook",Movimientos!$B$1:$B$987,"&lt;="&amp;$B139)</f>
        <v>25027.379999999961</v>
      </c>
      <c r="R139" s="24">
        <f>SUMIFS('Saldos Iniciales'!$D:$D,'Saldos Iniciales'!$A:$A,"112 Florida Ave")+SUMIFS(Movimientos!$K$1:$K$987,Movimientos!$C$1:$C$987,"112 Florida Ave",Movimientos!$B$1:$B$987,"&lt;="&amp;$B139)</f>
        <v>16282.630000000006</v>
      </c>
      <c r="S139" s="24">
        <f>SUMIFS('Saldos Iniciales'!$D:$D,'Saldos Iniciales'!$A:$A,"3628 Thomas Ave")+SUMIFS(Movimientos!$K$1:$K$987,Movimientos!$C$1:$C$987,"3628 Thomas Ave",Movimientos!$B$1:$B$987,"&lt;="&amp;$B139)</f>
        <v>13685.999999999996</v>
      </c>
      <c r="T139" s="24">
        <f>SUMIFS('Saldos Iniciales'!$D:$D,'Saldos Iniciales'!$A:$A,"Green Harbor Trust")+SUMIFS(Movimientos!$K$1:$K$987,Movimientos!$C$1:$C$987,"Green Harbor Trust",Movimientos!$B$1:$B$987,"&lt;="&amp;$B139)</f>
        <v>345</v>
      </c>
      <c r="U139" s="24">
        <f>SUMIFS('Saldos Iniciales'!$D:$D,'Saldos Iniciales'!$A:$A,"Go Blue")+SUMIFS(Movimientos!$K$1:$K$987,Movimientos!$C$1:$C$987,"Go Blue",Movimientos!$B$1:$B$987,"&lt;="&amp;$B139)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Group")+SUMIFS(Movimientos!$K$1:$K$987,Movimientos!$C$1:$C$987,"CFT Group",Movimientos!$B$1:$B$987,"&lt;="&amp;$B140)</f>
        <v>2042967.3900000008</v>
      </c>
      <c r="D140" s="24">
        <f>SUMIFS('Saldos Iniciales'!$D:$D,'Saldos Iniciales'!$A:$A,"M1B")+SUMIFS(Movimientos!$K$1:$K$987,Movimientos!$C$1:$C$987,"M1B",Movimientos!$B$1:$B$987,"&lt;="&amp;$B140)</f>
        <v>100486.46000000017</v>
      </c>
      <c r="E140" s="24">
        <f>SUMIFS('Saldos Iniciales'!$D:$D,'Saldos Iniciales'!$A:$A,"Durand")+SUMIFS(Movimientos!$K$1:$K$987,Movimientos!$C$1:$C$987,"Durand",Movimientos!$B$1:$B$987,"&lt;="&amp;$B140)</f>
        <v>1669.89</v>
      </c>
      <c r="F140" s="24">
        <f>SUMIFS('Saldos Iniciales'!$D:$D,'Saldos Iniciales'!$A:$A,"A&amp;M Imports")+SUMIFS(Movimientos!$K$1:$K$987,Movimientos!$C$1:$C$987,"A&amp;M Imports",Movimientos!$B$1:$B$987,"&lt;="&amp;$B140)</f>
        <v>1105534.6399999999</v>
      </c>
      <c r="G140" s="24">
        <f>SUMIFS('Saldos Iniciales'!$D:$D,'Saldos Iniciales'!$A:$A,"SSP Capital")+SUMIFS(Movimientos!$K$1:$K$987,Movimientos!$C$1:$C$987,"SSP Capital",Movimientos!$B$1:$B$987,"&lt;="&amp;$B140)</f>
        <v>1189545.8299999996</v>
      </c>
      <c r="H140" s="24">
        <f>SUMIFS('Saldos Iniciales'!$D:$D,'Saldos Iniciales'!$A:$A,"Cross Family Trust")+SUMIFS(Movimientos!$K$1:$K$987,Movimientos!$C$1:$C$987,"Cross Family Trust",Movimientos!$B$1:$B$987,"&lt;="&amp;$B140)</f>
        <v>229778.14</v>
      </c>
      <c r="I140" s="24">
        <f>SUMIFS('Saldos Iniciales'!$D:$D,'Saldos Iniciales'!$A:$A,"Cross Security Trust")+SUMIFS(Movimientos!$K$1:$K$987,Movimientos!$C$1:$C$987,"Cross Security Trust",Movimientos!$B$1:$B$987,"&lt;="&amp;$B140)</f>
        <v>98169.25999999998</v>
      </c>
      <c r="J140" s="24">
        <f>SUMIFS('Saldos Iniciales'!$D:$D,'Saldos Iniciales'!$A:$A,"Electrama")+SUMIFS(Movimientos!$K$1:$K$987,Movimientos!$C$1:$C$987,"Electrama",Movimientos!$B$1:$B$987,"&lt;="&amp;$B140)</f>
        <v>13270.02</v>
      </c>
      <c r="K140" s="24">
        <f>SUMIFS('Saldos Iniciales'!$D:$D,'Saldos Iniciales'!$A:$A,"Sacred Valley Capital")+SUMIFS(Movimientos!$K$1:$K$987,Movimientos!$C$1:$C$987,"Sacred Valley Capital",Movimientos!$B$1:$B$987,"&lt;="&amp;$B140)</f>
        <v>94.5</v>
      </c>
      <c r="L140" s="24">
        <f>SUMIFS('Saldos Iniciales'!$D:$D,'Saldos Iniciales'!$A:$A,"YWC Capital")+SUMIFS(Movimientos!$K$1:$K$987,Movimientos!$C$1:$C$987,"YWC Capital",Movimientos!$B$1:$B$987,"&lt;="&amp;$B140)</f>
        <v>2147.92</v>
      </c>
      <c r="M140" s="24">
        <f>SUMIFS('Saldos Iniciales'!$D:$D,'Saldos Iniciales'!$A:$A,"Soweto")+SUMIFS(Movimientos!$K$1:$K$987,Movimientos!$C$1:$C$987,"Soweto",Movimientos!$B$1:$B$987,"&lt;="&amp;$B140)</f>
        <v>18005.290000000015</v>
      </c>
      <c r="N140" s="24">
        <f>SUMIFS('Saldos Iniciales'!$D:$D,'Saldos Iniciales'!$A:$A,"Green Stone Trust")+SUMIFS(Movimientos!$K$1:$K$987,Movimientos!$C$1:$C$987,"Green Stone Trust",Movimientos!$B$1:$B$987,"&lt;="&amp;$B140)</f>
        <v>1968.99</v>
      </c>
      <c r="O140" s="24">
        <f>SUMIFS('Saldos Iniciales'!$D:$D,'Saldos Iniciales'!$A:$A,"EC Auto")+SUMIFS(Movimientos!$K$1:$K$987,Movimientos!$C$1:$C$987,"EC Auto",Movimientos!$B$1:$B$987,"&lt;="&amp;$B140)</f>
        <v>901.34</v>
      </c>
      <c r="P140" s="24">
        <f>SUMIFS('Saldos Iniciales'!$D:$D,'Saldos Iniciales'!$A:$A,"Arbor Capital Properties")+SUMIFS(Movimientos!$K$1:$K$987,Movimientos!$C$1:$C$987,"Arbor Capital Properties",Movimientos!$B$1:$B$987,"&lt;="&amp;$B140)</f>
        <v>1380.08</v>
      </c>
      <c r="Q140" s="24">
        <f>SUMIFS('Saldos Iniciales'!$D:$D,'Saldos Iniciales'!$A:$A,"2515 Overbrook")+SUMIFS(Movimientos!$K$1:$K$987,Movimientos!$C$1:$C$987,"2515 Overbrook",Movimientos!$B$1:$B$987,"&lt;="&amp;$B140)</f>
        <v>25027.379999999961</v>
      </c>
      <c r="R140" s="24">
        <f>SUMIFS('Saldos Iniciales'!$D:$D,'Saldos Iniciales'!$A:$A,"112 Florida Ave")+SUMIFS(Movimientos!$K$1:$K$987,Movimientos!$C$1:$C$987,"112 Florida Ave",Movimientos!$B$1:$B$987,"&lt;="&amp;$B140)</f>
        <v>16282.630000000006</v>
      </c>
      <c r="S140" s="24">
        <f>SUMIFS('Saldos Iniciales'!$D:$D,'Saldos Iniciales'!$A:$A,"3628 Thomas Ave")+SUMIFS(Movimientos!$K$1:$K$987,Movimientos!$C$1:$C$987,"3628 Thomas Ave",Movimientos!$B$1:$B$987,"&lt;="&amp;$B140)</f>
        <v>13685.999999999996</v>
      </c>
      <c r="T140" s="24">
        <f>SUMIFS('Saldos Iniciales'!$D:$D,'Saldos Iniciales'!$A:$A,"Green Harbor Trust")+SUMIFS(Movimientos!$K$1:$K$987,Movimientos!$C$1:$C$987,"Green Harbor Trust",Movimientos!$B$1:$B$987,"&lt;="&amp;$B140)</f>
        <v>345</v>
      </c>
      <c r="U140" s="24">
        <f>SUMIFS('Saldos Iniciales'!$D:$D,'Saldos Iniciales'!$A:$A,"Go Blue")+SUMIFS(Movimientos!$K$1:$K$987,Movimientos!$C$1:$C$987,"Go Blue",Movimientos!$B$1:$B$987,"&lt;="&amp;$B140)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Group")+SUMIFS(Movimientos!$K$1:$K$987,Movimientos!$C$1:$C$987,"CFT Group",Movimientos!$B$1:$B$987,"&lt;="&amp;$B141)</f>
        <v>1912339.0500000007</v>
      </c>
      <c r="D141" s="24">
        <f>SUMIFS('Saldos Iniciales'!$D:$D,'Saldos Iniciales'!$A:$A,"M1B")+SUMIFS(Movimientos!$K$1:$K$987,Movimientos!$C$1:$C$987,"M1B",Movimientos!$B$1:$B$987,"&lt;="&amp;$B141)</f>
        <v>100486.46000000017</v>
      </c>
      <c r="E141" s="24">
        <f>SUMIFS('Saldos Iniciales'!$D:$D,'Saldos Iniciales'!$A:$A,"Durand")+SUMIFS(Movimientos!$K$1:$K$987,Movimientos!$C$1:$C$987,"Durand",Movimientos!$B$1:$B$987,"&lt;="&amp;$B141)</f>
        <v>1669.89</v>
      </c>
      <c r="F141" s="24">
        <f>SUMIFS('Saldos Iniciales'!$D:$D,'Saldos Iniciales'!$A:$A,"A&amp;M Imports")+SUMIFS(Movimientos!$K$1:$K$987,Movimientos!$C$1:$C$987,"A&amp;M Imports",Movimientos!$B$1:$B$987,"&lt;="&amp;$B141)</f>
        <v>975534.6399999999</v>
      </c>
      <c r="G141" s="24">
        <f>SUMIFS('Saldos Iniciales'!$D:$D,'Saldos Iniciales'!$A:$A,"SSP Capital")+SUMIFS(Movimientos!$K$1:$K$987,Movimientos!$C$1:$C$987,"SSP Capital",Movimientos!$B$1:$B$987,"&lt;="&amp;$B141)</f>
        <v>1070754.1599999997</v>
      </c>
      <c r="H141" s="24">
        <f>SUMIFS('Saldos Iniciales'!$D:$D,'Saldos Iniciales'!$A:$A,"Cross Family Trust")+SUMIFS(Movimientos!$K$1:$K$987,Movimientos!$C$1:$C$987,"Cross Family Trust",Movimientos!$B$1:$B$987,"&lt;="&amp;$B141)</f>
        <v>229778.14</v>
      </c>
      <c r="I141" s="24">
        <f>SUMIFS('Saldos Iniciales'!$D:$D,'Saldos Iniciales'!$A:$A,"Cross Security Trust")+SUMIFS(Movimientos!$K$1:$K$987,Movimientos!$C$1:$C$987,"Cross Security Trust",Movimientos!$B$1:$B$987,"&lt;="&amp;$B141)</f>
        <v>98169.25999999998</v>
      </c>
      <c r="J141" s="24">
        <f>SUMIFS('Saldos Iniciales'!$D:$D,'Saldos Iniciales'!$A:$A,"Electrama")+SUMIFS(Movimientos!$K$1:$K$987,Movimientos!$C$1:$C$987,"Electrama",Movimientos!$B$1:$B$987,"&lt;="&amp;$B141)</f>
        <v>13270.02</v>
      </c>
      <c r="K141" s="24">
        <f>SUMIFS('Saldos Iniciales'!$D:$D,'Saldos Iniciales'!$A:$A,"Sacred Valley Capital")+SUMIFS(Movimientos!$K$1:$K$987,Movimientos!$C$1:$C$987,"Sacred Valley Capital",Movimientos!$B$1:$B$987,"&lt;="&amp;$B141)</f>
        <v>94.5</v>
      </c>
      <c r="L141" s="24">
        <f>SUMIFS('Saldos Iniciales'!$D:$D,'Saldos Iniciales'!$A:$A,"YWC Capital")+SUMIFS(Movimientos!$K$1:$K$987,Movimientos!$C$1:$C$987,"YWC Capital",Movimientos!$B$1:$B$987,"&lt;="&amp;$B141)</f>
        <v>2147.92</v>
      </c>
      <c r="M141" s="24">
        <f>SUMIFS('Saldos Iniciales'!$D:$D,'Saldos Iniciales'!$A:$A,"Soweto")+SUMIFS(Movimientos!$K$1:$K$987,Movimientos!$C$1:$C$987,"Soweto",Movimientos!$B$1:$B$987,"&lt;="&amp;$B141)</f>
        <v>18005.290000000015</v>
      </c>
      <c r="N141" s="24">
        <f>SUMIFS('Saldos Iniciales'!$D:$D,'Saldos Iniciales'!$A:$A,"Green Stone Trust")+SUMIFS(Movimientos!$K$1:$K$987,Movimientos!$C$1:$C$987,"Green Stone Trust",Movimientos!$B$1:$B$987,"&lt;="&amp;$B141)</f>
        <v>1968.99</v>
      </c>
      <c r="O141" s="24">
        <f>SUMIFS('Saldos Iniciales'!$D:$D,'Saldos Iniciales'!$A:$A,"EC Auto")+SUMIFS(Movimientos!$K$1:$K$987,Movimientos!$C$1:$C$987,"EC Auto",Movimientos!$B$1:$B$987,"&lt;="&amp;$B141)</f>
        <v>901.34</v>
      </c>
      <c r="P141" s="24">
        <f>SUMIFS('Saldos Iniciales'!$D:$D,'Saldos Iniciales'!$A:$A,"Arbor Capital Properties")+SUMIFS(Movimientos!$K$1:$K$987,Movimientos!$C$1:$C$987,"Arbor Capital Properties",Movimientos!$B$1:$B$987,"&lt;="&amp;$B141)</f>
        <v>1380.08</v>
      </c>
      <c r="Q141" s="24">
        <f>SUMIFS('Saldos Iniciales'!$D:$D,'Saldos Iniciales'!$A:$A,"2515 Overbrook")+SUMIFS(Movimientos!$K$1:$K$987,Movimientos!$C$1:$C$987,"2515 Overbrook",Movimientos!$B$1:$B$987,"&lt;="&amp;$B141)</f>
        <v>25027.379999999961</v>
      </c>
      <c r="R141" s="24">
        <f>SUMIFS('Saldos Iniciales'!$D:$D,'Saldos Iniciales'!$A:$A,"112 Florida Ave")+SUMIFS(Movimientos!$K$1:$K$987,Movimientos!$C$1:$C$987,"112 Florida Ave",Movimientos!$B$1:$B$987,"&lt;="&amp;$B141)</f>
        <v>16282.630000000006</v>
      </c>
      <c r="S141" s="24">
        <f>SUMIFS('Saldos Iniciales'!$D:$D,'Saldos Iniciales'!$A:$A,"3628 Thomas Ave")+SUMIFS(Movimientos!$K$1:$K$987,Movimientos!$C$1:$C$987,"3628 Thomas Ave",Movimientos!$B$1:$B$987,"&lt;="&amp;$B141)</f>
        <v>13685.999999999996</v>
      </c>
      <c r="T141" s="24">
        <f>SUMIFS('Saldos Iniciales'!$D:$D,'Saldos Iniciales'!$A:$A,"Green Harbor Trust")+SUMIFS(Movimientos!$K$1:$K$987,Movimientos!$C$1:$C$987,"Green Harbor Trust",Movimientos!$B$1:$B$987,"&lt;="&amp;$B141)</f>
        <v>345</v>
      </c>
      <c r="U141" s="24">
        <f>SUMIFS('Saldos Iniciales'!$D:$D,'Saldos Iniciales'!$A:$A,"Go Blue")+SUMIFS(Movimientos!$K$1:$K$987,Movimientos!$C$1:$C$987,"Go Blue",Movimientos!$B$1:$B$987,"&lt;="&amp;$B141)</f>
        <v>16164.440000000002</v>
      </c>
      <c r="V141" s="25">
        <f t="shared" ref="V141" si="36">SUM(C141:U141)</f>
        <v>4498005.1900000004</v>
      </c>
    </row>
  </sheetData>
  <conditionalFormatting sqref="C2:V141">
    <cfRule type="cellIs" dxfId="4" priority="1" operator="lessThan">
      <formula>0</formula>
    </cfRule>
  </conditionalFormatting>
  <conditionalFormatting sqref="V2:V14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661"/>
  <sheetViews>
    <sheetView zoomScale="80" zoomScaleNormal="80" workbookViewId="0">
      <pane ySplit="1" topLeftCell="A2" activePane="bottomLeft" state="frozen"/>
      <selection pane="bottomLeft" activeCell="I7" sqref="I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1064727.47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635892.87999999989</v>
      </c>
    </row>
    <row r="595" spans="1:4" x14ac:dyDescent="0.3">
      <c r="A595" s="82" t="s">
        <v>21</v>
      </c>
      <c r="B595" s="82"/>
      <c r="C595" s="16">
        <v>46174</v>
      </c>
      <c r="D595">
        <v>1030143.7899999993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1064727.47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635892.87999999989</v>
      </c>
    </row>
    <row r="614" spans="1:4" x14ac:dyDescent="0.3">
      <c r="A614" s="82" t="s">
        <v>21</v>
      </c>
      <c r="B614" s="82"/>
      <c r="C614" s="16">
        <v>46175</v>
      </c>
      <c r="D614">
        <v>1030143.7899999993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1064727.47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635892.87999999989</v>
      </c>
    </row>
    <row r="633" spans="1:4" x14ac:dyDescent="0.3">
      <c r="A633" s="82" t="s">
        <v>21</v>
      </c>
      <c r="B633" s="82"/>
      <c r="C633" s="16">
        <v>46176</v>
      </c>
      <c r="D633">
        <v>1029853.7799999993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814727.47000000009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560584.99999999988</v>
      </c>
    </row>
    <row r="652" spans="1:4" x14ac:dyDescent="0.3">
      <c r="A652" s="82" t="s">
        <v>21</v>
      </c>
      <c r="B652" s="82"/>
      <c r="C652" s="16">
        <v>46177</v>
      </c>
      <c r="D652">
        <v>1185956.5699999994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814727.47000000009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560584.99999999988</v>
      </c>
    </row>
    <row r="671" spans="1:4" x14ac:dyDescent="0.3">
      <c r="A671" s="82" t="s">
        <v>21</v>
      </c>
      <c r="B671" s="82"/>
      <c r="C671" s="16">
        <v>46178</v>
      </c>
      <c r="D671">
        <v>1178270.4399999992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814727.47000000009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560584.99999999988</v>
      </c>
    </row>
    <row r="690" spans="1:4" x14ac:dyDescent="0.3">
      <c r="A690" s="82" t="s">
        <v>21</v>
      </c>
      <c r="B690" s="82"/>
      <c r="C690" s="16">
        <v>46179</v>
      </c>
      <c r="D690">
        <v>1178270.4399999992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814727.47000000009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560584.99999999988</v>
      </c>
    </row>
    <row r="709" spans="1:4" x14ac:dyDescent="0.3">
      <c r="A709" s="82" t="s">
        <v>21</v>
      </c>
      <c r="B709" s="82"/>
      <c r="C709" s="16">
        <v>46180</v>
      </c>
      <c r="D709">
        <v>1178270.4399999992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814727.47000000009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560584.99999999988</v>
      </c>
    </row>
    <row r="728" spans="1:4" x14ac:dyDescent="0.3">
      <c r="A728" s="82" t="s">
        <v>21</v>
      </c>
      <c r="B728" s="82"/>
      <c r="C728" s="16">
        <v>46181</v>
      </c>
      <c r="D728">
        <v>1178270.4399999992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928714.62000000011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560584.99999999988</v>
      </c>
    </row>
    <row r="747" spans="1:4" x14ac:dyDescent="0.3">
      <c r="A747" s="82" t="s">
        <v>21</v>
      </c>
      <c r="B747" s="82"/>
      <c r="C747" s="16">
        <v>46182</v>
      </c>
      <c r="D747">
        <v>1174516.1699999992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2370079.2799999998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575346.56999999983</v>
      </c>
    </row>
    <row r="766" spans="1:4" x14ac:dyDescent="0.3">
      <c r="A766" s="82" t="s">
        <v>21</v>
      </c>
      <c r="B766" s="82"/>
      <c r="C766" s="16">
        <v>46183</v>
      </c>
      <c r="D766">
        <v>1174516.1699999992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1919118.1700000002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395665.96999999986</v>
      </c>
    </row>
    <row r="785" spans="1:4" x14ac:dyDescent="0.3">
      <c r="A785" s="82" t="s">
        <v>21</v>
      </c>
      <c r="B785" s="82"/>
      <c r="C785" s="16">
        <v>46184</v>
      </c>
      <c r="D785">
        <v>808973.94999999925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1919118.1700000002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395665.96999999986</v>
      </c>
    </row>
    <row r="804" spans="1:4" x14ac:dyDescent="0.3">
      <c r="A804" s="82" t="s">
        <v>21</v>
      </c>
      <c r="B804" s="82"/>
      <c r="C804" s="16">
        <v>46185</v>
      </c>
      <c r="D804">
        <v>3777590.9499999997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1919118.1700000002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395665.96999999986</v>
      </c>
    </row>
    <row r="823" spans="1:4" x14ac:dyDescent="0.3">
      <c r="A823" s="82" t="s">
        <v>21</v>
      </c>
      <c r="B823" s="82"/>
      <c r="C823" s="16">
        <v>46186</v>
      </c>
      <c r="D823">
        <v>3777590.9499999997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1919118.1700000002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395665.96999999986</v>
      </c>
    </row>
    <row r="842" spans="1:4" x14ac:dyDescent="0.3">
      <c r="A842" s="82" t="s">
        <v>21</v>
      </c>
      <c r="B842" s="82"/>
      <c r="C842" s="16">
        <v>46187</v>
      </c>
      <c r="D842">
        <v>3777590.9499999997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1067309.2700000003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334944.56999999983</v>
      </c>
    </row>
    <row r="861" spans="1:4" x14ac:dyDescent="0.3">
      <c r="A861" s="82" t="s">
        <v>21</v>
      </c>
      <c r="B861" s="82"/>
      <c r="C861" s="16">
        <v>46188</v>
      </c>
      <c r="D861">
        <v>3345979.36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1167692.0800000003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334944.56999999983</v>
      </c>
    </row>
    <row r="880" spans="1:4" x14ac:dyDescent="0.3">
      <c r="A880" s="82" t="s">
        <v>21</v>
      </c>
      <c r="B880" s="82"/>
      <c r="C880" s="16">
        <v>46189</v>
      </c>
      <c r="D880">
        <v>3343489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1179692.0800000003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334944.56999999983</v>
      </c>
    </row>
    <row r="899" spans="1:4" x14ac:dyDescent="0.3">
      <c r="A899" s="82" t="s">
        <v>21</v>
      </c>
      <c r="B899" s="82"/>
      <c r="C899" s="16">
        <v>46190</v>
      </c>
      <c r="D899">
        <v>3341105.51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1179692.0800000003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334944.56999999983</v>
      </c>
    </row>
    <row r="918" spans="1:4" x14ac:dyDescent="0.3">
      <c r="A918" s="82" t="s">
        <v>21</v>
      </c>
      <c r="B918" s="82"/>
      <c r="C918" s="16">
        <v>46191</v>
      </c>
      <c r="D918">
        <v>3340938.8499999996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1179692.0800000003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334944.56999999983</v>
      </c>
    </row>
    <row r="937" spans="1:4" x14ac:dyDescent="0.3">
      <c r="A937" s="82" t="s">
        <v>21</v>
      </c>
      <c r="B937" s="82"/>
      <c r="C937" s="16">
        <v>46192</v>
      </c>
      <c r="D937">
        <v>3340938.8499999996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1179692.0800000003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334944.56999999983</v>
      </c>
    </row>
    <row r="956" spans="1:4" x14ac:dyDescent="0.3">
      <c r="A956" s="82" t="s">
        <v>21</v>
      </c>
      <c r="B956" s="82"/>
      <c r="C956" s="16">
        <v>46193</v>
      </c>
      <c r="D956">
        <v>3340938.8499999996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1179692.0800000003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334944.56999999983</v>
      </c>
    </row>
    <row r="975" spans="1:4" x14ac:dyDescent="0.3">
      <c r="A975" s="82" t="s">
        <v>21</v>
      </c>
      <c r="B975" s="82"/>
      <c r="C975" s="16">
        <v>46194</v>
      </c>
      <c r="D975">
        <v>3340938.8499999996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7694665.4700000007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334944.56999999983</v>
      </c>
    </row>
    <row r="994" spans="1:4" x14ac:dyDescent="0.3">
      <c r="A994" s="82" t="s">
        <v>21</v>
      </c>
      <c r="B994" s="82"/>
      <c r="C994" s="16">
        <v>46195</v>
      </c>
      <c r="D994">
        <v>3340110.8099999996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7757074.9200000009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334944.56999999983</v>
      </c>
    </row>
    <row r="1013" spans="1:4" x14ac:dyDescent="0.3">
      <c r="A1013" s="82" t="s">
        <v>21</v>
      </c>
      <c r="B1013" s="82"/>
      <c r="C1013" s="16">
        <v>46196</v>
      </c>
      <c r="D1013">
        <v>3340110.8099999996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7824144.040000001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363806.48999999987</v>
      </c>
    </row>
    <row r="1032" spans="1:4" x14ac:dyDescent="0.3">
      <c r="A1032" s="82" t="s">
        <v>21</v>
      </c>
      <c r="B1032" s="82"/>
      <c r="C1032" s="16">
        <v>46197</v>
      </c>
      <c r="D1032">
        <v>3340110.8099999996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6380269.040000001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303806.48999999982</v>
      </c>
    </row>
    <row r="1051" spans="1:4" x14ac:dyDescent="0.3">
      <c r="A1051" s="82" t="s">
        <v>21</v>
      </c>
      <c r="B1051" s="82"/>
      <c r="C1051" s="16">
        <v>46198</v>
      </c>
      <c r="D1051">
        <v>1947394.8299999994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6369389.040000001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303806.48999999982</v>
      </c>
    </row>
    <row r="1070" spans="1:4" x14ac:dyDescent="0.3">
      <c r="A1070" s="82" t="s">
        <v>21</v>
      </c>
      <c r="B1070" s="82"/>
      <c r="C1070" s="16">
        <v>46199</v>
      </c>
      <c r="D1070">
        <v>1946631.8399999994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6369389.040000001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303806.48999999982</v>
      </c>
    </row>
    <row r="1089" spans="1:4" x14ac:dyDescent="0.3">
      <c r="A1089" s="82" t="s">
        <v>21</v>
      </c>
      <c r="B1089" s="82"/>
      <c r="C1089" s="16">
        <v>46200</v>
      </c>
      <c r="D1089">
        <v>1946631.8399999994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6369389.040000001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303806.48999999982</v>
      </c>
    </row>
    <row r="1108" spans="1:4" x14ac:dyDescent="0.3">
      <c r="A1108" s="82" t="s">
        <v>21</v>
      </c>
      <c r="B1108" s="82"/>
      <c r="C1108" s="16">
        <v>46201</v>
      </c>
      <c r="D1108">
        <v>1946631.8399999994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6380508.1400000015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320785.3899999999</v>
      </c>
    </row>
    <row r="1127" spans="1:4" x14ac:dyDescent="0.3">
      <c r="A1127" s="82" t="s">
        <v>21</v>
      </c>
      <c r="B1127" s="82"/>
      <c r="C1127" s="16">
        <v>46202</v>
      </c>
      <c r="D1127">
        <v>1782410.0399999993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6376919.080000001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320785.3899999999</v>
      </c>
    </row>
    <row r="1146" spans="1:4" x14ac:dyDescent="0.3">
      <c r="A1146" s="82" t="s">
        <v>21</v>
      </c>
      <c r="B1146" s="82"/>
      <c r="C1146" s="16">
        <v>46203</v>
      </c>
      <c r="D1146">
        <v>1710526.8499999994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6376919.080000001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338976.1399999999</v>
      </c>
    </row>
    <row r="1165" spans="1:4" x14ac:dyDescent="0.3">
      <c r="A1165" s="82" t="s">
        <v>21</v>
      </c>
      <c r="B1165" s="82"/>
      <c r="C1165" s="16">
        <v>46204</v>
      </c>
      <c r="D1165">
        <v>1710526.8499999994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5673919.080000001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181515.38999999987</v>
      </c>
    </row>
    <row r="1184" spans="1:4" x14ac:dyDescent="0.3">
      <c r="A1184" s="82" t="s">
        <v>21</v>
      </c>
      <c r="B1184" s="82"/>
      <c r="C1184" s="16">
        <v>46205</v>
      </c>
      <c r="D1184">
        <v>1775806.9999999995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28485.559999999998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5673919.080000001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181515.38999999987</v>
      </c>
    </row>
    <row r="1203" spans="1:4" x14ac:dyDescent="0.3">
      <c r="A1203" s="82" t="s">
        <v>21</v>
      </c>
      <c r="B1203" s="82"/>
      <c r="C1203" s="16">
        <v>46206</v>
      </c>
      <c r="D1203">
        <v>1775806.9999999995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28485.559999999998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5673919.080000001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181515.38999999987</v>
      </c>
    </row>
    <row r="1222" spans="1:4" x14ac:dyDescent="0.3">
      <c r="A1222" s="82" t="s">
        <v>21</v>
      </c>
      <c r="B1222" s="82"/>
      <c r="C1222" s="16">
        <v>46207</v>
      </c>
      <c r="D1222">
        <v>1775806.9999999995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28485.559999999998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5673919.080000001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181515.38999999987</v>
      </c>
    </row>
    <row r="1241" spans="1:4" x14ac:dyDescent="0.3">
      <c r="A1241" s="82" t="s">
        <v>21</v>
      </c>
      <c r="B1241" s="82"/>
      <c r="C1241" s="16">
        <v>46208</v>
      </c>
      <c r="D1241">
        <v>1775806.9999999995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28485.559999999998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5673919.080000001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181515.38999999987</v>
      </c>
    </row>
    <row r="1260" spans="1:4" x14ac:dyDescent="0.3">
      <c r="A1260" s="82" t="s">
        <v>21</v>
      </c>
      <c r="B1260" s="82"/>
      <c r="C1260" s="16">
        <v>46209</v>
      </c>
      <c r="D1260">
        <v>1775268.5799999994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28485.559999999998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5673919.080000001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181515.38999999987</v>
      </c>
    </row>
    <row r="1279" spans="1:4" x14ac:dyDescent="0.3">
      <c r="A1279" s="82" t="s">
        <v>21</v>
      </c>
      <c r="B1279" s="82"/>
      <c r="C1279" s="16">
        <v>46210</v>
      </c>
      <c r="D1279">
        <v>1775268.5799999994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28485.559999999998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5673919.080000001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181515.38999999987</v>
      </c>
    </row>
    <row r="1298" spans="1:4" x14ac:dyDescent="0.3">
      <c r="A1298" s="82" t="s">
        <v>21</v>
      </c>
      <c r="B1298" s="82"/>
      <c r="C1298" s="16">
        <v>46211</v>
      </c>
      <c r="D1298">
        <v>1765937.9599999995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28485.559999999998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4459277.4100000011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121515.38999999987</v>
      </c>
    </row>
    <row r="1317" spans="1:4" x14ac:dyDescent="0.3">
      <c r="A1317" s="82" t="s">
        <v>21</v>
      </c>
      <c r="B1317" s="82"/>
      <c r="C1317" s="16">
        <v>46212</v>
      </c>
      <c r="D1317">
        <v>2133835.0599999996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28485.559999999998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4245089.080000001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121181.38999999987</v>
      </c>
    </row>
    <row r="1336" spans="1:4" x14ac:dyDescent="0.3">
      <c r="A1336" s="82" t="s">
        <v>21</v>
      </c>
      <c r="B1336" s="82"/>
      <c r="C1336" s="16">
        <v>46213</v>
      </c>
      <c r="D1336">
        <v>1935994.3899999992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28485.559999999998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4245089.080000001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121181.38999999987</v>
      </c>
    </row>
    <row r="1355" spans="1:4" x14ac:dyDescent="0.3">
      <c r="A1355" s="82" t="s">
        <v>21</v>
      </c>
      <c r="B1355" s="82"/>
      <c r="C1355" s="16">
        <v>46214</v>
      </c>
      <c r="D1355">
        <v>1935994.3899999992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28485.559999999998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4245089.080000001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121181.38999999987</v>
      </c>
    </row>
    <row r="1374" spans="1:4" x14ac:dyDescent="0.3">
      <c r="A1374" s="82" t="s">
        <v>21</v>
      </c>
      <c r="B1374" s="82"/>
      <c r="C1374" s="16">
        <v>46215</v>
      </c>
      <c r="D1374">
        <v>1935994.3899999992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28485.559999999998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4245089.080000001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121181.38999999987</v>
      </c>
    </row>
    <row r="1393" spans="1:4" x14ac:dyDescent="0.3">
      <c r="A1393" s="82" t="s">
        <v>21</v>
      </c>
      <c r="B1393" s="82"/>
      <c r="C1393" s="16">
        <v>46216</v>
      </c>
      <c r="D1393">
        <v>1935994.3899999992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28485.559999999998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3445089.0800000005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921181.38999999978</v>
      </c>
    </row>
    <row r="1412" spans="1:4" x14ac:dyDescent="0.3">
      <c r="A1412" s="82" t="s">
        <v>21</v>
      </c>
      <c r="B1412" s="82"/>
      <c r="C1412" s="16">
        <v>46217</v>
      </c>
      <c r="D1412">
        <v>1870785.0099999993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28485.559999999998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3445089.0800000005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920844.50999999978</v>
      </c>
    </row>
    <row r="1431" spans="1:4" x14ac:dyDescent="0.3">
      <c r="A1431" s="82" t="s">
        <v>21</v>
      </c>
      <c r="B1431" s="82"/>
      <c r="C1431" s="16">
        <v>46218</v>
      </c>
      <c r="D1431">
        <v>1870755.5699999994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28485.559999999998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3191672.4000000008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860844.50999999978</v>
      </c>
    </row>
    <row r="1450" spans="1:4" x14ac:dyDescent="0.3">
      <c r="A1450" s="82" t="s">
        <v>21</v>
      </c>
      <c r="B1450" s="82"/>
      <c r="C1450" s="16">
        <v>46219</v>
      </c>
      <c r="D1450">
        <v>1692431.8699999994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28485.559999999998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3191672.4000000008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860844.50999999978</v>
      </c>
    </row>
    <row r="1469" spans="1:4" x14ac:dyDescent="0.3">
      <c r="A1469" s="82" t="s">
        <v>21</v>
      </c>
      <c r="B1469" s="82"/>
      <c r="C1469" s="16">
        <v>46220</v>
      </c>
      <c r="D1469">
        <v>1762431.8699999994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28485.559999999998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3191672.4000000008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860844.50999999978</v>
      </c>
    </row>
    <row r="1488" spans="1:4" x14ac:dyDescent="0.3">
      <c r="A1488" s="82" t="s">
        <v>21</v>
      </c>
      <c r="B1488" s="82"/>
      <c r="C1488" s="16">
        <v>46221</v>
      </c>
      <c r="D1488">
        <v>1762431.8699999994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28485.559999999998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3191672.4000000008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860844.50999999978</v>
      </c>
    </row>
    <row r="1507" spans="1:4" x14ac:dyDescent="0.3">
      <c r="A1507" s="82" t="s">
        <v>21</v>
      </c>
      <c r="B1507" s="82"/>
      <c r="C1507" s="16">
        <v>46222</v>
      </c>
      <c r="D1507">
        <v>1762431.8699999994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28485.559999999998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3191672.4000000008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860844.50999999978</v>
      </c>
    </row>
    <row r="1526" spans="1:4" x14ac:dyDescent="0.3">
      <c r="A1526" s="82" t="s">
        <v>21</v>
      </c>
      <c r="B1526" s="82"/>
      <c r="C1526" s="16">
        <v>46223</v>
      </c>
      <c r="D1526">
        <v>1758499.9899999993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28485.559999999998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3191672.4000000008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860844.50999999978</v>
      </c>
    </row>
    <row r="1545" spans="1:4" x14ac:dyDescent="0.3">
      <c r="A1545" s="82" t="s">
        <v>21</v>
      </c>
      <c r="B1545" s="82"/>
      <c r="C1545" s="16">
        <v>46224</v>
      </c>
      <c r="D1545">
        <v>1758499.9899999993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28485.559999999998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2337089.0700000008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833794.74999999977</v>
      </c>
    </row>
    <row r="1564" spans="1:4" x14ac:dyDescent="0.3">
      <c r="A1564" s="82" t="s">
        <v>21</v>
      </c>
      <c r="B1564" s="82"/>
      <c r="C1564" s="16">
        <v>46225</v>
      </c>
      <c r="D1564">
        <v>2037119.9899999995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28485.559999999998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2337084.0700000008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873784.44999999972</v>
      </c>
    </row>
    <row r="1583" spans="1:4" x14ac:dyDescent="0.3">
      <c r="A1583" s="82" t="s">
        <v>21</v>
      </c>
      <c r="B1583" s="82"/>
      <c r="C1583" s="16">
        <v>46226</v>
      </c>
      <c r="D1583">
        <v>2037119.9899999995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28485.559999999998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2337084.0700000008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873784.44999999972</v>
      </c>
    </row>
    <row r="1602" spans="1:4" x14ac:dyDescent="0.3">
      <c r="A1602" s="82" t="s">
        <v>21</v>
      </c>
      <c r="B1602" s="82"/>
      <c r="C1602" s="16">
        <v>46227</v>
      </c>
      <c r="D1602">
        <v>2037119.9899999995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28485.559999999998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2337084.0700000008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873784.44999999972</v>
      </c>
    </row>
    <row r="1621" spans="1:4" x14ac:dyDescent="0.3">
      <c r="A1621" s="82" t="s">
        <v>21</v>
      </c>
      <c r="B1621" s="82"/>
      <c r="C1621" s="16">
        <v>46228</v>
      </c>
      <c r="D1621">
        <v>2037119.9899999995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28485.559999999998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2337084.0700000008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873784.44999999972</v>
      </c>
    </row>
    <row r="1640" spans="1:4" x14ac:dyDescent="0.3">
      <c r="A1640" s="82" t="s">
        <v>21</v>
      </c>
      <c r="B1640" s="82"/>
      <c r="C1640" s="16">
        <v>46229</v>
      </c>
      <c r="D1640">
        <v>2037119.9899999995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28485.559999999998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2337084.0700000008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1223784.4499999997</v>
      </c>
    </row>
    <row r="1659" spans="1:4" x14ac:dyDescent="0.3">
      <c r="A1659" s="82" t="s">
        <v>21</v>
      </c>
      <c r="B1659" s="82"/>
      <c r="C1659" s="16">
        <v>46230</v>
      </c>
      <c r="D1659">
        <v>2037119.9899999995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28485.559999999998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2337084.0700000008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1246676.4999999998</v>
      </c>
    </row>
    <row r="1678" spans="1:4" x14ac:dyDescent="0.3">
      <c r="A1678" s="82" t="s">
        <v>21</v>
      </c>
      <c r="B1678" s="82"/>
      <c r="C1678" s="16">
        <v>46231</v>
      </c>
      <c r="D1678">
        <v>1872239.2199999997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28485.559999999998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2351872.4600000004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1265674.3599999999</v>
      </c>
    </row>
    <row r="1697" spans="1:4" x14ac:dyDescent="0.3">
      <c r="A1697" s="82" t="s">
        <v>21</v>
      </c>
      <c r="B1697" s="82"/>
      <c r="C1697" s="16">
        <v>46232</v>
      </c>
      <c r="D1697">
        <v>1872239.2199999997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28485.559999999998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2551684.0300000003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1289465.7999999998</v>
      </c>
    </row>
    <row r="1716" spans="1:4" x14ac:dyDescent="0.3">
      <c r="A1716" s="82" t="s">
        <v>21</v>
      </c>
      <c r="B1716" s="82"/>
      <c r="C1716" s="16">
        <v>46233</v>
      </c>
      <c r="D1716">
        <v>1872235.9699999997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28485.559999999998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2549365.41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1289465.7999999998</v>
      </c>
    </row>
    <row r="1735" spans="1:4" x14ac:dyDescent="0.3">
      <c r="A1735" s="82" t="s">
        <v>21</v>
      </c>
      <c r="B1735" s="82"/>
      <c r="C1735" s="16">
        <v>46234</v>
      </c>
      <c r="D1735">
        <v>1528719.2399999995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28485.559999999998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2549365.41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1289465.7999999998</v>
      </c>
    </row>
    <row r="1754" spans="1:4" x14ac:dyDescent="0.3">
      <c r="A1754" s="82" t="s">
        <v>21</v>
      </c>
      <c r="B1754" s="82"/>
      <c r="C1754" s="16">
        <v>46235</v>
      </c>
      <c r="D1754">
        <v>1528719.2399999995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28485.559999999998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2549365.41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1289465.7999999998</v>
      </c>
    </row>
    <row r="1773" spans="1:4" x14ac:dyDescent="0.3">
      <c r="A1773" s="82" t="s">
        <v>21</v>
      </c>
      <c r="B1773" s="82"/>
      <c r="C1773" s="16">
        <v>46236</v>
      </c>
      <c r="D1773">
        <v>1528719.2399999995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28485.559999999998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2549365.41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1289465.7999999998</v>
      </c>
    </row>
    <row r="1792" spans="1:4" x14ac:dyDescent="0.3">
      <c r="A1792" s="82" t="s">
        <v>21</v>
      </c>
      <c r="B1792" s="82"/>
      <c r="C1792" s="16">
        <v>46237</v>
      </c>
      <c r="D1792">
        <v>1528719.2399999995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15106.099999999997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2549365.41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1289465.7999999998</v>
      </c>
    </row>
    <row r="1811" spans="1:4" x14ac:dyDescent="0.3">
      <c r="A1811" s="82" t="s">
        <v>21</v>
      </c>
      <c r="B1811" s="82"/>
      <c r="C1811" s="16">
        <v>46238</v>
      </c>
      <c r="D1811">
        <v>1528109.5399999996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15106.099999999997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2549365.41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1283465.7999999998</v>
      </c>
    </row>
    <row r="1830" spans="1:4" x14ac:dyDescent="0.3">
      <c r="A1830" s="82" t="s">
        <v>21</v>
      </c>
      <c r="B1830" s="82"/>
      <c r="C1830" s="16">
        <v>46239</v>
      </c>
      <c r="D1830">
        <v>1526429.7599999995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14540.45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15106.099999999997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1234723.7400000002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1180491.7</v>
      </c>
    </row>
    <row r="1849" spans="1:4" x14ac:dyDescent="0.3">
      <c r="A1849" s="82" t="s">
        <v>21</v>
      </c>
      <c r="B1849" s="82"/>
      <c r="C1849" s="16">
        <v>46240</v>
      </c>
      <c r="D1849">
        <v>2116315.9099999997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88067.39</v>
      </c>
    </row>
    <row r="1852" spans="1:4" x14ac:dyDescent="0.3">
      <c r="A1852" s="82" t="s">
        <v>24</v>
      </c>
      <c r="B1852" s="82"/>
      <c r="C1852" s="16">
        <v>46240</v>
      </c>
      <c r="D1852">
        <v>13270.02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15106.099999999997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1234723.7400000002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1180491.7</v>
      </c>
    </row>
    <row r="1868" spans="1:4" x14ac:dyDescent="0.3">
      <c r="A1868" s="82" t="s">
        <v>21</v>
      </c>
      <c r="B1868" s="82"/>
      <c r="C1868" s="16">
        <v>46241</v>
      </c>
      <c r="D1868">
        <v>2116315.9099999997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88067.39</v>
      </c>
    </row>
    <row r="1871" spans="1:4" x14ac:dyDescent="0.3">
      <c r="A1871" s="82" t="s">
        <v>24</v>
      </c>
      <c r="B1871" s="82"/>
      <c r="C1871" s="16">
        <v>46241</v>
      </c>
      <c r="D1871">
        <v>13270.02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20106.099999999999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1234723.7400000002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1180491.7</v>
      </c>
    </row>
    <row r="1887" spans="1:4" x14ac:dyDescent="0.3">
      <c r="A1887" s="82" t="s">
        <v>21</v>
      </c>
      <c r="B1887" s="82"/>
      <c r="C1887" s="16">
        <v>46242</v>
      </c>
      <c r="D1887">
        <v>2116315.9099999997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88067.39</v>
      </c>
    </row>
    <row r="1890" spans="1:4" x14ac:dyDescent="0.3">
      <c r="A1890" s="82" t="s">
        <v>24</v>
      </c>
      <c r="B1890" s="82"/>
      <c r="C1890" s="16">
        <v>46242</v>
      </c>
      <c r="D1890">
        <v>13270.02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20106.099999999999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1234723.7400000002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1180491.7</v>
      </c>
    </row>
    <row r="1906" spans="1:4" x14ac:dyDescent="0.3">
      <c r="A1906" s="82" t="s">
        <v>21</v>
      </c>
      <c r="B1906" s="82"/>
      <c r="C1906" s="16">
        <v>46243</v>
      </c>
      <c r="D1906">
        <v>2116315.9099999997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88067.39</v>
      </c>
    </row>
    <row r="1909" spans="1:4" x14ac:dyDescent="0.3">
      <c r="A1909" s="82" t="s">
        <v>24</v>
      </c>
      <c r="B1909" s="82"/>
      <c r="C1909" s="16">
        <v>46243</v>
      </c>
      <c r="D1909">
        <v>13270.02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20106.099999999999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1341410.31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1180491.7</v>
      </c>
    </row>
    <row r="1925" spans="1:4" x14ac:dyDescent="0.3">
      <c r="A1925" s="82" t="s">
        <v>21</v>
      </c>
      <c r="B1925" s="82"/>
      <c r="C1925" s="16">
        <v>46244</v>
      </c>
      <c r="D1925">
        <v>2113044.0199999996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88067.39</v>
      </c>
    </row>
    <row r="1928" spans="1:4" x14ac:dyDescent="0.3">
      <c r="A1928" s="82" t="s">
        <v>24</v>
      </c>
      <c r="B1928" s="82"/>
      <c r="C1928" s="16">
        <v>46244</v>
      </c>
      <c r="D1928">
        <v>13270.02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20106.099999999999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1341410.31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1180491.7</v>
      </c>
    </row>
    <row r="1944" spans="1:4" x14ac:dyDescent="0.3">
      <c r="A1944" s="82" t="s">
        <v>21</v>
      </c>
      <c r="B1944" s="82"/>
      <c r="C1944" s="16">
        <v>46245</v>
      </c>
      <c r="D1944">
        <v>1637162.9399999995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88067.39</v>
      </c>
    </row>
    <row r="1947" spans="1:4" x14ac:dyDescent="0.3">
      <c r="A1947" s="82" t="s">
        <v>24</v>
      </c>
      <c r="B1947" s="82"/>
      <c r="C1947" s="16">
        <v>46245</v>
      </c>
      <c r="D1947">
        <v>13270.02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19442.439999999995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1341410.31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1180491.7</v>
      </c>
    </row>
    <row r="1963" spans="1:4" x14ac:dyDescent="0.3">
      <c r="A1963" s="82" t="s">
        <v>21</v>
      </c>
      <c r="B1963" s="82"/>
      <c r="C1963" s="16">
        <v>46246</v>
      </c>
      <c r="D1963">
        <v>1637156.9399999995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158067.38999999998</v>
      </c>
    </row>
    <row r="1966" spans="1:4" x14ac:dyDescent="0.3">
      <c r="A1966" s="82" t="s">
        <v>24</v>
      </c>
      <c r="B1966" s="82"/>
      <c r="C1966" s="16">
        <v>46246</v>
      </c>
      <c r="D1966">
        <v>13270.02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754424.72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19336.039999999997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1122556.9100000004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1120491.7</v>
      </c>
    </row>
    <row r="1982" spans="1:4" x14ac:dyDescent="0.3">
      <c r="A1982" s="82" t="s">
        <v>21</v>
      </c>
      <c r="B1982" s="82"/>
      <c r="C1982" s="16">
        <v>46247</v>
      </c>
      <c r="D1982">
        <v>1433050.7599999995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158067.38999999998</v>
      </c>
    </row>
    <row r="1985" spans="1:4" x14ac:dyDescent="0.3">
      <c r="A1985" s="82" t="s">
        <v>24</v>
      </c>
      <c r="B1985" s="82"/>
      <c r="C1985" s="16">
        <v>46247</v>
      </c>
      <c r="D1985">
        <v>13270.02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754424.72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19336.039999999997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1022556.9100000004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1120491.7</v>
      </c>
    </row>
    <row r="2001" spans="1:4" x14ac:dyDescent="0.3">
      <c r="A2001" s="82" t="s">
        <v>21</v>
      </c>
      <c r="B2001" s="82"/>
      <c r="C2001" s="16">
        <v>46248</v>
      </c>
      <c r="D2001">
        <v>1433050.7599999995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158071.25999999998</v>
      </c>
    </row>
    <row r="2004" spans="1:4" x14ac:dyDescent="0.3">
      <c r="A2004" s="82" t="s">
        <v>24</v>
      </c>
      <c r="B2004" s="82"/>
      <c r="C2004" s="16">
        <v>46248</v>
      </c>
      <c r="D2004">
        <v>13270.02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754424.72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19336.039999999997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1022556.9100000004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1120491.7</v>
      </c>
    </row>
    <row r="2020" spans="1:4" x14ac:dyDescent="0.3">
      <c r="A2020" s="82" t="s">
        <v>21</v>
      </c>
      <c r="B2020" s="82"/>
      <c r="C2020" s="16">
        <v>46249</v>
      </c>
      <c r="D2020">
        <v>1433050.7599999995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158071.25999999998</v>
      </c>
    </row>
    <row r="2023" spans="1:4" x14ac:dyDescent="0.3">
      <c r="A2023" s="82" t="s">
        <v>24</v>
      </c>
      <c r="B2023" s="82"/>
      <c r="C2023" s="16">
        <v>46249</v>
      </c>
      <c r="D2023">
        <v>13270.02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754424.72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19336.039999999997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1022556.9100000004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1120491.7</v>
      </c>
    </row>
    <row r="2039" spans="1:4" x14ac:dyDescent="0.3">
      <c r="A2039" s="82" t="s">
        <v>21</v>
      </c>
      <c r="B2039" s="82"/>
      <c r="C2039" s="16">
        <v>46250</v>
      </c>
      <c r="D2039">
        <v>1433050.7599999995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158071.25999999998</v>
      </c>
    </row>
    <row r="2042" spans="1:4" x14ac:dyDescent="0.3">
      <c r="A2042" s="82" t="s">
        <v>24</v>
      </c>
      <c r="B2042" s="82"/>
      <c r="C2042" s="16">
        <v>46250</v>
      </c>
      <c r="D2042">
        <v>13270.02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754424.72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19336.039999999997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1022556.9100000004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1120071.0999999999</v>
      </c>
    </row>
    <row r="2058" spans="1:4" x14ac:dyDescent="0.3">
      <c r="A2058" s="82" t="s">
        <v>21</v>
      </c>
      <c r="B2058" s="82"/>
      <c r="C2058" s="16">
        <v>46251</v>
      </c>
      <c r="D2058">
        <v>1398219.6699999995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158071.25999999998</v>
      </c>
    </row>
    <row r="2061" spans="1:4" x14ac:dyDescent="0.3">
      <c r="A2061" s="82" t="s">
        <v>24</v>
      </c>
      <c r="B2061" s="82"/>
      <c r="C2061" s="16">
        <v>46251</v>
      </c>
      <c r="D2061">
        <v>13270.02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754424.72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19336.039999999997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  <row r="2073" spans="1:4" x14ac:dyDescent="0.3">
      <c r="A2073" s="82" t="s">
        <v>17</v>
      </c>
      <c r="B2073" s="82"/>
      <c r="C2073" s="16">
        <v>46252</v>
      </c>
      <c r="D2073">
        <v>1128418.6900000004</v>
      </c>
    </row>
    <row r="2074" spans="1:4" x14ac:dyDescent="0.3">
      <c r="A2074" s="82" t="s">
        <v>18</v>
      </c>
      <c r="B2074" s="82"/>
      <c r="C2074" s="16">
        <v>46252</v>
      </c>
      <c r="D2074">
        <v>83211.250000000175</v>
      </c>
    </row>
    <row r="2075" spans="1:4" x14ac:dyDescent="0.3">
      <c r="A2075" s="82" t="s">
        <v>19</v>
      </c>
      <c r="B2075" s="82"/>
      <c r="C2075" s="16">
        <v>46252</v>
      </c>
      <c r="D2075">
        <v>1669.89</v>
      </c>
    </row>
    <row r="2076" spans="1:4" x14ac:dyDescent="0.3">
      <c r="A2076" s="82" t="s">
        <v>20</v>
      </c>
      <c r="B2076" s="82"/>
      <c r="C2076" s="16">
        <v>46252</v>
      </c>
      <c r="D2076">
        <v>1120071.0999999999</v>
      </c>
    </row>
    <row r="2077" spans="1:4" x14ac:dyDescent="0.3">
      <c r="A2077" s="82" t="s">
        <v>21</v>
      </c>
      <c r="B2077" s="82"/>
      <c r="C2077" s="16">
        <v>46252</v>
      </c>
      <c r="D2077">
        <v>1395729.3099999996</v>
      </c>
    </row>
    <row r="2078" spans="1:4" x14ac:dyDescent="0.3">
      <c r="A2078" s="82" t="s">
        <v>22</v>
      </c>
      <c r="B2078" s="82"/>
      <c r="C2078" s="16">
        <v>46252</v>
      </c>
      <c r="D2078">
        <v>221496.38</v>
      </c>
    </row>
    <row r="2079" spans="1:4" x14ac:dyDescent="0.3">
      <c r="A2079" s="82" t="s">
        <v>23</v>
      </c>
      <c r="B2079" s="82"/>
      <c r="C2079" s="16">
        <v>46252</v>
      </c>
      <c r="D2079">
        <v>158071.25999999998</v>
      </c>
    </row>
    <row r="2080" spans="1:4" x14ac:dyDescent="0.3">
      <c r="A2080" s="82" t="s">
        <v>24</v>
      </c>
      <c r="B2080" s="82"/>
      <c r="C2080" s="16">
        <v>46252</v>
      </c>
      <c r="D2080">
        <v>13270.02</v>
      </c>
    </row>
    <row r="2081" spans="1:4" x14ac:dyDescent="0.3">
      <c r="A2081" s="82" t="s">
        <v>25</v>
      </c>
      <c r="B2081" s="82"/>
      <c r="C2081" s="16">
        <v>46252</v>
      </c>
      <c r="D2081">
        <v>24.450000000000003</v>
      </c>
    </row>
    <row r="2082" spans="1:4" x14ac:dyDescent="0.3">
      <c r="A2082" s="82" t="s">
        <v>26</v>
      </c>
      <c r="B2082" s="82"/>
      <c r="C2082" s="16">
        <v>46252</v>
      </c>
      <c r="D2082">
        <v>2177.87</v>
      </c>
    </row>
    <row r="2083" spans="1:4" x14ac:dyDescent="0.3">
      <c r="A2083" s="82" t="s">
        <v>27</v>
      </c>
      <c r="B2083" s="82"/>
      <c r="C2083" s="16">
        <v>46252</v>
      </c>
      <c r="D2083">
        <v>754424.72</v>
      </c>
    </row>
    <row r="2084" spans="1:4" x14ac:dyDescent="0.3">
      <c r="A2084" s="82" t="s">
        <v>28</v>
      </c>
      <c r="B2084" s="82"/>
      <c r="C2084" s="16">
        <v>46252</v>
      </c>
      <c r="D2084">
        <v>1968.99</v>
      </c>
    </row>
    <row r="2085" spans="1:4" x14ac:dyDescent="0.3">
      <c r="A2085" s="82" t="s">
        <v>29</v>
      </c>
      <c r="B2085" s="82"/>
      <c r="C2085" s="16">
        <v>46252</v>
      </c>
      <c r="D2085">
        <v>901.34</v>
      </c>
    </row>
    <row r="2086" spans="1:4" x14ac:dyDescent="0.3">
      <c r="A2086" s="82" t="s">
        <v>30</v>
      </c>
      <c r="B2086" s="82"/>
      <c r="C2086" s="16">
        <v>46252</v>
      </c>
      <c r="D2086">
        <v>1396.08</v>
      </c>
    </row>
    <row r="2087" spans="1:4" x14ac:dyDescent="0.3">
      <c r="A2087" s="82" t="s">
        <v>31</v>
      </c>
      <c r="B2087" s="82"/>
      <c r="C2087" s="16">
        <v>46252</v>
      </c>
      <c r="D2087">
        <v>13685.709999999959</v>
      </c>
    </row>
    <row r="2088" spans="1:4" x14ac:dyDescent="0.3">
      <c r="A2088" s="82" t="s">
        <v>32</v>
      </c>
      <c r="B2088" s="82"/>
      <c r="C2088" s="16">
        <v>46252</v>
      </c>
      <c r="D2088">
        <v>8724.1700000000037</v>
      </c>
    </row>
    <row r="2089" spans="1:4" x14ac:dyDescent="0.3">
      <c r="A2089" s="82" t="s">
        <v>33</v>
      </c>
      <c r="B2089" s="82"/>
      <c r="C2089" s="16">
        <v>46252</v>
      </c>
      <c r="D2089">
        <v>19336.039999999997</v>
      </c>
    </row>
    <row r="2090" spans="1:4" x14ac:dyDescent="0.3">
      <c r="A2090" s="82" t="s">
        <v>34</v>
      </c>
      <c r="B2090" s="82"/>
      <c r="C2090" s="16">
        <v>46252</v>
      </c>
      <c r="D2090">
        <v>345</v>
      </c>
    </row>
    <row r="2091" spans="1:4" x14ac:dyDescent="0.3">
      <c r="A2091" s="82" t="s">
        <v>35</v>
      </c>
      <c r="B2091" s="82"/>
      <c r="C2091" s="16">
        <v>46252</v>
      </c>
      <c r="D2091">
        <v>14565.900000000001</v>
      </c>
    </row>
    <row r="2092" spans="1:4" x14ac:dyDescent="0.3">
      <c r="A2092" s="82" t="s">
        <v>17</v>
      </c>
      <c r="B2092" s="82"/>
      <c r="C2092" s="16">
        <v>46253</v>
      </c>
      <c r="D2092">
        <v>1128418.6900000004</v>
      </c>
    </row>
    <row r="2093" spans="1:4" x14ac:dyDescent="0.3">
      <c r="A2093" s="82" t="s">
        <v>18</v>
      </c>
      <c r="B2093" s="82"/>
      <c r="C2093" s="16">
        <v>46253</v>
      </c>
      <c r="D2093">
        <v>83211.250000000175</v>
      </c>
    </row>
    <row r="2094" spans="1:4" x14ac:dyDescent="0.3">
      <c r="A2094" s="82" t="s">
        <v>19</v>
      </c>
      <c r="B2094" s="82"/>
      <c r="C2094" s="16">
        <v>46253</v>
      </c>
      <c r="D2094">
        <v>1669.89</v>
      </c>
    </row>
    <row r="2095" spans="1:4" x14ac:dyDescent="0.3">
      <c r="A2095" s="82" t="s">
        <v>20</v>
      </c>
      <c r="B2095" s="82"/>
      <c r="C2095" s="16">
        <v>46253</v>
      </c>
      <c r="D2095">
        <v>1120071.0999999999</v>
      </c>
    </row>
    <row r="2096" spans="1:4" x14ac:dyDescent="0.3">
      <c r="A2096" s="82" t="s">
        <v>21</v>
      </c>
      <c r="B2096" s="82"/>
      <c r="C2096" s="16">
        <v>46253</v>
      </c>
      <c r="D2096">
        <v>1894825.6099999996</v>
      </c>
    </row>
    <row r="2097" spans="1:4" x14ac:dyDescent="0.3">
      <c r="A2097" s="82" t="s">
        <v>22</v>
      </c>
      <c r="B2097" s="82"/>
      <c r="C2097" s="16">
        <v>46253</v>
      </c>
      <c r="D2097">
        <v>221496.38</v>
      </c>
    </row>
    <row r="2098" spans="1:4" x14ac:dyDescent="0.3">
      <c r="A2098" s="82" t="s">
        <v>23</v>
      </c>
      <c r="B2098" s="82"/>
      <c r="C2098" s="16">
        <v>46253</v>
      </c>
      <c r="D2098">
        <v>158071.25999999998</v>
      </c>
    </row>
    <row r="2099" spans="1:4" x14ac:dyDescent="0.3">
      <c r="A2099" s="82" t="s">
        <v>24</v>
      </c>
      <c r="B2099" s="82"/>
      <c r="C2099" s="16">
        <v>46253</v>
      </c>
      <c r="D2099">
        <v>13270.02</v>
      </c>
    </row>
    <row r="2100" spans="1:4" x14ac:dyDescent="0.3">
      <c r="A2100" s="82" t="s">
        <v>25</v>
      </c>
      <c r="B2100" s="82"/>
      <c r="C2100" s="16">
        <v>46253</v>
      </c>
      <c r="D2100">
        <v>24.450000000000003</v>
      </c>
    </row>
    <row r="2101" spans="1:4" x14ac:dyDescent="0.3">
      <c r="A2101" s="82" t="s">
        <v>26</v>
      </c>
      <c r="B2101" s="82"/>
      <c r="C2101" s="16">
        <v>46253</v>
      </c>
      <c r="D2101">
        <v>2177.87</v>
      </c>
    </row>
    <row r="2102" spans="1:4" x14ac:dyDescent="0.3">
      <c r="A2102" s="82" t="s">
        <v>27</v>
      </c>
      <c r="B2102" s="82"/>
      <c r="C2102" s="16">
        <v>46253</v>
      </c>
      <c r="D2102">
        <v>754424.72</v>
      </c>
    </row>
    <row r="2103" spans="1:4" x14ac:dyDescent="0.3">
      <c r="A2103" s="82" t="s">
        <v>28</v>
      </c>
      <c r="B2103" s="82"/>
      <c r="C2103" s="16">
        <v>46253</v>
      </c>
      <c r="D2103">
        <v>1968.99</v>
      </c>
    </row>
    <row r="2104" spans="1:4" x14ac:dyDescent="0.3">
      <c r="A2104" s="82" t="s">
        <v>29</v>
      </c>
      <c r="B2104" s="82"/>
      <c r="C2104" s="16">
        <v>46253</v>
      </c>
      <c r="D2104">
        <v>901.34</v>
      </c>
    </row>
    <row r="2105" spans="1:4" x14ac:dyDescent="0.3">
      <c r="A2105" s="82" t="s">
        <v>30</v>
      </c>
      <c r="B2105" s="82"/>
      <c r="C2105" s="16">
        <v>46253</v>
      </c>
      <c r="D2105">
        <v>1396.08</v>
      </c>
    </row>
    <row r="2106" spans="1:4" x14ac:dyDescent="0.3">
      <c r="A2106" s="82" t="s">
        <v>31</v>
      </c>
      <c r="B2106" s="82"/>
      <c r="C2106" s="16">
        <v>46253</v>
      </c>
      <c r="D2106">
        <v>13685.709999999959</v>
      </c>
    </row>
    <row r="2107" spans="1:4" x14ac:dyDescent="0.3">
      <c r="A2107" s="82" t="s">
        <v>32</v>
      </c>
      <c r="B2107" s="82"/>
      <c r="C2107" s="16">
        <v>46253</v>
      </c>
      <c r="D2107">
        <v>8724.1700000000037</v>
      </c>
    </row>
    <row r="2108" spans="1:4" x14ac:dyDescent="0.3">
      <c r="A2108" s="82" t="s">
        <v>33</v>
      </c>
      <c r="B2108" s="82"/>
      <c r="C2108" s="16">
        <v>46253</v>
      </c>
      <c r="D2108">
        <v>19336.039999999997</v>
      </c>
    </row>
    <row r="2109" spans="1:4" x14ac:dyDescent="0.3">
      <c r="A2109" s="82" t="s">
        <v>34</v>
      </c>
      <c r="B2109" s="82"/>
      <c r="C2109" s="16">
        <v>46253</v>
      </c>
      <c r="D2109">
        <v>345</v>
      </c>
    </row>
    <row r="2110" spans="1:4" x14ac:dyDescent="0.3">
      <c r="A2110" s="82" t="s">
        <v>35</v>
      </c>
      <c r="B2110" s="82"/>
      <c r="C2110" s="16">
        <v>46253</v>
      </c>
      <c r="D2110">
        <v>14565.900000000001</v>
      </c>
    </row>
    <row r="2111" spans="1:4" x14ac:dyDescent="0.3">
      <c r="A2111" s="82" t="s">
        <v>17</v>
      </c>
      <c r="B2111" s="82"/>
      <c r="C2111" s="16">
        <v>46254</v>
      </c>
      <c r="D2111">
        <v>783543.69000000053</v>
      </c>
    </row>
    <row r="2112" spans="1:4" x14ac:dyDescent="0.3">
      <c r="A2112" s="82" t="s">
        <v>18</v>
      </c>
      <c r="B2112" s="82"/>
      <c r="C2112" s="16">
        <v>46254</v>
      </c>
      <c r="D2112">
        <v>83211.250000000175</v>
      </c>
    </row>
    <row r="2113" spans="1:4" x14ac:dyDescent="0.3">
      <c r="A2113" s="82" t="s">
        <v>19</v>
      </c>
      <c r="B2113" s="82"/>
      <c r="C2113" s="16">
        <v>46254</v>
      </c>
      <c r="D2113">
        <v>1669.89</v>
      </c>
    </row>
    <row r="2114" spans="1:4" x14ac:dyDescent="0.3">
      <c r="A2114" s="82" t="s">
        <v>20</v>
      </c>
      <c r="B2114" s="82"/>
      <c r="C2114" s="16">
        <v>46254</v>
      </c>
      <c r="D2114">
        <v>1060071.0999999999</v>
      </c>
    </row>
    <row r="2115" spans="1:4" x14ac:dyDescent="0.3">
      <c r="A2115" s="82" t="s">
        <v>21</v>
      </c>
      <c r="B2115" s="82"/>
      <c r="C2115" s="16">
        <v>46254</v>
      </c>
      <c r="D2115">
        <v>1758294.6999999997</v>
      </c>
    </row>
    <row r="2116" spans="1:4" x14ac:dyDescent="0.3">
      <c r="A2116" s="82" t="s">
        <v>22</v>
      </c>
      <c r="B2116" s="82"/>
      <c r="C2116" s="16">
        <v>46254</v>
      </c>
      <c r="D2116">
        <v>221496.38</v>
      </c>
    </row>
    <row r="2117" spans="1:4" x14ac:dyDescent="0.3">
      <c r="A2117" s="82" t="s">
        <v>23</v>
      </c>
      <c r="B2117" s="82"/>
      <c r="C2117" s="16">
        <v>46254</v>
      </c>
      <c r="D2117">
        <v>158071.25999999998</v>
      </c>
    </row>
    <row r="2118" spans="1:4" x14ac:dyDescent="0.3">
      <c r="A2118" s="82" t="s">
        <v>24</v>
      </c>
      <c r="B2118" s="82"/>
      <c r="C2118" s="16">
        <v>46254</v>
      </c>
      <c r="D2118">
        <v>13270.02</v>
      </c>
    </row>
    <row r="2119" spans="1:4" x14ac:dyDescent="0.3">
      <c r="A2119" s="82" t="s">
        <v>25</v>
      </c>
      <c r="B2119" s="82"/>
      <c r="C2119" s="16">
        <v>46254</v>
      </c>
      <c r="D2119">
        <v>24.450000000000003</v>
      </c>
    </row>
    <row r="2120" spans="1:4" x14ac:dyDescent="0.3">
      <c r="A2120" s="82" t="s">
        <v>26</v>
      </c>
      <c r="B2120" s="82"/>
      <c r="C2120" s="16">
        <v>46254</v>
      </c>
      <c r="D2120">
        <v>2177.87</v>
      </c>
    </row>
    <row r="2121" spans="1:4" x14ac:dyDescent="0.3">
      <c r="A2121" s="82" t="s">
        <v>27</v>
      </c>
      <c r="B2121" s="82"/>
      <c r="C2121" s="16">
        <v>46254</v>
      </c>
      <c r="D2121">
        <v>754424.72</v>
      </c>
    </row>
    <row r="2122" spans="1:4" x14ac:dyDescent="0.3">
      <c r="A2122" s="82" t="s">
        <v>28</v>
      </c>
      <c r="B2122" s="82"/>
      <c r="C2122" s="16">
        <v>46254</v>
      </c>
      <c r="D2122">
        <v>1968.99</v>
      </c>
    </row>
    <row r="2123" spans="1:4" x14ac:dyDescent="0.3">
      <c r="A2123" s="82" t="s">
        <v>29</v>
      </c>
      <c r="B2123" s="82"/>
      <c r="C2123" s="16">
        <v>46254</v>
      </c>
      <c r="D2123">
        <v>901.34</v>
      </c>
    </row>
    <row r="2124" spans="1:4" x14ac:dyDescent="0.3">
      <c r="A2124" s="82" t="s">
        <v>30</v>
      </c>
      <c r="B2124" s="82"/>
      <c r="C2124" s="16">
        <v>46254</v>
      </c>
      <c r="D2124">
        <v>1396.08</v>
      </c>
    </row>
    <row r="2125" spans="1:4" x14ac:dyDescent="0.3">
      <c r="A2125" s="82" t="s">
        <v>31</v>
      </c>
      <c r="B2125" s="82"/>
      <c r="C2125" s="16">
        <v>46254</v>
      </c>
      <c r="D2125">
        <v>13685.709999999959</v>
      </c>
    </row>
    <row r="2126" spans="1:4" x14ac:dyDescent="0.3">
      <c r="A2126" s="82" t="s">
        <v>32</v>
      </c>
      <c r="B2126" s="82"/>
      <c r="C2126" s="16">
        <v>46254</v>
      </c>
      <c r="D2126">
        <v>8724.1700000000037</v>
      </c>
    </row>
    <row r="2127" spans="1:4" x14ac:dyDescent="0.3">
      <c r="A2127" s="82" t="s">
        <v>33</v>
      </c>
      <c r="B2127" s="82"/>
      <c r="C2127" s="16">
        <v>46254</v>
      </c>
      <c r="D2127">
        <v>19336.039999999997</v>
      </c>
    </row>
    <row r="2128" spans="1:4" x14ac:dyDescent="0.3">
      <c r="A2128" s="82" t="s">
        <v>34</v>
      </c>
      <c r="B2128" s="82"/>
      <c r="C2128" s="16">
        <v>46254</v>
      </c>
      <c r="D2128">
        <v>345</v>
      </c>
    </row>
    <row r="2129" spans="1:4" x14ac:dyDescent="0.3">
      <c r="A2129" s="82" t="s">
        <v>35</v>
      </c>
      <c r="B2129" s="82"/>
      <c r="C2129" s="16">
        <v>46254</v>
      </c>
      <c r="D2129">
        <v>12741.780000000002</v>
      </c>
    </row>
    <row r="2130" spans="1:4" x14ac:dyDescent="0.3">
      <c r="A2130" s="82" t="s">
        <v>17</v>
      </c>
      <c r="B2130" s="82"/>
      <c r="C2130" s="16">
        <v>46255</v>
      </c>
      <c r="D2130">
        <v>783543.69000000053</v>
      </c>
    </row>
    <row r="2131" spans="1:4" x14ac:dyDescent="0.3">
      <c r="A2131" s="82" t="s">
        <v>18</v>
      </c>
      <c r="B2131" s="82"/>
      <c r="C2131" s="16">
        <v>46255</v>
      </c>
      <c r="D2131">
        <v>83211.250000000175</v>
      </c>
    </row>
    <row r="2132" spans="1:4" x14ac:dyDescent="0.3">
      <c r="A2132" s="82" t="s">
        <v>19</v>
      </c>
      <c r="B2132" s="82"/>
      <c r="C2132" s="16">
        <v>46255</v>
      </c>
      <c r="D2132">
        <v>1669.89</v>
      </c>
    </row>
    <row r="2133" spans="1:4" x14ac:dyDescent="0.3">
      <c r="A2133" s="82" t="s">
        <v>20</v>
      </c>
      <c r="B2133" s="82"/>
      <c r="C2133" s="16">
        <v>46255</v>
      </c>
      <c r="D2133">
        <v>1060071.0999999999</v>
      </c>
    </row>
    <row r="2134" spans="1:4" x14ac:dyDescent="0.3">
      <c r="A2134" s="82" t="s">
        <v>21</v>
      </c>
      <c r="B2134" s="82"/>
      <c r="C2134" s="16">
        <v>46255</v>
      </c>
      <c r="D2134">
        <v>1758294.6999999997</v>
      </c>
    </row>
    <row r="2135" spans="1:4" x14ac:dyDescent="0.3">
      <c r="A2135" s="82" t="s">
        <v>22</v>
      </c>
      <c r="B2135" s="82"/>
      <c r="C2135" s="16">
        <v>46255</v>
      </c>
      <c r="D2135">
        <v>221496.38</v>
      </c>
    </row>
    <row r="2136" spans="1:4" x14ac:dyDescent="0.3">
      <c r="A2136" s="82" t="s">
        <v>23</v>
      </c>
      <c r="B2136" s="82"/>
      <c r="C2136" s="16">
        <v>46255</v>
      </c>
      <c r="D2136">
        <v>158071.25999999998</v>
      </c>
    </row>
    <row r="2137" spans="1:4" x14ac:dyDescent="0.3">
      <c r="A2137" s="82" t="s">
        <v>24</v>
      </c>
      <c r="B2137" s="82"/>
      <c r="C2137" s="16">
        <v>46255</v>
      </c>
      <c r="D2137">
        <v>13270.02</v>
      </c>
    </row>
    <row r="2138" spans="1:4" x14ac:dyDescent="0.3">
      <c r="A2138" s="82" t="s">
        <v>25</v>
      </c>
      <c r="B2138" s="82"/>
      <c r="C2138" s="16">
        <v>46255</v>
      </c>
      <c r="D2138">
        <v>24.450000000000003</v>
      </c>
    </row>
    <row r="2139" spans="1:4" x14ac:dyDescent="0.3">
      <c r="A2139" s="82" t="s">
        <v>26</v>
      </c>
      <c r="B2139" s="82"/>
      <c r="C2139" s="16">
        <v>46255</v>
      </c>
      <c r="D2139">
        <v>2177.87</v>
      </c>
    </row>
    <row r="2140" spans="1:4" x14ac:dyDescent="0.3">
      <c r="A2140" s="82" t="s">
        <v>27</v>
      </c>
      <c r="B2140" s="82"/>
      <c r="C2140" s="16">
        <v>46255</v>
      </c>
      <c r="D2140">
        <v>754424.72</v>
      </c>
    </row>
    <row r="2141" spans="1:4" x14ac:dyDescent="0.3">
      <c r="A2141" s="82" t="s">
        <v>28</v>
      </c>
      <c r="B2141" s="82"/>
      <c r="C2141" s="16">
        <v>46255</v>
      </c>
      <c r="D2141">
        <v>1968.99</v>
      </c>
    </row>
    <row r="2142" spans="1:4" x14ac:dyDescent="0.3">
      <c r="A2142" s="82" t="s">
        <v>29</v>
      </c>
      <c r="B2142" s="82"/>
      <c r="C2142" s="16">
        <v>46255</v>
      </c>
      <c r="D2142">
        <v>901.34</v>
      </c>
    </row>
    <row r="2143" spans="1:4" x14ac:dyDescent="0.3">
      <c r="A2143" s="82" t="s">
        <v>30</v>
      </c>
      <c r="B2143" s="82"/>
      <c r="C2143" s="16">
        <v>46255</v>
      </c>
      <c r="D2143">
        <v>1396.08</v>
      </c>
    </row>
    <row r="2144" spans="1:4" x14ac:dyDescent="0.3">
      <c r="A2144" s="82" t="s">
        <v>31</v>
      </c>
      <c r="B2144" s="82"/>
      <c r="C2144" s="16">
        <v>46255</v>
      </c>
      <c r="D2144">
        <v>13685.709999999959</v>
      </c>
    </row>
    <row r="2145" spans="1:4" x14ac:dyDescent="0.3">
      <c r="A2145" s="82" t="s">
        <v>32</v>
      </c>
      <c r="B2145" s="82"/>
      <c r="C2145" s="16">
        <v>46255</v>
      </c>
      <c r="D2145">
        <v>8724.1700000000037</v>
      </c>
    </row>
    <row r="2146" spans="1:4" x14ac:dyDescent="0.3">
      <c r="A2146" s="82" t="s">
        <v>33</v>
      </c>
      <c r="B2146" s="82"/>
      <c r="C2146" s="16">
        <v>46255</v>
      </c>
      <c r="D2146">
        <v>19336.039999999997</v>
      </c>
    </row>
    <row r="2147" spans="1:4" x14ac:dyDescent="0.3">
      <c r="A2147" s="82" t="s">
        <v>34</v>
      </c>
      <c r="B2147" s="82"/>
      <c r="C2147" s="16">
        <v>46255</v>
      </c>
      <c r="D2147">
        <v>345</v>
      </c>
    </row>
    <row r="2148" spans="1:4" x14ac:dyDescent="0.3">
      <c r="A2148" s="82" t="s">
        <v>35</v>
      </c>
      <c r="B2148" s="82"/>
      <c r="C2148" s="16">
        <v>46255</v>
      </c>
      <c r="D2148">
        <v>12541.790000000003</v>
      </c>
    </row>
    <row r="2149" spans="1:4" x14ac:dyDescent="0.3">
      <c r="A2149" s="82" t="s">
        <v>17</v>
      </c>
      <c r="B2149" s="82"/>
      <c r="C2149" s="16">
        <v>46256</v>
      </c>
      <c r="D2149">
        <v>783543.69000000053</v>
      </c>
    </row>
    <row r="2150" spans="1:4" x14ac:dyDescent="0.3">
      <c r="A2150" s="82" t="s">
        <v>18</v>
      </c>
      <c r="B2150" s="82"/>
      <c r="C2150" s="16">
        <v>46256</v>
      </c>
      <c r="D2150">
        <v>83211.250000000175</v>
      </c>
    </row>
    <row r="2151" spans="1:4" x14ac:dyDescent="0.3">
      <c r="A2151" s="82" t="s">
        <v>19</v>
      </c>
      <c r="B2151" s="82"/>
      <c r="C2151" s="16">
        <v>46256</v>
      </c>
      <c r="D2151">
        <v>1669.89</v>
      </c>
    </row>
    <row r="2152" spans="1:4" x14ac:dyDescent="0.3">
      <c r="A2152" s="82" t="s">
        <v>20</v>
      </c>
      <c r="B2152" s="82"/>
      <c r="C2152" s="16">
        <v>46256</v>
      </c>
      <c r="D2152">
        <v>1060071.0999999999</v>
      </c>
    </row>
    <row r="2153" spans="1:4" x14ac:dyDescent="0.3">
      <c r="A2153" s="82" t="s">
        <v>21</v>
      </c>
      <c r="B2153" s="82"/>
      <c r="C2153" s="16">
        <v>46256</v>
      </c>
      <c r="D2153">
        <v>1758294.6999999997</v>
      </c>
    </row>
    <row r="2154" spans="1:4" x14ac:dyDescent="0.3">
      <c r="A2154" s="82" t="s">
        <v>22</v>
      </c>
      <c r="B2154" s="82"/>
      <c r="C2154" s="16">
        <v>46256</v>
      </c>
      <c r="D2154">
        <v>221496.38</v>
      </c>
    </row>
    <row r="2155" spans="1:4" x14ac:dyDescent="0.3">
      <c r="A2155" s="82" t="s">
        <v>23</v>
      </c>
      <c r="B2155" s="82"/>
      <c r="C2155" s="16">
        <v>46256</v>
      </c>
      <c r="D2155">
        <v>158071.25999999998</v>
      </c>
    </row>
    <row r="2156" spans="1:4" x14ac:dyDescent="0.3">
      <c r="A2156" s="82" t="s">
        <v>24</v>
      </c>
      <c r="B2156" s="82"/>
      <c r="C2156" s="16">
        <v>46256</v>
      </c>
      <c r="D2156">
        <v>13270.02</v>
      </c>
    </row>
    <row r="2157" spans="1:4" x14ac:dyDescent="0.3">
      <c r="A2157" s="82" t="s">
        <v>25</v>
      </c>
      <c r="B2157" s="82"/>
      <c r="C2157" s="16">
        <v>46256</v>
      </c>
      <c r="D2157">
        <v>24.450000000000003</v>
      </c>
    </row>
    <row r="2158" spans="1:4" x14ac:dyDescent="0.3">
      <c r="A2158" s="82" t="s">
        <v>26</v>
      </c>
      <c r="B2158" s="82"/>
      <c r="C2158" s="16">
        <v>46256</v>
      </c>
      <c r="D2158">
        <v>2177.87</v>
      </c>
    </row>
    <row r="2159" spans="1:4" x14ac:dyDescent="0.3">
      <c r="A2159" s="82" t="s">
        <v>27</v>
      </c>
      <c r="B2159" s="82"/>
      <c r="C2159" s="16">
        <v>46256</v>
      </c>
      <c r="D2159">
        <v>754424.72</v>
      </c>
    </row>
    <row r="2160" spans="1:4" x14ac:dyDescent="0.3">
      <c r="A2160" s="82" t="s">
        <v>28</v>
      </c>
      <c r="B2160" s="82"/>
      <c r="C2160" s="16">
        <v>46256</v>
      </c>
      <c r="D2160">
        <v>1968.99</v>
      </c>
    </row>
    <row r="2161" spans="1:4" x14ac:dyDescent="0.3">
      <c r="A2161" s="82" t="s">
        <v>29</v>
      </c>
      <c r="B2161" s="82"/>
      <c r="C2161" s="16">
        <v>46256</v>
      </c>
      <c r="D2161">
        <v>901.34</v>
      </c>
    </row>
    <row r="2162" spans="1:4" x14ac:dyDescent="0.3">
      <c r="A2162" s="82" t="s">
        <v>30</v>
      </c>
      <c r="B2162" s="82"/>
      <c r="C2162" s="16">
        <v>46256</v>
      </c>
      <c r="D2162">
        <v>1396.08</v>
      </c>
    </row>
    <row r="2163" spans="1:4" x14ac:dyDescent="0.3">
      <c r="A2163" s="82" t="s">
        <v>31</v>
      </c>
      <c r="B2163" s="82"/>
      <c r="C2163" s="16">
        <v>46256</v>
      </c>
      <c r="D2163">
        <v>13685.709999999959</v>
      </c>
    </row>
    <row r="2164" spans="1:4" x14ac:dyDescent="0.3">
      <c r="A2164" s="82" t="s">
        <v>32</v>
      </c>
      <c r="B2164" s="82"/>
      <c r="C2164" s="16">
        <v>46256</v>
      </c>
      <c r="D2164">
        <v>8724.1700000000037</v>
      </c>
    </row>
    <row r="2165" spans="1:4" x14ac:dyDescent="0.3">
      <c r="A2165" s="82" t="s">
        <v>33</v>
      </c>
      <c r="B2165" s="82"/>
      <c r="C2165" s="16">
        <v>46256</v>
      </c>
      <c r="D2165">
        <v>19336.039999999997</v>
      </c>
    </row>
    <row r="2166" spans="1:4" x14ac:dyDescent="0.3">
      <c r="A2166" s="82" t="s">
        <v>34</v>
      </c>
      <c r="B2166" s="82"/>
      <c r="C2166" s="16">
        <v>46256</v>
      </c>
      <c r="D2166">
        <v>345</v>
      </c>
    </row>
    <row r="2167" spans="1:4" x14ac:dyDescent="0.3">
      <c r="A2167" s="82" t="s">
        <v>35</v>
      </c>
      <c r="B2167" s="82"/>
      <c r="C2167" s="16">
        <v>46256</v>
      </c>
      <c r="D2167">
        <v>12541.790000000003</v>
      </c>
    </row>
    <row r="2168" spans="1:4" x14ac:dyDescent="0.3">
      <c r="A2168" s="82" t="s">
        <v>17</v>
      </c>
      <c r="B2168" s="82"/>
      <c r="C2168" s="16">
        <v>46257</v>
      </c>
      <c r="D2168">
        <v>783543.69000000053</v>
      </c>
    </row>
    <row r="2169" spans="1:4" x14ac:dyDescent="0.3">
      <c r="A2169" s="82" t="s">
        <v>18</v>
      </c>
      <c r="B2169" s="82"/>
      <c r="C2169" s="16">
        <v>46257</v>
      </c>
      <c r="D2169">
        <v>83211.250000000175</v>
      </c>
    </row>
    <row r="2170" spans="1:4" x14ac:dyDescent="0.3">
      <c r="A2170" s="82" t="s">
        <v>19</v>
      </c>
      <c r="B2170" s="82"/>
      <c r="C2170" s="16">
        <v>46257</v>
      </c>
      <c r="D2170">
        <v>1669.89</v>
      </c>
    </row>
    <row r="2171" spans="1:4" x14ac:dyDescent="0.3">
      <c r="A2171" s="82" t="s">
        <v>20</v>
      </c>
      <c r="B2171" s="82"/>
      <c r="C2171" s="16">
        <v>46257</v>
      </c>
      <c r="D2171">
        <v>1060071.0999999999</v>
      </c>
    </row>
    <row r="2172" spans="1:4" x14ac:dyDescent="0.3">
      <c r="A2172" s="82" t="s">
        <v>21</v>
      </c>
      <c r="B2172" s="82"/>
      <c r="C2172" s="16">
        <v>46257</v>
      </c>
      <c r="D2172">
        <v>1758294.6999999997</v>
      </c>
    </row>
    <row r="2173" spans="1:4" x14ac:dyDescent="0.3">
      <c r="A2173" s="82" t="s">
        <v>22</v>
      </c>
      <c r="B2173" s="82"/>
      <c r="C2173" s="16">
        <v>46257</v>
      </c>
      <c r="D2173">
        <v>221496.38</v>
      </c>
    </row>
    <row r="2174" spans="1:4" x14ac:dyDescent="0.3">
      <c r="A2174" s="82" t="s">
        <v>23</v>
      </c>
      <c r="B2174" s="82"/>
      <c r="C2174" s="16">
        <v>46257</v>
      </c>
      <c r="D2174">
        <v>158071.25999999998</v>
      </c>
    </row>
    <row r="2175" spans="1:4" x14ac:dyDescent="0.3">
      <c r="A2175" s="82" t="s">
        <v>24</v>
      </c>
      <c r="B2175" s="82"/>
      <c r="C2175" s="16">
        <v>46257</v>
      </c>
      <c r="D2175">
        <v>13270.02</v>
      </c>
    </row>
    <row r="2176" spans="1:4" x14ac:dyDescent="0.3">
      <c r="A2176" s="82" t="s">
        <v>25</v>
      </c>
      <c r="B2176" s="82"/>
      <c r="C2176" s="16">
        <v>46257</v>
      </c>
      <c r="D2176">
        <v>24.450000000000003</v>
      </c>
    </row>
    <row r="2177" spans="1:4" x14ac:dyDescent="0.3">
      <c r="A2177" s="82" t="s">
        <v>26</v>
      </c>
      <c r="B2177" s="82"/>
      <c r="C2177" s="16">
        <v>46257</v>
      </c>
      <c r="D2177">
        <v>2177.87</v>
      </c>
    </row>
    <row r="2178" spans="1:4" x14ac:dyDescent="0.3">
      <c r="A2178" s="82" t="s">
        <v>27</v>
      </c>
      <c r="B2178" s="82"/>
      <c r="C2178" s="16">
        <v>46257</v>
      </c>
      <c r="D2178">
        <v>754424.72</v>
      </c>
    </row>
    <row r="2179" spans="1:4" x14ac:dyDescent="0.3">
      <c r="A2179" s="82" t="s">
        <v>28</v>
      </c>
      <c r="B2179" s="82"/>
      <c r="C2179" s="16">
        <v>46257</v>
      </c>
      <c r="D2179">
        <v>1968.99</v>
      </c>
    </row>
    <row r="2180" spans="1:4" x14ac:dyDescent="0.3">
      <c r="A2180" s="82" t="s">
        <v>29</v>
      </c>
      <c r="B2180" s="82"/>
      <c r="C2180" s="16">
        <v>46257</v>
      </c>
      <c r="D2180">
        <v>901.34</v>
      </c>
    </row>
    <row r="2181" spans="1:4" x14ac:dyDescent="0.3">
      <c r="A2181" s="82" t="s">
        <v>30</v>
      </c>
      <c r="B2181" s="82"/>
      <c r="C2181" s="16">
        <v>46257</v>
      </c>
      <c r="D2181">
        <v>1396.08</v>
      </c>
    </row>
    <row r="2182" spans="1:4" x14ac:dyDescent="0.3">
      <c r="A2182" s="82" t="s">
        <v>31</v>
      </c>
      <c r="B2182" s="82"/>
      <c r="C2182" s="16">
        <v>46257</v>
      </c>
      <c r="D2182">
        <v>13685.709999999959</v>
      </c>
    </row>
    <row r="2183" spans="1:4" x14ac:dyDescent="0.3">
      <c r="A2183" s="82" t="s">
        <v>32</v>
      </c>
      <c r="B2183" s="82"/>
      <c r="C2183" s="16">
        <v>46257</v>
      </c>
      <c r="D2183">
        <v>8724.1700000000037</v>
      </c>
    </row>
    <row r="2184" spans="1:4" x14ac:dyDescent="0.3">
      <c r="A2184" s="82" t="s">
        <v>33</v>
      </c>
      <c r="B2184" s="82"/>
      <c r="C2184" s="16">
        <v>46257</v>
      </c>
      <c r="D2184">
        <v>19336.039999999997</v>
      </c>
    </row>
    <row r="2185" spans="1:4" x14ac:dyDescent="0.3">
      <c r="A2185" s="82" t="s">
        <v>34</v>
      </c>
      <c r="B2185" s="82"/>
      <c r="C2185" s="16">
        <v>46257</v>
      </c>
      <c r="D2185">
        <v>345</v>
      </c>
    </row>
    <row r="2186" spans="1:4" x14ac:dyDescent="0.3">
      <c r="A2186" s="82" t="s">
        <v>35</v>
      </c>
      <c r="B2186" s="82"/>
      <c r="C2186" s="16">
        <v>46257</v>
      </c>
      <c r="D2186">
        <v>12541.790000000003</v>
      </c>
    </row>
    <row r="2187" spans="1:4" x14ac:dyDescent="0.3">
      <c r="A2187" s="82" t="s">
        <v>17</v>
      </c>
      <c r="B2187" s="82"/>
      <c r="C2187" s="16">
        <v>46258</v>
      </c>
      <c r="D2187">
        <v>453543.69000000041</v>
      </c>
    </row>
    <row r="2188" spans="1:4" x14ac:dyDescent="0.3">
      <c r="A2188" s="82" t="s">
        <v>18</v>
      </c>
      <c r="B2188" s="82"/>
      <c r="C2188" s="16">
        <v>46258</v>
      </c>
      <c r="D2188">
        <v>83668.990000000165</v>
      </c>
    </row>
    <row r="2189" spans="1:4" x14ac:dyDescent="0.3">
      <c r="A2189" s="82" t="s">
        <v>19</v>
      </c>
      <c r="B2189" s="82"/>
      <c r="C2189" s="16">
        <v>46258</v>
      </c>
      <c r="D2189">
        <v>1669.89</v>
      </c>
    </row>
    <row r="2190" spans="1:4" x14ac:dyDescent="0.3">
      <c r="A2190" s="82" t="s">
        <v>20</v>
      </c>
      <c r="B2190" s="82"/>
      <c r="C2190" s="16">
        <v>46258</v>
      </c>
      <c r="D2190">
        <v>1065803.0899999999</v>
      </c>
    </row>
    <row r="2191" spans="1:4" x14ac:dyDescent="0.3">
      <c r="A2191" s="82" t="s">
        <v>21</v>
      </c>
      <c r="B2191" s="82"/>
      <c r="C2191" s="16">
        <v>46258</v>
      </c>
      <c r="D2191">
        <v>1757531.7099999995</v>
      </c>
    </row>
    <row r="2192" spans="1:4" x14ac:dyDescent="0.3">
      <c r="A2192" s="82" t="s">
        <v>22</v>
      </c>
      <c r="B2192" s="82"/>
      <c r="C2192" s="16">
        <v>46258</v>
      </c>
      <c r="D2192">
        <v>221496.38</v>
      </c>
    </row>
    <row r="2193" spans="1:4" x14ac:dyDescent="0.3">
      <c r="A2193" s="82" t="s">
        <v>23</v>
      </c>
      <c r="B2193" s="82"/>
      <c r="C2193" s="16">
        <v>46258</v>
      </c>
      <c r="D2193">
        <v>158071.25999999998</v>
      </c>
    </row>
    <row r="2194" spans="1:4" x14ac:dyDescent="0.3">
      <c r="A2194" s="82" t="s">
        <v>24</v>
      </c>
      <c r="B2194" s="82"/>
      <c r="C2194" s="16">
        <v>46258</v>
      </c>
      <c r="D2194">
        <v>13270.02</v>
      </c>
    </row>
    <row r="2195" spans="1:4" x14ac:dyDescent="0.3">
      <c r="A2195" s="82" t="s">
        <v>25</v>
      </c>
      <c r="B2195" s="82"/>
      <c r="C2195" s="16">
        <v>46258</v>
      </c>
      <c r="D2195">
        <v>24.450000000000003</v>
      </c>
    </row>
    <row r="2196" spans="1:4" x14ac:dyDescent="0.3">
      <c r="A2196" s="82" t="s">
        <v>26</v>
      </c>
      <c r="B2196" s="82"/>
      <c r="C2196" s="16">
        <v>46258</v>
      </c>
      <c r="D2196">
        <v>2177.87</v>
      </c>
    </row>
    <row r="2197" spans="1:4" x14ac:dyDescent="0.3">
      <c r="A2197" s="82" t="s">
        <v>27</v>
      </c>
      <c r="B2197" s="82"/>
      <c r="C2197" s="16">
        <v>46258</v>
      </c>
      <c r="D2197">
        <v>754424.72</v>
      </c>
    </row>
    <row r="2198" spans="1:4" x14ac:dyDescent="0.3">
      <c r="A2198" s="82" t="s">
        <v>28</v>
      </c>
      <c r="B2198" s="82"/>
      <c r="C2198" s="16">
        <v>46258</v>
      </c>
      <c r="D2198">
        <v>1968.99</v>
      </c>
    </row>
    <row r="2199" spans="1:4" x14ac:dyDescent="0.3">
      <c r="A2199" s="82" t="s">
        <v>29</v>
      </c>
      <c r="B2199" s="82"/>
      <c r="C2199" s="16">
        <v>46258</v>
      </c>
      <c r="D2199">
        <v>901.34</v>
      </c>
    </row>
    <row r="2200" spans="1:4" x14ac:dyDescent="0.3">
      <c r="A2200" s="82" t="s">
        <v>30</v>
      </c>
      <c r="B2200" s="82"/>
      <c r="C2200" s="16">
        <v>46258</v>
      </c>
      <c r="D2200">
        <v>1396.08</v>
      </c>
    </row>
    <row r="2201" spans="1:4" x14ac:dyDescent="0.3">
      <c r="A2201" s="82" t="s">
        <v>31</v>
      </c>
      <c r="B2201" s="82"/>
      <c r="C2201" s="16">
        <v>46258</v>
      </c>
      <c r="D2201">
        <v>13685.709999999959</v>
      </c>
    </row>
    <row r="2202" spans="1:4" x14ac:dyDescent="0.3">
      <c r="A2202" s="82" t="s">
        <v>32</v>
      </c>
      <c r="B2202" s="82"/>
      <c r="C2202" s="16">
        <v>46258</v>
      </c>
      <c r="D2202">
        <v>8724.1700000000037</v>
      </c>
    </row>
    <row r="2203" spans="1:4" x14ac:dyDescent="0.3">
      <c r="A2203" s="82" t="s">
        <v>33</v>
      </c>
      <c r="B2203" s="82"/>
      <c r="C2203" s="16">
        <v>46258</v>
      </c>
      <c r="D2203">
        <v>19336.039999999997</v>
      </c>
    </row>
    <row r="2204" spans="1:4" x14ac:dyDescent="0.3">
      <c r="A2204" s="82" t="s">
        <v>34</v>
      </c>
      <c r="B2204" s="82"/>
      <c r="C2204" s="16">
        <v>46258</v>
      </c>
      <c r="D2204">
        <v>345</v>
      </c>
    </row>
    <row r="2205" spans="1:4" x14ac:dyDescent="0.3">
      <c r="A2205" s="82" t="s">
        <v>35</v>
      </c>
      <c r="B2205" s="82"/>
      <c r="C2205" s="16">
        <v>46258</v>
      </c>
      <c r="D2205">
        <v>12519.840000000004</v>
      </c>
    </row>
    <row r="2206" spans="1:4" x14ac:dyDescent="0.3">
      <c r="A2206" s="82" t="s">
        <v>17</v>
      </c>
      <c r="B2206" s="82"/>
      <c r="C2206" s="16">
        <v>46259</v>
      </c>
      <c r="D2206">
        <v>607429.86000000045</v>
      </c>
    </row>
    <row r="2207" spans="1:4" x14ac:dyDescent="0.3">
      <c r="A2207" s="82" t="s">
        <v>18</v>
      </c>
      <c r="B2207" s="82"/>
      <c r="C2207" s="16">
        <v>46259</v>
      </c>
      <c r="D2207">
        <v>90643.10000000018</v>
      </c>
    </row>
    <row r="2208" spans="1:4" x14ac:dyDescent="0.3">
      <c r="A2208" s="82" t="s">
        <v>19</v>
      </c>
      <c r="B2208" s="82"/>
      <c r="C2208" s="16">
        <v>46259</v>
      </c>
      <c r="D2208">
        <v>1669.89</v>
      </c>
    </row>
    <row r="2209" spans="1:4" x14ac:dyDescent="0.3">
      <c r="A2209" s="82" t="s">
        <v>20</v>
      </c>
      <c r="B2209" s="82"/>
      <c r="C2209" s="16">
        <v>46259</v>
      </c>
      <c r="D2209">
        <v>1083148.7</v>
      </c>
    </row>
    <row r="2210" spans="1:4" x14ac:dyDescent="0.3">
      <c r="A2210" s="82" t="s">
        <v>21</v>
      </c>
      <c r="B2210" s="82"/>
      <c r="C2210" s="16">
        <v>46259</v>
      </c>
      <c r="D2210">
        <v>1757531.7099999995</v>
      </c>
    </row>
    <row r="2211" spans="1:4" x14ac:dyDescent="0.3">
      <c r="A2211" s="82" t="s">
        <v>22</v>
      </c>
      <c r="B2211" s="82"/>
      <c r="C2211" s="16">
        <v>46259</v>
      </c>
      <c r="D2211">
        <v>221496.38</v>
      </c>
    </row>
    <row r="2212" spans="1:4" x14ac:dyDescent="0.3">
      <c r="A2212" s="82" t="s">
        <v>23</v>
      </c>
      <c r="B2212" s="82"/>
      <c r="C2212" s="16">
        <v>46259</v>
      </c>
      <c r="D2212">
        <v>158071.25999999998</v>
      </c>
    </row>
    <row r="2213" spans="1:4" x14ac:dyDescent="0.3">
      <c r="A2213" s="82" t="s">
        <v>24</v>
      </c>
      <c r="B2213" s="82"/>
      <c r="C2213" s="16">
        <v>46259</v>
      </c>
      <c r="D2213">
        <v>13270.02</v>
      </c>
    </row>
    <row r="2214" spans="1:4" x14ac:dyDescent="0.3">
      <c r="A2214" s="82" t="s">
        <v>25</v>
      </c>
      <c r="B2214" s="82"/>
      <c r="C2214" s="16">
        <v>46259</v>
      </c>
      <c r="D2214">
        <v>24.450000000000003</v>
      </c>
    </row>
    <row r="2215" spans="1:4" x14ac:dyDescent="0.3">
      <c r="A2215" s="82" t="s">
        <v>26</v>
      </c>
      <c r="B2215" s="82"/>
      <c r="C2215" s="16">
        <v>46259</v>
      </c>
      <c r="D2215">
        <v>2177.87</v>
      </c>
    </row>
    <row r="2216" spans="1:4" x14ac:dyDescent="0.3">
      <c r="A2216" s="82" t="s">
        <v>27</v>
      </c>
      <c r="B2216" s="82"/>
      <c r="C2216" s="16">
        <v>46259</v>
      </c>
      <c r="D2216">
        <v>754424.72</v>
      </c>
    </row>
    <row r="2217" spans="1:4" x14ac:dyDescent="0.3">
      <c r="A2217" s="82" t="s">
        <v>28</v>
      </c>
      <c r="B2217" s="82"/>
      <c r="C2217" s="16">
        <v>46259</v>
      </c>
      <c r="D2217">
        <v>1968.99</v>
      </c>
    </row>
    <row r="2218" spans="1:4" x14ac:dyDescent="0.3">
      <c r="A2218" s="82" t="s">
        <v>29</v>
      </c>
      <c r="B2218" s="82"/>
      <c r="C2218" s="16">
        <v>46259</v>
      </c>
      <c r="D2218">
        <v>901.34</v>
      </c>
    </row>
    <row r="2219" spans="1:4" x14ac:dyDescent="0.3">
      <c r="A2219" s="82" t="s">
        <v>30</v>
      </c>
      <c r="B2219" s="82"/>
      <c r="C2219" s="16">
        <v>46259</v>
      </c>
      <c r="D2219">
        <v>1396.08</v>
      </c>
    </row>
    <row r="2220" spans="1:4" x14ac:dyDescent="0.3">
      <c r="A2220" s="82" t="s">
        <v>31</v>
      </c>
      <c r="B2220" s="82"/>
      <c r="C2220" s="16">
        <v>46259</v>
      </c>
      <c r="D2220">
        <v>13685.709999999959</v>
      </c>
    </row>
    <row r="2221" spans="1:4" x14ac:dyDescent="0.3">
      <c r="A2221" s="82" t="s">
        <v>32</v>
      </c>
      <c r="B2221" s="82"/>
      <c r="C2221" s="16">
        <v>46259</v>
      </c>
      <c r="D2221">
        <v>8724.1700000000037</v>
      </c>
    </row>
    <row r="2222" spans="1:4" x14ac:dyDescent="0.3">
      <c r="A2222" s="82" t="s">
        <v>33</v>
      </c>
      <c r="B2222" s="82"/>
      <c r="C2222" s="16">
        <v>46259</v>
      </c>
      <c r="D2222">
        <v>19336.039999999997</v>
      </c>
    </row>
    <row r="2223" spans="1:4" x14ac:dyDescent="0.3">
      <c r="A2223" s="82" t="s">
        <v>34</v>
      </c>
      <c r="B2223" s="82"/>
      <c r="C2223" s="16">
        <v>46259</v>
      </c>
      <c r="D2223">
        <v>345</v>
      </c>
    </row>
    <row r="2224" spans="1:4" x14ac:dyDescent="0.3">
      <c r="A2224" s="82" t="s">
        <v>35</v>
      </c>
      <c r="B2224" s="82"/>
      <c r="C2224" s="16">
        <v>46259</v>
      </c>
      <c r="D2224">
        <v>12519.840000000004</v>
      </c>
    </row>
    <row r="2225" spans="1:4" x14ac:dyDescent="0.3">
      <c r="A2225" s="82" t="s">
        <v>17</v>
      </c>
      <c r="B2225" s="82"/>
      <c r="C2225" s="16">
        <v>46260</v>
      </c>
      <c r="D2225">
        <v>607429.86000000045</v>
      </c>
    </row>
    <row r="2226" spans="1:4" x14ac:dyDescent="0.3">
      <c r="A2226" s="82" t="s">
        <v>18</v>
      </c>
      <c r="B2226" s="82"/>
      <c r="C2226" s="16">
        <v>46260</v>
      </c>
      <c r="D2226">
        <v>90643.10000000018</v>
      </c>
    </row>
    <row r="2227" spans="1:4" x14ac:dyDescent="0.3">
      <c r="A2227" s="82" t="s">
        <v>19</v>
      </c>
      <c r="B2227" s="82"/>
      <c r="C2227" s="16">
        <v>46260</v>
      </c>
      <c r="D2227">
        <v>1669.89</v>
      </c>
    </row>
    <row r="2228" spans="1:4" x14ac:dyDescent="0.3">
      <c r="A2228" s="82" t="s">
        <v>20</v>
      </c>
      <c r="B2228" s="82"/>
      <c r="C2228" s="16">
        <v>46260</v>
      </c>
      <c r="D2228">
        <v>1100694.23</v>
      </c>
    </row>
    <row r="2229" spans="1:4" x14ac:dyDescent="0.3">
      <c r="A2229" s="82" t="s">
        <v>21</v>
      </c>
      <c r="B2229" s="82"/>
      <c r="C2229" s="16">
        <v>46260</v>
      </c>
      <c r="D2229">
        <v>1757531.7099999995</v>
      </c>
    </row>
    <row r="2230" spans="1:4" x14ac:dyDescent="0.3">
      <c r="A2230" s="82" t="s">
        <v>22</v>
      </c>
      <c r="B2230" s="82"/>
      <c r="C2230" s="16">
        <v>46260</v>
      </c>
      <c r="D2230">
        <v>221496.38</v>
      </c>
    </row>
    <row r="2231" spans="1:4" x14ac:dyDescent="0.3">
      <c r="A2231" s="82" t="s">
        <v>23</v>
      </c>
      <c r="B2231" s="82"/>
      <c r="C2231" s="16">
        <v>46260</v>
      </c>
      <c r="D2231">
        <v>158071.25999999998</v>
      </c>
    </row>
    <row r="2232" spans="1:4" x14ac:dyDescent="0.3">
      <c r="A2232" s="82" t="s">
        <v>24</v>
      </c>
      <c r="B2232" s="82"/>
      <c r="C2232" s="16">
        <v>46260</v>
      </c>
      <c r="D2232">
        <v>13270.02</v>
      </c>
    </row>
    <row r="2233" spans="1:4" x14ac:dyDescent="0.3">
      <c r="A2233" s="82" t="s">
        <v>25</v>
      </c>
      <c r="B2233" s="82"/>
      <c r="C2233" s="16">
        <v>46260</v>
      </c>
      <c r="D2233">
        <v>24.450000000000003</v>
      </c>
    </row>
    <row r="2234" spans="1:4" x14ac:dyDescent="0.3">
      <c r="A2234" s="82" t="s">
        <v>26</v>
      </c>
      <c r="B2234" s="82"/>
      <c r="C2234" s="16">
        <v>46260</v>
      </c>
      <c r="D2234">
        <v>2177.87</v>
      </c>
    </row>
    <row r="2235" spans="1:4" x14ac:dyDescent="0.3">
      <c r="A2235" s="82" t="s">
        <v>27</v>
      </c>
      <c r="B2235" s="82"/>
      <c r="C2235" s="16">
        <v>46260</v>
      </c>
      <c r="D2235">
        <v>754424.72</v>
      </c>
    </row>
    <row r="2236" spans="1:4" x14ac:dyDescent="0.3">
      <c r="A2236" s="82" t="s">
        <v>28</v>
      </c>
      <c r="B2236" s="82"/>
      <c r="C2236" s="16">
        <v>46260</v>
      </c>
      <c r="D2236">
        <v>1968.99</v>
      </c>
    </row>
    <row r="2237" spans="1:4" x14ac:dyDescent="0.3">
      <c r="A2237" s="82" t="s">
        <v>29</v>
      </c>
      <c r="B2237" s="82"/>
      <c r="C2237" s="16">
        <v>46260</v>
      </c>
      <c r="D2237">
        <v>901.34</v>
      </c>
    </row>
    <row r="2238" spans="1:4" x14ac:dyDescent="0.3">
      <c r="A2238" s="82" t="s">
        <v>30</v>
      </c>
      <c r="B2238" s="82"/>
      <c r="C2238" s="16">
        <v>46260</v>
      </c>
      <c r="D2238">
        <v>1396.08</v>
      </c>
    </row>
    <row r="2239" spans="1:4" x14ac:dyDescent="0.3">
      <c r="A2239" s="82" t="s">
        <v>31</v>
      </c>
      <c r="B2239" s="82"/>
      <c r="C2239" s="16">
        <v>46260</v>
      </c>
      <c r="D2239">
        <v>13685.709999999959</v>
      </c>
    </row>
    <row r="2240" spans="1:4" x14ac:dyDescent="0.3">
      <c r="A2240" s="82" t="s">
        <v>32</v>
      </c>
      <c r="B2240" s="82"/>
      <c r="C2240" s="16">
        <v>46260</v>
      </c>
      <c r="D2240">
        <v>8724.1700000000037</v>
      </c>
    </row>
    <row r="2241" spans="1:4" x14ac:dyDescent="0.3">
      <c r="A2241" s="82" t="s">
        <v>33</v>
      </c>
      <c r="B2241" s="82"/>
      <c r="C2241" s="16">
        <v>46260</v>
      </c>
      <c r="D2241">
        <v>19336.039999999997</v>
      </c>
    </row>
    <row r="2242" spans="1:4" x14ac:dyDescent="0.3">
      <c r="A2242" s="82" t="s">
        <v>34</v>
      </c>
      <c r="B2242" s="82"/>
      <c r="C2242" s="16">
        <v>46260</v>
      </c>
      <c r="D2242">
        <v>345</v>
      </c>
    </row>
    <row r="2243" spans="1:4" x14ac:dyDescent="0.3">
      <c r="A2243" s="82" t="s">
        <v>35</v>
      </c>
      <c r="B2243" s="82"/>
      <c r="C2243" s="16">
        <v>46260</v>
      </c>
      <c r="D2243">
        <v>12519.840000000004</v>
      </c>
    </row>
    <row r="2244" spans="1:4" x14ac:dyDescent="0.3">
      <c r="A2244" s="82" t="s">
        <v>17</v>
      </c>
      <c r="B2244" s="82"/>
      <c r="C2244" s="16">
        <v>46261</v>
      </c>
      <c r="D2244">
        <v>659426.92000000051</v>
      </c>
    </row>
    <row r="2245" spans="1:4" x14ac:dyDescent="0.3">
      <c r="A2245" s="82" t="s">
        <v>18</v>
      </c>
      <c r="B2245" s="82"/>
      <c r="C2245" s="16">
        <v>46261</v>
      </c>
      <c r="D2245">
        <v>90643.10000000018</v>
      </c>
    </row>
    <row r="2246" spans="1:4" x14ac:dyDescent="0.3">
      <c r="A2246" s="82" t="s">
        <v>19</v>
      </c>
      <c r="B2246" s="82"/>
      <c r="C2246" s="16">
        <v>46261</v>
      </c>
      <c r="D2246">
        <v>1669.89</v>
      </c>
    </row>
    <row r="2247" spans="1:4" x14ac:dyDescent="0.3">
      <c r="A2247" s="82" t="s">
        <v>20</v>
      </c>
      <c r="B2247" s="82"/>
      <c r="C2247" s="16">
        <v>46261</v>
      </c>
      <c r="D2247">
        <v>1225694.23</v>
      </c>
    </row>
    <row r="2248" spans="1:4" x14ac:dyDescent="0.3">
      <c r="A2248" s="82" t="s">
        <v>21</v>
      </c>
      <c r="B2248" s="82"/>
      <c r="C2248" s="16">
        <v>46261</v>
      </c>
      <c r="D2248">
        <v>1733606.8399999996</v>
      </c>
    </row>
    <row r="2249" spans="1:4" x14ac:dyDescent="0.3">
      <c r="A2249" s="82" t="s">
        <v>22</v>
      </c>
      <c r="B2249" s="82"/>
      <c r="C2249" s="16">
        <v>46261</v>
      </c>
      <c r="D2249">
        <v>221496.38</v>
      </c>
    </row>
    <row r="2250" spans="1:4" x14ac:dyDescent="0.3">
      <c r="A2250" s="82" t="s">
        <v>23</v>
      </c>
      <c r="B2250" s="82"/>
      <c r="C2250" s="16">
        <v>46261</v>
      </c>
      <c r="D2250">
        <v>158071.25999999998</v>
      </c>
    </row>
    <row r="2251" spans="1:4" x14ac:dyDescent="0.3">
      <c r="A2251" s="82" t="s">
        <v>24</v>
      </c>
      <c r="B2251" s="82"/>
      <c r="C2251" s="16">
        <v>46261</v>
      </c>
      <c r="D2251">
        <v>13270.02</v>
      </c>
    </row>
    <row r="2252" spans="1:4" x14ac:dyDescent="0.3">
      <c r="A2252" s="82" t="s">
        <v>25</v>
      </c>
      <c r="B2252" s="82"/>
      <c r="C2252" s="16">
        <v>46261</v>
      </c>
      <c r="D2252">
        <v>124.45</v>
      </c>
    </row>
    <row r="2253" spans="1:4" x14ac:dyDescent="0.3">
      <c r="A2253" s="82" t="s">
        <v>26</v>
      </c>
      <c r="B2253" s="82"/>
      <c r="C2253" s="16">
        <v>46261</v>
      </c>
      <c r="D2253">
        <v>2177.87</v>
      </c>
    </row>
    <row r="2254" spans="1:4" x14ac:dyDescent="0.3">
      <c r="A2254" s="82" t="s">
        <v>27</v>
      </c>
      <c r="B2254" s="82"/>
      <c r="C2254" s="16">
        <v>46261</v>
      </c>
      <c r="D2254">
        <v>754424.72</v>
      </c>
    </row>
    <row r="2255" spans="1:4" x14ac:dyDescent="0.3">
      <c r="A2255" s="82" t="s">
        <v>28</v>
      </c>
      <c r="B2255" s="82"/>
      <c r="C2255" s="16">
        <v>46261</v>
      </c>
      <c r="D2255">
        <v>1968.99</v>
      </c>
    </row>
    <row r="2256" spans="1:4" x14ac:dyDescent="0.3">
      <c r="A2256" s="82" t="s">
        <v>29</v>
      </c>
      <c r="B2256" s="82"/>
      <c r="C2256" s="16">
        <v>46261</v>
      </c>
      <c r="D2256">
        <v>901.34</v>
      </c>
    </row>
    <row r="2257" spans="1:4" x14ac:dyDescent="0.3">
      <c r="A2257" s="82" t="s">
        <v>30</v>
      </c>
      <c r="B2257" s="82"/>
      <c r="C2257" s="16">
        <v>46261</v>
      </c>
      <c r="D2257">
        <v>1396.08</v>
      </c>
    </row>
    <row r="2258" spans="1:4" x14ac:dyDescent="0.3">
      <c r="A2258" s="82" t="s">
        <v>31</v>
      </c>
      <c r="B2258" s="82"/>
      <c r="C2258" s="16">
        <v>46261</v>
      </c>
      <c r="D2258">
        <v>33685.709999999963</v>
      </c>
    </row>
    <row r="2259" spans="1:4" x14ac:dyDescent="0.3">
      <c r="A2259" s="82" t="s">
        <v>32</v>
      </c>
      <c r="B2259" s="82"/>
      <c r="C2259" s="16">
        <v>46261</v>
      </c>
      <c r="D2259">
        <v>29724.170000000006</v>
      </c>
    </row>
    <row r="2260" spans="1:4" x14ac:dyDescent="0.3">
      <c r="A2260" s="82" t="s">
        <v>33</v>
      </c>
      <c r="B2260" s="82"/>
      <c r="C2260" s="16">
        <v>46261</v>
      </c>
      <c r="D2260">
        <v>19336.039999999997</v>
      </c>
    </row>
    <row r="2261" spans="1:4" x14ac:dyDescent="0.3">
      <c r="A2261" s="82" t="s">
        <v>34</v>
      </c>
      <c r="B2261" s="82"/>
      <c r="C2261" s="16">
        <v>46261</v>
      </c>
      <c r="D2261">
        <v>345</v>
      </c>
    </row>
    <row r="2262" spans="1:4" x14ac:dyDescent="0.3">
      <c r="A2262" s="82" t="s">
        <v>35</v>
      </c>
      <c r="B2262" s="82"/>
      <c r="C2262" s="16">
        <v>46261</v>
      </c>
      <c r="D2262">
        <v>9608.7000000000025</v>
      </c>
    </row>
    <row r="2263" spans="1:4" x14ac:dyDescent="0.3">
      <c r="A2263" s="82" t="s">
        <v>17</v>
      </c>
      <c r="B2263" s="82"/>
      <c r="C2263" s="16">
        <v>46262</v>
      </c>
      <c r="D2263">
        <v>824764.1600000005</v>
      </c>
    </row>
    <row r="2264" spans="1:4" x14ac:dyDescent="0.3">
      <c r="A2264" s="82" t="s">
        <v>18</v>
      </c>
      <c r="B2264" s="82"/>
      <c r="C2264" s="16">
        <v>46262</v>
      </c>
      <c r="D2264">
        <v>93280.230000000171</v>
      </c>
    </row>
    <row r="2265" spans="1:4" x14ac:dyDescent="0.3">
      <c r="A2265" s="82" t="s">
        <v>19</v>
      </c>
      <c r="B2265" s="82"/>
      <c r="C2265" s="16">
        <v>46262</v>
      </c>
      <c r="D2265">
        <v>1669.89</v>
      </c>
    </row>
    <row r="2266" spans="1:4" x14ac:dyDescent="0.3">
      <c r="A2266" s="82" t="s">
        <v>20</v>
      </c>
      <c r="B2266" s="82"/>
      <c r="C2266" s="16">
        <v>46262</v>
      </c>
      <c r="D2266">
        <v>1249485.67</v>
      </c>
    </row>
    <row r="2267" spans="1:4" x14ac:dyDescent="0.3">
      <c r="A2267" s="82" t="s">
        <v>21</v>
      </c>
      <c r="B2267" s="82"/>
      <c r="C2267" s="16">
        <v>46262</v>
      </c>
      <c r="D2267">
        <v>1567409.3099999996</v>
      </c>
    </row>
    <row r="2268" spans="1:4" x14ac:dyDescent="0.3">
      <c r="A2268" s="82" t="s">
        <v>22</v>
      </c>
      <c r="B2268" s="82"/>
      <c r="C2268" s="16">
        <v>46262</v>
      </c>
      <c r="D2268">
        <v>221496.38</v>
      </c>
    </row>
    <row r="2269" spans="1:4" x14ac:dyDescent="0.3">
      <c r="A2269" s="82" t="s">
        <v>23</v>
      </c>
      <c r="B2269" s="82"/>
      <c r="C2269" s="16">
        <v>46262</v>
      </c>
      <c r="D2269">
        <v>98169.25999999998</v>
      </c>
    </row>
    <row r="2270" spans="1:4" x14ac:dyDescent="0.3">
      <c r="A2270" s="82" t="s">
        <v>24</v>
      </c>
      <c r="B2270" s="82"/>
      <c r="C2270" s="16">
        <v>46262</v>
      </c>
      <c r="D2270">
        <v>13270.02</v>
      </c>
    </row>
    <row r="2271" spans="1:4" x14ac:dyDescent="0.3">
      <c r="A2271" s="82" t="s">
        <v>25</v>
      </c>
      <c r="B2271" s="82"/>
      <c r="C2271" s="16">
        <v>46262</v>
      </c>
      <c r="D2271">
        <v>124.45</v>
      </c>
    </row>
    <row r="2272" spans="1:4" x14ac:dyDescent="0.3">
      <c r="A2272" s="82" t="s">
        <v>26</v>
      </c>
      <c r="B2272" s="82"/>
      <c r="C2272" s="16">
        <v>46262</v>
      </c>
      <c r="D2272">
        <v>2177.87</v>
      </c>
    </row>
    <row r="2273" spans="1:4" x14ac:dyDescent="0.3">
      <c r="A2273" s="82" t="s">
        <v>27</v>
      </c>
      <c r="B2273" s="82"/>
      <c r="C2273" s="16">
        <v>46262</v>
      </c>
      <c r="D2273">
        <v>754424.72</v>
      </c>
    </row>
    <row r="2274" spans="1:4" x14ac:dyDescent="0.3">
      <c r="A2274" s="82" t="s">
        <v>28</v>
      </c>
      <c r="B2274" s="82"/>
      <c r="C2274" s="16">
        <v>46262</v>
      </c>
      <c r="D2274">
        <v>1968.99</v>
      </c>
    </row>
    <row r="2275" spans="1:4" x14ac:dyDescent="0.3">
      <c r="A2275" s="82" t="s">
        <v>29</v>
      </c>
      <c r="B2275" s="82"/>
      <c r="C2275" s="16">
        <v>46262</v>
      </c>
      <c r="D2275">
        <v>901.34</v>
      </c>
    </row>
    <row r="2276" spans="1:4" x14ac:dyDescent="0.3">
      <c r="A2276" s="82" t="s">
        <v>30</v>
      </c>
      <c r="B2276" s="82"/>
      <c r="C2276" s="16">
        <v>46262</v>
      </c>
      <c r="D2276">
        <v>1396.08</v>
      </c>
    </row>
    <row r="2277" spans="1:4" x14ac:dyDescent="0.3">
      <c r="A2277" s="82" t="s">
        <v>31</v>
      </c>
      <c r="B2277" s="82"/>
      <c r="C2277" s="16">
        <v>46262</v>
      </c>
      <c r="D2277">
        <v>33670.709999999963</v>
      </c>
    </row>
    <row r="2278" spans="1:4" x14ac:dyDescent="0.3">
      <c r="A2278" s="82" t="s">
        <v>32</v>
      </c>
      <c r="B2278" s="82"/>
      <c r="C2278" s="16">
        <v>46262</v>
      </c>
      <c r="D2278">
        <v>29709.170000000006</v>
      </c>
    </row>
    <row r="2279" spans="1:4" x14ac:dyDescent="0.3">
      <c r="A2279" s="82" t="s">
        <v>33</v>
      </c>
      <c r="B2279" s="82"/>
      <c r="C2279" s="16">
        <v>46262</v>
      </c>
      <c r="D2279">
        <v>19336.039999999997</v>
      </c>
    </row>
    <row r="2280" spans="1:4" x14ac:dyDescent="0.3">
      <c r="A2280" s="82" t="s">
        <v>34</v>
      </c>
      <c r="B2280" s="82"/>
      <c r="C2280" s="16">
        <v>46262</v>
      </c>
      <c r="D2280">
        <v>345</v>
      </c>
    </row>
    <row r="2281" spans="1:4" x14ac:dyDescent="0.3">
      <c r="A2281" s="82" t="s">
        <v>35</v>
      </c>
      <c r="B2281" s="82"/>
      <c r="C2281" s="16">
        <v>46262</v>
      </c>
      <c r="D2281">
        <v>9560.0000000000018</v>
      </c>
    </row>
    <row r="2282" spans="1:4" x14ac:dyDescent="0.3">
      <c r="A2282" s="82" t="s">
        <v>17</v>
      </c>
      <c r="B2282" s="82"/>
      <c r="C2282" s="16">
        <v>46263</v>
      </c>
      <c r="D2282">
        <v>824764.1600000005</v>
      </c>
    </row>
    <row r="2283" spans="1:4" x14ac:dyDescent="0.3">
      <c r="A2283" s="82" t="s">
        <v>18</v>
      </c>
      <c r="B2283" s="82"/>
      <c r="C2283" s="16">
        <v>46263</v>
      </c>
      <c r="D2283">
        <v>93280.230000000171</v>
      </c>
    </row>
    <row r="2284" spans="1:4" x14ac:dyDescent="0.3">
      <c r="A2284" s="82" t="s">
        <v>19</v>
      </c>
      <c r="B2284" s="82"/>
      <c r="C2284" s="16">
        <v>46263</v>
      </c>
      <c r="D2284">
        <v>1669.89</v>
      </c>
    </row>
    <row r="2285" spans="1:4" x14ac:dyDescent="0.3">
      <c r="A2285" s="82" t="s">
        <v>20</v>
      </c>
      <c r="B2285" s="82"/>
      <c r="C2285" s="16">
        <v>46263</v>
      </c>
      <c r="D2285">
        <v>1249485.67</v>
      </c>
    </row>
    <row r="2286" spans="1:4" x14ac:dyDescent="0.3">
      <c r="A2286" s="82" t="s">
        <v>21</v>
      </c>
      <c r="B2286" s="82"/>
      <c r="C2286" s="16">
        <v>46263</v>
      </c>
      <c r="D2286">
        <v>1567409.3099999996</v>
      </c>
    </row>
    <row r="2287" spans="1:4" x14ac:dyDescent="0.3">
      <c r="A2287" s="82" t="s">
        <v>22</v>
      </c>
      <c r="B2287" s="82"/>
      <c r="C2287" s="16">
        <v>46263</v>
      </c>
      <c r="D2287">
        <v>221496.38</v>
      </c>
    </row>
    <row r="2288" spans="1:4" x14ac:dyDescent="0.3">
      <c r="A2288" s="82" t="s">
        <v>23</v>
      </c>
      <c r="B2288" s="82"/>
      <c r="C2288" s="16">
        <v>46263</v>
      </c>
      <c r="D2288">
        <v>98169.25999999998</v>
      </c>
    </row>
    <row r="2289" spans="1:4" x14ac:dyDescent="0.3">
      <c r="A2289" s="82" t="s">
        <v>24</v>
      </c>
      <c r="B2289" s="82"/>
      <c r="C2289" s="16">
        <v>46263</v>
      </c>
      <c r="D2289">
        <v>13270.02</v>
      </c>
    </row>
    <row r="2290" spans="1:4" x14ac:dyDescent="0.3">
      <c r="A2290" s="82" t="s">
        <v>25</v>
      </c>
      <c r="B2290" s="82"/>
      <c r="C2290" s="16">
        <v>46263</v>
      </c>
      <c r="D2290">
        <v>124.45</v>
      </c>
    </row>
    <row r="2291" spans="1:4" x14ac:dyDescent="0.3">
      <c r="A2291" s="82" t="s">
        <v>26</v>
      </c>
      <c r="B2291" s="82"/>
      <c r="C2291" s="16">
        <v>46263</v>
      </c>
      <c r="D2291">
        <v>2177.87</v>
      </c>
    </row>
    <row r="2292" spans="1:4" x14ac:dyDescent="0.3">
      <c r="A2292" s="82" t="s">
        <v>27</v>
      </c>
      <c r="B2292" s="82"/>
      <c r="C2292" s="16">
        <v>46263</v>
      </c>
      <c r="D2292">
        <v>754424.72</v>
      </c>
    </row>
    <row r="2293" spans="1:4" x14ac:dyDescent="0.3">
      <c r="A2293" s="82" t="s">
        <v>28</v>
      </c>
      <c r="B2293" s="82"/>
      <c r="C2293" s="16">
        <v>46263</v>
      </c>
      <c r="D2293">
        <v>1968.99</v>
      </c>
    </row>
    <row r="2294" spans="1:4" x14ac:dyDescent="0.3">
      <c r="A2294" s="82" t="s">
        <v>29</v>
      </c>
      <c r="B2294" s="82"/>
      <c r="C2294" s="16">
        <v>46263</v>
      </c>
      <c r="D2294">
        <v>901.34</v>
      </c>
    </row>
    <row r="2295" spans="1:4" x14ac:dyDescent="0.3">
      <c r="A2295" s="82" t="s">
        <v>30</v>
      </c>
      <c r="B2295" s="82"/>
      <c r="C2295" s="16">
        <v>46263</v>
      </c>
      <c r="D2295">
        <v>1396.08</v>
      </c>
    </row>
    <row r="2296" spans="1:4" x14ac:dyDescent="0.3">
      <c r="A2296" s="82" t="s">
        <v>31</v>
      </c>
      <c r="B2296" s="82"/>
      <c r="C2296" s="16">
        <v>46263</v>
      </c>
      <c r="D2296">
        <v>33670.709999999963</v>
      </c>
    </row>
    <row r="2297" spans="1:4" x14ac:dyDescent="0.3">
      <c r="A2297" s="82" t="s">
        <v>32</v>
      </c>
      <c r="B2297" s="82"/>
      <c r="C2297" s="16">
        <v>46263</v>
      </c>
      <c r="D2297">
        <v>29709.170000000006</v>
      </c>
    </row>
    <row r="2298" spans="1:4" x14ac:dyDescent="0.3">
      <c r="A2298" s="82" t="s">
        <v>33</v>
      </c>
      <c r="B2298" s="82"/>
      <c r="C2298" s="16">
        <v>46263</v>
      </c>
      <c r="D2298">
        <v>19336.039999999997</v>
      </c>
    </row>
    <row r="2299" spans="1:4" x14ac:dyDescent="0.3">
      <c r="A2299" s="82" t="s">
        <v>34</v>
      </c>
      <c r="B2299" s="82"/>
      <c r="C2299" s="16">
        <v>46263</v>
      </c>
      <c r="D2299">
        <v>345</v>
      </c>
    </row>
    <row r="2300" spans="1:4" x14ac:dyDescent="0.3">
      <c r="A2300" s="82" t="s">
        <v>35</v>
      </c>
      <c r="B2300" s="82"/>
      <c r="C2300" s="16">
        <v>46263</v>
      </c>
      <c r="D2300">
        <v>9560.0000000000018</v>
      </c>
    </row>
    <row r="2301" spans="1:4" x14ac:dyDescent="0.3">
      <c r="A2301" s="82" t="s">
        <v>17</v>
      </c>
      <c r="B2301" s="82"/>
      <c r="C2301" s="16">
        <v>46264</v>
      </c>
      <c r="D2301">
        <v>824764.1600000005</v>
      </c>
    </row>
    <row r="2302" spans="1:4" x14ac:dyDescent="0.3">
      <c r="A2302" s="82" t="s">
        <v>18</v>
      </c>
      <c r="B2302" s="82"/>
      <c r="C2302" s="16">
        <v>46264</v>
      </c>
      <c r="D2302">
        <v>93280.230000000171</v>
      </c>
    </row>
    <row r="2303" spans="1:4" x14ac:dyDescent="0.3">
      <c r="A2303" s="82" t="s">
        <v>19</v>
      </c>
      <c r="B2303" s="82"/>
      <c r="C2303" s="16">
        <v>46264</v>
      </c>
      <c r="D2303">
        <v>1669.89</v>
      </c>
    </row>
    <row r="2304" spans="1:4" x14ac:dyDescent="0.3">
      <c r="A2304" s="82" t="s">
        <v>20</v>
      </c>
      <c r="B2304" s="82"/>
      <c r="C2304" s="16">
        <v>46264</v>
      </c>
      <c r="D2304">
        <v>1249485.67</v>
      </c>
    </row>
    <row r="2305" spans="1:4" x14ac:dyDescent="0.3">
      <c r="A2305" s="82" t="s">
        <v>21</v>
      </c>
      <c r="B2305" s="82"/>
      <c r="C2305" s="16">
        <v>46264</v>
      </c>
      <c r="D2305">
        <v>1567409.3099999996</v>
      </c>
    </row>
    <row r="2306" spans="1:4" x14ac:dyDescent="0.3">
      <c r="A2306" s="82" t="s">
        <v>22</v>
      </c>
      <c r="B2306" s="82"/>
      <c r="C2306" s="16">
        <v>46264</v>
      </c>
      <c r="D2306">
        <v>221496.38</v>
      </c>
    </row>
    <row r="2307" spans="1:4" x14ac:dyDescent="0.3">
      <c r="A2307" s="82" t="s">
        <v>23</v>
      </c>
      <c r="B2307" s="82"/>
      <c r="C2307" s="16">
        <v>46264</v>
      </c>
      <c r="D2307">
        <v>98169.25999999998</v>
      </c>
    </row>
    <row r="2308" spans="1:4" x14ac:dyDescent="0.3">
      <c r="A2308" s="82" t="s">
        <v>24</v>
      </c>
      <c r="B2308" s="82"/>
      <c r="C2308" s="16">
        <v>46264</v>
      </c>
      <c r="D2308">
        <v>13270.02</v>
      </c>
    </row>
    <row r="2309" spans="1:4" x14ac:dyDescent="0.3">
      <c r="A2309" s="82" t="s">
        <v>25</v>
      </c>
      <c r="B2309" s="82"/>
      <c r="C2309" s="16">
        <v>46264</v>
      </c>
      <c r="D2309">
        <v>124.45</v>
      </c>
    </row>
    <row r="2310" spans="1:4" x14ac:dyDescent="0.3">
      <c r="A2310" s="82" t="s">
        <v>26</v>
      </c>
      <c r="B2310" s="82"/>
      <c r="C2310" s="16">
        <v>46264</v>
      </c>
      <c r="D2310">
        <v>2177.87</v>
      </c>
    </row>
    <row r="2311" spans="1:4" x14ac:dyDescent="0.3">
      <c r="A2311" s="82" t="s">
        <v>27</v>
      </c>
      <c r="B2311" s="82"/>
      <c r="C2311" s="16">
        <v>46264</v>
      </c>
      <c r="D2311">
        <v>754424.72</v>
      </c>
    </row>
    <row r="2312" spans="1:4" x14ac:dyDescent="0.3">
      <c r="A2312" s="82" t="s">
        <v>28</v>
      </c>
      <c r="B2312" s="82"/>
      <c r="C2312" s="16">
        <v>46264</v>
      </c>
      <c r="D2312">
        <v>1968.99</v>
      </c>
    </row>
    <row r="2313" spans="1:4" x14ac:dyDescent="0.3">
      <c r="A2313" s="82" t="s">
        <v>29</v>
      </c>
      <c r="B2313" s="82"/>
      <c r="C2313" s="16">
        <v>46264</v>
      </c>
      <c r="D2313">
        <v>901.34</v>
      </c>
    </row>
    <row r="2314" spans="1:4" x14ac:dyDescent="0.3">
      <c r="A2314" s="82" t="s">
        <v>30</v>
      </c>
      <c r="B2314" s="82"/>
      <c r="C2314" s="16">
        <v>46264</v>
      </c>
      <c r="D2314">
        <v>1396.08</v>
      </c>
    </row>
    <row r="2315" spans="1:4" x14ac:dyDescent="0.3">
      <c r="A2315" s="82" t="s">
        <v>31</v>
      </c>
      <c r="B2315" s="82"/>
      <c r="C2315" s="16">
        <v>46264</v>
      </c>
      <c r="D2315">
        <v>33670.709999999963</v>
      </c>
    </row>
    <row r="2316" spans="1:4" x14ac:dyDescent="0.3">
      <c r="A2316" s="82" t="s">
        <v>32</v>
      </c>
      <c r="B2316" s="82"/>
      <c r="C2316" s="16">
        <v>46264</v>
      </c>
      <c r="D2316">
        <v>29709.170000000006</v>
      </c>
    </row>
    <row r="2317" spans="1:4" x14ac:dyDescent="0.3">
      <c r="A2317" s="82" t="s">
        <v>33</v>
      </c>
      <c r="B2317" s="82"/>
      <c r="C2317" s="16">
        <v>46264</v>
      </c>
      <c r="D2317">
        <v>19336.039999999997</v>
      </c>
    </row>
    <row r="2318" spans="1:4" x14ac:dyDescent="0.3">
      <c r="A2318" s="82" t="s">
        <v>34</v>
      </c>
      <c r="B2318" s="82"/>
      <c r="C2318" s="16">
        <v>46264</v>
      </c>
      <c r="D2318">
        <v>345</v>
      </c>
    </row>
    <row r="2319" spans="1:4" x14ac:dyDescent="0.3">
      <c r="A2319" s="82" t="s">
        <v>35</v>
      </c>
      <c r="B2319" s="82"/>
      <c r="C2319" s="16">
        <v>46264</v>
      </c>
      <c r="D2319">
        <v>9560.0000000000018</v>
      </c>
    </row>
    <row r="2320" spans="1:4" x14ac:dyDescent="0.3">
      <c r="A2320" s="82" t="s">
        <v>17</v>
      </c>
      <c r="B2320" s="82"/>
      <c r="C2320" s="16">
        <v>46265</v>
      </c>
      <c r="D2320">
        <v>821786.21000000054</v>
      </c>
    </row>
    <row r="2321" spans="1:4" x14ac:dyDescent="0.3">
      <c r="A2321" s="82" t="s">
        <v>18</v>
      </c>
      <c r="B2321" s="82"/>
      <c r="C2321" s="16">
        <v>46265</v>
      </c>
      <c r="D2321">
        <v>93280.230000000171</v>
      </c>
    </row>
    <row r="2322" spans="1:4" x14ac:dyDescent="0.3">
      <c r="A2322" s="82" t="s">
        <v>19</v>
      </c>
      <c r="B2322" s="82"/>
      <c r="C2322" s="16">
        <v>46265</v>
      </c>
      <c r="D2322">
        <v>1669.89</v>
      </c>
    </row>
    <row r="2323" spans="1:4" x14ac:dyDescent="0.3">
      <c r="A2323" s="82" t="s">
        <v>20</v>
      </c>
      <c r="B2323" s="82"/>
      <c r="C2323" s="16">
        <v>46265</v>
      </c>
      <c r="D2323">
        <v>1250938</v>
      </c>
    </row>
    <row r="2324" spans="1:4" x14ac:dyDescent="0.3">
      <c r="A2324" s="82" t="s">
        <v>21</v>
      </c>
      <c r="B2324" s="82"/>
      <c r="C2324" s="16">
        <v>46265</v>
      </c>
      <c r="D2324">
        <v>1569843.3299999996</v>
      </c>
    </row>
    <row r="2325" spans="1:4" x14ac:dyDescent="0.3">
      <c r="A2325" s="82" t="s">
        <v>22</v>
      </c>
      <c r="B2325" s="82"/>
      <c r="C2325" s="16">
        <v>46265</v>
      </c>
      <c r="D2325">
        <v>221496.38</v>
      </c>
    </row>
    <row r="2326" spans="1:4" x14ac:dyDescent="0.3">
      <c r="A2326" s="82" t="s">
        <v>23</v>
      </c>
      <c r="B2326" s="82"/>
      <c r="C2326" s="16">
        <v>46265</v>
      </c>
      <c r="D2326">
        <v>98169.25999999998</v>
      </c>
    </row>
    <row r="2327" spans="1:4" x14ac:dyDescent="0.3">
      <c r="A2327" s="82" t="s">
        <v>24</v>
      </c>
      <c r="B2327" s="82"/>
      <c r="C2327" s="16">
        <v>46265</v>
      </c>
      <c r="D2327">
        <v>13270.02</v>
      </c>
    </row>
    <row r="2328" spans="1:4" x14ac:dyDescent="0.3">
      <c r="A2328" s="82" t="s">
        <v>25</v>
      </c>
      <c r="B2328" s="82"/>
      <c r="C2328" s="16">
        <v>46265</v>
      </c>
      <c r="D2328">
        <v>124.45</v>
      </c>
    </row>
    <row r="2329" spans="1:4" x14ac:dyDescent="0.3">
      <c r="A2329" s="82" t="s">
        <v>26</v>
      </c>
      <c r="B2329" s="82"/>
      <c r="C2329" s="16">
        <v>46265</v>
      </c>
      <c r="D2329">
        <v>2177.87</v>
      </c>
    </row>
    <row r="2330" spans="1:4" x14ac:dyDescent="0.3">
      <c r="A2330" s="82" t="s">
        <v>27</v>
      </c>
      <c r="B2330" s="82"/>
      <c r="C2330" s="16">
        <v>46265</v>
      </c>
      <c r="D2330">
        <v>754424.72</v>
      </c>
    </row>
    <row r="2331" spans="1:4" x14ac:dyDescent="0.3">
      <c r="A2331" s="82" t="s">
        <v>28</v>
      </c>
      <c r="B2331" s="82"/>
      <c r="C2331" s="16">
        <v>46265</v>
      </c>
      <c r="D2331">
        <v>1968.99</v>
      </c>
    </row>
    <row r="2332" spans="1:4" x14ac:dyDescent="0.3">
      <c r="A2332" s="82" t="s">
        <v>29</v>
      </c>
      <c r="B2332" s="82"/>
      <c r="C2332" s="16">
        <v>46265</v>
      </c>
      <c r="D2332">
        <v>901.34</v>
      </c>
    </row>
    <row r="2333" spans="1:4" x14ac:dyDescent="0.3">
      <c r="A2333" s="82" t="s">
        <v>30</v>
      </c>
      <c r="B2333" s="82"/>
      <c r="C2333" s="16">
        <v>46265</v>
      </c>
      <c r="D2333">
        <v>1396.08</v>
      </c>
    </row>
    <row r="2334" spans="1:4" x14ac:dyDescent="0.3">
      <c r="A2334" s="82" t="s">
        <v>31</v>
      </c>
      <c r="B2334" s="82"/>
      <c r="C2334" s="16">
        <v>46265</v>
      </c>
      <c r="D2334">
        <v>33570.709999999963</v>
      </c>
    </row>
    <row r="2335" spans="1:4" x14ac:dyDescent="0.3">
      <c r="A2335" s="82" t="s">
        <v>32</v>
      </c>
      <c r="B2335" s="82"/>
      <c r="C2335" s="16">
        <v>46265</v>
      </c>
      <c r="D2335">
        <v>26559.170000000006</v>
      </c>
    </row>
    <row r="2336" spans="1:4" x14ac:dyDescent="0.3">
      <c r="A2336" s="82" t="s">
        <v>33</v>
      </c>
      <c r="B2336" s="82"/>
      <c r="C2336" s="16">
        <v>46265</v>
      </c>
      <c r="D2336">
        <v>23736.039999999997</v>
      </c>
    </row>
    <row r="2337" spans="1:4" x14ac:dyDescent="0.3">
      <c r="A2337" s="82" t="s">
        <v>34</v>
      </c>
      <c r="B2337" s="82"/>
      <c r="C2337" s="16">
        <v>46265</v>
      </c>
      <c r="D2337">
        <v>345</v>
      </c>
    </row>
    <row r="2338" spans="1:4" x14ac:dyDescent="0.3">
      <c r="A2338" s="82" t="s">
        <v>35</v>
      </c>
      <c r="B2338" s="82"/>
      <c r="C2338" s="16">
        <v>46265</v>
      </c>
      <c r="D2338">
        <v>9560.0000000000018</v>
      </c>
    </row>
    <row r="2339" spans="1:4" x14ac:dyDescent="0.3">
      <c r="A2339" s="82" t="s">
        <v>17</v>
      </c>
      <c r="B2339" s="82"/>
      <c r="C2339" s="16">
        <v>46266</v>
      </c>
      <c r="D2339">
        <v>839010.72000000055</v>
      </c>
    </row>
    <row r="2340" spans="1:4" x14ac:dyDescent="0.3">
      <c r="A2340" s="82" t="s">
        <v>18</v>
      </c>
      <c r="B2340" s="82"/>
      <c r="C2340" s="16">
        <v>46266</v>
      </c>
      <c r="D2340">
        <v>93280.230000000171</v>
      </c>
    </row>
    <row r="2341" spans="1:4" x14ac:dyDescent="0.3">
      <c r="A2341" s="82" t="s">
        <v>19</v>
      </c>
      <c r="B2341" s="82"/>
      <c r="C2341" s="16">
        <v>46266</v>
      </c>
      <c r="D2341">
        <v>1669.89</v>
      </c>
    </row>
    <row r="2342" spans="1:4" x14ac:dyDescent="0.3">
      <c r="A2342" s="82" t="s">
        <v>20</v>
      </c>
      <c r="B2342" s="82"/>
      <c r="C2342" s="16">
        <v>46266</v>
      </c>
      <c r="D2342">
        <v>1250938</v>
      </c>
    </row>
    <row r="2343" spans="1:4" x14ac:dyDescent="0.3">
      <c r="A2343" s="82" t="s">
        <v>21</v>
      </c>
      <c r="B2343" s="82"/>
      <c r="C2343" s="16">
        <v>46266</v>
      </c>
      <c r="D2343">
        <v>1499204.7399999998</v>
      </c>
    </row>
    <row r="2344" spans="1:4" x14ac:dyDescent="0.3">
      <c r="A2344" s="82" t="s">
        <v>22</v>
      </c>
      <c r="B2344" s="82"/>
      <c r="C2344" s="16">
        <v>46266</v>
      </c>
      <c r="D2344">
        <v>215496.38</v>
      </c>
    </row>
    <row r="2345" spans="1:4" x14ac:dyDescent="0.3">
      <c r="A2345" s="82" t="s">
        <v>23</v>
      </c>
      <c r="B2345" s="82"/>
      <c r="C2345" s="16">
        <v>46266</v>
      </c>
      <c r="D2345">
        <v>98169.25999999998</v>
      </c>
    </row>
    <row r="2346" spans="1:4" x14ac:dyDescent="0.3">
      <c r="A2346" s="82" t="s">
        <v>24</v>
      </c>
      <c r="B2346" s="82"/>
      <c r="C2346" s="16">
        <v>46266</v>
      </c>
      <c r="D2346">
        <v>13270.02</v>
      </c>
    </row>
    <row r="2347" spans="1:4" x14ac:dyDescent="0.3">
      <c r="A2347" s="82" t="s">
        <v>25</v>
      </c>
      <c r="B2347" s="82"/>
      <c r="C2347" s="16">
        <v>46266</v>
      </c>
      <c r="D2347">
        <v>94.5</v>
      </c>
    </row>
    <row r="2348" spans="1:4" x14ac:dyDescent="0.3">
      <c r="A2348" s="82" t="s">
        <v>26</v>
      </c>
      <c r="B2348" s="82"/>
      <c r="C2348" s="16">
        <v>46266</v>
      </c>
      <c r="D2348">
        <v>2147.92</v>
      </c>
    </row>
    <row r="2349" spans="1:4" x14ac:dyDescent="0.3">
      <c r="A2349" s="82" t="s">
        <v>27</v>
      </c>
      <c r="B2349" s="82"/>
      <c r="C2349" s="16">
        <v>46266</v>
      </c>
      <c r="D2349">
        <v>754424.72</v>
      </c>
    </row>
    <row r="2350" spans="1:4" x14ac:dyDescent="0.3">
      <c r="A2350" s="82" t="s">
        <v>28</v>
      </c>
      <c r="B2350" s="82"/>
      <c r="C2350" s="16">
        <v>46266</v>
      </c>
      <c r="D2350">
        <v>1968.99</v>
      </c>
    </row>
    <row r="2351" spans="1:4" x14ac:dyDescent="0.3">
      <c r="A2351" s="82" t="s">
        <v>29</v>
      </c>
      <c r="B2351" s="82"/>
      <c r="C2351" s="16">
        <v>46266</v>
      </c>
      <c r="D2351">
        <v>901.34</v>
      </c>
    </row>
    <row r="2352" spans="1:4" x14ac:dyDescent="0.3">
      <c r="A2352" s="82" t="s">
        <v>30</v>
      </c>
      <c r="B2352" s="82"/>
      <c r="C2352" s="16">
        <v>46266</v>
      </c>
      <c r="D2352">
        <v>1380.08</v>
      </c>
    </row>
    <row r="2353" spans="1:4" x14ac:dyDescent="0.3">
      <c r="A2353" s="82" t="s">
        <v>31</v>
      </c>
      <c r="B2353" s="82"/>
      <c r="C2353" s="16">
        <v>46266</v>
      </c>
      <c r="D2353">
        <v>25027.379999999961</v>
      </c>
    </row>
    <row r="2354" spans="1:4" x14ac:dyDescent="0.3">
      <c r="A2354" s="82" t="s">
        <v>32</v>
      </c>
      <c r="B2354" s="82"/>
      <c r="C2354" s="16">
        <v>46266</v>
      </c>
      <c r="D2354">
        <v>16760.540000000008</v>
      </c>
    </row>
    <row r="2355" spans="1:4" x14ac:dyDescent="0.3">
      <c r="A2355" s="82" t="s">
        <v>33</v>
      </c>
      <c r="B2355" s="82"/>
      <c r="C2355" s="16">
        <v>46266</v>
      </c>
      <c r="D2355">
        <v>14962.999999999996</v>
      </c>
    </row>
    <row r="2356" spans="1:4" x14ac:dyDescent="0.3">
      <c r="A2356" s="82" t="s">
        <v>34</v>
      </c>
      <c r="B2356" s="82"/>
      <c r="C2356" s="16">
        <v>46266</v>
      </c>
      <c r="D2356">
        <v>345</v>
      </c>
    </row>
    <row r="2357" spans="1:4" x14ac:dyDescent="0.3">
      <c r="A2357" s="82" t="s">
        <v>35</v>
      </c>
      <c r="B2357" s="82"/>
      <c r="C2357" s="16">
        <v>46266</v>
      </c>
      <c r="D2357">
        <v>9549.7500000000018</v>
      </c>
    </row>
    <row r="2358" spans="1:4" x14ac:dyDescent="0.3">
      <c r="A2358" s="82" t="s">
        <v>17</v>
      </c>
      <c r="B2358" s="82"/>
      <c r="C2358" s="16">
        <v>46267</v>
      </c>
      <c r="D2358">
        <v>1549729.4500000007</v>
      </c>
    </row>
    <row r="2359" spans="1:4" x14ac:dyDescent="0.3">
      <c r="A2359" s="82" t="s">
        <v>18</v>
      </c>
      <c r="B2359" s="82"/>
      <c r="C2359" s="16">
        <v>46267</v>
      </c>
      <c r="D2359">
        <v>93280.230000000171</v>
      </c>
    </row>
    <row r="2360" spans="1:4" x14ac:dyDescent="0.3">
      <c r="A2360" s="82" t="s">
        <v>19</v>
      </c>
      <c r="B2360" s="82"/>
      <c r="C2360" s="16">
        <v>46267</v>
      </c>
      <c r="D2360">
        <v>1669.89</v>
      </c>
    </row>
    <row r="2361" spans="1:4" x14ac:dyDescent="0.3">
      <c r="A2361" s="82" t="s">
        <v>20</v>
      </c>
      <c r="B2361" s="82"/>
      <c r="C2361" s="16">
        <v>46267</v>
      </c>
      <c r="D2361">
        <v>1250938</v>
      </c>
    </row>
    <row r="2362" spans="1:4" x14ac:dyDescent="0.3">
      <c r="A2362" s="82" t="s">
        <v>21</v>
      </c>
      <c r="B2362" s="82"/>
      <c r="C2362" s="16">
        <v>46267</v>
      </c>
      <c r="D2362">
        <v>1499204.7399999998</v>
      </c>
    </row>
    <row r="2363" spans="1:4" x14ac:dyDescent="0.3">
      <c r="A2363" s="82" t="s">
        <v>22</v>
      </c>
      <c r="B2363" s="82"/>
      <c r="C2363" s="16">
        <v>46267</v>
      </c>
      <c r="D2363">
        <v>249778.14</v>
      </c>
    </row>
    <row r="2364" spans="1:4" x14ac:dyDescent="0.3">
      <c r="A2364" s="82" t="s">
        <v>23</v>
      </c>
      <c r="B2364" s="82"/>
      <c r="C2364" s="16">
        <v>46267</v>
      </c>
      <c r="D2364">
        <v>98169.25999999998</v>
      </c>
    </row>
    <row r="2365" spans="1:4" x14ac:dyDescent="0.3">
      <c r="A2365" s="82" t="s">
        <v>24</v>
      </c>
      <c r="B2365" s="82"/>
      <c r="C2365" s="16">
        <v>46267</v>
      </c>
      <c r="D2365">
        <v>13270.02</v>
      </c>
    </row>
    <row r="2366" spans="1:4" x14ac:dyDescent="0.3">
      <c r="A2366" s="82" t="s">
        <v>25</v>
      </c>
      <c r="B2366" s="82"/>
      <c r="C2366" s="16">
        <v>46267</v>
      </c>
      <c r="D2366">
        <v>94.5</v>
      </c>
    </row>
    <row r="2367" spans="1:4" x14ac:dyDescent="0.3">
      <c r="A2367" s="82" t="s">
        <v>26</v>
      </c>
      <c r="B2367" s="82"/>
      <c r="C2367" s="16">
        <v>46267</v>
      </c>
      <c r="D2367">
        <v>2147.92</v>
      </c>
    </row>
    <row r="2368" spans="1:4" x14ac:dyDescent="0.3">
      <c r="A2368" s="82" t="s">
        <v>27</v>
      </c>
      <c r="B2368" s="82"/>
      <c r="C2368" s="16">
        <v>46267</v>
      </c>
      <c r="D2368">
        <v>18005.290000000015</v>
      </c>
    </row>
    <row r="2369" spans="1:4" x14ac:dyDescent="0.3">
      <c r="A2369" s="82" t="s">
        <v>28</v>
      </c>
      <c r="B2369" s="82"/>
      <c r="C2369" s="16">
        <v>46267</v>
      </c>
      <c r="D2369">
        <v>1968.99</v>
      </c>
    </row>
    <row r="2370" spans="1:4" x14ac:dyDescent="0.3">
      <c r="A2370" s="82" t="s">
        <v>29</v>
      </c>
      <c r="B2370" s="82"/>
      <c r="C2370" s="16">
        <v>46267</v>
      </c>
      <c r="D2370">
        <v>901.34</v>
      </c>
    </row>
    <row r="2371" spans="1:4" x14ac:dyDescent="0.3">
      <c r="A2371" s="82" t="s">
        <v>30</v>
      </c>
      <c r="B2371" s="82"/>
      <c r="C2371" s="16">
        <v>46267</v>
      </c>
      <c r="D2371">
        <v>1380.08</v>
      </c>
    </row>
    <row r="2372" spans="1:4" x14ac:dyDescent="0.3">
      <c r="A2372" s="82" t="s">
        <v>31</v>
      </c>
      <c r="B2372" s="82"/>
      <c r="C2372" s="16">
        <v>46267</v>
      </c>
      <c r="D2372">
        <v>25027.379999999961</v>
      </c>
    </row>
    <row r="2373" spans="1:4" x14ac:dyDescent="0.3">
      <c r="A2373" s="82" t="s">
        <v>32</v>
      </c>
      <c r="B2373" s="82"/>
      <c r="C2373" s="16">
        <v>46267</v>
      </c>
      <c r="D2373">
        <v>16760.540000000008</v>
      </c>
    </row>
    <row r="2374" spans="1:4" x14ac:dyDescent="0.3">
      <c r="A2374" s="82" t="s">
        <v>33</v>
      </c>
      <c r="B2374" s="82"/>
      <c r="C2374" s="16">
        <v>46267</v>
      </c>
      <c r="D2374">
        <v>14162.999999999996</v>
      </c>
    </row>
    <row r="2375" spans="1:4" x14ac:dyDescent="0.3">
      <c r="A2375" s="82" t="s">
        <v>34</v>
      </c>
      <c r="B2375" s="82"/>
      <c r="C2375" s="16">
        <v>46267</v>
      </c>
      <c r="D2375">
        <v>345</v>
      </c>
    </row>
    <row r="2376" spans="1:4" x14ac:dyDescent="0.3">
      <c r="A2376" s="82" t="s">
        <v>35</v>
      </c>
      <c r="B2376" s="82"/>
      <c r="C2376" s="16">
        <v>46267</v>
      </c>
      <c r="D2376">
        <v>5861.1200000000026</v>
      </c>
    </row>
    <row r="2377" spans="1:4" x14ac:dyDescent="0.3">
      <c r="A2377" s="82" t="s">
        <v>17</v>
      </c>
      <c r="B2377" s="82"/>
      <c r="C2377" s="16">
        <v>46268</v>
      </c>
      <c r="D2377">
        <v>1549729.4500000007</v>
      </c>
    </row>
    <row r="2378" spans="1:4" x14ac:dyDescent="0.3">
      <c r="A2378" s="82" t="s">
        <v>18</v>
      </c>
      <c r="B2378" s="82"/>
      <c r="C2378" s="16">
        <v>46268</v>
      </c>
      <c r="D2378">
        <v>93280.230000000171</v>
      </c>
    </row>
    <row r="2379" spans="1:4" x14ac:dyDescent="0.3">
      <c r="A2379" s="82" t="s">
        <v>19</v>
      </c>
      <c r="B2379" s="82"/>
      <c r="C2379" s="16">
        <v>46268</v>
      </c>
      <c r="D2379">
        <v>1669.89</v>
      </c>
    </row>
    <row r="2380" spans="1:4" x14ac:dyDescent="0.3">
      <c r="A2380" s="82" t="s">
        <v>20</v>
      </c>
      <c r="B2380" s="82"/>
      <c r="C2380" s="16">
        <v>46268</v>
      </c>
      <c r="D2380">
        <v>1250938</v>
      </c>
    </row>
    <row r="2381" spans="1:4" x14ac:dyDescent="0.3">
      <c r="A2381" s="82" t="s">
        <v>21</v>
      </c>
      <c r="B2381" s="82"/>
      <c r="C2381" s="16">
        <v>46268</v>
      </c>
      <c r="D2381">
        <v>1499204.7399999998</v>
      </c>
    </row>
    <row r="2382" spans="1:4" x14ac:dyDescent="0.3">
      <c r="A2382" s="82" t="s">
        <v>22</v>
      </c>
      <c r="B2382" s="82"/>
      <c r="C2382" s="16">
        <v>46268</v>
      </c>
      <c r="D2382">
        <v>249778.14</v>
      </c>
    </row>
    <row r="2383" spans="1:4" x14ac:dyDescent="0.3">
      <c r="A2383" s="82" t="s">
        <v>23</v>
      </c>
      <c r="B2383" s="82"/>
      <c r="C2383" s="16">
        <v>46268</v>
      </c>
      <c r="D2383">
        <v>98169.25999999998</v>
      </c>
    </row>
    <row r="2384" spans="1:4" x14ac:dyDescent="0.3">
      <c r="A2384" s="82" t="s">
        <v>24</v>
      </c>
      <c r="B2384" s="82"/>
      <c r="C2384" s="16">
        <v>46268</v>
      </c>
      <c r="D2384">
        <v>13270.02</v>
      </c>
    </row>
    <row r="2385" spans="1:4" x14ac:dyDescent="0.3">
      <c r="A2385" s="82" t="s">
        <v>25</v>
      </c>
      <c r="B2385" s="82"/>
      <c r="C2385" s="16">
        <v>46268</v>
      </c>
      <c r="D2385">
        <v>94.5</v>
      </c>
    </row>
    <row r="2386" spans="1:4" x14ac:dyDescent="0.3">
      <c r="A2386" s="82" t="s">
        <v>26</v>
      </c>
      <c r="B2386" s="82"/>
      <c r="C2386" s="16">
        <v>46268</v>
      </c>
      <c r="D2386">
        <v>2147.92</v>
      </c>
    </row>
    <row r="2387" spans="1:4" x14ac:dyDescent="0.3">
      <c r="A2387" s="82" t="s">
        <v>27</v>
      </c>
      <c r="B2387" s="82"/>
      <c r="C2387" s="16">
        <v>46268</v>
      </c>
      <c r="D2387">
        <v>18005.290000000015</v>
      </c>
    </row>
    <row r="2388" spans="1:4" x14ac:dyDescent="0.3">
      <c r="A2388" s="82" t="s">
        <v>28</v>
      </c>
      <c r="B2388" s="82"/>
      <c r="C2388" s="16">
        <v>46268</v>
      </c>
      <c r="D2388">
        <v>1968.99</v>
      </c>
    </row>
    <row r="2389" spans="1:4" x14ac:dyDescent="0.3">
      <c r="A2389" s="82" t="s">
        <v>29</v>
      </c>
      <c r="B2389" s="82"/>
      <c r="C2389" s="16">
        <v>46268</v>
      </c>
      <c r="D2389">
        <v>901.34</v>
      </c>
    </row>
    <row r="2390" spans="1:4" x14ac:dyDescent="0.3">
      <c r="A2390" s="82" t="s">
        <v>30</v>
      </c>
      <c r="B2390" s="82"/>
      <c r="C2390" s="16">
        <v>46268</v>
      </c>
      <c r="D2390">
        <v>1380.08</v>
      </c>
    </row>
    <row r="2391" spans="1:4" x14ac:dyDescent="0.3">
      <c r="A2391" s="82" t="s">
        <v>31</v>
      </c>
      <c r="B2391" s="82"/>
      <c r="C2391" s="16">
        <v>46268</v>
      </c>
      <c r="D2391">
        <v>25027.379999999961</v>
      </c>
    </row>
    <row r="2392" spans="1:4" x14ac:dyDescent="0.3">
      <c r="A2392" s="82" t="s">
        <v>32</v>
      </c>
      <c r="B2392" s="82"/>
      <c r="C2392" s="16">
        <v>46268</v>
      </c>
      <c r="D2392">
        <v>16760.540000000008</v>
      </c>
    </row>
    <row r="2393" spans="1:4" x14ac:dyDescent="0.3">
      <c r="A2393" s="82" t="s">
        <v>33</v>
      </c>
      <c r="B2393" s="82"/>
      <c r="C2393" s="16">
        <v>46268</v>
      </c>
      <c r="D2393">
        <v>14162.999999999996</v>
      </c>
    </row>
    <row r="2394" spans="1:4" x14ac:dyDescent="0.3">
      <c r="A2394" s="82" t="s">
        <v>34</v>
      </c>
      <c r="B2394" s="82"/>
      <c r="C2394" s="16">
        <v>46268</v>
      </c>
      <c r="D2394">
        <v>345</v>
      </c>
    </row>
    <row r="2395" spans="1:4" x14ac:dyDescent="0.3">
      <c r="A2395" s="82" t="s">
        <v>35</v>
      </c>
      <c r="B2395" s="82"/>
      <c r="C2395" s="16">
        <v>46268</v>
      </c>
      <c r="D2395">
        <v>5861.1200000000026</v>
      </c>
    </row>
    <row r="2396" spans="1:4" x14ac:dyDescent="0.3">
      <c r="A2396" s="82" t="s">
        <v>17</v>
      </c>
      <c r="B2396" s="82"/>
      <c r="C2396" s="16">
        <v>46269</v>
      </c>
      <c r="D2396">
        <v>1549729.4500000007</v>
      </c>
    </row>
    <row r="2397" spans="1:4" x14ac:dyDescent="0.3">
      <c r="A2397" s="82" t="s">
        <v>18</v>
      </c>
      <c r="B2397" s="82"/>
      <c r="C2397" s="16">
        <v>46269</v>
      </c>
      <c r="D2397">
        <v>93280.230000000171</v>
      </c>
    </row>
    <row r="2398" spans="1:4" x14ac:dyDescent="0.3">
      <c r="A2398" s="82" t="s">
        <v>19</v>
      </c>
      <c r="B2398" s="82"/>
      <c r="C2398" s="16">
        <v>46269</v>
      </c>
      <c r="D2398">
        <v>1669.89</v>
      </c>
    </row>
    <row r="2399" spans="1:4" x14ac:dyDescent="0.3">
      <c r="A2399" s="82" t="s">
        <v>20</v>
      </c>
      <c r="B2399" s="82"/>
      <c r="C2399" s="16">
        <v>46269</v>
      </c>
      <c r="D2399">
        <v>1250938</v>
      </c>
    </row>
    <row r="2400" spans="1:4" x14ac:dyDescent="0.3">
      <c r="A2400" s="82" t="s">
        <v>21</v>
      </c>
      <c r="B2400" s="82"/>
      <c r="C2400" s="16">
        <v>46269</v>
      </c>
      <c r="D2400">
        <v>1499204.7399999998</v>
      </c>
    </row>
    <row r="2401" spans="1:4" x14ac:dyDescent="0.3">
      <c r="A2401" s="82" t="s">
        <v>22</v>
      </c>
      <c r="B2401" s="82"/>
      <c r="C2401" s="16">
        <v>46269</v>
      </c>
      <c r="D2401">
        <v>249778.14</v>
      </c>
    </row>
    <row r="2402" spans="1:4" x14ac:dyDescent="0.3">
      <c r="A2402" s="82" t="s">
        <v>23</v>
      </c>
      <c r="B2402" s="82"/>
      <c r="C2402" s="16">
        <v>46269</v>
      </c>
      <c r="D2402">
        <v>98169.25999999998</v>
      </c>
    </row>
    <row r="2403" spans="1:4" x14ac:dyDescent="0.3">
      <c r="A2403" s="82" t="s">
        <v>24</v>
      </c>
      <c r="B2403" s="82"/>
      <c r="C2403" s="16">
        <v>46269</v>
      </c>
      <c r="D2403">
        <v>13270.02</v>
      </c>
    </row>
    <row r="2404" spans="1:4" x14ac:dyDescent="0.3">
      <c r="A2404" s="82" t="s">
        <v>25</v>
      </c>
      <c r="B2404" s="82"/>
      <c r="C2404" s="16">
        <v>46269</v>
      </c>
      <c r="D2404">
        <v>94.5</v>
      </c>
    </row>
    <row r="2405" spans="1:4" x14ac:dyDescent="0.3">
      <c r="A2405" s="82" t="s">
        <v>26</v>
      </c>
      <c r="B2405" s="82"/>
      <c r="C2405" s="16">
        <v>46269</v>
      </c>
      <c r="D2405">
        <v>2147.92</v>
      </c>
    </row>
    <row r="2406" spans="1:4" x14ac:dyDescent="0.3">
      <c r="A2406" s="82" t="s">
        <v>27</v>
      </c>
      <c r="B2406" s="82"/>
      <c r="C2406" s="16">
        <v>46269</v>
      </c>
      <c r="D2406">
        <v>18005.290000000015</v>
      </c>
    </row>
    <row r="2407" spans="1:4" x14ac:dyDescent="0.3">
      <c r="A2407" s="82" t="s">
        <v>28</v>
      </c>
      <c r="B2407" s="82"/>
      <c r="C2407" s="16">
        <v>46269</v>
      </c>
      <c r="D2407">
        <v>1968.99</v>
      </c>
    </row>
    <row r="2408" spans="1:4" x14ac:dyDescent="0.3">
      <c r="A2408" s="82" t="s">
        <v>29</v>
      </c>
      <c r="B2408" s="82"/>
      <c r="C2408" s="16">
        <v>46269</v>
      </c>
      <c r="D2408">
        <v>901.34</v>
      </c>
    </row>
    <row r="2409" spans="1:4" x14ac:dyDescent="0.3">
      <c r="A2409" s="82" t="s">
        <v>30</v>
      </c>
      <c r="B2409" s="82"/>
      <c r="C2409" s="16">
        <v>46269</v>
      </c>
      <c r="D2409">
        <v>1380.08</v>
      </c>
    </row>
    <row r="2410" spans="1:4" x14ac:dyDescent="0.3">
      <c r="A2410" s="82" t="s">
        <v>31</v>
      </c>
      <c r="B2410" s="82"/>
      <c r="C2410" s="16">
        <v>46269</v>
      </c>
      <c r="D2410">
        <v>25027.379999999961</v>
      </c>
    </row>
    <row r="2411" spans="1:4" x14ac:dyDescent="0.3">
      <c r="A2411" s="82" t="s">
        <v>32</v>
      </c>
      <c r="B2411" s="82"/>
      <c r="C2411" s="16">
        <v>46269</v>
      </c>
      <c r="D2411">
        <v>16760.540000000008</v>
      </c>
    </row>
    <row r="2412" spans="1:4" x14ac:dyDescent="0.3">
      <c r="A2412" s="82" t="s">
        <v>33</v>
      </c>
      <c r="B2412" s="82"/>
      <c r="C2412" s="16">
        <v>46269</v>
      </c>
      <c r="D2412">
        <v>14162.999999999996</v>
      </c>
    </row>
    <row r="2413" spans="1:4" x14ac:dyDescent="0.3">
      <c r="A2413" s="82" t="s">
        <v>34</v>
      </c>
      <c r="B2413" s="82"/>
      <c r="C2413" s="16">
        <v>46269</v>
      </c>
      <c r="D2413">
        <v>345</v>
      </c>
    </row>
    <row r="2414" spans="1:4" x14ac:dyDescent="0.3">
      <c r="A2414" s="82" t="s">
        <v>35</v>
      </c>
      <c r="B2414" s="82"/>
      <c r="C2414" s="16">
        <v>46269</v>
      </c>
      <c r="D2414">
        <v>5861.1200000000026</v>
      </c>
    </row>
    <row r="2415" spans="1:4" x14ac:dyDescent="0.3">
      <c r="A2415" s="82" t="s">
        <v>17</v>
      </c>
      <c r="B2415" s="82"/>
      <c r="C2415" s="16">
        <v>46270</v>
      </c>
      <c r="D2415">
        <v>1549729.4500000007</v>
      </c>
    </row>
    <row r="2416" spans="1:4" x14ac:dyDescent="0.3">
      <c r="A2416" s="82" t="s">
        <v>18</v>
      </c>
      <c r="B2416" s="82"/>
      <c r="C2416" s="16">
        <v>46270</v>
      </c>
      <c r="D2416">
        <v>93280.230000000171</v>
      </c>
    </row>
    <row r="2417" spans="1:4" x14ac:dyDescent="0.3">
      <c r="A2417" s="82" t="s">
        <v>19</v>
      </c>
      <c r="B2417" s="82"/>
      <c r="C2417" s="16">
        <v>46270</v>
      </c>
      <c r="D2417">
        <v>1669.89</v>
      </c>
    </row>
    <row r="2418" spans="1:4" x14ac:dyDescent="0.3">
      <c r="A2418" s="82" t="s">
        <v>20</v>
      </c>
      <c r="B2418" s="82"/>
      <c r="C2418" s="16">
        <v>46270</v>
      </c>
      <c r="D2418">
        <v>1250938</v>
      </c>
    </row>
    <row r="2419" spans="1:4" x14ac:dyDescent="0.3">
      <c r="A2419" s="82" t="s">
        <v>21</v>
      </c>
      <c r="B2419" s="82"/>
      <c r="C2419" s="16">
        <v>46270</v>
      </c>
      <c r="D2419">
        <v>1499204.7399999998</v>
      </c>
    </row>
    <row r="2420" spans="1:4" x14ac:dyDescent="0.3">
      <c r="A2420" s="82" t="s">
        <v>22</v>
      </c>
      <c r="B2420" s="82"/>
      <c r="C2420" s="16">
        <v>46270</v>
      </c>
      <c r="D2420">
        <v>249778.14</v>
      </c>
    </row>
    <row r="2421" spans="1:4" x14ac:dyDescent="0.3">
      <c r="A2421" s="82" t="s">
        <v>23</v>
      </c>
      <c r="B2421" s="82"/>
      <c r="C2421" s="16">
        <v>46270</v>
      </c>
      <c r="D2421">
        <v>98169.25999999998</v>
      </c>
    </row>
    <row r="2422" spans="1:4" x14ac:dyDescent="0.3">
      <c r="A2422" s="82" t="s">
        <v>24</v>
      </c>
      <c r="B2422" s="82"/>
      <c r="C2422" s="16">
        <v>46270</v>
      </c>
      <c r="D2422">
        <v>13270.02</v>
      </c>
    </row>
    <row r="2423" spans="1:4" x14ac:dyDescent="0.3">
      <c r="A2423" s="82" t="s">
        <v>25</v>
      </c>
      <c r="B2423" s="82"/>
      <c r="C2423" s="16">
        <v>46270</v>
      </c>
      <c r="D2423">
        <v>94.5</v>
      </c>
    </row>
    <row r="2424" spans="1:4" x14ac:dyDescent="0.3">
      <c r="A2424" s="82" t="s">
        <v>26</v>
      </c>
      <c r="B2424" s="82"/>
      <c r="C2424" s="16">
        <v>46270</v>
      </c>
      <c r="D2424">
        <v>2147.92</v>
      </c>
    </row>
    <row r="2425" spans="1:4" x14ac:dyDescent="0.3">
      <c r="A2425" s="82" t="s">
        <v>27</v>
      </c>
      <c r="B2425" s="82"/>
      <c r="C2425" s="16">
        <v>46270</v>
      </c>
      <c r="D2425">
        <v>18005.290000000015</v>
      </c>
    </row>
    <row r="2426" spans="1:4" x14ac:dyDescent="0.3">
      <c r="A2426" s="82" t="s">
        <v>28</v>
      </c>
      <c r="B2426" s="82"/>
      <c r="C2426" s="16">
        <v>46270</v>
      </c>
      <c r="D2426">
        <v>1968.99</v>
      </c>
    </row>
    <row r="2427" spans="1:4" x14ac:dyDescent="0.3">
      <c r="A2427" s="82" t="s">
        <v>29</v>
      </c>
      <c r="B2427" s="82"/>
      <c r="C2427" s="16">
        <v>46270</v>
      </c>
      <c r="D2427">
        <v>901.34</v>
      </c>
    </row>
    <row r="2428" spans="1:4" x14ac:dyDescent="0.3">
      <c r="A2428" s="82" t="s">
        <v>30</v>
      </c>
      <c r="B2428" s="82"/>
      <c r="C2428" s="16">
        <v>46270</v>
      </c>
      <c r="D2428">
        <v>1380.08</v>
      </c>
    </row>
    <row r="2429" spans="1:4" x14ac:dyDescent="0.3">
      <c r="A2429" s="82" t="s">
        <v>31</v>
      </c>
      <c r="B2429" s="82"/>
      <c r="C2429" s="16">
        <v>46270</v>
      </c>
      <c r="D2429">
        <v>25027.379999999961</v>
      </c>
    </row>
    <row r="2430" spans="1:4" x14ac:dyDescent="0.3">
      <c r="A2430" s="82" t="s">
        <v>32</v>
      </c>
      <c r="B2430" s="82"/>
      <c r="C2430" s="16">
        <v>46270</v>
      </c>
      <c r="D2430">
        <v>16760.540000000008</v>
      </c>
    </row>
    <row r="2431" spans="1:4" x14ac:dyDescent="0.3">
      <c r="A2431" s="82" t="s">
        <v>33</v>
      </c>
      <c r="B2431" s="82"/>
      <c r="C2431" s="16">
        <v>46270</v>
      </c>
      <c r="D2431">
        <v>14162.999999999996</v>
      </c>
    </row>
    <row r="2432" spans="1:4" x14ac:dyDescent="0.3">
      <c r="A2432" s="82" t="s">
        <v>34</v>
      </c>
      <c r="B2432" s="82"/>
      <c r="C2432" s="16">
        <v>46270</v>
      </c>
      <c r="D2432">
        <v>345</v>
      </c>
    </row>
    <row r="2433" spans="1:4" x14ac:dyDescent="0.3">
      <c r="A2433" s="82" t="s">
        <v>35</v>
      </c>
      <c r="B2433" s="82"/>
      <c r="C2433" s="16">
        <v>46270</v>
      </c>
      <c r="D2433">
        <v>5861.1200000000026</v>
      </c>
    </row>
    <row r="2434" spans="1:4" x14ac:dyDescent="0.3">
      <c r="A2434" s="82" t="s">
        <v>17</v>
      </c>
      <c r="B2434" s="82"/>
      <c r="C2434" s="16">
        <v>46271</v>
      </c>
      <c r="D2434">
        <v>1549729.4500000007</v>
      </c>
    </row>
    <row r="2435" spans="1:4" x14ac:dyDescent="0.3">
      <c r="A2435" s="82" t="s">
        <v>18</v>
      </c>
      <c r="B2435" s="82"/>
      <c r="C2435" s="16">
        <v>46271</v>
      </c>
      <c r="D2435">
        <v>93280.230000000171</v>
      </c>
    </row>
    <row r="2436" spans="1:4" x14ac:dyDescent="0.3">
      <c r="A2436" s="82" t="s">
        <v>19</v>
      </c>
      <c r="B2436" s="82"/>
      <c r="C2436" s="16">
        <v>46271</v>
      </c>
      <c r="D2436">
        <v>1669.89</v>
      </c>
    </row>
    <row r="2437" spans="1:4" x14ac:dyDescent="0.3">
      <c r="A2437" s="82" t="s">
        <v>20</v>
      </c>
      <c r="B2437" s="82"/>
      <c r="C2437" s="16">
        <v>46271</v>
      </c>
      <c r="D2437">
        <v>1250938</v>
      </c>
    </row>
    <row r="2438" spans="1:4" x14ac:dyDescent="0.3">
      <c r="A2438" s="82" t="s">
        <v>21</v>
      </c>
      <c r="B2438" s="82"/>
      <c r="C2438" s="16">
        <v>46271</v>
      </c>
      <c r="D2438">
        <v>1499204.7399999998</v>
      </c>
    </row>
    <row r="2439" spans="1:4" x14ac:dyDescent="0.3">
      <c r="A2439" s="82" t="s">
        <v>22</v>
      </c>
      <c r="B2439" s="82"/>
      <c r="C2439" s="16">
        <v>46271</v>
      </c>
      <c r="D2439">
        <v>249778.14</v>
      </c>
    </row>
    <row r="2440" spans="1:4" x14ac:dyDescent="0.3">
      <c r="A2440" s="82" t="s">
        <v>23</v>
      </c>
      <c r="B2440" s="82"/>
      <c r="C2440" s="16">
        <v>46271</v>
      </c>
      <c r="D2440">
        <v>98169.25999999998</v>
      </c>
    </row>
    <row r="2441" spans="1:4" x14ac:dyDescent="0.3">
      <c r="A2441" s="82" t="s">
        <v>24</v>
      </c>
      <c r="B2441" s="82"/>
      <c r="C2441" s="16">
        <v>46271</v>
      </c>
      <c r="D2441">
        <v>13270.02</v>
      </c>
    </row>
    <row r="2442" spans="1:4" x14ac:dyDescent="0.3">
      <c r="A2442" s="82" t="s">
        <v>25</v>
      </c>
      <c r="B2442" s="82"/>
      <c r="C2442" s="16">
        <v>46271</v>
      </c>
      <c r="D2442">
        <v>94.5</v>
      </c>
    </row>
    <row r="2443" spans="1:4" x14ac:dyDescent="0.3">
      <c r="A2443" s="82" t="s">
        <v>26</v>
      </c>
      <c r="B2443" s="82"/>
      <c r="C2443" s="16">
        <v>46271</v>
      </c>
      <c r="D2443">
        <v>2147.92</v>
      </c>
    </row>
    <row r="2444" spans="1:4" x14ac:dyDescent="0.3">
      <c r="A2444" s="82" t="s">
        <v>27</v>
      </c>
      <c r="B2444" s="82"/>
      <c r="C2444" s="16">
        <v>46271</v>
      </c>
      <c r="D2444">
        <v>18005.290000000015</v>
      </c>
    </row>
    <row r="2445" spans="1:4" x14ac:dyDescent="0.3">
      <c r="A2445" s="82" t="s">
        <v>28</v>
      </c>
      <c r="B2445" s="82"/>
      <c r="C2445" s="16">
        <v>46271</v>
      </c>
      <c r="D2445">
        <v>1968.99</v>
      </c>
    </row>
    <row r="2446" spans="1:4" x14ac:dyDescent="0.3">
      <c r="A2446" s="82" t="s">
        <v>29</v>
      </c>
      <c r="B2446" s="82"/>
      <c r="C2446" s="16">
        <v>46271</v>
      </c>
      <c r="D2446">
        <v>901.34</v>
      </c>
    </row>
    <row r="2447" spans="1:4" x14ac:dyDescent="0.3">
      <c r="A2447" s="82" t="s">
        <v>30</v>
      </c>
      <c r="B2447" s="82"/>
      <c r="C2447" s="16">
        <v>46271</v>
      </c>
      <c r="D2447">
        <v>1380.08</v>
      </c>
    </row>
    <row r="2448" spans="1:4" x14ac:dyDescent="0.3">
      <c r="A2448" s="82" t="s">
        <v>31</v>
      </c>
      <c r="B2448" s="82"/>
      <c r="C2448" s="16">
        <v>46271</v>
      </c>
      <c r="D2448">
        <v>25027.379999999961</v>
      </c>
    </row>
    <row r="2449" spans="1:4" x14ac:dyDescent="0.3">
      <c r="A2449" s="82" t="s">
        <v>32</v>
      </c>
      <c r="B2449" s="82"/>
      <c r="C2449" s="16">
        <v>46271</v>
      </c>
      <c r="D2449">
        <v>16760.540000000008</v>
      </c>
    </row>
    <row r="2450" spans="1:4" x14ac:dyDescent="0.3">
      <c r="A2450" s="82" t="s">
        <v>33</v>
      </c>
      <c r="B2450" s="82"/>
      <c r="C2450" s="16">
        <v>46271</v>
      </c>
      <c r="D2450">
        <v>14162.999999999996</v>
      </c>
    </row>
    <row r="2451" spans="1:4" x14ac:dyDescent="0.3">
      <c r="A2451" s="82" t="s">
        <v>34</v>
      </c>
      <c r="B2451" s="82"/>
      <c r="C2451" s="16">
        <v>46271</v>
      </c>
      <c r="D2451">
        <v>345</v>
      </c>
    </row>
    <row r="2452" spans="1:4" x14ac:dyDescent="0.3">
      <c r="A2452" s="82" t="s">
        <v>35</v>
      </c>
      <c r="B2452" s="82"/>
      <c r="C2452" s="16">
        <v>46271</v>
      </c>
      <c r="D2452">
        <v>5861.1200000000026</v>
      </c>
    </row>
    <row r="2453" spans="1:4" x14ac:dyDescent="0.3">
      <c r="A2453" s="82" t="s">
        <v>17</v>
      </c>
      <c r="B2453" s="82"/>
      <c r="C2453" s="16">
        <v>46272</v>
      </c>
      <c r="D2453">
        <v>1549729.4500000007</v>
      </c>
    </row>
    <row r="2454" spans="1:4" x14ac:dyDescent="0.3">
      <c r="A2454" s="82" t="s">
        <v>18</v>
      </c>
      <c r="B2454" s="82"/>
      <c r="C2454" s="16">
        <v>46272</v>
      </c>
      <c r="D2454">
        <v>93280.230000000171</v>
      </c>
    </row>
    <row r="2455" spans="1:4" x14ac:dyDescent="0.3">
      <c r="A2455" s="82" t="s">
        <v>19</v>
      </c>
      <c r="B2455" s="82"/>
      <c r="C2455" s="16">
        <v>46272</v>
      </c>
      <c r="D2455">
        <v>1669.89</v>
      </c>
    </row>
    <row r="2456" spans="1:4" x14ac:dyDescent="0.3">
      <c r="A2456" s="82" t="s">
        <v>20</v>
      </c>
      <c r="B2456" s="82"/>
      <c r="C2456" s="16">
        <v>46272</v>
      </c>
      <c r="D2456">
        <v>1250938</v>
      </c>
    </row>
    <row r="2457" spans="1:4" x14ac:dyDescent="0.3">
      <c r="A2457" s="82" t="s">
        <v>21</v>
      </c>
      <c r="B2457" s="82"/>
      <c r="C2457" s="16">
        <v>46272</v>
      </c>
      <c r="D2457">
        <v>1499204.7399999998</v>
      </c>
    </row>
    <row r="2458" spans="1:4" x14ac:dyDescent="0.3">
      <c r="A2458" s="82" t="s">
        <v>22</v>
      </c>
      <c r="B2458" s="82"/>
      <c r="C2458" s="16">
        <v>46272</v>
      </c>
      <c r="D2458">
        <v>249778.14</v>
      </c>
    </row>
    <row r="2459" spans="1:4" x14ac:dyDescent="0.3">
      <c r="A2459" s="82" t="s">
        <v>23</v>
      </c>
      <c r="B2459" s="82"/>
      <c r="C2459" s="16">
        <v>46272</v>
      </c>
      <c r="D2459">
        <v>98169.25999999998</v>
      </c>
    </row>
    <row r="2460" spans="1:4" x14ac:dyDescent="0.3">
      <c r="A2460" s="82" t="s">
        <v>24</v>
      </c>
      <c r="B2460" s="82"/>
      <c r="C2460" s="16">
        <v>46272</v>
      </c>
      <c r="D2460">
        <v>13270.02</v>
      </c>
    </row>
    <row r="2461" spans="1:4" x14ac:dyDescent="0.3">
      <c r="A2461" s="82" t="s">
        <v>25</v>
      </c>
      <c r="B2461" s="82"/>
      <c r="C2461" s="16">
        <v>46272</v>
      </c>
      <c r="D2461">
        <v>94.5</v>
      </c>
    </row>
    <row r="2462" spans="1:4" x14ac:dyDescent="0.3">
      <c r="A2462" s="82" t="s">
        <v>26</v>
      </c>
      <c r="B2462" s="82"/>
      <c r="C2462" s="16">
        <v>46272</v>
      </c>
      <c r="D2462">
        <v>2147.92</v>
      </c>
    </row>
    <row r="2463" spans="1:4" x14ac:dyDescent="0.3">
      <c r="A2463" s="82" t="s">
        <v>27</v>
      </c>
      <c r="B2463" s="82"/>
      <c r="C2463" s="16">
        <v>46272</v>
      </c>
      <c r="D2463">
        <v>18005.290000000015</v>
      </c>
    </row>
    <row r="2464" spans="1:4" x14ac:dyDescent="0.3">
      <c r="A2464" s="82" t="s">
        <v>28</v>
      </c>
      <c r="B2464" s="82"/>
      <c r="C2464" s="16">
        <v>46272</v>
      </c>
      <c r="D2464">
        <v>1968.99</v>
      </c>
    </row>
    <row r="2465" spans="1:4" x14ac:dyDescent="0.3">
      <c r="A2465" s="82" t="s">
        <v>29</v>
      </c>
      <c r="B2465" s="82"/>
      <c r="C2465" s="16">
        <v>46272</v>
      </c>
      <c r="D2465">
        <v>901.34</v>
      </c>
    </row>
    <row r="2466" spans="1:4" x14ac:dyDescent="0.3">
      <c r="A2466" s="82" t="s">
        <v>30</v>
      </c>
      <c r="B2466" s="82"/>
      <c r="C2466" s="16">
        <v>46272</v>
      </c>
      <c r="D2466">
        <v>1380.08</v>
      </c>
    </row>
    <row r="2467" spans="1:4" x14ac:dyDescent="0.3">
      <c r="A2467" s="82" t="s">
        <v>31</v>
      </c>
      <c r="B2467" s="82"/>
      <c r="C2467" s="16">
        <v>46272</v>
      </c>
      <c r="D2467">
        <v>25027.379999999961</v>
      </c>
    </row>
    <row r="2468" spans="1:4" x14ac:dyDescent="0.3">
      <c r="A2468" s="82" t="s">
        <v>32</v>
      </c>
      <c r="B2468" s="82"/>
      <c r="C2468" s="16">
        <v>46272</v>
      </c>
      <c r="D2468">
        <v>16760.540000000008</v>
      </c>
    </row>
    <row r="2469" spans="1:4" x14ac:dyDescent="0.3">
      <c r="A2469" s="82" t="s">
        <v>33</v>
      </c>
      <c r="B2469" s="82"/>
      <c r="C2469" s="16">
        <v>46272</v>
      </c>
      <c r="D2469">
        <v>14162.999999999996</v>
      </c>
    </row>
    <row r="2470" spans="1:4" x14ac:dyDescent="0.3">
      <c r="A2470" s="82" t="s">
        <v>34</v>
      </c>
      <c r="B2470" s="82"/>
      <c r="C2470" s="16">
        <v>46272</v>
      </c>
      <c r="D2470">
        <v>345</v>
      </c>
    </row>
    <row r="2471" spans="1:4" x14ac:dyDescent="0.3">
      <c r="A2471" s="82" t="s">
        <v>35</v>
      </c>
      <c r="B2471" s="82"/>
      <c r="C2471" s="16">
        <v>46272</v>
      </c>
      <c r="D2471">
        <v>5861.1200000000026</v>
      </c>
    </row>
    <row r="2472" spans="1:4" x14ac:dyDescent="0.3">
      <c r="A2472" s="82" t="s">
        <v>17</v>
      </c>
      <c r="B2472" s="82"/>
      <c r="C2472" s="16">
        <v>46273</v>
      </c>
      <c r="D2472">
        <v>1805955.2800000007</v>
      </c>
    </row>
    <row r="2473" spans="1:4" x14ac:dyDescent="0.3">
      <c r="A2473" s="82" t="s">
        <v>18</v>
      </c>
      <c r="B2473" s="82"/>
      <c r="C2473" s="16">
        <v>46273</v>
      </c>
      <c r="D2473">
        <v>93737.970000000176</v>
      </c>
    </row>
    <row r="2474" spans="1:4" x14ac:dyDescent="0.3">
      <c r="A2474" s="82" t="s">
        <v>19</v>
      </c>
      <c r="B2474" s="82"/>
      <c r="C2474" s="16">
        <v>46273</v>
      </c>
      <c r="D2474">
        <v>1669.89</v>
      </c>
    </row>
    <row r="2475" spans="1:4" x14ac:dyDescent="0.3">
      <c r="A2475" s="82" t="s">
        <v>20</v>
      </c>
      <c r="B2475" s="82"/>
      <c r="C2475" s="16">
        <v>46273</v>
      </c>
      <c r="D2475">
        <v>1256669.99</v>
      </c>
    </row>
    <row r="2476" spans="1:4" x14ac:dyDescent="0.3">
      <c r="A2476" s="82" t="s">
        <v>21</v>
      </c>
      <c r="B2476" s="82"/>
      <c r="C2476" s="16">
        <v>46273</v>
      </c>
      <c r="D2476">
        <v>1490233.3099999996</v>
      </c>
    </row>
    <row r="2477" spans="1:4" x14ac:dyDescent="0.3">
      <c r="A2477" s="82" t="s">
        <v>22</v>
      </c>
      <c r="B2477" s="82"/>
      <c r="C2477" s="16">
        <v>46273</v>
      </c>
      <c r="D2477">
        <v>249778.14</v>
      </c>
    </row>
    <row r="2478" spans="1:4" x14ac:dyDescent="0.3">
      <c r="A2478" s="82" t="s">
        <v>23</v>
      </c>
      <c r="B2478" s="82"/>
      <c r="C2478" s="16">
        <v>46273</v>
      </c>
      <c r="D2478">
        <v>98169.25999999998</v>
      </c>
    </row>
    <row r="2479" spans="1:4" x14ac:dyDescent="0.3">
      <c r="A2479" s="82" t="s">
        <v>24</v>
      </c>
      <c r="B2479" s="82"/>
      <c r="C2479" s="16">
        <v>46273</v>
      </c>
      <c r="D2479">
        <v>13270.02</v>
      </c>
    </row>
    <row r="2480" spans="1:4" x14ac:dyDescent="0.3">
      <c r="A2480" s="82" t="s">
        <v>25</v>
      </c>
      <c r="B2480" s="82"/>
      <c r="C2480" s="16">
        <v>46273</v>
      </c>
      <c r="D2480">
        <v>94.5</v>
      </c>
    </row>
    <row r="2481" spans="1:4" x14ac:dyDescent="0.3">
      <c r="A2481" s="82" t="s">
        <v>26</v>
      </c>
      <c r="B2481" s="82"/>
      <c r="C2481" s="16">
        <v>46273</v>
      </c>
      <c r="D2481">
        <v>2147.92</v>
      </c>
    </row>
    <row r="2482" spans="1:4" x14ac:dyDescent="0.3">
      <c r="A2482" s="82" t="s">
        <v>27</v>
      </c>
      <c r="B2482" s="82"/>
      <c r="C2482" s="16">
        <v>46273</v>
      </c>
      <c r="D2482">
        <v>18005.290000000015</v>
      </c>
    </row>
    <row r="2483" spans="1:4" x14ac:dyDescent="0.3">
      <c r="A2483" s="82" t="s">
        <v>28</v>
      </c>
      <c r="B2483" s="82"/>
      <c r="C2483" s="16">
        <v>46273</v>
      </c>
      <c r="D2483">
        <v>1968.99</v>
      </c>
    </row>
    <row r="2484" spans="1:4" x14ac:dyDescent="0.3">
      <c r="A2484" s="82" t="s">
        <v>29</v>
      </c>
      <c r="B2484" s="82"/>
      <c r="C2484" s="16">
        <v>46273</v>
      </c>
      <c r="D2484">
        <v>901.34</v>
      </c>
    </row>
    <row r="2485" spans="1:4" x14ac:dyDescent="0.3">
      <c r="A2485" s="82" t="s">
        <v>30</v>
      </c>
      <c r="B2485" s="82"/>
      <c r="C2485" s="16">
        <v>46273</v>
      </c>
      <c r="D2485">
        <v>1380.08</v>
      </c>
    </row>
    <row r="2486" spans="1:4" x14ac:dyDescent="0.3">
      <c r="A2486" s="82" t="s">
        <v>31</v>
      </c>
      <c r="B2486" s="82"/>
      <c r="C2486" s="16">
        <v>46273</v>
      </c>
      <c r="D2486">
        <v>25027.379999999961</v>
      </c>
    </row>
    <row r="2487" spans="1:4" x14ac:dyDescent="0.3">
      <c r="A2487" s="82" t="s">
        <v>32</v>
      </c>
      <c r="B2487" s="82"/>
      <c r="C2487" s="16">
        <v>46273</v>
      </c>
      <c r="D2487">
        <v>16760.540000000008</v>
      </c>
    </row>
    <row r="2488" spans="1:4" x14ac:dyDescent="0.3">
      <c r="A2488" s="82" t="s">
        <v>33</v>
      </c>
      <c r="B2488" s="82"/>
      <c r="C2488" s="16">
        <v>46273</v>
      </c>
      <c r="D2488">
        <v>14162.999999999996</v>
      </c>
    </row>
    <row r="2489" spans="1:4" x14ac:dyDescent="0.3">
      <c r="A2489" s="82" t="s">
        <v>34</v>
      </c>
      <c r="B2489" s="82"/>
      <c r="C2489" s="16">
        <v>46273</v>
      </c>
      <c r="D2489">
        <v>345</v>
      </c>
    </row>
    <row r="2490" spans="1:4" x14ac:dyDescent="0.3">
      <c r="A2490" s="82" t="s">
        <v>35</v>
      </c>
      <c r="B2490" s="82"/>
      <c r="C2490" s="16">
        <v>46273</v>
      </c>
      <c r="D2490">
        <v>5861.1200000000026</v>
      </c>
    </row>
    <row r="2491" spans="1:4" x14ac:dyDescent="0.3">
      <c r="A2491" s="82" t="s">
        <v>17</v>
      </c>
      <c r="B2491" s="82"/>
      <c r="C2491" s="16">
        <v>46274</v>
      </c>
      <c r="D2491">
        <v>1805355.2800000007</v>
      </c>
    </row>
    <row r="2492" spans="1:4" x14ac:dyDescent="0.3">
      <c r="A2492" s="82" t="s">
        <v>18</v>
      </c>
      <c r="B2492" s="82"/>
      <c r="C2492" s="16">
        <v>46274</v>
      </c>
      <c r="D2492">
        <v>93737.970000000176</v>
      </c>
    </row>
    <row r="2493" spans="1:4" x14ac:dyDescent="0.3">
      <c r="A2493" s="82" t="s">
        <v>19</v>
      </c>
      <c r="B2493" s="82"/>
      <c r="C2493" s="16">
        <v>46274</v>
      </c>
      <c r="D2493">
        <v>1669.89</v>
      </c>
    </row>
    <row r="2494" spans="1:4" x14ac:dyDescent="0.3">
      <c r="A2494" s="82" t="s">
        <v>20</v>
      </c>
      <c r="B2494" s="82"/>
      <c r="C2494" s="16">
        <v>46274</v>
      </c>
      <c r="D2494">
        <v>1256669.99</v>
      </c>
    </row>
    <row r="2495" spans="1:4" x14ac:dyDescent="0.3">
      <c r="A2495" s="82" t="s">
        <v>21</v>
      </c>
      <c r="B2495" s="82"/>
      <c r="C2495" s="16">
        <v>46274</v>
      </c>
      <c r="D2495">
        <v>1487787.1299999997</v>
      </c>
    </row>
    <row r="2496" spans="1:4" x14ac:dyDescent="0.3">
      <c r="A2496" s="82" t="s">
        <v>22</v>
      </c>
      <c r="B2496" s="82"/>
      <c r="C2496" s="16">
        <v>46274</v>
      </c>
      <c r="D2496">
        <v>229778.14</v>
      </c>
    </row>
    <row r="2497" spans="1:4" x14ac:dyDescent="0.3">
      <c r="A2497" s="82" t="s">
        <v>23</v>
      </c>
      <c r="B2497" s="82"/>
      <c r="C2497" s="16">
        <v>46274</v>
      </c>
      <c r="D2497">
        <v>98169.25999999998</v>
      </c>
    </row>
    <row r="2498" spans="1:4" x14ac:dyDescent="0.3">
      <c r="A2498" s="82" t="s">
        <v>24</v>
      </c>
      <c r="B2498" s="82"/>
      <c r="C2498" s="16">
        <v>46274</v>
      </c>
      <c r="D2498">
        <v>13270.02</v>
      </c>
    </row>
    <row r="2499" spans="1:4" x14ac:dyDescent="0.3">
      <c r="A2499" s="82" t="s">
        <v>25</v>
      </c>
      <c r="B2499" s="82"/>
      <c r="C2499" s="16">
        <v>46274</v>
      </c>
      <c r="D2499">
        <v>94.5</v>
      </c>
    </row>
    <row r="2500" spans="1:4" x14ac:dyDescent="0.3">
      <c r="A2500" s="82" t="s">
        <v>26</v>
      </c>
      <c r="B2500" s="82"/>
      <c r="C2500" s="16">
        <v>46274</v>
      </c>
      <c r="D2500">
        <v>2147.92</v>
      </c>
    </row>
    <row r="2501" spans="1:4" x14ac:dyDescent="0.3">
      <c r="A2501" s="82" t="s">
        <v>27</v>
      </c>
      <c r="B2501" s="82"/>
      <c r="C2501" s="16">
        <v>46274</v>
      </c>
      <c r="D2501">
        <v>18005.290000000015</v>
      </c>
    </row>
    <row r="2502" spans="1:4" x14ac:dyDescent="0.3">
      <c r="A2502" s="82" t="s">
        <v>28</v>
      </c>
      <c r="B2502" s="82"/>
      <c r="C2502" s="16">
        <v>46274</v>
      </c>
      <c r="D2502">
        <v>1968.99</v>
      </c>
    </row>
    <row r="2503" spans="1:4" x14ac:dyDescent="0.3">
      <c r="A2503" s="82" t="s">
        <v>29</v>
      </c>
      <c r="B2503" s="82"/>
      <c r="C2503" s="16">
        <v>46274</v>
      </c>
      <c r="D2503">
        <v>901.34</v>
      </c>
    </row>
    <row r="2504" spans="1:4" x14ac:dyDescent="0.3">
      <c r="A2504" s="82" t="s">
        <v>30</v>
      </c>
      <c r="B2504" s="82"/>
      <c r="C2504" s="16">
        <v>46274</v>
      </c>
      <c r="D2504">
        <v>1380.08</v>
      </c>
    </row>
    <row r="2505" spans="1:4" x14ac:dyDescent="0.3">
      <c r="A2505" s="82" t="s">
        <v>31</v>
      </c>
      <c r="B2505" s="82"/>
      <c r="C2505" s="16">
        <v>46274</v>
      </c>
      <c r="D2505">
        <v>25027.379999999961</v>
      </c>
    </row>
    <row r="2506" spans="1:4" x14ac:dyDescent="0.3">
      <c r="A2506" s="82" t="s">
        <v>32</v>
      </c>
      <c r="B2506" s="82"/>
      <c r="C2506" s="16">
        <v>46274</v>
      </c>
      <c r="D2506">
        <v>16760.540000000008</v>
      </c>
    </row>
    <row r="2507" spans="1:4" x14ac:dyDescent="0.3">
      <c r="A2507" s="82" t="s">
        <v>33</v>
      </c>
      <c r="B2507" s="82"/>
      <c r="C2507" s="16">
        <v>46274</v>
      </c>
      <c r="D2507">
        <v>14162.999999999996</v>
      </c>
    </row>
    <row r="2508" spans="1:4" x14ac:dyDescent="0.3">
      <c r="A2508" s="82" t="s">
        <v>34</v>
      </c>
      <c r="B2508" s="82"/>
      <c r="C2508" s="16">
        <v>46274</v>
      </c>
      <c r="D2508">
        <v>345</v>
      </c>
    </row>
    <row r="2509" spans="1:4" x14ac:dyDescent="0.3">
      <c r="A2509" s="82" t="s">
        <v>35</v>
      </c>
      <c r="B2509" s="82"/>
      <c r="C2509" s="16">
        <v>46274</v>
      </c>
      <c r="D2509">
        <v>25812.570000000003</v>
      </c>
    </row>
    <row r="2510" spans="1:4" x14ac:dyDescent="0.3">
      <c r="A2510" s="82" t="s">
        <v>17</v>
      </c>
      <c r="B2510" s="82"/>
      <c r="C2510" s="16">
        <v>46275</v>
      </c>
      <c r="D2510">
        <v>1338116.3900000008</v>
      </c>
    </row>
    <row r="2511" spans="1:4" x14ac:dyDescent="0.3">
      <c r="A2511" s="82" t="s">
        <v>18</v>
      </c>
      <c r="B2511" s="82"/>
      <c r="C2511" s="16">
        <v>46275</v>
      </c>
      <c r="D2511">
        <v>93737.970000000176</v>
      </c>
    </row>
    <row r="2512" spans="1:4" x14ac:dyDescent="0.3">
      <c r="A2512" s="82" t="s">
        <v>19</v>
      </c>
      <c r="B2512" s="82"/>
      <c r="C2512" s="16">
        <v>46275</v>
      </c>
      <c r="D2512">
        <v>1669.89</v>
      </c>
    </row>
    <row r="2513" spans="1:4" x14ac:dyDescent="0.3">
      <c r="A2513" s="82" t="s">
        <v>20</v>
      </c>
      <c r="B2513" s="82"/>
      <c r="C2513" s="16">
        <v>46275</v>
      </c>
      <c r="D2513">
        <v>1089169.99</v>
      </c>
    </row>
    <row r="2514" spans="1:4" x14ac:dyDescent="0.3">
      <c r="A2514" s="82" t="s">
        <v>21</v>
      </c>
      <c r="B2514" s="82"/>
      <c r="C2514" s="16">
        <v>46275</v>
      </c>
      <c r="D2514">
        <v>1233789.9099999997</v>
      </c>
    </row>
    <row r="2515" spans="1:4" x14ac:dyDescent="0.3">
      <c r="A2515" s="82" t="s">
        <v>22</v>
      </c>
      <c r="B2515" s="82"/>
      <c r="C2515" s="16">
        <v>46275</v>
      </c>
      <c r="D2515">
        <v>229778.14</v>
      </c>
    </row>
    <row r="2516" spans="1:4" x14ac:dyDescent="0.3">
      <c r="A2516" s="82" t="s">
        <v>23</v>
      </c>
      <c r="B2516" s="82"/>
      <c r="C2516" s="16">
        <v>46275</v>
      </c>
      <c r="D2516">
        <v>98169.25999999998</v>
      </c>
    </row>
    <row r="2517" spans="1:4" x14ac:dyDescent="0.3">
      <c r="A2517" s="82" t="s">
        <v>24</v>
      </c>
      <c r="B2517" s="82"/>
      <c r="C2517" s="16">
        <v>46275</v>
      </c>
      <c r="D2517">
        <v>13270.02</v>
      </c>
    </row>
    <row r="2518" spans="1:4" x14ac:dyDescent="0.3">
      <c r="A2518" s="82" t="s">
        <v>25</v>
      </c>
      <c r="B2518" s="82"/>
      <c r="C2518" s="16">
        <v>46275</v>
      </c>
      <c r="D2518">
        <v>94.5</v>
      </c>
    </row>
    <row r="2519" spans="1:4" x14ac:dyDescent="0.3">
      <c r="A2519" s="82" t="s">
        <v>26</v>
      </c>
      <c r="B2519" s="82"/>
      <c r="C2519" s="16">
        <v>46275</v>
      </c>
      <c r="D2519">
        <v>2147.92</v>
      </c>
    </row>
    <row r="2520" spans="1:4" x14ac:dyDescent="0.3">
      <c r="A2520" s="82" t="s">
        <v>27</v>
      </c>
      <c r="B2520" s="82"/>
      <c r="C2520" s="16">
        <v>46275</v>
      </c>
      <c r="D2520">
        <v>18005.290000000015</v>
      </c>
    </row>
    <row r="2521" spans="1:4" x14ac:dyDescent="0.3">
      <c r="A2521" s="82" t="s">
        <v>28</v>
      </c>
      <c r="B2521" s="82"/>
      <c r="C2521" s="16">
        <v>46275</v>
      </c>
      <c r="D2521">
        <v>1968.99</v>
      </c>
    </row>
    <row r="2522" spans="1:4" x14ac:dyDescent="0.3">
      <c r="A2522" s="82" t="s">
        <v>29</v>
      </c>
      <c r="B2522" s="82"/>
      <c r="C2522" s="16">
        <v>46275</v>
      </c>
      <c r="D2522">
        <v>901.34</v>
      </c>
    </row>
    <row r="2523" spans="1:4" x14ac:dyDescent="0.3">
      <c r="A2523" s="82" t="s">
        <v>30</v>
      </c>
      <c r="B2523" s="82"/>
      <c r="C2523" s="16">
        <v>46275</v>
      </c>
      <c r="D2523">
        <v>1380.08</v>
      </c>
    </row>
    <row r="2524" spans="1:4" x14ac:dyDescent="0.3">
      <c r="A2524" s="82" t="s">
        <v>31</v>
      </c>
      <c r="B2524" s="82"/>
      <c r="C2524" s="16">
        <v>46275</v>
      </c>
      <c r="D2524">
        <v>25027.379999999961</v>
      </c>
    </row>
    <row r="2525" spans="1:4" x14ac:dyDescent="0.3">
      <c r="A2525" s="82" t="s">
        <v>32</v>
      </c>
      <c r="B2525" s="82"/>
      <c r="C2525" s="16">
        <v>46275</v>
      </c>
      <c r="D2525">
        <v>16760.540000000008</v>
      </c>
    </row>
    <row r="2526" spans="1:4" x14ac:dyDescent="0.3">
      <c r="A2526" s="82" t="s">
        <v>33</v>
      </c>
      <c r="B2526" s="82"/>
      <c r="C2526" s="16">
        <v>46275</v>
      </c>
      <c r="D2526">
        <v>14162.999999999996</v>
      </c>
    </row>
    <row r="2527" spans="1:4" x14ac:dyDescent="0.3">
      <c r="A2527" s="82" t="s">
        <v>34</v>
      </c>
      <c r="B2527" s="82"/>
      <c r="C2527" s="16">
        <v>46275</v>
      </c>
      <c r="D2527">
        <v>345</v>
      </c>
    </row>
    <row r="2528" spans="1:4" x14ac:dyDescent="0.3">
      <c r="A2528" s="82" t="s">
        <v>35</v>
      </c>
      <c r="B2528" s="82"/>
      <c r="C2528" s="16">
        <v>46275</v>
      </c>
      <c r="D2528">
        <v>23159.510000000002</v>
      </c>
    </row>
    <row r="2529" spans="1:4" x14ac:dyDescent="0.3">
      <c r="A2529" s="82" t="s">
        <v>17</v>
      </c>
      <c r="B2529" s="82"/>
      <c r="C2529" s="16">
        <v>46276</v>
      </c>
      <c r="D2529">
        <v>1892967.3900000008</v>
      </c>
    </row>
    <row r="2530" spans="1:4" x14ac:dyDescent="0.3">
      <c r="A2530" s="82" t="s">
        <v>18</v>
      </c>
      <c r="B2530" s="82"/>
      <c r="C2530" s="16">
        <v>46276</v>
      </c>
      <c r="D2530">
        <v>93737.970000000176</v>
      </c>
    </row>
    <row r="2531" spans="1:4" x14ac:dyDescent="0.3">
      <c r="A2531" s="82" t="s">
        <v>19</v>
      </c>
      <c r="B2531" s="82"/>
      <c r="C2531" s="16">
        <v>46276</v>
      </c>
      <c r="D2531">
        <v>1669.89</v>
      </c>
    </row>
    <row r="2532" spans="1:4" x14ac:dyDescent="0.3">
      <c r="A2532" s="82" t="s">
        <v>20</v>
      </c>
      <c r="B2532" s="82"/>
      <c r="C2532" s="16">
        <v>46276</v>
      </c>
      <c r="D2532">
        <v>1089124.99</v>
      </c>
    </row>
    <row r="2533" spans="1:4" x14ac:dyDescent="0.3">
      <c r="A2533" s="82" t="s">
        <v>21</v>
      </c>
      <c r="B2533" s="82"/>
      <c r="C2533" s="16">
        <v>46276</v>
      </c>
      <c r="D2533">
        <v>1233789.9099999997</v>
      </c>
    </row>
    <row r="2534" spans="1:4" x14ac:dyDescent="0.3">
      <c r="A2534" s="82" t="s">
        <v>22</v>
      </c>
      <c r="B2534" s="82"/>
      <c r="C2534" s="16">
        <v>46276</v>
      </c>
      <c r="D2534">
        <v>229778.14</v>
      </c>
    </row>
    <row r="2535" spans="1:4" x14ac:dyDescent="0.3">
      <c r="A2535" s="82" t="s">
        <v>23</v>
      </c>
      <c r="B2535" s="82"/>
      <c r="C2535" s="16">
        <v>46276</v>
      </c>
      <c r="D2535">
        <v>98169.25999999998</v>
      </c>
    </row>
    <row r="2536" spans="1:4" x14ac:dyDescent="0.3">
      <c r="A2536" s="82" t="s">
        <v>24</v>
      </c>
      <c r="B2536" s="82"/>
      <c r="C2536" s="16">
        <v>46276</v>
      </c>
      <c r="D2536">
        <v>13270.02</v>
      </c>
    </row>
    <row r="2537" spans="1:4" x14ac:dyDescent="0.3">
      <c r="A2537" s="82" t="s">
        <v>25</v>
      </c>
      <c r="B2537" s="82"/>
      <c r="C2537" s="16">
        <v>46276</v>
      </c>
      <c r="D2537">
        <v>94.5</v>
      </c>
    </row>
    <row r="2538" spans="1:4" x14ac:dyDescent="0.3">
      <c r="A2538" s="82" t="s">
        <v>26</v>
      </c>
      <c r="B2538" s="82"/>
      <c r="C2538" s="16">
        <v>46276</v>
      </c>
      <c r="D2538">
        <v>2147.92</v>
      </c>
    </row>
    <row r="2539" spans="1:4" x14ac:dyDescent="0.3">
      <c r="A2539" s="82" t="s">
        <v>27</v>
      </c>
      <c r="B2539" s="82"/>
      <c r="C2539" s="16">
        <v>46276</v>
      </c>
      <c r="D2539">
        <v>18005.290000000015</v>
      </c>
    </row>
    <row r="2540" spans="1:4" x14ac:dyDescent="0.3">
      <c r="A2540" s="82" t="s">
        <v>28</v>
      </c>
      <c r="B2540" s="82"/>
      <c r="C2540" s="16">
        <v>46276</v>
      </c>
      <c r="D2540">
        <v>1968.99</v>
      </c>
    </row>
    <row r="2541" spans="1:4" x14ac:dyDescent="0.3">
      <c r="A2541" s="82" t="s">
        <v>29</v>
      </c>
      <c r="B2541" s="82"/>
      <c r="C2541" s="16">
        <v>46276</v>
      </c>
      <c r="D2541">
        <v>901.34</v>
      </c>
    </row>
    <row r="2542" spans="1:4" x14ac:dyDescent="0.3">
      <c r="A2542" s="82" t="s">
        <v>30</v>
      </c>
      <c r="B2542" s="82"/>
      <c r="C2542" s="16">
        <v>46276</v>
      </c>
      <c r="D2542">
        <v>1380.08</v>
      </c>
    </row>
    <row r="2543" spans="1:4" x14ac:dyDescent="0.3">
      <c r="A2543" s="82" t="s">
        <v>31</v>
      </c>
      <c r="B2543" s="82"/>
      <c r="C2543" s="16">
        <v>46276</v>
      </c>
      <c r="D2543">
        <v>25027.379999999961</v>
      </c>
    </row>
    <row r="2544" spans="1:4" x14ac:dyDescent="0.3">
      <c r="A2544" s="82" t="s">
        <v>32</v>
      </c>
      <c r="B2544" s="82"/>
      <c r="C2544" s="16">
        <v>46276</v>
      </c>
      <c r="D2544">
        <v>16282.630000000006</v>
      </c>
    </row>
    <row r="2545" spans="1:4" x14ac:dyDescent="0.3">
      <c r="A2545" s="82" t="s">
        <v>33</v>
      </c>
      <c r="B2545" s="82"/>
      <c r="C2545" s="16">
        <v>46276</v>
      </c>
      <c r="D2545">
        <v>13339.389999999996</v>
      </c>
    </row>
    <row r="2546" spans="1:4" x14ac:dyDescent="0.3">
      <c r="A2546" s="82" t="s">
        <v>34</v>
      </c>
      <c r="B2546" s="82"/>
      <c r="C2546" s="16">
        <v>46276</v>
      </c>
      <c r="D2546">
        <v>345</v>
      </c>
    </row>
    <row r="2547" spans="1:4" x14ac:dyDescent="0.3">
      <c r="A2547" s="82" t="s">
        <v>35</v>
      </c>
      <c r="B2547" s="82"/>
      <c r="C2547" s="16">
        <v>46276</v>
      </c>
      <c r="D2547">
        <v>23057.24</v>
      </c>
    </row>
    <row r="2548" spans="1:4" x14ac:dyDescent="0.3">
      <c r="A2548" s="82" t="s">
        <v>17</v>
      </c>
      <c r="B2548" s="82"/>
      <c r="C2548" s="16">
        <v>46277</v>
      </c>
      <c r="D2548">
        <v>1892967.3900000008</v>
      </c>
    </row>
    <row r="2549" spans="1:4" x14ac:dyDescent="0.3">
      <c r="A2549" s="82" t="s">
        <v>18</v>
      </c>
      <c r="B2549" s="82"/>
      <c r="C2549" s="16">
        <v>46277</v>
      </c>
      <c r="D2549">
        <v>93737.970000000176</v>
      </c>
    </row>
    <row r="2550" spans="1:4" x14ac:dyDescent="0.3">
      <c r="A2550" s="82" t="s">
        <v>19</v>
      </c>
      <c r="B2550" s="82"/>
      <c r="C2550" s="16">
        <v>46277</v>
      </c>
      <c r="D2550">
        <v>1669.89</v>
      </c>
    </row>
    <row r="2551" spans="1:4" x14ac:dyDescent="0.3">
      <c r="A2551" s="82" t="s">
        <v>20</v>
      </c>
      <c r="B2551" s="82"/>
      <c r="C2551" s="16">
        <v>46277</v>
      </c>
      <c r="D2551">
        <v>1089124.99</v>
      </c>
    </row>
    <row r="2552" spans="1:4" x14ac:dyDescent="0.3">
      <c r="A2552" s="82" t="s">
        <v>21</v>
      </c>
      <c r="B2552" s="82"/>
      <c r="C2552" s="16">
        <v>46277</v>
      </c>
      <c r="D2552">
        <v>1233789.9099999997</v>
      </c>
    </row>
    <row r="2553" spans="1:4" x14ac:dyDescent="0.3">
      <c r="A2553" s="82" t="s">
        <v>22</v>
      </c>
      <c r="B2553" s="82"/>
      <c r="C2553" s="16">
        <v>46277</v>
      </c>
      <c r="D2553">
        <v>229778.14</v>
      </c>
    </row>
    <row r="2554" spans="1:4" x14ac:dyDescent="0.3">
      <c r="A2554" s="82" t="s">
        <v>23</v>
      </c>
      <c r="B2554" s="82"/>
      <c r="C2554" s="16">
        <v>46277</v>
      </c>
      <c r="D2554">
        <v>98169.25999999998</v>
      </c>
    </row>
    <row r="2555" spans="1:4" x14ac:dyDescent="0.3">
      <c r="A2555" s="82" t="s">
        <v>24</v>
      </c>
      <c r="B2555" s="82"/>
      <c r="C2555" s="16">
        <v>46277</v>
      </c>
      <c r="D2555">
        <v>13270.02</v>
      </c>
    </row>
    <row r="2556" spans="1:4" x14ac:dyDescent="0.3">
      <c r="A2556" s="82" t="s">
        <v>25</v>
      </c>
      <c r="B2556" s="82"/>
      <c r="C2556" s="16">
        <v>46277</v>
      </c>
      <c r="D2556">
        <v>94.5</v>
      </c>
    </row>
    <row r="2557" spans="1:4" x14ac:dyDescent="0.3">
      <c r="A2557" s="82" t="s">
        <v>26</v>
      </c>
      <c r="B2557" s="82"/>
      <c r="C2557" s="16">
        <v>46277</v>
      </c>
      <c r="D2557">
        <v>2147.92</v>
      </c>
    </row>
    <row r="2558" spans="1:4" x14ac:dyDescent="0.3">
      <c r="A2558" s="82" t="s">
        <v>27</v>
      </c>
      <c r="B2558" s="82"/>
      <c r="C2558" s="16">
        <v>46277</v>
      </c>
      <c r="D2558">
        <v>18005.290000000015</v>
      </c>
    </row>
    <row r="2559" spans="1:4" x14ac:dyDescent="0.3">
      <c r="A2559" s="82" t="s">
        <v>28</v>
      </c>
      <c r="B2559" s="82"/>
      <c r="C2559" s="16">
        <v>46277</v>
      </c>
      <c r="D2559">
        <v>1968.99</v>
      </c>
    </row>
    <row r="2560" spans="1:4" x14ac:dyDescent="0.3">
      <c r="A2560" s="82" t="s">
        <v>29</v>
      </c>
      <c r="B2560" s="82"/>
      <c r="C2560" s="16">
        <v>46277</v>
      </c>
      <c r="D2560">
        <v>901.34</v>
      </c>
    </row>
    <row r="2561" spans="1:4" x14ac:dyDescent="0.3">
      <c r="A2561" s="82" t="s">
        <v>30</v>
      </c>
      <c r="B2561" s="82"/>
      <c r="C2561" s="16">
        <v>46277</v>
      </c>
      <c r="D2561">
        <v>1380.08</v>
      </c>
    </row>
    <row r="2562" spans="1:4" x14ac:dyDescent="0.3">
      <c r="A2562" s="82" t="s">
        <v>31</v>
      </c>
      <c r="B2562" s="82"/>
      <c r="C2562" s="16">
        <v>46277</v>
      </c>
      <c r="D2562">
        <v>25027.379999999961</v>
      </c>
    </row>
    <row r="2563" spans="1:4" x14ac:dyDescent="0.3">
      <c r="A2563" s="82" t="s">
        <v>32</v>
      </c>
      <c r="B2563" s="82"/>
      <c r="C2563" s="16">
        <v>46277</v>
      </c>
      <c r="D2563">
        <v>16282.630000000006</v>
      </c>
    </row>
    <row r="2564" spans="1:4" x14ac:dyDescent="0.3">
      <c r="A2564" s="82" t="s">
        <v>33</v>
      </c>
      <c r="B2564" s="82"/>
      <c r="C2564" s="16">
        <v>46277</v>
      </c>
      <c r="D2564">
        <v>13339.389999999996</v>
      </c>
    </row>
    <row r="2565" spans="1:4" x14ac:dyDescent="0.3">
      <c r="A2565" s="82" t="s">
        <v>34</v>
      </c>
      <c r="B2565" s="82"/>
      <c r="C2565" s="16">
        <v>46277</v>
      </c>
      <c r="D2565">
        <v>345</v>
      </c>
    </row>
    <row r="2566" spans="1:4" x14ac:dyDescent="0.3">
      <c r="A2566" s="82" t="s">
        <v>35</v>
      </c>
      <c r="B2566" s="82"/>
      <c r="C2566" s="16">
        <v>46277</v>
      </c>
      <c r="D2566">
        <v>23057.24</v>
      </c>
    </row>
    <row r="2567" spans="1:4" x14ac:dyDescent="0.3">
      <c r="A2567" s="82" t="s">
        <v>17</v>
      </c>
      <c r="B2567" s="82"/>
      <c r="C2567" s="16">
        <v>46278</v>
      </c>
      <c r="D2567">
        <v>1892967.3900000008</v>
      </c>
    </row>
    <row r="2568" spans="1:4" x14ac:dyDescent="0.3">
      <c r="A2568" s="82" t="s">
        <v>18</v>
      </c>
      <c r="B2568" s="82"/>
      <c r="C2568" s="16">
        <v>46278</v>
      </c>
      <c r="D2568">
        <v>93737.970000000176</v>
      </c>
    </row>
    <row r="2569" spans="1:4" x14ac:dyDescent="0.3">
      <c r="A2569" s="82" t="s">
        <v>19</v>
      </c>
      <c r="B2569" s="82"/>
      <c r="C2569" s="16">
        <v>46278</v>
      </c>
      <c r="D2569">
        <v>1669.89</v>
      </c>
    </row>
    <row r="2570" spans="1:4" x14ac:dyDescent="0.3">
      <c r="A2570" s="82" t="s">
        <v>20</v>
      </c>
      <c r="B2570" s="82"/>
      <c r="C2570" s="16">
        <v>46278</v>
      </c>
      <c r="D2570">
        <v>1089124.99</v>
      </c>
    </row>
    <row r="2571" spans="1:4" x14ac:dyDescent="0.3">
      <c r="A2571" s="82" t="s">
        <v>21</v>
      </c>
      <c r="B2571" s="82"/>
      <c r="C2571" s="16">
        <v>46278</v>
      </c>
      <c r="D2571">
        <v>1233789.9099999997</v>
      </c>
    </row>
    <row r="2572" spans="1:4" x14ac:dyDescent="0.3">
      <c r="A2572" s="82" t="s">
        <v>22</v>
      </c>
      <c r="B2572" s="82"/>
      <c r="C2572" s="16">
        <v>46278</v>
      </c>
      <c r="D2572">
        <v>229778.14</v>
      </c>
    </row>
    <row r="2573" spans="1:4" x14ac:dyDescent="0.3">
      <c r="A2573" s="82" t="s">
        <v>23</v>
      </c>
      <c r="B2573" s="82"/>
      <c r="C2573" s="16">
        <v>46278</v>
      </c>
      <c r="D2573">
        <v>98169.25999999998</v>
      </c>
    </row>
    <row r="2574" spans="1:4" x14ac:dyDescent="0.3">
      <c r="A2574" s="82" t="s">
        <v>24</v>
      </c>
      <c r="B2574" s="82"/>
      <c r="C2574" s="16">
        <v>46278</v>
      </c>
      <c r="D2574">
        <v>13270.02</v>
      </c>
    </row>
    <row r="2575" spans="1:4" x14ac:dyDescent="0.3">
      <c r="A2575" s="82" t="s">
        <v>25</v>
      </c>
      <c r="B2575" s="82"/>
      <c r="C2575" s="16">
        <v>46278</v>
      </c>
      <c r="D2575">
        <v>94.5</v>
      </c>
    </row>
    <row r="2576" spans="1:4" x14ac:dyDescent="0.3">
      <c r="A2576" s="82" t="s">
        <v>26</v>
      </c>
      <c r="B2576" s="82"/>
      <c r="C2576" s="16">
        <v>46278</v>
      </c>
      <c r="D2576">
        <v>2147.92</v>
      </c>
    </row>
    <row r="2577" spans="1:4" x14ac:dyDescent="0.3">
      <c r="A2577" s="82" t="s">
        <v>27</v>
      </c>
      <c r="B2577" s="82"/>
      <c r="C2577" s="16">
        <v>46278</v>
      </c>
      <c r="D2577">
        <v>18005.290000000015</v>
      </c>
    </row>
    <row r="2578" spans="1:4" x14ac:dyDescent="0.3">
      <c r="A2578" s="82" t="s">
        <v>28</v>
      </c>
      <c r="B2578" s="82"/>
      <c r="C2578" s="16">
        <v>46278</v>
      </c>
      <c r="D2578">
        <v>1968.99</v>
      </c>
    </row>
    <row r="2579" spans="1:4" x14ac:dyDescent="0.3">
      <c r="A2579" s="82" t="s">
        <v>29</v>
      </c>
      <c r="B2579" s="82"/>
      <c r="C2579" s="16">
        <v>46278</v>
      </c>
      <c r="D2579">
        <v>901.34</v>
      </c>
    </row>
    <row r="2580" spans="1:4" x14ac:dyDescent="0.3">
      <c r="A2580" s="82" t="s">
        <v>30</v>
      </c>
      <c r="B2580" s="82"/>
      <c r="C2580" s="16">
        <v>46278</v>
      </c>
      <c r="D2580">
        <v>1380.08</v>
      </c>
    </row>
    <row r="2581" spans="1:4" x14ac:dyDescent="0.3">
      <c r="A2581" s="82" t="s">
        <v>31</v>
      </c>
      <c r="B2581" s="82"/>
      <c r="C2581" s="16">
        <v>46278</v>
      </c>
      <c r="D2581">
        <v>25027.379999999961</v>
      </c>
    </row>
    <row r="2582" spans="1:4" x14ac:dyDescent="0.3">
      <c r="A2582" s="82" t="s">
        <v>32</v>
      </c>
      <c r="B2582" s="82"/>
      <c r="C2582" s="16">
        <v>46278</v>
      </c>
      <c r="D2582">
        <v>16282.630000000006</v>
      </c>
    </row>
    <row r="2583" spans="1:4" x14ac:dyDescent="0.3">
      <c r="A2583" s="82" t="s">
        <v>33</v>
      </c>
      <c r="B2583" s="82"/>
      <c r="C2583" s="16">
        <v>46278</v>
      </c>
      <c r="D2583">
        <v>13339.389999999996</v>
      </c>
    </row>
    <row r="2584" spans="1:4" x14ac:dyDescent="0.3">
      <c r="A2584" s="82" t="s">
        <v>34</v>
      </c>
      <c r="B2584" s="82"/>
      <c r="C2584" s="16">
        <v>46278</v>
      </c>
      <c r="D2584">
        <v>345</v>
      </c>
    </row>
    <row r="2585" spans="1:4" x14ac:dyDescent="0.3">
      <c r="A2585" s="82" t="s">
        <v>35</v>
      </c>
      <c r="B2585" s="82"/>
      <c r="C2585" s="16">
        <v>46278</v>
      </c>
      <c r="D2585">
        <v>23057.24</v>
      </c>
    </row>
    <row r="2586" spans="1:4" x14ac:dyDescent="0.3">
      <c r="A2586" s="82" t="s">
        <v>17</v>
      </c>
      <c r="B2586" s="82"/>
      <c r="C2586" s="16">
        <v>46279</v>
      </c>
      <c r="D2586">
        <v>2042967.3900000008</v>
      </c>
    </row>
    <row r="2587" spans="1:4" x14ac:dyDescent="0.3">
      <c r="A2587" s="82" t="s">
        <v>18</v>
      </c>
      <c r="B2587" s="82"/>
      <c r="C2587" s="16">
        <v>46279</v>
      </c>
      <c r="D2587">
        <v>93737.970000000176</v>
      </c>
    </row>
    <row r="2588" spans="1:4" x14ac:dyDescent="0.3">
      <c r="A2588" s="82" t="s">
        <v>19</v>
      </c>
      <c r="B2588" s="82"/>
      <c r="C2588" s="16">
        <v>46279</v>
      </c>
      <c r="D2588">
        <v>1669.89</v>
      </c>
    </row>
    <row r="2589" spans="1:4" x14ac:dyDescent="0.3">
      <c r="A2589" s="82" t="s">
        <v>20</v>
      </c>
      <c r="B2589" s="82"/>
      <c r="C2589" s="16">
        <v>46279</v>
      </c>
      <c r="D2589">
        <v>1105910.26</v>
      </c>
    </row>
    <row r="2590" spans="1:4" x14ac:dyDescent="0.3">
      <c r="A2590" s="82" t="s">
        <v>21</v>
      </c>
      <c r="B2590" s="82"/>
      <c r="C2590" s="16">
        <v>46279</v>
      </c>
      <c r="D2590">
        <v>1192065.5999999996</v>
      </c>
    </row>
    <row r="2591" spans="1:4" x14ac:dyDescent="0.3">
      <c r="A2591" s="82" t="s">
        <v>22</v>
      </c>
      <c r="B2591" s="82"/>
      <c r="C2591" s="16">
        <v>46279</v>
      </c>
      <c r="D2591">
        <v>229778.14</v>
      </c>
    </row>
    <row r="2592" spans="1:4" x14ac:dyDescent="0.3">
      <c r="A2592" s="82" t="s">
        <v>23</v>
      </c>
      <c r="B2592" s="82"/>
      <c r="C2592" s="16">
        <v>46279</v>
      </c>
      <c r="D2592">
        <v>98169.25999999998</v>
      </c>
    </row>
    <row r="2593" spans="1:4" x14ac:dyDescent="0.3">
      <c r="A2593" s="82" t="s">
        <v>24</v>
      </c>
      <c r="B2593" s="82"/>
      <c r="C2593" s="16">
        <v>46279</v>
      </c>
      <c r="D2593">
        <v>13270.02</v>
      </c>
    </row>
    <row r="2594" spans="1:4" x14ac:dyDescent="0.3">
      <c r="A2594" s="82" t="s">
        <v>25</v>
      </c>
      <c r="B2594" s="82"/>
      <c r="C2594" s="16">
        <v>46279</v>
      </c>
      <c r="D2594">
        <v>94.5</v>
      </c>
    </row>
    <row r="2595" spans="1:4" x14ac:dyDescent="0.3">
      <c r="A2595" s="82" t="s">
        <v>26</v>
      </c>
      <c r="B2595" s="82"/>
      <c r="C2595" s="16">
        <v>46279</v>
      </c>
      <c r="D2595">
        <v>2147.92</v>
      </c>
    </row>
    <row r="2596" spans="1:4" x14ac:dyDescent="0.3">
      <c r="A2596" s="82" t="s">
        <v>27</v>
      </c>
      <c r="B2596" s="82"/>
      <c r="C2596" s="16">
        <v>46279</v>
      </c>
      <c r="D2596">
        <v>18005.290000000015</v>
      </c>
    </row>
    <row r="2597" spans="1:4" x14ac:dyDescent="0.3">
      <c r="A2597" s="82" t="s">
        <v>28</v>
      </c>
      <c r="B2597" s="82"/>
      <c r="C2597" s="16">
        <v>46279</v>
      </c>
      <c r="D2597">
        <v>1968.99</v>
      </c>
    </row>
    <row r="2598" spans="1:4" x14ac:dyDescent="0.3">
      <c r="A2598" s="82" t="s">
        <v>29</v>
      </c>
      <c r="B2598" s="82"/>
      <c r="C2598" s="16">
        <v>46279</v>
      </c>
      <c r="D2598">
        <v>901.34</v>
      </c>
    </row>
    <row r="2599" spans="1:4" x14ac:dyDescent="0.3">
      <c r="A2599" s="82" t="s">
        <v>30</v>
      </c>
      <c r="B2599" s="82"/>
      <c r="C2599" s="16">
        <v>46279</v>
      </c>
      <c r="D2599">
        <v>1380.08</v>
      </c>
    </row>
    <row r="2600" spans="1:4" x14ac:dyDescent="0.3">
      <c r="A2600" s="82" t="s">
        <v>31</v>
      </c>
      <c r="B2600" s="82"/>
      <c r="C2600" s="16">
        <v>46279</v>
      </c>
      <c r="D2600">
        <v>25027.379999999961</v>
      </c>
    </row>
    <row r="2601" spans="1:4" x14ac:dyDescent="0.3">
      <c r="A2601" s="82" t="s">
        <v>32</v>
      </c>
      <c r="B2601" s="82"/>
      <c r="C2601" s="16">
        <v>46279</v>
      </c>
      <c r="D2601">
        <v>16282.630000000006</v>
      </c>
    </row>
    <row r="2602" spans="1:4" x14ac:dyDescent="0.3">
      <c r="A2602" s="82" t="s">
        <v>33</v>
      </c>
      <c r="B2602" s="82"/>
      <c r="C2602" s="16">
        <v>46279</v>
      </c>
      <c r="D2602">
        <v>13685.999999999996</v>
      </c>
    </row>
    <row r="2603" spans="1:4" x14ac:dyDescent="0.3">
      <c r="A2603" s="82" t="s">
        <v>34</v>
      </c>
      <c r="B2603" s="82"/>
      <c r="C2603" s="16">
        <v>46279</v>
      </c>
      <c r="D2603">
        <v>345</v>
      </c>
    </row>
    <row r="2604" spans="1:4" x14ac:dyDescent="0.3">
      <c r="A2604" s="82" t="s">
        <v>35</v>
      </c>
      <c r="B2604" s="82"/>
      <c r="C2604" s="16">
        <v>46279</v>
      </c>
      <c r="D2604">
        <v>16762.45</v>
      </c>
    </row>
    <row r="2605" spans="1:4" x14ac:dyDescent="0.3">
      <c r="A2605" s="82" t="s">
        <v>17</v>
      </c>
      <c r="B2605" s="82"/>
      <c r="C2605" s="16">
        <v>46280</v>
      </c>
      <c r="D2605">
        <v>2042967.3900000008</v>
      </c>
    </row>
    <row r="2606" spans="1:4" x14ac:dyDescent="0.3">
      <c r="A2606" s="82" t="s">
        <v>18</v>
      </c>
      <c r="B2606" s="82"/>
      <c r="C2606" s="16">
        <v>46280</v>
      </c>
      <c r="D2606">
        <v>100486.46000000017</v>
      </c>
    </row>
    <row r="2607" spans="1:4" x14ac:dyDescent="0.3">
      <c r="A2607" s="82" t="s">
        <v>19</v>
      </c>
      <c r="B2607" s="82"/>
      <c r="C2607" s="16">
        <v>46280</v>
      </c>
      <c r="D2607">
        <v>1669.89</v>
      </c>
    </row>
    <row r="2608" spans="1:4" x14ac:dyDescent="0.3">
      <c r="A2608" s="82" t="s">
        <v>20</v>
      </c>
      <c r="B2608" s="82"/>
      <c r="C2608" s="16">
        <v>46280</v>
      </c>
      <c r="D2608">
        <v>1105534.6399999999</v>
      </c>
    </row>
    <row r="2609" spans="1:4" x14ac:dyDescent="0.3">
      <c r="A2609" s="82" t="s">
        <v>21</v>
      </c>
      <c r="B2609" s="82"/>
      <c r="C2609" s="16">
        <v>46280</v>
      </c>
      <c r="D2609">
        <v>1192036.1899999995</v>
      </c>
    </row>
    <row r="2610" spans="1:4" x14ac:dyDescent="0.3">
      <c r="A2610" s="82" t="s">
        <v>22</v>
      </c>
      <c r="B2610" s="82"/>
      <c r="C2610" s="16">
        <v>46280</v>
      </c>
      <c r="D2610">
        <v>229778.14</v>
      </c>
    </row>
    <row r="2611" spans="1:4" x14ac:dyDescent="0.3">
      <c r="A2611" s="82" t="s">
        <v>23</v>
      </c>
      <c r="B2611" s="82"/>
      <c r="C2611" s="16">
        <v>46280</v>
      </c>
      <c r="D2611">
        <v>98169.25999999998</v>
      </c>
    </row>
    <row r="2612" spans="1:4" x14ac:dyDescent="0.3">
      <c r="A2612" s="82" t="s">
        <v>24</v>
      </c>
      <c r="B2612" s="82"/>
      <c r="C2612" s="16">
        <v>46280</v>
      </c>
      <c r="D2612">
        <v>13270.02</v>
      </c>
    </row>
    <row r="2613" spans="1:4" x14ac:dyDescent="0.3">
      <c r="A2613" s="82" t="s">
        <v>25</v>
      </c>
      <c r="B2613" s="82"/>
      <c r="C2613" s="16">
        <v>46280</v>
      </c>
      <c r="D2613">
        <v>94.5</v>
      </c>
    </row>
    <row r="2614" spans="1:4" x14ac:dyDescent="0.3">
      <c r="A2614" s="82" t="s">
        <v>26</v>
      </c>
      <c r="B2614" s="82"/>
      <c r="C2614" s="16">
        <v>46280</v>
      </c>
      <c r="D2614">
        <v>2147.92</v>
      </c>
    </row>
    <row r="2615" spans="1:4" x14ac:dyDescent="0.3">
      <c r="A2615" s="82" t="s">
        <v>27</v>
      </c>
      <c r="B2615" s="82"/>
      <c r="C2615" s="16">
        <v>46280</v>
      </c>
      <c r="D2615">
        <v>18005.290000000015</v>
      </c>
    </row>
    <row r="2616" spans="1:4" x14ac:dyDescent="0.3">
      <c r="A2616" s="82" t="s">
        <v>28</v>
      </c>
      <c r="B2616" s="82"/>
      <c r="C2616" s="16">
        <v>46280</v>
      </c>
      <c r="D2616">
        <v>1968.99</v>
      </c>
    </row>
    <row r="2617" spans="1:4" x14ac:dyDescent="0.3">
      <c r="A2617" s="82" t="s">
        <v>29</v>
      </c>
      <c r="B2617" s="82"/>
      <c r="C2617" s="16">
        <v>46280</v>
      </c>
      <c r="D2617">
        <v>901.34</v>
      </c>
    </row>
    <row r="2618" spans="1:4" x14ac:dyDescent="0.3">
      <c r="A2618" s="82" t="s">
        <v>30</v>
      </c>
      <c r="B2618" s="82"/>
      <c r="C2618" s="16">
        <v>46280</v>
      </c>
      <c r="D2618">
        <v>1380.08</v>
      </c>
    </row>
    <row r="2619" spans="1:4" x14ac:dyDescent="0.3">
      <c r="A2619" s="82" t="s">
        <v>31</v>
      </c>
      <c r="B2619" s="82"/>
      <c r="C2619" s="16">
        <v>46280</v>
      </c>
      <c r="D2619">
        <v>25027.379999999961</v>
      </c>
    </row>
    <row r="2620" spans="1:4" x14ac:dyDescent="0.3">
      <c r="A2620" s="82" t="s">
        <v>32</v>
      </c>
      <c r="B2620" s="82"/>
      <c r="C2620" s="16">
        <v>46280</v>
      </c>
      <c r="D2620">
        <v>16282.630000000006</v>
      </c>
    </row>
    <row r="2621" spans="1:4" x14ac:dyDescent="0.3">
      <c r="A2621" s="82" t="s">
        <v>33</v>
      </c>
      <c r="B2621" s="82"/>
      <c r="C2621" s="16">
        <v>46280</v>
      </c>
      <c r="D2621">
        <v>13685.999999999996</v>
      </c>
    </row>
    <row r="2622" spans="1:4" x14ac:dyDescent="0.3">
      <c r="A2622" s="82" t="s">
        <v>34</v>
      </c>
      <c r="B2622" s="82"/>
      <c r="C2622" s="16">
        <v>46280</v>
      </c>
      <c r="D2622">
        <v>345</v>
      </c>
    </row>
    <row r="2623" spans="1:4" x14ac:dyDescent="0.3">
      <c r="A2623" s="82" t="s">
        <v>35</v>
      </c>
      <c r="B2623" s="82"/>
      <c r="C2623" s="16">
        <v>46280</v>
      </c>
      <c r="D2623">
        <v>16587.45</v>
      </c>
    </row>
    <row r="2624" spans="1:4" x14ac:dyDescent="0.3">
      <c r="A2624" s="82" t="s">
        <v>17</v>
      </c>
      <c r="B2624" s="82"/>
      <c r="C2624" s="16">
        <v>46281</v>
      </c>
      <c r="D2624">
        <v>2042967.3900000008</v>
      </c>
    </row>
    <row r="2625" spans="1:4" x14ac:dyDescent="0.3">
      <c r="A2625" s="82" t="s">
        <v>18</v>
      </c>
      <c r="B2625" s="82"/>
      <c r="C2625" s="16">
        <v>46281</v>
      </c>
      <c r="D2625">
        <v>100486.46000000017</v>
      </c>
    </row>
    <row r="2626" spans="1:4" x14ac:dyDescent="0.3">
      <c r="A2626" s="82" t="s">
        <v>19</v>
      </c>
      <c r="B2626" s="82"/>
      <c r="C2626" s="16">
        <v>46281</v>
      </c>
      <c r="D2626">
        <v>1669.89</v>
      </c>
    </row>
    <row r="2627" spans="1:4" x14ac:dyDescent="0.3">
      <c r="A2627" s="82" t="s">
        <v>20</v>
      </c>
      <c r="B2627" s="82"/>
      <c r="C2627" s="16">
        <v>46281</v>
      </c>
      <c r="D2627">
        <v>1105534.6399999999</v>
      </c>
    </row>
    <row r="2628" spans="1:4" x14ac:dyDescent="0.3">
      <c r="A2628" s="82" t="s">
        <v>21</v>
      </c>
      <c r="B2628" s="82"/>
      <c r="C2628" s="16">
        <v>46281</v>
      </c>
      <c r="D2628">
        <v>1189545.8299999996</v>
      </c>
    </row>
    <row r="2629" spans="1:4" x14ac:dyDescent="0.3">
      <c r="A2629" s="82" t="s">
        <v>22</v>
      </c>
      <c r="B2629" s="82"/>
      <c r="C2629" s="16">
        <v>46281</v>
      </c>
      <c r="D2629">
        <v>229778.14</v>
      </c>
    </row>
    <row r="2630" spans="1:4" x14ac:dyDescent="0.3">
      <c r="A2630" s="82" t="s">
        <v>23</v>
      </c>
      <c r="B2630" s="82"/>
      <c r="C2630" s="16">
        <v>46281</v>
      </c>
      <c r="D2630">
        <v>98169.25999999998</v>
      </c>
    </row>
    <row r="2631" spans="1:4" x14ac:dyDescent="0.3">
      <c r="A2631" s="82" t="s">
        <v>24</v>
      </c>
      <c r="B2631" s="82"/>
      <c r="C2631" s="16">
        <v>46281</v>
      </c>
      <c r="D2631">
        <v>13270.02</v>
      </c>
    </row>
    <row r="2632" spans="1:4" x14ac:dyDescent="0.3">
      <c r="A2632" s="82" t="s">
        <v>25</v>
      </c>
      <c r="B2632" s="82"/>
      <c r="C2632" s="16">
        <v>46281</v>
      </c>
      <c r="D2632">
        <v>94.5</v>
      </c>
    </row>
    <row r="2633" spans="1:4" x14ac:dyDescent="0.3">
      <c r="A2633" s="82" t="s">
        <v>26</v>
      </c>
      <c r="B2633" s="82"/>
      <c r="C2633" s="16">
        <v>46281</v>
      </c>
      <c r="D2633">
        <v>2147.92</v>
      </c>
    </row>
    <row r="2634" spans="1:4" x14ac:dyDescent="0.3">
      <c r="A2634" s="82" t="s">
        <v>27</v>
      </c>
      <c r="B2634" s="82"/>
      <c r="C2634" s="16">
        <v>46281</v>
      </c>
      <c r="D2634">
        <v>18005.290000000015</v>
      </c>
    </row>
    <row r="2635" spans="1:4" x14ac:dyDescent="0.3">
      <c r="A2635" s="82" t="s">
        <v>28</v>
      </c>
      <c r="B2635" s="82"/>
      <c r="C2635" s="16">
        <v>46281</v>
      </c>
      <c r="D2635">
        <v>1968.99</v>
      </c>
    </row>
    <row r="2636" spans="1:4" x14ac:dyDescent="0.3">
      <c r="A2636" s="82" t="s">
        <v>29</v>
      </c>
      <c r="B2636" s="82"/>
      <c r="C2636" s="16">
        <v>46281</v>
      </c>
      <c r="D2636">
        <v>901.34</v>
      </c>
    </row>
    <row r="2637" spans="1:4" x14ac:dyDescent="0.3">
      <c r="A2637" s="82" t="s">
        <v>30</v>
      </c>
      <c r="B2637" s="82"/>
      <c r="C2637" s="16">
        <v>46281</v>
      </c>
      <c r="D2637">
        <v>1380.08</v>
      </c>
    </row>
    <row r="2638" spans="1:4" x14ac:dyDescent="0.3">
      <c r="A2638" s="82" t="s">
        <v>31</v>
      </c>
      <c r="B2638" s="82"/>
      <c r="C2638" s="16">
        <v>46281</v>
      </c>
      <c r="D2638">
        <v>25027.379999999961</v>
      </c>
    </row>
    <row r="2639" spans="1:4" x14ac:dyDescent="0.3">
      <c r="A2639" s="82" t="s">
        <v>32</v>
      </c>
      <c r="B2639" s="82"/>
      <c r="C2639" s="16">
        <v>46281</v>
      </c>
      <c r="D2639">
        <v>16282.630000000006</v>
      </c>
    </row>
    <row r="2640" spans="1:4" x14ac:dyDescent="0.3">
      <c r="A2640" s="82" t="s">
        <v>33</v>
      </c>
      <c r="B2640" s="82"/>
      <c r="C2640" s="16">
        <v>46281</v>
      </c>
      <c r="D2640">
        <v>13685.999999999996</v>
      </c>
    </row>
    <row r="2641" spans="1:4" x14ac:dyDescent="0.3">
      <c r="A2641" s="82" t="s">
        <v>34</v>
      </c>
      <c r="B2641" s="82"/>
      <c r="C2641" s="16">
        <v>46281</v>
      </c>
      <c r="D2641">
        <v>345</v>
      </c>
    </row>
    <row r="2642" spans="1:4" x14ac:dyDescent="0.3">
      <c r="A2642" s="82" t="s">
        <v>35</v>
      </c>
      <c r="B2642" s="82"/>
      <c r="C2642" s="16">
        <v>46281</v>
      </c>
      <c r="D2642">
        <v>16384.45</v>
      </c>
    </row>
    <row r="2643" spans="1:4" x14ac:dyDescent="0.3">
      <c r="A2643" s="82" t="s">
        <v>17</v>
      </c>
      <c r="B2643" s="82"/>
      <c r="C2643" s="16">
        <v>46282</v>
      </c>
      <c r="D2643">
        <v>1912339.0500000007</v>
      </c>
    </row>
    <row r="2644" spans="1:4" x14ac:dyDescent="0.3">
      <c r="A2644" s="82" t="s">
        <v>18</v>
      </c>
      <c r="B2644" s="82"/>
      <c r="C2644" s="16">
        <v>46282</v>
      </c>
      <c r="D2644">
        <v>100486.46000000017</v>
      </c>
    </row>
    <row r="2645" spans="1:4" x14ac:dyDescent="0.3">
      <c r="A2645" s="82" t="s">
        <v>19</v>
      </c>
      <c r="B2645" s="82"/>
      <c r="C2645" s="16">
        <v>46282</v>
      </c>
      <c r="D2645">
        <v>1669.89</v>
      </c>
    </row>
    <row r="2646" spans="1:4" x14ac:dyDescent="0.3">
      <c r="A2646" s="82" t="s">
        <v>20</v>
      </c>
      <c r="B2646" s="82"/>
      <c r="C2646" s="16">
        <v>46282</v>
      </c>
      <c r="D2646">
        <v>975534.6399999999</v>
      </c>
    </row>
    <row r="2647" spans="1:4" x14ac:dyDescent="0.3">
      <c r="A2647" s="82" t="s">
        <v>21</v>
      </c>
      <c r="B2647" s="82"/>
      <c r="C2647" s="16">
        <v>46282</v>
      </c>
      <c r="D2647">
        <v>1070754.1599999997</v>
      </c>
    </row>
    <row r="2648" spans="1:4" x14ac:dyDescent="0.3">
      <c r="A2648" s="82" t="s">
        <v>22</v>
      </c>
      <c r="B2648" s="82"/>
      <c r="C2648" s="16">
        <v>46282</v>
      </c>
      <c r="D2648">
        <v>229778.14</v>
      </c>
    </row>
    <row r="2649" spans="1:4" x14ac:dyDescent="0.3">
      <c r="A2649" s="82" t="s">
        <v>23</v>
      </c>
      <c r="B2649" s="82"/>
      <c r="C2649" s="16">
        <v>46282</v>
      </c>
      <c r="D2649">
        <v>98169.25999999998</v>
      </c>
    </row>
    <row r="2650" spans="1:4" x14ac:dyDescent="0.3">
      <c r="A2650" s="82" t="s">
        <v>24</v>
      </c>
      <c r="B2650" s="82"/>
      <c r="C2650" s="16">
        <v>46282</v>
      </c>
      <c r="D2650">
        <v>13270.02</v>
      </c>
    </row>
    <row r="2651" spans="1:4" x14ac:dyDescent="0.3">
      <c r="A2651" s="82" t="s">
        <v>25</v>
      </c>
      <c r="B2651" s="82"/>
      <c r="C2651" s="16">
        <v>46282</v>
      </c>
      <c r="D2651">
        <v>94.5</v>
      </c>
    </row>
    <row r="2652" spans="1:4" x14ac:dyDescent="0.3">
      <c r="A2652" s="82" t="s">
        <v>26</v>
      </c>
      <c r="B2652" s="82"/>
      <c r="C2652" s="16">
        <v>46282</v>
      </c>
      <c r="D2652">
        <v>2147.92</v>
      </c>
    </row>
    <row r="2653" spans="1:4" x14ac:dyDescent="0.3">
      <c r="A2653" s="82" t="s">
        <v>27</v>
      </c>
      <c r="B2653" s="82"/>
      <c r="C2653" s="16">
        <v>46282</v>
      </c>
      <c r="D2653">
        <v>18005.290000000015</v>
      </c>
    </row>
    <row r="2654" spans="1:4" x14ac:dyDescent="0.3">
      <c r="A2654" s="82" t="s">
        <v>28</v>
      </c>
      <c r="B2654" s="82"/>
      <c r="C2654" s="16">
        <v>46282</v>
      </c>
      <c r="D2654">
        <v>1968.99</v>
      </c>
    </row>
    <row r="2655" spans="1:4" x14ac:dyDescent="0.3">
      <c r="A2655" s="82" t="s">
        <v>29</v>
      </c>
      <c r="B2655" s="82"/>
      <c r="C2655" s="16">
        <v>46282</v>
      </c>
      <c r="D2655">
        <v>901.34</v>
      </c>
    </row>
    <row r="2656" spans="1:4" x14ac:dyDescent="0.3">
      <c r="A2656" s="82" t="s">
        <v>30</v>
      </c>
      <c r="B2656" s="82"/>
      <c r="C2656" s="16">
        <v>46282</v>
      </c>
      <c r="D2656">
        <v>1380.08</v>
      </c>
    </row>
    <row r="2657" spans="1:4" x14ac:dyDescent="0.3">
      <c r="A2657" s="82" t="s">
        <v>31</v>
      </c>
      <c r="B2657" s="82"/>
      <c r="C2657" s="16">
        <v>46282</v>
      </c>
      <c r="D2657">
        <v>25027.379999999961</v>
      </c>
    </row>
    <row r="2658" spans="1:4" x14ac:dyDescent="0.3">
      <c r="A2658" s="82" t="s">
        <v>32</v>
      </c>
      <c r="B2658" s="82"/>
      <c r="C2658" s="16">
        <v>46282</v>
      </c>
      <c r="D2658">
        <v>16282.630000000006</v>
      </c>
    </row>
    <row r="2659" spans="1:4" x14ac:dyDescent="0.3">
      <c r="A2659" s="82" t="s">
        <v>33</v>
      </c>
      <c r="B2659" s="82"/>
      <c r="C2659" s="16">
        <v>46282</v>
      </c>
      <c r="D2659">
        <v>13685.999999999996</v>
      </c>
    </row>
    <row r="2660" spans="1:4" x14ac:dyDescent="0.3">
      <c r="A2660" s="82" t="s">
        <v>34</v>
      </c>
      <c r="B2660" s="82"/>
      <c r="C2660" s="16">
        <v>46282</v>
      </c>
      <c r="D2660">
        <v>345</v>
      </c>
    </row>
    <row r="2661" spans="1:4" x14ac:dyDescent="0.3">
      <c r="A2661" s="82" t="s">
        <v>35</v>
      </c>
      <c r="B2661" s="82"/>
      <c r="C2661" s="16">
        <v>46282</v>
      </c>
      <c r="D2661">
        <v>16164.440000000002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2026-09-18T17:03:09Z</dcterms:modified>
  <dc:language>en-US</dc:language>
</cp:coreProperties>
</file>