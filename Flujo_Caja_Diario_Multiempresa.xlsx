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362" documentId="8_{BBC9EA4E-7F3B-475F-B61B-890F681C3A1C}" xr6:coauthVersionLast="47" xr6:coauthVersionMax="47" xr10:uidLastSave="{5222AD7D-B8DE-46DA-9316-407D81368574}"/>
  <bookViews>
    <workbookView xWindow="-108" yWindow="-108" windowWidth="23256" windowHeight="12576" tabRatio="597" firstSheet="4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DatosExternos_1" localSheetId="6" hidden="1">'Lista diaria'!$A$1:$D$780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71" i="1" l="1"/>
  <c r="C272" i="1"/>
  <c r="C273" i="1"/>
  <c r="C274" i="1"/>
  <c r="C275" i="1"/>
  <c r="C276" i="1"/>
  <c r="E271" i="1"/>
  <c r="E272" i="1"/>
  <c r="E273" i="1"/>
  <c r="E274" i="1"/>
  <c r="E275" i="1"/>
  <c r="E276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K271" i="1"/>
  <c r="N271" i="1"/>
  <c r="O271" i="1"/>
  <c r="P271" i="1" s="1"/>
  <c r="K272" i="1"/>
  <c r="N272" i="1"/>
  <c r="P272" i="1" s="1"/>
  <c r="O272" i="1"/>
  <c r="K273" i="1"/>
  <c r="N273" i="1"/>
  <c r="P273" i="1" s="1"/>
  <c r="O273" i="1"/>
  <c r="K274" i="1"/>
  <c r="N274" i="1"/>
  <c r="P274" i="1" s="1"/>
  <c r="O274" i="1"/>
  <c r="K275" i="1"/>
  <c r="N275" i="1"/>
  <c r="P275" i="1" s="1"/>
  <c r="O275" i="1"/>
  <c r="K276" i="1"/>
  <c r="N276" i="1"/>
  <c r="O276" i="1"/>
  <c r="P276" i="1" s="1"/>
  <c r="K267" i="1"/>
  <c r="N267" i="1"/>
  <c r="O267" i="1"/>
  <c r="P267" i="1" s="1"/>
  <c r="K268" i="1"/>
  <c r="N268" i="1"/>
  <c r="O268" i="1"/>
  <c r="P268" i="1" s="1"/>
  <c r="K269" i="1"/>
  <c r="N269" i="1"/>
  <c r="P269" i="1" s="1"/>
  <c r="O269" i="1"/>
  <c r="K270" i="1"/>
  <c r="N270" i="1"/>
  <c r="P270" i="1" s="1"/>
  <c r="O270" i="1"/>
  <c r="H267" i="1"/>
  <c r="I267" i="1"/>
  <c r="H268" i="1"/>
  <c r="I268" i="1"/>
  <c r="H269" i="1"/>
  <c r="I269" i="1"/>
  <c r="H270" i="1"/>
  <c r="I270" i="1"/>
  <c r="E267" i="1"/>
  <c r="E268" i="1"/>
  <c r="E269" i="1"/>
  <c r="E270" i="1"/>
  <c r="C266" i="1"/>
  <c r="C267" i="1"/>
  <c r="C268" i="1"/>
  <c r="C269" i="1"/>
  <c r="C270" i="1"/>
  <c r="N266" i="1" l="1"/>
  <c r="O266" i="1"/>
  <c r="P266" i="1" s="1"/>
  <c r="K266" i="1"/>
  <c r="H266" i="1"/>
  <c r="I266" i="1"/>
  <c r="E266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N221" i="1" l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31" i="1"/>
  <c r="O231" i="1"/>
  <c r="P231" i="1" s="1"/>
  <c r="N232" i="1"/>
  <c r="O232" i="1"/>
  <c r="P232" i="1" s="1"/>
  <c r="N233" i="1"/>
  <c r="O233" i="1"/>
  <c r="P233" i="1" s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P238" i="1" s="1"/>
  <c r="O238" i="1"/>
  <c r="N239" i="1"/>
  <c r="O239" i="1"/>
  <c r="P239" i="1" s="1"/>
  <c r="N240" i="1"/>
  <c r="O240" i="1"/>
  <c r="P240" i="1" s="1"/>
  <c r="N241" i="1"/>
  <c r="O241" i="1"/>
  <c r="P241" i="1" s="1"/>
  <c r="N242" i="1"/>
  <c r="O242" i="1"/>
  <c r="P242" i="1" s="1"/>
  <c r="N243" i="1"/>
  <c r="P243" i="1" s="1"/>
  <c r="O243" i="1"/>
  <c r="N244" i="1"/>
  <c r="O244" i="1"/>
  <c r="P244" i="1" s="1"/>
  <c r="N245" i="1"/>
  <c r="O245" i="1"/>
  <c r="P245" i="1" s="1"/>
  <c r="N246" i="1"/>
  <c r="O246" i="1"/>
  <c r="P246" i="1" s="1"/>
  <c r="N247" i="1"/>
  <c r="O247" i="1"/>
  <c r="P247" i="1" s="1"/>
  <c r="N248" i="1"/>
  <c r="O248" i="1"/>
  <c r="P248" i="1" s="1"/>
  <c r="N249" i="1"/>
  <c r="P249" i="1" s="1"/>
  <c r="O249" i="1"/>
  <c r="N250" i="1"/>
  <c r="O250" i="1"/>
  <c r="P250" i="1" s="1"/>
  <c r="N251" i="1"/>
  <c r="P251" i="1" s="1"/>
  <c r="O251" i="1"/>
  <c r="N252" i="1"/>
  <c r="O252" i="1"/>
  <c r="P252" i="1" s="1"/>
  <c r="N253" i="1"/>
  <c r="P253" i="1" s="1"/>
  <c r="O253" i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O258" i="1"/>
  <c r="P258" i="1" s="1"/>
  <c r="N259" i="1"/>
  <c r="O259" i="1"/>
  <c r="P259" i="1" s="1"/>
  <c r="N260" i="1"/>
  <c r="O260" i="1"/>
  <c r="P260" i="1" s="1"/>
  <c r="N261" i="1"/>
  <c r="O261" i="1"/>
  <c r="P261" i="1" s="1"/>
  <c r="N262" i="1"/>
  <c r="O262" i="1"/>
  <c r="P262" i="1" s="1"/>
  <c r="N263" i="1"/>
  <c r="O263" i="1"/>
  <c r="P263" i="1" s="1"/>
  <c r="N264" i="1"/>
  <c r="O264" i="1"/>
  <c r="P264" i="1" s="1"/>
  <c r="N265" i="1"/>
  <c r="O265" i="1"/>
  <c r="P265" i="1" s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I2" i="1"/>
  <c r="K2" i="1"/>
  <c r="N2" i="1"/>
  <c r="P2" i="1" s="1"/>
  <c r="O2" i="1"/>
  <c r="I3" i="1"/>
  <c r="K3" i="1"/>
  <c r="N3" i="1"/>
  <c r="P3" i="1" s="1"/>
  <c r="O3" i="1"/>
  <c r="I4" i="1"/>
  <c r="K4" i="1"/>
  <c r="N4" i="1"/>
  <c r="O4" i="1"/>
  <c r="P4" i="1" s="1"/>
  <c r="I5" i="1"/>
  <c r="K5" i="1"/>
  <c r="N5" i="1"/>
  <c r="O5" i="1"/>
  <c r="P5" i="1" s="1"/>
  <c r="I6" i="1"/>
  <c r="K6" i="1"/>
  <c r="N6" i="1"/>
  <c r="O6" i="1"/>
  <c r="P6" i="1" s="1"/>
  <c r="I7" i="1"/>
  <c r="K7" i="1"/>
  <c r="N7" i="1"/>
  <c r="P7" i="1" s="1"/>
  <c r="O7" i="1"/>
  <c r="I8" i="1"/>
  <c r="K8" i="1"/>
  <c r="N8" i="1"/>
  <c r="O8" i="1"/>
  <c r="P8" i="1" s="1"/>
  <c r="I9" i="1"/>
  <c r="K9" i="1"/>
  <c r="N9" i="1"/>
  <c r="O9" i="1"/>
  <c r="P9" i="1" s="1"/>
  <c r="I10" i="1"/>
  <c r="K10" i="1"/>
  <c r="N10" i="1"/>
  <c r="O10" i="1"/>
  <c r="P10" i="1" s="1"/>
  <c r="I11" i="1"/>
  <c r="K11" i="1"/>
  <c r="N11" i="1"/>
  <c r="P11" i="1" s="1"/>
  <c r="O11" i="1"/>
  <c r="I12" i="1"/>
  <c r="K12" i="1"/>
  <c r="N12" i="1"/>
  <c r="O12" i="1"/>
  <c r="P12" i="1" s="1"/>
  <c r="I13" i="1"/>
  <c r="K13" i="1"/>
  <c r="N13" i="1"/>
  <c r="P13" i="1" s="1"/>
  <c r="O13" i="1"/>
  <c r="I14" i="1"/>
  <c r="K14" i="1"/>
  <c r="N14" i="1"/>
  <c r="O14" i="1"/>
  <c r="P14" i="1" s="1"/>
  <c r="I15" i="1"/>
  <c r="K15" i="1"/>
  <c r="N15" i="1"/>
  <c r="P15" i="1" s="1"/>
  <c r="O15" i="1"/>
  <c r="I16" i="1"/>
  <c r="K16" i="1"/>
  <c r="N16" i="1"/>
  <c r="O16" i="1"/>
  <c r="P16" i="1" s="1"/>
  <c r="I17" i="1"/>
  <c r="K17" i="1"/>
  <c r="N17" i="1"/>
  <c r="O17" i="1"/>
  <c r="P17" i="1" s="1"/>
  <c r="I18" i="1"/>
  <c r="K18" i="1"/>
  <c r="N18" i="1"/>
  <c r="O18" i="1"/>
  <c r="P18" i="1" s="1"/>
  <c r="I19" i="1"/>
  <c r="K19" i="1"/>
  <c r="N19" i="1"/>
  <c r="O19" i="1"/>
  <c r="P19" i="1" s="1"/>
  <c r="I20" i="1"/>
  <c r="K20" i="1"/>
  <c r="N20" i="1"/>
  <c r="P20" i="1" s="1"/>
  <c r="O20" i="1"/>
  <c r="I21" i="1"/>
  <c r="K21" i="1"/>
  <c r="N21" i="1"/>
  <c r="O21" i="1"/>
  <c r="P21" i="1" s="1"/>
  <c r="I22" i="1"/>
  <c r="K22" i="1"/>
  <c r="N22" i="1"/>
  <c r="O22" i="1"/>
  <c r="P22" i="1" s="1"/>
  <c r="I23" i="1"/>
  <c r="K23" i="1"/>
  <c r="N23" i="1"/>
  <c r="P23" i="1" s="1"/>
  <c r="O23" i="1"/>
  <c r="I24" i="1"/>
  <c r="K24" i="1"/>
  <c r="N24" i="1"/>
  <c r="P24" i="1" s="1"/>
  <c r="O24" i="1"/>
  <c r="I25" i="1"/>
  <c r="K25" i="1"/>
  <c r="N25" i="1"/>
  <c r="O25" i="1"/>
  <c r="P25" i="1" s="1"/>
  <c r="I26" i="1"/>
  <c r="K26" i="1"/>
  <c r="N26" i="1"/>
  <c r="O26" i="1"/>
  <c r="P26" i="1" s="1"/>
  <c r="I27" i="1"/>
  <c r="K27" i="1"/>
  <c r="N27" i="1"/>
  <c r="P27" i="1" s="1"/>
  <c r="O27" i="1"/>
  <c r="I28" i="1"/>
  <c r="K28" i="1"/>
  <c r="N28" i="1"/>
  <c r="O28" i="1"/>
  <c r="P28" i="1" s="1"/>
  <c r="I29" i="1"/>
  <c r="K29" i="1"/>
  <c r="N29" i="1"/>
  <c r="O29" i="1"/>
  <c r="P29" i="1" s="1"/>
  <c r="I30" i="1"/>
  <c r="K30" i="1"/>
  <c r="N30" i="1"/>
  <c r="O30" i="1"/>
  <c r="P30" i="1" s="1"/>
  <c r="I31" i="1"/>
  <c r="K31" i="1"/>
  <c r="N31" i="1"/>
  <c r="O31" i="1"/>
  <c r="P31" i="1" s="1"/>
  <c r="I32" i="1"/>
  <c r="K32" i="1"/>
  <c r="N32" i="1"/>
  <c r="P32" i="1" s="1"/>
  <c r="O32" i="1"/>
  <c r="I33" i="1"/>
  <c r="K33" i="1"/>
  <c r="N33" i="1"/>
  <c r="P33" i="1" s="1"/>
  <c r="O33" i="1"/>
  <c r="I34" i="1"/>
  <c r="K34" i="1"/>
  <c r="N34" i="1"/>
  <c r="O34" i="1"/>
  <c r="P34" i="1" s="1"/>
  <c r="I35" i="1"/>
  <c r="K35" i="1"/>
  <c r="N35" i="1"/>
  <c r="O35" i="1"/>
  <c r="P35" i="1" s="1"/>
  <c r="I36" i="1"/>
  <c r="K36" i="1"/>
  <c r="N36" i="1"/>
  <c r="O36" i="1"/>
  <c r="P36" i="1" s="1"/>
  <c r="I37" i="1"/>
  <c r="K37" i="1"/>
  <c r="N37" i="1"/>
  <c r="P37" i="1" s="1"/>
  <c r="O37" i="1"/>
  <c r="I38" i="1"/>
  <c r="K38" i="1"/>
  <c r="N38" i="1"/>
  <c r="O38" i="1"/>
  <c r="P38" i="1" s="1"/>
  <c r="I39" i="1"/>
  <c r="K39" i="1"/>
  <c r="N39" i="1"/>
  <c r="O39" i="1"/>
  <c r="P39" i="1" s="1"/>
  <c r="I40" i="1"/>
  <c r="K40" i="1"/>
  <c r="N40" i="1"/>
  <c r="P40" i="1" s="1"/>
  <c r="O40" i="1"/>
  <c r="I41" i="1"/>
  <c r="K41" i="1"/>
  <c r="N41" i="1"/>
  <c r="O41" i="1"/>
  <c r="P41" i="1" s="1"/>
  <c r="I42" i="1"/>
  <c r="K42" i="1"/>
  <c r="N42" i="1"/>
  <c r="O42" i="1"/>
  <c r="P42" i="1" s="1"/>
  <c r="I43" i="1"/>
  <c r="K43" i="1"/>
  <c r="N43" i="1"/>
  <c r="O43" i="1"/>
  <c r="P43" i="1" s="1"/>
  <c r="I44" i="1"/>
  <c r="K44" i="1"/>
  <c r="N44" i="1"/>
  <c r="O44" i="1"/>
  <c r="P44" i="1" s="1"/>
  <c r="I45" i="1"/>
  <c r="K45" i="1"/>
  <c r="N45" i="1"/>
  <c r="P45" i="1" s="1"/>
  <c r="O45" i="1"/>
  <c r="I46" i="1"/>
  <c r="K46" i="1"/>
  <c r="N46" i="1"/>
  <c r="P46" i="1" s="1"/>
  <c r="O46" i="1"/>
  <c r="I47" i="1"/>
  <c r="K47" i="1"/>
  <c r="N47" i="1"/>
  <c r="O47" i="1"/>
  <c r="P47" i="1" s="1"/>
  <c r="I48" i="1"/>
  <c r="K48" i="1"/>
  <c r="N48" i="1"/>
  <c r="P48" i="1" s="1"/>
  <c r="O48" i="1"/>
  <c r="I49" i="1"/>
  <c r="K49" i="1"/>
  <c r="N49" i="1"/>
  <c r="O49" i="1"/>
  <c r="P49" i="1" s="1"/>
  <c r="I50" i="1"/>
  <c r="K50" i="1"/>
  <c r="N50" i="1"/>
  <c r="O50" i="1"/>
  <c r="P50" i="1" s="1"/>
  <c r="I51" i="1"/>
  <c r="K51" i="1"/>
  <c r="N51" i="1"/>
  <c r="O51" i="1"/>
  <c r="P51" i="1" s="1"/>
  <c r="I52" i="1"/>
  <c r="K52" i="1"/>
  <c r="N52" i="1"/>
  <c r="O52" i="1"/>
  <c r="P52" i="1" s="1"/>
  <c r="I53" i="1"/>
  <c r="K53" i="1"/>
  <c r="N53" i="1"/>
  <c r="O53" i="1"/>
  <c r="P53" i="1" s="1"/>
  <c r="I54" i="1"/>
  <c r="K54" i="1"/>
  <c r="N54" i="1"/>
  <c r="O54" i="1"/>
  <c r="P54" i="1" s="1"/>
  <c r="I55" i="1"/>
  <c r="K55" i="1"/>
  <c r="N55" i="1"/>
  <c r="P55" i="1" s="1"/>
  <c r="O55" i="1"/>
  <c r="I56" i="1"/>
  <c r="K56" i="1"/>
  <c r="N56" i="1"/>
  <c r="O56" i="1"/>
  <c r="P56" i="1" s="1"/>
  <c r="I57" i="1"/>
  <c r="K57" i="1"/>
  <c r="N57" i="1"/>
  <c r="P57" i="1" s="1"/>
  <c r="O57" i="1"/>
  <c r="I58" i="1"/>
  <c r="K58" i="1"/>
  <c r="N58" i="1"/>
  <c r="P58" i="1" s="1"/>
  <c r="O58" i="1"/>
  <c r="I59" i="1"/>
  <c r="K59" i="1"/>
  <c r="N59" i="1"/>
  <c r="P59" i="1" s="1"/>
  <c r="O59" i="1"/>
  <c r="I60" i="1"/>
  <c r="K60" i="1"/>
  <c r="N60" i="1"/>
  <c r="O60" i="1"/>
  <c r="P60" i="1" s="1"/>
  <c r="I61" i="1"/>
  <c r="K61" i="1"/>
  <c r="N61" i="1"/>
  <c r="O61" i="1"/>
  <c r="P61" i="1" s="1"/>
  <c r="I62" i="1"/>
  <c r="K62" i="1"/>
  <c r="N62" i="1"/>
  <c r="O62" i="1"/>
  <c r="P62" i="1" s="1"/>
  <c r="I63" i="1"/>
  <c r="K63" i="1"/>
  <c r="N63" i="1"/>
  <c r="O63" i="1"/>
  <c r="P63" i="1" s="1"/>
  <c r="I64" i="1"/>
  <c r="K64" i="1"/>
  <c r="N64" i="1"/>
  <c r="P64" i="1" s="1"/>
  <c r="O64" i="1"/>
  <c r="I65" i="1"/>
  <c r="K65" i="1"/>
  <c r="N65" i="1"/>
  <c r="P65" i="1" s="1"/>
  <c r="O65" i="1"/>
  <c r="I66" i="1"/>
  <c r="K66" i="1"/>
  <c r="N66" i="1"/>
  <c r="O66" i="1"/>
  <c r="P66" i="1" s="1"/>
  <c r="I67" i="1"/>
  <c r="K67" i="1"/>
  <c r="N67" i="1"/>
  <c r="O67" i="1"/>
  <c r="P67" i="1" s="1"/>
  <c r="I68" i="1"/>
  <c r="K68" i="1"/>
  <c r="N68" i="1"/>
  <c r="O68" i="1"/>
  <c r="P68" i="1" s="1"/>
  <c r="I69" i="1"/>
  <c r="K69" i="1"/>
  <c r="N69" i="1"/>
  <c r="P69" i="1" s="1"/>
  <c r="O69" i="1"/>
  <c r="I70" i="1"/>
  <c r="K70" i="1"/>
  <c r="N70" i="1"/>
  <c r="O70" i="1"/>
  <c r="P70" i="1" s="1"/>
  <c r="I71" i="1"/>
  <c r="K71" i="1"/>
  <c r="N71" i="1"/>
  <c r="O71" i="1"/>
  <c r="P71" i="1" s="1"/>
  <c r="I72" i="1"/>
  <c r="K72" i="1"/>
  <c r="N72" i="1"/>
  <c r="O72" i="1"/>
  <c r="P72" i="1" s="1"/>
  <c r="I73" i="1"/>
  <c r="K73" i="1"/>
  <c r="N73" i="1"/>
  <c r="O73" i="1"/>
  <c r="P73" i="1" s="1"/>
  <c r="I74" i="1"/>
  <c r="K74" i="1"/>
  <c r="N74" i="1"/>
  <c r="O74" i="1"/>
  <c r="P74" i="1" s="1"/>
  <c r="I75" i="1"/>
  <c r="K75" i="1"/>
  <c r="N75" i="1"/>
  <c r="P75" i="1" s="1"/>
  <c r="O75" i="1"/>
  <c r="I76" i="1"/>
  <c r="K76" i="1"/>
  <c r="N76" i="1"/>
  <c r="O76" i="1"/>
  <c r="P76" i="1" s="1"/>
  <c r="I77" i="1"/>
  <c r="K77" i="1"/>
  <c r="N77" i="1"/>
  <c r="O77" i="1"/>
  <c r="P77" i="1" s="1"/>
  <c r="I78" i="1"/>
  <c r="K78" i="1"/>
  <c r="N78" i="1"/>
  <c r="O78" i="1"/>
  <c r="P78" i="1" s="1"/>
  <c r="H191" i="1"/>
  <c r="C9" i="7" l="1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H171" i="1"/>
  <c r="I171" i="1"/>
  <c r="H85" i="1"/>
  <c r="I85" i="1"/>
  <c r="H66" i="1"/>
  <c r="H55" i="1"/>
  <c r="H32" i="1"/>
  <c r="H81" i="1"/>
  <c r="I81" i="1"/>
  <c r="H67" i="1"/>
  <c r="H33" i="1"/>
  <c r="H34" i="1"/>
  <c r="H86" i="1"/>
  <c r="I86" i="1"/>
  <c r="H220" i="1"/>
  <c r="I220" i="1"/>
  <c r="H82" i="1"/>
  <c r="I82" i="1"/>
  <c r="E171" i="1"/>
  <c r="E85" i="1"/>
  <c r="E66" i="1"/>
  <c r="E55" i="1"/>
  <c r="E32" i="1"/>
  <c r="E81" i="1"/>
  <c r="E67" i="1"/>
  <c r="E33" i="1"/>
  <c r="E34" i="1"/>
  <c r="E86" i="1"/>
  <c r="E82" i="1"/>
  <c r="C219" i="1"/>
  <c r="C171" i="1"/>
  <c r="C85" i="1"/>
  <c r="C66" i="1"/>
  <c r="C55" i="1"/>
  <c r="C32" i="1"/>
  <c r="C81" i="1"/>
  <c r="C67" i="1"/>
  <c r="C33" i="1"/>
  <c r="C34" i="1"/>
  <c r="C86" i="1"/>
  <c r="C220" i="1"/>
  <c r="C82" i="1"/>
  <c r="K171" i="1"/>
  <c r="N171" i="1"/>
  <c r="O171" i="1"/>
  <c r="K85" i="1"/>
  <c r="N85" i="1"/>
  <c r="P85" i="1" s="1"/>
  <c r="O85" i="1"/>
  <c r="K81" i="1"/>
  <c r="N81" i="1"/>
  <c r="O81" i="1"/>
  <c r="P81" i="1" s="1"/>
  <c r="K86" i="1"/>
  <c r="N86" i="1"/>
  <c r="O86" i="1"/>
  <c r="P86" i="1" s="1"/>
  <c r="K220" i="1"/>
  <c r="N220" i="1"/>
  <c r="O220" i="1"/>
  <c r="P220" i="1" s="1"/>
  <c r="K82" i="1"/>
  <c r="N82" i="1"/>
  <c r="O82" i="1"/>
  <c r="P82" i="1" s="1"/>
  <c r="P171" i="1" l="1"/>
  <c r="O79" i="1"/>
  <c r="O80" i="1"/>
  <c r="P80" i="1" s="1"/>
  <c r="O83" i="1"/>
  <c r="O84" i="1"/>
  <c r="P84" i="1" s="1"/>
  <c r="O87" i="1"/>
  <c r="P87" i="1" s="1"/>
  <c r="O88" i="1"/>
  <c r="P88" i="1" s="1"/>
  <c r="O89" i="1"/>
  <c r="P89" i="1" s="1"/>
  <c r="O90" i="1"/>
  <c r="P90" i="1" s="1"/>
  <c r="O91" i="1"/>
  <c r="P91" i="1" s="1"/>
  <c r="O92" i="1"/>
  <c r="P92" i="1" s="1"/>
  <c r="O93" i="1"/>
  <c r="O94" i="1"/>
  <c r="P94" i="1" s="1"/>
  <c r="O95" i="1"/>
  <c r="P95" i="1" s="1"/>
  <c r="O96" i="1"/>
  <c r="O97" i="1"/>
  <c r="O98" i="1"/>
  <c r="P98" i="1" s="1"/>
  <c r="O99" i="1"/>
  <c r="P99" i="1" s="1"/>
  <c r="O100" i="1"/>
  <c r="P100" i="1" s="1"/>
  <c r="O101" i="1"/>
  <c r="P101" i="1" s="1"/>
  <c r="O102" i="1"/>
  <c r="P102" i="1" s="1"/>
  <c r="O103" i="1"/>
  <c r="P103" i="1" s="1"/>
  <c r="O104" i="1"/>
  <c r="P104" i="1" s="1"/>
  <c r="O105" i="1"/>
  <c r="P105" i="1" s="1"/>
  <c r="O106" i="1"/>
  <c r="P106" i="1" s="1"/>
  <c r="O107" i="1"/>
  <c r="P107" i="1" s="1"/>
  <c r="O108" i="1"/>
  <c r="P108" i="1" s="1"/>
  <c r="O109" i="1"/>
  <c r="P109" i="1" s="1"/>
  <c r="O110" i="1"/>
  <c r="P110" i="1" s="1"/>
  <c r="O111" i="1"/>
  <c r="P111" i="1" s="1"/>
  <c r="O112" i="1"/>
  <c r="P112" i="1" s="1"/>
  <c r="O113" i="1"/>
  <c r="P113" i="1" s="1"/>
  <c r="O114" i="1"/>
  <c r="P114" i="1" s="1"/>
  <c r="O115" i="1"/>
  <c r="O116" i="1"/>
  <c r="P116" i="1" s="1"/>
  <c r="O117" i="1"/>
  <c r="P117" i="1" s="1"/>
  <c r="O118" i="1"/>
  <c r="P118" i="1" s="1"/>
  <c r="O119" i="1"/>
  <c r="P119" i="1" s="1"/>
  <c r="O120" i="1"/>
  <c r="P120" i="1" s="1"/>
  <c r="O121" i="1"/>
  <c r="P121" i="1" s="1"/>
  <c r="O122" i="1"/>
  <c r="P122" i="1" s="1"/>
  <c r="O123" i="1"/>
  <c r="P123" i="1" s="1"/>
  <c r="O124" i="1"/>
  <c r="P124" i="1" s="1"/>
  <c r="O125" i="1"/>
  <c r="O126" i="1"/>
  <c r="P126" i="1" s="1"/>
  <c r="O127" i="1"/>
  <c r="P127" i="1" s="1"/>
  <c r="O128" i="1"/>
  <c r="O129" i="1"/>
  <c r="P129" i="1" s="1"/>
  <c r="O130" i="1"/>
  <c r="P130" i="1" s="1"/>
  <c r="O131" i="1"/>
  <c r="P131" i="1" s="1"/>
  <c r="O132" i="1"/>
  <c r="P132" i="1" s="1"/>
  <c r="O133" i="1"/>
  <c r="P133" i="1" s="1"/>
  <c r="O134" i="1"/>
  <c r="O135" i="1"/>
  <c r="P135" i="1" s="1"/>
  <c r="O136" i="1"/>
  <c r="P136" i="1" s="1"/>
  <c r="O137" i="1"/>
  <c r="P137" i="1" s="1"/>
  <c r="O138" i="1"/>
  <c r="P138" i="1" s="1"/>
  <c r="O139" i="1"/>
  <c r="P139" i="1" s="1"/>
  <c r="O140" i="1"/>
  <c r="P140" i="1" s="1"/>
  <c r="O141" i="1"/>
  <c r="P141" i="1" s="1"/>
  <c r="O142" i="1"/>
  <c r="P142" i="1" s="1"/>
  <c r="O143" i="1"/>
  <c r="O144" i="1"/>
  <c r="P144" i="1" s="1"/>
  <c r="O145" i="1"/>
  <c r="O146" i="1"/>
  <c r="O147" i="1"/>
  <c r="O148" i="1"/>
  <c r="P148" i="1" s="1"/>
  <c r="O149" i="1"/>
  <c r="P149" i="1" s="1"/>
  <c r="O150" i="1"/>
  <c r="P150" i="1" s="1"/>
  <c r="O151" i="1"/>
  <c r="P151" i="1" s="1"/>
  <c r="O152" i="1"/>
  <c r="P152" i="1" s="1"/>
  <c r="O153" i="1"/>
  <c r="P153" i="1" s="1"/>
  <c r="O154" i="1"/>
  <c r="P154" i="1" s="1"/>
  <c r="O155" i="1"/>
  <c r="P155" i="1" s="1"/>
  <c r="O156" i="1"/>
  <c r="P156" i="1" s="1"/>
  <c r="O157" i="1"/>
  <c r="P157" i="1" s="1"/>
  <c r="O158" i="1"/>
  <c r="P158" i="1" s="1"/>
  <c r="O159" i="1"/>
  <c r="P159" i="1" s="1"/>
  <c r="O160" i="1"/>
  <c r="P160" i="1" s="1"/>
  <c r="O161" i="1"/>
  <c r="P161" i="1" s="1"/>
  <c r="O162" i="1"/>
  <c r="P162" i="1" s="1"/>
  <c r="O163" i="1"/>
  <c r="O164" i="1"/>
  <c r="P164" i="1" s="1"/>
  <c r="O165" i="1"/>
  <c r="P165" i="1" s="1"/>
  <c r="O166" i="1"/>
  <c r="P166" i="1" s="1"/>
  <c r="O167" i="1"/>
  <c r="P167" i="1" s="1"/>
  <c r="O168" i="1"/>
  <c r="P168" i="1" s="1"/>
  <c r="O169" i="1"/>
  <c r="P169" i="1" s="1"/>
  <c r="O170" i="1"/>
  <c r="O172" i="1"/>
  <c r="P172" i="1" s="1"/>
  <c r="O173" i="1"/>
  <c r="O175" i="1"/>
  <c r="O176" i="1"/>
  <c r="O177" i="1"/>
  <c r="O184" i="1"/>
  <c r="P184" i="1" s="1"/>
  <c r="O185" i="1"/>
  <c r="O186" i="1"/>
  <c r="P186" i="1" s="1"/>
  <c r="O187" i="1"/>
  <c r="P187" i="1" s="1"/>
  <c r="O188" i="1"/>
  <c r="O189" i="1"/>
  <c r="O212" i="1"/>
  <c r="P212" i="1" s="1"/>
  <c r="O213" i="1"/>
  <c r="O214" i="1"/>
  <c r="O215" i="1"/>
  <c r="P215" i="1" s="1"/>
  <c r="O216" i="1"/>
  <c r="P216" i="1" s="1"/>
  <c r="O217" i="1"/>
  <c r="P217" i="1" s="1"/>
  <c r="O174" i="1"/>
  <c r="O178" i="1"/>
  <c r="P178" i="1" s="1"/>
  <c r="O179" i="1"/>
  <c r="O180" i="1"/>
  <c r="P180" i="1" s="1"/>
  <c r="O181" i="1"/>
  <c r="P181" i="1" s="1"/>
  <c r="O182" i="1"/>
  <c r="P182" i="1" s="1"/>
  <c r="O183" i="1"/>
  <c r="O190" i="1"/>
  <c r="O191" i="1"/>
  <c r="P191" i="1" s="1"/>
  <c r="O192" i="1"/>
  <c r="O193" i="1"/>
  <c r="P193" i="1" s="1"/>
  <c r="O194" i="1"/>
  <c r="P194" i="1" s="1"/>
  <c r="O195" i="1"/>
  <c r="P195" i="1" s="1"/>
  <c r="O196" i="1"/>
  <c r="P196" i="1" s="1"/>
  <c r="O197" i="1"/>
  <c r="P197" i="1" s="1"/>
  <c r="O198" i="1"/>
  <c r="P198" i="1" s="1"/>
  <c r="O199" i="1"/>
  <c r="P199" i="1" s="1"/>
  <c r="O200" i="1"/>
  <c r="O201" i="1"/>
  <c r="P201" i="1" s="1"/>
  <c r="O202" i="1"/>
  <c r="P202" i="1" s="1"/>
  <c r="O203" i="1"/>
  <c r="P203" i="1" s="1"/>
  <c r="O204" i="1"/>
  <c r="P204" i="1" s="1"/>
  <c r="O205" i="1"/>
  <c r="P205" i="1" s="1"/>
  <c r="O206" i="1"/>
  <c r="P206" i="1" s="1"/>
  <c r="O207" i="1"/>
  <c r="P207" i="1" s="1"/>
  <c r="O208" i="1"/>
  <c r="P208" i="1" s="1"/>
  <c r="O209" i="1"/>
  <c r="P209" i="1" s="1"/>
  <c r="O210" i="1"/>
  <c r="P210" i="1" s="1"/>
  <c r="O211" i="1"/>
  <c r="P211" i="1" s="1"/>
  <c r="O218" i="1"/>
  <c r="O219" i="1"/>
  <c r="P219" i="1" s="1"/>
  <c r="N79" i="1"/>
  <c r="P79" i="1" s="1"/>
  <c r="N80" i="1"/>
  <c r="N83" i="1"/>
  <c r="P83" i="1" s="1"/>
  <c r="N84" i="1"/>
  <c r="N87" i="1"/>
  <c r="N88" i="1"/>
  <c r="N89" i="1"/>
  <c r="N90" i="1"/>
  <c r="N91" i="1"/>
  <c r="N92" i="1"/>
  <c r="N93" i="1"/>
  <c r="N94" i="1"/>
  <c r="N95" i="1"/>
  <c r="N96" i="1"/>
  <c r="P96" i="1" s="1"/>
  <c r="N97" i="1"/>
  <c r="P97" i="1" s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P125" i="1" s="1"/>
  <c r="N126" i="1"/>
  <c r="N127" i="1"/>
  <c r="N128" i="1"/>
  <c r="P128" i="1" s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P143" i="1" s="1"/>
  <c r="N144" i="1"/>
  <c r="N145" i="1"/>
  <c r="P145" i="1" s="1"/>
  <c r="N146" i="1"/>
  <c r="P146" i="1" s="1"/>
  <c r="N147" i="1"/>
  <c r="P147" i="1" s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P163" i="1" s="1"/>
  <c r="N164" i="1"/>
  <c r="N165" i="1"/>
  <c r="N166" i="1"/>
  <c r="N167" i="1"/>
  <c r="N168" i="1"/>
  <c r="N169" i="1"/>
  <c r="N170" i="1"/>
  <c r="P170" i="1" s="1"/>
  <c r="N172" i="1"/>
  <c r="N173" i="1"/>
  <c r="P173" i="1" s="1"/>
  <c r="N175" i="1"/>
  <c r="P175" i="1" s="1"/>
  <c r="N176" i="1"/>
  <c r="P176" i="1" s="1"/>
  <c r="N177" i="1"/>
  <c r="P177" i="1" s="1"/>
  <c r="N184" i="1"/>
  <c r="N185" i="1"/>
  <c r="P185" i="1" s="1"/>
  <c r="N186" i="1"/>
  <c r="N187" i="1"/>
  <c r="N188" i="1"/>
  <c r="P188" i="1" s="1"/>
  <c r="N189" i="1"/>
  <c r="P189" i="1" s="1"/>
  <c r="N212" i="1"/>
  <c r="N213" i="1"/>
  <c r="P213" i="1" s="1"/>
  <c r="N214" i="1"/>
  <c r="P214" i="1" s="1"/>
  <c r="N215" i="1"/>
  <c r="N216" i="1"/>
  <c r="N217" i="1"/>
  <c r="N174" i="1"/>
  <c r="P174" i="1" s="1"/>
  <c r="N178" i="1"/>
  <c r="N179" i="1"/>
  <c r="P179" i="1" s="1"/>
  <c r="N180" i="1"/>
  <c r="N181" i="1"/>
  <c r="N182" i="1"/>
  <c r="N183" i="1"/>
  <c r="P183" i="1" s="1"/>
  <c r="N190" i="1"/>
  <c r="P190" i="1" s="1"/>
  <c r="N191" i="1"/>
  <c r="N192" i="1"/>
  <c r="P192" i="1" s="1"/>
  <c r="N193" i="1"/>
  <c r="N194" i="1"/>
  <c r="N195" i="1"/>
  <c r="N196" i="1"/>
  <c r="N197" i="1"/>
  <c r="N198" i="1"/>
  <c r="N199" i="1"/>
  <c r="N200" i="1"/>
  <c r="P200" i="1" s="1"/>
  <c r="N201" i="1"/>
  <c r="N202" i="1"/>
  <c r="N203" i="1"/>
  <c r="N204" i="1"/>
  <c r="N205" i="1"/>
  <c r="N206" i="1"/>
  <c r="N207" i="1"/>
  <c r="N208" i="1"/>
  <c r="N209" i="1"/>
  <c r="N210" i="1"/>
  <c r="N211" i="1"/>
  <c r="N218" i="1"/>
  <c r="P218" i="1" s="1"/>
  <c r="N219" i="1"/>
  <c r="P93" i="1"/>
  <c r="P115" i="1"/>
  <c r="P134" i="1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K127" i="1"/>
  <c r="K79" i="1"/>
  <c r="K80" i="1"/>
  <c r="K83" i="1"/>
  <c r="K84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2" i="1"/>
  <c r="K173" i="1"/>
  <c r="K175" i="1"/>
  <c r="K176" i="1"/>
  <c r="K177" i="1"/>
  <c r="K184" i="1"/>
  <c r="K185" i="1"/>
  <c r="K186" i="1"/>
  <c r="K187" i="1"/>
  <c r="K188" i="1"/>
  <c r="K189" i="1"/>
  <c r="K212" i="1"/>
  <c r="K213" i="1"/>
  <c r="K214" i="1"/>
  <c r="K215" i="1"/>
  <c r="K216" i="1"/>
  <c r="K217" i="1"/>
  <c r="K174" i="1"/>
  <c r="K178" i="1"/>
  <c r="K179" i="1"/>
  <c r="K180" i="1"/>
  <c r="K181" i="1"/>
  <c r="K182" i="1"/>
  <c r="K183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8" i="1"/>
  <c r="K219" i="1"/>
  <c r="I79" i="1" l="1"/>
  <c r="I80" i="1"/>
  <c r="I83" i="1"/>
  <c r="I84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2" i="1"/>
  <c r="I173" i="1"/>
  <c r="I175" i="1"/>
  <c r="I176" i="1"/>
  <c r="I177" i="1"/>
  <c r="I184" i="1"/>
  <c r="I185" i="1"/>
  <c r="I186" i="1"/>
  <c r="I187" i="1"/>
  <c r="I188" i="1"/>
  <c r="I189" i="1"/>
  <c r="I212" i="1"/>
  <c r="I213" i="1"/>
  <c r="I214" i="1"/>
  <c r="I215" i="1"/>
  <c r="I216" i="1"/>
  <c r="I217" i="1"/>
  <c r="I174" i="1"/>
  <c r="I178" i="1"/>
  <c r="I179" i="1"/>
  <c r="I180" i="1"/>
  <c r="I181" i="1"/>
  <c r="I182" i="1"/>
  <c r="I183" i="1"/>
  <c r="I190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8" i="1"/>
  <c r="I21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6" i="1"/>
  <c r="H57" i="1"/>
  <c r="H58" i="1"/>
  <c r="H59" i="1"/>
  <c r="H60" i="1"/>
  <c r="H61" i="1"/>
  <c r="H62" i="1"/>
  <c r="H63" i="1"/>
  <c r="H64" i="1"/>
  <c r="H65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3" i="1"/>
  <c r="H84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3" i="1"/>
  <c r="H175" i="1"/>
  <c r="H176" i="1"/>
  <c r="H177" i="1"/>
  <c r="H184" i="1"/>
  <c r="H185" i="1"/>
  <c r="H186" i="1"/>
  <c r="H187" i="1"/>
  <c r="H188" i="1"/>
  <c r="H189" i="1"/>
  <c r="H212" i="1"/>
  <c r="H213" i="1"/>
  <c r="H214" i="1"/>
  <c r="H215" i="1"/>
  <c r="H216" i="1"/>
  <c r="H217" i="1"/>
  <c r="H174" i="1"/>
  <c r="H178" i="1"/>
  <c r="H179" i="1"/>
  <c r="H180" i="1"/>
  <c r="H181" i="1"/>
  <c r="H182" i="1"/>
  <c r="H183" i="1"/>
  <c r="H190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8" i="1"/>
  <c r="H219" i="1"/>
  <c r="H2" i="1"/>
  <c r="E173" i="1"/>
  <c r="E175" i="1"/>
  <c r="E176" i="1"/>
  <c r="E177" i="1"/>
  <c r="E184" i="1"/>
  <c r="E185" i="1"/>
  <c r="E186" i="1"/>
  <c r="E187" i="1"/>
  <c r="E188" i="1"/>
  <c r="E189" i="1"/>
  <c r="E212" i="1"/>
  <c r="E213" i="1"/>
  <c r="E214" i="1"/>
  <c r="E215" i="1"/>
  <c r="E216" i="1"/>
  <c r="E217" i="1"/>
  <c r="E174" i="1"/>
  <c r="E178" i="1"/>
  <c r="E179" i="1"/>
  <c r="E180" i="1"/>
  <c r="E181" i="1"/>
  <c r="E182" i="1"/>
  <c r="E183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8" i="1"/>
  <c r="E21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6" i="1"/>
  <c r="E57" i="1"/>
  <c r="E58" i="1"/>
  <c r="E59" i="1"/>
  <c r="E60" i="1"/>
  <c r="E61" i="1"/>
  <c r="E62" i="1"/>
  <c r="E63" i="1"/>
  <c r="E64" i="1"/>
  <c r="E65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3" i="1"/>
  <c r="E84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2" i="1"/>
  <c r="E2" i="1"/>
  <c r="C184" i="1"/>
  <c r="C185" i="1"/>
  <c r="C186" i="1"/>
  <c r="C187" i="1"/>
  <c r="C188" i="1"/>
  <c r="C189" i="1"/>
  <c r="C212" i="1"/>
  <c r="C213" i="1"/>
  <c r="C214" i="1"/>
  <c r="C215" i="1"/>
  <c r="C216" i="1"/>
  <c r="C217" i="1"/>
  <c r="C174" i="1"/>
  <c r="C178" i="1"/>
  <c r="C179" i="1"/>
  <c r="C180" i="1"/>
  <c r="C181" i="1"/>
  <c r="C182" i="1"/>
  <c r="C183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8" i="1"/>
  <c r="C176" i="1"/>
  <c r="C177" i="1"/>
  <c r="C173" i="1"/>
  <c r="C175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6" i="1"/>
  <c r="C57" i="1"/>
  <c r="C58" i="1"/>
  <c r="C59" i="1"/>
  <c r="C60" i="1"/>
  <c r="C61" i="1"/>
  <c r="C62" i="1"/>
  <c r="C63" i="1"/>
  <c r="C64" i="1"/>
  <c r="C65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3" i="1"/>
  <c r="C84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M133" i="1" s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M157" i="1" s="1"/>
  <c r="C158" i="1"/>
  <c r="C159" i="1"/>
  <c r="C160" i="1"/>
  <c r="C161" i="1"/>
  <c r="C162" i="1"/>
  <c r="C163" i="1"/>
  <c r="C164" i="1"/>
  <c r="C165" i="1"/>
  <c r="M165" i="1" s="1"/>
  <c r="C166" i="1"/>
  <c r="C167" i="1"/>
  <c r="C168" i="1"/>
  <c r="C169" i="1"/>
  <c r="C170" i="1"/>
  <c r="C172" i="1"/>
  <c r="C3" i="1"/>
  <c r="C4" i="1"/>
  <c r="M4" i="1" s="1"/>
  <c r="C2" i="1"/>
  <c r="D2" i="3"/>
  <c r="M149" i="1" l="1"/>
  <c r="M73" i="1"/>
  <c r="M11" i="1"/>
  <c r="M156" i="1"/>
  <c r="M148" i="1"/>
  <c r="M140" i="1"/>
  <c r="M132" i="1"/>
  <c r="M124" i="1"/>
  <c r="M116" i="1"/>
  <c r="M108" i="1"/>
  <c r="M100" i="1"/>
  <c r="M92" i="1"/>
  <c r="M80" i="1"/>
  <c r="M72" i="1"/>
  <c r="M62" i="1"/>
  <c r="M53" i="1"/>
  <c r="M45" i="1"/>
  <c r="M37" i="1"/>
  <c r="M26" i="1"/>
  <c r="M18" i="1"/>
  <c r="M10" i="1"/>
  <c r="M177" i="1"/>
  <c r="M206" i="1"/>
  <c r="M198" i="1"/>
  <c r="M190" i="1"/>
  <c r="M217" i="1"/>
  <c r="M187" i="1"/>
  <c r="M109" i="1"/>
  <c r="M54" i="1"/>
  <c r="M173" i="1"/>
  <c r="M163" i="1"/>
  <c r="M155" i="1"/>
  <c r="M147" i="1"/>
  <c r="M139" i="1"/>
  <c r="M131" i="1"/>
  <c r="M123" i="1"/>
  <c r="M115" i="1"/>
  <c r="M107" i="1"/>
  <c r="M99" i="1"/>
  <c r="M91" i="1"/>
  <c r="M79" i="1"/>
  <c r="M71" i="1"/>
  <c r="M61" i="1"/>
  <c r="M52" i="1"/>
  <c r="M44" i="1"/>
  <c r="M36" i="1"/>
  <c r="M25" i="1"/>
  <c r="M17" i="1"/>
  <c r="M9" i="1"/>
  <c r="M176" i="1"/>
  <c r="M205" i="1"/>
  <c r="M197" i="1"/>
  <c r="M183" i="1"/>
  <c r="M216" i="1"/>
  <c r="M186" i="1"/>
  <c r="M101" i="1"/>
  <c r="M38" i="1"/>
  <c r="M191" i="1"/>
  <c r="M172" i="1"/>
  <c r="M162" i="1"/>
  <c r="M154" i="1"/>
  <c r="M146" i="1"/>
  <c r="M138" i="1"/>
  <c r="M130" i="1"/>
  <c r="M122" i="1"/>
  <c r="M114" i="1"/>
  <c r="M106" i="1"/>
  <c r="M98" i="1"/>
  <c r="M90" i="1"/>
  <c r="M78" i="1"/>
  <c r="M70" i="1"/>
  <c r="M60" i="1"/>
  <c r="M51" i="1"/>
  <c r="M43" i="1"/>
  <c r="M35" i="1"/>
  <c r="M24" i="1"/>
  <c r="M16" i="1"/>
  <c r="M8" i="1"/>
  <c r="M218" i="1"/>
  <c r="M204" i="1"/>
  <c r="M196" i="1"/>
  <c r="M182" i="1"/>
  <c r="M215" i="1"/>
  <c r="M185" i="1"/>
  <c r="M141" i="1"/>
  <c r="M63" i="1"/>
  <c r="M207" i="1"/>
  <c r="M164" i="1"/>
  <c r="M169" i="1"/>
  <c r="M145" i="1"/>
  <c r="M137" i="1"/>
  <c r="M129" i="1"/>
  <c r="M121" i="1"/>
  <c r="M113" i="1"/>
  <c r="M105" i="1"/>
  <c r="M97" i="1"/>
  <c r="M89" i="1"/>
  <c r="M77" i="1"/>
  <c r="M69" i="1"/>
  <c r="M59" i="1"/>
  <c r="M50" i="1"/>
  <c r="M42" i="1"/>
  <c r="M31" i="1"/>
  <c r="M23" i="1"/>
  <c r="M15" i="1"/>
  <c r="M7" i="1"/>
  <c r="M211" i="1"/>
  <c r="M203" i="1"/>
  <c r="M195" i="1"/>
  <c r="M181" i="1"/>
  <c r="M214" i="1"/>
  <c r="M184" i="1"/>
  <c r="M117" i="1"/>
  <c r="M83" i="1"/>
  <c r="M19" i="1"/>
  <c r="M174" i="1"/>
  <c r="M3" i="1"/>
  <c r="M170" i="1"/>
  <c r="M161" i="1"/>
  <c r="M153" i="1"/>
  <c r="M168" i="1"/>
  <c r="M160" i="1"/>
  <c r="M152" i="1"/>
  <c r="M144" i="1"/>
  <c r="M136" i="1"/>
  <c r="M128" i="1"/>
  <c r="M120" i="1"/>
  <c r="M112" i="1"/>
  <c r="M104" i="1"/>
  <c r="M96" i="1"/>
  <c r="M88" i="1"/>
  <c r="M76" i="1"/>
  <c r="M68" i="1"/>
  <c r="M58" i="1"/>
  <c r="M49" i="1"/>
  <c r="M41" i="1"/>
  <c r="M30" i="1"/>
  <c r="M22" i="1"/>
  <c r="M14" i="1"/>
  <c r="M6" i="1"/>
  <c r="M210" i="1"/>
  <c r="M202" i="1"/>
  <c r="M194" i="1"/>
  <c r="M180" i="1"/>
  <c r="M213" i="1"/>
  <c r="M93" i="1"/>
  <c r="M27" i="1"/>
  <c r="M188" i="1"/>
  <c r="M167" i="1"/>
  <c r="M159" i="1"/>
  <c r="M151" i="1"/>
  <c r="M143" i="1"/>
  <c r="M135" i="1"/>
  <c r="M127" i="1"/>
  <c r="M119" i="1"/>
  <c r="M111" i="1"/>
  <c r="M103" i="1"/>
  <c r="M95" i="1"/>
  <c r="M87" i="1"/>
  <c r="M75" i="1"/>
  <c r="M65" i="1"/>
  <c r="M57" i="1"/>
  <c r="M48" i="1"/>
  <c r="M40" i="1"/>
  <c r="M29" i="1"/>
  <c r="M21" i="1"/>
  <c r="M13" i="1"/>
  <c r="M5" i="1"/>
  <c r="M209" i="1"/>
  <c r="M201" i="1"/>
  <c r="M193" i="1"/>
  <c r="M179" i="1"/>
  <c r="M212" i="1"/>
  <c r="M125" i="1"/>
  <c r="M46" i="1"/>
  <c r="M199" i="1"/>
  <c r="O5" i="3"/>
  <c r="P22" i="3"/>
  <c r="E23" i="3"/>
  <c r="F8" i="3"/>
  <c r="O32" i="3"/>
  <c r="F10" i="3"/>
  <c r="P18" i="3"/>
  <c r="F3" i="3"/>
  <c r="O19" i="3"/>
  <c r="P12" i="3"/>
  <c r="F5" i="3"/>
  <c r="J12" i="3"/>
  <c r="Q3" i="6"/>
  <c r="Q4" i="6"/>
  <c r="S9" i="6"/>
  <c r="R5" i="6"/>
  <c r="F2" i="6"/>
  <c r="S3" i="6"/>
  <c r="G10" i="6"/>
  <c r="F4" i="6"/>
  <c r="F5" i="6"/>
  <c r="U6" i="6"/>
  <c r="E7" i="6"/>
  <c r="J33" i="3"/>
  <c r="P29" i="3"/>
  <c r="N6" i="6"/>
  <c r="P17" i="3"/>
  <c r="F17" i="3"/>
  <c r="M5" i="6"/>
  <c r="J9" i="6"/>
  <c r="P20" i="3"/>
  <c r="F20" i="3"/>
  <c r="T10" i="6"/>
  <c r="M9" i="6"/>
  <c r="P21" i="3"/>
  <c r="F21" i="3"/>
  <c r="E14" i="3"/>
  <c r="I4" i="6"/>
  <c r="K24" i="3"/>
  <c r="M4" i="6"/>
  <c r="O2" i="6"/>
  <c r="P25" i="3"/>
  <c r="F25" i="3"/>
  <c r="G3" i="6"/>
  <c r="D3" i="6"/>
  <c r="D8" i="6"/>
  <c r="C22" i="6"/>
  <c r="E38" i="6"/>
  <c r="R36" i="6"/>
  <c r="O29" i="3"/>
  <c r="P30" i="3"/>
  <c r="E31" i="3"/>
  <c r="F32" i="3"/>
  <c r="K8" i="3"/>
  <c r="F18" i="3"/>
  <c r="P34" i="3"/>
  <c r="F19" i="3"/>
  <c r="K3" i="3"/>
  <c r="P28" i="3"/>
  <c r="F29" i="3"/>
  <c r="J8" i="3"/>
  <c r="P4" i="6"/>
  <c r="P5" i="6"/>
  <c r="R4" i="6"/>
  <c r="Q6" i="6"/>
  <c r="S7" i="6"/>
  <c r="R7" i="6"/>
  <c r="F3" i="6"/>
  <c r="S5" i="6"/>
  <c r="U5" i="6"/>
  <c r="T3" i="6"/>
  <c r="P16" i="3"/>
  <c r="F16" i="3"/>
  <c r="K26" i="3"/>
  <c r="M7" i="6"/>
  <c r="O4" i="3"/>
  <c r="K5" i="3"/>
  <c r="O22" i="3"/>
  <c r="P23" i="3"/>
  <c r="E8" i="3"/>
  <c r="K32" i="3"/>
  <c r="F34" i="3"/>
  <c r="O10" i="3"/>
  <c r="E3" i="3"/>
  <c r="K19" i="3"/>
  <c r="O12" i="3"/>
  <c r="E5" i="3"/>
  <c r="J34" i="3"/>
  <c r="L8" i="6"/>
  <c r="L9" i="6"/>
  <c r="Q5" i="6"/>
  <c r="P7" i="6"/>
  <c r="R6" i="6"/>
  <c r="Q8" i="6"/>
  <c r="S4" i="6"/>
  <c r="R9" i="6"/>
  <c r="U3" i="6"/>
  <c r="O4" i="6"/>
  <c r="P33" i="3"/>
  <c r="F33" i="3"/>
  <c r="E26" i="3"/>
  <c r="J8" i="6"/>
  <c r="O17" i="3"/>
  <c r="E17" i="3"/>
  <c r="O15" i="3"/>
  <c r="I10" i="6"/>
  <c r="O20" i="3"/>
  <c r="E20" i="3"/>
  <c r="I7" i="6"/>
  <c r="J10" i="6"/>
  <c r="O21" i="3"/>
  <c r="E21" i="3"/>
  <c r="T7" i="6"/>
  <c r="E3" i="6"/>
  <c r="J24" i="3"/>
  <c r="J26" i="3"/>
  <c r="M3" i="6"/>
  <c r="O25" i="3"/>
  <c r="E25" i="3"/>
  <c r="E27" i="3"/>
  <c r="D5" i="6"/>
  <c r="D10" i="6"/>
  <c r="C5" i="6"/>
  <c r="N37" i="6"/>
  <c r="E16" i="6"/>
  <c r="K29" i="3"/>
  <c r="O30" i="3"/>
  <c r="P31" i="3"/>
  <c r="E32" i="3"/>
  <c r="F9" i="3"/>
  <c r="E10" i="3"/>
  <c r="O18" i="3"/>
  <c r="E19" i="3"/>
  <c r="F12" i="3"/>
  <c r="O28" i="3"/>
  <c r="E29" i="3"/>
  <c r="J2" i="3"/>
  <c r="K9" i="6"/>
  <c r="L2" i="6"/>
  <c r="P6" i="6"/>
  <c r="L3" i="6"/>
  <c r="Q7" i="6"/>
  <c r="P9" i="6"/>
  <c r="R8" i="6"/>
  <c r="R2" i="6"/>
  <c r="U10" i="6"/>
  <c r="N5" i="6"/>
  <c r="O16" i="3"/>
  <c r="E16" i="3"/>
  <c r="O3" i="6"/>
  <c r="I9" i="6"/>
  <c r="K4" i="3"/>
  <c r="F8" i="6"/>
  <c r="F15" i="3"/>
  <c r="H3" i="6"/>
  <c r="K6" i="3"/>
  <c r="J30" i="3"/>
  <c r="P27" i="3"/>
  <c r="I3" i="6"/>
  <c r="K7" i="3"/>
  <c r="P8" i="6"/>
  <c r="O8" i="6"/>
  <c r="P11" i="3"/>
  <c r="F11" i="3"/>
  <c r="J22" i="3"/>
  <c r="J4" i="6"/>
  <c r="K13" i="3"/>
  <c r="H10" i="6"/>
  <c r="T9" i="6"/>
  <c r="C8" i="6"/>
  <c r="C3" i="6"/>
  <c r="L35" i="6"/>
  <c r="K14" i="6"/>
  <c r="T38" i="6"/>
  <c r="M35" i="6"/>
  <c r="F32" i="6"/>
  <c r="R28" i="6"/>
  <c r="F22" i="3"/>
  <c r="K22" i="3"/>
  <c r="O23" i="3"/>
  <c r="O2" i="3"/>
  <c r="E9" i="3"/>
  <c r="E18" i="3"/>
  <c r="O34" i="3"/>
  <c r="P2" i="3"/>
  <c r="F28" i="3"/>
  <c r="K12" i="3"/>
  <c r="F2" i="3"/>
  <c r="J3" i="3"/>
  <c r="K2" i="6"/>
  <c r="F30" i="3"/>
  <c r="K30" i="3"/>
  <c r="O31" i="3"/>
  <c r="P8" i="3"/>
  <c r="P9" i="3"/>
  <c r="E34" i="3"/>
  <c r="K10" i="3"/>
  <c r="P3" i="3"/>
  <c r="E12" i="3"/>
  <c r="K28" i="3"/>
  <c r="J19" i="3"/>
  <c r="S6" i="6"/>
  <c r="F6" i="6"/>
  <c r="F7" i="6"/>
  <c r="K3" i="6"/>
  <c r="H7" i="6"/>
  <c r="H8" i="6"/>
  <c r="L5" i="6"/>
  <c r="P10" i="6"/>
  <c r="P3" i="6"/>
  <c r="U9" i="6"/>
  <c r="J7" i="6"/>
  <c r="K16" i="3"/>
  <c r="J10" i="3"/>
  <c r="J15" i="3"/>
  <c r="G5" i="6"/>
  <c r="J4" i="3"/>
  <c r="H2" i="6"/>
  <c r="O6" i="6"/>
  <c r="E9" i="6"/>
  <c r="J6" i="3"/>
  <c r="E5" i="6"/>
  <c r="T6" i="6"/>
  <c r="G2" i="6"/>
  <c r="J7" i="3"/>
  <c r="N3" i="6"/>
  <c r="N2" i="6"/>
  <c r="O11" i="3"/>
  <c r="E11" i="3"/>
  <c r="E15" i="3"/>
  <c r="H6" i="6"/>
  <c r="J13" i="3"/>
  <c r="J5" i="6"/>
  <c r="O10" i="6"/>
  <c r="C9" i="6"/>
  <c r="C6" i="6"/>
  <c r="C30" i="6"/>
  <c r="R39" i="6"/>
  <c r="E22" i="3"/>
  <c r="F23" i="3"/>
  <c r="K23" i="3"/>
  <c r="P32" i="3"/>
  <c r="O9" i="3"/>
  <c r="E2" i="3"/>
  <c r="K18" i="3"/>
  <c r="P19" i="3"/>
  <c r="E28" i="3"/>
  <c r="J5" i="3"/>
  <c r="J9" i="3"/>
  <c r="S2" i="6"/>
  <c r="S8" i="6"/>
  <c r="D2" i="6"/>
  <c r="G7" i="6"/>
  <c r="G8" i="6"/>
  <c r="G9" i="6"/>
  <c r="K6" i="6"/>
  <c r="L6" i="6"/>
  <c r="L7" i="6"/>
  <c r="U8" i="6"/>
  <c r="I8" i="6"/>
  <c r="K33" i="3"/>
  <c r="P5" i="3"/>
  <c r="T4" i="6"/>
  <c r="E8" i="6"/>
  <c r="J17" i="3"/>
  <c r="O14" i="3"/>
  <c r="N7" i="6"/>
  <c r="E2" i="6"/>
  <c r="J20" i="3"/>
  <c r="P26" i="3"/>
  <c r="O7" i="6"/>
  <c r="E10" i="6"/>
  <c r="J21" i="3"/>
  <c r="I6" i="6"/>
  <c r="M10" i="6"/>
  <c r="O24" i="3"/>
  <c r="E24" i="3"/>
  <c r="T8" i="6"/>
  <c r="E4" i="6"/>
  <c r="J25" i="3"/>
  <c r="J14" i="3"/>
  <c r="K14" i="3"/>
  <c r="D7" i="6"/>
  <c r="C7" i="6"/>
  <c r="D27" i="6"/>
  <c r="J39" i="6"/>
  <c r="O37" i="6"/>
  <c r="E30" i="3"/>
  <c r="F31" i="3"/>
  <c r="K31" i="3"/>
  <c r="O8" i="3"/>
  <c r="K9" i="3"/>
  <c r="P10" i="3"/>
  <c r="K34" i="3"/>
  <c r="O3" i="3"/>
  <c r="K2" i="3"/>
  <c r="J29" i="3"/>
  <c r="J32" i="3"/>
  <c r="R10" i="6"/>
  <c r="R3" i="6"/>
  <c r="U4" i="6"/>
  <c r="S10" i="6"/>
  <c r="F9" i="6"/>
  <c r="F10" i="6"/>
  <c r="H9" i="6"/>
  <c r="K7" i="6"/>
  <c r="K8" i="6"/>
  <c r="U7" i="6"/>
  <c r="G4" i="6"/>
  <c r="J16" i="3"/>
  <c r="J31" i="3"/>
  <c r="O5" i="6"/>
  <c r="P4" i="3"/>
  <c r="F4" i="3"/>
  <c r="F26" i="3"/>
  <c r="M8" i="6"/>
  <c r="P6" i="3"/>
  <c r="F6" i="3"/>
  <c r="F14" i="3"/>
  <c r="N8" i="6"/>
  <c r="P7" i="3"/>
  <c r="F7" i="3"/>
  <c r="O26" i="3"/>
  <c r="J3" i="6"/>
  <c r="K11" i="3"/>
  <c r="J18" i="3"/>
  <c r="O9" i="6"/>
  <c r="P13" i="3"/>
  <c r="F13" i="3"/>
  <c r="J6" i="6"/>
  <c r="K27" i="3"/>
  <c r="C10" i="6"/>
  <c r="C2" i="6"/>
  <c r="M24" i="6"/>
  <c r="U38" i="6"/>
  <c r="G37" i="6"/>
  <c r="K10" i="6"/>
  <c r="M6" i="6"/>
  <c r="E6" i="6"/>
  <c r="N4" i="6"/>
  <c r="J27" i="3"/>
  <c r="N10" i="6"/>
  <c r="D4" i="6"/>
  <c r="O18" i="6"/>
  <c r="E35" i="6"/>
  <c r="I31" i="6"/>
  <c r="M27" i="6"/>
  <c r="F24" i="6"/>
  <c r="R20" i="6"/>
  <c r="K17" i="6"/>
  <c r="D14" i="6"/>
  <c r="G26" i="6"/>
  <c r="J38" i="6"/>
  <c r="C35" i="6"/>
  <c r="O31" i="6"/>
  <c r="H28" i="6"/>
  <c r="T24" i="6"/>
  <c r="M21" i="6"/>
  <c r="F18" i="6"/>
  <c r="R14" i="6"/>
  <c r="K30" i="6"/>
  <c r="F39" i="6"/>
  <c r="J35" i="6"/>
  <c r="C32" i="6"/>
  <c r="O28" i="6"/>
  <c r="H25" i="6"/>
  <c r="T21" i="6"/>
  <c r="M18" i="6"/>
  <c r="F15" i="6"/>
  <c r="J33" i="6"/>
  <c r="G13" i="6"/>
  <c r="S37" i="6"/>
  <c r="L34" i="6"/>
  <c r="E31" i="6"/>
  <c r="Q27" i="6"/>
  <c r="J24" i="6"/>
  <c r="C21" i="6"/>
  <c r="O17" i="6"/>
  <c r="H14" i="6"/>
  <c r="O26" i="6"/>
  <c r="D39" i="6"/>
  <c r="P35" i="6"/>
  <c r="I32" i="6"/>
  <c r="U28" i="6"/>
  <c r="N25" i="6"/>
  <c r="G22" i="6"/>
  <c r="S18" i="6"/>
  <c r="L15" i="6"/>
  <c r="P31" i="6"/>
  <c r="K39" i="6"/>
  <c r="L10" i="6"/>
  <c r="O33" i="3"/>
  <c r="T5" i="6"/>
  <c r="F27" i="3"/>
  <c r="N9" i="6"/>
  <c r="I5" i="6"/>
  <c r="D6" i="6"/>
  <c r="S39" i="6"/>
  <c r="P34" i="6"/>
  <c r="T30" i="6"/>
  <c r="E27" i="6"/>
  <c r="Q23" i="6"/>
  <c r="J20" i="6"/>
  <c r="C17" i="6"/>
  <c r="J13" i="6"/>
  <c r="E24" i="6"/>
  <c r="U37" i="6"/>
  <c r="N34" i="6"/>
  <c r="G31" i="6"/>
  <c r="S27" i="6"/>
  <c r="L24" i="6"/>
  <c r="E21" i="6"/>
  <c r="Q17" i="6"/>
  <c r="J14" i="6"/>
  <c r="T27" i="6"/>
  <c r="I38" i="6"/>
  <c r="U34" i="6"/>
  <c r="N31" i="6"/>
  <c r="G28" i="6"/>
  <c r="S24" i="6"/>
  <c r="L21" i="6"/>
  <c r="E18" i="6"/>
  <c r="Q14" i="6"/>
  <c r="S30" i="6"/>
  <c r="N39" i="6"/>
  <c r="K37" i="6"/>
  <c r="D34" i="6"/>
  <c r="P30" i="6"/>
  <c r="I27" i="6"/>
  <c r="U23" i="6"/>
  <c r="N20" i="6"/>
  <c r="G17" i="6"/>
  <c r="R13" i="6"/>
  <c r="H23" i="6"/>
  <c r="O38" i="6"/>
  <c r="H35" i="6"/>
  <c r="T31" i="6"/>
  <c r="M28" i="6"/>
  <c r="F25" i="6"/>
  <c r="R21" i="6"/>
  <c r="K18" i="6"/>
  <c r="D15" i="6"/>
  <c r="N29" i="6"/>
  <c r="N38" i="6"/>
  <c r="G35" i="6"/>
  <c r="S31" i="6"/>
  <c r="L28" i="6"/>
  <c r="K4" i="6"/>
  <c r="E33" i="3"/>
  <c r="J2" i="6"/>
  <c r="M2" i="6"/>
  <c r="H5" i="6"/>
  <c r="O13" i="3"/>
  <c r="D9" i="6"/>
  <c r="Q39" i="6"/>
  <c r="H34" i="6"/>
  <c r="L30" i="6"/>
  <c r="P26" i="6"/>
  <c r="I23" i="6"/>
  <c r="U19" i="6"/>
  <c r="N16" i="6"/>
  <c r="M12" i="6"/>
  <c r="Q20" i="6"/>
  <c r="M37" i="6"/>
  <c r="F34" i="6"/>
  <c r="R30" i="6"/>
  <c r="K27" i="6"/>
  <c r="D24" i="6"/>
  <c r="P20" i="6"/>
  <c r="I17" i="6"/>
  <c r="U13" i="6"/>
  <c r="J25" i="6"/>
  <c r="T37" i="6"/>
  <c r="M34" i="6"/>
  <c r="F31" i="6"/>
  <c r="R27" i="6"/>
  <c r="K24" i="6"/>
  <c r="D21" i="6"/>
  <c r="P17" i="6"/>
  <c r="I14" i="6"/>
  <c r="I28" i="6"/>
  <c r="Q38" i="6"/>
  <c r="C37" i="6"/>
  <c r="O33" i="6"/>
  <c r="H30" i="6"/>
  <c r="T26" i="6"/>
  <c r="M23" i="6"/>
  <c r="F20" i="6"/>
  <c r="R16" i="6"/>
  <c r="U12" i="6"/>
  <c r="F21" i="6"/>
  <c r="G38" i="6"/>
  <c r="S34" i="6"/>
  <c r="L31" i="6"/>
  <c r="E28" i="6"/>
  <c r="Q24" i="6"/>
  <c r="J21" i="6"/>
  <c r="C18" i="6"/>
  <c r="O14" i="6"/>
  <c r="L27" i="6"/>
  <c r="F38" i="6"/>
  <c r="R34" i="6"/>
  <c r="K31" i="6"/>
  <c r="K5" i="6"/>
  <c r="P15" i="3"/>
  <c r="G6" i="6"/>
  <c r="H4" i="6"/>
  <c r="P24" i="3"/>
  <c r="K25" i="3"/>
  <c r="C4" i="6"/>
  <c r="I39" i="6"/>
  <c r="S33" i="6"/>
  <c r="D30" i="6"/>
  <c r="H26" i="6"/>
  <c r="T22" i="6"/>
  <c r="M19" i="6"/>
  <c r="F16" i="6"/>
  <c r="P39" i="6"/>
  <c r="G18" i="6"/>
  <c r="E37" i="6"/>
  <c r="Q33" i="6"/>
  <c r="J30" i="6"/>
  <c r="C27" i="6"/>
  <c r="O23" i="6"/>
  <c r="H20" i="6"/>
  <c r="T16" i="6"/>
  <c r="E13" i="6"/>
  <c r="S22" i="6"/>
  <c r="L37" i="6"/>
  <c r="E34" i="6"/>
  <c r="Q30" i="6"/>
  <c r="J27" i="6"/>
  <c r="C24" i="6"/>
  <c r="O20" i="6"/>
  <c r="H17" i="6"/>
  <c r="S13" i="6"/>
  <c r="R25" i="6"/>
  <c r="U39" i="6"/>
  <c r="N36" i="6"/>
  <c r="G33" i="6"/>
  <c r="S29" i="6"/>
  <c r="L26" i="6"/>
  <c r="E23" i="6"/>
  <c r="Q19" i="6"/>
  <c r="J16" i="6"/>
  <c r="S38" i="6"/>
  <c r="D19" i="6"/>
  <c r="R37" i="6"/>
  <c r="K34" i="6"/>
  <c r="D31" i="6"/>
  <c r="P27" i="6"/>
  <c r="I24" i="6"/>
  <c r="U20" i="6"/>
  <c r="N17" i="6"/>
  <c r="G14" i="6"/>
  <c r="U24" i="6"/>
  <c r="P2" i="6"/>
  <c r="I2" i="6"/>
  <c r="O6" i="3"/>
  <c r="O7" i="3"/>
  <c r="J11" i="3"/>
  <c r="E13" i="3"/>
  <c r="L38" i="6"/>
  <c r="K33" i="6"/>
  <c r="O29" i="6"/>
  <c r="S25" i="6"/>
  <c r="L22" i="6"/>
  <c r="E19" i="6"/>
  <c r="Q15" i="6"/>
  <c r="I36" i="6"/>
  <c r="P15" i="6"/>
  <c r="P36" i="6"/>
  <c r="I33" i="6"/>
  <c r="U29" i="6"/>
  <c r="N26" i="6"/>
  <c r="G23" i="6"/>
  <c r="S19" i="6"/>
  <c r="L16" i="6"/>
  <c r="H12" i="6"/>
  <c r="I20" i="6"/>
  <c r="D37" i="6"/>
  <c r="P33" i="6"/>
  <c r="I30" i="6"/>
  <c r="U26" i="6"/>
  <c r="N23" i="6"/>
  <c r="G20" i="6"/>
  <c r="S16" i="6"/>
  <c r="C13" i="6"/>
  <c r="P23" i="6"/>
  <c r="M39" i="6"/>
  <c r="F36" i="6"/>
  <c r="R32" i="6"/>
  <c r="K29" i="6"/>
  <c r="D26" i="6"/>
  <c r="P22" i="6"/>
  <c r="I19" i="6"/>
  <c r="U15" i="6"/>
  <c r="F37" i="6"/>
  <c r="M16" i="6"/>
  <c r="J37" i="6"/>
  <c r="C34" i="6"/>
  <c r="O30" i="6"/>
  <c r="H27" i="6"/>
  <c r="T23" i="6"/>
  <c r="M20" i="6"/>
  <c r="F17" i="6"/>
  <c r="O13" i="6"/>
  <c r="K22" i="6"/>
  <c r="I37" i="6"/>
  <c r="U33" i="6"/>
  <c r="N30" i="6"/>
  <c r="G27" i="6"/>
  <c r="S23" i="6"/>
  <c r="L20" i="6"/>
  <c r="Q2" i="6"/>
  <c r="K17" i="3"/>
  <c r="K20" i="3"/>
  <c r="K21" i="3"/>
  <c r="F24" i="3"/>
  <c r="L4" i="6"/>
  <c r="D38" i="6"/>
  <c r="C33" i="6"/>
  <c r="G29" i="6"/>
  <c r="K25" i="6"/>
  <c r="D22" i="6"/>
  <c r="P18" i="6"/>
  <c r="I15" i="6"/>
  <c r="G34" i="6"/>
  <c r="J12" i="6"/>
  <c r="H36" i="6"/>
  <c r="T32" i="6"/>
  <c r="M29" i="6"/>
  <c r="F26" i="6"/>
  <c r="R22" i="6"/>
  <c r="K19" i="6"/>
  <c r="D16" i="6"/>
  <c r="C38" i="6"/>
  <c r="R17" i="6"/>
  <c r="O36" i="6"/>
  <c r="H33" i="6"/>
  <c r="T29" i="6"/>
  <c r="M26" i="6"/>
  <c r="F23" i="6"/>
  <c r="R19" i="6"/>
  <c r="K16" i="6"/>
  <c r="F12" i="6"/>
  <c r="N21" i="6"/>
  <c r="E39" i="6"/>
  <c r="Q35" i="6"/>
  <c r="J32" i="6"/>
  <c r="C29" i="6"/>
  <c r="O25" i="6"/>
  <c r="H22" i="6"/>
  <c r="T18" i="6"/>
  <c r="M15" i="6"/>
  <c r="D35" i="6"/>
  <c r="C14" i="6"/>
  <c r="U36" i="6"/>
  <c r="N33" i="6"/>
  <c r="G30" i="6"/>
  <c r="S26" i="6"/>
  <c r="L23" i="6"/>
  <c r="E20" i="6"/>
  <c r="Q16" i="6"/>
  <c r="R12" i="6"/>
  <c r="T19" i="6"/>
  <c r="T36" i="6"/>
  <c r="M33" i="6"/>
  <c r="F30" i="6"/>
  <c r="R26" i="6"/>
  <c r="K23" i="6"/>
  <c r="D20" i="6"/>
  <c r="P16" i="6"/>
  <c r="P12" i="6"/>
  <c r="F35" i="6"/>
  <c r="R31" i="6"/>
  <c r="K28" i="6"/>
  <c r="D25" i="6"/>
  <c r="P21" i="6"/>
  <c r="I18" i="6"/>
  <c r="U14" i="6"/>
  <c r="K12" i="6"/>
  <c r="F13" i="6"/>
  <c r="C11" i="6"/>
  <c r="Q11" i="6"/>
  <c r="L12" i="6"/>
  <c r="G40" i="6"/>
  <c r="N40" i="6"/>
  <c r="E40" i="6"/>
  <c r="Q10" i="6"/>
  <c r="E4" i="3"/>
  <c r="E6" i="3"/>
  <c r="E7" i="3"/>
  <c r="P14" i="3"/>
  <c r="K15" i="3"/>
  <c r="M2" i="1"/>
  <c r="H39" i="6"/>
  <c r="J36" i="6"/>
  <c r="N32" i="6"/>
  <c r="J28" i="6"/>
  <c r="C25" i="6"/>
  <c r="O21" i="6"/>
  <c r="H18" i="6"/>
  <c r="T14" i="6"/>
  <c r="H31" i="6"/>
  <c r="G39" i="6"/>
  <c r="S35" i="6"/>
  <c r="L32" i="6"/>
  <c r="E29" i="6"/>
  <c r="Q25" i="6"/>
  <c r="J22" i="6"/>
  <c r="C19" i="6"/>
  <c r="O15" i="6"/>
  <c r="R33" i="6"/>
  <c r="S14" i="6"/>
  <c r="G36" i="6"/>
  <c r="S32" i="6"/>
  <c r="L29" i="6"/>
  <c r="E26" i="6"/>
  <c r="Q22" i="6"/>
  <c r="J19" i="6"/>
  <c r="C16" i="6"/>
  <c r="K38" i="6"/>
  <c r="L19" i="6"/>
  <c r="P38" i="6"/>
  <c r="I35" i="6"/>
  <c r="U31" i="6"/>
  <c r="N28" i="6"/>
  <c r="G25" i="6"/>
  <c r="S21" i="6"/>
  <c r="L18" i="6"/>
  <c r="E15" i="6"/>
  <c r="M32" i="6"/>
  <c r="T39" i="6"/>
  <c r="M36" i="6"/>
  <c r="F33" i="6"/>
  <c r="R29" i="6"/>
  <c r="K26" i="6"/>
  <c r="D23" i="6"/>
  <c r="P19" i="6"/>
  <c r="I16" i="6"/>
  <c r="Q36" i="6"/>
  <c r="J17" i="6"/>
  <c r="L36" i="6"/>
  <c r="E33" i="6"/>
  <c r="Q29" i="6"/>
  <c r="J26" i="6"/>
  <c r="C23" i="6"/>
  <c r="U2" i="6"/>
  <c r="Q31" i="6"/>
  <c r="K35" i="6"/>
  <c r="O39" i="6"/>
  <c r="T35" i="6"/>
  <c r="D18" i="6"/>
  <c r="O22" i="6"/>
  <c r="J34" i="6"/>
  <c r="U25" i="6"/>
  <c r="I21" i="6"/>
  <c r="E17" i="6"/>
  <c r="M38" i="6"/>
  <c r="I34" i="6"/>
  <c r="M30" i="6"/>
  <c r="Q26" i="6"/>
  <c r="U22" i="6"/>
  <c r="F19" i="6"/>
  <c r="J15" i="6"/>
  <c r="C12" i="6"/>
  <c r="I12" i="6"/>
  <c r="D13" i="6"/>
  <c r="H11" i="6"/>
  <c r="E41" i="6"/>
  <c r="D41" i="6"/>
  <c r="C42" i="6"/>
  <c r="C41" i="6"/>
  <c r="C26" i="6"/>
  <c r="U30" i="6"/>
  <c r="Q12" i="6"/>
  <c r="H40" i="6"/>
  <c r="Q9" i="6"/>
  <c r="U27" i="6"/>
  <c r="D32" i="6"/>
  <c r="R35" i="6"/>
  <c r="U16" i="6"/>
  <c r="P14" i="6"/>
  <c r="H19" i="6"/>
  <c r="P32" i="6"/>
  <c r="M25" i="6"/>
  <c r="T20" i="6"/>
  <c r="H16" i="6"/>
  <c r="P37" i="6"/>
  <c r="T33" i="6"/>
  <c r="E30" i="6"/>
  <c r="I26" i="6"/>
  <c r="M22" i="6"/>
  <c r="Q18" i="6"/>
  <c r="M14" i="6"/>
  <c r="N11" i="6"/>
  <c r="T11" i="6"/>
  <c r="O12" i="6"/>
  <c r="Q13" i="6"/>
  <c r="O40" i="6"/>
  <c r="F40" i="6"/>
  <c r="P42" i="6"/>
  <c r="O42" i="6"/>
  <c r="M273" i="1"/>
  <c r="U42" i="6"/>
  <c r="T42" i="6"/>
  <c r="N15" i="6"/>
  <c r="M13" i="6"/>
  <c r="S12" i="6"/>
  <c r="D40" i="6"/>
  <c r="J28" i="3"/>
  <c r="N24" i="6"/>
  <c r="P28" i="6"/>
  <c r="K32" i="6"/>
  <c r="H38" i="6"/>
  <c r="Q28" i="6"/>
  <c r="T15" i="6"/>
  <c r="H32" i="6"/>
  <c r="E25" i="6"/>
  <c r="O19" i="6"/>
  <c r="S15" i="6"/>
  <c r="H37" i="6"/>
  <c r="L33" i="6"/>
  <c r="P29" i="6"/>
  <c r="T25" i="6"/>
  <c r="E22" i="6"/>
  <c r="T17" i="6"/>
  <c r="E14" i="6"/>
  <c r="F11" i="6"/>
  <c r="L11" i="6"/>
  <c r="G12" i="6"/>
  <c r="I13" i="6"/>
  <c r="Q42" i="6"/>
  <c r="H42" i="6"/>
  <c r="G42" i="6"/>
  <c r="N42" i="6"/>
  <c r="M42" i="6"/>
  <c r="L42" i="6"/>
  <c r="D42" i="6"/>
  <c r="U35" i="6"/>
  <c r="O27" i="6"/>
  <c r="J23" i="6"/>
  <c r="N19" i="6"/>
  <c r="M41" i="6"/>
  <c r="I40" i="6"/>
  <c r="J23" i="3"/>
  <c r="G21" i="6"/>
  <c r="I25" i="6"/>
  <c r="D29" i="6"/>
  <c r="T34" i="6"/>
  <c r="L39" i="6"/>
  <c r="O34" i="6"/>
  <c r="C31" i="6"/>
  <c r="P24" i="6"/>
  <c r="G19" i="6"/>
  <c r="K15" i="6"/>
  <c r="S36" i="6"/>
  <c r="D33" i="6"/>
  <c r="H29" i="6"/>
  <c r="L25" i="6"/>
  <c r="H21" i="6"/>
  <c r="L17" i="6"/>
  <c r="K13" i="6"/>
  <c r="U11" i="6"/>
  <c r="D11" i="6"/>
  <c r="R11" i="6"/>
  <c r="T12" i="6"/>
  <c r="I42" i="6"/>
  <c r="R41" i="6"/>
  <c r="Q41" i="6"/>
  <c r="F42" i="6"/>
  <c r="E42" i="6"/>
  <c r="N41" i="6"/>
  <c r="R38" i="6"/>
  <c r="M17" i="6"/>
  <c r="R15" i="6"/>
  <c r="C40" i="6"/>
  <c r="O27" i="3"/>
  <c r="S17" i="6"/>
  <c r="U21" i="6"/>
  <c r="P25" i="6"/>
  <c r="M31" i="6"/>
  <c r="E36" i="6"/>
  <c r="H15" i="6"/>
  <c r="I29" i="6"/>
  <c r="H24" i="6"/>
  <c r="R18" i="6"/>
  <c r="C15" i="6"/>
  <c r="K36" i="6"/>
  <c r="O32" i="6"/>
  <c r="S28" i="6"/>
  <c r="O24" i="6"/>
  <c r="S20" i="6"/>
  <c r="D17" i="6"/>
  <c r="N12" i="6"/>
  <c r="M11" i="6"/>
  <c r="S11" i="6"/>
  <c r="J11" i="6"/>
  <c r="D12" i="6"/>
  <c r="S42" i="6"/>
  <c r="R42" i="6"/>
  <c r="S41" i="6"/>
  <c r="J41" i="6"/>
  <c r="I41" i="6"/>
  <c r="P41" i="6"/>
  <c r="O41" i="6"/>
  <c r="E32" i="6"/>
  <c r="Q21" i="6"/>
  <c r="L13" i="6"/>
  <c r="L41" i="6"/>
  <c r="T2" i="6"/>
  <c r="L14" i="6"/>
  <c r="N18" i="6"/>
  <c r="I22" i="6"/>
  <c r="F28" i="6"/>
  <c r="Q32" i="6"/>
  <c r="Q37" i="6"/>
  <c r="T28" i="6"/>
  <c r="N22" i="6"/>
  <c r="J18" i="6"/>
  <c r="N14" i="6"/>
  <c r="C36" i="6"/>
  <c r="G32" i="6"/>
  <c r="C28" i="6"/>
  <c r="G24" i="6"/>
  <c r="K20" i="6"/>
  <c r="O16" i="6"/>
  <c r="P13" i="6"/>
  <c r="E11" i="6"/>
  <c r="K11" i="6"/>
  <c r="I11" i="6"/>
  <c r="O11" i="6"/>
  <c r="K42" i="6"/>
  <c r="J42" i="6"/>
  <c r="K41" i="6"/>
  <c r="T40" i="6"/>
  <c r="S40" i="6"/>
  <c r="H41" i="6"/>
  <c r="G41" i="6"/>
  <c r="F41" i="6"/>
  <c r="K21" i="6"/>
  <c r="Q34" i="6"/>
  <c r="C39" i="6"/>
  <c r="J40" i="6"/>
  <c r="U32" i="6"/>
  <c r="F29" i="6"/>
  <c r="G15" i="6"/>
  <c r="U18" i="6"/>
  <c r="R24" i="6"/>
  <c r="J29" i="6"/>
  <c r="D36" i="6"/>
  <c r="D28" i="6"/>
  <c r="F22" i="6"/>
  <c r="U17" i="6"/>
  <c r="F14" i="6"/>
  <c r="N35" i="6"/>
  <c r="J31" i="6"/>
  <c r="N27" i="6"/>
  <c r="R23" i="6"/>
  <c r="C20" i="6"/>
  <c r="G16" i="6"/>
  <c r="H13" i="6"/>
  <c r="N13" i="6"/>
  <c r="T13" i="6"/>
  <c r="E12" i="6"/>
  <c r="G11" i="6"/>
  <c r="U41" i="6"/>
  <c r="T41" i="6"/>
  <c r="U40" i="6"/>
  <c r="L40" i="6"/>
  <c r="K40" i="6"/>
  <c r="R40" i="6"/>
  <c r="Q40" i="6"/>
  <c r="P40" i="6"/>
  <c r="O35" i="6"/>
  <c r="F27" i="6"/>
  <c r="P11" i="6"/>
  <c r="M40" i="6"/>
  <c r="M270" i="1"/>
  <c r="M272" i="1"/>
  <c r="M271" i="1"/>
  <c r="M276" i="1"/>
  <c r="M268" i="1"/>
  <c r="M266" i="1"/>
  <c r="M275" i="1"/>
  <c r="M274" i="1"/>
  <c r="M269" i="1"/>
  <c r="M267" i="1"/>
  <c r="M227" i="1"/>
  <c r="M243" i="1"/>
  <c r="M264" i="1"/>
  <c r="M247" i="1"/>
  <c r="M230" i="1"/>
  <c r="M260" i="1"/>
  <c r="M255" i="1"/>
  <c r="M235" i="1"/>
  <c r="M265" i="1"/>
  <c r="M256" i="1"/>
  <c r="M239" i="1"/>
  <c r="M222" i="1"/>
  <c r="M252" i="1"/>
  <c r="M258" i="1"/>
  <c r="M257" i="1"/>
  <c r="M248" i="1"/>
  <c r="M231" i="1"/>
  <c r="M261" i="1"/>
  <c r="M244" i="1"/>
  <c r="M259" i="1"/>
  <c r="M221" i="1"/>
  <c r="M250" i="1"/>
  <c r="M249" i="1"/>
  <c r="M240" i="1"/>
  <c r="M223" i="1"/>
  <c r="M253" i="1"/>
  <c r="M236" i="1"/>
  <c r="M251" i="1"/>
  <c r="M242" i="1"/>
  <c r="M241" i="1"/>
  <c r="M232" i="1"/>
  <c r="M262" i="1"/>
  <c r="M245" i="1"/>
  <c r="M228" i="1"/>
  <c r="M234" i="1"/>
  <c r="M233" i="1"/>
  <c r="M224" i="1"/>
  <c r="M254" i="1"/>
  <c r="M237" i="1"/>
  <c r="M238" i="1"/>
  <c r="M226" i="1"/>
  <c r="M225" i="1"/>
  <c r="M263" i="1"/>
  <c r="M246" i="1"/>
  <c r="M229" i="1"/>
  <c r="M82" i="1"/>
  <c r="M219" i="1"/>
  <c r="M55" i="1"/>
  <c r="M32" i="1"/>
  <c r="M220" i="1"/>
  <c r="M34" i="1"/>
  <c r="M66" i="1"/>
  <c r="M67" i="1"/>
  <c r="M86" i="1"/>
  <c r="M81" i="1"/>
  <c r="M85" i="1"/>
  <c r="M171" i="1"/>
  <c r="M33" i="1"/>
  <c r="M166" i="1"/>
  <c r="M158" i="1"/>
  <c r="M150" i="1"/>
  <c r="M142" i="1"/>
  <c r="M134" i="1"/>
  <c r="M126" i="1"/>
  <c r="M118" i="1"/>
  <c r="M110" i="1"/>
  <c r="M102" i="1"/>
  <c r="M94" i="1"/>
  <c r="M84" i="1"/>
  <c r="M74" i="1"/>
  <c r="M64" i="1"/>
  <c r="M56" i="1"/>
  <c r="M47" i="1"/>
  <c r="M39" i="1"/>
  <c r="M28" i="1"/>
  <c r="M20" i="1"/>
  <c r="M12" i="1"/>
  <c r="M175" i="1"/>
  <c r="M208" i="1"/>
  <c r="M200" i="1"/>
  <c r="M192" i="1"/>
  <c r="M178" i="1"/>
  <c r="M189" i="1"/>
  <c r="D2" i="7"/>
  <c r="E2" i="7" s="1"/>
  <c r="D3" i="7"/>
  <c r="E3" i="7" s="1"/>
  <c r="D4" i="7"/>
  <c r="E4" i="7" s="1"/>
  <c r="D5" i="7"/>
  <c r="E5" i="7" s="1"/>
  <c r="D6" i="7"/>
  <c r="E6" i="7" s="1"/>
  <c r="D7" i="7"/>
  <c r="E7" i="7" s="1"/>
  <c r="D8" i="7"/>
  <c r="E8" i="7" s="1"/>
  <c r="D9" i="7"/>
  <c r="E9" i="7" s="1"/>
  <c r="Q2" i="3"/>
  <c r="V41" i="6" l="1"/>
  <c r="V42" i="6"/>
  <c r="V40" i="6"/>
  <c r="H2" i="3"/>
  <c r="I2" i="3" s="1"/>
  <c r="M2" i="3" s="1"/>
  <c r="V22" i="6"/>
  <c r="V37" i="6"/>
  <c r="V18" i="6"/>
  <c r="V15" i="6"/>
  <c r="V20" i="6"/>
  <c r="V33" i="6"/>
  <c r="V27" i="6"/>
  <c r="V24" i="6"/>
  <c r="V13" i="6"/>
  <c r="V34" i="6"/>
  <c r="V31" i="6"/>
  <c r="V36" i="6"/>
  <c r="V38" i="6"/>
  <c r="V29" i="6"/>
  <c r="V14" i="6"/>
  <c r="V25" i="6"/>
  <c r="V19" i="6"/>
  <c r="V16" i="6"/>
  <c r="V11" i="6"/>
  <c r="V30" i="6"/>
  <c r="V26" i="6"/>
  <c r="V23" i="6"/>
  <c r="V28" i="6"/>
  <c r="V12" i="6"/>
  <c r="V35" i="6"/>
  <c r="V32" i="6"/>
  <c r="V21" i="6"/>
  <c r="V17" i="6"/>
  <c r="V39" i="6"/>
  <c r="L23" i="3"/>
  <c r="L9" i="3"/>
  <c r="L15" i="3"/>
  <c r="H7" i="3"/>
  <c r="I7" i="3" s="1"/>
  <c r="M7" i="3" s="1"/>
  <c r="N7" i="3" s="1"/>
  <c r="R7" i="3" s="1"/>
  <c r="G16" i="3"/>
  <c r="L27" i="3"/>
  <c r="Q29" i="3"/>
  <c r="L22" i="3"/>
  <c r="Q15" i="3"/>
  <c r="G2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G27" i="3"/>
  <c r="L31" i="3"/>
  <c r="Q14" i="3"/>
  <c r="Q4" i="3"/>
  <c r="Q6" i="3"/>
  <c r="G6" i="3"/>
  <c r="Q27" i="3"/>
  <c r="Q33" i="3"/>
  <c r="G33" i="3"/>
  <c r="G4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G2" i="3"/>
  <c r="L34" i="3"/>
  <c r="G26" i="3"/>
  <c r="Q17" i="3"/>
  <c r="G17" i="3"/>
  <c r="Q20" i="3"/>
  <c r="G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G7" i="3"/>
  <c r="L25" i="3"/>
  <c r="L33" i="3"/>
  <c r="L4" i="3"/>
  <c r="L6" i="3"/>
  <c r="Q21" i="3"/>
  <c r="G21" i="3"/>
  <c r="Q26" i="3"/>
  <c r="G15" i="3"/>
  <c r="L17" i="3"/>
  <c r="G14" i="3"/>
  <c r="Q11" i="3"/>
  <c r="G11" i="3"/>
  <c r="L26" i="3"/>
  <c r="Q24" i="3"/>
  <c r="G24" i="3"/>
  <c r="G13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V5" i="6"/>
  <c r="H8" i="3"/>
  <c r="I8" i="3" s="1"/>
  <c r="M8" i="3" s="1"/>
  <c r="N8" i="3" s="1"/>
  <c r="R8" i="3" s="1"/>
  <c r="V10" i="6"/>
  <c r="V3" i="6"/>
  <c r="V2" i="6"/>
  <c r="L12" i="3"/>
  <c r="V7" i="6"/>
  <c r="H29" i="3"/>
  <c r="I29" i="3" s="1"/>
  <c r="M29" i="3" s="1"/>
  <c r="N29" i="3" s="1"/>
  <c r="R29" i="3" s="1"/>
  <c r="V6" i="6"/>
  <c r="V8" i="6"/>
  <c r="V4" i="6"/>
  <c r="G34" i="3"/>
  <c r="V9" i="6"/>
  <c r="Q23" i="3"/>
  <c r="G31" i="3"/>
  <c r="G9" i="3"/>
  <c r="H9" i="3"/>
  <c r="I9" i="3" s="1"/>
  <c r="M9" i="3" s="1"/>
  <c r="N9" i="3" s="1"/>
  <c r="R9" i="3" s="1"/>
  <c r="Q31" i="3"/>
  <c r="G12" i="3"/>
  <c r="G23" i="3"/>
  <c r="Q19" i="3"/>
  <c r="H32" i="3"/>
  <c r="I32" i="3" s="1"/>
  <c r="M32" i="3" s="1"/>
  <c r="N32" i="3" s="1"/>
  <c r="R32" i="3" s="1"/>
  <c r="L8" i="3"/>
  <c r="G5" i="3"/>
  <c r="G18" i="3"/>
  <c r="Q34" i="3"/>
  <c r="G22" i="3"/>
  <c r="Q9" i="3"/>
  <c r="G28" i="3"/>
  <c r="L5" i="3"/>
  <c r="G30" i="3"/>
  <c r="Q8" i="3"/>
  <c r="Q3" i="3"/>
  <c r="L29" i="3"/>
  <c r="Q32" i="3"/>
  <c r="Q22" i="3"/>
  <c r="G8" i="3"/>
  <c r="Q10" i="3"/>
  <c r="G3" i="3"/>
  <c r="Q12" i="3"/>
  <c r="Q30" i="3"/>
  <c r="G32" i="3"/>
  <c r="G10" i="3"/>
  <c r="Q18" i="3"/>
  <c r="G19" i="3"/>
  <c r="Q28" i="3"/>
  <c r="G29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<sst xmlns="http://schemas.openxmlformats.org/spreadsheetml/2006/main" count="2385" uniqueCount="174">
  <si>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</si>
  <si>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</si>
  <si>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</si>
  <si>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</si>
  <si>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</si>
  <si>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</si>
  <si>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</si>
  <si>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</si>
  <si>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</si>
  <si>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</si>
  <si>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</si>
  <si>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</si>
  <si>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</si>
  <si>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</si>
  <si>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</si>
  <si>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</si>
  <si>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</si>
  <si>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</si>
  <si>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</si>
  <si>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</si>
  <si>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</si>
  <si>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</si>
  <si>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</si>
  <si>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</si>
  <si>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</si>
  <si>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</si>
  <si>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</si>
  <si>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</si>
  <si>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</si>
  <si>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</si>
  <si>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</si>
  <si>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</si>
  <si>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</si>
  <si>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</si>
  <si>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</si>
  <si>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</si>
  <si>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</si>
  <si>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</si>
  <si>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</si>
  <si>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</si>
  <si>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</si>
  <si>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</si>
  <si>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</si>
  <si>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</si>
  <si>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</si>
  <si>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</si>
  <si>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</si>
  <si>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</si>
  <si>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</si>
  <si>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</si>
  <si>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</si>
  <si>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</si>
  <si>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</si>
  <si>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</si>
  <si>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</si>
  <si>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</si>
  <si>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</si>
  <si>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</si>
  <si>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</si>
  <si>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</si>
  <si>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</si>
  <si>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</si>
  <si>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</si>
  <si>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</si>
  <si>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</si>
  <si>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</si>
  <si>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</si>
  <si>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</si>
  <si>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</si>
  <si>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</si>
  <si>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</si>
  <si>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</si>
  <si>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</si>
  <si>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</si>
  <si>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</si>
  <si>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</si>
  <si>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</si>
  <si>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</si>
  <si>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</si>
  <si>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</si>
  <si>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</si>
  <si>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</si>
  <si>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</si>
  <si>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</si>
  <si>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</si>
  <si>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</si>
  <si>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</si>
  <si>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</si>
  <si>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</si>
  <si>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</si>
  <si>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</si>
  <si>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</si>
  <si>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</si>
  <si>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</si>
  <si>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</si>
  <si>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</si>
  <si>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</si>
  <si>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</si>
  <si>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</si>
  <si>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</si>
  <si>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</si>
  <si>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</si>
  <si>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</si>
  <si>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</si>
  <si>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</si>
  <si>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</si>
  <si>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</si>
  <si>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</si>
  <si>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</si>
  <si>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</si>
  <si>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</si>
  <si>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</si>
  <si>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</si>
  <si>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</si>
  <si>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</si>
  <si>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</si>
  <si>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</si>
  <si>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</si>
  <si>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</si>
  <si>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</si>
  <si>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</si>
  <si>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</si>
  <si>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</si>
  <si>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</si>
  <si>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</si>
  <si>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</si>
  <si>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</si>
  <si>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</si>
  <si>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</si>
  <si>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</si>
  <si>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</si>
  <si>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Atributo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</si>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</sst>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Alignment="1">
      <alignment horizontal="center" vertical="center"/>
    </xf>
    <xf numFmtId="164" fontId="0" fillId="0" borderId="0" xfId="0" applyNumberFormat="1"/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4" fontId="0" fillId="0" borderId="0" xfId="0" applyNumberForma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</cellXfs>
  <cellStyles count="1">
    <cellStyle name="Normal" xfId="0" builtinId="0"/>
  </cellStyles>
  <dxfs count="42"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0" formatCode="General"/>
    </dxf>
    <dxf>
      <numFmt numFmtId="0" formatCode="General"/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1048575" totalsRowShown="0">
  <autoFilter ref="A1:P1048575" xr:uid="{00000000-0009-0000-0100-000001000000}">
    <filterColumn colId="11">
      <filters blank="1">
        <filter val="2026-06"/>
      </filters>
    </filterColumn>
  </autoFilter>
  <tableColumns count="16">
    <tableColumn id="1" xr3:uid="{00000000-0010-0000-0000-000001000000}" name="ID"/>
    <tableColumn id="2" xr3:uid="{00000000-0010-0000-0000-000002000000}" name="Fecha" dataDxfId="15"/>
    <tableColumn id="3" xr3:uid="{00000000-0010-0000-0000-000003000000}" name="Empresa"/>
    <tableColumn id="4" xr3:uid="{00000000-0010-0000-0000-000004000000}" name="Cuenta Bancaria" dataDxfId="14"/>
    <tableColumn id="12" xr3:uid="{4E4C6484-6819-4411-A0F3-4017EFF8C28C}" name="Banco" dataDxfId="1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12"/>
    <tableColumn id="6" xr3:uid="{00000000-0010-0000-0000-000006000000}" name="Categoria / Concepto" dataDxfId="11"/>
    <tableColumn id="7" xr3:uid="{00000000-0010-0000-0000-000007000000}" name="Descripcion" dataDxfId="10">
      <calculatedColumnFormula>IFERROR(_xlfn.XLOOKUP(G2,Listas!E:E,Listas!F:F,""),"")</calculatedColumnFormula>
    </tableColumn>
    <tableColumn id="13" xr3:uid="{44ABE6CE-2513-45FC-BD14-32E930AFDBBD}" name="Ext/Int" dataDxfId="9"/>
    <tableColumn id="8" xr3:uid="{00000000-0010-0000-0000-000008000000}" name="Monto (S/)" dataDxfId="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7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6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5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41" dataDxfId="39" headerRowBorderDxfId="40" tableBorderDxfId="38">
  <autoFilter ref="A1:V500" xr:uid="{F415436C-AC07-4BC7-AF63-CF4210A06BB4}"/>
  <tableColumns count="22">
    <tableColumn id="1" xr3:uid="{63FFD75C-E666-43DD-8029-F430E7835BEE}" name="Día" dataDxfId="37"/>
    <tableColumn id="2" xr3:uid="{3C0A637E-5BCF-4DAA-A47B-1062D26CE0FC}" name="Fecha" dataDxfId="36"/>
    <tableColumn id="3" xr3:uid="{AA52C2CE-0BC6-4D55-8E20-0938296D1C23}" name="CFT Group" dataDxfId="35"/>
    <tableColumn id="4" xr3:uid="{EE7D0652-E6C8-4122-A765-D1B09096A21E}" name="M1B" dataDxfId="34"/>
    <tableColumn id="5" xr3:uid="{B4646433-2F6C-4447-A177-6AD7A4B88B6F}" name="Durand" dataDxfId="33"/>
    <tableColumn id="6" xr3:uid="{DCA1C6D9-C3E1-43F4-A721-4008460687C7}" name="A&amp;M Imports" dataDxfId="32"/>
    <tableColumn id="7" xr3:uid="{D4A7DE77-6043-4E65-8D3F-445DF17D93F1}" name="SSP Capital" dataDxfId="31"/>
    <tableColumn id="8" xr3:uid="{64A897BF-46B4-411E-BA9D-FE799CF2FEFB}" name="Cross Family Trust" dataDxfId="30"/>
    <tableColumn id="9" xr3:uid="{22730D08-F998-46A3-A6B6-4BF23E38D8F9}" name="Cross Security Trust" dataDxfId="29"/>
    <tableColumn id="10" xr3:uid="{BB5B9930-003E-4DC5-8E5D-067C1CF1A456}" name="Electrama" dataDxfId="28"/>
    <tableColumn id="11" xr3:uid="{72B1FF5A-A2B1-4F18-A8C8-32EEB09E3A17}" name="Sacred Valley Capital" dataDxfId="27"/>
    <tableColumn id="12" xr3:uid="{8285724C-9042-463F-8339-13C60DCBF2F4}" name="YWC Capital" dataDxfId="26"/>
    <tableColumn id="13" xr3:uid="{A6BA6873-5C5A-44C1-A199-00F91718164E}" name="Soweto" dataDxfId="25"/>
    <tableColumn id="14" xr3:uid="{50FB5920-A571-4DC5-9E26-0EF4F33A880F}" name="Green Stone Trust" dataDxfId="24"/>
    <tableColumn id="15" xr3:uid="{F3DE628D-3663-4B8C-88C3-8ED6C47CDAD0}" name="EC Auto" dataDxfId="23"/>
    <tableColumn id="16" xr3:uid="{63079263-2DC8-47D4-869E-EF7FF8CC83E2}" name="Arbor Capital Properties" dataDxfId="22"/>
    <tableColumn id="17" xr3:uid="{F0CCDB07-528A-4A91-A40E-B313EA61AC5A}" name="2515 Overbrook" dataDxfId="21"/>
    <tableColumn id="18" xr3:uid="{A92B8B5E-42D0-409B-819B-93575E6B5338}" name="112 Florida Ave" dataDxfId="20"/>
    <tableColumn id="19" xr3:uid="{E8590E2C-955F-4887-9F19-BD4E50391F39}" name="3628 Thomas Ave" dataDxfId="19"/>
    <tableColumn id="20" xr3:uid="{C99311AE-E772-4C28-A5BF-F01473FDC99C}" name="Green Harbor Trust" dataDxfId="18"/>
    <tableColumn id="21" xr3:uid="{531291F0-F871-4ED7-85FB-D95349130FEE}" name="Go Blue" dataDxfId="17"/>
    <tableColumn id="22" xr3:uid="{9970DF30-CB1E-4EE7-A51A-8EEDF7EFDE4C}" name="TOTAL CONSOLIDADO" dataDxfId="1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780" tableType="queryTable" totalsRowShown="0">
  <autoFilter ref="A1:D780" xr:uid="{2C5E576C-56D5-4661-AEE8-C56EAF46506C}"/>
  <tableColumns count="4">
    <tableColumn id="1" xr3:uid="{C5F72CE6-A217-4AAA-B890-634003E10415}" uniqueName="1" name="Atributo" queryTableFieldId="1" dataDxfId="4"/>
    <tableColumn id="4" xr3:uid="{1BFD00E9-36EE-42D9-A985-B1FC2CE4E317}" uniqueName="4" name="Saldo inicial" queryTableFieldId="4" dataDxfId="3"/>
    <tableColumn id="2" xr3:uid="{EA09EB92-4B2D-420E-B39F-7A131A47C123}" uniqueName="2" name="Fecha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6" activePane="bottomLeft" state="frozen"/>
      <selection pane="bottomLeft" activeCell="B35" sqref="B35:B4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19920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8" activePane="bottomLeft" state="frozen"/>
      <selection pane="bottomLeft" activeCell="A2" sqref="A2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158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159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159</v>
      </c>
    </row>
    <row r="4" spans="1:7" x14ac:dyDescent="0.3">
      <c r="A4" s="13" t="s">
        <v>17</v>
      </c>
      <c r="B4" s="28" t="s">
        <v>96</v>
      </c>
      <c r="C4" s="13" t="s">
        <v>153</v>
      </c>
      <c r="E4" s="13" t="s">
        <v>40</v>
      </c>
      <c r="F4" s="13" t="s">
        <v>88</v>
      </c>
      <c r="G4" s="13" t="s">
        <v>159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159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159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159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159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159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159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159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159</v>
      </c>
    </row>
    <row r="13" spans="1:7" x14ac:dyDescent="0.3">
      <c r="A13" s="13" t="s">
        <v>21</v>
      </c>
      <c r="B13" s="13" t="s">
        <v>105</v>
      </c>
      <c r="C13" s="13" t="s">
        <v>153</v>
      </c>
      <c r="E13" s="13" t="s">
        <v>49</v>
      </c>
      <c r="F13" s="13" t="s">
        <v>89</v>
      </c>
      <c r="G13" s="13" t="s">
        <v>159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159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159</v>
      </c>
    </row>
    <row r="16" spans="1:7" x14ac:dyDescent="0.3">
      <c r="A16" s="13" t="s">
        <v>22</v>
      </c>
      <c r="B16" s="28" t="s">
        <v>108</v>
      </c>
      <c r="C16" s="13" t="s">
        <v>154</v>
      </c>
      <c r="E16" s="13" t="s">
        <v>52</v>
      </c>
      <c r="F16" s="13" t="s">
        <v>90</v>
      </c>
      <c r="G16" s="13" t="s">
        <v>159</v>
      </c>
    </row>
    <row r="17" spans="1:7" x14ac:dyDescent="0.3">
      <c r="A17" s="13" t="s">
        <v>22</v>
      </c>
      <c r="B17" s="13" t="s">
        <v>109</v>
      </c>
      <c r="C17" s="13" t="s">
        <v>153</v>
      </c>
      <c r="E17" s="13" t="s">
        <v>53</v>
      </c>
      <c r="F17" s="13" t="s">
        <v>90</v>
      </c>
      <c r="G17" s="13" t="s">
        <v>160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159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159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159</v>
      </c>
    </row>
    <row r="21" spans="1:7" x14ac:dyDescent="0.3">
      <c r="A21" s="13" t="s">
        <v>24</v>
      </c>
      <c r="B21" s="28" t="s">
        <v>113</v>
      </c>
      <c r="C21" s="13" t="s">
        <v>155</v>
      </c>
      <c r="E21" s="13" t="s">
        <v>57</v>
      </c>
      <c r="F21" s="13" t="s">
        <v>90</v>
      </c>
      <c r="G21" s="13" t="s">
        <v>159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159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159</v>
      </c>
    </row>
    <row r="24" spans="1:7" x14ac:dyDescent="0.3">
      <c r="A24" s="13" t="s">
        <v>27</v>
      </c>
      <c r="B24" s="28" t="s">
        <v>116</v>
      </c>
      <c r="C24" s="13" t="s">
        <v>156</v>
      </c>
      <c r="E24" s="13" t="s">
        <v>60</v>
      </c>
      <c r="F24" s="13" t="s">
        <v>90</v>
      </c>
      <c r="G24" s="13" t="s">
        <v>160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159</v>
      </c>
    </row>
    <row r="26" spans="1:7" x14ac:dyDescent="0.3">
      <c r="A26" s="13" t="s">
        <v>29</v>
      </c>
      <c r="B26" s="28" t="s">
        <v>118</v>
      </c>
      <c r="C26" s="13" t="s">
        <v>157</v>
      </c>
      <c r="E26" s="13" t="s">
        <v>62</v>
      </c>
      <c r="F26" s="13" t="s">
        <v>88</v>
      </c>
      <c r="G26" s="13" t="s">
        <v>160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159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160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159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159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160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159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160</v>
      </c>
    </row>
    <row r="35" spans="1:7" x14ac:dyDescent="0.3">
      <c r="A35" s="13" t="s">
        <v>17</v>
      </c>
      <c r="B35" s="13" t="s">
        <v>96</v>
      </c>
      <c r="C35" s="13" t="s">
        <v>170</v>
      </c>
      <c r="E35" s="13" t="s">
        <v>70</v>
      </c>
      <c r="F35" s="13" t="s">
        <v>88</v>
      </c>
      <c r="G35" s="13" t="s">
        <v>159</v>
      </c>
    </row>
    <row r="36" spans="1:7" x14ac:dyDescent="0.3">
      <c r="A36" s="13" t="s">
        <v>21</v>
      </c>
      <c r="B36" s="13" t="s">
        <v>105</v>
      </c>
      <c r="C36" s="13" t="s">
        <v>170</v>
      </c>
      <c r="E36" s="13" t="s">
        <v>71</v>
      </c>
      <c r="F36" s="13" t="s">
        <v>88</v>
      </c>
      <c r="G36" s="13" t="s">
        <v>160</v>
      </c>
    </row>
    <row r="37" spans="1:7" x14ac:dyDescent="0.3">
      <c r="A37" s="13" t="s">
        <v>22</v>
      </c>
      <c r="B37" s="13" t="s">
        <v>109</v>
      </c>
      <c r="C37" s="13" t="s">
        <v>170</v>
      </c>
      <c r="E37" s="13" t="s">
        <v>72</v>
      </c>
      <c r="F37" s="13" t="s">
        <v>88</v>
      </c>
      <c r="G37" s="13" t="s">
        <v>159</v>
      </c>
    </row>
    <row r="38" spans="1:7" x14ac:dyDescent="0.3">
      <c r="A38" s="13" t="s">
        <v>22</v>
      </c>
      <c r="B38" s="13" t="s">
        <v>108</v>
      </c>
      <c r="C38" s="13" t="s">
        <v>171</v>
      </c>
      <c r="E38" s="13" t="s">
        <v>73</v>
      </c>
      <c r="F38" s="13" t="s">
        <v>88</v>
      </c>
      <c r="G38" s="13" t="s">
        <v>160</v>
      </c>
    </row>
    <row r="39" spans="1:7" x14ac:dyDescent="0.3">
      <c r="A39" s="13" t="s">
        <v>24</v>
      </c>
      <c r="B39" s="13" t="s">
        <v>113</v>
      </c>
      <c r="C39" s="13" t="s">
        <v>172</v>
      </c>
      <c r="E39" s="13" t="s">
        <v>74</v>
      </c>
      <c r="F39" s="13" t="s">
        <v>89</v>
      </c>
      <c r="G39" s="13" t="s">
        <v>159</v>
      </c>
    </row>
    <row r="40" spans="1:7" x14ac:dyDescent="0.3">
      <c r="A40" s="13" t="s">
        <v>27</v>
      </c>
      <c r="B40" s="13" t="s">
        <v>116</v>
      </c>
      <c r="C40" s="13" t="s">
        <v>173</v>
      </c>
      <c r="E40" s="13" t="s">
        <v>75</v>
      </c>
      <c r="F40" s="13" t="s">
        <v>89</v>
      </c>
      <c r="G40" s="13" t="s">
        <v>160</v>
      </c>
    </row>
    <row r="41" spans="1:7" x14ac:dyDescent="0.3">
      <c r="A41" s="13" t="s">
        <v>157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159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160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159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159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159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159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159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160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159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160</v>
      </c>
    </row>
    <row r="51" spans="1:7" x14ac:dyDescent="0.3">
      <c r="E51" s="13" t="s">
        <v>86</v>
      </c>
      <c r="F51" s="13" t="s">
        <v>90</v>
      </c>
      <c r="G51" s="13" t="s">
        <v>159</v>
      </c>
    </row>
    <row r="52" spans="1:7" x14ac:dyDescent="0.3">
      <c r="E52" s="13" t="s">
        <v>87</v>
      </c>
      <c r="F52" s="13" t="s">
        <v>88</v>
      </c>
      <c r="G52" s="13" t="s">
        <v>159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276"/>
  <sheetViews>
    <sheetView zoomScale="70" zoomScaleNormal="70" workbookViewId="0">
      <pane ySplit="1" topLeftCell="A251" activePane="bottomLeft" state="frozen"/>
      <selection pane="bottomLeft" activeCell="D271" sqref="D271"/>
    </sheetView>
  </sheetViews>
  <sheetFormatPr baseColWidth="10" defaultColWidth="8.6640625" defaultRowHeight="14.4" x14ac:dyDescent="0.3"/>
  <cols>
    <col min="1" max="1" width="6" style="3" customWidth="1"/>
    <col min="2" max="2" width="12" style="47" customWidth="1"/>
    <col min="3" max="3" width="24" style="13" customWidth="1"/>
    <col min="4" max="4" width="46.88671875" style="49" bestFit="1" customWidth="1"/>
    <col min="5" max="5" width="18.109375" style="4" customWidth="1"/>
    <col min="6" max="6" width="16" style="49" customWidth="1"/>
    <col min="7" max="7" width="53.77734375" style="49" bestFit="1" customWidth="1"/>
    <col min="8" max="8" width="18" style="4" customWidth="1"/>
    <col min="9" max="9" width="16.5546875" style="4" customWidth="1"/>
    <col min="10" max="10" width="14" style="51" customWidth="1"/>
    <col min="11" max="11" width="16" style="15" customWidth="1"/>
    <col min="12" max="12" width="10" style="16" customWidth="1"/>
    <col min="13" max="13" width="26.109375" style="17" customWidth="1"/>
    <col min="14" max="14" width="14.21875" style="31" bestFit="1" customWidth="1"/>
    <col min="15" max="15" width="13.77734375" style="31" bestFit="1" customWidth="1"/>
    <col min="16" max="16" width="16" style="35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161</v>
      </c>
      <c r="H1" s="2" t="s">
        <v>162</v>
      </c>
      <c r="I1" s="2" t="s">
        <v>158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32" t="s">
        <v>163</v>
      </c>
    </row>
    <row r="2" spans="1:16" hidden="1" x14ac:dyDescent="0.3">
      <c r="B2" s="46">
        <v>46143</v>
      </c>
      <c r="C2" s="4" t="str">
        <f>_xlfn.XLOOKUP(tblMovimientos[[#This Row],[Cuenta Bancaria]],Listas!$B:$B,Listas!$A:$A,"")</f>
        <v>A&amp;M Imports</v>
      </c>
      <c r="D2" s="48" t="s">
        <v>100</v>
      </c>
      <c r="E2" s="4" t="str">
        <f>_xlfn.XLOOKUP(tblMovimientos[[#This Row],[Cuenta Bancaria]],Listas!$B:$B,Listas!$C:$C,"")</f>
        <v>Bank of America</v>
      </c>
      <c r="F2" s="48" t="s">
        <v>9</v>
      </c>
      <c r="G2" s="48" t="s">
        <v>80</v>
      </c>
      <c r="H2" s="4" t="str">
        <f>IFERROR(_xlfn.XLOOKUP(G2,Listas!E:E,Listas!F:F,""),"")</f>
        <v>Operativo</v>
      </c>
      <c r="I2" s="4" t="str">
        <f>IFERROR(_xlfn.XLOOKUP(G2,Listas!E:E,Listas!G:G,""),"")</f>
        <v>Externo</v>
      </c>
      <c r="J2" s="50">
        <v>400000</v>
      </c>
      <c r="K2" s="5">
        <f t="shared" ref="K2:K65" si="0">IF(F2="Ingreso",J2,-J2)</f>
        <v>400000</v>
      </c>
      <c r="L2" s="6" t="s">
        <v>93</v>
      </c>
      <c r="M2" s="52">
        <f>SUMIFS('Saldos Iniciales'!$D$2:$D$38,'Saldos Iniciales'!$A$2:$A$38,C2,'Saldos Iniciales'!$B$2:$B$38,D2)+SUMIFS($K$1:$K$1048575,$C$1:$C$1048575,C2,$D$1:$D$1048575,D2,$B$1:$B$1048575,"&lt;="&amp;B2)</f>
        <v>589990.30000000005</v>
      </c>
      <c r="N2" s="29">
        <f>IF(tblMovimientos[[#This Row],[Tipo de Movimiento]]="Ingreso",tblMovimientos[[#This Row],[Monto (S/)]],"0")</f>
        <v>400000</v>
      </c>
      <c r="O2" s="29" t="str">
        <f>IF(tblMovimientos[[#This Row],[Tipo de Movimiento]]="Egreso",tblMovimientos[[#This Row],[Monto (S/)]],"0")</f>
        <v>0</v>
      </c>
      <c r="P2" s="33">
        <f>IF(tblMovimientos[[#This Row],[Tipo de Movimiento]]="Ingreso",tblMovimientos[[#This Row],[Ingreso]],-tblMovimientos[[#This Row],[Egreso]])</f>
        <v>400000</v>
      </c>
    </row>
    <row r="3" spans="1:16" hidden="1" x14ac:dyDescent="0.3">
      <c r="B3" s="46">
        <v>46143</v>
      </c>
      <c r="C3" s="4" t="str">
        <f>_xlfn.XLOOKUP(tblMovimientos[[#This Row],[Cuenta Bancaria]],Listas!$B:$B,Listas!$A:$A,"")</f>
        <v>A&amp;M Imports</v>
      </c>
      <c r="D3" s="48" t="s">
        <v>100</v>
      </c>
      <c r="E3" s="4" t="str">
        <f>_xlfn.XLOOKUP(tblMovimientos[[#This Row],[Cuenta Bancaria]],Listas!$B:$B,Listas!$C:$C,"")</f>
        <v>Bank of America</v>
      </c>
      <c r="F3" s="48" t="s">
        <v>9</v>
      </c>
      <c r="G3" s="48" t="s">
        <v>68</v>
      </c>
      <c r="H3" s="4" t="str">
        <f>IFERROR(_xlfn.XLOOKUP(G3,Listas!E:E,Listas!F:F,""),"")</f>
        <v>Operativo</v>
      </c>
      <c r="I3" s="4" t="str">
        <f>IFERROR(_xlfn.XLOOKUP(G3,Listas!E:E,Listas!G:G,""),"")</f>
        <v>Externo</v>
      </c>
      <c r="J3" s="50">
        <v>12901.71</v>
      </c>
      <c r="K3" s="5">
        <f t="shared" si="0"/>
        <v>12901.71</v>
      </c>
      <c r="L3" s="6" t="s">
        <v>93</v>
      </c>
      <c r="M3" s="52">
        <f>SUMIFS('Saldos Iniciales'!$D$2:$D$38,'Saldos Iniciales'!$A$2:$A$38,C3,'Saldos Iniciales'!$B$2:$B$38,D3)+SUMIFS($K$1:$K$1048575,$C$1:$C$1048575,C3,$D$1:$D$1048575,D3,$B$1:$B$1048575,"&lt;="&amp;B3)</f>
        <v>589990.30000000005</v>
      </c>
      <c r="N3" s="30">
        <f>IF(tblMovimientos[[#This Row],[Tipo de Movimiento]]="Ingreso",tblMovimientos[[#This Row],[Monto (S/)]],"0")</f>
        <v>12901.71</v>
      </c>
      <c r="O3" s="30" t="str">
        <f>IF(tblMovimientos[[#This Row],[Tipo de Movimiento]]="Egreso",tblMovimientos[[#This Row],[Monto (S/)]],"0")</f>
        <v>0</v>
      </c>
      <c r="P3" s="34">
        <f>IF(tblMovimientos[[#This Row],[Tipo de Movimiento]]="Ingreso",tblMovimientos[[#This Row],[Ingreso]],-tblMovimientos[[#This Row],[Egreso]])</f>
        <v>12901.71</v>
      </c>
    </row>
    <row r="4" spans="1:16" hidden="1" x14ac:dyDescent="0.3">
      <c r="B4" s="46">
        <v>46143</v>
      </c>
      <c r="C4" s="4" t="str">
        <f>_xlfn.XLOOKUP(tblMovimientos[[#This Row],[Cuenta Bancaria]],Listas!$B:$B,Listas!$A:$A,"")</f>
        <v>Sacred Valley Capital</v>
      </c>
      <c r="D4" s="48" t="s">
        <v>114</v>
      </c>
      <c r="E4" s="4" t="str">
        <f>_xlfn.XLOOKUP(tblMovimientos[[#This Row],[Cuenta Bancaria]],Listas!$B:$B,Listas!$C:$C,"")</f>
        <v>Bank of America</v>
      </c>
      <c r="F4" s="48" t="s">
        <v>10</v>
      </c>
      <c r="G4" s="48" t="s">
        <v>44</v>
      </c>
      <c r="H4" s="4" t="str">
        <f>IFERROR(_xlfn.XLOOKUP(G4,Listas!E:E,Listas!F:F,""),"")</f>
        <v>Operativo</v>
      </c>
      <c r="I4" s="4" t="str">
        <f>IFERROR(_xlfn.XLOOKUP(G4,Listas!E:E,Listas!G:G,""),"")</f>
        <v>Externo</v>
      </c>
      <c r="J4" s="50">
        <v>29.95</v>
      </c>
      <c r="K4" s="5">
        <f t="shared" si="0"/>
        <v>-29.95</v>
      </c>
      <c r="L4" s="6" t="s">
        <v>93</v>
      </c>
      <c r="M4" s="52">
        <f>SUMIFS('Saldos Iniciales'!$D$2:$D$38,'Saldos Iniciales'!$A$2:$A$38,C4,'Saldos Iniciales'!$B$2:$B$38,D4)+SUMIFS($K$1:$K$1048575,$C$1:$C$1048575,C4,$D$1:$D$1048575,D4,$B$1:$B$1048575,"&lt;="&amp;B4)</f>
        <v>114.3</v>
      </c>
      <c r="N4" s="30" t="str">
        <f>IF(tblMovimientos[[#This Row],[Tipo de Movimiento]]="Ingreso",tblMovimientos[[#This Row],[Monto (S/)]],"0")</f>
        <v>0</v>
      </c>
      <c r="O4" s="30">
        <f>IF(tblMovimientos[[#This Row],[Tipo de Movimiento]]="Egreso",tblMovimientos[[#This Row],[Monto (S/)]],"0")</f>
        <v>29.95</v>
      </c>
      <c r="P4" s="34">
        <f>IF(tblMovimientos[[#This Row],[Tipo de Movimiento]]="Ingreso",tblMovimientos[[#This Row],[Ingreso]],-tblMovimientos[[#This Row],[Egreso]])</f>
        <v>-29.95</v>
      </c>
    </row>
    <row r="5" spans="1:16" hidden="1" x14ac:dyDescent="0.3">
      <c r="B5" s="46">
        <v>46143</v>
      </c>
      <c r="C5" s="4" t="str">
        <f>_xlfn.XLOOKUP(tblMovimientos[[#This Row],[Cuenta Bancaria]],Listas!$B:$B,Listas!$A:$A,"")</f>
        <v>YWC Capital</v>
      </c>
      <c r="D5" s="48" t="s">
        <v>115</v>
      </c>
      <c r="E5" s="4" t="str">
        <f>_xlfn.XLOOKUP(tblMovimientos[[#This Row],[Cuenta Bancaria]],Listas!$B:$B,Listas!$C:$C,"")</f>
        <v>Bank of America</v>
      </c>
      <c r="F5" s="48" t="s">
        <v>10</v>
      </c>
      <c r="G5" s="48" t="s">
        <v>44</v>
      </c>
      <c r="H5" s="4" t="str">
        <f>IFERROR(_xlfn.XLOOKUP(G5,Listas!E:E,Listas!F:F,""),"")</f>
        <v>Operativo</v>
      </c>
      <c r="I5" s="4" t="str">
        <f>IFERROR(_xlfn.XLOOKUP(G5,Listas!E:E,Listas!G:G,""),"")</f>
        <v>Externo</v>
      </c>
      <c r="J5" s="50">
        <v>29.95</v>
      </c>
      <c r="K5" s="5">
        <f t="shared" si="0"/>
        <v>-29.95</v>
      </c>
      <c r="L5" s="6" t="s">
        <v>93</v>
      </c>
      <c r="M5" s="52">
        <f>SUMIFS('Saldos Iniciales'!$D$2:$D$38,'Saldos Iniciales'!$A$2:$A$38,C5,'Saldos Iniciales'!$B$2:$B$38,D5)+SUMIFS($K$1:$K$1048575,$C$1:$C$1048575,C5,$D$1:$D$1048575,D5,$B$1:$B$1048575,"&lt;="&amp;B5)</f>
        <v>2267.7200000000003</v>
      </c>
      <c r="N5" s="30" t="str">
        <f>IF(tblMovimientos[[#This Row],[Tipo de Movimiento]]="Ingreso",tblMovimientos[[#This Row],[Monto (S/)]],"0")</f>
        <v>0</v>
      </c>
      <c r="O5" s="30">
        <f>IF(tblMovimientos[[#This Row],[Tipo de Movimiento]]="Egreso",tblMovimientos[[#This Row],[Monto (S/)]],"0")</f>
        <v>29.95</v>
      </c>
      <c r="P5" s="34">
        <f>IF(tblMovimientos[[#This Row],[Tipo de Movimiento]]="Ingreso",tblMovimientos[[#This Row],[Ingreso]],-tblMovimientos[[#This Row],[Egreso]])</f>
        <v>-29.95</v>
      </c>
    </row>
    <row r="6" spans="1:16" hidden="1" x14ac:dyDescent="0.3">
      <c r="B6" s="46">
        <v>46143</v>
      </c>
      <c r="C6" s="4" t="str">
        <f>_xlfn.XLOOKUP(tblMovimientos[[#This Row],[Cuenta Bancaria]],Listas!$B:$B,Listas!$A:$A,"")</f>
        <v>Arbor Capital Properties</v>
      </c>
      <c r="D6" s="48" t="s">
        <v>120</v>
      </c>
      <c r="E6" s="4" t="str">
        <f>_xlfn.XLOOKUP(tblMovimientos[[#This Row],[Cuenta Bancaria]],Listas!$B:$B,Listas!$C:$C,"")</f>
        <v>Bank of America</v>
      </c>
      <c r="F6" s="48" t="s">
        <v>10</v>
      </c>
      <c r="G6" s="48" t="s">
        <v>44</v>
      </c>
      <c r="H6" s="4" t="str">
        <f>IFERROR(_xlfn.XLOOKUP(G6,Listas!E:E,Listas!F:F,""),"")</f>
        <v>Operativo</v>
      </c>
      <c r="I6" s="4" t="str">
        <f>IFERROR(_xlfn.XLOOKUP(G6,Listas!E:E,Listas!G:G,""),"")</f>
        <v>Externo</v>
      </c>
      <c r="J6" s="50">
        <v>16</v>
      </c>
      <c r="K6" s="5">
        <f t="shared" si="0"/>
        <v>-16</v>
      </c>
      <c r="L6" s="6" t="s">
        <v>93</v>
      </c>
      <c r="M6" s="52">
        <f>SUMIFS('Saldos Iniciales'!$D$2:$D$38,'Saldos Iniciales'!$A$2:$A$38,C6,'Saldos Iniciales'!$B$2:$B$38,D6)+SUMIFS($K$1:$K$1048575,$C$1:$C$1048575,C6,$D$1:$D$1048575,D6,$B$1:$B$1048575,"&lt;="&amp;B6)</f>
        <v>1444.08</v>
      </c>
      <c r="N6" s="30" t="str">
        <f>IF(tblMovimientos[[#This Row],[Tipo de Movimiento]]="Ingreso",tblMovimientos[[#This Row],[Monto (S/)]],"0")</f>
        <v>0</v>
      </c>
      <c r="O6" s="30">
        <f>IF(tblMovimientos[[#This Row],[Tipo de Movimiento]]="Egreso",tblMovimientos[[#This Row],[Monto (S/)]],"0")</f>
        <v>16</v>
      </c>
      <c r="P6" s="34">
        <f>IF(tblMovimientos[[#This Row],[Tipo de Movimiento]]="Ingreso",tblMovimientos[[#This Row],[Ingreso]],-tblMovimientos[[#This Row],[Egreso]])</f>
        <v>-16</v>
      </c>
    </row>
    <row r="7" spans="1:16" hidden="1" x14ac:dyDescent="0.3">
      <c r="B7" s="46">
        <v>46143</v>
      </c>
      <c r="C7" s="4" t="str">
        <f>_xlfn.XLOOKUP(tblMovimientos[[#This Row],[Cuenta Bancaria]],Listas!$B:$B,Listas!$A:$A,"")</f>
        <v>2515 Overbrook</v>
      </c>
      <c r="D7" s="48" t="s">
        <v>121</v>
      </c>
      <c r="E7" s="4" t="str">
        <f>_xlfn.XLOOKUP(tblMovimientos[[#This Row],[Cuenta Bancaria]],Listas!$B:$B,Listas!$C:$C,"")</f>
        <v>Bank of America</v>
      </c>
      <c r="F7" s="48" t="s">
        <v>9</v>
      </c>
      <c r="G7" s="48" t="s">
        <v>81</v>
      </c>
      <c r="H7" s="4" t="str">
        <f>IFERROR(_xlfn.XLOOKUP(G7,Listas!E:E,Listas!F:F,""),"")</f>
        <v>Operativo</v>
      </c>
      <c r="I7" s="4" t="str">
        <f>IFERROR(_xlfn.XLOOKUP(G7,Listas!E:E,Listas!G:G,""),"")</f>
        <v>Externo</v>
      </c>
      <c r="J7" s="50">
        <v>5250</v>
      </c>
      <c r="K7" s="5">
        <f t="shared" si="0"/>
        <v>5250</v>
      </c>
      <c r="L7" s="6" t="s">
        <v>93</v>
      </c>
      <c r="M7" s="52">
        <f>SUMIFS('Saldos Iniciales'!$D$2:$D$38,'Saldos Iniciales'!$A$2:$A$38,C7,'Saldos Iniciales'!$B$2:$B$38,D7)+SUMIFS($K$1:$K$1048575,$C$1:$C$1048575,C7,$D$1:$D$1048575,D7,$B$1:$B$1048575,"&lt;="&amp;B7)</f>
        <v>22922.179999999964</v>
      </c>
      <c r="N7" s="30">
        <f>IF(tblMovimientos[[#This Row],[Tipo de Movimiento]]="Ingreso",tblMovimientos[[#This Row],[Monto (S/)]],"0")</f>
        <v>5250</v>
      </c>
      <c r="O7" s="30" t="str">
        <f>IF(tblMovimientos[[#This Row],[Tipo de Movimiento]]="Egreso",tblMovimientos[[#This Row],[Monto (S/)]],"0")</f>
        <v>0</v>
      </c>
      <c r="P7" s="34">
        <f>IF(tblMovimientos[[#This Row],[Tipo de Movimiento]]="Ingreso",tblMovimientos[[#This Row],[Ingreso]],-tblMovimientos[[#This Row],[Egreso]])</f>
        <v>5250</v>
      </c>
    </row>
    <row r="8" spans="1:16" hidden="1" x14ac:dyDescent="0.3">
      <c r="B8" s="46">
        <v>46143</v>
      </c>
      <c r="C8" s="4" t="str">
        <f>_xlfn.XLOOKUP(tblMovimientos[[#This Row],[Cuenta Bancaria]],Listas!$B:$B,Listas!$A:$A,"")</f>
        <v>2515 Overbrook</v>
      </c>
      <c r="D8" s="48" t="s">
        <v>121</v>
      </c>
      <c r="E8" s="4" t="str">
        <f>_xlfn.XLOOKUP(tblMovimientos[[#This Row],[Cuenta Bancaria]],Listas!$B:$B,Listas!$C:$C,"")</f>
        <v>Bank of America</v>
      </c>
      <c r="F8" s="48" t="s">
        <v>10</v>
      </c>
      <c r="G8" s="48" t="s">
        <v>48</v>
      </c>
      <c r="H8" s="4" t="str">
        <f>IFERROR(_xlfn.XLOOKUP(G8,Listas!E:E,Listas!F:F,""),"")</f>
        <v>Financiamiento</v>
      </c>
      <c r="I8" s="4" t="str">
        <f>IFERROR(_xlfn.XLOOKUP(G8,Listas!E:E,Listas!G:G,""),"")</f>
        <v>Externo</v>
      </c>
      <c r="J8" s="50">
        <v>8578.33</v>
      </c>
      <c r="K8" s="5">
        <f t="shared" si="0"/>
        <v>-8578.33</v>
      </c>
      <c r="L8" s="6" t="s">
        <v>93</v>
      </c>
      <c r="M8" s="52">
        <f>SUMIFS('Saldos Iniciales'!$D$2:$D$38,'Saldos Iniciales'!$A$2:$A$38,C8,'Saldos Iniciales'!$B$2:$B$38,D8)+SUMIFS($K$1:$K$1048575,$C$1:$C$1048575,C8,$D$1:$D$1048575,D8,$B$1:$B$1048575,"&lt;="&amp;B8)</f>
        <v>22922.179999999964</v>
      </c>
      <c r="N8" s="30" t="str">
        <f>IF(tblMovimientos[[#This Row],[Tipo de Movimiento]]="Ingreso",tblMovimientos[[#This Row],[Monto (S/)]],"0")</f>
        <v>0</v>
      </c>
      <c r="O8" s="30">
        <f>IF(tblMovimientos[[#This Row],[Tipo de Movimiento]]="Egreso",tblMovimientos[[#This Row],[Monto (S/)]],"0")</f>
        <v>8578.33</v>
      </c>
      <c r="P8" s="34">
        <f>IF(tblMovimientos[[#This Row],[Tipo de Movimiento]]="Ingreso",tblMovimientos[[#This Row],[Ingreso]],-tblMovimientos[[#This Row],[Egreso]])</f>
        <v>-8578.33</v>
      </c>
    </row>
    <row r="9" spans="1:16" hidden="1" x14ac:dyDescent="0.3">
      <c r="B9" s="46">
        <v>46143</v>
      </c>
      <c r="C9" s="4" t="str">
        <f>_xlfn.XLOOKUP(tblMovimientos[[#This Row],[Cuenta Bancaria]],Listas!$B:$B,Listas!$A:$A,"")</f>
        <v>2515 Overbrook</v>
      </c>
      <c r="D9" s="48" t="s">
        <v>121</v>
      </c>
      <c r="E9" s="4" t="str">
        <f>_xlfn.XLOOKUP(tblMovimientos[[#This Row],[Cuenta Bancaria]],Listas!$B:$B,Listas!$C:$C,"")</f>
        <v>Bank of America</v>
      </c>
      <c r="F9" s="48" t="s">
        <v>10</v>
      </c>
      <c r="G9" s="48" t="s">
        <v>44</v>
      </c>
      <c r="H9" s="4" t="str">
        <f>IFERROR(_xlfn.XLOOKUP(G9,Listas!E:E,Listas!F:F,""),"")</f>
        <v>Operativo</v>
      </c>
      <c r="I9" s="4" t="str">
        <f>IFERROR(_xlfn.XLOOKUP(G9,Listas!E:E,Listas!G:G,""),"")</f>
        <v>Externo</v>
      </c>
      <c r="J9" s="50">
        <v>16</v>
      </c>
      <c r="K9" s="5">
        <f t="shared" si="0"/>
        <v>-16</v>
      </c>
      <c r="L9" s="6" t="s">
        <v>93</v>
      </c>
      <c r="M9" s="52">
        <f>SUMIFS('Saldos Iniciales'!$D$2:$D$38,'Saldos Iniciales'!$A$2:$A$38,C9,'Saldos Iniciales'!$B$2:$B$38,D9)+SUMIFS($K$1:$K$1048575,$C$1:$C$1048575,C9,$D$1:$D$1048575,D9,$B$1:$B$1048575,"&lt;="&amp;B9)</f>
        <v>22922.179999999964</v>
      </c>
      <c r="N9" s="30" t="str">
        <f>IF(tblMovimientos[[#This Row],[Tipo de Movimiento]]="Ingreso",tblMovimientos[[#This Row],[Monto (S/)]],"0")</f>
        <v>0</v>
      </c>
      <c r="O9" s="30">
        <f>IF(tblMovimientos[[#This Row],[Tipo de Movimiento]]="Egreso",tblMovimientos[[#This Row],[Monto (S/)]],"0")</f>
        <v>16</v>
      </c>
      <c r="P9" s="34">
        <f>IF(tblMovimientos[[#This Row],[Tipo de Movimiento]]="Ingreso",tblMovimientos[[#This Row],[Ingreso]],-tblMovimientos[[#This Row],[Egreso]])</f>
        <v>-16</v>
      </c>
    </row>
    <row r="10" spans="1:16" hidden="1" x14ac:dyDescent="0.3">
      <c r="B10" s="46">
        <v>46143</v>
      </c>
      <c r="C10" s="4" t="str">
        <f>_xlfn.XLOOKUP(tblMovimientos[[#This Row],[Cuenta Bancaria]],Listas!$B:$B,Listas!$A:$A,"")</f>
        <v>2515 Overbrook</v>
      </c>
      <c r="D10" s="48" t="s">
        <v>122</v>
      </c>
      <c r="E10" s="4" t="str">
        <f>_xlfn.XLOOKUP(tblMovimientos[[#This Row],[Cuenta Bancaria]],Listas!$B:$B,Listas!$C:$C,"")</f>
        <v>Bank of America</v>
      </c>
      <c r="F10" s="48" t="s">
        <v>10</v>
      </c>
      <c r="G10" s="48" t="s">
        <v>44</v>
      </c>
      <c r="H10" s="4" t="str">
        <f>IFERROR(_xlfn.XLOOKUP(G10,Listas!E:E,Listas!F:F,""),"")</f>
        <v>Operativo</v>
      </c>
      <c r="I10" s="4" t="str">
        <f>IFERROR(_xlfn.XLOOKUP(G10,Listas!E:E,Listas!G:G,""),"")</f>
        <v>Externo</v>
      </c>
      <c r="J10" s="50">
        <v>10</v>
      </c>
      <c r="K10" s="5">
        <f t="shared" si="0"/>
        <v>-10</v>
      </c>
      <c r="L10" s="6" t="s">
        <v>93</v>
      </c>
      <c r="M10" s="52">
        <f>SUMIFS('Saldos Iniciales'!$D$2:$D$38,'Saldos Iniciales'!$A$2:$A$38,C10,'Saldos Iniciales'!$B$2:$B$38,D10)+SUMIFS($K$1:$K$1048575,$C$1:$C$1048575,C10,$D$1:$D$1048575,D10,$B$1:$B$1048575,"&lt;="&amp;B10)</f>
        <v>340.42</v>
      </c>
      <c r="N10" s="30" t="str">
        <f>IF(tblMovimientos[[#This Row],[Tipo de Movimiento]]="Ingreso",tblMovimientos[[#This Row],[Monto (S/)]],"0")</f>
        <v>0</v>
      </c>
      <c r="O10" s="30">
        <f>IF(tblMovimientos[[#This Row],[Tipo de Movimiento]]="Egreso",tblMovimientos[[#This Row],[Monto (S/)]],"0")</f>
        <v>10</v>
      </c>
      <c r="P10" s="34">
        <f>IF(tblMovimientos[[#This Row],[Tipo de Movimiento]]="Ingreso",tblMovimientos[[#This Row],[Ingreso]],-tblMovimientos[[#This Row],[Egreso]])</f>
        <v>-10</v>
      </c>
    </row>
    <row r="11" spans="1:16" hidden="1" x14ac:dyDescent="0.3">
      <c r="B11" s="46">
        <v>46143</v>
      </c>
      <c r="C11" s="4" t="str">
        <f>_xlfn.XLOOKUP(tblMovimientos[[#This Row],[Cuenta Bancaria]],Listas!$B:$B,Listas!$A:$A,"")</f>
        <v>112 Florida Ave</v>
      </c>
      <c r="D11" s="48" t="s">
        <v>123</v>
      </c>
      <c r="E11" s="4" t="str">
        <f>_xlfn.XLOOKUP(tblMovimientos[[#This Row],[Cuenta Bancaria]],Listas!$B:$B,Listas!$C:$C,"")</f>
        <v>Bank of America</v>
      </c>
      <c r="F11" s="48" t="s">
        <v>9</v>
      </c>
      <c r="G11" s="48" t="s">
        <v>81</v>
      </c>
      <c r="H11" s="4" t="str">
        <f>IFERROR(_xlfn.XLOOKUP(G11,Listas!E:E,Listas!F:F,""),"")</f>
        <v>Operativo</v>
      </c>
      <c r="I11" s="4" t="str">
        <f>IFERROR(_xlfn.XLOOKUP(G11,Listas!E:E,Listas!G:G,""),"")</f>
        <v>Externo</v>
      </c>
      <c r="J11" s="50">
        <v>6750</v>
      </c>
      <c r="K11" s="5">
        <f t="shared" si="0"/>
        <v>6750</v>
      </c>
      <c r="L11" s="6" t="s">
        <v>93</v>
      </c>
      <c r="M11" s="52">
        <f>SUMIFS('Saldos Iniciales'!$D$2:$D$38,'Saldos Iniciales'!$A$2:$A$38,C11,'Saldos Iniciales'!$B$2:$B$38,D11)+SUMIFS($K$1:$K$1048575,$C$1:$C$1048575,C11,$D$1:$D$1048575,D11,$B$1:$B$1048575,"&lt;="&amp;B11)</f>
        <v>6853.9100000000017</v>
      </c>
      <c r="N11" s="30">
        <f>IF(tblMovimientos[[#This Row],[Tipo de Movimiento]]="Ingreso",tblMovimientos[[#This Row],[Monto (S/)]],"0")</f>
        <v>6750</v>
      </c>
      <c r="O11" s="30" t="str">
        <f>IF(tblMovimientos[[#This Row],[Tipo de Movimiento]]="Egreso",tblMovimientos[[#This Row],[Monto (S/)]],"0")</f>
        <v>0</v>
      </c>
      <c r="P11" s="34">
        <f>IF(tblMovimientos[[#This Row],[Tipo de Movimiento]]="Ingreso",tblMovimientos[[#This Row],[Ingreso]],-tblMovimientos[[#This Row],[Egreso]])</f>
        <v>6750</v>
      </c>
    </row>
    <row r="12" spans="1:16" hidden="1" x14ac:dyDescent="0.3">
      <c r="B12" s="46">
        <v>46143</v>
      </c>
      <c r="C12" s="4" t="str">
        <f>_xlfn.XLOOKUP(tblMovimientos[[#This Row],[Cuenta Bancaria]],Listas!$B:$B,Listas!$A:$A,"")</f>
        <v>112 Florida Ave</v>
      </c>
      <c r="D12" s="48" t="s">
        <v>123</v>
      </c>
      <c r="E12" s="4" t="str">
        <f>_xlfn.XLOOKUP(tblMovimientos[[#This Row],[Cuenta Bancaria]],Listas!$B:$B,Listas!$C:$C,"")</f>
        <v>Bank of America</v>
      </c>
      <c r="F12" s="48" t="s">
        <v>10</v>
      </c>
      <c r="G12" s="48" t="s">
        <v>48</v>
      </c>
      <c r="H12" s="4" t="str">
        <f>IFERROR(_xlfn.XLOOKUP(G12,Listas!E:E,Listas!F:F,""),"")</f>
        <v>Financiamiento</v>
      </c>
      <c r="I12" s="4" t="str">
        <f>IFERROR(_xlfn.XLOOKUP(G12,Listas!E:E,Listas!G:G,""),"")</f>
        <v>Externo</v>
      </c>
      <c r="J12" s="50">
        <v>9798.6299999999992</v>
      </c>
      <c r="K12" s="5">
        <f t="shared" si="0"/>
        <v>-9798.6299999999992</v>
      </c>
      <c r="L12" s="6" t="s">
        <v>93</v>
      </c>
      <c r="M12" s="52">
        <f>SUMIFS('Saldos Iniciales'!$D$2:$D$38,'Saldos Iniciales'!$A$2:$A$38,C12,'Saldos Iniciales'!$B$2:$B$38,D12)+SUMIFS($K$1:$K$1048575,$C$1:$C$1048575,C12,$D$1:$D$1048575,D12,$B$1:$B$1048575,"&lt;="&amp;B12)</f>
        <v>6853.9100000000017</v>
      </c>
      <c r="N12" s="30" t="str">
        <f>IF(tblMovimientos[[#This Row],[Tipo de Movimiento]]="Ingreso",tblMovimientos[[#This Row],[Monto (S/)]],"0")</f>
        <v>0</v>
      </c>
      <c r="O12" s="30">
        <f>IF(tblMovimientos[[#This Row],[Tipo de Movimiento]]="Egreso",tblMovimientos[[#This Row],[Monto (S/)]],"0")</f>
        <v>9798.6299999999992</v>
      </c>
      <c r="P12" s="34">
        <f>IF(tblMovimientos[[#This Row],[Tipo de Movimiento]]="Ingreso",tblMovimientos[[#This Row],[Ingreso]],-tblMovimientos[[#This Row],[Egreso]])</f>
        <v>-9798.6299999999992</v>
      </c>
    </row>
    <row r="13" spans="1:16" hidden="1" x14ac:dyDescent="0.3">
      <c r="B13" s="46">
        <v>46143</v>
      </c>
      <c r="C13" s="4" t="str">
        <f>_xlfn.XLOOKUP(tblMovimientos[[#This Row],[Cuenta Bancaria]],Listas!$B:$B,Listas!$A:$A,"")</f>
        <v>3628 Thomas Ave</v>
      </c>
      <c r="D13" s="48" t="s">
        <v>124</v>
      </c>
      <c r="E13" s="4" t="str">
        <f>_xlfn.XLOOKUP(tblMovimientos[[#This Row],[Cuenta Bancaria]],Listas!$B:$B,Listas!$C:$C,"")</f>
        <v>Bank of America</v>
      </c>
      <c r="F13" s="48" t="s">
        <v>9</v>
      </c>
      <c r="G13" s="48" t="s">
        <v>81</v>
      </c>
      <c r="H13" s="4" t="str">
        <f>IFERROR(_xlfn.XLOOKUP(G13,Listas!E:E,Listas!F:F,""),"")</f>
        <v>Operativo</v>
      </c>
      <c r="I13" s="4" t="str">
        <f>IFERROR(_xlfn.XLOOKUP(G13,Listas!E:E,Listas!G:G,""),"")</f>
        <v>Externo</v>
      </c>
      <c r="J13" s="50">
        <v>5050</v>
      </c>
      <c r="K13" s="5">
        <f t="shared" si="0"/>
        <v>5050</v>
      </c>
      <c r="L13" s="6" t="s">
        <v>93</v>
      </c>
      <c r="M13" s="52">
        <f>SUMIFS('Saldos Iniciales'!$D$2:$D$38,'Saldos Iniciales'!$A$2:$A$38,C13,'Saldos Iniciales'!$B$2:$B$38,D13)+SUMIFS($K$1:$K$1048575,$C$1:$C$1048575,C13,$D$1:$D$1048575,D13,$B$1:$B$1048575,"&lt;="&amp;B13)</f>
        <v>21338.39</v>
      </c>
      <c r="N13" s="30">
        <f>IF(tblMovimientos[[#This Row],[Tipo de Movimiento]]="Ingreso",tblMovimientos[[#This Row],[Monto (S/)]],"0")</f>
        <v>5050</v>
      </c>
      <c r="O13" s="30" t="str">
        <f>IF(tblMovimientos[[#This Row],[Tipo de Movimiento]]="Egreso",tblMovimientos[[#This Row],[Monto (S/)]],"0")</f>
        <v>0</v>
      </c>
      <c r="P13" s="34">
        <f>IF(tblMovimientos[[#This Row],[Tipo de Movimiento]]="Ingreso",tblMovimientos[[#This Row],[Ingreso]],-tblMovimientos[[#This Row],[Egreso]])</f>
        <v>5050</v>
      </c>
    </row>
    <row r="14" spans="1:16" hidden="1" x14ac:dyDescent="0.3">
      <c r="B14" s="46">
        <v>46143</v>
      </c>
      <c r="C14" s="4" t="str">
        <f>_xlfn.XLOOKUP(tblMovimientos[[#This Row],[Cuenta Bancaria]],Listas!$B:$B,Listas!$A:$A,"")</f>
        <v>3628 Thomas Ave</v>
      </c>
      <c r="D14" s="48" t="s">
        <v>124</v>
      </c>
      <c r="E14" s="4" t="str">
        <f>_xlfn.XLOOKUP(tblMovimientos[[#This Row],[Cuenta Bancaria]],Listas!$B:$B,Listas!$C:$C,"")</f>
        <v>Bank of America</v>
      </c>
      <c r="F14" s="48" t="s">
        <v>10</v>
      </c>
      <c r="G14" s="48" t="s">
        <v>48</v>
      </c>
      <c r="H14" s="4" t="str">
        <f>IFERROR(_xlfn.XLOOKUP(G14,Listas!E:E,Listas!F:F,""),"")</f>
        <v>Financiamiento</v>
      </c>
      <c r="I14" s="4" t="str">
        <f>IFERROR(_xlfn.XLOOKUP(G14,Listas!E:E,Listas!G:G,""),"")</f>
        <v>Externo</v>
      </c>
      <c r="J14" s="50">
        <v>8773.0400000000009</v>
      </c>
      <c r="K14" s="5">
        <f t="shared" si="0"/>
        <v>-8773.0400000000009</v>
      </c>
      <c r="L14" s="6" t="s">
        <v>93</v>
      </c>
      <c r="M14" s="52">
        <f>SUMIFS('Saldos Iniciales'!$D$2:$D$38,'Saldos Iniciales'!$A$2:$A$38,C14,'Saldos Iniciales'!$B$2:$B$38,D14)+SUMIFS($K$1:$K$1048575,$C$1:$C$1048575,C14,$D$1:$D$1048575,D14,$B$1:$B$1048575,"&lt;="&amp;B14)</f>
        <v>21338.39</v>
      </c>
      <c r="N14" s="30" t="str">
        <f>IF(tblMovimientos[[#This Row],[Tipo de Movimiento]]="Ingreso",tblMovimientos[[#This Row],[Monto (S/)]],"0")</f>
        <v>0</v>
      </c>
      <c r="O14" s="30">
        <f>IF(tblMovimientos[[#This Row],[Tipo de Movimiento]]="Egreso",tblMovimientos[[#This Row],[Monto (S/)]],"0")</f>
        <v>8773.0400000000009</v>
      </c>
      <c r="P14" s="34">
        <f>IF(tblMovimientos[[#This Row],[Tipo de Movimiento]]="Ingreso",tblMovimientos[[#This Row],[Ingreso]],-tblMovimientos[[#This Row],[Egreso]])</f>
        <v>-8773.0400000000009</v>
      </c>
    </row>
    <row r="15" spans="1:16" hidden="1" x14ac:dyDescent="0.3">
      <c r="B15" s="46">
        <v>46143</v>
      </c>
      <c r="C15" s="4" t="str">
        <f>_xlfn.XLOOKUP(tblMovimientos[[#This Row],[Cuenta Bancaria]],Listas!$B:$B,Listas!$A:$A,"")</f>
        <v>M1B</v>
      </c>
      <c r="D15" s="48" t="s">
        <v>97</v>
      </c>
      <c r="E15" s="4" t="str">
        <f>_xlfn.XLOOKUP(tblMovimientos[[#This Row],[Cuenta Bancaria]],Listas!$B:$B,Listas!$C:$C,"")</f>
        <v xml:space="preserve">Amerant Bank </v>
      </c>
      <c r="F15" s="48" t="s">
        <v>9</v>
      </c>
      <c r="G15" s="48" t="s">
        <v>68</v>
      </c>
      <c r="H15" s="4" t="str">
        <f>IFERROR(_xlfn.XLOOKUP(G15,Listas!E:E,Listas!F:F,""),"")</f>
        <v>Operativo</v>
      </c>
      <c r="I15" s="4" t="str">
        <f>IFERROR(_xlfn.XLOOKUP(G15,Listas!E:E,Listas!G:G,""),"")</f>
        <v>Externo</v>
      </c>
      <c r="J15" s="50">
        <v>6748.49</v>
      </c>
      <c r="K15" s="5">
        <f t="shared" si="0"/>
        <v>6748.49</v>
      </c>
      <c r="L15" s="6" t="s">
        <v>93</v>
      </c>
      <c r="M15" s="52">
        <f>SUMIFS('Saldos Iniciales'!$D$2:$D$38,'Saldos Iniciales'!$A$2:$A$38,C15,'Saldos Iniciales'!$B$2:$B$38,D15)+SUMIFS($K$1:$K$1048575,$C$1:$C$1048575,C15,$D$1:$D$1048575,D15,$B$1:$B$1048575,"&lt;="&amp;B15)</f>
        <v>46288.029999999948</v>
      </c>
      <c r="N15" s="30">
        <f>IF(tblMovimientos[[#This Row],[Tipo de Movimiento]]="Ingreso",tblMovimientos[[#This Row],[Monto (S/)]],"0")</f>
        <v>6748.49</v>
      </c>
      <c r="O15" s="30" t="str">
        <f>IF(tblMovimientos[[#This Row],[Tipo de Movimiento]]="Egreso",tblMovimientos[[#This Row],[Monto (S/)]],"0")</f>
        <v>0</v>
      </c>
      <c r="P15" s="34">
        <f>IF(tblMovimientos[[#This Row],[Tipo de Movimiento]]="Ingreso",tblMovimientos[[#This Row],[Ingreso]],-tblMovimientos[[#This Row],[Egreso]])</f>
        <v>6748.49</v>
      </c>
    </row>
    <row r="16" spans="1:16" hidden="1" x14ac:dyDescent="0.3">
      <c r="B16" s="46">
        <v>46143</v>
      </c>
      <c r="C16" s="4" t="str">
        <f>_xlfn.XLOOKUP(tblMovimientos[[#This Row],[Cuenta Bancaria]],Listas!$B:$B,Listas!$A:$A,"")</f>
        <v>Go Blue</v>
      </c>
      <c r="D16" s="48" t="s">
        <v>126</v>
      </c>
      <c r="E16" s="4" t="str">
        <f>_xlfn.XLOOKUP(tblMovimientos[[#This Row],[Cuenta Bancaria]],Listas!$B:$B,Listas!$C:$C,"")</f>
        <v xml:space="preserve">Amerant Bank </v>
      </c>
      <c r="F16" s="48" t="s">
        <v>10</v>
      </c>
      <c r="G16" s="48" t="s">
        <v>38</v>
      </c>
      <c r="H16" s="4" t="str">
        <f>IFERROR(_xlfn.XLOOKUP(G16,Listas!E:E,Listas!F:F,""),"")</f>
        <v>Operativo</v>
      </c>
      <c r="I16" s="4" t="str">
        <f>IFERROR(_xlfn.XLOOKUP(G16,Listas!E:E,Listas!G:G,""),"")</f>
        <v>Externo</v>
      </c>
      <c r="J16" s="50">
        <v>165</v>
      </c>
      <c r="K16" s="5">
        <f t="shared" si="0"/>
        <v>-165</v>
      </c>
      <c r="L16" s="6" t="s">
        <v>93</v>
      </c>
      <c r="M16" s="52">
        <f>SUMIFS('Saldos Iniciales'!$D$2:$D$38,'Saldos Iniciales'!$A$2:$A$38,C16,'Saldos Iniciales'!$B$2:$B$38,D16)+SUMIFS($K$1:$K$1048575,$C$1:$C$1048575,C16,$D$1:$D$1048575,D16,$B$1:$B$1048575,"&lt;="&amp;B16)</f>
        <v>13491.26</v>
      </c>
      <c r="N16" s="30" t="str">
        <f>IF(tblMovimientos[[#This Row],[Tipo de Movimiento]]="Ingreso",tblMovimientos[[#This Row],[Monto (S/)]],"0")</f>
        <v>0</v>
      </c>
      <c r="O16" s="30">
        <f>IF(tblMovimientos[[#This Row],[Tipo de Movimiento]]="Egreso",tblMovimientos[[#This Row],[Monto (S/)]],"0")</f>
        <v>165</v>
      </c>
      <c r="P16" s="34">
        <f>IF(tblMovimientos[[#This Row],[Tipo de Movimiento]]="Ingreso",tblMovimientos[[#This Row],[Ingreso]],-tblMovimientos[[#This Row],[Egreso]])</f>
        <v>-165</v>
      </c>
    </row>
    <row r="17" spans="2:16" hidden="1" x14ac:dyDescent="0.3">
      <c r="B17" s="46">
        <v>46146</v>
      </c>
      <c r="C17" s="4" t="str">
        <f>_xlfn.XLOOKUP(tblMovimientos[[#This Row],[Cuenta Bancaria]],Listas!$B:$B,Listas!$A:$A,"")</f>
        <v>Cross Family Trust</v>
      </c>
      <c r="D17" s="48" t="s">
        <v>110</v>
      </c>
      <c r="E17" s="4" t="str">
        <f>_xlfn.XLOOKUP(tblMovimientos[[#This Row],[Cuenta Bancaria]],Listas!$B:$B,Listas!$C:$C,"")</f>
        <v>Bank of America</v>
      </c>
      <c r="F17" s="48" t="s">
        <v>10</v>
      </c>
      <c r="G17" s="48" t="s">
        <v>43</v>
      </c>
      <c r="H17" s="4" t="str">
        <f>IFERROR(_xlfn.XLOOKUP(G17,Listas!E:E,Listas!F:F,""),"")</f>
        <v>Operativo</v>
      </c>
      <c r="I17" s="4" t="str">
        <f>IFERROR(_xlfn.XLOOKUP(G17,Listas!E:E,Listas!G:G,""),"")</f>
        <v>Externo</v>
      </c>
      <c r="J17" s="50">
        <v>6000</v>
      </c>
      <c r="K17" s="5">
        <f t="shared" si="0"/>
        <v>-6000</v>
      </c>
      <c r="L17" s="6" t="s">
        <v>93</v>
      </c>
      <c r="M17" s="52">
        <f>SUMIFS('Saldos Iniciales'!$D$2:$D$38,'Saldos Iniciales'!$A$2:$A$38,C17,'Saldos Iniciales'!$B$2:$B$38,D17)+SUMIFS($K$1:$K$1048575,$C$1:$C$1048575,C17,$D$1:$D$1048575,D17,$B$1:$B$1048575,"&lt;="&amp;B17)</f>
        <v>7221.8899999999994</v>
      </c>
      <c r="N17" s="30" t="str">
        <f>IF(tblMovimientos[[#This Row],[Tipo de Movimiento]]="Ingreso",tblMovimientos[[#This Row],[Monto (S/)]],"0")</f>
        <v>0</v>
      </c>
      <c r="O17" s="30">
        <f>IF(tblMovimientos[[#This Row],[Tipo de Movimiento]]="Egreso",tblMovimientos[[#This Row],[Monto (S/)]],"0")</f>
        <v>6000</v>
      </c>
      <c r="P17" s="34">
        <f>IF(tblMovimientos[[#This Row],[Tipo de Movimiento]]="Ingreso",tblMovimientos[[#This Row],[Ingreso]],-tblMovimientos[[#This Row],[Egreso]])</f>
        <v>-6000</v>
      </c>
    </row>
    <row r="18" spans="2:16" hidden="1" x14ac:dyDescent="0.3">
      <c r="B18" s="46">
        <v>46146</v>
      </c>
      <c r="C18" s="4" t="str">
        <f>_xlfn.XLOOKUP(tblMovimientos[[#This Row],[Cuenta Bancaria]],Listas!$B:$B,Listas!$A:$A,"")</f>
        <v>2515 Overbrook</v>
      </c>
      <c r="D18" s="48" t="s">
        <v>121</v>
      </c>
      <c r="E18" s="4" t="str">
        <f>_xlfn.XLOOKUP(tblMovimientos[[#This Row],[Cuenta Bancaria]],Listas!$B:$B,Listas!$C:$C,"")</f>
        <v>Bank of America</v>
      </c>
      <c r="F18" s="48" t="s">
        <v>10</v>
      </c>
      <c r="G18" s="48" t="s">
        <v>44</v>
      </c>
      <c r="H18" s="4" t="str">
        <f>IFERROR(_xlfn.XLOOKUP(G18,Listas!E:E,Listas!F:F,""),"")</f>
        <v>Operativo</v>
      </c>
      <c r="I18" s="4" t="str">
        <f>IFERROR(_xlfn.XLOOKUP(G18,Listas!E:E,Listas!G:G,""),"")</f>
        <v>Externo</v>
      </c>
      <c r="J18" s="50">
        <v>15</v>
      </c>
      <c r="K18" s="5">
        <f t="shared" si="0"/>
        <v>-15</v>
      </c>
      <c r="L18" s="6" t="s">
        <v>93</v>
      </c>
      <c r="M18" s="52">
        <f>SUMIFS('Saldos Iniciales'!$D$2:$D$38,'Saldos Iniciales'!$A$2:$A$38,C18,'Saldos Iniciales'!$B$2:$B$38,D18)+SUMIFS($K$1:$K$1048575,$C$1:$C$1048575,C18,$D$1:$D$1048575,D18,$B$1:$B$1048575,"&lt;="&amp;B18)</f>
        <v>22907.179999999964</v>
      </c>
      <c r="N18" s="30" t="str">
        <f>IF(tblMovimientos[[#This Row],[Tipo de Movimiento]]="Ingreso",tblMovimientos[[#This Row],[Monto (S/)]],"0")</f>
        <v>0</v>
      </c>
      <c r="O18" s="30">
        <f>IF(tblMovimientos[[#This Row],[Tipo de Movimiento]]="Egreso",tblMovimientos[[#This Row],[Monto (S/)]],"0")</f>
        <v>15</v>
      </c>
      <c r="P18" s="34">
        <f>IF(tblMovimientos[[#This Row],[Tipo de Movimiento]]="Ingreso",tblMovimientos[[#This Row],[Ingreso]],-tblMovimientos[[#This Row],[Egreso]])</f>
        <v>-15</v>
      </c>
    </row>
    <row r="19" spans="2:16" hidden="1" x14ac:dyDescent="0.3">
      <c r="B19" s="46">
        <v>46146</v>
      </c>
      <c r="C19" s="4" t="str">
        <f>_xlfn.XLOOKUP(tblMovimientos[[#This Row],[Cuenta Bancaria]],Listas!$B:$B,Listas!$A:$A,"")</f>
        <v>Go Blue</v>
      </c>
      <c r="D19" s="48" t="s">
        <v>126</v>
      </c>
      <c r="E19" s="4" t="str">
        <f>_xlfn.XLOOKUP(tblMovimientos[[#This Row],[Cuenta Bancaria]],Listas!$B:$B,Listas!$C:$C,"")</f>
        <v xml:space="preserve">Amerant Bank </v>
      </c>
      <c r="F19" s="48" t="s">
        <v>10</v>
      </c>
      <c r="G19" s="48" t="s">
        <v>38</v>
      </c>
      <c r="H19" s="4" t="str">
        <f>IFERROR(_xlfn.XLOOKUP(G19,Listas!E:E,Listas!F:F,""),"")</f>
        <v>Operativo</v>
      </c>
      <c r="I19" s="4" t="str">
        <f>IFERROR(_xlfn.XLOOKUP(G19,Listas!E:E,Listas!G:G,""),"")</f>
        <v>Externo</v>
      </c>
      <c r="J19" s="50">
        <v>1020</v>
      </c>
      <c r="K19" s="5">
        <f t="shared" si="0"/>
        <v>-1020</v>
      </c>
      <c r="L19" s="6" t="s">
        <v>93</v>
      </c>
      <c r="M19" s="52">
        <f>SUMIFS('Saldos Iniciales'!$D$2:$D$38,'Saldos Iniciales'!$A$2:$A$38,C19,'Saldos Iniciales'!$B$2:$B$38,D19)+SUMIFS($K$1:$K$1048575,$C$1:$C$1048575,C19,$D$1:$D$1048575,D19,$B$1:$B$1048575,"&lt;="&amp;B19)</f>
        <v>8782.25</v>
      </c>
      <c r="N19" s="30" t="str">
        <f>IF(tblMovimientos[[#This Row],[Tipo de Movimiento]]="Ingreso",tblMovimientos[[#This Row],[Monto (S/)]],"0")</f>
        <v>0</v>
      </c>
      <c r="O19" s="30">
        <f>IF(tblMovimientos[[#This Row],[Tipo de Movimiento]]="Egreso",tblMovimientos[[#This Row],[Monto (S/)]],"0")</f>
        <v>1020</v>
      </c>
      <c r="P19" s="34">
        <f>IF(tblMovimientos[[#This Row],[Tipo de Movimiento]]="Ingreso",tblMovimientos[[#This Row],[Ingreso]],-tblMovimientos[[#This Row],[Egreso]])</f>
        <v>-1020</v>
      </c>
    </row>
    <row r="20" spans="2:16" hidden="1" x14ac:dyDescent="0.3">
      <c r="B20" s="46">
        <v>46146</v>
      </c>
      <c r="C20" s="4" t="str">
        <f>_xlfn.XLOOKUP(tblMovimientos[[#This Row],[Cuenta Bancaria]],Listas!$B:$B,Listas!$A:$A,"")</f>
        <v>SSP Capital</v>
      </c>
      <c r="D20" s="48" t="s">
        <v>104</v>
      </c>
      <c r="E20" s="4" t="str">
        <f>_xlfn.XLOOKUP(tblMovimientos[[#This Row],[Cuenta Bancaria]],Listas!$B:$B,Listas!$C:$C,"")</f>
        <v xml:space="preserve">Amerant Bank </v>
      </c>
      <c r="F20" s="48" t="s">
        <v>9</v>
      </c>
      <c r="G20" s="48" t="s">
        <v>76</v>
      </c>
      <c r="H20" s="4" t="str">
        <f>IFERROR(_xlfn.XLOOKUP(G20,Listas!E:E,Listas!F:F,""),"")</f>
        <v>Financiamiento</v>
      </c>
      <c r="I20" s="4" t="str">
        <f>IFERROR(_xlfn.XLOOKUP(G20,Listas!E:E,Listas!G:G,""),"")</f>
        <v>Externo</v>
      </c>
      <c r="J20" s="50">
        <v>800000</v>
      </c>
      <c r="K20" s="5">
        <f t="shared" si="0"/>
        <v>800000</v>
      </c>
      <c r="L20" s="6" t="s">
        <v>93</v>
      </c>
      <c r="M20" s="52">
        <f>SUMIFS('Saldos Iniciales'!$D$2:$D$38,'Saldos Iniciales'!$A$2:$A$38,C20,'Saldos Iniciales'!$B$2:$B$38,D20)+SUMIFS($K$1:$K$1048575,$C$1:$C$1048575,C20,$D$1:$D$1048575,D20,$B$1:$B$1048575,"&lt;="&amp;B20)</f>
        <v>1019857.8199999994</v>
      </c>
      <c r="N20" s="30">
        <f>IF(tblMovimientos[[#This Row],[Tipo de Movimiento]]="Ingreso",tblMovimientos[[#This Row],[Monto (S/)]],"0")</f>
        <v>800000</v>
      </c>
      <c r="O20" s="30" t="str">
        <f>IF(tblMovimientos[[#This Row],[Tipo de Movimiento]]="Egreso",tblMovimientos[[#This Row],[Monto (S/)]],"0")</f>
        <v>0</v>
      </c>
      <c r="P20" s="34">
        <f>IF(tblMovimientos[[#This Row],[Tipo de Movimiento]]="Ingreso",tblMovimientos[[#This Row],[Ingreso]],-tblMovimientos[[#This Row],[Egreso]])</f>
        <v>800000</v>
      </c>
    </row>
    <row r="21" spans="2:16" hidden="1" x14ac:dyDescent="0.3">
      <c r="B21" s="46">
        <v>46146</v>
      </c>
      <c r="C21" s="4" t="str">
        <f>_xlfn.XLOOKUP(tblMovimientos[[#This Row],[Cuenta Bancaria]],Listas!$B:$B,Listas!$A:$A,"")</f>
        <v>Go Blue</v>
      </c>
      <c r="D21" s="48" t="s">
        <v>126</v>
      </c>
      <c r="E21" s="4" t="str">
        <f>_xlfn.XLOOKUP(tblMovimientos[[#This Row],[Cuenta Bancaria]],Listas!$B:$B,Listas!$C:$C,"")</f>
        <v xml:space="preserve">Amerant Bank </v>
      </c>
      <c r="F21" s="48" t="s">
        <v>10</v>
      </c>
      <c r="G21" s="48" t="s">
        <v>38</v>
      </c>
      <c r="H21" s="4" t="str">
        <f>IFERROR(_xlfn.XLOOKUP(G21,Listas!E:E,Listas!F:F,""),"")</f>
        <v>Operativo</v>
      </c>
      <c r="I21" s="4" t="str">
        <f>IFERROR(_xlfn.XLOOKUP(G21,Listas!E:E,Listas!G:G,""),"")</f>
        <v>Externo</v>
      </c>
      <c r="J21" s="50">
        <v>3689.01</v>
      </c>
      <c r="K21" s="5">
        <f t="shared" si="0"/>
        <v>-3689.01</v>
      </c>
      <c r="L21" s="6" t="s">
        <v>93</v>
      </c>
      <c r="M21" s="52">
        <f>SUMIFS('Saldos Iniciales'!$D$2:$D$38,'Saldos Iniciales'!$A$2:$A$38,C21,'Saldos Iniciales'!$B$2:$B$38,D21)+SUMIFS($K$1:$K$1048575,$C$1:$C$1048575,C21,$D$1:$D$1048575,D21,$B$1:$B$1048575,"&lt;="&amp;B21)</f>
        <v>8782.25</v>
      </c>
      <c r="N21" s="30" t="str">
        <f>IF(tblMovimientos[[#This Row],[Tipo de Movimiento]]="Ingreso",tblMovimientos[[#This Row],[Monto (S/)]],"0")</f>
        <v>0</v>
      </c>
      <c r="O21" s="30">
        <f>IF(tblMovimientos[[#This Row],[Tipo de Movimiento]]="Egreso",tblMovimientos[[#This Row],[Monto (S/)]],"0")</f>
        <v>3689.01</v>
      </c>
      <c r="P21" s="34">
        <f>IF(tblMovimientos[[#This Row],[Tipo de Movimiento]]="Ingreso",tblMovimientos[[#This Row],[Ingreso]],-tblMovimientos[[#This Row],[Egreso]])</f>
        <v>-3689.01</v>
      </c>
    </row>
    <row r="22" spans="2:16" hidden="1" x14ac:dyDescent="0.3">
      <c r="B22" s="46">
        <v>46147</v>
      </c>
      <c r="C22" s="4" t="str">
        <f>_xlfn.XLOOKUP(tblMovimientos[[#This Row],[Cuenta Bancaria]],Listas!$B:$B,Listas!$A:$A,"")</f>
        <v>SSP Capital</v>
      </c>
      <c r="D22" s="48" t="s">
        <v>101</v>
      </c>
      <c r="E22" s="4" t="str">
        <f>_xlfn.XLOOKUP(tblMovimientos[[#This Row],[Cuenta Bancaria]],Listas!$B:$B,Listas!$C:$C,"")</f>
        <v>Bank of America</v>
      </c>
      <c r="F22" s="48" t="s">
        <v>10</v>
      </c>
      <c r="G22" s="48" t="s">
        <v>38</v>
      </c>
      <c r="H22" s="4" t="str">
        <f>IFERROR(_xlfn.XLOOKUP(G22,Listas!E:E,Listas!F:F,""),"")</f>
        <v>Operativo</v>
      </c>
      <c r="I22" s="4" t="str">
        <f>IFERROR(_xlfn.XLOOKUP(G22,Listas!E:E,Listas!G:G,""),"")</f>
        <v>Externo</v>
      </c>
      <c r="J22" s="50">
        <v>695.29</v>
      </c>
      <c r="K22" s="5">
        <f t="shared" si="0"/>
        <v>-695.29</v>
      </c>
      <c r="L22" s="6" t="s">
        <v>93</v>
      </c>
      <c r="M22" s="52">
        <f>SUMIFS('Saldos Iniciales'!$D$2:$D$38,'Saldos Iniciales'!$A$2:$A$38,C22,'Saldos Iniciales'!$B$2:$B$38,D22)+SUMIFS($K$1:$K$1048575,$C$1:$C$1048575,C22,$D$1:$D$1048575,D22,$B$1:$B$1048575,"&lt;="&amp;B22)</f>
        <v>11683.89</v>
      </c>
      <c r="N22" s="30" t="str">
        <f>IF(tblMovimientos[[#This Row],[Tipo de Movimiento]]="Ingreso",tblMovimientos[[#This Row],[Monto (S/)]],"0")</f>
        <v>0</v>
      </c>
      <c r="O22" s="30">
        <f>IF(tblMovimientos[[#This Row],[Tipo de Movimiento]]="Egreso",tblMovimientos[[#This Row],[Monto (S/)]],"0")</f>
        <v>695.29</v>
      </c>
      <c r="P22" s="34">
        <f>IF(tblMovimientos[[#This Row],[Tipo de Movimiento]]="Ingreso",tblMovimientos[[#This Row],[Ingreso]],-tblMovimientos[[#This Row],[Egreso]])</f>
        <v>-695.29</v>
      </c>
    </row>
    <row r="23" spans="2:16" hidden="1" x14ac:dyDescent="0.3">
      <c r="B23" s="46">
        <v>46147</v>
      </c>
      <c r="C23" s="4" t="str">
        <f>_xlfn.XLOOKUP(tblMovimientos[[#This Row],[Cuenta Bancaria]],Listas!$B:$B,Listas!$A:$A,"")</f>
        <v>A&amp;M Imports</v>
      </c>
      <c r="D23" s="48" t="s">
        <v>100</v>
      </c>
      <c r="E23" s="4" t="str">
        <f>_xlfn.XLOOKUP(tblMovimientos[[#This Row],[Cuenta Bancaria]],Listas!$B:$B,Listas!$C:$C,"")</f>
        <v>Bank of America</v>
      </c>
      <c r="F23" s="48" t="s">
        <v>9</v>
      </c>
      <c r="G23" s="48" t="s">
        <v>71</v>
      </c>
      <c r="H23" s="4" t="str">
        <f>IFERROR(_xlfn.XLOOKUP(G23,Listas!E:E,Listas!F:F,""),"")</f>
        <v>Operativo</v>
      </c>
      <c r="I23" s="4" t="str">
        <f>IFERROR(_xlfn.XLOOKUP(G23,Listas!E:E,Listas!G:G,""),"")</f>
        <v>Interno</v>
      </c>
      <c r="J23" s="50">
        <v>700000</v>
      </c>
      <c r="K23" s="5">
        <f t="shared" si="0"/>
        <v>700000</v>
      </c>
      <c r="L23" s="6" t="s">
        <v>93</v>
      </c>
      <c r="M23" s="52">
        <f>SUMIFS('Saldos Iniciales'!$D$2:$D$38,'Saldos Iniciales'!$A$2:$A$38,C23,'Saldos Iniciales'!$B$2:$B$38,D23)+SUMIFS($K$1:$K$1048575,$C$1:$C$1048575,C23,$D$1:$D$1048575,D23,$B$1:$B$1048575,"&lt;="&amp;B23)</f>
        <v>989990.29999999993</v>
      </c>
      <c r="N23" s="30">
        <f>IF(tblMovimientos[[#This Row],[Tipo de Movimiento]]="Ingreso",tblMovimientos[[#This Row],[Monto (S/)]],"0")</f>
        <v>700000</v>
      </c>
      <c r="O23" s="30" t="str">
        <f>IF(tblMovimientos[[#This Row],[Tipo de Movimiento]]="Egreso",tblMovimientos[[#This Row],[Monto (S/)]],"0")</f>
        <v>0</v>
      </c>
      <c r="P23" s="34">
        <f>IF(tblMovimientos[[#This Row],[Tipo de Movimiento]]="Ingreso",tblMovimientos[[#This Row],[Ingreso]],-tblMovimientos[[#This Row],[Egreso]])</f>
        <v>700000</v>
      </c>
    </row>
    <row r="24" spans="2:16" hidden="1" x14ac:dyDescent="0.3">
      <c r="B24" s="46">
        <v>46147</v>
      </c>
      <c r="C24" s="4" t="str">
        <f>_xlfn.XLOOKUP(tblMovimientos[[#This Row],[Cuenta Bancaria]],Listas!$B:$B,Listas!$A:$A,"")</f>
        <v>A&amp;M Imports</v>
      </c>
      <c r="D24" s="48" t="s">
        <v>100</v>
      </c>
      <c r="E24" s="4" t="str">
        <f>_xlfn.XLOOKUP(tblMovimientos[[#This Row],[Cuenta Bancaria]],Listas!$B:$B,Listas!$C:$C,"")</f>
        <v>Bank of America</v>
      </c>
      <c r="F24" s="48" t="s">
        <v>9</v>
      </c>
      <c r="G24" s="48" t="s">
        <v>70</v>
      </c>
      <c r="H24" s="4" t="str">
        <f>IFERROR(_xlfn.XLOOKUP(G24,Listas!E:E,Listas!F:F,""),"")</f>
        <v>Operativo</v>
      </c>
      <c r="I24" s="4" t="str">
        <f>IFERROR(_xlfn.XLOOKUP(G24,Listas!E:E,Listas!G:G,""),"")</f>
        <v>Externo</v>
      </c>
      <c r="J24" s="50">
        <v>500000</v>
      </c>
      <c r="K24" s="5">
        <f t="shared" si="0"/>
        <v>500000</v>
      </c>
      <c r="L24" s="6" t="s">
        <v>93</v>
      </c>
      <c r="M24" s="52">
        <f>SUMIFS('Saldos Iniciales'!$D$2:$D$38,'Saldos Iniciales'!$A$2:$A$38,C24,'Saldos Iniciales'!$B$2:$B$38,D24)+SUMIFS($K$1:$K$1048575,$C$1:$C$1048575,C24,$D$1:$D$1048575,D24,$B$1:$B$1048575,"&lt;="&amp;B24)</f>
        <v>989990.29999999993</v>
      </c>
      <c r="N24" s="30">
        <f>IF(tblMovimientos[[#This Row],[Tipo de Movimiento]]="Ingreso",tblMovimientos[[#This Row],[Monto (S/)]],"0")</f>
        <v>500000</v>
      </c>
      <c r="O24" s="30" t="str">
        <f>IF(tblMovimientos[[#This Row],[Tipo de Movimiento]]="Egreso",tblMovimientos[[#This Row],[Monto (S/)]],"0")</f>
        <v>0</v>
      </c>
      <c r="P24" s="34">
        <f>IF(tblMovimientos[[#This Row],[Tipo de Movimiento]]="Ingreso",tblMovimientos[[#This Row],[Ingreso]],-tblMovimientos[[#This Row],[Egreso]])</f>
        <v>500000</v>
      </c>
    </row>
    <row r="25" spans="2:16" hidden="1" x14ac:dyDescent="0.3">
      <c r="B25" s="47">
        <v>46147</v>
      </c>
      <c r="C25" s="4" t="str">
        <f>_xlfn.XLOOKUP(tblMovimientos[[#This Row],[Cuenta Bancaria]],Listas!$B:$B,Listas!$A:$A,"")</f>
        <v>A&amp;M Imports</v>
      </c>
      <c r="D25" s="48" t="s">
        <v>100</v>
      </c>
      <c r="E25" s="4" t="str">
        <f>_xlfn.XLOOKUP(tblMovimientos[[#This Row],[Cuenta Bancaria]],Listas!$B:$B,Listas!$C:$C,"")</f>
        <v>Bank of America</v>
      </c>
      <c r="F25" s="49" t="s">
        <v>10</v>
      </c>
      <c r="G25" s="48" t="s">
        <v>59</v>
      </c>
      <c r="H25" s="4" t="str">
        <f>IFERROR(_xlfn.XLOOKUP(G25,Listas!E:E,Listas!F:F,""),"")</f>
        <v>Inversion</v>
      </c>
      <c r="I25" s="4" t="str">
        <f>IFERROR(_xlfn.XLOOKUP(G25,Listas!E:E,Listas!G:G,""),"")</f>
        <v>Externo</v>
      </c>
      <c r="J25" s="51">
        <v>800000</v>
      </c>
      <c r="K25" s="5">
        <f t="shared" si="0"/>
        <v>-800000</v>
      </c>
      <c r="L25" s="6" t="s">
        <v>93</v>
      </c>
      <c r="M25" s="52">
        <f>SUMIFS('Saldos Iniciales'!$D$2:$D$38,'Saldos Iniciales'!$A$2:$A$38,C25,'Saldos Iniciales'!$B$2:$B$38,D25)+SUMIFS($K$1:$K$1048575,$C$1:$C$1048575,C25,$D$1:$D$1048575,D25,$B$1:$B$1048575,"&lt;="&amp;B25)</f>
        <v>989990.29999999993</v>
      </c>
      <c r="N25" s="30" t="str">
        <f>IF(tblMovimientos[[#This Row],[Tipo de Movimiento]]="Ingreso",tblMovimientos[[#This Row],[Monto (S/)]],"0")</f>
        <v>0</v>
      </c>
      <c r="O25" s="30">
        <f>IF(tblMovimientos[[#This Row],[Tipo de Movimiento]]="Egreso",tblMovimientos[[#This Row],[Monto (S/)]],"0")</f>
        <v>800000</v>
      </c>
      <c r="P25" s="34">
        <f>IF(tblMovimientos[[#This Row],[Tipo de Movimiento]]="Ingreso",tblMovimientos[[#This Row],[Ingreso]],-tblMovimientos[[#This Row],[Egreso]])</f>
        <v>-800000</v>
      </c>
    </row>
    <row r="26" spans="2:16" hidden="1" x14ac:dyDescent="0.3">
      <c r="B26" s="47">
        <v>46147</v>
      </c>
      <c r="C26" s="4" t="str">
        <f>_xlfn.XLOOKUP(tblMovimientos[[#This Row],[Cuenta Bancaria]],Listas!$B:$B,Listas!$A:$A,"")</f>
        <v>CFT Group</v>
      </c>
      <c r="D26" s="48" t="s">
        <v>94</v>
      </c>
      <c r="E26" s="4" t="str">
        <f>_xlfn.XLOOKUP(tblMovimientos[[#This Row],[Cuenta Bancaria]],Listas!$B:$B,Listas!$C:$C,"")</f>
        <v>Bank of America</v>
      </c>
      <c r="F26" s="49" t="s">
        <v>10</v>
      </c>
      <c r="G26" s="48" t="s">
        <v>64</v>
      </c>
      <c r="H26" s="4" t="str">
        <f>IFERROR(_xlfn.XLOOKUP(G26,Listas!E:E,Listas!F:F,""),"")</f>
        <v>Operativo</v>
      </c>
      <c r="I26" s="4" t="str">
        <f>IFERROR(_xlfn.XLOOKUP(G26,Listas!E:E,Listas!G:G,""),"")</f>
        <v>Interno</v>
      </c>
      <c r="J26" s="51">
        <v>110000</v>
      </c>
      <c r="K26" s="5">
        <f t="shared" si="0"/>
        <v>-110000</v>
      </c>
      <c r="L26" s="6" t="s">
        <v>93</v>
      </c>
      <c r="M26" s="52">
        <f>SUMIFS('Saldos Iniciales'!$D$2:$D$38,'Saldos Iniciales'!$A$2:$A$38,C26,'Saldos Iniciales'!$B$2:$B$38,D26)+SUMIFS($K$1:$K$1048575,$C$1:$C$1048575,C26,$D$1:$D$1048575,D26,$B$1:$B$1048575,"&lt;="&amp;B26)</f>
        <v>22689.049999999988</v>
      </c>
      <c r="N26" s="30" t="str">
        <f>IF(tblMovimientos[[#This Row],[Tipo de Movimiento]]="Ingreso",tblMovimientos[[#This Row],[Monto (S/)]],"0")</f>
        <v>0</v>
      </c>
      <c r="O26" s="30">
        <f>IF(tblMovimientos[[#This Row],[Tipo de Movimiento]]="Egreso",tblMovimientos[[#This Row],[Monto (S/)]],"0")</f>
        <v>110000</v>
      </c>
      <c r="P26" s="34">
        <f>IF(tblMovimientos[[#This Row],[Tipo de Movimiento]]="Ingreso",tblMovimientos[[#This Row],[Ingreso]],-tblMovimientos[[#This Row],[Egreso]])</f>
        <v>-110000</v>
      </c>
    </row>
    <row r="27" spans="2:16" hidden="1" x14ac:dyDescent="0.3">
      <c r="B27" s="47">
        <v>46147</v>
      </c>
      <c r="C27" s="4" t="str">
        <f>_xlfn.XLOOKUP(tblMovimientos[[#This Row],[Cuenta Bancaria]],Listas!$B:$B,Listas!$A:$A,"")</f>
        <v>CFT Group</v>
      </c>
      <c r="D27" s="48" t="s">
        <v>95</v>
      </c>
      <c r="E27" s="4" t="str">
        <f>_xlfn.XLOOKUP(tblMovimientos[[#This Row],[Cuenta Bancaria]],Listas!$B:$B,Listas!$C:$C,"")</f>
        <v xml:space="preserve">Amerant Bank </v>
      </c>
      <c r="F27" s="49" t="s">
        <v>9</v>
      </c>
      <c r="G27" s="48" t="s">
        <v>85</v>
      </c>
      <c r="H27" s="4" t="str">
        <f>IFERROR(_xlfn.XLOOKUP(G27,Listas!E:E,Listas!F:F,""),"")</f>
        <v>Operativo</v>
      </c>
      <c r="I27" s="4" t="str">
        <f>IFERROR(_xlfn.XLOOKUP(G27,Listas!E:E,Listas!G:G,""),"")</f>
        <v>Interno</v>
      </c>
      <c r="J27" s="51">
        <v>110000</v>
      </c>
      <c r="K27" s="5">
        <f t="shared" si="0"/>
        <v>110000</v>
      </c>
      <c r="L27" s="6" t="s">
        <v>93</v>
      </c>
      <c r="M27" s="52">
        <f>SUMIFS('Saldos Iniciales'!$D$2:$D$38,'Saldos Iniciales'!$A$2:$A$38,C27,'Saldos Iniciales'!$B$2:$B$38,D27)+SUMIFS($K$1:$K$1048575,$C$1:$C$1048575,C27,$D$1:$D$1048575,D27,$B$1:$B$1048575,"&lt;="&amp;B27)</f>
        <v>169799.53000000026</v>
      </c>
      <c r="N27" s="30">
        <f>IF(tblMovimientos[[#This Row],[Tipo de Movimiento]]="Ingreso",tblMovimientos[[#This Row],[Monto (S/)]],"0")</f>
        <v>110000</v>
      </c>
      <c r="O27" s="30" t="str">
        <f>IF(tblMovimientos[[#This Row],[Tipo de Movimiento]]="Egreso",tblMovimientos[[#This Row],[Monto (S/)]],"0")</f>
        <v>0</v>
      </c>
      <c r="P27" s="34">
        <f>IF(tblMovimientos[[#This Row],[Tipo de Movimiento]]="Ingreso",tblMovimientos[[#This Row],[Ingreso]],-tblMovimientos[[#This Row],[Egreso]])</f>
        <v>110000</v>
      </c>
    </row>
    <row r="28" spans="2:16" hidden="1" x14ac:dyDescent="0.3">
      <c r="B28" s="47">
        <v>46147</v>
      </c>
      <c r="C28" s="4" t="str">
        <f>_xlfn.XLOOKUP(tblMovimientos[[#This Row],[Cuenta Bancaria]],Listas!$B:$B,Listas!$A:$A,"")</f>
        <v>CFT Group</v>
      </c>
      <c r="D28" s="48" t="s">
        <v>95</v>
      </c>
      <c r="E28" s="4" t="str">
        <f>_xlfn.XLOOKUP(tblMovimientos[[#This Row],[Cuenta Bancaria]],Listas!$B:$B,Listas!$C:$C,"")</f>
        <v xml:space="preserve">Amerant Bank </v>
      </c>
      <c r="F28" s="49" t="s">
        <v>10</v>
      </c>
      <c r="G28" s="48" t="s">
        <v>62</v>
      </c>
      <c r="H28" s="4" t="str">
        <f>IFERROR(_xlfn.XLOOKUP(G28,Listas!E:E,Listas!F:F,""),"")</f>
        <v>Operativo</v>
      </c>
      <c r="I28" s="4" t="str">
        <f>IFERROR(_xlfn.XLOOKUP(G28,Listas!E:E,Listas!G:G,""),"")</f>
        <v>Interno</v>
      </c>
      <c r="J28" s="51">
        <v>3000</v>
      </c>
      <c r="K28" s="5">
        <f t="shared" si="0"/>
        <v>-3000</v>
      </c>
      <c r="L28" s="6" t="s">
        <v>93</v>
      </c>
      <c r="M28" s="52">
        <f>SUMIFS('Saldos Iniciales'!$D$2:$D$38,'Saldos Iniciales'!$A$2:$A$38,C28,'Saldos Iniciales'!$B$2:$B$38,D28)+SUMIFS($K$1:$K$1048575,$C$1:$C$1048575,C28,$D$1:$D$1048575,D28,$B$1:$B$1048575,"&lt;="&amp;B28)</f>
        <v>169799.53000000026</v>
      </c>
      <c r="N28" s="30" t="str">
        <f>IF(tblMovimientos[[#This Row],[Tipo de Movimiento]]="Ingreso",tblMovimientos[[#This Row],[Monto (S/)]],"0")</f>
        <v>0</v>
      </c>
      <c r="O28" s="30">
        <f>IF(tblMovimientos[[#This Row],[Tipo de Movimiento]]="Egreso",tblMovimientos[[#This Row],[Monto (S/)]],"0")</f>
        <v>3000</v>
      </c>
      <c r="P28" s="34">
        <f>IF(tblMovimientos[[#This Row],[Tipo de Movimiento]]="Ingreso",tblMovimientos[[#This Row],[Ingreso]],-tblMovimientos[[#This Row],[Egreso]])</f>
        <v>-3000</v>
      </c>
    </row>
    <row r="29" spans="2:16" hidden="1" x14ac:dyDescent="0.3">
      <c r="B29" s="47">
        <v>46147</v>
      </c>
      <c r="C29" s="4" t="str">
        <f>_xlfn.XLOOKUP(tblMovimientos[[#This Row],[Cuenta Bancaria]],Listas!$B:$B,Listas!$A:$A,"")</f>
        <v>Cross Family Trust</v>
      </c>
      <c r="D29" s="48" t="s">
        <v>111</v>
      </c>
      <c r="E29" s="4" t="str">
        <f>_xlfn.XLOOKUP(tblMovimientos[[#This Row],[Cuenta Bancaria]],Listas!$B:$B,Listas!$C:$C,"")</f>
        <v xml:space="preserve">Amerant Bank </v>
      </c>
      <c r="F29" s="49" t="s">
        <v>10</v>
      </c>
      <c r="G29" s="48" t="s">
        <v>65</v>
      </c>
      <c r="H29" s="4" t="str">
        <f>IFERROR(_xlfn.XLOOKUP(G29,Listas!E:E,Listas!F:F,""),"")</f>
        <v>Operativo</v>
      </c>
      <c r="I29" s="4" t="str">
        <f>IFERROR(_xlfn.XLOOKUP(G29,Listas!E:E,Listas!G:G,""),"")</f>
        <v>Externo</v>
      </c>
      <c r="J29" s="51">
        <v>15000</v>
      </c>
      <c r="K29" s="5">
        <f t="shared" si="0"/>
        <v>-15000</v>
      </c>
      <c r="L29" s="6" t="s">
        <v>93</v>
      </c>
      <c r="M29" s="52">
        <f>SUMIFS('Saldos Iniciales'!$D$2:$D$38,'Saldos Iniciales'!$A$2:$A$38,C29,'Saldos Iniciales'!$B$2:$B$38,D29)+SUMIFS($K$1:$K$1048575,$C$1:$C$1048575,C29,$D$1:$D$1048575,D29,$B$1:$B$1048575,"&lt;="&amp;B29)</f>
        <v>50717.600000000006</v>
      </c>
      <c r="N29" s="30" t="str">
        <f>IF(tblMovimientos[[#This Row],[Tipo de Movimiento]]="Ingreso",tblMovimientos[[#This Row],[Monto (S/)]],"0")</f>
        <v>0</v>
      </c>
      <c r="O29" s="30">
        <f>IF(tblMovimientos[[#This Row],[Tipo de Movimiento]]="Egreso",tblMovimientos[[#This Row],[Monto (S/)]],"0")</f>
        <v>15000</v>
      </c>
      <c r="P29" s="34">
        <f>IF(tblMovimientos[[#This Row],[Tipo de Movimiento]]="Ingreso",tblMovimientos[[#This Row],[Ingreso]],-tblMovimientos[[#This Row],[Egreso]])</f>
        <v>-15000</v>
      </c>
    </row>
    <row r="30" spans="2:16" hidden="1" x14ac:dyDescent="0.3">
      <c r="B30" s="47">
        <v>46147</v>
      </c>
      <c r="C30" s="4" t="str">
        <f>_xlfn.XLOOKUP(tblMovimientos[[#This Row],[Cuenta Bancaria]],Listas!$B:$B,Listas!$A:$A,"")</f>
        <v>SSP Capital</v>
      </c>
      <c r="D30" s="48" t="s">
        <v>104</v>
      </c>
      <c r="E30" s="4" t="str">
        <f>_xlfn.XLOOKUP(tblMovimientos[[#This Row],[Cuenta Bancaria]],Listas!$B:$B,Listas!$C:$C,"")</f>
        <v xml:space="preserve">Amerant Bank </v>
      </c>
      <c r="F30" s="49" t="s">
        <v>10</v>
      </c>
      <c r="G30" s="48" t="s">
        <v>38</v>
      </c>
      <c r="H30" s="4" t="str">
        <f>IFERROR(_xlfn.XLOOKUP(G30,Listas!E:E,Listas!F:F,""),"")</f>
        <v>Operativo</v>
      </c>
      <c r="I30" s="4" t="str">
        <f>IFERROR(_xlfn.XLOOKUP(G30,Listas!E:E,Listas!G:G,""),"")</f>
        <v>Externo</v>
      </c>
      <c r="J30" s="51">
        <v>800</v>
      </c>
      <c r="K30" s="5">
        <f t="shared" si="0"/>
        <v>-800</v>
      </c>
      <c r="L30" s="6" t="s">
        <v>93</v>
      </c>
      <c r="M30" s="52">
        <f>SUMIFS('Saldos Iniciales'!$D$2:$D$38,'Saldos Iniciales'!$A$2:$A$38,C30,'Saldos Iniciales'!$B$2:$B$38,D30)+SUMIFS($K$1:$K$1048575,$C$1:$C$1048575,C30,$D$1:$D$1048575,D30,$B$1:$B$1048575,"&lt;="&amp;B30)</f>
        <v>319057.81999999937</v>
      </c>
      <c r="N30" s="30" t="str">
        <f>IF(tblMovimientos[[#This Row],[Tipo de Movimiento]]="Ingreso",tblMovimientos[[#This Row],[Monto (S/)]],"0")</f>
        <v>0</v>
      </c>
      <c r="O30" s="30">
        <f>IF(tblMovimientos[[#This Row],[Tipo de Movimiento]]="Egreso",tblMovimientos[[#This Row],[Monto (S/)]],"0")</f>
        <v>800</v>
      </c>
      <c r="P30" s="34">
        <f>IF(tblMovimientos[[#This Row],[Tipo de Movimiento]]="Ingreso",tblMovimientos[[#This Row],[Ingreso]],-tblMovimientos[[#This Row],[Egreso]])</f>
        <v>-800</v>
      </c>
    </row>
    <row r="31" spans="2:16" hidden="1" x14ac:dyDescent="0.3">
      <c r="B31" s="47">
        <v>46147</v>
      </c>
      <c r="C31" s="4" t="str">
        <f>_xlfn.XLOOKUP(tblMovimientos[[#This Row],[Cuenta Bancaria]],Listas!$B:$B,Listas!$A:$A,"")</f>
        <v>SSP Capital</v>
      </c>
      <c r="D31" s="48" t="s">
        <v>104</v>
      </c>
      <c r="E31" s="4" t="str">
        <f>_xlfn.XLOOKUP(tblMovimientos[[#This Row],[Cuenta Bancaria]],Listas!$B:$B,Listas!$C:$C,"")</f>
        <v xml:space="preserve">Amerant Bank </v>
      </c>
      <c r="F31" s="49" t="s">
        <v>10</v>
      </c>
      <c r="G31" s="48" t="s">
        <v>50</v>
      </c>
      <c r="H31" s="4" t="str">
        <f>IFERROR(_xlfn.XLOOKUP(G31,Listas!E:E,Listas!F:F,""),"")</f>
        <v>Financiamiento</v>
      </c>
      <c r="I31" s="4" t="str">
        <f>IFERROR(_xlfn.XLOOKUP(G31,Listas!E:E,Listas!G:G,""),"")</f>
        <v>Externo</v>
      </c>
      <c r="J31" s="51">
        <v>700000</v>
      </c>
      <c r="K31" s="5">
        <f t="shared" si="0"/>
        <v>-700000</v>
      </c>
      <c r="L31" s="6" t="s">
        <v>93</v>
      </c>
      <c r="M31" s="52">
        <f>SUMIFS('Saldos Iniciales'!$D$2:$D$38,'Saldos Iniciales'!$A$2:$A$38,C31,'Saldos Iniciales'!$B$2:$B$38,D31)+SUMIFS($K$1:$K$1048575,$C$1:$C$1048575,C31,$D$1:$D$1048575,D31,$B$1:$B$1048575,"&lt;="&amp;B31)</f>
        <v>319057.81999999937</v>
      </c>
      <c r="N31" s="30" t="str">
        <f>IF(tblMovimientos[[#This Row],[Tipo de Movimiento]]="Ingreso",tblMovimientos[[#This Row],[Monto (S/)]],"0")</f>
        <v>0</v>
      </c>
      <c r="O31" s="30">
        <f>IF(tblMovimientos[[#This Row],[Tipo de Movimiento]]="Egreso",tblMovimientos[[#This Row],[Monto (S/)]],"0")</f>
        <v>700000</v>
      </c>
      <c r="P31" s="34">
        <f>IF(tblMovimientos[[#This Row],[Tipo de Movimiento]]="Ingreso",tblMovimientos[[#This Row],[Ingreso]],-tblMovimientos[[#This Row],[Egreso]])</f>
        <v>-700000</v>
      </c>
    </row>
    <row r="32" spans="2:16" hidden="1" x14ac:dyDescent="0.3">
      <c r="B32" s="47">
        <v>46147</v>
      </c>
      <c r="C32" s="4" t="str">
        <f>_xlfn.XLOOKUP(tblMovimientos[[#This Row],[Cuenta Bancaria]],Listas!$B:$B,Listas!$A:$A,"")</f>
        <v>Cross Security Trust</v>
      </c>
      <c r="D32" s="48" t="s">
        <v>112</v>
      </c>
      <c r="E32" s="4" t="str">
        <f>_xlfn.XLOOKUP(tblMovimientos[[#This Row],[Cuenta Bancaria]],Listas!$B:$B,Listas!$C:$C,"")</f>
        <v>Bank of America</v>
      </c>
      <c r="F32" s="49" t="s">
        <v>9</v>
      </c>
      <c r="G32" s="48"/>
      <c r="H32" s="4">
        <f>IFERROR(_xlfn.XLOOKUP(G32,Listas!E:E,Listas!F:F,""),"")</f>
        <v>0</v>
      </c>
      <c r="I32" s="4">
        <f>IFERROR(_xlfn.XLOOKUP(G32,Listas!E:E,Listas!G:G,""),"")</f>
        <v>0</v>
      </c>
      <c r="J32" s="51">
        <v>800000</v>
      </c>
      <c r="K32" s="5">
        <f t="shared" si="0"/>
        <v>800000</v>
      </c>
      <c r="L32" s="6" t="s">
        <v>93</v>
      </c>
      <c r="M32" s="52">
        <f>SUMIFS('Saldos Iniciales'!$D$2:$D$38,'Saldos Iniciales'!$A$2:$A$38,C32,'Saldos Iniciales'!$B$2:$B$38,D32)+SUMIFS($K$1:$K$1048575,$C$1:$C$1048575,C32,$D$1:$D$1048575,D32,$B$1:$B$1048575,"&lt;="&amp;B32)</f>
        <v>813088.59</v>
      </c>
      <c r="N32" s="30">
        <f>IF(tblMovimientos[[#This Row],[Tipo de Movimiento]]="Ingreso",tblMovimientos[[#This Row],[Monto (S/)]],"0")</f>
        <v>800000</v>
      </c>
      <c r="O32" s="30" t="str">
        <f>IF(tblMovimientos[[#This Row],[Tipo de Movimiento]]="Egreso",tblMovimientos[[#This Row],[Monto (S/)]],"0")</f>
        <v>0</v>
      </c>
      <c r="P32" s="34">
        <f>IF(tblMovimientos[[#This Row],[Tipo de Movimiento]]="Ingreso",tblMovimientos[[#This Row],[Ingreso]],-tblMovimientos[[#This Row],[Egreso]])</f>
        <v>800000</v>
      </c>
    </row>
    <row r="33" spans="2:16" hidden="1" x14ac:dyDescent="0.3">
      <c r="B33" s="47">
        <v>46147</v>
      </c>
      <c r="C33" s="4" t="str">
        <f>_xlfn.XLOOKUP(tblMovimientos[[#This Row],[Cuenta Bancaria]],Listas!$B:$B,Listas!$A:$A,"")</f>
        <v>Electrama</v>
      </c>
      <c r="D33" s="48" t="s">
        <v>113</v>
      </c>
      <c r="E33" s="4" t="str">
        <f>_xlfn.XLOOKUP(tblMovimientos[[#This Row],[Cuenta Bancaria]],Listas!$B:$B,Listas!$C:$C,"")</f>
        <v>Chase Bank</v>
      </c>
      <c r="F33" s="49" t="s">
        <v>9</v>
      </c>
      <c r="G33" s="48"/>
      <c r="H33" s="4">
        <f>IFERROR(_xlfn.XLOOKUP(G33,Listas!E:E,Listas!F:F,""),"")</f>
        <v>0</v>
      </c>
      <c r="I33" s="4">
        <f>IFERROR(_xlfn.XLOOKUP(G33,Listas!E:E,Listas!G:G,""),"")</f>
        <v>0</v>
      </c>
      <c r="J33" s="51">
        <v>3000</v>
      </c>
      <c r="K33" s="5">
        <f t="shared" si="0"/>
        <v>3000</v>
      </c>
      <c r="L33" s="6" t="s">
        <v>93</v>
      </c>
      <c r="M33" s="52">
        <f>SUMIFS('Saldos Iniciales'!$D$2:$D$38,'Saldos Iniciales'!$A$2:$A$38,C33,'Saldos Iniciales'!$B$2:$B$38,D33)+SUMIFS($K$1:$K$1048575,$C$1:$C$1048575,C33,$D$1:$D$1048575,D33,$B$1:$B$1048575,"&lt;="&amp;B33)</f>
        <v>3768.83</v>
      </c>
      <c r="N33" s="30">
        <f>IF(tblMovimientos[[#This Row],[Tipo de Movimiento]]="Ingreso",tblMovimientos[[#This Row],[Monto (S/)]],"0")</f>
        <v>3000</v>
      </c>
      <c r="O33" s="30" t="str">
        <f>IF(tblMovimientos[[#This Row],[Tipo de Movimiento]]="Egreso",tblMovimientos[[#This Row],[Monto (S/)]],"0")</f>
        <v>0</v>
      </c>
      <c r="P33" s="34">
        <f>IF(tblMovimientos[[#This Row],[Tipo de Movimiento]]="Ingreso",tblMovimientos[[#This Row],[Ingreso]],-tblMovimientos[[#This Row],[Egreso]])</f>
        <v>3000</v>
      </c>
    </row>
    <row r="34" spans="2:16" hidden="1" x14ac:dyDescent="0.3">
      <c r="B34" s="47">
        <v>46147</v>
      </c>
      <c r="C34" s="4" t="str">
        <f>_xlfn.XLOOKUP(tblMovimientos[[#This Row],[Cuenta Bancaria]],Listas!$B:$B,Listas!$A:$A,"")</f>
        <v>Electrama</v>
      </c>
      <c r="D34" s="48" t="s">
        <v>113</v>
      </c>
      <c r="E34" s="4" t="str">
        <f>_xlfn.XLOOKUP(tblMovimientos[[#This Row],[Cuenta Bancaria]],Listas!$B:$B,Listas!$C:$C,"")</f>
        <v>Chase Bank</v>
      </c>
      <c r="F34" s="49" t="s">
        <v>10</v>
      </c>
      <c r="G34" s="48"/>
      <c r="H34" s="4">
        <f>IFERROR(_xlfn.XLOOKUP(G34,Listas!E:E,Listas!F:F,""),"")</f>
        <v>0</v>
      </c>
      <c r="I34" s="4">
        <f>IFERROR(_xlfn.XLOOKUP(G34,Listas!E:E,Listas!G:G,""),"")</f>
        <v>0</v>
      </c>
      <c r="J34" s="51">
        <v>40</v>
      </c>
      <c r="K34" s="5">
        <f t="shared" si="0"/>
        <v>-40</v>
      </c>
      <c r="L34" s="6" t="s">
        <v>93</v>
      </c>
      <c r="M34" s="52">
        <f>SUMIFS('Saldos Iniciales'!$D$2:$D$38,'Saldos Iniciales'!$A$2:$A$38,C34,'Saldos Iniciales'!$B$2:$B$38,D34)+SUMIFS($K$1:$K$1048575,$C$1:$C$1048575,C34,$D$1:$D$1048575,D34,$B$1:$B$1048575,"&lt;="&amp;B34)</f>
        <v>3768.83</v>
      </c>
      <c r="N34" s="30" t="str">
        <f>IF(tblMovimientos[[#This Row],[Tipo de Movimiento]]="Ingreso",tblMovimientos[[#This Row],[Monto (S/)]],"0")</f>
        <v>0</v>
      </c>
      <c r="O34" s="30">
        <f>IF(tblMovimientos[[#This Row],[Tipo de Movimiento]]="Egreso",tblMovimientos[[#This Row],[Monto (S/)]],"0")</f>
        <v>40</v>
      </c>
      <c r="P34" s="34">
        <f>IF(tblMovimientos[[#This Row],[Tipo de Movimiento]]="Ingreso",tblMovimientos[[#This Row],[Ingreso]],-tblMovimientos[[#This Row],[Egreso]])</f>
        <v>-40</v>
      </c>
    </row>
    <row r="35" spans="2:16" hidden="1" x14ac:dyDescent="0.3">
      <c r="B35" s="47">
        <v>46148</v>
      </c>
      <c r="C35" s="4" t="str">
        <f>_xlfn.XLOOKUP(tblMovimientos[[#This Row],[Cuenta Bancaria]],Listas!$B:$B,Listas!$A:$A,"")</f>
        <v>SSP Capital</v>
      </c>
      <c r="D35" s="48" t="s">
        <v>101</v>
      </c>
      <c r="E35" s="4" t="str">
        <f>_xlfn.XLOOKUP(tblMovimientos[[#This Row],[Cuenta Bancaria]],Listas!$B:$B,Listas!$C:$C,"")</f>
        <v>Bank of America</v>
      </c>
      <c r="F35" s="49" t="s">
        <v>10</v>
      </c>
      <c r="G35" s="48" t="s">
        <v>41</v>
      </c>
      <c r="H35" s="4" t="str">
        <f>IFERROR(_xlfn.XLOOKUP(G35,Listas!E:E,Listas!F:F,""),"")</f>
        <v>Operativo</v>
      </c>
      <c r="I35" s="4" t="str">
        <f>IFERROR(_xlfn.XLOOKUP(G35,Listas!E:E,Listas!G:G,""),"")</f>
        <v>Externo</v>
      </c>
      <c r="J35" s="51">
        <v>7679.78</v>
      </c>
      <c r="K35" s="5">
        <f t="shared" si="0"/>
        <v>-7679.78</v>
      </c>
      <c r="L35" s="6" t="s">
        <v>93</v>
      </c>
      <c r="M35" s="52">
        <f>SUMIFS('Saldos Iniciales'!$D$2:$D$38,'Saldos Iniciales'!$A$2:$A$38,C35,'Saldos Iniciales'!$B$2:$B$38,D35)+SUMIFS($K$1:$K$1048575,$C$1:$C$1048575,C35,$D$1:$D$1048575,D35,$B$1:$B$1048575,"&lt;="&amp;B35)</f>
        <v>4004.1100000000006</v>
      </c>
      <c r="N35" s="30" t="str">
        <f>IF(tblMovimientos[[#This Row],[Tipo de Movimiento]]="Ingreso",tblMovimientos[[#This Row],[Monto (S/)]],"0")</f>
        <v>0</v>
      </c>
      <c r="O35" s="30">
        <f>IF(tblMovimientos[[#This Row],[Tipo de Movimiento]]="Egreso",tblMovimientos[[#This Row],[Monto (S/)]],"0")</f>
        <v>7679.78</v>
      </c>
      <c r="P35" s="34">
        <f>IF(tblMovimientos[[#This Row],[Tipo de Movimiento]]="Ingreso",tblMovimientos[[#This Row],[Ingreso]],-tblMovimientos[[#This Row],[Egreso]])</f>
        <v>-7679.78</v>
      </c>
    </row>
    <row r="36" spans="2:16" hidden="1" x14ac:dyDescent="0.3">
      <c r="B36" s="47">
        <v>46148</v>
      </c>
      <c r="C36" s="4" t="str">
        <f>_xlfn.XLOOKUP(tblMovimientos[[#This Row],[Cuenta Bancaria]],Listas!$B:$B,Listas!$A:$A,"")</f>
        <v>112 Florida Ave</v>
      </c>
      <c r="D36" s="48" t="s">
        <v>123</v>
      </c>
      <c r="E36" s="4" t="str">
        <f>_xlfn.XLOOKUP(tblMovimientos[[#This Row],[Cuenta Bancaria]],Listas!$B:$B,Listas!$C:$C,"")</f>
        <v>Bank of America</v>
      </c>
      <c r="F36" s="49" t="s">
        <v>10</v>
      </c>
      <c r="G36" s="48" t="s">
        <v>38</v>
      </c>
      <c r="H36" s="4" t="str">
        <f>IFERROR(_xlfn.XLOOKUP(G36,Listas!E:E,Listas!F:F,""),"")</f>
        <v>Operativo</v>
      </c>
      <c r="I36" s="4" t="str">
        <f>IFERROR(_xlfn.XLOOKUP(G36,Listas!E:E,Listas!G:G,""),"")</f>
        <v>Externo</v>
      </c>
      <c r="J36" s="51">
        <v>1718.85</v>
      </c>
      <c r="K36" s="5">
        <f t="shared" si="0"/>
        <v>-1718.85</v>
      </c>
      <c r="L36" s="6" t="s">
        <v>93</v>
      </c>
      <c r="M36" s="52">
        <f>SUMIFS('Saldos Iniciales'!$D$2:$D$38,'Saldos Iniciales'!$A$2:$A$38,C36,'Saldos Iniciales'!$B$2:$B$38,D36)+SUMIFS($K$1:$K$1048575,$C$1:$C$1048575,C36,$D$1:$D$1048575,D36,$B$1:$B$1048575,"&lt;="&amp;B36)</f>
        <v>5135.0600000000013</v>
      </c>
      <c r="N36" s="30" t="str">
        <f>IF(tblMovimientos[[#This Row],[Tipo de Movimiento]]="Ingreso",tblMovimientos[[#This Row],[Monto (S/)]],"0")</f>
        <v>0</v>
      </c>
      <c r="O36" s="30">
        <f>IF(tblMovimientos[[#This Row],[Tipo de Movimiento]]="Egreso",tblMovimientos[[#This Row],[Monto (S/)]],"0")</f>
        <v>1718.85</v>
      </c>
      <c r="P36" s="34">
        <f>IF(tblMovimientos[[#This Row],[Tipo de Movimiento]]="Ingreso",tblMovimientos[[#This Row],[Ingreso]],-tblMovimientos[[#This Row],[Egreso]])</f>
        <v>-1718.85</v>
      </c>
    </row>
    <row r="37" spans="2:16" hidden="1" x14ac:dyDescent="0.3">
      <c r="B37" s="47">
        <v>46148</v>
      </c>
      <c r="C37" s="4" t="str">
        <f>_xlfn.XLOOKUP(tblMovimientos[[#This Row],[Cuenta Bancaria]],Listas!$B:$B,Listas!$A:$A,"")</f>
        <v>M1B</v>
      </c>
      <c r="D37" s="48" t="s">
        <v>97</v>
      </c>
      <c r="E37" s="4" t="str">
        <f>_xlfn.XLOOKUP(tblMovimientos[[#This Row],[Cuenta Bancaria]],Listas!$B:$B,Listas!$C:$C,"")</f>
        <v xml:space="preserve">Amerant Bank </v>
      </c>
      <c r="F37" s="49" t="s">
        <v>9</v>
      </c>
      <c r="G37" s="48" t="s">
        <v>70</v>
      </c>
      <c r="H37" s="4" t="str">
        <f>IFERROR(_xlfn.XLOOKUP(G37,Listas!E:E,Listas!F:F,""),"")</f>
        <v>Operativo</v>
      </c>
      <c r="I37" s="4" t="str">
        <f>IFERROR(_xlfn.XLOOKUP(G37,Listas!E:E,Listas!G:G,""),"")</f>
        <v>Externo</v>
      </c>
      <c r="J37" s="51">
        <v>575000</v>
      </c>
      <c r="K37" s="5">
        <f t="shared" si="0"/>
        <v>575000</v>
      </c>
      <c r="L37" s="6" t="s">
        <v>93</v>
      </c>
      <c r="M37" s="52">
        <f>SUMIFS('Saldos Iniciales'!$D$2:$D$38,'Saldos Iniciales'!$A$2:$A$38,C37,'Saldos Iniciales'!$B$2:$B$38,D37)+SUMIFS($K$1:$K$1048575,$C$1:$C$1048575,C37,$D$1:$D$1048575,D37,$B$1:$B$1048575,"&lt;="&amp;B37)</f>
        <v>621288.02999999991</v>
      </c>
      <c r="N37" s="30">
        <f>IF(tblMovimientos[[#This Row],[Tipo de Movimiento]]="Ingreso",tblMovimientos[[#This Row],[Monto (S/)]],"0")</f>
        <v>575000</v>
      </c>
      <c r="O37" s="30" t="str">
        <f>IF(tblMovimientos[[#This Row],[Tipo de Movimiento]]="Egreso",tblMovimientos[[#This Row],[Monto (S/)]],"0")</f>
        <v>0</v>
      </c>
      <c r="P37" s="34">
        <f>IF(tblMovimientos[[#This Row],[Tipo de Movimiento]]="Ingreso",tblMovimientos[[#This Row],[Ingreso]],-tblMovimientos[[#This Row],[Egreso]])</f>
        <v>575000</v>
      </c>
    </row>
    <row r="38" spans="2:16" hidden="1" x14ac:dyDescent="0.3">
      <c r="B38" s="47">
        <v>46148</v>
      </c>
      <c r="C38" s="4" t="str">
        <f>_xlfn.XLOOKUP(tblMovimientos[[#This Row],[Cuenta Bancaria]],Listas!$B:$B,Listas!$A:$A,"")</f>
        <v>SSP Capital</v>
      </c>
      <c r="D38" s="48" t="s">
        <v>104</v>
      </c>
      <c r="E38" s="4" t="str">
        <f>_xlfn.XLOOKUP(tblMovimientos[[#This Row],[Cuenta Bancaria]],Listas!$B:$B,Listas!$C:$C,"")</f>
        <v xml:space="preserve">Amerant Bank </v>
      </c>
      <c r="F38" s="49" t="s">
        <v>10</v>
      </c>
      <c r="G38" s="48" t="s">
        <v>60</v>
      </c>
      <c r="H38" s="4" t="str">
        <f>IFERROR(_xlfn.XLOOKUP(G38,Listas!E:E,Listas!F:F,""),"")</f>
        <v>Inversion</v>
      </c>
      <c r="I38" s="4" t="str">
        <f>IFERROR(_xlfn.XLOOKUP(G38,Listas!E:E,Listas!G:G,""),"")</f>
        <v>Interno</v>
      </c>
      <c r="J38" s="51">
        <v>120000</v>
      </c>
      <c r="K38" s="5">
        <f t="shared" si="0"/>
        <v>-120000</v>
      </c>
      <c r="L38" s="6" t="s">
        <v>93</v>
      </c>
      <c r="M38" s="52">
        <f>SUMIFS('Saldos Iniciales'!$D$2:$D$38,'Saldos Iniciales'!$A$2:$A$38,C38,'Saldos Iniciales'!$B$2:$B$38,D38)+SUMIFS($K$1:$K$1048575,$C$1:$C$1048575,C38,$D$1:$D$1048575,D38,$B$1:$B$1048575,"&lt;="&amp;B38)</f>
        <v>199057.81999999937</v>
      </c>
      <c r="N38" s="30" t="str">
        <f>IF(tblMovimientos[[#This Row],[Tipo de Movimiento]]="Ingreso",tblMovimientos[[#This Row],[Monto (S/)]],"0")</f>
        <v>0</v>
      </c>
      <c r="O38" s="30">
        <f>IF(tblMovimientos[[#This Row],[Tipo de Movimiento]]="Egreso",tblMovimientos[[#This Row],[Monto (S/)]],"0")</f>
        <v>120000</v>
      </c>
      <c r="P38" s="34">
        <f>IF(tblMovimientos[[#This Row],[Tipo de Movimiento]]="Ingreso",tblMovimientos[[#This Row],[Ingreso]],-tblMovimientos[[#This Row],[Egreso]])</f>
        <v>-120000</v>
      </c>
    </row>
    <row r="39" spans="2:16" hidden="1" x14ac:dyDescent="0.3">
      <c r="B39" s="47">
        <v>46149</v>
      </c>
      <c r="C39" s="4" t="str">
        <f>_xlfn.XLOOKUP(tblMovimientos[[#This Row],[Cuenta Bancaria]],Listas!$B:$B,Listas!$A:$A,"")</f>
        <v>SSP Capital</v>
      </c>
      <c r="D39" s="48" t="s">
        <v>104</v>
      </c>
      <c r="E39" s="4" t="str">
        <f>_xlfn.XLOOKUP(tblMovimientos[[#This Row],[Cuenta Bancaria]],Listas!$B:$B,Listas!$C:$C,"")</f>
        <v xml:space="preserve">Amerant Bank </v>
      </c>
      <c r="F39" s="49" t="s">
        <v>10</v>
      </c>
      <c r="G39" s="48" t="s">
        <v>56</v>
      </c>
      <c r="H39" s="4" t="str">
        <f>IFERROR(_xlfn.XLOOKUP(G39,Listas!E:E,Listas!F:F,""),"")</f>
        <v>Inversion</v>
      </c>
      <c r="I39" s="4" t="str">
        <f>IFERROR(_xlfn.XLOOKUP(G39,Listas!E:E,Listas!G:G,""),"")</f>
        <v>Externo</v>
      </c>
      <c r="J39" s="51">
        <v>374.25</v>
      </c>
      <c r="K39" s="5">
        <f t="shared" si="0"/>
        <v>-374.25</v>
      </c>
      <c r="L39" s="6" t="s">
        <v>93</v>
      </c>
      <c r="M39" s="52">
        <f>SUMIFS('Saldos Iniciales'!$D$2:$D$38,'Saldos Iniciales'!$A$2:$A$38,C39,'Saldos Iniciales'!$B$2:$B$38,D39)+SUMIFS($K$1:$K$1048575,$C$1:$C$1048575,C39,$D$1:$D$1048575,D39,$B$1:$B$1048575,"&lt;="&amp;B39)</f>
        <v>148736.90999999936</v>
      </c>
      <c r="N39" s="30" t="str">
        <f>IF(tblMovimientos[[#This Row],[Tipo de Movimiento]]="Ingreso",tblMovimientos[[#This Row],[Monto (S/)]],"0")</f>
        <v>0</v>
      </c>
      <c r="O39" s="30">
        <f>IF(tblMovimientos[[#This Row],[Tipo de Movimiento]]="Egreso",tblMovimientos[[#This Row],[Monto (S/)]],"0")</f>
        <v>374.25</v>
      </c>
      <c r="P39" s="34">
        <f>IF(tblMovimientos[[#This Row],[Tipo de Movimiento]]="Ingreso",tblMovimientos[[#This Row],[Ingreso]],-tblMovimientos[[#This Row],[Egreso]])</f>
        <v>-374.25</v>
      </c>
    </row>
    <row r="40" spans="2:16" hidden="1" x14ac:dyDescent="0.3">
      <c r="B40" s="47">
        <v>46149</v>
      </c>
      <c r="C40" s="4" t="str">
        <f>_xlfn.XLOOKUP(tblMovimientos[[#This Row],[Cuenta Bancaria]],Listas!$B:$B,Listas!$A:$A,"")</f>
        <v>SSP Capital</v>
      </c>
      <c r="D40" s="48" t="s">
        <v>101</v>
      </c>
      <c r="E40" s="4" t="str">
        <f>_xlfn.XLOOKUP(tblMovimientos[[#This Row],[Cuenta Bancaria]],Listas!$B:$B,Listas!$C:$C,"")</f>
        <v>Bank of America</v>
      </c>
      <c r="F40" s="49" t="s">
        <v>9</v>
      </c>
      <c r="G40" s="48" t="s">
        <v>73</v>
      </c>
      <c r="H40" s="4" t="str">
        <f>IFERROR(_xlfn.XLOOKUP(G40,Listas!E:E,Listas!F:F,""),"")</f>
        <v>Operativo</v>
      </c>
      <c r="I40" s="4" t="str">
        <f>IFERROR(_xlfn.XLOOKUP(G40,Listas!E:E,Listas!G:G,""),"")</f>
        <v>Interno</v>
      </c>
      <c r="J40" s="51">
        <v>15321.74</v>
      </c>
      <c r="K40" s="5">
        <f t="shared" si="0"/>
        <v>15321.74</v>
      </c>
      <c r="L40" s="6" t="s">
        <v>93</v>
      </c>
      <c r="M40" s="52">
        <f>SUMIFS('Saldos Iniciales'!$D$2:$D$38,'Saldos Iniciales'!$A$2:$A$38,C40,'Saldos Iniciales'!$B$2:$B$38,D40)+SUMIFS($K$1:$K$1048575,$C$1:$C$1048575,C40,$D$1:$D$1048575,D40,$B$1:$B$1048575,"&lt;="&amp;B40)</f>
        <v>19325.849999999999</v>
      </c>
      <c r="N40" s="30">
        <f>IF(tblMovimientos[[#This Row],[Tipo de Movimiento]]="Ingreso",tblMovimientos[[#This Row],[Monto (S/)]],"0")</f>
        <v>15321.74</v>
      </c>
      <c r="O40" s="30" t="str">
        <f>IF(tblMovimientos[[#This Row],[Tipo de Movimiento]]="Egreso",tblMovimientos[[#This Row],[Monto (S/)]],"0")</f>
        <v>0</v>
      </c>
      <c r="P40" s="34">
        <f>IF(tblMovimientos[[#This Row],[Tipo de Movimiento]]="Ingreso",tblMovimientos[[#This Row],[Ingreso]],-tblMovimientos[[#This Row],[Egreso]])</f>
        <v>15321.74</v>
      </c>
    </row>
    <row r="41" spans="2:16" hidden="1" x14ac:dyDescent="0.3">
      <c r="B41" s="47">
        <v>46149</v>
      </c>
      <c r="C41" s="4" t="str">
        <f>_xlfn.XLOOKUP(tblMovimientos[[#This Row],[Cuenta Bancaria]],Listas!$B:$B,Listas!$A:$A,"")</f>
        <v>A&amp;M Imports</v>
      </c>
      <c r="D41" s="48" t="s">
        <v>100</v>
      </c>
      <c r="E41" s="4" t="str">
        <f>_xlfn.XLOOKUP(tblMovimientos[[#This Row],[Cuenta Bancaria]],Listas!$B:$B,Listas!$C:$C,"")</f>
        <v>Bank of America</v>
      </c>
      <c r="F41" s="49" t="s">
        <v>10</v>
      </c>
      <c r="G41" s="48" t="s">
        <v>51</v>
      </c>
      <c r="H41" s="4" t="str">
        <f>IFERROR(_xlfn.XLOOKUP(G41,Listas!E:E,Listas!F:F,""),"")</f>
        <v>Financiamiento</v>
      </c>
      <c r="I41" s="4" t="str">
        <f>IFERROR(_xlfn.XLOOKUP(G41,Listas!E:E,Listas!G:G,""),"")</f>
        <v>Externo</v>
      </c>
      <c r="J41" s="51">
        <v>15321.74</v>
      </c>
      <c r="K41" s="5">
        <f t="shared" si="0"/>
        <v>-15321.74</v>
      </c>
      <c r="L41" s="6" t="s">
        <v>93</v>
      </c>
      <c r="M41" s="52">
        <f>SUMIFS('Saldos Iniciales'!$D$2:$D$38,'Saldos Iniciales'!$A$2:$A$38,C41,'Saldos Iniciales'!$B$2:$B$38,D41)+SUMIFS($K$1:$K$1048575,$C$1:$C$1048575,C41,$D$1:$D$1048575,D41,$B$1:$B$1048575,"&lt;="&amp;B41)</f>
        <v>274668.55999999994</v>
      </c>
      <c r="N41" s="30" t="str">
        <f>IF(tblMovimientos[[#This Row],[Tipo de Movimiento]]="Ingreso",tblMovimientos[[#This Row],[Monto (S/)]],"0")</f>
        <v>0</v>
      </c>
      <c r="O41" s="30">
        <f>IF(tblMovimientos[[#This Row],[Tipo de Movimiento]]="Egreso",tblMovimientos[[#This Row],[Monto (S/)]],"0")</f>
        <v>15321.74</v>
      </c>
      <c r="P41" s="34">
        <f>IF(tblMovimientos[[#This Row],[Tipo de Movimiento]]="Ingreso",tblMovimientos[[#This Row],[Ingreso]],-tblMovimientos[[#This Row],[Egreso]])</f>
        <v>-15321.74</v>
      </c>
    </row>
    <row r="42" spans="2:16" hidden="1" x14ac:dyDescent="0.3">
      <c r="B42" s="47">
        <v>46149</v>
      </c>
      <c r="C42" s="4" t="str">
        <f>_xlfn.XLOOKUP(tblMovimientos[[#This Row],[Cuenta Bancaria]],Listas!$B:$B,Listas!$A:$A,"")</f>
        <v>A&amp;M Imports</v>
      </c>
      <c r="D42" s="48" t="s">
        <v>100</v>
      </c>
      <c r="E42" s="4" t="str">
        <f>_xlfn.XLOOKUP(tblMovimientos[[#This Row],[Cuenta Bancaria]],Listas!$B:$B,Listas!$C:$C,"")</f>
        <v>Bank of America</v>
      </c>
      <c r="F42" s="49" t="s">
        <v>10</v>
      </c>
      <c r="G42" s="48" t="s">
        <v>59</v>
      </c>
      <c r="H42" s="4" t="str">
        <f>IFERROR(_xlfn.XLOOKUP(G42,Listas!E:E,Listas!F:F,""),"")</f>
        <v>Inversion</v>
      </c>
      <c r="I42" s="4" t="str">
        <f>IFERROR(_xlfn.XLOOKUP(G42,Listas!E:E,Listas!G:G,""),"")</f>
        <v>Externo</v>
      </c>
      <c r="J42" s="51">
        <v>700000</v>
      </c>
      <c r="K42" s="5">
        <f t="shared" si="0"/>
        <v>-700000</v>
      </c>
      <c r="L42" s="6" t="s">
        <v>93</v>
      </c>
      <c r="M42" s="52">
        <f>SUMIFS('Saldos Iniciales'!$D$2:$D$38,'Saldos Iniciales'!$A$2:$A$38,C42,'Saldos Iniciales'!$B$2:$B$38,D42)+SUMIFS($K$1:$K$1048575,$C$1:$C$1048575,C42,$D$1:$D$1048575,D42,$B$1:$B$1048575,"&lt;="&amp;B42)</f>
        <v>274668.55999999994</v>
      </c>
      <c r="N42" s="30" t="str">
        <f>IF(tblMovimientos[[#This Row],[Tipo de Movimiento]]="Ingreso",tblMovimientos[[#This Row],[Monto (S/)]],"0")</f>
        <v>0</v>
      </c>
      <c r="O42" s="30">
        <f>IF(tblMovimientos[[#This Row],[Tipo de Movimiento]]="Egreso",tblMovimientos[[#This Row],[Monto (S/)]],"0")</f>
        <v>700000</v>
      </c>
      <c r="P42" s="34">
        <f>IF(tblMovimientos[[#This Row],[Tipo de Movimiento]]="Ingreso",tblMovimientos[[#This Row],[Ingreso]],-tblMovimientos[[#This Row],[Egreso]])</f>
        <v>-700000</v>
      </c>
    </row>
    <row r="43" spans="2:16" hidden="1" x14ac:dyDescent="0.3">
      <c r="B43" s="47">
        <v>46149</v>
      </c>
      <c r="C43" s="4" t="str">
        <f>_xlfn.XLOOKUP(tblMovimientos[[#This Row],[Cuenta Bancaria]],Listas!$B:$B,Listas!$A:$A,"")</f>
        <v>CFT Group</v>
      </c>
      <c r="D43" s="48" t="s">
        <v>94</v>
      </c>
      <c r="E43" s="4" t="str">
        <f>_xlfn.XLOOKUP(tblMovimientos[[#This Row],[Cuenta Bancaria]],Listas!$B:$B,Listas!$C:$C,"")</f>
        <v>Bank of America</v>
      </c>
      <c r="F43" s="49" t="s">
        <v>10</v>
      </c>
      <c r="G43" s="48" t="s">
        <v>50</v>
      </c>
      <c r="H43" s="4" t="str">
        <f>IFERROR(_xlfn.XLOOKUP(G43,Listas!E:E,Listas!F:F,""),"")</f>
        <v>Financiamiento</v>
      </c>
      <c r="I43" s="4" t="str">
        <f>IFERROR(_xlfn.XLOOKUP(G43,Listas!E:E,Listas!G:G,""),"")</f>
        <v>Externo</v>
      </c>
      <c r="J43" s="51">
        <v>10000</v>
      </c>
      <c r="K43" s="5">
        <f t="shared" si="0"/>
        <v>-10000</v>
      </c>
      <c r="L43" s="6" t="s">
        <v>93</v>
      </c>
      <c r="M43" s="52">
        <f>SUMIFS('Saldos Iniciales'!$D$2:$D$38,'Saldos Iniciales'!$A$2:$A$38,C43,'Saldos Iniciales'!$B$2:$B$38,D43)+SUMIFS($K$1:$K$1048575,$C$1:$C$1048575,C43,$D$1:$D$1048575,D43,$B$1:$B$1048575,"&lt;="&amp;B43)</f>
        <v>2689.0499999999884</v>
      </c>
      <c r="N43" s="30" t="str">
        <f>IF(tblMovimientos[[#This Row],[Tipo de Movimiento]]="Ingreso",tblMovimientos[[#This Row],[Monto (S/)]],"0")</f>
        <v>0</v>
      </c>
      <c r="O43" s="30">
        <f>IF(tblMovimientos[[#This Row],[Tipo de Movimiento]]="Egreso",tblMovimientos[[#This Row],[Monto (S/)]],"0")</f>
        <v>10000</v>
      </c>
      <c r="P43" s="34">
        <f>IF(tblMovimientos[[#This Row],[Tipo de Movimiento]]="Ingreso",tblMovimientos[[#This Row],[Ingreso]],-tblMovimientos[[#This Row],[Egreso]])</f>
        <v>-10000</v>
      </c>
    </row>
    <row r="44" spans="2:16" hidden="1" x14ac:dyDescent="0.3">
      <c r="B44" s="47">
        <v>46149</v>
      </c>
      <c r="C44" s="4" t="str">
        <f>_xlfn.XLOOKUP(tblMovimientos[[#This Row],[Cuenta Bancaria]],Listas!$B:$B,Listas!$A:$A,"")</f>
        <v>CFT Group</v>
      </c>
      <c r="D44" s="48" t="s">
        <v>94</v>
      </c>
      <c r="E44" s="4" t="str">
        <f>_xlfn.XLOOKUP(tblMovimientos[[#This Row],[Cuenta Bancaria]],Listas!$B:$B,Listas!$C:$C,"")</f>
        <v>Bank of America</v>
      </c>
      <c r="F44" s="49" t="s">
        <v>10</v>
      </c>
      <c r="G44" s="48" t="s">
        <v>50</v>
      </c>
      <c r="H44" s="4" t="str">
        <f>IFERROR(_xlfn.XLOOKUP(G44,Listas!E:E,Listas!F:F,""),"")</f>
        <v>Financiamiento</v>
      </c>
      <c r="I44" s="4" t="str">
        <f>IFERROR(_xlfn.XLOOKUP(G44,Listas!E:E,Listas!G:G,""),"")</f>
        <v>Externo</v>
      </c>
      <c r="J44" s="51">
        <v>10000</v>
      </c>
      <c r="K44" s="5">
        <f t="shared" si="0"/>
        <v>-10000</v>
      </c>
      <c r="L44" s="6" t="s">
        <v>93</v>
      </c>
      <c r="M44" s="52">
        <f>SUMIFS('Saldos Iniciales'!$D$2:$D$38,'Saldos Iniciales'!$A$2:$A$38,C44,'Saldos Iniciales'!$B$2:$B$38,D44)+SUMIFS($K$1:$K$1048575,$C$1:$C$1048575,C44,$D$1:$D$1048575,D44,$B$1:$B$1048575,"&lt;="&amp;B44)</f>
        <v>2689.0499999999884</v>
      </c>
      <c r="N44" s="30" t="str">
        <f>IF(tblMovimientos[[#This Row],[Tipo de Movimiento]]="Ingreso",tblMovimientos[[#This Row],[Monto (S/)]],"0")</f>
        <v>0</v>
      </c>
      <c r="O44" s="30">
        <f>IF(tblMovimientos[[#This Row],[Tipo de Movimiento]]="Egreso",tblMovimientos[[#This Row],[Monto (S/)]],"0")</f>
        <v>10000</v>
      </c>
      <c r="P44" s="34">
        <f>IF(tblMovimientos[[#This Row],[Tipo de Movimiento]]="Ingreso",tblMovimientos[[#This Row],[Ingreso]],-tblMovimientos[[#This Row],[Egreso]])</f>
        <v>-10000</v>
      </c>
    </row>
    <row r="45" spans="2:16" hidden="1" x14ac:dyDescent="0.3">
      <c r="B45" s="47">
        <v>46149</v>
      </c>
      <c r="C45" s="4" t="str">
        <f>_xlfn.XLOOKUP(tblMovimientos[[#This Row],[Cuenta Bancaria]],Listas!$B:$B,Listas!$A:$A,"")</f>
        <v>112 Florida Ave</v>
      </c>
      <c r="D45" s="48" t="s">
        <v>123</v>
      </c>
      <c r="E45" s="4" t="str">
        <f>_xlfn.XLOOKUP(tblMovimientos[[#This Row],[Cuenta Bancaria]],Listas!$B:$B,Listas!$C:$C,"")</f>
        <v>Bank of America</v>
      </c>
      <c r="F45" s="49" t="s">
        <v>9</v>
      </c>
      <c r="G45" s="48" t="s">
        <v>71</v>
      </c>
      <c r="H45" s="4" t="str">
        <f>IFERROR(_xlfn.XLOOKUP(G45,Listas!E:E,Listas!F:F,""),"")</f>
        <v>Operativo</v>
      </c>
      <c r="I45" s="4" t="str">
        <f>IFERROR(_xlfn.XLOOKUP(G45,Listas!E:E,Listas!G:G,""),"")</f>
        <v>Interno</v>
      </c>
      <c r="J45" s="51">
        <v>10000</v>
      </c>
      <c r="K45" s="5">
        <f t="shared" si="0"/>
        <v>10000</v>
      </c>
      <c r="L45" s="6" t="s">
        <v>93</v>
      </c>
      <c r="M45" s="52">
        <f>SUMIFS('Saldos Iniciales'!$D$2:$D$38,'Saldos Iniciales'!$A$2:$A$38,C45,'Saldos Iniciales'!$B$2:$B$38,D45)+SUMIFS($K$1:$K$1048575,$C$1:$C$1048575,C45,$D$1:$D$1048575,D45,$B$1:$B$1048575,"&lt;="&amp;B45)</f>
        <v>15135.060000000001</v>
      </c>
      <c r="N45" s="30">
        <f>IF(tblMovimientos[[#This Row],[Tipo de Movimiento]]="Ingreso",tblMovimientos[[#This Row],[Monto (S/)]],"0")</f>
        <v>10000</v>
      </c>
      <c r="O45" s="30" t="str">
        <f>IF(tblMovimientos[[#This Row],[Tipo de Movimiento]]="Egreso",tblMovimientos[[#This Row],[Monto (S/)]],"0")</f>
        <v>0</v>
      </c>
      <c r="P45" s="34">
        <f>IF(tblMovimientos[[#This Row],[Tipo de Movimiento]]="Ingreso",tblMovimientos[[#This Row],[Ingreso]],-tblMovimientos[[#This Row],[Egreso]])</f>
        <v>10000</v>
      </c>
    </row>
    <row r="46" spans="2:16" hidden="1" x14ac:dyDescent="0.3">
      <c r="B46" s="47">
        <v>46149</v>
      </c>
      <c r="C46" s="4" t="str">
        <f>_xlfn.XLOOKUP(tblMovimientos[[#This Row],[Cuenta Bancaria]],Listas!$B:$B,Listas!$A:$A,"")</f>
        <v>3628 Thomas Ave</v>
      </c>
      <c r="D46" s="48" t="s">
        <v>124</v>
      </c>
      <c r="E46" s="4" t="str">
        <f>_xlfn.XLOOKUP(tblMovimientos[[#This Row],[Cuenta Bancaria]],Listas!$B:$B,Listas!$C:$C,"")</f>
        <v>Bank of America</v>
      </c>
      <c r="F46" s="49" t="s">
        <v>9</v>
      </c>
      <c r="G46" s="48" t="s">
        <v>71</v>
      </c>
      <c r="H46" s="4" t="str">
        <f>IFERROR(_xlfn.XLOOKUP(G46,Listas!E:E,Listas!F:F,""),"")</f>
        <v>Operativo</v>
      </c>
      <c r="I46" s="4" t="str">
        <f>IFERROR(_xlfn.XLOOKUP(G46,Listas!E:E,Listas!G:G,""),"")</f>
        <v>Interno</v>
      </c>
      <c r="J46" s="51">
        <v>10000</v>
      </c>
      <c r="K46" s="5">
        <f t="shared" si="0"/>
        <v>10000</v>
      </c>
      <c r="L46" s="6" t="s">
        <v>93</v>
      </c>
      <c r="M46" s="52">
        <f>SUMIFS('Saldos Iniciales'!$D$2:$D$38,'Saldos Iniciales'!$A$2:$A$38,C46,'Saldos Iniciales'!$B$2:$B$38,D46)+SUMIFS($K$1:$K$1048575,$C$1:$C$1048575,C46,$D$1:$D$1048575,D46,$B$1:$B$1048575,"&lt;="&amp;B46)</f>
        <v>31338.39</v>
      </c>
      <c r="N46" s="30">
        <f>IF(tblMovimientos[[#This Row],[Tipo de Movimiento]]="Ingreso",tblMovimientos[[#This Row],[Monto (S/)]],"0")</f>
        <v>10000</v>
      </c>
      <c r="O46" s="30" t="str">
        <f>IF(tblMovimientos[[#This Row],[Tipo de Movimiento]]="Egreso",tblMovimientos[[#This Row],[Monto (S/)]],"0")</f>
        <v>0</v>
      </c>
      <c r="P46" s="34">
        <f>IF(tblMovimientos[[#This Row],[Tipo de Movimiento]]="Ingreso",tblMovimientos[[#This Row],[Ingreso]],-tblMovimientos[[#This Row],[Egreso]])</f>
        <v>10000</v>
      </c>
    </row>
    <row r="47" spans="2:16" hidden="1" x14ac:dyDescent="0.3">
      <c r="B47" s="47">
        <v>46149</v>
      </c>
      <c r="C47" s="4" t="str">
        <f>_xlfn.XLOOKUP(tblMovimientos[[#This Row],[Cuenta Bancaria]],Listas!$B:$B,Listas!$A:$A,"")</f>
        <v>M1B</v>
      </c>
      <c r="D47" s="48" t="s">
        <v>97</v>
      </c>
      <c r="E47" s="4" t="str">
        <f>_xlfn.XLOOKUP(tblMovimientos[[#This Row],[Cuenta Bancaria]],Listas!$B:$B,Listas!$C:$C,"")</f>
        <v xml:space="preserve">Amerant Bank </v>
      </c>
      <c r="F47" s="49" t="s">
        <v>10</v>
      </c>
      <c r="G47" s="48" t="s">
        <v>50</v>
      </c>
      <c r="H47" s="4" t="str">
        <f>IFERROR(_xlfn.XLOOKUP(G47,Listas!E:E,Listas!F:F,""),"")</f>
        <v>Financiamiento</v>
      </c>
      <c r="I47" s="4" t="str">
        <f>IFERROR(_xlfn.XLOOKUP(G47,Listas!E:E,Listas!G:G,""),"")</f>
        <v>Externo</v>
      </c>
      <c r="J47" s="51">
        <v>570000</v>
      </c>
      <c r="K47" s="5">
        <f t="shared" si="0"/>
        <v>-570000</v>
      </c>
      <c r="L47" s="6" t="s">
        <v>93</v>
      </c>
      <c r="M47" s="52">
        <f>SUMIFS('Saldos Iniciales'!$D$2:$D$38,'Saldos Iniciales'!$A$2:$A$38,C47,'Saldos Iniciales'!$B$2:$B$38,D47)+SUMIFS($K$1:$K$1048575,$C$1:$C$1048575,C47,$D$1:$D$1048575,D47,$B$1:$B$1048575,"&lt;="&amp;B47)</f>
        <v>51288.029999999941</v>
      </c>
      <c r="N47" s="30" t="str">
        <f>IF(tblMovimientos[[#This Row],[Tipo de Movimiento]]="Ingreso",tblMovimientos[[#This Row],[Monto (S/)]],"0")</f>
        <v>0</v>
      </c>
      <c r="O47" s="30">
        <f>IF(tblMovimientos[[#This Row],[Tipo de Movimiento]]="Egreso",tblMovimientos[[#This Row],[Monto (S/)]],"0")</f>
        <v>570000</v>
      </c>
      <c r="P47" s="34">
        <f>IF(tblMovimientos[[#This Row],[Tipo de Movimiento]]="Ingreso",tblMovimientos[[#This Row],[Ingreso]],-tblMovimientos[[#This Row],[Egreso]])</f>
        <v>-570000</v>
      </c>
    </row>
    <row r="48" spans="2:16" hidden="1" x14ac:dyDescent="0.3">
      <c r="B48" s="47">
        <v>46149</v>
      </c>
      <c r="C48" s="4" t="str">
        <f>_xlfn.XLOOKUP(tblMovimientos[[#This Row],[Cuenta Bancaria]],Listas!$B:$B,Listas!$A:$A,"")</f>
        <v>CFT Group</v>
      </c>
      <c r="D48" s="48" t="s">
        <v>95</v>
      </c>
      <c r="E48" s="4" t="str">
        <f>_xlfn.XLOOKUP(tblMovimientos[[#This Row],[Cuenta Bancaria]],Listas!$B:$B,Listas!$C:$C,"")</f>
        <v xml:space="preserve">Amerant Bank </v>
      </c>
      <c r="F48" s="49" t="s">
        <v>9</v>
      </c>
      <c r="G48" s="48" t="s">
        <v>71</v>
      </c>
      <c r="H48" s="4" t="str">
        <f>IFERROR(_xlfn.XLOOKUP(G48,Listas!E:E,Listas!F:F,""),"")</f>
        <v>Operativo</v>
      </c>
      <c r="I48" s="4" t="str">
        <f>IFERROR(_xlfn.XLOOKUP(G48,Listas!E:E,Listas!G:G,""),"")</f>
        <v>Interno</v>
      </c>
      <c r="J48" s="51">
        <v>570000</v>
      </c>
      <c r="K48" s="5">
        <f t="shared" si="0"/>
        <v>570000</v>
      </c>
      <c r="L48" s="6" t="s">
        <v>93</v>
      </c>
      <c r="M48" s="52">
        <f>SUMIFS('Saldos Iniciales'!$D$2:$D$38,'Saldos Iniciales'!$A$2:$A$38,C48,'Saldos Iniciales'!$B$2:$B$38,D48)+SUMIFS($K$1:$K$1048575,$C$1:$C$1048575,C48,$D$1:$D$1048575,D48,$B$1:$B$1048575,"&lt;="&amp;B48)</f>
        <v>439799.53000000026</v>
      </c>
      <c r="N48" s="30">
        <f>IF(tblMovimientos[[#This Row],[Tipo de Movimiento]]="Ingreso",tblMovimientos[[#This Row],[Monto (S/)]],"0")</f>
        <v>570000</v>
      </c>
      <c r="O48" s="30" t="str">
        <f>IF(tblMovimientos[[#This Row],[Tipo de Movimiento]]="Egreso",tblMovimientos[[#This Row],[Monto (S/)]],"0")</f>
        <v>0</v>
      </c>
      <c r="P48" s="34">
        <f>IF(tblMovimientos[[#This Row],[Tipo de Movimiento]]="Ingreso",tblMovimientos[[#This Row],[Ingreso]],-tblMovimientos[[#This Row],[Egreso]])</f>
        <v>570000</v>
      </c>
    </row>
    <row r="49" spans="2:16" hidden="1" x14ac:dyDescent="0.3">
      <c r="B49" s="47">
        <v>46149</v>
      </c>
      <c r="C49" s="4" t="str">
        <f>_xlfn.XLOOKUP(tblMovimientos[[#This Row],[Cuenta Bancaria]],Listas!$B:$B,Listas!$A:$A,"")</f>
        <v>CFT Group</v>
      </c>
      <c r="D49" s="48" t="s">
        <v>95</v>
      </c>
      <c r="E49" s="4" t="str">
        <f>_xlfn.XLOOKUP(tblMovimientos[[#This Row],[Cuenta Bancaria]],Listas!$B:$B,Listas!$C:$C,"")</f>
        <v xml:space="preserve">Amerant Bank </v>
      </c>
      <c r="F49" s="49" t="s">
        <v>10</v>
      </c>
      <c r="G49" s="48" t="s">
        <v>61</v>
      </c>
      <c r="H49" s="4" t="str">
        <f>IFERROR(_xlfn.XLOOKUP(G49,Listas!E:E,Listas!F:F,""),"")</f>
        <v>Operativo</v>
      </c>
      <c r="I49" s="4" t="str">
        <f>IFERROR(_xlfn.XLOOKUP(G49,Listas!E:E,Listas!G:G,""),"")</f>
        <v>Externo</v>
      </c>
      <c r="J49" s="51">
        <v>30000</v>
      </c>
      <c r="K49" s="5">
        <f t="shared" si="0"/>
        <v>-30000</v>
      </c>
      <c r="L49" s="6" t="s">
        <v>93</v>
      </c>
      <c r="M49" s="52">
        <f>SUMIFS('Saldos Iniciales'!$D$2:$D$38,'Saldos Iniciales'!$A$2:$A$38,C49,'Saldos Iniciales'!$B$2:$B$38,D49)+SUMIFS($K$1:$K$1048575,$C$1:$C$1048575,C49,$D$1:$D$1048575,D49,$B$1:$B$1048575,"&lt;="&amp;B49)</f>
        <v>439799.53000000026</v>
      </c>
      <c r="N49" s="30" t="str">
        <f>IF(tblMovimientos[[#This Row],[Tipo de Movimiento]]="Ingreso",tblMovimientos[[#This Row],[Monto (S/)]],"0")</f>
        <v>0</v>
      </c>
      <c r="O49" s="30">
        <f>IF(tblMovimientos[[#This Row],[Tipo de Movimiento]]="Egreso",tblMovimientos[[#This Row],[Monto (S/)]],"0")</f>
        <v>30000</v>
      </c>
      <c r="P49" s="34">
        <f>IF(tblMovimientos[[#This Row],[Tipo de Movimiento]]="Ingreso",tblMovimientos[[#This Row],[Ingreso]],-tblMovimientos[[#This Row],[Egreso]])</f>
        <v>-30000</v>
      </c>
    </row>
    <row r="50" spans="2:16" hidden="1" x14ac:dyDescent="0.3">
      <c r="B50" s="47">
        <v>46149</v>
      </c>
      <c r="C50" s="4" t="str">
        <f>_xlfn.XLOOKUP(tblMovimientos[[#This Row],[Cuenta Bancaria]],Listas!$B:$B,Listas!$A:$A,"")</f>
        <v>CFT Group</v>
      </c>
      <c r="D50" s="48" t="s">
        <v>95</v>
      </c>
      <c r="E50" s="4" t="str">
        <f>_xlfn.XLOOKUP(tblMovimientos[[#This Row],[Cuenta Bancaria]],Listas!$B:$B,Listas!$C:$C,"")</f>
        <v xml:space="preserve">Amerant Bank </v>
      </c>
      <c r="F50" s="49" t="s">
        <v>10</v>
      </c>
      <c r="G50" s="48" t="s">
        <v>61</v>
      </c>
      <c r="H50" s="4" t="str">
        <f>IFERROR(_xlfn.XLOOKUP(G50,Listas!E:E,Listas!F:F,""),"")</f>
        <v>Operativo</v>
      </c>
      <c r="I50" s="4" t="str">
        <f>IFERROR(_xlfn.XLOOKUP(G50,Listas!E:E,Listas!G:G,""),"")</f>
        <v>Externo</v>
      </c>
      <c r="J50" s="51">
        <v>70000</v>
      </c>
      <c r="K50" s="5">
        <f t="shared" si="0"/>
        <v>-70000</v>
      </c>
      <c r="L50" s="6" t="s">
        <v>93</v>
      </c>
      <c r="M50" s="52">
        <f>SUMIFS('Saldos Iniciales'!$D$2:$D$38,'Saldos Iniciales'!$A$2:$A$38,C50,'Saldos Iniciales'!$B$2:$B$38,D50)+SUMIFS($K$1:$K$1048575,$C$1:$C$1048575,C50,$D$1:$D$1048575,D50,$B$1:$B$1048575,"&lt;="&amp;B50)</f>
        <v>439799.53000000026</v>
      </c>
      <c r="N50" s="30" t="str">
        <f>IF(tblMovimientos[[#This Row],[Tipo de Movimiento]]="Ingreso",tblMovimientos[[#This Row],[Monto (S/)]],"0")</f>
        <v>0</v>
      </c>
      <c r="O50" s="30">
        <f>IF(tblMovimientos[[#This Row],[Tipo de Movimiento]]="Egreso",tblMovimientos[[#This Row],[Monto (S/)]],"0")</f>
        <v>70000</v>
      </c>
      <c r="P50" s="34">
        <f>IF(tblMovimientos[[#This Row],[Tipo de Movimiento]]="Ingreso",tblMovimientos[[#This Row],[Ingreso]],-tblMovimientos[[#This Row],[Egreso]])</f>
        <v>-70000</v>
      </c>
    </row>
    <row r="51" spans="2:16" hidden="1" x14ac:dyDescent="0.3">
      <c r="B51" s="47">
        <v>46149</v>
      </c>
      <c r="C51" s="4" t="str">
        <f>_xlfn.XLOOKUP(tblMovimientos[[#This Row],[Cuenta Bancaria]],Listas!$B:$B,Listas!$A:$A,"")</f>
        <v>CFT Group</v>
      </c>
      <c r="D51" s="48" t="s">
        <v>95</v>
      </c>
      <c r="E51" s="4" t="str">
        <f>_xlfn.XLOOKUP(tblMovimientos[[#This Row],[Cuenta Bancaria]],Listas!$B:$B,Listas!$C:$C,"")</f>
        <v xml:space="preserve">Amerant Bank </v>
      </c>
      <c r="F51" s="49" t="s">
        <v>10</v>
      </c>
      <c r="G51" s="48" t="s">
        <v>61</v>
      </c>
      <c r="H51" s="4" t="str">
        <f>IFERROR(_xlfn.XLOOKUP(G51,Listas!E:E,Listas!F:F,""),"")</f>
        <v>Operativo</v>
      </c>
      <c r="I51" s="4" t="str">
        <f>IFERROR(_xlfn.XLOOKUP(G51,Listas!E:E,Listas!G:G,""),"")</f>
        <v>Externo</v>
      </c>
      <c r="J51" s="51">
        <v>100000</v>
      </c>
      <c r="K51" s="5">
        <f t="shared" si="0"/>
        <v>-100000</v>
      </c>
      <c r="L51" s="6" t="s">
        <v>93</v>
      </c>
      <c r="M51" s="52">
        <f>SUMIFS('Saldos Iniciales'!$D$2:$D$38,'Saldos Iniciales'!$A$2:$A$38,C51,'Saldos Iniciales'!$B$2:$B$38,D51)+SUMIFS($K$1:$K$1048575,$C$1:$C$1048575,C51,$D$1:$D$1048575,D51,$B$1:$B$1048575,"&lt;="&amp;B51)</f>
        <v>439799.53000000026</v>
      </c>
      <c r="N51" s="30" t="str">
        <f>IF(tblMovimientos[[#This Row],[Tipo de Movimiento]]="Ingreso",tblMovimientos[[#This Row],[Monto (S/)]],"0")</f>
        <v>0</v>
      </c>
      <c r="O51" s="30">
        <f>IF(tblMovimientos[[#This Row],[Tipo de Movimiento]]="Egreso",tblMovimientos[[#This Row],[Monto (S/)]],"0")</f>
        <v>100000</v>
      </c>
      <c r="P51" s="34">
        <f>IF(tblMovimientos[[#This Row],[Tipo de Movimiento]]="Ingreso",tblMovimientos[[#This Row],[Ingreso]],-tblMovimientos[[#This Row],[Egreso]])</f>
        <v>-100000</v>
      </c>
    </row>
    <row r="52" spans="2:16" hidden="1" x14ac:dyDescent="0.3">
      <c r="B52" s="47">
        <v>46149</v>
      </c>
      <c r="C52" s="4" t="str">
        <f>_xlfn.XLOOKUP(tblMovimientos[[#This Row],[Cuenta Bancaria]],Listas!$B:$B,Listas!$A:$A,"")</f>
        <v>CFT Group</v>
      </c>
      <c r="D52" s="48" t="s">
        <v>95</v>
      </c>
      <c r="E52" s="4" t="str">
        <f>_xlfn.XLOOKUP(tblMovimientos[[#This Row],[Cuenta Bancaria]],Listas!$B:$B,Listas!$C:$C,"")</f>
        <v xml:space="preserve">Amerant Bank </v>
      </c>
      <c r="F52" s="49" t="s">
        <v>10</v>
      </c>
      <c r="G52" s="48" t="s">
        <v>61</v>
      </c>
      <c r="H52" s="4" t="str">
        <f>IFERROR(_xlfn.XLOOKUP(G52,Listas!E:E,Listas!F:F,""),"")</f>
        <v>Operativo</v>
      </c>
      <c r="I52" s="4" t="str">
        <f>IFERROR(_xlfn.XLOOKUP(G52,Listas!E:E,Listas!G:G,""),"")</f>
        <v>Externo</v>
      </c>
      <c r="J52" s="51">
        <v>100000</v>
      </c>
      <c r="K52" s="5">
        <f t="shared" si="0"/>
        <v>-100000</v>
      </c>
      <c r="L52" s="6" t="s">
        <v>93</v>
      </c>
      <c r="M52" s="52">
        <f>SUMIFS('Saldos Iniciales'!$D$2:$D$38,'Saldos Iniciales'!$A$2:$A$38,C52,'Saldos Iniciales'!$B$2:$B$38,D52)+SUMIFS($K$1:$K$1048575,$C$1:$C$1048575,C52,$D$1:$D$1048575,D52,$B$1:$B$1048575,"&lt;="&amp;B52)</f>
        <v>439799.53000000026</v>
      </c>
      <c r="N52" s="30" t="str">
        <f>IF(tblMovimientos[[#This Row],[Tipo de Movimiento]]="Ingreso",tblMovimientos[[#This Row],[Monto (S/)]],"0")</f>
        <v>0</v>
      </c>
      <c r="O52" s="30">
        <f>IF(tblMovimientos[[#This Row],[Tipo de Movimiento]]="Egreso",tblMovimientos[[#This Row],[Monto (S/)]],"0")</f>
        <v>100000</v>
      </c>
      <c r="P52" s="34">
        <f>IF(tblMovimientos[[#This Row],[Tipo de Movimiento]]="Ingreso",tblMovimientos[[#This Row],[Ingreso]],-tblMovimientos[[#This Row],[Egreso]])</f>
        <v>-100000</v>
      </c>
    </row>
    <row r="53" spans="2:16" hidden="1" x14ac:dyDescent="0.3">
      <c r="B53" s="47">
        <v>46149</v>
      </c>
      <c r="C53" s="4" t="str">
        <f>_xlfn.XLOOKUP(tblMovimientos[[#This Row],[Cuenta Bancaria]],Listas!$B:$B,Listas!$A:$A,"")</f>
        <v>SSP Capital</v>
      </c>
      <c r="D53" s="48" t="s">
        <v>104</v>
      </c>
      <c r="E53" s="4" t="str">
        <f>_xlfn.XLOOKUP(tblMovimientos[[#This Row],[Cuenta Bancaria]],Listas!$B:$B,Listas!$C:$C,"")</f>
        <v xml:space="preserve">Amerant Bank </v>
      </c>
      <c r="F53" s="49" t="s">
        <v>10</v>
      </c>
      <c r="G53" s="48" t="s">
        <v>56</v>
      </c>
      <c r="H53" s="4" t="str">
        <f>IFERROR(_xlfn.XLOOKUP(G53,Listas!E:E,Listas!F:F,""),"")</f>
        <v>Inversion</v>
      </c>
      <c r="I53" s="4" t="str">
        <f>IFERROR(_xlfn.XLOOKUP(G53,Listas!E:E,Listas!G:G,""),"")</f>
        <v>Externo</v>
      </c>
      <c r="J53" s="51">
        <v>13706.66</v>
      </c>
      <c r="K53" s="5">
        <f t="shared" si="0"/>
        <v>-13706.66</v>
      </c>
      <c r="L53" s="6" t="s">
        <v>93</v>
      </c>
      <c r="M53" s="52">
        <f>SUMIFS('Saldos Iniciales'!$D$2:$D$38,'Saldos Iniciales'!$A$2:$A$38,C53,'Saldos Iniciales'!$B$2:$B$38,D53)+SUMIFS($K$1:$K$1048575,$C$1:$C$1048575,C53,$D$1:$D$1048575,D53,$B$1:$B$1048575,"&lt;="&amp;B53)</f>
        <v>148736.90999999936</v>
      </c>
      <c r="N53" s="30" t="str">
        <f>IF(tblMovimientos[[#This Row],[Tipo de Movimiento]]="Ingreso",tblMovimientos[[#This Row],[Monto (S/)]],"0")</f>
        <v>0</v>
      </c>
      <c r="O53" s="30">
        <f>IF(tblMovimientos[[#This Row],[Tipo de Movimiento]]="Egreso",tblMovimientos[[#This Row],[Monto (S/)]],"0")</f>
        <v>13706.66</v>
      </c>
      <c r="P53" s="34">
        <f>IF(tblMovimientos[[#This Row],[Tipo de Movimiento]]="Ingreso",tblMovimientos[[#This Row],[Ingreso]],-tblMovimientos[[#This Row],[Egreso]])</f>
        <v>-13706.66</v>
      </c>
    </row>
    <row r="54" spans="2:16" hidden="1" x14ac:dyDescent="0.3">
      <c r="B54" s="47">
        <v>46149</v>
      </c>
      <c r="C54" s="4" t="str">
        <f>_xlfn.XLOOKUP(tblMovimientos[[#This Row],[Cuenta Bancaria]],Listas!$B:$B,Listas!$A:$A,"")</f>
        <v>SSP Capital</v>
      </c>
      <c r="D54" s="48" t="s">
        <v>104</v>
      </c>
      <c r="E54" s="4" t="str">
        <f>_xlfn.XLOOKUP(tblMovimientos[[#This Row],[Cuenta Bancaria]],Listas!$B:$B,Listas!$C:$C,"")</f>
        <v xml:space="preserve">Amerant Bank </v>
      </c>
      <c r="F54" s="49" t="s">
        <v>10</v>
      </c>
      <c r="G54" s="48" t="s">
        <v>56</v>
      </c>
      <c r="H54" s="4" t="str">
        <f>IFERROR(_xlfn.XLOOKUP(G54,Listas!E:E,Listas!F:F,""),"")</f>
        <v>Inversion</v>
      </c>
      <c r="I54" s="4" t="str">
        <f>IFERROR(_xlfn.XLOOKUP(G54,Listas!E:E,Listas!G:G,""),"")</f>
        <v>Externo</v>
      </c>
      <c r="J54" s="51">
        <v>36240</v>
      </c>
      <c r="K54" s="5">
        <f t="shared" si="0"/>
        <v>-36240</v>
      </c>
      <c r="L54" s="6" t="s">
        <v>93</v>
      </c>
      <c r="M54" s="52">
        <f>SUMIFS('Saldos Iniciales'!$D$2:$D$38,'Saldos Iniciales'!$A$2:$A$38,C54,'Saldos Iniciales'!$B$2:$B$38,D54)+SUMIFS($K$1:$K$1048575,$C$1:$C$1048575,C54,$D$1:$D$1048575,D54,$B$1:$B$1048575,"&lt;="&amp;B54)</f>
        <v>148736.90999999936</v>
      </c>
      <c r="N54" s="30" t="str">
        <f>IF(tblMovimientos[[#This Row],[Tipo de Movimiento]]="Ingreso",tblMovimientos[[#This Row],[Monto (S/)]],"0")</f>
        <v>0</v>
      </c>
      <c r="O54" s="30">
        <f>IF(tblMovimientos[[#This Row],[Tipo de Movimiento]]="Egreso",tblMovimientos[[#This Row],[Monto (S/)]],"0")</f>
        <v>36240</v>
      </c>
      <c r="P54" s="34">
        <f>IF(tblMovimientos[[#This Row],[Tipo de Movimiento]]="Ingreso",tblMovimientos[[#This Row],[Ingreso]],-tblMovimientos[[#This Row],[Egreso]])</f>
        <v>-36240</v>
      </c>
    </row>
    <row r="55" spans="2:16" hidden="1" x14ac:dyDescent="0.3">
      <c r="B55" s="47">
        <v>46149</v>
      </c>
      <c r="C55" s="4" t="str">
        <f>_xlfn.XLOOKUP(tblMovimientos[[#This Row],[Cuenta Bancaria]],Listas!$B:$B,Listas!$A:$A,"")</f>
        <v>Cross Security Trust</v>
      </c>
      <c r="D55" s="48" t="s">
        <v>112</v>
      </c>
      <c r="E55" s="4" t="str">
        <f>_xlfn.XLOOKUP(tblMovimientos[[#This Row],[Cuenta Bancaria]],Listas!$B:$B,Listas!$C:$C,"")</f>
        <v>Bank of America</v>
      </c>
      <c r="F55" s="49" t="s">
        <v>9</v>
      </c>
      <c r="G55" s="48"/>
      <c r="H55" s="4">
        <f>IFERROR(_xlfn.XLOOKUP(G55,Listas!E:E,Listas!F:F,""),"")</f>
        <v>0</v>
      </c>
      <c r="I55" s="4">
        <f>IFERROR(_xlfn.XLOOKUP(G55,Listas!E:E,Listas!G:G,""),"")</f>
        <v>0</v>
      </c>
      <c r="J55" s="51">
        <v>700000</v>
      </c>
      <c r="K55" s="5">
        <f t="shared" si="0"/>
        <v>700000</v>
      </c>
      <c r="L55" s="6" t="s">
        <v>93</v>
      </c>
      <c r="M55" s="52">
        <f>SUMIFS('Saldos Iniciales'!$D$2:$D$38,'Saldos Iniciales'!$A$2:$A$38,C55,'Saldos Iniciales'!$B$2:$B$38,D55)+SUMIFS($K$1:$K$1048575,$C$1:$C$1048575,C55,$D$1:$D$1048575,D55,$B$1:$B$1048575,"&lt;="&amp;B55)</f>
        <v>1513088.59</v>
      </c>
      <c r="N55" s="30">
        <f>IF(tblMovimientos[[#This Row],[Tipo de Movimiento]]="Ingreso",tblMovimientos[[#This Row],[Monto (S/)]],"0")</f>
        <v>700000</v>
      </c>
      <c r="O55" s="30" t="str">
        <f>IF(tblMovimientos[[#This Row],[Tipo de Movimiento]]="Egreso",tblMovimientos[[#This Row],[Monto (S/)]],"0")</f>
        <v>0</v>
      </c>
      <c r="P55" s="34">
        <f>IF(tblMovimientos[[#This Row],[Tipo de Movimiento]]="Ingreso",tblMovimientos[[#This Row],[Ingreso]],-tblMovimientos[[#This Row],[Egreso]])</f>
        <v>700000</v>
      </c>
    </row>
    <row r="56" spans="2:16" hidden="1" x14ac:dyDescent="0.3">
      <c r="B56" s="47">
        <v>46150</v>
      </c>
      <c r="C56" s="4" t="str">
        <f>_xlfn.XLOOKUP(tblMovimientos[[#This Row],[Cuenta Bancaria]],Listas!$B:$B,Listas!$A:$A,"")</f>
        <v>SSP Capital</v>
      </c>
      <c r="D56" s="48" t="s">
        <v>104</v>
      </c>
      <c r="E56" s="4" t="str">
        <f>_xlfn.XLOOKUP(tblMovimientos[[#This Row],[Cuenta Bancaria]],Listas!$B:$B,Listas!$C:$C,"")</f>
        <v xml:space="preserve">Amerant Bank </v>
      </c>
      <c r="F56" s="49" t="s">
        <v>10</v>
      </c>
      <c r="G56" s="48" t="s">
        <v>44</v>
      </c>
      <c r="H56" s="4" t="str">
        <f>IFERROR(_xlfn.XLOOKUP(G56,Listas!E:E,Listas!F:F,""),"")</f>
        <v>Operativo</v>
      </c>
      <c r="I56" s="4" t="str">
        <f>IFERROR(_xlfn.XLOOKUP(G56,Listas!E:E,Listas!G:G,""),"")</f>
        <v>Externo</v>
      </c>
      <c r="J56" s="51">
        <v>2382.7199999999998</v>
      </c>
      <c r="K56" s="5">
        <f t="shared" si="0"/>
        <v>-2382.7199999999998</v>
      </c>
      <c r="L56" s="6" t="s">
        <v>93</v>
      </c>
      <c r="M56" s="52">
        <f>SUMIFS('Saldos Iniciales'!$D$2:$D$38,'Saldos Iniciales'!$A$2:$A$38,C56,'Saldos Iniciales'!$B$2:$B$38,D56)+SUMIFS($K$1:$K$1048575,$C$1:$C$1048575,C56,$D$1:$D$1048575,D56,$B$1:$B$1048575,"&lt;="&amp;B56)</f>
        <v>146354.18999999936</v>
      </c>
      <c r="N56" s="30" t="str">
        <f>IF(tblMovimientos[[#This Row],[Tipo de Movimiento]]="Ingreso",tblMovimientos[[#This Row],[Monto (S/)]],"0")</f>
        <v>0</v>
      </c>
      <c r="O56" s="30">
        <f>IF(tblMovimientos[[#This Row],[Tipo de Movimiento]]="Egreso",tblMovimientos[[#This Row],[Monto (S/)]],"0")</f>
        <v>2382.7199999999998</v>
      </c>
      <c r="P56" s="34">
        <f>IF(tblMovimientos[[#This Row],[Tipo de Movimiento]]="Ingreso",tblMovimientos[[#This Row],[Ingreso]],-tblMovimientos[[#This Row],[Egreso]])</f>
        <v>-2382.7199999999998</v>
      </c>
    </row>
    <row r="57" spans="2:16" hidden="1" x14ac:dyDescent="0.3">
      <c r="B57" s="47">
        <v>46150</v>
      </c>
      <c r="C57" s="4" t="str">
        <f>_xlfn.XLOOKUP(tblMovimientos[[#This Row],[Cuenta Bancaria]],Listas!$B:$B,Listas!$A:$A,"")</f>
        <v>A&amp;M Imports</v>
      </c>
      <c r="D57" s="48" t="s">
        <v>100</v>
      </c>
      <c r="E57" s="4" t="str">
        <f>_xlfn.XLOOKUP(tblMovimientos[[#This Row],[Cuenta Bancaria]],Listas!$B:$B,Listas!$C:$C,"")</f>
        <v>Bank of America</v>
      </c>
      <c r="F57" s="49" t="s">
        <v>9</v>
      </c>
      <c r="G57" s="48" t="s">
        <v>70</v>
      </c>
      <c r="H57" s="4" t="str">
        <f>IFERROR(_xlfn.XLOOKUP(G57,Listas!E:E,Listas!F:F,""),"")</f>
        <v>Operativo</v>
      </c>
      <c r="I57" s="4" t="str">
        <f>IFERROR(_xlfn.XLOOKUP(G57,Listas!E:E,Listas!G:G,""),"")</f>
        <v>Externo</v>
      </c>
      <c r="J57" s="51">
        <v>500000</v>
      </c>
      <c r="K57" s="5">
        <f t="shared" si="0"/>
        <v>500000</v>
      </c>
      <c r="L57" s="6" t="s">
        <v>93</v>
      </c>
      <c r="M57" s="52">
        <f>SUMIFS('Saldos Iniciales'!$D$2:$D$38,'Saldos Iniciales'!$A$2:$A$38,C57,'Saldos Iniciales'!$B$2:$B$38,D57)+SUMIFS($K$1:$K$1048575,$C$1:$C$1048575,C57,$D$1:$D$1048575,D57,$B$1:$B$1048575,"&lt;="&amp;B57)</f>
        <v>792366.49999999988</v>
      </c>
      <c r="N57" s="30">
        <f>IF(tblMovimientos[[#This Row],[Tipo de Movimiento]]="Ingreso",tblMovimientos[[#This Row],[Monto (S/)]],"0")</f>
        <v>500000</v>
      </c>
      <c r="O57" s="30" t="str">
        <f>IF(tblMovimientos[[#This Row],[Tipo de Movimiento]]="Egreso",tblMovimientos[[#This Row],[Monto (S/)]],"0")</f>
        <v>0</v>
      </c>
      <c r="P57" s="34">
        <f>IF(tblMovimientos[[#This Row],[Tipo de Movimiento]]="Ingreso",tblMovimientos[[#This Row],[Ingreso]],-tblMovimientos[[#This Row],[Egreso]])</f>
        <v>500000</v>
      </c>
    </row>
    <row r="58" spans="2:16" hidden="1" x14ac:dyDescent="0.3">
      <c r="B58" s="47">
        <v>46150</v>
      </c>
      <c r="C58" s="4" t="str">
        <f>_xlfn.XLOOKUP(tblMovimientos[[#This Row],[Cuenta Bancaria]],Listas!$B:$B,Listas!$A:$A,"")</f>
        <v>A&amp;M Imports</v>
      </c>
      <c r="D58" s="48" t="s">
        <v>100</v>
      </c>
      <c r="E58" s="4" t="str">
        <f>_xlfn.XLOOKUP(tblMovimientos[[#This Row],[Cuenta Bancaria]],Listas!$B:$B,Listas!$C:$C,"")</f>
        <v>Bank of America</v>
      </c>
      <c r="F58" s="49" t="s">
        <v>9</v>
      </c>
      <c r="G58" s="48" t="s">
        <v>68</v>
      </c>
      <c r="H58" s="4" t="str">
        <f>IFERROR(_xlfn.XLOOKUP(G58,Listas!E:E,Listas!F:F,""),"")</f>
        <v>Operativo</v>
      </c>
      <c r="I58" s="4" t="str">
        <f>IFERROR(_xlfn.XLOOKUP(G58,Listas!E:E,Listas!G:G,""),"")</f>
        <v>Externo</v>
      </c>
      <c r="J58" s="51">
        <v>17697.939999999999</v>
      </c>
      <c r="K58" s="5">
        <f t="shared" si="0"/>
        <v>17697.939999999999</v>
      </c>
      <c r="L58" s="6" t="s">
        <v>93</v>
      </c>
      <c r="M58" s="52">
        <f>SUMIFS('Saldos Iniciales'!$D$2:$D$38,'Saldos Iniciales'!$A$2:$A$38,C58,'Saldos Iniciales'!$B$2:$B$38,D58)+SUMIFS($K$1:$K$1048575,$C$1:$C$1048575,C58,$D$1:$D$1048575,D58,$B$1:$B$1048575,"&lt;="&amp;B58)</f>
        <v>792366.49999999988</v>
      </c>
      <c r="N58" s="30">
        <f>IF(tblMovimientos[[#This Row],[Tipo de Movimiento]]="Ingreso",tblMovimientos[[#This Row],[Monto (S/)]],"0")</f>
        <v>17697.939999999999</v>
      </c>
      <c r="O58" s="30" t="str">
        <f>IF(tblMovimientos[[#This Row],[Tipo de Movimiento]]="Egreso",tblMovimientos[[#This Row],[Monto (S/)]],"0")</f>
        <v>0</v>
      </c>
      <c r="P58" s="34">
        <f>IF(tblMovimientos[[#This Row],[Tipo de Movimiento]]="Ingreso",tblMovimientos[[#This Row],[Ingreso]],-tblMovimientos[[#This Row],[Egreso]])</f>
        <v>17697.939999999999</v>
      </c>
    </row>
    <row r="59" spans="2:16" hidden="1" x14ac:dyDescent="0.3">
      <c r="B59" s="47">
        <v>46150</v>
      </c>
      <c r="C59" s="4" t="str">
        <f>_xlfn.XLOOKUP(tblMovimientos[[#This Row],[Cuenta Bancaria]],Listas!$B:$B,Listas!$A:$A,"")</f>
        <v>CFT Group</v>
      </c>
      <c r="D59" s="48" t="s">
        <v>94</v>
      </c>
      <c r="E59" s="4" t="str">
        <f>_xlfn.XLOOKUP(tblMovimientos[[#This Row],[Cuenta Bancaria]],Listas!$B:$B,Listas!$C:$C,"")</f>
        <v>Bank of America</v>
      </c>
      <c r="F59" s="49" t="s">
        <v>9</v>
      </c>
      <c r="G59" s="48" t="s">
        <v>68</v>
      </c>
      <c r="H59" s="4" t="str">
        <f>IFERROR(_xlfn.XLOOKUP(G59,Listas!E:E,Listas!F:F,""),"")</f>
        <v>Operativo</v>
      </c>
      <c r="I59" s="4" t="str">
        <f>IFERROR(_xlfn.XLOOKUP(G59,Listas!E:E,Listas!G:G,""),"")</f>
        <v>Externo</v>
      </c>
      <c r="J59" s="51">
        <v>65164.32</v>
      </c>
      <c r="K59" s="5">
        <f t="shared" si="0"/>
        <v>65164.32</v>
      </c>
      <c r="L59" s="6" t="s">
        <v>93</v>
      </c>
      <c r="M59" s="52">
        <f>SUMIFS('Saldos Iniciales'!$D$2:$D$38,'Saldos Iniciales'!$A$2:$A$38,C59,'Saldos Iniciales'!$B$2:$B$38,D59)+SUMIFS($K$1:$K$1048575,$C$1:$C$1048575,C59,$D$1:$D$1048575,D59,$B$1:$B$1048575,"&lt;="&amp;B59)</f>
        <v>67853.37</v>
      </c>
      <c r="N59" s="30">
        <f>IF(tblMovimientos[[#This Row],[Tipo de Movimiento]]="Ingreso",tblMovimientos[[#This Row],[Monto (S/)]],"0")</f>
        <v>65164.32</v>
      </c>
      <c r="O59" s="30" t="str">
        <f>IF(tblMovimientos[[#This Row],[Tipo de Movimiento]]="Egreso",tblMovimientos[[#This Row],[Monto (S/)]],"0")</f>
        <v>0</v>
      </c>
      <c r="P59" s="34">
        <f>IF(tblMovimientos[[#This Row],[Tipo de Movimiento]]="Ingreso",tblMovimientos[[#This Row],[Ingreso]],-tblMovimientos[[#This Row],[Egreso]])</f>
        <v>65164.32</v>
      </c>
    </row>
    <row r="60" spans="2:16" hidden="1" x14ac:dyDescent="0.3">
      <c r="B60" s="47">
        <v>46150</v>
      </c>
      <c r="C60" s="4" t="str">
        <f>_xlfn.XLOOKUP(tblMovimientos[[#This Row],[Cuenta Bancaria]],Listas!$B:$B,Listas!$A:$A,"")</f>
        <v>2515 Overbrook</v>
      </c>
      <c r="D60" s="48" t="s">
        <v>121</v>
      </c>
      <c r="E60" s="4" t="str">
        <f>_xlfn.XLOOKUP(tblMovimientos[[#This Row],[Cuenta Bancaria]],Listas!$B:$B,Listas!$C:$C,"")</f>
        <v>Bank of America</v>
      </c>
      <c r="F60" s="49" t="s">
        <v>10</v>
      </c>
      <c r="G60" s="48" t="s">
        <v>38</v>
      </c>
      <c r="H60" s="4" t="str">
        <f>IFERROR(_xlfn.XLOOKUP(G60,Listas!E:E,Listas!F:F,""),"")</f>
        <v>Operativo</v>
      </c>
      <c r="I60" s="4" t="str">
        <f>IFERROR(_xlfn.XLOOKUP(G60,Listas!E:E,Listas!G:G,""),"")</f>
        <v>Externo</v>
      </c>
      <c r="J60" s="51">
        <v>2625</v>
      </c>
      <c r="K60" s="5">
        <f t="shared" si="0"/>
        <v>-2625</v>
      </c>
      <c r="L60" s="6" t="s">
        <v>93</v>
      </c>
      <c r="M60" s="52">
        <f>SUMIFS('Saldos Iniciales'!$D$2:$D$38,'Saldos Iniciales'!$A$2:$A$38,C60,'Saldos Iniciales'!$B$2:$B$38,D60)+SUMIFS($K$1:$K$1048575,$C$1:$C$1048575,C60,$D$1:$D$1048575,D60,$B$1:$B$1048575,"&lt;="&amp;B60)</f>
        <v>20252.179999999964</v>
      </c>
      <c r="N60" s="30" t="str">
        <f>IF(tblMovimientos[[#This Row],[Tipo de Movimiento]]="Ingreso",tblMovimientos[[#This Row],[Monto (S/)]],"0")</f>
        <v>0</v>
      </c>
      <c r="O60" s="30">
        <f>IF(tblMovimientos[[#This Row],[Tipo de Movimiento]]="Egreso",tblMovimientos[[#This Row],[Monto (S/)]],"0")</f>
        <v>2625</v>
      </c>
      <c r="P60" s="34">
        <f>IF(tblMovimientos[[#This Row],[Tipo de Movimiento]]="Ingreso",tblMovimientos[[#This Row],[Ingreso]],-tblMovimientos[[#This Row],[Egreso]])</f>
        <v>-2625</v>
      </c>
    </row>
    <row r="61" spans="2:16" hidden="1" x14ac:dyDescent="0.3">
      <c r="B61" s="47">
        <v>46150</v>
      </c>
      <c r="C61" s="4" t="str">
        <f>_xlfn.XLOOKUP(tblMovimientos[[#This Row],[Cuenta Bancaria]],Listas!$B:$B,Listas!$A:$A,"")</f>
        <v>2515 Overbrook</v>
      </c>
      <c r="D61" s="48" t="s">
        <v>121</v>
      </c>
      <c r="E61" s="4" t="str">
        <f>_xlfn.XLOOKUP(tblMovimientos[[#This Row],[Cuenta Bancaria]],Listas!$B:$B,Listas!$C:$C,"")</f>
        <v>Bank of America</v>
      </c>
      <c r="F61" s="49" t="s">
        <v>10</v>
      </c>
      <c r="G61" s="48" t="s">
        <v>44</v>
      </c>
      <c r="H61" s="4" t="str">
        <f>IFERROR(_xlfn.XLOOKUP(G61,Listas!E:E,Listas!F:F,""),"")</f>
        <v>Operativo</v>
      </c>
      <c r="I61" s="4" t="str">
        <f>IFERROR(_xlfn.XLOOKUP(G61,Listas!E:E,Listas!G:G,""),"")</f>
        <v>Externo</v>
      </c>
      <c r="J61" s="51">
        <v>30</v>
      </c>
      <c r="K61" s="5">
        <f t="shared" si="0"/>
        <v>-30</v>
      </c>
      <c r="L61" s="6" t="s">
        <v>93</v>
      </c>
      <c r="M61" s="52">
        <f>SUMIFS('Saldos Iniciales'!$D$2:$D$38,'Saldos Iniciales'!$A$2:$A$38,C61,'Saldos Iniciales'!$B$2:$B$38,D61)+SUMIFS($K$1:$K$1048575,$C$1:$C$1048575,C61,$D$1:$D$1048575,D61,$B$1:$B$1048575,"&lt;="&amp;B61)</f>
        <v>20252.179999999964</v>
      </c>
      <c r="N61" s="30" t="str">
        <f>IF(tblMovimientos[[#This Row],[Tipo de Movimiento]]="Ingreso",tblMovimientos[[#This Row],[Monto (S/)]],"0")</f>
        <v>0</v>
      </c>
      <c r="O61" s="30">
        <f>IF(tblMovimientos[[#This Row],[Tipo de Movimiento]]="Egreso",tblMovimientos[[#This Row],[Monto (S/)]],"0")</f>
        <v>30</v>
      </c>
      <c r="P61" s="34">
        <f>IF(tblMovimientos[[#This Row],[Tipo de Movimiento]]="Ingreso",tblMovimientos[[#This Row],[Ingreso]],-tblMovimientos[[#This Row],[Egreso]])</f>
        <v>-30</v>
      </c>
    </row>
    <row r="62" spans="2:16" hidden="1" x14ac:dyDescent="0.3">
      <c r="B62" s="47">
        <v>46150</v>
      </c>
      <c r="C62" s="4" t="str">
        <f>_xlfn.XLOOKUP(tblMovimientos[[#This Row],[Cuenta Bancaria]],Listas!$B:$B,Listas!$A:$A,"")</f>
        <v>112 Florida Ave</v>
      </c>
      <c r="D62" s="48" t="s">
        <v>123</v>
      </c>
      <c r="E62" s="4" t="str">
        <f>_xlfn.XLOOKUP(tblMovimientos[[#This Row],[Cuenta Bancaria]],Listas!$B:$B,Listas!$C:$C,"")</f>
        <v>Bank of America</v>
      </c>
      <c r="F62" s="49" t="s">
        <v>10</v>
      </c>
      <c r="G62" s="48" t="s">
        <v>44</v>
      </c>
      <c r="H62" s="4" t="str">
        <f>IFERROR(_xlfn.XLOOKUP(G62,Listas!E:E,Listas!F:F,""),"")</f>
        <v>Operativo</v>
      </c>
      <c r="I62" s="4" t="str">
        <f>IFERROR(_xlfn.XLOOKUP(G62,Listas!E:E,Listas!G:G,""),"")</f>
        <v>Externo</v>
      </c>
      <c r="J62" s="51">
        <v>15</v>
      </c>
      <c r="K62" s="5">
        <f t="shared" si="0"/>
        <v>-15</v>
      </c>
      <c r="L62" s="6" t="s">
        <v>93</v>
      </c>
      <c r="M62" s="52">
        <f>SUMIFS('Saldos Iniciales'!$D$2:$D$38,'Saldos Iniciales'!$A$2:$A$38,C62,'Saldos Iniciales'!$B$2:$B$38,D62)+SUMIFS($K$1:$K$1048575,$C$1:$C$1048575,C62,$D$1:$D$1048575,D62,$B$1:$B$1048575,"&lt;="&amp;B62)</f>
        <v>15120.060000000001</v>
      </c>
      <c r="N62" s="30" t="str">
        <f>IF(tblMovimientos[[#This Row],[Tipo de Movimiento]]="Ingreso",tblMovimientos[[#This Row],[Monto (S/)]],"0")</f>
        <v>0</v>
      </c>
      <c r="O62" s="30">
        <f>IF(tblMovimientos[[#This Row],[Tipo de Movimiento]]="Egreso",tblMovimientos[[#This Row],[Monto (S/)]],"0")</f>
        <v>15</v>
      </c>
      <c r="P62" s="34">
        <f>IF(tblMovimientos[[#This Row],[Tipo de Movimiento]]="Ingreso",tblMovimientos[[#This Row],[Ingreso]],-tblMovimientos[[#This Row],[Egreso]])</f>
        <v>-15</v>
      </c>
    </row>
    <row r="63" spans="2:16" hidden="1" x14ac:dyDescent="0.3">
      <c r="B63" s="47">
        <v>46150</v>
      </c>
      <c r="C63" s="4" t="str">
        <f>_xlfn.XLOOKUP(tblMovimientos[[#This Row],[Cuenta Bancaria]],Listas!$B:$B,Listas!$A:$A,"")</f>
        <v>3628 Thomas Ave</v>
      </c>
      <c r="D63" s="48" t="s">
        <v>124</v>
      </c>
      <c r="E63" s="4" t="str">
        <f>_xlfn.XLOOKUP(tblMovimientos[[#This Row],[Cuenta Bancaria]],Listas!$B:$B,Listas!$C:$C,"")</f>
        <v>Bank of America</v>
      </c>
      <c r="F63" s="49" t="s">
        <v>10</v>
      </c>
      <c r="G63" s="48" t="s">
        <v>44</v>
      </c>
      <c r="H63" s="4" t="str">
        <f>IFERROR(_xlfn.XLOOKUP(G63,Listas!E:E,Listas!F:F,""),"")</f>
        <v>Operativo</v>
      </c>
      <c r="I63" s="4" t="str">
        <f>IFERROR(_xlfn.XLOOKUP(G63,Listas!E:E,Listas!G:G,""),"")</f>
        <v>Externo</v>
      </c>
      <c r="J63" s="51">
        <v>15</v>
      </c>
      <c r="K63" s="5">
        <f t="shared" si="0"/>
        <v>-15</v>
      </c>
      <c r="L63" s="6" t="s">
        <v>93</v>
      </c>
      <c r="M63" s="52">
        <f>SUMIFS('Saldos Iniciales'!$D$2:$D$38,'Saldos Iniciales'!$A$2:$A$38,C63,'Saldos Iniciales'!$B$2:$B$38,D63)+SUMIFS($K$1:$K$1048575,$C$1:$C$1048575,C63,$D$1:$D$1048575,D63,$B$1:$B$1048575,"&lt;="&amp;B63)</f>
        <v>31323.39</v>
      </c>
      <c r="N63" s="30" t="str">
        <f>IF(tblMovimientos[[#This Row],[Tipo de Movimiento]]="Ingreso",tblMovimientos[[#This Row],[Monto (S/)]],"0")</f>
        <v>0</v>
      </c>
      <c r="O63" s="30">
        <f>IF(tblMovimientos[[#This Row],[Tipo de Movimiento]]="Egreso",tblMovimientos[[#This Row],[Monto (S/)]],"0")</f>
        <v>15</v>
      </c>
      <c r="P63" s="34">
        <f>IF(tblMovimientos[[#This Row],[Tipo de Movimiento]]="Ingreso",tblMovimientos[[#This Row],[Ingreso]],-tblMovimientos[[#This Row],[Egreso]])</f>
        <v>-15</v>
      </c>
    </row>
    <row r="64" spans="2:16" hidden="1" x14ac:dyDescent="0.3">
      <c r="B64" s="47">
        <v>46150</v>
      </c>
      <c r="C64" s="4" t="str">
        <f>_xlfn.XLOOKUP(tblMovimientos[[#This Row],[Cuenta Bancaria]],Listas!$B:$B,Listas!$A:$A,"")</f>
        <v>M1B</v>
      </c>
      <c r="D64" s="48" t="s">
        <v>97</v>
      </c>
      <c r="E64" s="4" t="str">
        <f>_xlfn.XLOOKUP(tblMovimientos[[#This Row],[Cuenta Bancaria]],Listas!$B:$B,Listas!$C:$C,"")</f>
        <v xml:space="preserve">Amerant Bank </v>
      </c>
      <c r="F64" s="49" t="s">
        <v>9</v>
      </c>
      <c r="G64" s="48" t="s">
        <v>68</v>
      </c>
      <c r="H64" s="4" t="str">
        <f>IFERROR(_xlfn.XLOOKUP(G64,Listas!E:E,Listas!F:F,""),"")</f>
        <v>Operativo</v>
      </c>
      <c r="I64" s="4" t="str">
        <f>IFERROR(_xlfn.XLOOKUP(G64,Listas!E:E,Listas!G:G,""),"")</f>
        <v>Externo</v>
      </c>
      <c r="J64" s="51">
        <v>2552.06</v>
      </c>
      <c r="K64" s="5">
        <f t="shared" si="0"/>
        <v>2552.06</v>
      </c>
      <c r="L64" s="6" t="s">
        <v>93</v>
      </c>
      <c r="M64" s="52">
        <f>SUMIFS('Saldos Iniciales'!$D$2:$D$38,'Saldos Iniciales'!$A$2:$A$38,C64,'Saldos Iniciales'!$B$2:$B$38,D64)+SUMIFS($K$1:$K$1048575,$C$1:$C$1048575,C64,$D$1:$D$1048575,D64,$B$1:$B$1048575,"&lt;="&amp;B64)</f>
        <v>53840.089999999938</v>
      </c>
      <c r="N64" s="30">
        <f>IF(tblMovimientos[[#This Row],[Tipo de Movimiento]]="Ingreso",tblMovimientos[[#This Row],[Monto (S/)]],"0")</f>
        <v>2552.06</v>
      </c>
      <c r="O64" s="30" t="str">
        <f>IF(tblMovimientos[[#This Row],[Tipo de Movimiento]]="Egreso",tblMovimientos[[#This Row],[Monto (S/)]],"0")</f>
        <v>0</v>
      </c>
      <c r="P64" s="34">
        <f>IF(tblMovimientos[[#This Row],[Tipo de Movimiento]]="Ingreso",tblMovimientos[[#This Row],[Ingreso]],-tblMovimientos[[#This Row],[Egreso]])</f>
        <v>2552.06</v>
      </c>
    </row>
    <row r="65" spans="2:16" hidden="1" x14ac:dyDescent="0.3">
      <c r="B65" s="47">
        <v>46150</v>
      </c>
      <c r="C65" s="4" t="str">
        <f>_xlfn.XLOOKUP(tblMovimientos[[#This Row],[Cuenta Bancaria]],Listas!$B:$B,Listas!$A:$A,"")</f>
        <v>Go Blue</v>
      </c>
      <c r="D65" s="48" t="s">
        <v>126</v>
      </c>
      <c r="E65" s="4" t="str">
        <f>_xlfn.XLOOKUP(tblMovimientos[[#This Row],[Cuenta Bancaria]],Listas!$B:$B,Listas!$C:$C,"")</f>
        <v xml:space="preserve">Amerant Bank </v>
      </c>
      <c r="F65" s="49" t="s">
        <v>9</v>
      </c>
      <c r="G65" s="48" t="s">
        <v>77</v>
      </c>
      <c r="H65" s="4" t="str">
        <f>IFERROR(_xlfn.XLOOKUP(G65,Listas!E:E,Listas!F:F,""),"")</f>
        <v>Inversion</v>
      </c>
      <c r="I65" s="4" t="str">
        <f>IFERROR(_xlfn.XLOOKUP(G65,Listas!E:E,Listas!G:G,""),"")</f>
        <v>Interno</v>
      </c>
      <c r="J65" s="51">
        <v>15000</v>
      </c>
      <c r="K65" s="5">
        <f t="shared" si="0"/>
        <v>15000</v>
      </c>
      <c r="L65" s="6" t="s">
        <v>93</v>
      </c>
      <c r="M65" s="52">
        <f>SUMIFS('Saldos Iniciales'!$D$2:$D$38,'Saldos Iniciales'!$A$2:$A$38,C65,'Saldos Iniciales'!$B$2:$B$38,D65)+SUMIFS($K$1:$K$1048575,$C$1:$C$1048575,C65,$D$1:$D$1048575,D65,$B$1:$B$1048575,"&lt;="&amp;B65)</f>
        <v>23782.25</v>
      </c>
      <c r="N65" s="30">
        <f>IF(tblMovimientos[[#This Row],[Tipo de Movimiento]]="Ingreso",tblMovimientos[[#This Row],[Monto (S/)]],"0")</f>
        <v>15000</v>
      </c>
      <c r="O65" s="30" t="str">
        <f>IF(tblMovimientos[[#This Row],[Tipo de Movimiento]]="Egreso",tblMovimientos[[#This Row],[Monto (S/)]],"0")</f>
        <v>0</v>
      </c>
      <c r="P65" s="34">
        <f>IF(tblMovimientos[[#This Row],[Tipo de Movimiento]]="Ingreso",tblMovimientos[[#This Row],[Ingreso]],-tblMovimientos[[#This Row],[Egreso]])</f>
        <v>15000</v>
      </c>
    </row>
    <row r="66" spans="2:16" hidden="1" x14ac:dyDescent="0.3">
      <c r="B66" s="47">
        <v>46150</v>
      </c>
      <c r="C66" s="4" t="str">
        <f>_xlfn.XLOOKUP(tblMovimientos[[#This Row],[Cuenta Bancaria]],Listas!$B:$B,Listas!$A:$A,"")</f>
        <v>Cross Security Trust</v>
      </c>
      <c r="D66" s="48" t="s">
        <v>112</v>
      </c>
      <c r="E66" s="4" t="str">
        <f>_xlfn.XLOOKUP(tblMovimientos[[#This Row],[Cuenta Bancaria]],Listas!$B:$B,Listas!$C:$C,"")</f>
        <v>Bank of America</v>
      </c>
      <c r="F66" s="49" t="s">
        <v>10</v>
      </c>
      <c r="G66" s="48"/>
      <c r="H66" s="4">
        <f>IFERROR(_xlfn.XLOOKUP(G66,Listas!E:E,Listas!F:F,""),"")</f>
        <v>0</v>
      </c>
      <c r="I66" s="4">
        <f>IFERROR(_xlfn.XLOOKUP(G66,Listas!E:E,Listas!G:G,""),"")</f>
        <v>0</v>
      </c>
      <c r="J66" s="51">
        <v>1500000</v>
      </c>
      <c r="K66" s="5">
        <f t="shared" ref="K66:K129" si="1">IF(F66="Ingreso",J66,-J66)</f>
        <v>-1500000</v>
      </c>
      <c r="L66" s="6" t="s">
        <v>93</v>
      </c>
      <c r="M66" s="52">
        <f>SUMIFS('Saldos Iniciales'!$D$2:$D$38,'Saldos Iniciales'!$A$2:$A$38,C66,'Saldos Iniciales'!$B$2:$B$38,D66)+SUMIFS($K$1:$K$1048575,$C$1:$C$1048575,C66,$D$1:$D$1048575,D66,$B$1:$B$1048575,"&lt;="&amp;B66)</f>
        <v>13088.589999999997</v>
      </c>
      <c r="N66" s="30" t="str">
        <f>IF(tblMovimientos[[#This Row],[Tipo de Movimiento]]="Ingreso",tblMovimientos[[#This Row],[Monto (S/)]],"0")</f>
        <v>0</v>
      </c>
      <c r="O66" s="30">
        <f>IF(tblMovimientos[[#This Row],[Tipo de Movimiento]]="Egreso",tblMovimientos[[#This Row],[Monto (S/)]],"0")</f>
        <v>1500000</v>
      </c>
      <c r="P66" s="34">
        <f>IF(tblMovimientos[[#This Row],[Tipo de Movimiento]]="Ingreso",tblMovimientos[[#This Row],[Ingreso]],-tblMovimientos[[#This Row],[Egreso]])</f>
        <v>-1500000</v>
      </c>
    </row>
    <row r="67" spans="2:16" hidden="1" x14ac:dyDescent="0.3">
      <c r="B67" s="47">
        <v>46150</v>
      </c>
      <c r="C67" s="4" t="str">
        <f>_xlfn.XLOOKUP(tblMovimientos[[#This Row],[Cuenta Bancaria]],Listas!$B:$B,Listas!$A:$A,"")</f>
        <v>Soweto</v>
      </c>
      <c r="D67" s="48" t="s">
        <v>116</v>
      </c>
      <c r="E67" s="4" t="str">
        <f>_xlfn.XLOOKUP(tblMovimientos[[#This Row],[Cuenta Bancaria]],Listas!$B:$B,Listas!$C:$C,"")</f>
        <v>Citibank</v>
      </c>
      <c r="F67" s="49" t="s">
        <v>10</v>
      </c>
      <c r="G67" s="48"/>
      <c r="H67" s="4">
        <f>IFERROR(_xlfn.XLOOKUP(G67,Listas!E:E,Listas!F:F,""),"")</f>
        <v>0</v>
      </c>
      <c r="I67" s="4">
        <f>IFERROR(_xlfn.XLOOKUP(G67,Listas!E:E,Listas!G:G,""),"")</f>
        <v>0</v>
      </c>
      <c r="J67" s="51">
        <v>15</v>
      </c>
      <c r="K67" s="5">
        <f t="shared" si="1"/>
        <v>-15</v>
      </c>
      <c r="L67" s="6" t="s">
        <v>93</v>
      </c>
      <c r="M67" s="52">
        <f>SUMIFS('Saldos Iniciales'!$D$2:$D$38,'Saldos Iniciales'!$A$2:$A$38,C67,'Saldos Iniciales'!$B$2:$B$38,D67)+SUMIFS($K$1:$K$1048575,$C$1:$C$1048575,C67,$D$1:$D$1048575,D67,$B$1:$B$1048575,"&lt;="&amp;B67)</f>
        <v>3349.94</v>
      </c>
      <c r="N67" s="30" t="str">
        <f>IF(tblMovimientos[[#This Row],[Tipo de Movimiento]]="Ingreso",tblMovimientos[[#This Row],[Monto (S/)]],"0")</f>
        <v>0</v>
      </c>
      <c r="O67" s="30">
        <f>IF(tblMovimientos[[#This Row],[Tipo de Movimiento]]="Egreso",tblMovimientos[[#This Row],[Monto (S/)]],"0")</f>
        <v>15</v>
      </c>
      <c r="P67" s="34">
        <f>IF(tblMovimientos[[#This Row],[Tipo de Movimiento]]="Ingreso",tblMovimientos[[#This Row],[Ingreso]],-tblMovimientos[[#This Row],[Egreso]])</f>
        <v>-15</v>
      </c>
    </row>
    <row r="68" spans="2:16" hidden="1" x14ac:dyDescent="0.3">
      <c r="B68" s="47">
        <v>46153</v>
      </c>
      <c r="C68" s="4" t="str">
        <f>_xlfn.XLOOKUP(tblMovimientos[[#This Row],[Cuenta Bancaria]],Listas!$B:$B,Listas!$A:$A,"")</f>
        <v>Go Blue</v>
      </c>
      <c r="D68" s="48" t="s">
        <v>126</v>
      </c>
      <c r="E68" s="4" t="str">
        <f>_xlfn.XLOOKUP(tblMovimientos[[#This Row],[Cuenta Bancaria]],Listas!$B:$B,Listas!$C:$C,"")</f>
        <v xml:space="preserve">Amerant Bank </v>
      </c>
      <c r="F68" s="49" t="s">
        <v>10</v>
      </c>
      <c r="G68" s="48" t="s">
        <v>38</v>
      </c>
      <c r="H68" s="4" t="str">
        <f>IFERROR(_xlfn.XLOOKUP(G68,Listas!E:E,Listas!F:F,""),"")</f>
        <v>Operativo</v>
      </c>
      <c r="I68" s="4" t="str">
        <f>IFERROR(_xlfn.XLOOKUP(G68,Listas!E:E,Listas!G:G,""),"")</f>
        <v>Externo</v>
      </c>
      <c r="J68" s="51">
        <v>20</v>
      </c>
      <c r="K68" s="5">
        <f t="shared" si="1"/>
        <v>-20</v>
      </c>
      <c r="L68" s="6" t="s">
        <v>93</v>
      </c>
      <c r="M68" s="52">
        <f>SUMIFS('Saldos Iniciales'!$D$2:$D$38,'Saldos Iniciales'!$A$2:$A$38,C68,'Saldos Iniciales'!$B$2:$B$38,D68)+SUMIFS($K$1:$K$1048575,$C$1:$C$1048575,C68,$D$1:$D$1048575,D68,$B$1:$B$1048575,"&lt;="&amp;B68)</f>
        <v>16956.59</v>
      </c>
      <c r="N68" s="30" t="str">
        <f>IF(tblMovimientos[[#This Row],[Tipo de Movimiento]]="Ingreso",tblMovimientos[[#This Row],[Monto (S/)]],"0")</f>
        <v>0</v>
      </c>
      <c r="O68" s="30">
        <f>IF(tblMovimientos[[#This Row],[Tipo de Movimiento]]="Egreso",tblMovimientos[[#This Row],[Monto (S/)]],"0")</f>
        <v>20</v>
      </c>
      <c r="P68" s="34">
        <f>IF(tblMovimientos[[#This Row],[Tipo de Movimiento]]="Ingreso",tblMovimientos[[#This Row],[Ingreso]],-tblMovimientos[[#This Row],[Egreso]])</f>
        <v>-20</v>
      </c>
    </row>
    <row r="69" spans="2:16" hidden="1" x14ac:dyDescent="0.3">
      <c r="B69" s="47">
        <v>46153</v>
      </c>
      <c r="C69" s="4" t="str">
        <f>_xlfn.XLOOKUP(tblMovimientos[[#This Row],[Cuenta Bancaria]],Listas!$B:$B,Listas!$A:$A,"")</f>
        <v>A&amp;M Imports</v>
      </c>
      <c r="D69" s="48" t="s">
        <v>100</v>
      </c>
      <c r="E69" s="4" t="str">
        <f>_xlfn.XLOOKUP(tblMovimientos[[#This Row],[Cuenta Bancaria]],Listas!$B:$B,Listas!$C:$C,"")</f>
        <v>Bank of America</v>
      </c>
      <c r="F69" s="49" t="s">
        <v>9</v>
      </c>
      <c r="G69" s="48" t="s">
        <v>70</v>
      </c>
      <c r="H69" s="4" t="str">
        <f>IFERROR(_xlfn.XLOOKUP(G69,Listas!E:E,Listas!F:F,""),"")</f>
        <v>Operativo</v>
      </c>
      <c r="I69" s="4" t="str">
        <f>IFERROR(_xlfn.XLOOKUP(G69,Listas!E:E,Listas!G:G,""),"")</f>
        <v>Externo</v>
      </c>
      <c r="J69" s="51">
        <v>576000</v>
      </c>
      <c r="K69" s="5">
        <f t="shared" si="1"/>
        <v>576000</v>
      </c>
      <c r="L69" s="6" t="s">
        <v>93</v>
      </c>
      <c r="M69" s="52">
        <f>SUMIFS('Saldos Iniciales'!$D$2:$D$38,'Saldos Iniciales'!$A$2:$A$38,C69,'Saldos Iniciales'!$B$2:$B$38,D69)+SUMIFS($K$1:$K$1048575,$C$1:$C$1048575,C69,$D$1:$D$1048575,D69,$B$1:$B$1048575,"&lt;="&amp;B69)</f>
        <v>1368366.5</v>
      </c>
      <c r="N69" s="30">
        <f>IF(tblMovimientos[[#This Row],[Tipo de Movimiento]]="Ingreso",tblMovimientos[[#This Row],[Monto (S/)]],"0")</f>
        <v>576000</v>
      </c>
      <c r="O69" s="30" t="str">
        <f>IF(tblMovimientos[[#This Row],[Tipo de Movimiento]]="Egreso",tblMovimientos[[#This Row],[Monto (S/)]],"0")</f>
        <v>0</v>
      </c>
      <c r="P69" s="34">
        <f>IF(tblMovimientos[[#This Row],[Tipo de Movimiento]]="Ingreso",tblMovimientos[[#This Row],[Ingreso]],-tblMovimientos[[#This Row],[Egreso]])</f>
        <v>576000</v>
      </c>
    </row>
    <row r="70" spans="2:16" hidden="1" x14ac:dyDescent="0.3">
      <c r="B70" s="47">
        <v>46153</v>
      </c>
      <c r="C70" s="4" t="str">
        <f>_xlfn.XLOOKUP(tblMovimientos[[#This Row],[Cuenta Bancaria]],Listas!$B:$B,Listas!$A:$A,"")</f>
        <v>2515 Overbrook</v>
      </c>
      <c r="D70" s="48" t="s">
        <v>121</v>
      </c>
      <c r="E70" s="4" t="str">
        <f>_xlfn.XLOOKUP(tblMovimientos[[#This Row],[Cuenta Bancaria]],Listas!$B:$B,Listas!$C:$C,"")</f>
        <v>Bank of America</v>
      </c>
      <c r="F70" s="49" t="s">
        <v>10</v>
      </c>
      <c r="G70" s="48" t="s">
        <v>38</v>
      </c>
      <c r="H70" s="4" t="str">
        <f>IFERROR(_xlfn.XLOOKUP(G70,Listas!E:E,Listas!F:F,""),"")</f>
        <v>Operativo</v>
      </c>
      <c r="I70" s="4" t="str">
        <f>IFERROR(_xlfn.XLOOKUP(G70,Listas!E:E,Listas!G:G,""),"")</f>
        <v>Externo</v>
      </c>
      <c r="J70" s="51">
        <v>1500</v>
      </c>
      <c r="K70" s="5">
        <f t="shared" si="1"/>
        <v>-1500</v>
      </c>
      <c r="L70" s="6" t="s">
        <v>93</v>
      </c>
      <c r="M70" s="52">
        <f>SUMIFS('Saldos Iniciales'!$D$2:$D$38,'Saldos Iniciales'!$A$2:$A$38,C70,'Saldos Iniciales'!$B$2:$B$38,D70)+SUMIFS($K$1:$K$1048575,$C$1:$C$1048575,C70,$D$1:$D$1048575,D70,$B$1:$B$1048575,"&lt;="&amp;B70)</f>
        <v>18752.179999999964</v>
      </c>
      <c r="N70" s="30" t="str">
        <f>IF(tblMovimientos[[#This Row],[Tipo de Movimiento]]="Ingreso",tblMovimientos[[#This Row],[Monto (S/)]],"0")</f>
        <v>0</v>
      </c>
      <c r="O70" s="30">
        <f>IF(tblMovimientos[[#This Row],[Tipo de Movimiento]]="Egreso",tblMovimientos[[#This Row],[Monto (S/)]],"0")</f>
        <v>1500</v>
      </c>
      <c r="P70" s="34">
        <f>IF(tblMovimientos[[#This Row],[Tipo de Movimiento]]="Ingreso",tblMovimientos[[#This Row],[Ingreso]],-tblMovimientos[[#This Row],[Egreso]])</f>
        <v>-1500</v>
      </c>
    </row>
    <row r="71" spans="2:16" hidden="1" x14ac:dyDescent="0.3">
      <c r="B71" s="47">
        <v>46153</v>
      </c>
      <c r="C71" s="4" t="str">
        <f>_xlfn.XLOOKUP(tblMovimientos[[#This Row],[Cuenta Bancaria]],Listas!$B:$B,Listas!$A:$A,"")</f>
        <v>SSP Capital</v>
      </c>
      <c r="D71" s="48" t="s">
        <v>101</v>
      </c>
      <c r="E71" s="4" t="str">
        <f>_xlfn.XLOOKUP(tblMovimientos[[#This Row],[Cuenta Bancaria]],Listas!$B:$B,Listas!$C:$C,"")</f>
        <v>Bank of America</v>
      </c>
      <c r="F71" s="49" t="s">
        <v>10</v>
      </c>
      <c r="G71" s="48" t="s">
        <v>38</v>
      </c>
      <c r="H71" s="4" t="str">
        <f>IFERROR(_xlfn.XLOOKUP(G71,Listas!E:E,Listas!F:F,""),"")</f>
        <v>Operativo</v>
      </c>
      <c r="I71" s="4" t="str">
        <f>IFERROR(_xlfn.XLOOKUP(G71,Listas!E:E,Listas!G:G,""),"")</f>
        <v>Externo</v>
      </c>
      <c r="J71" s="51">
        <v>1291.6500000000001</v>
      </c>
      <c r="K71" s="5">
        <f t="shared" si="1"/>
        <v>-1291.6500000000001</v>
      </c>
      <c r="L71" s="6" t="s">
        <v>93</v>
      </c>
      <c r="M71" s="52">
        <f>SUMIFS('Saldos Iniciales'!$D$2:$D$38,'Saldos Iniciales'!$A$2:$A$38,C71,'Saldos Iniciales'!$B$2:$B$38,D71)+SUMIFS($K$1:$K$1048575,$C$1:$C$1048575,C71,$D$1:$D$1048575,D71,$B$1:$B$1048575,"&lt;="&amp;B71)</f>
        <v>18034.2</v>
      </c>
      <c r="N71" s="30" t="str">
        <f>IF(tblMovimientos[[#This Row],[Tipo de Movimiento]]="Ingreso",tblMovimientos[[#This Row],[Monto (S/)]],"0")</f>
        <v>0</v>
      </c>
      <c r="O71" s="30">
        <f>IF(tblMovimientos[[#This Row],[Tipo de Movimiento]]="Egreso",tblMovimientos[[#This Row],[Monto (S/)]],"0")</f>
        <v>1291.6500000000001</v>
      </c>
      <c r="P71" s="34">
        <f>IF(tblMovimientos[[#This Row],[Tipo de Movimiento]]="Ingreso",tblMovimientos[[#This Row],[Ingreso]],-tblMovimientos[[#This Row],[Egreso]])</f>
        <v>-1291.6500000000001</v>
      </c>
    </row>
    <row r="72" spans="2:16" hidden="1" x14ac:dyDescent="0.3">
      <c r="B72" s="47">
        <v>46153</v>
      </c>
      <c r="C72" s="4" t="str">
        <f>_xlfn.XLOOKUP(tblMovimientos[[#This Row],[Cuenta Bancaria]],Listas!$B:$B,Listas!$A:$A,"")</f>
        <v>Go Blue</v>
      </c>
      <c r="D72" s="48" t="s">
        <v>126</v>
      </c>
      <c r="E72" s="4" t="str">
        <f>_xlfn.XLOOKUP(tblMovimientos[[#This Row],[Cuenta Bancaria]],Listas!$B:$B,Listas!$C:$C,"")</f>
        <v xml:space="preserve">Amerant Bank </v>
      </c>
      <c r="F72" s="49" t="s">
        <v>10</v>
      </c>
      <c r="G72" s="48" t="s">
        <v>38</v>
      </c>
      <c r="H72" s="4" t="str">
        <f>IFERROR(_xlfn.XLOOKUP(G72,Listas!E:E,Listas!F:F,""),"")</f>
        <v>Operativo</v>
      </c>
      <c r="I72" s="4" t="str">
        <f>IFERROR(_xlfn.XLOOKUP(G72,Listas!E:E,Listas!G:G,""),"")</f>
        <v>Externo</v>
      </c>
      <c r="J72" s="51">
        <v>65.86</v>
      </c>
      <c r="K72" s="5">
        <f t="shared" si="1"/>
        <v>-65.86</v>
      </c>
      <c r="L72" s="6" t="s">
        <v>93</v>
      </c>
      <c r="M72" s="52">
        <f>SUMIFS('Saldos Iniciales'!$D$2:$D$38,'Saldos Iniciales'!$A$2:$A$38,C72,'Saldos Iniciales'!$B$2:$B$38,D72)+SUMIFS($K$1:$K$1048575,$C$1:$C$1048575,C72,$D$1:$D$1048575,D72,$B$1:$B$1048575,"&lt;="&amp;B72)</f>
        <v>16956.59</v>
      </c>
      <c r="N72" s="30" t="str">
        <f>IF(tblMovimientos[[#This Row],[Tipo de Movimiento]]="Ingreso",tblMovimientos[[#This Row],[Monto (S/)]],"0")</f>
        <v>0</v>
      </c>
      <c r="O72" s="30">
        <f>IF(tblMovimientos[[#This Row],[Tipo de Movimiento]]="Egreso",tblMovimientos[[#This Row],[Monto (S/)]],"0")</f>
        <v>65.86</v>
      </c>
      <c r="P72" s="34">
        <f>IF(tblMovimientos[[#This Row],[Tipo de Movimiento]]="Ingreso",tblMovimientos[[#This Row],[Ingreso]],-tblMovimientos[[#This Row],[Egreso]])</f>
        <v>-65.86</v>
      </c>
    </row>
    <row r="73" spans="2:16" hidden="1" x14ac:dyDescent="0.3">
      <c r="B73" s="47">
        <v>46153</v>
      </c>
      <c r="C73" s="4" t="str">
        <f>_xlfn.XLOOKUP(tblMovimientos[[#This Row],[Cuenta Bancaria]],Listas!$B:$B,Listas!$A:$A,"")</f>
        <v>Go Blue</v>
      </c>
      <c r="D73" s="48" t="s">
        <v>126</v>
      </c>
      <c r="E73" s="4" t="str">
        <f>_xlfn.XLOOKUP(tblMovimientos[[#This Row],[Cuenta Bancaria]],Listas!$B:$B,Listas!$C:$C,"")</f>
        <v xml:space="preserve">Amerant Bank </v>
      </c>
      <c r="F73" s="49" t="s">
        <v>10</v>
      </c>
      <c r="G73" s="48" t="s">
        <v>38</v>
      </c>
      <c r="H73" s="4" t="str">
        <f>IFERROR(_xlfn.XLOOKUP(G73,Listas!E:E,Listas!F:F,""),"")</f>
        <v>Operativo</v>
      </c>
      <c r="I73" s="4" t="str">
        <f>IFERROR(_xlfn.XLOOKUP(G73,Listas!E:E,Listas!G:G,""),"")</f>
        <v>Externo</v>
      </c>
      <c r="J73" s="51">
        <v>163</v>
      </c>
      <c r="K73" s="5">
        <f t="shared" si="1"/>
        <v>-163</v>
      </c>
      <c r="L73" s="6" t="s">
        <v>93</v>
      </c>
      <c r="M73" s="52">
        <f>SUMIFS('Saldos Iniciales'!$D$2:$D$38,'Saldos Iniciales'!$A$2:$A$38,C73,'Saldos Iniciales'!$B$2:$B$38,D73)+SUMIFS($K$1:$K$1048575,$C$1:$C$1048575,C73,$D$1:$D$1048575,D73,$B$1:$B$1048575,"&lt;="&amp;B73)</f>
        <v>16956.59</v>
      </c>
      <c r="N73" s="30" t="str">
        <f>IF(tblMovimientos[[#This Row],[Tipo de Movimiento]]="Ingreso",tblMovimientos[[#This Row],[Monto (S/)]],"0")</f>
        <v>0</v>
      </c>
      <c r="O73" s="30">
        <f>IF(tblMovimientos[[#This Row],[Tipo de Movimiento]]="Egreso",tblMovimientos[[#This Row],[Monto (S/)]],"0")</f>
        <v>163</v>
      </c>
      <c r="P73" s="34">
        <f>IF(tblMovimientos[[#This Row],[Tipo de Movimiento]]="Ingreso",tblMovimientos[[#This Row],[Ingreso]],-tblMovimientos[[#This Row],[Egreso]])</f>
        <v>-163</v>
      </c>
    </row>
    <row r="74" spans="2:16" hidden="1" x14ac:dyDescent="0.3">
      <c r="B74" s="47">
        <v>46153</v>
      </c>
      <c r="C74" s="4" t="str">
        <f>_xlfn.XLOOKUP(tblMovimientos[[#This Row],[Cuenta Bancaria]],Listas!$B:$B,Listas!$A:$A,"")</f>
        <v>Go Blue</v>
      </c>
      <c r="D74" s="48" t="s">
        <v>126</v>
      </c>
      <c r="E74" s="4" t="str">
        <f>_xlfn.XLOOKUP(tblMovimientos[[#This Row],[Cuenta Bancaria]],Listas!$B:$B,Listas!$C:$C,"")</f>
        <v xml:space="preserve">Amerant Bank </v>
      </c>
      <c r="F74" s="49" t="s">
        <v>10</v>
      </c>
      <c r="G74" s="48" t="s">
        <v>38</v>
      </c>
      <c r="H74" s="4" t="str">
        <f>IFERROR(_xlfn.XLOOKUP(G74,Listas!E:E,Listas!F:F,""),"")</f>
        <v>Operativo</v>
      </c>
      <c r="I74" s="4" t="str">
        <f>IFERROR(_xlfn.XLOOKUP(G74,Listas!E:E,Listas!G:G,""),"")</f>
        <v>Externo</v>
      </c>
      <c r="J74" s="51">
        <v>576.79999999999995</v>
      </c>
      <c r="K74" s="5">
        <f t="shared" si="1"/>
        <v>-576.79999999999995</v>
      </c>
      <c r="L74" s="6" t="s">
        <v>93</v>
      </c>
      <c r="M74" s="52">
        <f>SUMIFS('Saldos Iniciales'!$D$2:$D$38,'Saldos Iniciales'!$A$2:$A$38,C74,'Saldos Iniciales'!$B$2:$B$38,D74)+SUMIFS($K$1:$K$1048575,$C$1:$C$1048575,C74,$D$1:$D$1048575,D74,$B$1:$B$1048575,"&lt;="&amp;B74)</f>
        <v>16956.59</v>
      </c>
      <c r="N74" s="30" t="str">
        <f>IF(tblMovimientos[[#This Row],[Tipo de Movimiento]]="Ingreso",tblMovimientos[[#This Row],[Monto (S/)]],"0")</f>
        <v>0</v>
      </c>
      <c r="O74" s="30">
        <f>IF(tblMovimientos[[#This Row],[Tipo de Movimiento]]="Egreso",tblMovimientos[[#This Row],[Monto (S/)]],"0")</f>
        <v>576.79999999999995</v>
      </c>
      <c r="P74" s="34">
        <f>IF(tblMovimientos[[#This Row],[Tipo de Movimiento]]="Ingreso",tblMovimientos[[#This Row],[Ingreso]],-tblMovimientos[[#This Row],[Egreso]])</f>
        <v>-576.79999999999995</v>
      </c>
    </row>
    <row r="75" spans="2:16" hidden="1" x14ac:dyDescent="0.3">
      <c r="B75" s="47">
        <v>46153</v>
      </c>
      <c r="C75" s="4" t="str">
        <f>_xlfn.XLOOKUP(tblMovimientos[[#This Row],[Cuenta Bancaria]],Listas!$B:$B,Listas!$A:$A,"")</f>
        <v>SSP Capital</v>
      </c>
      <c r="D75" s="48" t="s">
        <v>104</v>
      </c>
      <c r="E75" s="4" t="str">
        <f>_xlfn.XLOOKUP(tblMovimientos[[#This Row],[Cuenta Bancaria]],Listas!$B:$B,Listas!$C:$C,"")</f>
        <v xml:space="preserve">Amerant Bank </v>
      </c>
      <c r="F75" s="49" t="s">
        <v>9</v>
      </c>
      <c r="G75" s="48" t="s">
        <v>66</v>
      </c>
      <c r="H75" s="4" t="str">
        <f>IFERROR(_xlfn.XLOOKUP(G75,Listas!E:E,Listas!F:F,""),"")</f>
        <v>Inversion</v>
      </c>
      <c r="I75" s="4" t="str">
        <f>IFERROR(_xlfn.XLOOKUP(G75,Listas!E:E,Listas!G:G,""),"")</f>
        <v>Externo</v>
      </c>
      <c r="J75" s="51">
        <v>239975</v>
      </c>
      <c r="K75" s="5">
        <f t="shared" si="1"/>
        <v>239975</v>
      </c>
      <c r="L75" s="6" t="s">
        <v>93</v>
      </c>
      <c r="M75" s="52">
        <f>SUMIFS('Saldos Iniciales'!$D$2:$D$38,'Saldos Iniciales'!$A$2:$A$38,C75,'Saldos Iniciales'!$B$2:$B$38,D75)+SUMIFS($K$1:$K$1048575,$C$1:$C$1048575,C75,$D$1:$D$1048575,D75,$B$1:$B$1048575,"&lt;="&amp;B75)</f>
        <v>386329.18999999936</v>
      </c>
      <c r="N75" s="30">
        <f>IF(tblMovimientos[[#This Row],[Tipo de Movimiento]]="Ingreso",tblMovimientos[[#This Row],[Monto (S/)]],"0")</f>
        <v>239975</v>
      </c>
      <c r="O75" s="30" t="str">
        <f>IF(tblMovimientos[[#This Row],[Tipo de Movimiento]]="Egreso",tblMovimientos[[#This Row],[Monto (S/)]],"0")</f>
        <v>0</v>
      </c>
      <c r="P75" s="34">
        <f>IF(tblMovimientos[[#This Row],[Tipo de Movimiento]]="Ingreso",tblMovimientos[[#This Row],[Ingreso]],-tblMovimientos[[#This Row],[Egreso]])</f>
        <v>239975</v>
      </c>
    </row>
    <row r="76" spans="2:16" hidden="1" x14ac:dyDescent="0.3">
      <c r="B76" s="47">
        <v>46153</v>
      </c>
      <c r="C76" s="4" t="str">
        <f>_xlfn.XLOOKUP(tblMovimientos[[#This Row],[Cuenta Bancaria]],Listas!$B:$B,Listas!$A:$A,"")</f>
        <v>Go Blue</v>
      </c>
      <c r="D76" s="48" t="s">
        <v>126</v>
      </c>
      <c r="E76" s="4" t="str">
        <f>_xlfn.XLOOKUP(tblMovimientos[[#This Row],[Cuenta Bancaria]],Listas!$B:$B,Listas!$C:$C,"")</f>
        <v xml:space="preserve">Amerant Bank </v>
      </c>
      <c r="F76" s="49" t="s">
        <v>10</v>
      </c>
      <c r="G76" s="48" t="s">
        <v>38</v>
      </c>
      <c r="H76" s="4" t="str">
        <f>IFERROR(_xlfn.XLOOKUP(G76,Listas!E:E,Listas!F:F,""),"")</f>
        <v>Operativo</v>
      </c>
      <c r="I76" s="4" t="str">
        <f>IFERROR(_xlfn.XLOOKUP(G76,Listas!E:E,Listas!G:G,""),"")</f>
        <v>Externo</v>
      </c>
      <c r="J76" s="51">
        <v>6000</v>
      </c>
      <c r="K76" s="5">
        <f t="shared" si="1"/>
        <v>-6000</v>
      </c>
      <c r="L76" s="6" t="s">
        <v>93</v>
      </c>
      <c r="M76" s="52">
        <f>SUMIFS('Saldos Iniciales'!$D$2:$D$38,'Saldos Iniciales'!$A$2:$A$38,C76,'Saldos Iniciales'!$B$2:$B$38,D76)+SUMIFS($K$1:$K$1048575,$C$1:$C$1048575,C76,$D$1:$D$1048575,D76,$B$1:$B$1048575,"&lt;="&amp;B76)</f>
        <v>16956.59</v>
      </c>
      <c r="N76" s="30" t="str">
        <f>IF(tblMovimientos[[#This Row],[Tipo de Movimiento]]="Ingreso",tblMovimientos[[#This Row],[Monto (S/)]],"0")</f>
        <v>0</v>
      </c>
      <c r="O76" s="30">
        <f>IF(tblMovimientos[[#This Row],[Tipo de Movimiento]]="Egreso",tblMovimientos[[#This Row],[Monto (S/)]],"0")</f>
        <v>6000</v>
      </c>
      <c r="P76" s="34">
        <f>IF(tblMovimientos[[#This Row],[Tipo de Movimiento]]="Ingreso",tblMovimientos[[#This Row],[Ingreso]],-tblMovimientos[[#This Row],[Egreso]])</f>
        <v>-6000</v>
      </c>
    </row>
    <row r="77" spans="2:16" hidden="1" x14ac:dyDescent="0.3">
      <c r="B77" s="47">
        <v>46154</v>
      </c>
      <c r="C77" s="4" t="str">
        <f>_xlfn.XLOOKUP(tblMovimientos[[#This Row],[Cuenta Bancaria]],Listas!$B:$B,Listas!$A:$A,"")</f>
        <v>A&amp;M Imports</v>
      </c>
      <c r="D77" s="48" t="s">
        <v>100</v>
      </c>
      <c r="E77" s="4" t="str">
        <f>_xlfn.XLOOKUP(tblMovimientos[[#This Row],[Cuenta Bancaria]],Listas!$B:$B,Listas!$C:$C,"")</f>
        <v>Bank of America</v>
      </c>
      <c r="F77" s="49" t="s">
        <v>10</v>
      </c>
      <c r="G77" s="48" t="s">
        <v>61</v>
      </c>
      <c r="H77" s="4" t="str">
        <f>IFERROR(_xlfn.XLOOKUP(G77,Listas!E:E,Listas!F:F,""),"")</f>
        <v>Operativo</v>
      </c>
      <c r="I77" s="4" t="str">
        <f>IFERROR(_xlfn.XLOOKUP(G77,Listas!E:E,Listas!G:G,""),"")</f>
        <v>Externo</v>
      </c>
      <c r="J77" s="51">
        <v>60000</v>
      </c>
      <c r="K77" s="5">
        <f t="shared" si="1"/>
        <v>-60000</v>
      </c>
      <c r="L77" s="6" t="s">
        <v>93</v>
      </c>
      <c r="M77" s="52">
        <f>SUMIFS('Saldos Iniciales'!$D$2:$D$38,'Saldos Iniciales'!$A$2:$A$38,C77,'Saldos Iniciales'!$B$2:$B$38,D77)+SUMIFS($K$1:$K$1048575,$C$1:$C$1048575,C77,$D$1:$D$1048575,D77,$B$1:$B$1048575,"&lt;="&amp;B77)</f>
        <v>1226185.8999999999</v>
      </c>
      <c r="N77" s="30" t="str">
        <f>IF(tblMovimientos[[#This Row],[Tipo de Movimiento]]="Ingreso",tblMovimientos[[#This Row],[Monto (S/)]],"0")</f>
        <v>0</v>
      </c>
      <c r="O77" s="30">
        <f>IF(tblMovimientos[[#This Row],[Tipo de Movimiento]]="Egreso",tblMovimientos[[#This Row],[Monto (S/)]],"0")</f>
        <v>60000</v>
      </c>
      <c r="P77" s="34">
        <f>IF(tblMovimientos[[#This Row],[Tipo de Movimiento]]="Ingreso",tblMovimientos[[#This Row],[Ingreso]],-tblMovimientos[[#This Row],[Egreso]])</f>
        <v>-60000</v>
      </c>
    </row>
    <row r="78" spans="2:16" hidden="1" x14ac:dyDescent="0.3">
      <c r="B78" s="47">
        <v>46154</v>
      </c>
      <c r="C78" s="4" t="str">
        <f>_xlfn.XLOOKUP(tblMovimientos[[#This Row],[Cuenta Bancaria]],Listas!$B:$B,Listas!$A:$A,"")</f>
        <v>A&amp;M Imports</v>
      </c>
      <c r="D78" s="48" t="s">
        <v>100</v>
      </c>
      <c r="E78" s="4" t="str">
        <f>_xlfn.XLOOKUP(tblMovimientos[[#This Row],[Cuenta Bancaria]],Listas!$B:$B,Listas!$C:$C,"")</f>
        <v>Bank of America</v>
      </c>
      <c r="F78" s="49" t="s">
        <v>10</v>
      </c>
      <c r="G78" s="48" t="s">
        <v>51</v>
      </c>
      <c r="H78" s="4" t="str">
        <f>IFERROR(_xlfn.XLOOKUP(G78,Listas!E:E,Listas!F:F,""),"")</f>
        <v>Financiamiento</v>
      </c>
      <c r="I78" s="4" t="str">
        <f>IFERROR(_xlfn.XLOOKUP(G78,Listas!E:E,Listas!G:G,""),"")</f>
        <v>Externo</v>
      </c>
      <c r="J78" s="51">
        <v>82180.600000000006</v>
      </c>
      <c r="K78" s="5">
        <f t="shared" si="1"/>
        <v>-82180.600000000006</v>
      </c>
      <c r="L78" s="6" t="s">
        <v>93</v>
      </c>
      <c r="M78" s="52">
        <f>SUMIFS('Saldos Iniciales'!$D$2:$D$38,'Saldos Iniciales'!$A$2:$A$38,C78,'Saldos Iniciales'!$B$2:$B$38,D78)+SUMIFS($K$1:$K$1048575,$C$1:$C$1048575,C78,$D$1:$D$1048575,D78,$B$1:$B$1048575,"&lt;="&amp;B78)</f>
        <v>1226185.8999999999</v>
      </c>
      <c r="N78" s="30" t="str">
        <f>IF(tblMovimientos[[#This Row],[Tipo de Movimiento]]="Ingreso",tblMovimientos[[#This Row],[Monto (S/)]],"0")</f>
        <v>0</v>
      </c>
      <c r="O78" s="30">
        <f>IF(tblMovimientos[[#This Row],[Tipo de Movimiento]]="Egreso",tblMovimientos[[#This Row],[Monto (S/)]],"0")</f>
        <v>82180.600000000006</v>
      </c>
      <c r="P78" s="34">
        <f>IF(tblMovimientos[[#This Row],[Tipo de Movimiento]]="Ingreso",tblMovimientos[[#This Row],[Ingreso]],-tblMovimientos[[#This Row],[Egreso]])</f>
        <v>-82180.600000000006</v>
      </c>
    </row>
    <row r="79" spans="2:16" hidden="1" x14ac:dyDescent="0.3">
      <c r="B79" s="47">
        <v>46154</v>
      </c>
      <c r="C79" s="4" t="str">
        <f>_xlfn.XLOOKUP(tblMovimientos[[#This Row],[Cuenta Bancaria]],Listas!$B:$B,Listas!$A:$A,"")</f>
        <v>CFT Group</v>
      </c>
      <c r="D79" s="48" t="s">
        <v>94</v>
      </c>
      <c r="E79" s="4" t="str">
        <f>_xlfn.XLOOKUP(tblMovimientos[[#This Row],[Cuenta Bancaria]],Listas!$B:$B,Listas!$C:$C,"")</f>
        <v>Bank of America</v>
      </c>
      <c r="F79" s="49" t="s">
        <v>9</v>
      </c>
      <c r="G79" s="48" t="s">
        <v>68</v>
      </c>
      <c r="H79" s="4" t="str">
        <f>IFERROR(_xlfn.XLOOKUP(G79,Listas!E:E,Listas!F:F,""),"")</f>
        <v>Operativo</v>
      </c>
      <c r="I79" s="4" t="str">
        <f>IFERROR(_xlfn.XLOOKUP(G79,Listas!E:E,Listas!G:G,""),"")</f>
        <v>Externo</v>
      </c>
      <c r="J79" s="51">
        <v>93805.54</v>
      </c>
      <c r="K79" s="5">
        <f t="shared" si="1"/>
        <v>93805.54</v>
      </c>
      <c r="L79" s="6" t="s">
        <v>93</v>
      </c>
      <c r="M79" s="52">
        <f>SUMIFS('Saldos Iniciales'!$D$2:$D$38,'Saldos Iniciales'!$A$2:$A$38,C79,'Saldos Iniciales'!$B$2:$B$38,D79)+SUMIFS($K$1:$K$1048575,$C$1:$C$1048575,C79,$D$1:$D$1048575,D79,$B$1:$B$1048575,"&lt;="&amp;B79)</f>
        <v>161658.90999999997</v>
      </c>
      <c r="N79" s="30">
        <f>IF(tblMovimientos[[#This Row],[Tipo de Movimiento]]="Ingreso",tblMovimientos[[#This Row],[Monto (S/)]],"0")</f>
        <v>93805.54</v>
      </c>
      <c r="O79" s="30" t="str">
        <f>IF(tblMovimientos[[#This Row],[Tipo de Movimiento]]="Egreso",tblMovimientos[[#This Row],[Monto (S/)]],"0")</f>
        <v>0</v>
      </c>
      <c r="P79" s="34">
        <f>IF(tblMovimientos[[#This Row],[Tipo de Movimiento]]="Ingreso",tblMovimientos[[#This Row],[Ingreso]],-tblMovimientos[[#This Row],[Egreso]])</f>
        <v>93805.54</v>
      </c>
    </row>
    <row r="80" spans="2:16" hidden="1" x14ac:dyDescent="0.3">
      <c r="B80" s="47">
        <v>46154</v>
      </c>
      <c r="C80" s="4" t="str">
        <f>_xlfn.XLOOKUP(tblMovimientos[[#This Row],[Cuenta Bancaria]],Listas!$B:$B,Listas!$A:$A,"")</f>
        <v>Go Blue</v>
      </c>
      <c r="D80" s="48" t="s">
        <v>126</v>
      </c>
      <c r="E80" s="4" t="str">
        <f>_xlfn.XLOOKUP(tblMovimientos[[#This Row],[Cuenta Bancaria]],Listas!$B:$B,Listas!$C:$C,"")</f>
        <v xml:space="preserve">Amerant Bank </v>
      </c>
      <c r="F80" s="49" t="s">
        <v>10</v>
      </c>
      <c r="G80" s="48" t="s">
        <v>38</v>
      </c>
      <c r="H80" s="4" t="str">
        <f>IFERROR(_xlfn.XLOOKUP(G80,Listas!E:E,Listas!F:F,""),"")</f>
        <v>Operativo</v>
      </c>
      <c r="I80" s="4" t="str">
        <f>IFERROR(_xlfn.XLOOKUP(G80,Listas!E:E,Listas!G:G,""),"")</f>
        <v>Externo</v>
      </c>
      <c r="J80" s="51">
        <v>215</v>
      </c>
      <c r="K80" s="5">
        <f t="shared" si="1"/>
        <v>-215</v>
      </c>
      <c r="L80" s="6" t="s">
        <v>93</v>
      </c>
      <c r="M80" s="52">
        <f>SUMIFS('Saldos Iniciales'!$D$2:$D$38,'Saldos Iniciales'!$A$2:$A$38,C80,'Saldos Iniciales'!$B$2:$B$38,D80)+SUMIFS($K$1:$K$1048575,$C$1:$C$1048575,C80,$D$1:$D$1048575,D80,$B$1:$B$1048575,"&lt;="&amp;B80)</f>
        <v>16741.59</v>
      </c>
      <c r="N80" s="30" t="str">
        <f>IF(tblMovimientos[[#This Row],[Tipo de Movimiento]]="Ingreso",tblMovimientos[[#This Row],[Monto (S/)]],"0")</f>
        <v>0</v>
      </c>
      <c r="O80" s="30">
        <f>IF(tblMovimientos[[#This Row],[Tipo de Movimiento]]="Egreso",tblMovimientos[[#This Row],[Monto (S/)]],"0")</f>
        <v>215</v>
      </c>
      <c r="P80" s="34">
        <f>IF(tblMovimientos[[#This Row],[Tipo de Movimiento]]="Ingreso",tblMovimientos[[#This Row],[Ingreso]],-tblMovimientos[[#This Row],[Egreso]])</f>
        <v>-215</v>
      </c>
    </row>
    <row r="81" spans="2:16" hidden="1" x14ac:dyDescent="0.3">
      <c r="B81" s="47">
        <v>46154</v>
      </c>
      <c r="C81" s="4" t="str">
        <f>_xlfn.XLOOKUP(tblMovimientos[[#This Row],[Cuenta Bancaria]],Listas!$B:$B,Listas!$A:$A,"")</f>
        <v>CFT Group</v>
      </c>
      <c r="D81" s="48" t="s">
        <v>96</v>
      </c>
      <c r="E81" s="4" t="str">
        <f>_xlfn.XLOOKUP(tblMovimientos[[#This Row],[Cuenta Bancaria]],Listas!$B:$B,Listas!$C:$C,"")</f>
        <v>Northern Trust</v>
      </c>
      <c r="F81" s="49" t="s">
        <v>10</v>
      </c>
      <c r="G81" s="48"/>
      <c r="H81" s="4">
        <f>IFERROR(_xlfn.XLOOKUP(G81,Listas!E:E,Listas!F:F,""),"")</f>
        <v>0</v>
      </c>
      <c r="I81" s="4">
        <f>IFERROR(_xlfn.XLOOKUP(G81,Listas!E:E,Listas!G:G,""),"")</f>
        <v>0</v>
      </c>
      <c r="J81" s="51">
        <v>18.82</v>
      </c>
      <c r="K81" s="5">
        <f t="shared" si="1"/>
        <v>-18.82</v>
      </c>
      <c r="L81" s="6" t="s">
        <v>93</v>
      </c>
      <c r="M81" s="52">
        <f>SUMIFS('Saldos Iniciales'!$D$2:$D$38,'Saldos Iniciales'!$A$2:$A$38,C81,'Saldos Iniciales'!$B$2:$B$38,D81)+SUMIFS($K$1:$K$1048575,$C$1:$C$1048575,C81,$D$1:$D$1048575,D81,$B$1:$B$1048575,"&lt;="&amp;B81)</f>
        <v>5256.0300000000007</v>
      </c>
      <c r="N81" s="30" t="str">
        <f>IF(tblMovimientos[[#This Row],[Tipo de Movimiento]]="Ingreso",tblMovimientos[[#This Row],[Monto (S/)]],"0")</f>
        <v>0</v>
      </c>
      <c r="O81" s="30">
        <f>IF(tblMovimientos[[#This Row],[Tipo de Movimiento]]="Egreso",tblMovimientos[[#This Row],[Monto (S/)]],"0")</f>
        <v>18.82</v>
      </c>
      <c r="P81" s="34">
        <f>IF(tblMovimientos[[#This Row],[Tipo de Movimiento]]="Ingreso",tblMovimientos[[#This Row],[Ingreso]],-tblMovimientos[[#This Row],[Egreso]])</f>
        <v>-18.82</v>
      </c>
    </row>
    <row r="82" spans="2:16" hidden="1" x14ac:dyDescent="0.3">
      <c r="B82" s="47">
        <v>46154</v>
      </c>
      <c r="C82" s="4" t="str">
        <f>_xlfn.XLOOKUP(tblMovimientos[[#This Row],[Cuenta Bancaria]],Listas!$B:$B,Listas!$A:$A,"")</f>
        <v>SSP Capital</v>
      </c>
      <c r="D82" s="48" t="s">
        <v>105</v>
      </c>
      <c r="E82" s="4" t="str">
        <f>_xlfn.XLOOKUP(tblMovimientos[[#This Row],[Cuenta Bancaria]],Listas!$B:$B,Listas!$C:$C,"")</f>
        <v>Northern Trust</v>
      </c>
      <c r="F82" s="49" t="s">
        <v>10</v>
      </c>
      <c r="G82" s="48"/>
      <c r="H82" s="4">
        <f>IFERROR(_xlfn.XLOOKUP(G82,Listas!E:E,Listas!F:F,""),"")</f>
        <v>0</v>
      </c>
      <c r="I82" s="4">
        <f>IFERROR(_xlfn.XLOOKUP(G82,Listas!E:E,Listas!G:G,""),"")</f>
        <v>0</v>
      </c>
      <c r="J82" s="51">
        <v>108.91</v>
      </c>
      <c r="K82" s="5">
        <f t="shared" si="1"/>
        <v>-108.91</v>
      </c>
      <c r="L82" s="6" t="s">
        <v>93</v>
      </c>
      <c r="M82" s="52">
        <f>SUMIFS('Saldos Iniciales'!$D$2:$D$38,'Saldos Iniciales'!$A$2:$A$38,C82,'Saldos Iniciales'!$B$2:$B$38,D82)+SUMIFS($K$1:$K$1048575,$C$1:$C$1048575,C82,$D$1:$D$1048575,D82,$B$1:$B$1048575,"&lt;="&amp;B82)</f>
        <v>4761.2</v>
      </c>
      <c r="N82" s="30" t="str">
        <f>IF(tblMovimientos[[#This Row],[Tipo de Movimiento]]="Ingreso",tblMovimientos[[#This Row],[Monto (S/)]],"0")</f>
        <v>0</v>
      </c>
      <c r="O82" s="30">
        <f>IF(tblMovimientos[[#This Row],[Tipo de Movimiento]]="Egreso",tblMovimientos[[#This Row],[Monto (S/)]],"0")</f>
        <v>108.91</v>
      </c>
      <c r="P82" s="34">
        <f>IF(tblMovimientos[[#This Row],[Tipo de Movimiento]]="Ingreso",tblMovimientos[[#This Row],[Ingreso]],-tblMovimientos[[#This Row],[Egreso]])</f>
        <v>-108.91</v>
      </c>
    </row>
    <row r="83" spans="2:16" hidden="1" x14ac:dyDescent="0.3">
      <c r="B83" s="47">
        <v>46155</v>
      </c>
      <c r="C83" s="4" t="str">
        <f>_xlfn.XLOOKUP(tblMovimientos[[#This Row],[Cuenta Bancaria]],Listas!$B:$B,Listas!$A:$A,"")</f>
        <v>A&amp;M Imports</v>
      </c>
      <c r="D83" s="48" t="s">
        <v>100</v>
      </c>
      <c r="E83" s="4" t="str">
        <f>_xlfn.XLOOKUP(tblMovimientos[[#This Row],[Cuenta Bancaria]],Listas!$B:$B,Listas!$C:$C,"")</f>
        <v>Bank of America</v>
      </c>
      <c r="F83" s="49" t="s">
        <v>9</v>
      </c>
      <c r="G83" s="48" t="s">
        <v>68</v>
      </c>
      <c r="H83" s="4" t="str">
        <f>IFERROR(_xlfn.XLOOKUP(G83,Listas!E:E,Listas!F:F,""),"")</f>
        <v>Operativo</v>
      </c>
      <c r="I83" s="4" t="str">
        <f>IFERROR(_xlfn.XLOOKUP(G83,Listas!E:E,Listas!G:G,""),"")</f>
        <v>Externo</v>
      </c>
      <c r="J83" s="51">
        <v>16493.77</v>
      </c>
      <c r="K83" s="5">
        <f t="shared" si="1"/>
        <v>16493.77</v>
      </c>
      <c r="L83" s="6" t="s">
        <v>93</v>
      </c>
      <c r="M83" s="52">
        <f>SUMIFS('Saldos Iniciales'!$D$2:$D$38,'Saldos Iniciales'!$A$2:$A$38,C83,'Saldos Iniciales'!$B$2:$B$38,D83)+SUMIFS($K$1:$K$1048575,$C$1:$C$1048575,C83,$D$1:$D$1048575,D83,$B$1:$B$1048575,"&lt;="&amp;B83)</f>
        <v>1242679.67</v>
      </c>
      <c r="N83" s="30">
        <f>IF(tblMovimientos[[#This Row],[Tipo de Movimiento]]="Ingreso",tblMovimientos[[#This Row],[Monto (S/)]],"0")</f>
        <v>16493.77</v>
      </c>
      <c r="O83" s="30" t="str">
        <f>IF(tblMovimientos[[#This Row],[Tipo de Movimiento]]="Egreso",tblMovimientos[[#This Row],[Monto (S/)]],"0")</f>
        <v>0</v>
      </c>
      <c r="P83" s="34">
        <f>IF(tblMovimientos[[#This Row],[Tipo de Movimiento]]="Ingreso",tblMovimientos[[#This Row],[Ingreso]],-tblMovimientos[[#This Row],[Egreso]])</f>
        <v>16493.77</v>
      </c>
    </row>
    <row r="84" spans="2:16" hidden="1" x14ac:dyDescent="0.3">
      <c r="B84" s="47">
        <v>46155</v>
      </c>
      <c r="C84" s="4" t="str">
        <f>_xlfn.XLOOKUP(tblMovimientos[[#This Row],[Cuenta Bancaria]],Listas!$B:$B,Listas!$A:$A,"")</f>
        <v>2515 Overbrook</v>
      </c>
      <c r="D84" s="48" t="s">
        <v>121</v>
      </c>
      <c r="E84" s="4" t="str">
        <f>_xlfn.XLOOKUP(tblMovimientos[[#This Row],[Cuenta Bancaria]],Listas!$B:$B,Listas!$C:$C,"")</f>
        <v>Bank of America</v>
      </c>
      <c r="F84" s="49" t="s">
        <v>10</v>
      </c>
      <c r="G84" s="48" t="s">
        <v>38</v>
      </c>
      <c r="H84" s="4" t="str">
        <f>IFERROR(_xlfn.XLOOKUP(G84,Listas!E:E,Listas!F:F,""),"")</f>
        <v>Operativo</v>
      </c>
      <c r="I84" s="4" t="str">
        <f>IFERROR(_xlfn.XLOOKUP(G84,Listas!E:E,Listas!G:G,""),"")</f>
        <v>Externo</v>
      </c>
      <c r="J84" s="51">
        <v>850</v>
      </c>
      <c r="K84" s="5">
        <f t="shared" si="1"/>
        <v>-850</v>
      </c>
      <c r="L84" s="6" t="s">
        <v>93</v>
      </c>
      <c r="M84" s="52">
        <f>SUMIFS('Saldos Iniciales'!$D$2:$D$38,'Saldos Iniciales'!$A$2:$A$38,C84,'Saldos Iniciales'!$B$2:$B$38,D84)+SUMIFS($K$1:$K$1048575,$C$1:$C$1048575,C84,$D$1:$D$1048575,D84,$B$1:$B$1048575,"&lt;="&amp;B84)</f>
        <v>17902.179999999964</v>
      </c>
      <c r="N84" s="30" t="str">
        <f>IF(tblMovimientos[[#This Row],[Tipo de Movimiento]]="Ingreso",tblMovimientos[[#This Row],[Monto (S/)]],"0")</f>
        <v>0</v>
      </c>
      <c r="O84" s="30">
        <f>IF(tblMovimientos[[#This Row],[Tipo de Movimiento]]="Egreso",tblMovimientos[[#This Row],[Monto (S/)]],"0")</f>
        <v>850</v>
      </c>
      <c r="P84" s="34">
        <f>IF(tblMovimientos[[#This Row],[Tipo de Movimiento]]="Ingreso",tblMovimientos[[#This Row],[Ingreso]],-tblMovimientos[[#This Row],[Egreso]])</f>
        <v>-850</v>
      </c>
    </row>
    <row r="85" spans="2:16" hidden="1" x14ac:dyDescent="0.3">
      <c r="B85" s="47">
        <v>46155</v>
      </c>
      <c r="C85" s="4" t="str">
        <f>_xlfn.XLOOKUP(tblMovimientos[[#This Row],[Cuenta Bancaria]],Listas!$B:$B,Listas!$A:$A,"")</f>
        <v>Cross Security Trust</v>
      </c>
      <c r="D85" s="48" t="s">
        <v>112</v>
      </c>
      <c r="E85" s="4" t="str">
        <f>_xlfn.XLOOKUP(tblMovimientos[[#This Row],[Cuenta Bancaria]],Listas!$B:$B,Listas!$C:$C,"")</f>
        <v>Bank of America</v>
      </c>
      <c r="F85" s="49" t="s">
        <v>9</v>
      </c>
      <c r="G85" s="48"/>
      <c r="H85" s="4">
        <f>IFERROR(_xlfn.XLOOKUP(G85,Listas!E:E,Listas!F:F,""),"")</f>
        <v>0</v>
      </c>
      <c r="I85" s="4">
        <f>IFERROR(_xlfn.XLOOKUP(G85,Listas!E:E,Listas!G:G,""),"")</f>
        <v>0</v>
      </c>
      <c r="J85" s="51">
        <v>1.78</v>
      </c>
      <c r="K85" s="5">
        <f t="shared" si="1"/>
        <v>1.78</v>
      </c>
      <c r="L85" s="6" t="s">
        <v>93</v>
      </c>
      <c r="M85" s="52">
        <f>SUMIFS('Saldos Iniciales'!$D$2:$D$38,'Saldos Iniciales'!$A$2:$A$38,C85,'Saldos Iniciales'!$B$2:$B$38,D85)+SUMIFS($K$1:$K$1048575,$C$1:$C$1048575,C85,$D$1:$D$1048575,D85,$B$1:$B$1048575,"&lt;="&amp;B85)</f>
        <v>13090.369999999997</v>
      </c>
      <c r="N85" s="30">
        <f>IF(tblMovimientos[[#This Row],[Tipo de Movimiento]]="Ingreso",tblMovimientos[[#This Row],[Monto (S/)]],"0")</f>
        <v>1.78</v>
      </c>
      <c r="O85" s="30" t="str">
        <f>IF(tblMovimientos[[#This Row],[Tipo de Movimiento]]="Egreso",tblMovimientos[[#This Row],[Monto (S/)]],"0")</f>
        <v>0</v>
      </c>
      <c r="P85" s="34">
        <f>IF(tblMovimientos[[#This Row],[Tipo de Movimiento]]="Ingreso",tblMovimientos[[#This Row],[Ingreso]],-tblMovimientos[[#This Row],[Egreso]])</f>
        <v>1.78</v>
      </c>
    </row>
    <row r="86" spans="2:16" hidden="1" x14ac:dyDescent="0.3">
      <c r="B86" s="47">
        <v>46155</v>
      </c>
      <c r="C86" s="4" t="str">
        <f>_xlfn.XLOOKUP(tblMovimientos[[#This Row],[Cuenta Bancaria]],Listas!$B:$B,Listas!$A:$A,"")</f>
        <v>Electrama</v>
      </c>
      <c r="D86" s="48" t="s">
        <v>113</v>
      </c>
      <c r="E86" s="4" t="str">
        <f>_xlfn.XLOOKUP(tblMovimientos[[#This Row],[Cuenta Bancaria]],Listas!$B:$B,Listas!$C:$C,"")</f>
        <v>Chase Bank</v>
      </c>
      <c r="F86" s="49" t="s">
        <v>10</v>
      </c>
      <c r="G86" s="48"/>
      <c r="H86" s="4">
        <f>IFERROR(_xlfn.XLOOKUP(G86,Listas!E:E,Listas!F:F,""),"")</f>
        <v>0</v>
      </c>
      <c r="I86" s="4">
        <f>IFERROR(_xlfn.XLOOKUP(G86,Listas!E:E,Listas!G:G,""),"")</f>
        <v>0</v>
      </c>
      <c r="J86" s="51">
        <v>1270.43</v>
      </c>
      <c r="K86" s="5">
        <f t="shared" si="1"/>
        <v>-1270.43</v>
      </c>
      <c r="L86" s="6" t="s">
        <v>93</v>
      </c>
      <c r="M86" s="52">
        <f>SUMIFS('Saldos Iniciales'!$D$2:$D$38,'Saldos Iniciales'!$A$2:$A$38,C86,'Saldos Iniciales'!$B$2:$B$38,D86)+SUMIFS($K$1:$K$1048575,$C$1:$C$1048575,C86,$D$1:$D$1048575,D86,$B$1:$B$1048575,"&lt;="&amp;B86)</f>
        <v>2498.3999999999996</v>
      </c>
      <c r="N86" s="30" t="str">
        <f>IF(tblMovimientos[[#This Row],[Tipo de Movimiento]]="Ingreso",tblMovimientos[[#This Row],[Monto (S/)]],"0")</f>
        <v>0</v>
      </c>
      <c r="O86" s="30">
        <f>IF(tblMovimientos[[#This Row],[Tipo de Movimiento]]="Egreso",tblMovimientos[[#This Row],[Monto (S/)]],"0")</f>
        <v>1270.43</v>
      </c>
      <c r="P86" s="34">
        <f>IF(tblMovimientos[[#This Row],[Tipo de Movimiento]]="Ingreso",tblMovimientos[[#This Row],[Ingreso]],-tblMovimientos[[#This Row],[Egreso]])</f>
        <v>-1270.43</v>
      </c>
    </row>
    <row r="87" spans="2:16" hidden="1" x14ac:dyDescent="0.3">
      <c r="B87" s="47">
        <v>46156</v>
      </c>
      <c r="C87" s="4" t="str">
        <f>_xlfn.XLOOKUP(tblMovimientos[[#This Row],[Cuenta Bancaria]],Listas!$B:$B,Listas!$A:$A,"")</f>
        <v>Go Blue</v>
      </c>
      <c r="D87" s="48" t="s">
        <v>126</v>
      </c>
      <c r="E87" s="4" t="str">
        <f>_xlfn.XLOOKUP(tblMovimientos[[#This Row],[Cuenta Bancaria]],Listas!$B:$B,Listas!$C:$C,"")</f>
        <v xml:space="preserve">Amerant Bank </v>
      </c>
      <c r="F87" s="49" t="s">
        <v>10</v>
      </c>
      <c r="G87" s="48" t="s">
        <v>44</v>
      </c>
      <c r="H87" s="4" t="str">
        <f>IFERROR(_xlfn.XLOOKUP(G87,Listas!E:E,Listas!F:F,""),"")</f>
        <v>Operativo</v>
      </c>
      <c r="I87" s="4" t="str">
        <f>IFERROR(_xlfn.XLOOKUP(G87,Listas!E:E,Listas!G:G,""),"")</f>
        <v>Externo</v>
      </c>
      <c r="J87" s="51">
        <v>15</v>
      </c>
      <c r="K87" s="5">
        <f t="shared" si="1"/>
        <v>-15</v>
      </c>
      <c r="L87" s="6" t="s">
        <v>93</v>
      </c>
      <c r="M87" s="52">
        <f>SUMIFS('Saldos Iniciales'!$D$2:$D$38,'Saldos Iniciales'!$A$2:$A$38,C87,'Saldos Iniciales'!$B$2:$B$38,D87)+SUMIFS($K$1:$K$1048575,$C$1:$C$1048575,C87,$D$1:$D$1048575,D87,$B$1:$B$1048575,"&lt;="&amp;B87)</f>
        <v>14226.59</v>
      </c>
      <c r="N87" s="30" t="str">
        <f>IF(tblMovimientos[[#This Row],[Tipo de Movimiento]]="Ingreso",tblMovimientos[[#This Row],[Monto (S/)]],"0")</f>
        <v>0</v>
      </c>
      <c r="O87" s="30">
        <f>IF(tblMovimientos[[#This Row],[Tipo de Movimiento]]="Egreso",tblMovimientos[[#This Row],[Monto (S/)]],"0")</f>
        <v>15</v>
      </c>
      <c r="P87" s="34">
        <f>IF(tblMovimientos[[#This Row],[Tipo de Movimiento]]="Ingreso",tblMovimientos[[#This Row],[Ingreso]],-tblMovimientos[[#This Row],[Egreso]])</f>
        <v>-15</v>
      </c>
    </row>
    <row r="88" spans="2:16" hidden="1" x14ac:dyDescent="0.3">
      <c r="B88" s="47">
        <v>46156</v>
      </c>
      <c r="C88" s="4" t="str">
        <f>_xlfn.XLOOKUP(tblMovimientos[[#This Row],[Cuenta Bancaria]],Listas!$B:$B,Listas!$A:$A,"")</f>
        <v>SSP Capital</v>
      </c>
      <c r="D88" s="48" t="s">
        <v>104</v>
      </c>
      <c r="E88" s="4" t="str">
        <f>_xlfn.XLOOKUP(tblMovimientos[[#This Row],[Cuenta Bancaria]],Listas!$B:$B,Listas!$C:$C,"")</f>
        <v xml:space="preserve">Amerant Bank </v>
      </c>
      <c r="F88" s="49" t="s">
        <v>10</v>
      </c>
      <c r="G88" s="48" t="s">
        <v>38</v>
      </c>
      <c r="H88" s="4" t="str">
        <f>IFERROR(_xlfn.XLOOKUP(G88,Listas!E:E,Listas!F:F,""),"")</f>
        <v>Operativo</v>
      </c>
      <c r="I88" s="4" t="str">
        <f>IFERROR(_xlfn.XLOOKUP(G88,Listas!E:E,Listas!G:G,""),"")</f>
        <v>Externo</v>
      </c>
      <c r="J88" s="51">
        <v>295</v>
      </c>
      <c r="K88" s="5">
        <f t="shared" si="1"/>
        <v>-295</v>
      </c>
      <c r="L88" s="6" t="s">
        <v>93</v>
      </c>
      <c r="M88" s="52">
        <f>SUMIFS('Saldos Iniciales'!$D$2:$D$38,'Saldos Iniciales'!$A$2:$A$38,C88,'Saldos Iniciales'!$B$2:$B$38,D88)+SUMIFS($K$1:$K$1048575,$C$1:$C$1048575,C88,$D$1:$D$1048575,D88,$B$1:$B$1048575,"&lt;="&amp;B88)</f>
        <v>176117.51999999938</v>
      </c>
      <c r="N88" s="30" t="str">
        <f>IF(tblMovimientos[[#This Row],[Tipo de Movimiento]]="Ingreso",tblMovimientos[[#This Row],[Monto (S/)]],"0")</f>
        <v>0</v>
      </c>
      <c r="O88" s="30">
        <f>IF(tblMovimientos[[#This Row],[Tipo de Movimiento]]="Egreso",tblMovimientos[[#This Row],[Monto (S/)]],"0")</f>
        <v>295</v>
      </c>
      <c r="P88" s="34">
        <f>IF(tblMovimientos[[#This Row],[Tipo de Movimiento]]="Ingreso",tblMovimientos[[#This Row],[Ingreso]],-tblMovimientos[[#This Row],[Egreso]])</f>
        <v>-295</v>
      </c>
    </row>
    <row r="89" spans="2:16" hidden="1" x14ac:dyDescent="0.3">
      <c r="B89" s="47">
        <v>46156</v>
      </c>
      <c r="C89" s="4" t="str">
        <f>_xlfn.XLOOKUP(tblMovimientos[[#This Row],[Cuenta Bancaria]],Listas!$B:$B,Listas!$A:$A,"")</f>
        <v>SSP Capital</v>
      </c>
      <c r="D89" s="48" t="s">
        <v>104</v>
      </c>
      <c r="E89" s="4" t="str">
        <f>_xlfn.XLOOKUP(tblMovimientos[[#This Row],[Cuenta Bancaria]],Listas!$B:$B,Listas!$C:$C,"")</f>
        <v xml:space="preserve">Amerant Bank </v>
      </c>
      <c r="F89" s="49" t="s">
        <v>10</v>
      </c>
      <c r="G89" s="48" t="s">
        <v>46</v>
      </c>
      <c r="H89" s="4" t="str">
        <f>IFERROR(_xlfn.XLOOKUP(G89,Listas!E:E,Listas!F:F,""),"")</f>
        <v>Financiamiento</v>
      </c>
      <c r="I89" s="4" t="str">
        <f>IFERROR(_xlfn.XLOOKUP(G89,Listas!E:E,Listas!G:G,""),"")</f>
        <v>Externo</v>
      </c>
      <c r="J89" s="51">
        <v>7083.33</v>
      </c>
      <c r="K89" s="5">
        <f t="shared" si="1"/>
        <v>-7083.33</v>
      </c>
      <c r="L89" s="6" t="s">
        <v>93</v>
      </c>
      <c r="M89" s="52">
        <f>SUMIFS('Saldos Iniciales'!$D$2:$D$38,'Saldos Iniciales'!$A$2:$A$38,C89,'Saldos Iniciales'!$B$2:$B$38,D89)+SUMIFS($K$1:$K$1048575,$C$1:$C$1048575,C89,$D$1:$D$1048575,D89,$B$1:$B$1048575,"&lt;="&amp;B89)</f>
        <v>176117.51999999938</v>
      </c>
      <c r="N89" s="30" t="str">
        <f>IF(tblMovimientos[[#This Row],[Tipo de Movimiento]]="Ingreso",tblMovimientos[[#This Row],[Monto (S/)]],"0")</f>
        <v>0</v>
      </c>
      <c r="O89" s="30">
        <f>IF(tblMovimientos[[#This Row],[Tipo de Movimiento]]="Egreso",tblMovimientos[[#This Row],[Monto (S/)]],"0")</f>
        <v>7083.33</v>
      </c>
      <c r="P89" s="34">
        <f>IF(tblMovimientos[[#This Row],[Tipo de Movimiento]]="Ingreso",tblMovimientos[[#This Row],[Ingreso]],-tblMovimientos[[#This Row],[Egreso]])</f>
        <v>-7083.33</v>
      </c>
    </row>
    <row r="90" spans="2:16" hidden="1" x14ac:dyDescent="0.3">
      <c r="B90" s="47">
        <v>46156</v>
      </c>
      <c r="C90" s="4" t="str">
        <f>_xlfn.XLOOKUP(tblMovimientos[[#This Row],[Cuenta Bancaria]],Listas!$B:$B,Listas!$A:$A,"")</f>
        <v>A&amp;M Imports</v>
      </c>
      <c r="D90" s="48" t="s">
        <v>100</v>
      </c>
      <c r="E90" s="4" t="str">
        <f>_xlfn.XLOOKUP(tblMovimientos[[#This Row],[Cuenta Bancaria]],Listas!$B:$B,Listas!$C:$C,"")</f>
        <v>Bank of America</v>
      </c>
      <c r="F90" s="49" t="s">
        <v>10</v>
      </c>
      <c r="G90" s="48" t="s">
        <v>61</v>
      </c>
      <c r="H90" s="4" t="str">
        <f>IFERROR(_xlfn.XLOOKUP(G90,Listas!E:E,Listas!F:F,""),"")</f>
        <v>Operativo</v>
      </c>
      <c r="I90" s="4" t="str">
        <f>IFERROR(_xlfn.XLOOKUP(G90,Listas!E:E,Listas!G:G,""),"")</f>
        <v>Externo</v>
      </c>
      <c r="J90" s="51">
        <v>200000</v>
      </c>
      <c r="K90" s="5">
        <f t="shared" si="1"/>
        <v>-200000</v>
      </c>
      <c r="L90" s="6" t="s">
        <v>93</v>
      </c>
      <c r="M90" s="52">
        <f>SUMIFS('Saldos Iniciales'!$D$2:$D$38,'Saldos Iniciales'!$A$2:$A$38,C90,'Saldos Iniciales'!$B$2:$B$38,D90)+SUMIFS($K$1:$K$1048575,$C$1:$C$1048575,C90,$D$1:$D$1048575,D90,$B$1:$B$1048575,"&lt;="&amp;B90)</f>
        <v>832679.66999999981</v>
      </c>
      <c r="N90" s="30" t="str">
        <f>IF(tblMovimientos[[#This Row],[Tipo de Movimiento]]="Ingreso",tblMovimientos[[#This Row],[Monto (S/)]],"0")</f>
        <v>0</v>
      </c>
      <c r="O90" s="30">
        <f>IF(tblMovimientos[[#This Row],[Tipo de Movimiento]]="Egreso",tblMovimientos[[#This Row],[Monto (S/)]],"0")</f>
        <v>200000</v>
      </c>
      <c r="P90" s="34">
        <f>IF(tblMovimientos[[#This Row],[Tipo de Movimiento]]="Ingreso",tblMovimientos[[#This Row],[Ingreso]],-tblMovimientos[[#This Row],[Egreso]])</f>
        <v>-200000</v>
      </c>
    </row>
    <row r="91" spans="2:16" hidden="1" x14ac:dyDescent="0.3">
      <c r="B91" s="47">
        <v>46156</v>
      </c>
      <c r="C91" s="4" t="str">
        <f>_xlfn.XLOOKUP(tblMovimientos[[#This Row],[Cuenta Bancaria]],Listas!$B:$B,Listas!$A:$A,"")</f>
        <v>A&amp;M Imports</v>
      </c>
      <c r="D91" s="48" t="s">
        <v>100</v>
      </c>
      <c r="E91" s="4" t="str">
        <f>_xlfn.XLOOKUP(tblMovimientos[[#This Row],[Cuenta Bancaria]],Listas!$B:$B,Listas!$C:$C,"")</f>
        <v>Bank of America</v>
      </c>
      <c r="F91" s="49" t="s">
        <v>10</v>
      </c>
      <c r="G91" s="48" t="s">
        <v>61</v>
      </c>
      <c r="H91" s="4" t="str">
        <f>IFERROR(_xlfn.XLOOKUP(G91,Listas!E:E,Listas!F:F,""),"")</f>
        <v>Operativo</v>
      </c>
      <c r="I91" s="4" t="str">
        <f>IFERROR(_xlfn.XLOOKUP(G91,Listas!E:E,Listas!G:G,""),"")</f>
        <v>Externo</v>
      </c>
      <c r="J91" s="51">
        <v>60000</v>
      </c>
      <c r="K91" s="5">
        <f t="shared" si="1"/>
        <v>-60000</v>
      </c>
      <c r="L91" s="6" t="s">
        <v>93</v>
      </c>
      <c r="M91" s="52">
        <f>SUMIFS('Saldos Iniciales'!$D$2:$D$38,'Saldos Iniciales'!$A$2:$A$38,C91,'Saldos Iniciales'!$B$2:$B$38,D91)+SUMIFS($K$1:$K$1048575,$C$1:$C$1048575,C91,$D$1:$D$1048575,D91,$B$1:$B$1048575,"&lt;="&amp;B91)</f>
        <v>832679.66999999981</v>
      </c>
      <c r="N91" s="30" t="str">
        <f>IF(tblMovimientos[[#This Row],[Tipo de Movimiento]]="Ingreso",tblMovimientos[[#This Row],[Monto (S/)]],"0")</f>
        <v>0</v>
      </c>
      <c r="O91" s="30">
        <f>IF(tblMovimientos[[#This Row],[Tipo de Movimiento]]="Egreso",tblMovimientos[[#This Row],[Monto (S/)]],"0")</f>
        <v>60000</v>
      </c>
      <c r="P91" s="34">
        <f>IF(tblMovimientos[[#This Row],[Tipo de Movimiento]]="Ingreso",tblMovimientos[[#This Row],[Ingreso]],-tblMovimientos[[#This Row],[Egreso]])</f>
        <v>-60000</v>
      </c>
    </row>
    <row r="92" spans="2:16" hidden="1" x14ac:dyDescent="0.3">
      <c r="B92" s="47">
        <v>46156</v>
      </c>
      <c r="C92" s="4" t="str">
        <f>_xlfn.XLOOKUP(tblMovimientos[[#This Row],[Cuenta Bancaria]],Listas!$B:$B,Listas!$A:$A,"")</f>
        <v>A&amp;M Imports</v>
      </c>
      <c r="D92" s="48" t="s">
        <v>100</v>
      </c>
      <c r="E92" s="4" t="str">
        <f>_xlfn.XLOOKUP(tblMovimientos[[#This Row],[Cuenta Bancaria]],Listas!$B:$B,Listas!$C:$C,"")</f>
        <v>Bank of America</v>
      </c>
      <c r="F92" s="49" t="s">
        <v>10</v>
      </c>
      <c r="G92" s="48" t="s">
        <v>61</v>
      </c>
      <c r="H92" s="4" t="str">
        <f>IFERROR(_xlfn.XLOOKUP(G92,Listas!E:E,Listas!F:F,""),"")</f>
        <v>Operativo</v>
      </c>
      <c r="I92" s="4" t="str">
        <f>IFERROR(_xlfn.XLOOKUP(G92,Listas!E:E,Listas!G:G,""),"")</f>
        <v>Externo</v>
      </c>
      <c r="J92" s="51">
        <v>150000</v>
      </c>
      <c r="K92" s="5">
        <f t="shared" si="1"/>
        <v>-150000</v>
      </c>
      <c r="L92" s="6" t="s">
        <v>93</v>
      </c>
      <c r="M92" s="52">
        <f>SUMIFS('Saldos Iniciales'!$D$2:$D$38,'Saldos Iniciales'!$A$2:$A$38,C92,'Saldos Iniciales'!$B$2:$B$38,D92)+SUMIFS($K$1:$K$1048575,$C$1:$C$1048575,C92,$D$1:$D$1048575,D92,$B$1:$B$1048575,"&lt;="&amp;B92)</f>
        <v>832679.66999999981</v>
      </c>
      <c r="N92" s="30" t="str">
        <f>IF(tblMovimientos[[#This Row],[Tipo de Movimiento]]="Ingreso",tblMovimientos[[#This Row],[Monto (S/)]],"0")</f>
        <v>0</v>
      </c>
      <c r="O92" s="30">
        <f>IF(tblMovimientos[[#This Row],[Tipo de Movimiento]]="Egreso",tblMovimientos[[#This Row],[Monto (S/)]],"0")</f>
        <v>150000</v>
      </c>
      <c r="P92" s="34">
        <f>IF(tblMovimientos[[#This Row],[Tipo de Movimiento]]="Ingreso",tblMovimientos[[#This Row],[Ingreso]],-tblMovimientos[[#This Row],[Egreso]])</f>
        <v>-150000</v>
      </c>
    </row>
    <row r="93" spans="2:16" hidden="1" x14ac:dyDescent="0.3">
      <c r="B93" s="47">
        <v>46156</v>
      </c>
      <c r="C93" s="4" t="str">
        <f>_xlfn.XLOOKUP(tblMovimientos[[#This Row],[Cuenta Bancaria]],Listas!$B:$B,Listas!$A:$A,"")</f>
        <v>CFT Group</v>
      </c>
      <c r="D93" s="48" t="s">
        <v>94</v>
      </c>
      <c r="E93" s="4" t="str">
        <f>_xlfn.XLOOKUP(tblMovimientos[[#This Row],[Cuenta Bancaria]],Listas!$B:$B,Listas!$C:$C,"")</f>
        <v>Bank of America</v>
      </c>
      <c r="F93" s="49" t="s">
        <v>10</v>
      </c>
      <c r="G93" s="48" t="s">
        <v>61</v>
      </c>
      <c r="H93" s="4" t="str">
        <f>IFERROR(_xlfn.XLOOKUP(G93,Listas!E:E,Listas!F:F,""),"")</f>
        <v>Operativo</v>
      </c>
      <c r="I93" s="4" t="str">
        <f>IFERROR(_xlfn.XLOOKUP(G93,Listas!E:E,Listas!G:G,""),"")</f>
        <v>Externo</v>
      </c>
      <c r="J93" s="51">
        <v>100000</v>
      </c>
      <c r="K93" s="5">
        <f t="shared" si="1"/>
        <v>-100000</v>
      </c>
      <c r="L93" s="6" t="s">
        <v>93</v>
      </c>
      <c r="M93" s="52">
        <f>SUMIFS('Saldos Iniciales'!$D$2:$D$38,'Saldos Iniciales'!$A$2:$A$38,C93,'Saldos Iniciales'!$B$2:$B$38,D93)+SUMIFS($K$1:$K$1048575,$C$1:$C$1048575,C93,$D$1:$D$1048575,D93,$B$1:$B$1048575,"&lt;="&amp;B93)</f>
        <v>11613.909999999974</v>
      </c>
      <c r="N93" s="30" t="str">
        <f>IF(tblMovimientos[[#This Row],[Tipo de Movimiento]]="Ingreso",tblMovimientos[[#This Row],[Monto (S/)]],"0")</f>
        <v>0</v>
      </c>
      <c r="O93" s="30">
        <f>IF(tblMovimientos[[#This Row],[Tipo de Movimiento]]="Egreso",tblMovimientos[[#This Row],[Monto (S/)]],"0")</f>
        <v>100000</v>
      </c>
      <c r="P93" s="34">
        <f>IF(tblMovimientos[[#This Row],[Tipo de Movimiento]]="Ingreso",tblMovimientos[[#This Row],[Ingreso]],-tblMovimientos[[#This Row],[Egreso]])</f>
        <v>-100000</v>
      </c>
    </row>
    <row r="94" spans="2:16" hidden="1" x14ac:dyDescent="0.3">
      <c r="B94" s="47">
        <v>46156</v>
      </c>
      <c r="C94" s="4" t="str">
        <f>_xlfn.XLOOKUP(tblMovimientos[[#This Row],[Cuenta Bancaria]],Listas!$B:$B,Listas!$A:$A,"")</f>
        <v>CFT Group</v>
      </c>
      <c r="D94" s="48" t="s">
        <v>94</v>
      </c>
      <c r="E94" s="4" t="str">
        <f>_xlfn.XLOOKUP(tblMovimientos[[#This Row],[Cuenta Bancaria]],Listas!$B:$B,Listas!$C:$C,"")</f>
        <v>Bank of America</v>
      </c>
      <c r="F94" s="49" t="s">
        <v>10</v>
      </c>
      <c r="G94" s="48" t="s">
        <v>64</v>
      </c>
      <c r="H94" s="4" t="str">
        <f>IFERROR(_xlfn.XLOOKUP(G94,Listas!E:E,Listas!F:F,""),"")</f>
        <v>Operativo</v>
      </c>
      <c r="I94" s="4" t="str">
        <f>IFERROR(_xlfn.XLOOKUP(G94,Listas!E:E,Listas!G:G,""),"")</f>
        <v>Interno</v>
      </c>
      <c r="J94" s="51">
        <v>50000</v>
      </c>
      <c r="K94" s="5">
        <f t="shared" si="1"/>
        <v>-50000</v>
      </c>
      <c r="L94" s="6" t="s">
        <v>93</v>
      </c>
      <c r="M94" s="52">
        <f>SUMIFS('Saldos Iniciales'!$D$2:$D$38,'Saldos Iniciales'!$A$2:$A$38,C94,'Saldos Iniciales'!$B$2:$B$38,D94)+SUMIFS($K$1:$K$1048575,$C$1:$C$1048575,C94,$D$1:$D$1048575,D94,$B$1:$B$1048575,"&lt;="&amp;B94)</f>
        <v>11613.909999999974</v>
      </c>
      <c r="N94" s="30" t="str">
        <f>IF(tblMovimientos[[#This Row],[Tipo de Movimiento]]="Ingreso",tblMovimientos[[#This Row],[Monto (S/)]],"0")</f>
        <v>0</v>
      </c>
      <c r="O94" s="30">
        <f>IF(tblMovimientos[[#This Row],[Tipo de Movimiento]]="Egreso",tblMovimientos[[#This Row],[Monto (S/)]],"0")</f>
        <v>50000</v>
      </c>
      <c r="P94" s="34">
        <f>IF(tblMovimientos[[#This Row],[Tipo de Movimiento]]="Ingreso",tblMovimientos[[#This Row],[Ingreso]],-tblMovimientos[[#This Row],[Egreso]])</f>
        <v>-50000</v>
      </c>
    </row>
    <row r="95" spans="2:16" hidden="1" x14ac:dyDescent="0.3">
      <c r="B95" s="47">
        <v>46156</v>
      </c>
      <c r="C95" s="4" t="str">
        <f>_xlfn.XLOOKUP(tblMovimientos[[#This Row],[Cuenta Bancaria]],Listas!$B:$B,Listas!$A:$A,"")</f>
        <v>CFT Group</v>
      </c>
      <c r="D95" s="48" t="s">
        <v>94</v>
      </c>
      <c r="E95" s="4" t="str">
        <f>_xlfn.XLOOKUP(tblMovimientos[[#This Row],[Cuenta Bancaria]],Listas!$B:$B,Listas!$C:$C,"")</f>
        <v>Bank of America</v>
      </c>
      <c r="F95" s="49" t="s">
        <v>10</v>
      </c>
      <c r="G95" s="48" t="s">
        <v>44</v>
      </c>
      <c r="H95" s="4" t="str">
        <f>IFERROR(_xlfn.XLOOKUP(G95,Listas!E:E,Listas!F:F,""),"")</f>
        <v>Operativo</v>
      </c>
      <c r="I95" s="4" t="str">
        <f>IFERROR(_xlfn.XLOOKUP(G95,Listas!E:E,Listas!G:G,""),"")</f>
        <v>Externo</v>
      </c>
      <c r="J95" s="51">
        <v>45</v>
      </c>
      <c r="K95" s="5">
        <f t="shared" si="1"/>
        <v>-45</v>
      </c>
      <c r="L95" s="6" t="s">
        <v>93</v>
      </c>
      <c r="M95" s="52">
        <f>SUMIFS('Saldos Iniciales'!$D$2:$D$38,'Saldos Iniciales'!$A$2:$A$38,C95,'Saldos Iniciales'!$B$2:$B$38,D95)+SUMIFS($K$1:$K$1048575,$C$1:$C$1048575,C95,$D$1:$D$1048575,D95,$B$1:$B$1048575,"&lt;="&amp;B95)</f>
        <v>11613.909999999974</v>
      </c>
      <c r="N95" s="30" t="str">
        <f>IF(tblMovimientos[[#This Row],[Tipo de Movimiento]]="Ingreso",tblMovimientos[[#This Row],[Monto (S/)]],"0")</f>
        <v>0</v>
      </c>
      <c r="O95" s="30">
        <f>IF(tblMovimientos[[#This Row],[Tipo de Movimiento]]="Egreso",tblMovimientos[[#This Row],[Monto (S/)]],"0")</f>
        <v>45</v>
      </c>
      <c r="P95" s="34">
        <f>IF(tblMovimientos[[#This Row],[Tipo de Movimiento]]="Ingreso",tblMovimientos[[#This Row],[Ingreso]],-tblMovimientos[[#This Row],[Egreso]])</f>
        <v>-45</v>
      </c>
    </row>
    <row r="96" spans="2:16" hidden="1" x14ac:dyDescent="0.3">
      <c r="B96" s="47">
        <v>46156</v>
      </c>
      <c r="C96" s="4" t="str">
        <f>_xlfn.XLOOKUP(tblMovimientos[[#This Row],[Cuenta Bancaria]],Listas!$B:$B,Listas!$A:$A,"")</f>
        <v>M1B</v>
      </c>
      <c r="D96" s="48" t="s">
        <v>97</v>
      </c>
      <c r="E96" s="4" t="str">
        <f>_xlfn.XLOOKUP(tblMovimientos[[#This Row],[Cuenta Bancaria]],Listas!$B:$B,Listas!$C:$C,"")</f>
        <v xml:space="preserve">Amerant Bank </v>
      </c>
      <c r="F96" s="49" t="s">
        <v>9</v>
      </c>
      <c r="G96" s="48" t="s">
        <v>68</v>
      </c>
      <c r="H96" s="4" t="str">
        <f>IFERROR(_xlfn.XLOOKUP(G96,Listas!E:E,Listas!F:F,""),"")</f>
        <v>Operativo</v>
      </c>
      <c r="I96" s="4" t="str">
        <f>IFERROR(_xlfn.XLOOKUP(G96,Listas!E:E,Listas!G:G,""),"")</f>
        <v>Externo</v>
      </c>
      <c r="J96" s="51">
        <v>920.07</v>
      </c>
      <c r="K96" s="5">
        <f t="shared" si="1"/>
        <v>920.07</v>
      </c>
      <c r="L96" s="6" t="s">
        <v>93</v>
      </c>
      <c r="M96" s="52">
        <f>SUMIFS('Saldos Iniciales'!$D$2:$D$38,'Saldos Iniciales'!$A$2:$A$38,C96,'Saldos Iniciales'!$B$2:$B$38,D96)+SUMIFS($K$1:$K$1048575,$C$1:$C$1048575,C96,$D$1:$D$1048575,D96,$B$1:$B$1048575,"&lt;="&amp;B96)</f>
        <v>54760.159999999938</v>
      </c>
      <c r="N96" s="30">
        <f>IF(tblMovimientos[[#This Row],[Tipo de Movimiento]]="Ingreso",tblMovimientos[[#This Row],[Monto (S/)]],"0")</f>
        <v>920.07</v>
      </c>
      <c r="O96" s="30" t="str">
        <f>IF(tblMovimientos[[#This Row],[Tipo de Movimiento]]="Egreso",tblMovimientos[[#This Row],[Monto (S/)]],"0")</f>
        <v>0</v>
      </c>
      <c r="P96" s="34">
        <f>IF(tblMovimientos[[#This Row],[Tipo de Movimiento]]="Ingreso",tblMovimientos[[#This Row],[Ingreso]],-tblMovimientos[[#This Row],[Egreso]])</f>
        <v>920.07</v>
      </c>
    </row>
    <row r="97" spans="2:16" hidden="1" x14ac:dyDescent="0.3">
      <c r="B97" s="47">
        <v>46156</v>
      </c>
      <c r="C97" s="4" t="str">
        <f>_xlfn.XLOOKUP(tblMovimientos[[#This Row],[Cuenta Bancaria]],Listas!$B:$B,Listas!$A:$A,"")</f>
        <v>CFT Group</v>
      </c>
      <c r="D97" s="48" t="s">
        <v>95</v>
      </c>
      <c r="E97" s="4" t="str">
        <f>_xlfn.XLOOKUP(tblMovimientos[[#This Row],[Cuenta Bancaria]],Listas!$B:$B,Listas!$C:$C,"")</f>
        <v xml:space="preserve">Amerant Bank </v>
      </c>
      <c r="F97" s="49" t="s">
        <v>9</v>
      </c>
      <c r="G97" s="48" t="s">
        <v>85</v>
      </c>
      <c r="H97" s="4" t="str">
        <f>IFERROR(_xlfn.XLOOKUP(G97,Listas!E:E,Listas!F:F,""),"")</f>
        <v>Operativo</v>
      </c>
      <c r="I97" s="4" t="str">
        <f>IFERROR(_xlfn.XLOOKUP(G97,Listas!E:E,Listas!G:G,""),"")</f>
        <v>Interno</v>
      </c>
      <c r="J97" s="51">
        <v>50000</v>
      </c>
      <c r="K97" s="5">
        <f t="shared" si="1"/>
        <v>50000</v>
      </c>
      <c r="L97" s="6" t="s">
        <v>93</v>
      </c>
      <c r="M97" s="52">
        <f>SUMIFS('Saldos Iniciales'!$D$2:$D$38,'Saldos Iniciales'!$A$2:$A$38,C97,'Saldos Iniciales'!$B$2:$B$38,D97)+SUMIFS($K$1:$K$1048575,$C$1:$C$1048575,C97,$D$1:$D$1048575,D97,$B$1:$B$1048575,"&lt;="&amp;B97)</f>
        <v>148882.87000000023</v>
      </c>
      <c r="N97" s="30">
        <f>IF(tblMovimientos[[#This Row],[Tipo de Movimiento]]="Ingreso",tblMovimientos[[#This Row],[Monto (S/)]],"0")</f>
        <v>50000</v>
      </c>
      <c r="O97" s="30" t="str">
        <f>IF(tblMovimientos[[#This Row],[Tipo de Movimiento]]="Egreso",tblMovimientos[[#This Row],[Monto (S/)]],"0")</f>
        <v>0</v>
      </c>
      <c r="P97" s="34">
        <f>IF(tblMovimientos[[#This Row],[Tipo de Movimiento]]="Ingreso",tblMovimientos[[#This Row],[Ingreso]],-tblMovimientos[[#This Row],[Egreso]])</f>
        <v>50000</v>
      </c>
    </row>
    <row r="98" spans="2:16" hidden="1" x14ac:dyDescent="0.3">
      <c r="B98" s="47">
        <v>46156</v>
      </c>
      <c r="C98" s="4" t="str">
        <f>_xlfn.XLOOKUP(tblMovimientos[[#This Row],[Cuenta Bancaria]],Listas!$B:$B,Listas!$A:$A,"")</f>
        <v>CFT Group</v>
      </c>
      <c r="D98" s="48" t="s">
        <v>95</v>
      </c>
      <c r="E98" s="4" t="str">
        <f>_xlfn.XLOOKUP(tblMovimientos[[#This Row],[Cuenta Bancaria]],Listas!$B:$B,Listas!$C:$C,"")</f>
        <v xml:space="preserve">Amerant Bank </v>
      </c>
      <c r="F98" s="49" t="s">
        <v>10</v>
      </c>
      <c r="G98" s="48" t="s">
        <v>46</v>
      </c>
      <c r="H98" s="4" t="str">
        <f>IFERROR(_xlfn.XLOOKUP(G98,Listas!E:E,Listas!F:F,""),"")</f>
        <v>Financiamiento</v>
      </c>
      <c r="I98" s="4" t="str">
        <f>IFERROR(_xlfn.XLOOKUP(G98,Listas!E:E,Listas!G:G,""),"")</f>
        <v>Externo</v>
      </c>
      <c r="J98" s="51">
        <v>5000</v>
      </c>
      <c r="K98" s="5">
        <f t="shared" si="1"/>
        <v>-5000</v>
      </c>
      <c r="L98" s="6" t="s">
        <v>93</v>
      </c>
      <c r="M98" s="52">
        <f>SUMIFS('Saldos Iniciales'!$D$2:$D$38,'Saldos Iniciales'!$A$2:$A$38,C98,'Saldos Iniciales'!$B$2:$B$38,D98)+SUMIFS($K$1:$K$1048575,$C$1:$C$1048575,C98,$D$1:$D$1048575,D98,$B$1:$B$1048575,"&lt;="&amp;B98)</f>
        <v>148882.87000000023</v>
      </c>
      <c r="N98" s="30" t="str">
        <f>IF(tblMovimientos[[#This Row],[Tipo de Movimiento]]="Ingreso",tblMovimientos[[#This Row],[Monto (S/)]],"0")</f>
        <v>0</v>
      </c>
      <c r="O98" s="30">
        <f>IF(tblMovimientos[[#This Row],[Tipo de Movimiento]]="Egreso",tblMovimientos[[#This Row],[Monto (S/)]],"0")</f>
        <v>5000</v>
      </c>
      <c r="P98" s="34">
        <f>IF(tblMovimientos[[#This Row],[Tipo de Movimiento]]="Ingreso",tblMovimientos[[#This Row],[Ingreso]],-tblMovimientos[[#This Row],[Egreso]])</f>
        <v>-5000</v>
      </c>
    </row>
    <row r="99" spans="2:16" hidden="1" x14ac:dyDescent="0.3">
      <c r="B99" s="47">
        <v>46156</v>
      </c>
      <c r="C99" s="4" t="str">
        <f>_xlfn.XLOOKUP(tblMovimientos[[#This Row],[Cuenta Bancaria]],Listas!$B:$B,Listas!$A:$A,"")</f>
        <v>CFT Group</v>
      </c>
      <c r="D99" s="48" t="s">
        <v>95</v>
      </c>
      <c r="E99" s="4" t="str">
        <f>_xlfn.XLOOKUP(tblMovimientos[[#This Row],[Cuenta Bancaria]],Listas!$B:$B,Listas!$C:$C,"")</f>
        <v xml:space="preserve">Amerant Bank </v>
      </c>
      <c r="F99" s="49" t="s">
        <v>10</v>
      </c>
      <c r="G99" s="48" t="s">
        <v>46</v>
      </c>
      <c r="H99" s="4" t="str">
        <f>IFERROR(_xlfn.XLOOKUP(G99,Listas!E:E,Listas!F:F,""),"")</f>
        <v>Financiamiento</v>
      </c>
      <c r="I99" s="4" t="str">
        <f>IFERROR(_xlfn.XLOOKUP(G99,Listas!E:E,Listas!G:G,""),"")</f>
        <v>Externo</v>
      </c>
      <c r="J99" s="51">
        <v>27083.33</v>
      </c>
      <c r="K99" s="5">
        <f t="shared" si="1"/>
        <v>-27083.33</v>
      </c>
      <c r="L99" s="6" t="s">
        <v>93</v>
      </c>
      <c r="M99" s="52">
        <f>SUMIFS('Saldos Iniciales'!$D$2:$D$38,'Saldos Iniciales'!$A$2:$A$38,C99,'Saldos Iniciales'!$B$2:$B$38,D99)+SUMIFS($K$1:$K$1048575,$C$1:$C$1048575,C99,$D$1:$D$1048575,D99,$B$1:$B$1048575,"&lt;="&amp;B99)</f>
        <v>148882.87000000023</v>
      </c>
      <c r="N99" s="30" t="str">
        <f>IF(tblMovimientos[[#This Row],[Tipo de Movimiento]]="Ingreso",tblMovimientos[[#This Row],[Monto (S/)]],"0")</f>
        <v>0</v>
      </c>
      <c r="O99" s="30">
        <f>IF(tblMovimientos[[#This Row],[Tipo de Movimiento]]="Egreso",tblMovimientos[[#This Row],[Monto (S/)]],"0")</f>
        <v>27083.33</v>
      </c>
      <c r="P99" s="34">
        <f>IF(tblMovimientos[[#This Row],[Tipo de Movimiento]]="Ingreso",tblMovimientos[[#This Row],[Ingreso]],-tblMovimientos[[#This Row],[Egreso]])</f>
        <v>-27083.33</v>
      </c>
    </row>
    <row r="100" spans="2:16" hidden="1" x14ac:dyDescent="0.3">
      <c r="B100" s="47">
        <v>46156</v>
      </c>
      <c r="C100" s="4" t="str">
        <f>_xlfn.XLOOKUP(tblMovimientos[[#This Row],[Cuenta Bancaria]],Listas!$B:$B,Listas!$A:$A,"")</f>
        <v>CFT Group</v>
      </c>
      <c r="D100" s="48" t="s">
        <v>95</v>
      </c>
      <c r="E100" s="4" t="str">
        <f>_xlfn.XLOOKUP(tblMovimientos[[#This Row],[Cuenta Bancaria]],Listas!$B:$B,Listas!$C:$C,"")</f>
        <v xml:space="preserve">Amerant Bank </v>
      </c>
      <c r="F100" s="49" t="s">
        <v>10</v>
      </c>
      <c r="G100" s="48" t="s">
        <v>61</v>
      </c>
      <c r="H100" s="4" t="str">
        <f>IFERROR(_xlfn.XLOOKUP(G100,Listas!E:E,Listas!F:F,""),"")</f>
        <v>Operativo</v>
      </c>
      <c r="I100" s="4" t="str">
        <f>IFERROR(_xlfn.XLOOKUP(G100,Listas!E:E,Listas!G:G,""),"")</f>
        <v>Externo</v>
      </c>
      <c r="J100" s="51">
        <v>40000</v>
      </c>
      <c r="K100" s="5">
        <f t="shared" si="1"/>
        <v>-40000</v>
      </c>
      <c r="L100" s="6" t="s">
        <v>93</v>
      </c>
      <c r="M100" s="52">
        <f>SUMIFS('Saldos Iniciales'!$D$2:$D$38,'Saldos Iniciales'!$A$2:$A$38,C100,'Saldos Iniciales'!$B$2:$B$38,D100)+SUMIFS($K$1:$K$1048575,$C$1:$C$1048575,C100,$D$1:$D$1048575,D100,$B$1:$B$1048575,"&lt;="&amp;B100)</f>
        <v>148882.87000000023</v>
      </c>
      <c r="N100" s="30" t="str">
        <f>IF(tblMovimientos[[#This Row],[Tipo de Movimiento]]="Ingreso",tblMovimientos[[#This Row],[Monto (S/)]],"0")</f>
        <v>0</v>
      </c>
      <c r="O100" s="30">
        <f>IF(tblMovimientos[[#This Row],[Tipo de Movimiento]]="Egreso",tblMovimientos[[#This Row],[Monto (S/)]],"0")</f>
        <v>40000</v>
      </c>
      <c r="P100" s="34">
        <f>IF(tblMovimientos[[#This Row],[Tipo de Movimiento]]="Ingreso",tblMovimientos[[#This Row],[Ingreso]],-tblMovimientos[[#This Row],[Egreso]])</f>
        <v>-40000</v>
      </c>
    </row>
    <row r="101" spans="2:16" hidden="1" x14ac:dyDescent="0.3">
      <c r="B101" s="47">
        <v>46156</v>
      </c>
      <c r="C101" s="4" t="str">
        <f>_xlfn.XLOOKUP(tblMovimientos[[#This Row],[Cuenta Bancaria]],Listas!$B:$B,Listas!$A:$A,"")</f>
        <v>CFT Group</v>
      </c>
      <c r="D101" s="48" t="s">
        <v>95</v>
      </c>
      <c r="E101" s="4" t="str">
        <f>_xlfn.XLOOKUP(tblMovimientos[[#This Row],[Cuenta Bancaria]],Listas!$B:$B,Listas!$C:$C,"")</f>
        <v xml:space="preserve">Amerant Bank </v>
      </c>
      <c r="F101" s="49" t="s">
        <v>10</v>
      </c>
      <c r="G101" s="48" t="s">
        <v>46</v>
      </c>
      <c r="H101" s="4" t="str">
        <f>IFERROR(_xlfn.XLOOKUP(G101,Listas!E:E,Listas!F:F,""),"")</f>
        <v>Financiamiento</v>
      </c>
      <c r="I101" s="4" t="str">
        <f>IFERROR(_xlfn.XLOOKUP(G101,Listas!E:E,Listas!G:G,""),"")</f>
        <v>Externo</v>
      </c>
      <c r="J101" s="51">
        <v>56000</v>
      </c>
      <c r="K101" s="5">
        <f t="shared" si="1"/>
        <v>-56000</v>
      </c>
      <c r="L101" s="6" t="s">
        <v>93</v>
      </c>
      <c r="M101" s="52">
        <f>SUMIFS('Saldos Iniciales'!$D$2:$D$38,'Saldos Iniciales'!$A$2:$A$38,C101,'Saldos Iniciales'!$B$2:$B$38,D101)+SUMIFS($K$1:$K$1048575,$C$1:$C$1048575,C101,$D$1:$D$1048575,D101,$B$1:$B$1048575,"&lt;="&amp;B101)</f>
        <v>148882.87000000023</v>
      </c>
      <c r="N101" s="30" t="str">
        <f>IF(tblMovimientos[[#This Row],[Tipo de Movimiento]]="Ingreso",tblMovimientos[[#This Row],[Monto (S/)]],"0")</f>
        <v>0</v>
      </c>
      <c r="O101" s="30">
        <f>IF(tblMovimientos[[#This Row],[Tipo de Movimiento]]="Egreso",tblMovimientos[[#This Row],[Monto (S/)]],"0")</f>
        <v>56000</v>
      </c>
      <c r="P101" s="34">
        <f>IF(tblMovimientos[[#This Row],[Tipo de Movimiento]]="Ingreso",tblMovimientos[[#This Row],[Ingreso]],-tblMovimientos[[#This Row],[Egreso]])</f>
        <v>-56000</v>
      </c>
    </row>
    <row r="102" spans="2:16" hidden="1" x14ac:dyDescent="0.3">
      <c r="B102" s="47">
        <v>46156</v>
      </c>
      <c r="C102" s="4" t="str">
        <f>_xlfn.XLOOKUP(tblMovimientos[[#This Row],[Cuenta Bancaria]],Listas!$B:$B,Listas!$A:$A,"")</f>
        <v>CFT Group</v>
      </c>
      <c r="D102" s="48" t="s">
        <v>95</v>
      </c>
      <c r="E102" s="4" t="str">
        <f>_xlfn.XLOOKUP(tblMovimientos[[#This Row],[Cuenta Bancaria]],Listas!$B:$B,Listas!$C:$C,"")</f>
        <v xml:space="preserve">Amerant Bank </v>
      </c>
      <c r="F102" s="49" t="s">
        <v>10</v>
      </c>
      <c r="G102" s="48" t="s">
        <v>61</v>
      </c>
      <c r="H102" s="4" t="str">
        <f>IFERROR(_xlfn.XLOOKUP(G102,Listas!E:E,Listas!F:F,""),"")</f>
        <v>Operativo</v>
      </c>
      <c r="I102" s="4" t="str">
        <f>IFERROR(_xlfn.XLOOKUP(G102,Listas!E:E,Listas!G:G,""),"")</f>
        <v>Externo</v>
      </c>
      <c r="J102" s="51">
        <v>60000</v>
      </c>
      <c r="K102" s="5">
        <f t="shared" si="1"/>
        <v>-60000</v>
      </c>
      <c r="L102" s="6" t="s">
        <v>93</v>
      </c>
      <c r="M102" s="52">
        <f>SUMIFS('Saldos Iniciales'!$D$2:$D$38,'Saldos Iniciales'!$A$2:$A$38,C102,'Saldos Iniciales'!$B$2:$B$38,D102)+SUMIFS($K$1:$K$1048575,$C$1:$C$1048575,C102,$D$1:$D$1048575,D102,$B$1:$B$1048575,"&lt;="&amp;B102)</f>
        <v>148882.87000000023</v>
      </c>
      <c r="N102" s="30" t="str">
        <f>IF(tblMovimientos[[#This Row],[Tipo de Movimiento]]="Ingreso",tblMovimientos[[#This Row],[Monto (S/)]],"0")</f>
        <v>0</v>
      </c>
      <c r="O102" s="30">
        <f>IF(tblMovimientos[[#This Row],[Tipo de Movimiento]]="Egreso",tblMovimientos[[#This Row],[Monto (S/)]],"0")</f>
        <v>60000</v>
      </c>
      <c r="P102" s="34">
        <f>IF(tblMovimientos[[#This Row],[Tipo de Movimiento]]="Ingreso",tblMovimientos[[#This Row],[Ingreso]],-tblMovimientos[[#This Row],[Egreso]])</f>
        <v>-60000</v>
      </c>
    </row>
    <row r="103" spans="2:16" hidden="1" x14ac:dyDescent="0.3">
      <c r="B103" s="47">
        <v>46156</v>
      </c>
      <c r="C103" s="4" t="str">
        <f>_xlfn.XLOOKUP(tblMovimientos[[#This Row],[Cuenta Bancaria]],Listas!$B:$B,Listas!$A:$A,"")</f>
        <v>CFT Group</v>
      </c>
      <c r="D103" s="48" t="s">
        <v>95</v>
      </c>
      <c r="E103" s="4" t="str">
        <f>_xlfn.XLOOKUP(tblMovimientos[[#This Row],[Cuenta Bancaria]],Listas!$B:$B,Listas!$C:$C,"")</f>
        <v xml:space="preserve">Amerant Bank </v>
      </c>
      <c r="F103" s="49" t="s">
        <v>10</v>
      </c>
      <c r="G103" s="48" t="s">
        <v>46</v>
      </c>
      <c r="H103" s="4" t="str">
        <f>IFERROR(_xlfn.XLOOKUP(G103,Listas!E:E,Listas!F:F,""),"")</f>
        <v>Financiamiento</v>
      </c>
      <c r="I103" s="4" t="str">
        <f>IFERROR(_xlfn.XLOOKUP(G103,Listas!E:E,Listas!G:G,""),"")</f>
        <v>Externo</v>
      </c>
      <c r="J103" s="51">
        <v>70000</v>
      </c>
      <c r="K103" s="5">
        <f t="shared" si="1"/>
        <v>-70000</v>
      </c>
      <c r="L103" s="6" t="s">
        <v>93</v>
      </c>
      <c r="M103" s="52">
        <f>SUMIFS('Saldos Iniciales'!$D$2:$D$38,'Saldos Iniciales'!$A$2:$A$38,C103,'Saldos Iniciales'!$B$2:$B$38,D103)+SUMIFS($K$1:$K$1048575,$C$1:$C$1048575,C103,$D$1:$D$1048575,D103,$B$1:$B$1048575,"&lt;="&amp;B103)</f>
        <v>148882.87000000023</v>
      </c>
      <c r="N103" s="30" t="str">
        <f>IF(tblMovimientos[[#This Row],[Tipo de Movimiento]]="Ingreso",tblMovimientos[[#This Row],[Monto (S/)]],"0")</f>
        <v>0</v>
      </c>
      <c r="O103" s="30">
        <f>IF(tblMovimientos[[#This Row],[Tipo de Movimiento]]="Egreso",tblMovimientos[[#This Row],[Monto (S/)]],"0")</f>
        <v>70000</v>
      </c>
      <c r="P103" s="34">
        <f>IF(tblMovimientos[[#This Row],[Tipo de Movimiento]]="Ingreso",tblMovimientos[[#This Row],[Ingreso]],-tblMovimientos[[#This Row],[Egreso]])</f>
        <v>-70000</v>
      </c>
    </row>
    <row r="104" spans="2:16" hidden="1" x14ac:dyDescent="0.3">
      <c r="B104" s="47">
        <v>46156</v>
      </c>
      <c r="C104" s="4" t="str">
        <f>_xlfn.XLOOKUP(tblMovimientos[[#This Row],[Cuenta Bancaria]],Listas!$B:$B,Listas!$A:$A,"")</f>
        <v>CFT Group</v>
      </c>
      <c r="D104" s="48" t="s">
        <v>95</v>
      </c>
      <c r="E104" s="4" t="str">
        <f>_xlfn.XLOOKUP(tblMovimientos[[#This Row],[Cuenta Bancaria]],Listas!$B:$B,Listas!$C:$C,"")</f>
        <v xml:space="preserve">Amerant Bank </v>
      </c>
      <c r="F104" s="49" t="s">
        <v>10</v>
      </c>
      <c r="G104" s="48" t="s">
        <v>46</v>
      </c>
      <c r="H104" s="4" t="str">
        <f>IFERROR(_xlfn.XLOOKUP(G104,Listas!E:E,Listas!F:F,""),"")</f>
        <v>Financiamiento</v>
      </c>
      <c r="I104" s="4" t="str">
        <f>IFERROR(_xlfn.XLOOKUP(G104,Listas!E:E,Listas!G:G,""),"")</f>
        <v>Externo</v>
      </c>
      <c r="J104" s="51">
        <v>82833.33</v>
      </c>
      <c r="K104" s="5">
        <f t="shared" si="1"/>
        <v>-82833.33</v>
      </c>
      <c r="L104" s="6" t="s">
        <v>93</v>
      </c>
      <c r="M104" s="52">
        <f>SUMIFS('Saldos Iniciales'!$D$2:$D$38,'Saldos Iniciales'!$A$2:$A$38,C104,'Saldos Iniciales'!$B$2:$B$38,D104)+SUMIFS($K$1:$K$1048575,$C$1:$C$1048575,C104,$D$1:$D$1048575,D104,$B$1:$B$1048575,"&lt;="&amp;B104)</f>
        <v>148882.87000000023</v>
      </c>
      <c r="N104" s="30" t="str">
        <f>IF(tblMovimientos[[#This Row],[Tipo de Movimiento]]="Ingreso",tblMovimientos[[#This Row],[Monto (S/)]],"0")</f>
        <v>0</v>
      </c>
      <c r="O104" s="30">
        <f>IF(tblMovimientos[[#This Row],[Tipo de Movimiento]]="Egreso",tblMovimientos[[#This Row],[Monto (S/)]],"0")</f>
        <v>82833.33</v>
      </c>
      <c r="P104" s="34">
        <f>IF(tblMovimientos[[#This Row],[Tipo de Movimiento]]="Ingreso",tblMovimientos[[#This Row],[Ingreso]],-tblMovimientos[[#This Row],[Egreso]])</f>
        <v>-82833.33</v>
      </c>
    </row>
    <row r="105" spans="2:16" hidden="1" x14ac:dyDescent="0.3">
      <c r="B105" s="47">
        <v>46156</v>
      </c>
      <c r="C105" s="4" t="str">
        <f>_xlfn.XLOOKUP(tblMovimientos[[#This Row],[Cuenta Bancaria]],Listas!$B:$B,Listas!$A:$A,"")</f>
        <v>SSP Capital</v>
      </c>
      <c r="D105" s="48" t="s">
        <v>104</v>
      </c>
      <c r="E105" s="4" t="str">
        <f>_xlfn.XLOOKUP(tblMovimientos[[#This Row],[Cuenta Bancaria]],Listas!$B:$B,Listas!$C:$C,"")</f>
        <v xml:space="preserve">Amerant Bank </v>
      </c>
      <c r="F105" s="49" t="s">
        <v>10</v>
      </c>
      <c r="G105" s="48" t="s">
        <v>60</v>
      </c>
      <c r="H105" s="4" t="str">
        <f>IFERROR(_xlfn.XLOOKUP(G105,Listas!E:E,Listas!F:F,""),"")</f>
        <v>Inversion</v>
      </c>
      <c r="I105" s="4" t="str">
        <f>IFERROR(_xlfn.XLOOKUP(G105,Listas!E:E,Listas!G:G,""),"")</f>
        <v>Interno</v>
      </c>
      <c r="J105" s="51">
        <v>50000</v>
      </c>
      <c r="K105" s="5">
        <f t="shared" si="1"/>
        <v>-50000</v>
      </c>
      <c r="L105" s="6" t="s">
        <v>93</v>
      </c>
      <c r="M105" s="52">
        <f>SUMIFS('Saldos Iniciales'!$D$2:$D$38,'Saldos Iniciales'!$A$2:$A$38,C105,'Saldos Iniciales'!$B$2:$B$38,D105)+SUMIFS($K$1:$K$1048575,$C$1:$C$1048575,C105,$D$1:$D$1048575,D105,$B$1:$B$1048575,"&lt;="&amp;B105)</f>
        <v>176117.51999999938</v>
      </c>
      <c r="N105" s="30" t="str">
        <f>IF(tblMovimientos[[#This Row],[Tipo de Movimiento]]="Ingreso",tblMovimientos[[#This Row],[Monto (S/)]],"0")</f>
        <v>0</v>
      </c>
      <c r="O105" s="30">
        <f>IF(tblMovimientos[[#This Row],[Tipo de Movimiento]]="Egreso",tblMovimientos[[#This Row],[Monto (S/)]],"0")</f>
        <v>50000</v>
      </c>
      <c r="P105" s="34">
        <f>IF(tblMovimientos[[#This Row],[Tipo de Movimiento]]="Ingreso",tblMovimientos[[#This Row],[Ingreso]],-tblMovimientos[[#This Row],[Egreso]])</f>
        <v>-50000</v>
      </c>
    </row>
    <row r="106" spans="2:16" hidden="1" x14ac:dyDescent="0.3">
      <c r="B106" s="47">
        <v>46156</v>
      </c>
      <c r="C106" s="4" t="str">
        <f>_xlfn.XLOOKUP(tblMovimientos[[#This Row],[Cuenta Bancaria]],Listas!$B:$B,Listas!$A:$A,"")</f>
        <v>SSP Capital</v>
      </c>
      <c r="D106" s="48" t="s">
        <v>104</v>
      </c>
      <c r="E106" s="4" t="str">
        <f>_xlfn.XLOOKUP(tblMovimientos[[#This Row],[Cuenta Bancaria]],Listas!$B:$B,Listas!$C:$C,"")</f>
        <v xml:space="preserve">Amerant Bank </v>
      </c>
      <c r="F106" s="49" t="s">
        <v>10</v>
      </c>
      <c r="G106" s="48" t="s">
        <v>46</v>
      </c>
      <c r="H106" s="4" t="str">
        <f>IFERROR(_xlfn.XLOOKUP(G106,Listas!E:E,Listas!F:F,""),"")</f>
        <v>Financiamiento</v>
      </c>
      <c r="I106" s="4" t="str">
        <f>IFERROR(_xlfn.XLOOKUP(G106,Listas!E:E,Listas!G:G,""),"")</f>
        <v>Externo</v>
      </c>
      <c r="J106" s="51">
        <v>53666.67</v>
      </c>
      <c r="K106" s="5">
        <f t="shared" si="1"/>
        <v>-53666.67</v>
      </c>
      <c r="L106" s="6" t="s">
        <v>93</v>
      </c>
      <c r="M106" s="52">
        <f>SUMIFS('Saldos Iniciales'!$D$2:$D$38,'Saldos Iniciales'!$A$2:$A$38,C106,'Saldos Iniciales'!$B$2:$B$38,D106)+SUMIFS($K$1:$K$1048575,$C$1:$C$1048575,C106,$D$1:$D$1048575,D106,$B$1:$B$1048575,"&lt;="&amp;B106)</f>
        <v>176117.51999999938</v>
      </c>
      <c r="N106" s="30" t="str">
        <f>IF(tblMovimientos[[#This Row],[Tipo de Movimiento]]="Ingreso",tblMovimientos[[#This Row],[Monto (S/)]],"0")</f>
        <v>0</v>
      </c>
      <c r="O106" s="30">
        <f>IF(tblMovimientos[[#This Row],[Tipo de Movimiento]]="Egreso",tblMovimientos[[#This Row],[Monto (S/)]],"0")</f>
        <v>53666.67</v>
      </c>
      <c r="P106" s="34">
        <f>IF(tblMovimientos[[#This Row],[Tipo de Movimiento]]="Ingreso",tblMovimientos[[#This Row],[Ingreso]],-tblMovimientos[[#This Row],[Egreso]])</f>
        <v>-53666.67</v>
      </c>
    </row>
    <row r="107" spans="2:16" hidden="1" x14ac:dyDescent="0.3">
      <c r="B107" s="47">
        <v>46156</v>
      </c>
      <c r="C107" s="4" t="str">
        <f>_xlfn.XLOOKUP(tblMovimientos[[#This Row],[Cuenta Bancaria]],Listas!$B:$B,Listas!$A:$A,"")</f>
        <v>SSP Capital</v>
      </c>
      <c r="D107" s="48" t="s">
        <v>104</v>
      </c>
      <c r="E107" s="4" t="str">
        <f>_xlfn.XLOOKUP(tblMovimientos[[#This Row],[Cuenta Bancaria]],Listas!$B:$B,Listas!$C:$C,"")</f>
        <v xml:space="preserve">Amerant Bank </v>
      </c>
      <c r="F107" s="49" t="s">
        <v>10</v>
      </c>
      <c r="G107" s="48" t="s">
        <v>46</v>
      </c>
      <c r="H107" s="4" t="str">
        <f>IFERROR(_xlfn.XLOOKUP(G107,Listas!E:E,Listas!F:F,""),"")</f>
        <v>Financiamiento</v>
      </c>
      <c r="I107" s="4" t="str">
        <f>IFERROR(_xlfn.XLOOKUP(G107,Listas!E:E,Listas!G:G,""),"")</f>
        <v>Externo</v>
      </c>
      <c r="J107" s="51">
        <v>99166.67</v>
      </c>
      <c r="K107" s="5">
        <f t="shared" si="1"/>
        <v>-99166.67</v>
      </c>
      <c r="L107" s="6" t="s">
        <v>93</v>
      </c>
      <c r="M107" s="52">
        <f>SUMIFS('Saldos Iniciales'!$D$2:$D$38,'Saldos Iniciales'!$A$2:$A$38,C107,'Saldos Iniciales'!$B$2:$B$38,D107)+SUMIFS($K$1:$K$1048575,$C$1:$C$1048575,C107,$D$1:$D$1048575,D107,$B$1:$B$1048575,"&lt;="&amp;B107)</f>
        <v>176117.51999999938</v>
      </c>
      <c r="N107" s="30" t="str">
        <f>IF(tblMovimientos[[#This Row],[Tipo de Movimiento]]="Ingreso",tblMovimientos[[#This Row],[Monto (S/)]],"0")</f>
        <v>0</v>
      </c>
      <c r="O107" s="30">
        <f>IF(tblMovimientos[[#This Row],[Tipo de Movimiento]]="Egreso",tblMovimientos[[#This Row],[Monto (S/)]],"0")</f>
        <v>99166.67</v>
      </c>
      <c r="P107" s="34">
        <f>IF(tblMovimientos[[#This Row],[Tipo de Movimiento]]="Ingreso",tblMovimientos[[#This Row],[Ingreso]],-tblMovimientos[[#This Row],[Egreso]])</f>
        <v>-99166.67</v>
      </c>
    </row>
    <row r="108" spans="2:16" hidden="1" x14ac:dyDescent="0.3">
      <c r="B108" s="47">
        <v>46156</v>
      </c>
      <c r="C108" s="4" t="str">
        <f>_xlfn.XLOOKUP(tblMovimientos[[#This Row],[Cuenta Bancaria]],Listas!$B:$B,Listas!$A:$A,"")</f>
        <v>Go Blue</v>
      </c>
      <c r="D108" s="48" t="s">
        <v>126</v>
      </c>
      <c r="E108" s="4" t="str">
        <f>_xlfn.XLOOKUP(tblMovimientos[[#This Row],[Cuenta Bancaria]],Listas!$B:$B,Listas!$C:$C,"")</f>
        <v xml:space="preserve">Amerant Bank </v>
      </c>
      <c r="F108" s="49" t="s">
        <v>10</v>
      </c>
      <c r="G108" s="48" t="s">
        <v>38</v>
      </c>
      <c r="H108" s="4" t="str">
        <f>IFERROR(_xlfn.XLOOKUP(G108,Listas!E:E,Listas!F:F,""),"")</f>
        <v>Operativo</v>
      </c>
      <c r="I108" s="4" t="str">
        <f>IFERROR(_xlfn.XLOOKUP(G108,Listas!E:E,Listas!G:G,""),"")</f>
        <v>Externo</v>
      </c>
      <c r="J108" s="51">
        <v>2500</v>
      </c>
      <c r="K108" s="5">
        <f t="shared" si="1"/>
        <v>-2500</v>
      </c>
      <c r="L108" s="6" t="s">
        <v>93</v>
      </c>
      <c r="M108" s="52">
        <f>SUMIFS('Saldos Iniciales'!$D$2:$D$38,'Saldos Iniciales'!$A$2:$A$38,C108,'Saldos Iniciales'!$B$2:$B$38,D108)+SUMIFS($K$1:$K$1048575,$C$1:$C$1048575,C108,$D$1:$D$1048575,D108,$B$1:$B$1048575,"&lt;="&amp;B108)</f>
        <v>14226.59</v>
      </c>
      <c r="N108" s="30" t="str">
        <f>IF(tblMovimientos[[#This Row],[Tipo de Movimiento]]="Ingreso",tblMovimientos[[#This Row],[Monto (S/)]],"0")</f>
        <v>0</v>
      </c>
      <c r="O108" s="30">
        <f>IF(tblMovimientos[[#This Row],[Tipo de Movimiento]]="Egreso",tblMovimientos[[#This Row],[Monto (S/)]],"0")</f>
        <v>2500</v>
      </c>
      <c r="P108" s="34">
        <f>IF(tblMovimientos[[#This Row],[Tipo de Movimiento]]="Ingreso",tblMovimientos[[#This Row],[Ingreso]],-tblMovimientos[[#This Row],[Egreso]])</f>
        <v>-2500</v>
      </c>
    </row>
    <row r="109" spans="2:16" hidden="1" x14ac:dyDescent="0.3">
      <c r="B109" s="47">
        <v>46157</v>
      </c>
      <c r="C109" s="4" t="str">
        <f>_xlfn.XLOOKUP(tblMovimientos[[#This Row],[Cuenta Bancaria]],Listas!$B:$B,Listas!$A:$A,"")</f>
        <v>Go Blue</v>
      </c>
      <c r="D109" s="48" t="s">
        <v>126</v>
      </c>
      <c r="E109" s="4" t="str">
        <f>_xlfn.XLOOKUP(tblMovimientos[[#This Row],[Cuenta Bancaria]],Listas!$B:$B,Listas!$C:$C,"")</f>
        <v xml:space="preserve">Amerant Bank </v>
      </c>
      <c r="F109" s="49" t="s">
        <v>10</v>
      </c>
      <c r="G109" s="48" t="s">
        <v>38</v>
      </c>
      <c r="H109" s="4" t="str">
        <f>IFERROR(_xlfn.XLOOKUP(G109,Listas!E:E,Listas!F:F,""),"")</f>
        <v>Operativo</v>
      </c>
      <c r="I109" s="4" t="str">
        <f>IFERROR(_xlfn.XLOOKUP(G109,Listas!E:E,Listas!G:G,""),"")</f>
        <v>Externo</v>
      </c>
      <c r="J109" s="51">
        <v>50</v>
      </c>
      <c r="K109" s="5">
        <f t="shared" si="1"/>
        <v>-50</v>
      </c>
      <c r="L109" s="6" t="s">
        <v>93</v>
      </c>
      <c r="M109" s="52">
        <f>SUMIFS('Saldos Iniciales'!$D$2:$D$38,'Saldos Iniciales'!$A$2:$A$38,C109,'Saldos Iniciales'!$B$2:$B$38,D109)+SUMIFS($K$1:$K$1048575,$C$1:$C$1048575,C109,$D$1:$D$1048575,D109,$B$1:$B$1048575,"&lt;="&amp;B109)</f>
        <v>14176.59</v>
      </c>
      <c r="N109" s="30" t="str">
        <f>IF(tblMovimientos[[#This Row],[Tipo de Movimiento]]="Ingreso",tblMovimientos[[#This Row],[Monto (S/)]],"0")</f>
        <v>0</v>
      </c>
      <c r="O109" s="30">
        <f>IF(tblMovimientos[[#This Row],[Tipo de Movimiento]]="Egreso",tblMovimientos[[#This Row],[Monto (S/)]],"0")</f>
        <v>50</v>
      </c>
      <c r="P109" s="34">
        <f>IF(tblMovimientos[[#This Row],[Tipo de Movimiento]]="Ingreso",tblMovimientos[[#This Row],[Ingreso]],-tblMovimientos[[#This Row],[Egreso]])</f>
        <v>-50</v>
      </c>
    </row>
    <row r="110" spans="2:16" hidden="1" x14ac:dyDescent="0.3">
      <c r="B110" s="47">
        <v>46157</v>
      </c>
      <c r="C110" s="4" t="str">
        <f>_xlfn.XLOOKUP(tblMovimientos[[#This Row],[Cuenta Bancaria]],Listas!$B:$B,Listas!$A:$A,"")</f>
        <v>3628 Thomas Ave</v>
      </c>
      <c r="D110" s="48" t="s">
        <v>124</v>
      </c>
      <c r="E110" s="4" t="str">
        <f>_xlfn.XLOOKUP(tblMovimientos[[#This Row],[Cuenta Bancaria]],Listas!$B:$B,Listas!$C:$C,"")</f>
        <v>Bank of America</v>
      </c>
      <c r="F110" s="49" t="s">
        <v>10</v>
      </c>
      <c r="G110" s="48" t="s">
        <v>38</v>
      </c>
      <c r="H110" s="4" t="str">
        <f>IFERROR(_xlfn.XLOOKUP(G110,Listas!E:E,Listas!F:F,""),"")</f>
        <v>Operativo</v>
      </c>
      <c r="I110" s="4" t="str">
        <f>IFERROR(_xlfn.XLOOKUP(G110,Listas!E:E,Listas!G:G,""),"")</f>
        <v>Externo</v>
      </c>
      <c r="J110" s="51">
        <v>1650</v>
      </c>
      <c r="K110" s="5">
        <f t="shared" si="1"/>
        <v>-1650</v>
      </c>
      <c r="L110" s="6" t="s">
        <v>93</v>
      </c>
      <c r="M110" s="52">
        <f>SUMIFS('Saldos Iniciales'!$D$2:$D$38,'Saldos Iniciales'!$A$2:$A$38,C110,'Saldos Iniciales'!$B$2:$B$38,D110)+SUMIFS($K$1:$K$1048575,$C$1:$C$1048575,C110,$D$1:$D$1048575,D110,$B$1:$B$1048575,"&lt;="&amp;B110)</f>
        <v>27011.27</v>
      </c>
      <c r="N110" s="30" t="str">
        <f>IF(tblMovimientos[[#This Row],[Tipo de Movimiento]]="Ingreso",tblMovimientos[[#This Row],[Monto (S/)]],"0")</f>
        <v>0</v>
      </c>
      <c r="O110" s="30">
        <f>IF(tblMovimientos[[#This Row],[Tipo de Movimiento]]="Egreso",tblMovimientos[[#This Row],[Monto (S/)]],"0")</f>
        <v>1650</v>
      </c>
      <c r="P110" s="34">
        <f>IF(tblMovimientos[[#This Row],[Tipo de Movimiento]]="Ingreso",tblMovimientos[[#This Row],[Ingreso]],-tblMovimientos[[#This Row],[Egreso]])</f>
        <v>-1650</v>
      </c>
    </row>
    <row r="111" spans="2:16" hidden="1" x14ac:dyDescent="0.3">
      <c r="B111" s="47">
        <v>46157</v>
      </c>
      <c r="C111" s="4" t="str">
        <f>_xlfn.XLOOKUP(tblMovimientos[[#This Row],[Cuenta Bancaria]],Listas!$B:$B,Listas!$A:$A,"")</f>
        <v>3628 Thomas Ave</v>
      </c>
      <c r="D111" s="48" t="s">
        <v>124</v>
      </c>
      <c r="E111" s="4" t="str">
        <f>_xlfn.XLOOKUP(tblMovimientos[[#This Row],[Cuenta Bancaria]],Listas!$B:$B,Listas!$C:$C,"")</f>
        <v>Bank of America</v>
      </c>
      <c r="F111" s="49" t="s">
        <v>10</v>
      </c>
      <c r="G111" s="48" t="s">
        <v>38</v>
      </c>
      <c r="H111" s="4" t="str">
        <f>IFERROR(_xlfn.XLOOKUP(G111,Listas!E:E,Listas!F:F,""),"")</f>
        <v>Operativo</v>
      </c>
      <c r="I111" s="4" t="str">
        <f>IFERROR(_xlfn.XLOOKUP(G111,Listas!E:E,Listas!G:G,""),"")</f>
        <v>Externo</v>
      </c>
      <c r="J111" s="51">
        <v>2200</v>
      </c>
      <c r="K111" s="5">
        <f t="shared" si="1"/>
        <v>-2200</v>
      </c>
      <c r="L111" s="6" t="s">
        <v>93</v>
      </c>
      <c r="M111" s="52">
        <f>SUMIFS('Saldos Iniciales'!$D$2:$D$38,'Saldos Iniciales'!$A$2:$A$38,C111,'Saldos Iniciales'!$B$2:$B$38,D111)+SUMIFS($K$1:$K$1048575,$C$1:$C$1048575,C111,$D$1:$D$1048575,D111,$B$1:$B$1048575,"&lt;="&amp;B111)</f>
        <v>27011.27</v>
      </c>
      <c r="N111" s="30" t="str">
        <f>IF(tblMovimientos[[#This Row],[Tipo de Movimiento]]="Ingreso",tblMovimientos[[#This Row],[Monto (S/)]],"0")</f>
        <v>0</v>
      </c>
      <c r="O111" s="30">
        <f>IF(tblMovimientos[[#This Row],[Tipo de Movimiento]]="Egreso",tblMovimientos[[#This Row],[Monto (S/)]],"0")</f>
        <v>2200</v>
      </c>
      <c r="P111" s="34">
        <f>IF(tblMovimientos[[#This Row],[Tipo de Movimiento]]="Ingreso",tblMovimientos[[#This Row],[Ingreso]],-tblMovimientos[[#This Row],[Egreso]])</f>
        <v>-2200</v>
      </c>
    </row>
    <row r="112" spans="2:16" hidden="1" x14ac:dyDescent="0.3">
      <c r="B112" s="47">
        <v>46157</v>
      </c>
      <c r="C112" s="4" t="str">
        <f>_xlfn.XLOOKUP(tblMovimientos[[#This Row],[Cuenta Bancaria]],Listas!$B:$B,Listas!$A:$A,"")</f>
        <v>3628 Thomas Ave</v>
      </c>
      <c r="D112" s="48" t="s">
        <v>124</v>
      </c>
      <c r="E112" s="4" t="str">
        <f>_xlfn.XLOOKUP(tblMovimientos[[#This Row],[Cuenta Bancaria]],Listas!$B:$B,Listas!$C:$C,"")</f>
        <v>Bank of America</v>
      </c>
      <c r="F112" s="49" t="s">
        <v>10</v>
      </c>
      <c r="G112" s="48" t="s">
        <v>38</v>
      </c>
      <c r="H112" s="4" t="str">
        <f>IFERROR(_xlfn.XLOOKUP(G112,Listas!E:E,Listas!F:F,""),"")</f>
        <v>Operativo</v>
      </c>
      <c r="I112" s="4" t="str">
        <f>IFERROR(_xlfn.XLOOKUP(G112,Listas!E:E,Listas!G:G,""),"")</f>
        <v>Externo</v>
      </c>
      <c r="J112" s="51">
        <v>160</v>
      </c>
      <c r="K112" s="5">
        <f t="shared" si="1"/>
        <v>-160</v>
      </c>
      <c r="L112" s="6" t="s">
        <v>93</v>
      </c>
      <c r="M112" s="52">
        <f>SUMIFS('Saldos Iniciales'!$D$2:$D$38,'Saldos Iniciales'!$A$2:$A$38,C112,'Saldos Iniciales'!$B$2:$B$38,D112)+SUMIFS($K$1:$K$1048575,$C$1:$C$1048575,C112,$D$1:$D$1048575,D112,$B$1:$B$1048575,"&lt;="&amp;B112)</f>
        <v>27011.27</v>
      </c>
      <c r="N112" s="30" t="str">
        <f>IF(tblMovimientos[[#This Row],[Tipo de Movimiento]]="Ingreso",tblMovimientos[[#This Row],[Monto (S/)]],"0")</f>
        <v>0</v>
      </c>
      <c r="O112" s="30">
        <f>IF(tblMovimientos[[#This Row],[Tipo de Movimiento]]="Egreso",tblMovimientos[[#This Row],[Monto (S/)]],"0")</f>
        <v>160</v>
      </c>
      <c r="P112" s="34">
        <f>IF(tblMovimientos[[#This Row],[Tipo de Movimiento]]="Ingreso",tblMovimientos[[#This Row],[Ingreso]],-tblMovimientos[[#This Row],[Egreso]])</f>
        <v>-160</v>
      </c>
    </row>
    <row r="113" spans="2:16" hidden="1" x14ac:dyDescent="0.3">
      <c r="B113" s="47">
        <v>46157</v>
      </c>
      <c r="C113" s="4" t="str">
        <f>_xlfn.XLOOKUP(tblMovimientos[[#This Row],[Cuenta Bancaria]],Listas!$B:$B,Listas!$A:$A,"")</f>
        <v>3628 Thomas Ave</v>
      </c>
      <c r="D113" s="48" t="s">
        <v>124</v>
      </c>
      <c r="E113" s="4" t="str">
        <f>_xlfn.XLOOKUP(tblMovimientos[[#This Row],[Cuenta Bancaria]],Listas!$B:$B,Listas!$C:$C,"")</f>
        <v>Bank of America</v>
      </c>
      <c r="F113" s="49" t="s">
        <v>10</v>
      </c>
      <c r="G113" s="48" t="s">
        <v>38</v>
      </c>
      <c r="H113" s="4" t="str">
        <f>IFERROR(_xlfn.XLOOKUP(G113,Listas!E:E,Listas!F:F,""),"")</f>
        <v>Operativo</v>
      </c>
      <c r="I113" s="4" t="str">
        <f>IFERROR(_xlfn.XLOOKUP(G113,Listas!E:E,Listas!G:G,""),"")</f>
        <v>Externo</v>
      </c>
      <c r="J113" s="51">
        <v>100</v>
      </c>
      <c r="K113" s="5">
        <f t="shared" si="1"/>
        <v>-100</v>
      </c>
      <c r="L113" s="6" t="s">
        <v>93</v>
      </c>
      <c r="M113" s="52">
        <f>SUMIFS('Saldos Iniciales'!$D$2:$D$38,'Saldos Iniciales'!$A$2:$A$38,C113,'Saldos Iniciales'!$B$2:$B$38,D113)+SUMIFS($K$1:$K$1048575,$C$1:$C$1048575,C113,$D$1:$D$1048575,D113,$B$1:$B$1048575,"&lt;="&amp;B113)</f>
        <v>27011.27</v>
      </c>
      <c r="N113" s="30" t="str">
        <f>IF(tblMovimientos[[#This Row],[Tipo de Movimiento]]="Ingreso",tblMovimientos[[#This Row],[Monto (S/)]],"0")</f>
        <v>0</v>
      </c>
      <c r="O113" s="30">
        <f>IF(tblMovimientos[[#This Row],[Tipo de Movimiento]]="Egreso",tblMovimientos[[#This Row],[Monto (S/)]],"0")</f>
        <v>100</v>
      </c>
      <c r="P113" s="34">
        <f>IF(tblMovimientos[[#This Row],[Tipo de Movimiento]]="Ingreso",tblMovimientos[[#This Row],[Ingreso]],-tblMovimientos[[#This Row],[Egreso]])</f>
        <v>-100</v>
      </c>
    </row>
    <row r="114" spans="2:16" hidden="1" x14ac:dyDescent="0.3">
      <c r="B114" s="47">
        <v>46157</v>
      </c>
      <c r="C114" s="4" t="str">
        <f>_xlfn.XLOOKUP(tblMovimientos[[#This Row],[Cuenta Bancaria]],Listas!$B:$B,Listas!$A:$A,"")</f>
        <v>3628 Thomas Ave</v>
      </c>
      <c r="D114" s="48" t="s">
        <v>124</v>
      </c>
      <c r="E114" s="4" t="str">
        <f>_xlfn.XLOOKUP(tblMovimientos[[#This Row],[Cuenta Bancaria]],Listas!$B:$B,Listas!$C:$C,"")</f>
        <v>Bank of America</v>
      </c>
      <c r="F114" s="49" t="s">
        <v>10</v>
      </c>
      <c r="G114" s="48" t="s">
        <v>38</v>
      </c>
      <c r="H114" s="4" t="str">
        <f>IFERROR(_xlfn.XLOOKUP(G114,Listas!E:E,Listas!F:F,""),"")</f>
        <v>Operativo</v>
      </c>
      <c r="I114" s="4" t="str">
        <f>IFERROR(_xlfn.XLOOKUP(G114,Listas!E:E,Listas!G:G,""),"")</f>
        <v>Externo</v>
      </c>
      <c r="J114" s="51">
        <v>200</v>
      </c>
      <c r="K114" s="5">
        <f t="shared" si="1"/>
        <v>-200</v>
      </c>
      <c r="L114" s="6" t="s">
        <v>93</v>
      </c>
      <c r="M114" s="52">
        <f>SUMIFS('Saldos Iniciales'!$D$2:$D$38,'Saldos Iniciales'!$A$2:$A$38,C114,'Saldos Iniciales'!$B$2:$B$38,D114)+SUMIFS($K$1:$K$1048575,$C$1:$C$1048575,C114,$D$1:$D$1048575,D114,$B$1:$B$1048575,"&lt;="&amp;B114)</f>
        <v>27011.27</v>
      </c>
      <c r="N114" s="30" t="str">
        <f>IF(tblMovimientos[[#This Row],[Tipo de Movimiento]]="Ingreso",tblMovimientos[[#This Row],[Monto (S/)]],"0")</f>
        <v>0</v>
      </c>
      <c r="O114" s="30">
        <f>IF(tblMovimientos[[#This Row],[Tipo de Movimiento]]="Egreso",tblMovimientos[[#This Row],[Monto (S/)]],"0")</f>
        <v>200</v>
      </c>
      <c r="P114" s="34">
        <f>IF(tblMovimientos[[#This Row],[Tipo de Movimiento]]="Ingreso",tblMovimientos[[#This Row],[Ingreso]],-tblMovimientos[[#This Row],[Egreso]])</f>
        <v>-200</v>
      </c>
    </row>
    <row r="115" spans="2:16" hidden="1" x14ac:dyDescent="0.3">
      <c r="B115" s="47">
        <v>46157</v>
      </c>
      <c r="C115" s="4" t="str">
        <f>_xlfn.XLOOKUP(tblMovimientos[[#This Row],[Cuenta Bancaria]],Listas!$B:$B,Listas!$A:$A,"")</f>
        <v>3628 Thomas Ave</v>
      </c>
      <c r="D115" s="48" t="s">
        <v>124</v>
      </c>
      <c r="E115" s="4" t="str">
        <f>_xlfn.XLOOKUP(tblMovimientos[[#This Row],[Cuenta Bancaria]],Listas!$B:$B,Listas!$C:$C,"")</f>
        <v>Bank of America</v>
      </c>
      <c r="F115" s="49" t="s">
        <v>10</v>
      </c>
      <c r="G115" s="48" t="s">
        <v>38</v>
      </c>
      <c r="H115" s="4" t="str">
        <f>IFERROR(_xlfn.XLOOKUP(G115,Listas!E:E,Listas!F:F,""),"")</f>
        <v>Operativo</v>
      </c>
      <c r="I115" s="4" t="str">
        <f>IFERROR(_xlfn.XLOOKUP(G115,Listas!E:E,Listas!G:G,""),"")</f>
        <v>Externo</v>
      </c>
      <c r="J115" s="51">
        <v>2.12</v>
      </c>
      <c r="K115" s="5">
        <f t="shared" si="1"/>
        <v>-2.12</v>
      </c>
      <c r="L115" s="6" t="s">
        <v>93</v>
      </c>
      <c r="M115" s="52">
        <f>SUMIFS('Saldos Iniciales'!$D$2:$D$38,'Saldos Iniciales'!$A$2:$A$38,C115,'Saldos Iniciales'!$B$2:$B$38,D115)+SUMIFS($K$1:$K$1048575,$C$1:$C$1048575,C115,$D$1:$D$1048575,D115,$B$1:$B$1048575,"&lt;="&amp;B115)</f>
        <v>27011.27</v>
      </c>
      <c r="N115" s="30" t="str">
        <f>IF(tblMovimientos[[#This Row],[Tipo de Movimiento]]="Ingreso",tblMovimientos[[#This Row],[Monto (S/)]],"0")</f>
        <v>0</v>
      </c>
      <c r="O115" s="30">
        <f>IF(tblMovimientos[[#This Row],[Tipo de Movimiento]]="Egreso",tblMovimientos[[#This Row],[Monto (S/)]],"0")</f>
        <v>2.12</v>
      </c>
      <c r="P115" s="34">
        <f>IF(tblMovimientos[[#This Row],[Tipo de Movimiento]]="Ingreso",tblMovimientos[[#This Row],[Ingreso]],-tblMovimientos[[#This Row],[Egreso]])</f>
        <v>-2.12</v>
      </c>
    </row>
    <row r="116" spans="2:16" hidden="1" x14ac:dyDescent="0.3">
      <c r="B116" s="47">
        <v>46157</v>
      </c>
      <c r="C116" s="4" t="str">
        <f>_xlfn.XLOOKUP(tblMovimientos[[#This Row],[Cuenta Bancaria]],Listas!$B:$B,Listas!$A:$A,"")</f>
        <v>A&amp;M Imports</v>
      </c>
      <c r="D116" s="48" t="s">
        <v>100</v>
      </c>
      <c r="E116" s="4" t="str">
        <f>_xlfn.XLOOKUP(tblMovimientos[[#This Row],[Cuenta Bancaria]],Listas!$B:$B,Listas!$C:$C,"")</f>
        <v>Bank of America</v>
      </c>
      <c r="F116" s="49" t="s">
        <v>10</v>
      </c>
      <c r="G116" s="48" t="s">
        <v>44</v>
      </c>
      <c r="H116" s="4" t="str">
        <f>IFERROR(_xlfn.XLOOKUP(G116,Listas!E:E,Listas!F:F,""),"")</f>
        <v>Operativo</v>
      </c>
      <c r="I116" s="4" t="str">
        <f>IFERROR(_xlfn.XLOOKUP(G116,Listas!E:E,Listas!G:G,""),"")</f>
        <v>Externo</v>
      </c>
      <c r="J116" s="51">
        <v>603.46</v>
      </c>
      <c r="K116" s="5">
        <f t="shared" si="1"/>
        <v>-603.46</v>
      </c>
      <c r="L116" s="6" t="s">
        <v>93</v>
      </c>
      <c r="M116" s="52">
        <f>SUMIFS('Saldos Iniciales'!$D$2:$D$38,'Saldos Iniciales'!$A$2:$A$38,C116,'Saldos Iniciales'!$B$2:$B$38,D116)+SUMIFS($K$1:$K$1048575,$C$1:$C$1048575,C116,$D$1:$D$1048575,D116,$B$1:$B$1048575,"&lt;="&amp;B116)</f>
        <v>832076.20999999985</v>
      </c>
      <c r="N116" s="30" t="str">
        <f>IF(tblMovimientos[[#This Row],[Tipo de Movimiento]]="Ingreso",tblMovimientos[[#This Row],[Monto (S/)]],"0")</f>
        <v>0</v>
      </c>
      <c r="O116" s="30">
        <f>IF(tblMovimientos[[#This Row],[Tipo de Movimiento]]="Egreso",tblMovimientos[[#This Row],[Monto (S/)]],"0")</f>
        <v>603.46</v>
      </c>
      <c r="P116" s="34">
        <f>IF(tblMovimientos[[#This Row],[Tipo de Movimiento]]="Ingreso",tblMovimientos[[#This Row],[Ingreso]],-tblMovimientos[[#This Row],[Egreso]])</f>
        <v>-603.46</v>
      </c>
    </row>
    <row r="117" spans="2:16" hidden="1" x14ac:dyDescent="0.3">
      <c r="B117" s="47">
        <v>46157</v>
      </c>
      <c r="C117" s="4" t="str">
        <f>_xlfn.XLOOKUP(tblMovimientos[[#This Row],[Cuenta Bancaria]],Listas!$B:$B,Listas!$A:$A,"")</f>
        <v>SSP Capital</v>
      </c>
      <c r="D117" s="48" t="s">
        <v>102</v>
      </c>
      <c r="E117" s="4" t="str">
        <f>_xlfn.XLOOKUP(tblMovimientos[[#This Row],[Cuenta Bancaria]],Listas!$B:$B,Listas!$C:$C,"")</f>
        <v>Bank of America</v>
      </c>
      <c r="F117" s="49" t="s">
        <v>10</v>
      </c>
      <c r="G117" s="48" t="s">
        <v>44</v>
      </c>
      <c r="H117" s="4" t="str">
        <f>IFERROR(_xlfn.XLOOKUP(G117,Listas!E:E,Listas!F:F,""),"")</f>
        <v>Operativo</v>
      </c>
      <c r="I117" s="4" t="str">
        <f>IFERROR(_xlfn.XLOOKUP(G117,Listas!E:E,Listas!G:G,""),"")</f>
        <v>Externo</v>
      </c>
      <c r="J117" s="51">
        <v>29.41</v>
      </c>
      <c r="K117" s="5">
        <f t="shared" si="1"/>
        <v>-29.41</v>
      </c>
      <c r="L117" s="6" t="s">
        <v>93</v>
      </c>
      <c r="M117" s="52">
        <f>SUMIFS('Saldos Iniciales'!$D$2:$D$38,'Saldos Iniciales'!$A$2:$A$38,C117,'Saldos Iniciales'!$B$2:$B$38,D117)+SUMIFS($K$1:$K$1048575,$C$1:$C$1048575,C117,$D$1:$D$1048575,D117,$B$1:$B$1048575,"&lt;="&amp;B117)</f>
        <v>729.66000000000008</v>
      </c>
      <c r="N117" s="30" t="str">
        <f>IF(tblMovimientos[[#This Row],[Tipo de Movimiento]]="Ingreso",tblMovimientos[[#This Row],[Monto (S/)]],"0")</f>
        <v>0</v>
      </c>
      <c r="O117" s="30">
        <f>IF(tblMovimientos[[#This Row],[Tipo de Movimiento]]="Egreso",tblMovimientos[[#This Row],[Monto (S/)]],"0")</f>
        <v>29.41</v>
      </c>
      <c r="P117" s="34">
        <f>IF(tblMovimientos[[#This Row],[Tipo de Movimiento]]="Ingreso",tblMovimientos[[#This Row],[Ingreso]],-tblMovimientos[[#This Row],[Egreso]])</f>
        <v>-29.41</v>
      </c>
    </row>
    <row r="118" spans="2:16" hidden="1" x14ac:dyDescent="0.3">
      <c r="B118" s="47">
        <v>46160</v>
      </c>
      <c r="C118" s="4" t="str">
        <f>_xlfn.XLOOKUP(tblMovimientos[[#This Row],[Cuenta Bancaria]],Listas!$B:$B,Listas!$A:$A,"")</f>
        <v>SSP Capital</v>
      </c>
      <c r="D118" s="48" t="s">
        <v>104</v>
      </c>
      <c r="E118" s="4" t="str">
        <f>_xlfn.XLOOKUP(tblMovimientos[[#This Row],[Cuenta Bancaria]],Listas!$B:$B,Listas!$C:$C,"")</f>
        <v xml:space="preserve">Amerant Bank </v>
      </c>
      <c r="F118" s="49" t="s">
        <v>10</v>
      </c>
      <c r="G118" s="48" t="s">
        <v>39</v>
      </c>
      <c r="H118" s="4" t="str">
        <f>IFERROR(_xlfn.XLOOKUP(G118,Listas!E:E,Listas!F:F,""),"")</f>
        <v>Operativo</v>
      </c>
      <c r="I118" s="4" t="str">
        <f>IFERROR(_xlfn.XLOOKUP(G118,Listas!E:E,Listas!G:G,""),"")</f>
        <v>Externo</v>
      </c>
      <c r="J118" s="51">
        <v>20960.11</v>
      </c>
      <c r="K118" s="5">
        <f t="shared" si="1"/>
        <v>-20960.11</v>
      </c>
      <c r="L118" s="6" t="s">
        <v>93</v>
      </c>
      <c r="M118" s="52">
        <f>SUMIFS('Saldos Iniciales'!$D$2:$D$38,'Saldos Iniciales'!$A$2:$A$38,C118,'Saldos Iniciales'!$B$2:$B$38,D118)+SUMIFS($K$1:$K$1048575,$C$1:$C$1048575,C118,$D$1:$D$1048575,D118,$B$1:$B$1048575,"&lt;="&amp;B118)</f>
        <v>155157.40999999939</v>
      </c>
      <c r="N118" s="30" t="str">
        <f>IF(tblMovimientos[[#This Row],[Tipo de Movimiento]]="Ingreso",tblMovimientos[[#This Row],[Monto (S/)]],"0")</f>
        <v>0</v>
      </c>
      <c r="O118" s="30">
        <f>IF(tblMovimientos[[#This Row],[Tipo de Movimiento]]="Egreso",tblMovimientos[[#This Row],[Monto (S/)]],"0")</f>
        <v>20960.11</v>
      </c>
      <c r="P118" s="34">
        <f>IF(tblMovimientos[[#This Row],[Tipo de Movimiento]]="Ingreso",tblMovimientos[[#This Row],[Ingreso]],-tblMovimientos[[#This Row],[Egreso]])</f>
        <v>-20960.11</v>
      </c>
    </row>
    <row r="119" spans="2:16" hidden="1" x14ac:dyDescent="0.3">
      <c r="B119" s="47">
        <v>46160</v>
      </c>
      <c r="C119" s="4" t="str">
        <f>_xlfn.XLOOKUP(tblMovimientos[[#This Row],[Cuenta Bancaria]],Listas!$B:$B,Listas!$A:$A,"")</f>
        <v>Go Blue</v>
      </c>
      <c r="D119" s="48" t="s">
        <v>126</v>
      </c>
      <c r="E119" s="4" t="str">
        <f>_xlfn.XLOOKUP(tblMovimientos[[#This Row],[Cuenta Bancaria]],Listas!$B:$B,Listas!$C:$C,"")</f>
        <v xml:space="preserve">Amerant Bank </v>
      </c>
      <c r="F119" s="49" t="s">
        <v>10</v>
      </c>
      <c r="G119" s="48" t="s">
        <v>38</v>
      </c>
      <c r="H119" s="4" t="str">
        <f>IFERROR(_xlfn.XLOOKUP(G119,Listas!E:E,Listas!F:F,""),"")</f>
        <v>Operativo</v>
      </c>
      <c r="I119" s="4" t="str">
        <f>IFERROR(_xlfn.XLOOKUP(G119,Listas!E:E,Listas!G:G,""),"")</f>
        <v>Externo</v>
      </c>
      <c r="J119" s="51">
        <v>235.38</v>
      </c>
      <c r="K119" s="5">
        <f t="shared" si="1"/>
        <v>-235.38</v>
      </c>
      <c r="L119" s="6" t="s">
        <v>93</v>
      </c>
      <c r="M119" s="52">
        <f>SUMIFS('Saldos Iniciales'!$D$2:$D$38,'Saldos Iniciales'!$A$2:$A$38,C119,'Saldos Iniciales'!$B$2:$B$38,D119)+SUMIFS($K$1:$K$1048575,$C$1:$C$1048575,C119,$D$1:$D$1048575,D119,$B$1:$B$1048575,"&lt;="&amp;B119)</f>
        <v>13941.210000000001</v>
      </c>
      <c r="N119" s="30" t="str">
        <f>IF(tblMovimientos[[#This Row],[Tipo de Movimiento]]="Ingreso",tblMovimientos[[#This Row],[Monto (S/)]],"0")</f>
        <v>0</v>
      </c>
      <c r="O119" s="30">
        <f>IF(tblMovimientos[[#This Row],[Tipo de Movimiento]]="Egreso",tblMovimientos[[#This Row],[Monto (S/)]],"0")</f>
        <v>235.38</v>
      </c>
      <c r="P119" s="34">
        <f>IF(tblMovimientos[[#This Row],[Tipo de Movimiento]]="Ingreso",tblMovimientos[[#This Row],[Ingreso]],-tblMovimientos[[#This Row],[Egreso]])</f>
        <v>-235.38</v>
      </c>
    </row>
    <row r="120" spans="2:16" hidden="1" x14ac:dyDescent="0.3">
      <c r="B120" s="47">
        <v>46160</v>
      </c>
      <c r="C120" s="4" t="str">
        <f>_xlfn.XLOOKUP(tblMovimientos[[#This Row],[Cuenta Bancaria]],Listas!$B:$B,Listas!$A:$A,"")</f>
        <v>SSP Capital</v>
      </c>
      <c r="D120" s="48" t="s">
        <v>101</v>
      </c>
      <c r="E120" s="4" t="str">
        <f>_xlfn.XLOOKUP(tblMovimientos[[#This Row],[Cuenta Bancaria]],Listas!$B:$B,Listas!$C:$C,"")</f>
        <v>Bank of America</v>
      </c>
      <c r="F120" s="49" t="s">
        <v>10</v>
      </c>
      <c r="G120" s="48" t="s">
        <v>38</v>
      </c>
      <c r="H120" s="4" t="str">
        <f>IFERROR(_xlfn.XLOOKUP(G120,Listas!E:E,Listas!F:F,""),"")</f>
        <v>Operativo</v>
      </c>
      <c r="I120" s="4" t="str">
        <f>IFERROR(_xlfn.XLOOKUP(G120,Listas!E:E,Listas!G:G,""),"")</f>
        <v>Externo</v>
      </c>
      <c r="J120" s="51">
        <v>2490.36</v>
      </c>
      <c r="K120" s="5">
        <f t="shared" si="1"/>
        <v>-2490.36</v>
      </c>
      <c r="L120" s="6" t="s">
        <v>93</v>
      </c>
      <c r="M120" s="52">
        <f>SUMIFS('Saldos Iniciales'!$D$2:$D$38,'Saldos Iniciales'!$A$2:$A$38,C120,'Saldos Iniciales'!$B$2:$B$38,D120)+SUMIFS($K$1:$K$1048575,$C$1:$C$1048575,C120,$D$1:$D$1048575,D120,$B$1:$B$1048575,"&lt;="&amp;B120)</f>
        <v>15543.84</v>
      </c>
      <c r="N120" s="30" t="str">
        <f>IF(tblMovimientos[[#This Row],[Tipo de Movimiento]]="Ingreso",tblMovimientos[[#This Row],[Monto (S/)]],"0")</f>
        <v>0</v>
      </c>
      <c r="O120" s="30">
        <f>IF(tblMovimientos[[#This Row],[Tipo de Movimiento]]="Egreso",tblMovimientos[[#This Row],[Monto (S/)]],"0")</f>
        <v>2490.36</v>
      </c>
      <c r="P120" s="34">
        <f>IF(tblMovimientos[[#This Row],[Tipo de Movimiento]]="Ingreso",tblMovimientos[[#This Row],[Ingreso]],-tblMovimientos[[#This Row],[Egreso]])</f>
        <v>-2490.36</v>
      </c>
    </row>
    <row r="121" spans="2:16" hidden="1" x14ac:dyDescent="0.3">
      <c r="B121" s="47">
        <v>46160</v>
      </c>
      <c r="C121" s="4" t="str">
        <f>_xlfn.XLOOKUP(tblMovimientos[[#This Row],[Cuenta Bancaria]],Listas!$B:$B,Listas!$A:$A,"")</f>
        <v>2515 Overbrook</v>
      </c>
      <c r="D121" s="48" t="s">
        <v>121</v>
      </c>
      <c r="E121" s="4" t="str">
        <f>_xlfn.XLOOKUP(tblMovimientos[[#This Row],[Cuenta Bancaria]],Listas!$B:$B,Listas!$C:$C,"")</f>
        <v>Bank of America</v>
      </c>
      <c r="F121" s="49" t="s">
        <v>10</v>
      </c>
      <c r="G121" s="48" t="s">
        <v>38</v>
      </c>
      <c r="H121" s="4" t="str">
        <f>IFERROR(_xlfn.XLOOKUP(G121,Listas!E:E,Listas!F:F,""),"")</f>
        <v>Operativo</v>
      </c>
      <c r="I121" s="4" t="str">
        <f>IFERROR(_xlfn.XLOOKUP(G121,Listas!E:E,Listas!G:G,""),"")</f>
        <v>Externo</v>
      </c>
      <c r="J121" s="51">
        <v>2779</v>
      </c>
      <c r="K121" s="5">
        <f t="shared" si="1"/>
        <v>-2779</v>
      </c>
      <c r="L121" s="6" t="s">
        <v>93</v>
      </c>
      <c r="M121" s="52">
        <f>SUMIFS('Saldos Iniciales'!$D$2:$D$38,'Saldos Iniciales'!$A$2:$A$38,C121,'Saldos Iniciales'!$B$2:$B$38,D121)+SUMIFS($K$1:$K$1048575,$C$1:$C$1048575,C121,$D$1:$D$1048575,D121,$B$1:$B$1048575,"&lt;="&amp;B121)</f>
        <v>15123.179999999962</v>
      </c>
      <c r="N121" s="30" t="str">
        <f>IF(tblMovimientos[[#This Row],[Tipo de Movimiento]]="Ingreso",tblMovimientos[[#This Row],[Monto (S/)]],"0")</f>
        <v>0</v>
      </c>
      <c r="O121" s="30">
        <f>IF(tblMovimientos[[#This Row],[Tipo de Movimiento]]="Egreso",tblMovimientos[[#This Row],[Monto (S/)]],"0")</f>
        <v>2779</v>
      </c>
      <c r="P121" s="34">
        <f>IF(tblMovimientos[[#This Row],[Tipo de Movimiento]]="Ingreso",tblMovimientos[[#This Row],[Ingreso]],-tblMovimientos[[#This Row],[Egreso]])</f>
        <v>-2779</v>
      </c>
    </row>
    <row r="122" spans="2:16" hidden="1" x14ac:dyDescent="0.3">
      <c r="B122" s="47">
        <v>46160</v>
      </c>
      <c r="C122" s="4" t="str">
        <f>_xlfn.XLOOKUP(tblMovimientos[[#This Row],[Cuenta Bancaria]],Listas!$B:$B,Listas!$A:$A,"")</f>
        <v>3628 Thomas Ave</v>
      </c>
      <c r="D122" s="48" t="s">
        <v>124</v>
      </c>
      <c r="E122" s="4" t="str">
        <f>_xlfn.XLOOKUP(tblMovimientos[[#This Row],[Cuenta Bancaria]],Listas!$B:$B,Listas!$C:$C,"")</f>
        <v>Bank of America</v>
      </c>
      <c r="F122" s="49" t="s">
        <v>10</v>
      </c>
      <c r="G122" s="48" t="s">
        <v>44</v>
      </c>
      <c r="H122" s="4" t="str">
        <f>IFERROR(_xlfn.XLOOKUP(G122,Listas!E:E,Listas!F:F,""),"")</f>
        <v>Operativo</v>
      </c>
      <c r="I122" s="4" t="str">
        <f>IFERROR(_xlfn.XLOOKUP(G122,Listas!E:E,Listas!G:G,""),"")</f>
        <v>Externo</v>
      </c>
      <c r="J122" s="51">
        <v>5</v>
      </c>
      <c r="K122" s="5">
        <f t="shared" si="1"/>
        <v>-5</v>
      </c>
      <c r="L122" s="6" t="s">
        <v>93</v>
      </c>
      <c r="M122" s="52">
        <f>SUMIFS('Saldos Iniciales'!$D$2:$D$38,'Saldos Iniciales'!$A$2:$A$38,C122,'Saldos Iniciales'!$B$2:$B$38,D122)+SUMIFS($K$1:$K$1048575,$C$1:$C$1048575,C122,$D$1:$D$1048575,D122,$B$1:$B$1048575,"&lt;="&amp;B122)</f>
        <v>27006.27</v>
      </c>
      <c r="N122" s="30" t="str">
        <f>IF(tblMovimientos[[#This Row],[Tipo de Movimiento]]="Ingreso",tblMovimientos[[#This Row],[Monto (S/)]],"0")</f>
        <v>0</v>
      </c>
      <c r="O122" s="30">
        <f>IF(tblMovimientos[[#This Row],[Tipo de Movimiento]]="Egreso",tblMovimientos[[#This Row],[Monto (S/)]],"0")</f>
        <v>5</v>
      </c>
      <c r="P122" s="34">
        <f>IF(tblMovimientos[[#This Row],[Tipo de Movimiento]]="Ingreso",tblMovimientos[[#This Row],[Ingreso]],-tblMovimientos[[#This Row],[Egreso]])</f>
        <v>-5</v>
      </c>
    </row>
    <row r="123" spans="2:16" hidden="1" x14ac:dyDescent="0.3">
      <c r="B123" s="47">
        <v>46161</v>
      </c>
      <c r="C123" s="4" t="str">
        <f>_xlfn.XLOOKUP(tblMovimientos[[#This Row],[Cuenta Bancaria]],Listas!$B:$B,Listas!$A:$A,"")</f>
        <v>SSP Capital</v>
      </c>
      <c r="D123" s="48" t="s">
        <v>101</v>
      </c>
      <c r="E123" s="4" t="str">
        <f>_xlfn.XLOOKUP(tblMovimientos[[#This Row],[Cuenta Bancaria]],Listas!$B:$B,Listas!$C:$C,"")</f>
        <v>Bank of America</v>
      </c>
      <c r="F123" s="49" t="s">
        <v>10</v>
      </c>
      <c r="G123" s="48" t="s">
        <v>38</v>
      </c>
      <c r="H123" s="4" t="str">
        <f>IFERROR(_xlfn.XLOOKUP(G123,Listas!E:E,Listas!F:F,""),"")</f>
        <v>Operativo</v>
      </c>
      <c r="I123" s="4" t="str">
        <f>IFERROR(_xlfn.XLOOKUP(G123,Listas!E:E,Listas!G:G,""),"")</f>
        <v>Externo</v>
      </c>
      <c r="J123" s="51">
        <v>2383.4899999999998</v>
      </c>
      <c r="K123" s="5">
        <f t="shared" si="1"/>
        <v>-2383.4899999999998</v>
      </c>
      <c r="L123" s="6" t="s">
        <v>93</v>
      </c>
      <c r="M123" s="52">
        <f>SUMIFS('Saldos Iniciales'!$D$2:$D$38,'Saldos Iniciales'!$A$2:$A$38,C123,'Saldos Iniciales'!$B$2:$B$38,D123)+SUMIFS($K$1:$K$1048575,$C$1:$C$1048575,C123,$D$1:$D$1048575,D123,$B$1:$B$1048575,"&lt;="&amp;B123)</f>
        <v>12423.310000000001</v>
      </c>
      <c r="N123" s="30" t="str">
        <f>IF(tblMovimientos[[#This Row],[Tipo de Movimiento]]="Ingreso",tblMovimientos[[#This Row],[Monto (S/)]],"0")</f>
        <v>0</v>
      </c>
      <c r="O123" s="30">
        <f>IF(tblMovimientos[[#This Row],[Tipo de Movimiento]]="Egreso",tblMovimientos[[#This Row],[Monto (S/)]],"0")</f>
        <v>2383.4899999999998</v>
      </c>
      <c r="P123" s="34">
        <f>IF(tblMovimientos[[#This Row],[Tipo de Movimiento]]="Ingreso",tblMovimientos[[#This Row],[Ingreso]],-tblMovimientos[[#This Row],[Egreso]])</f>
        <v>-2383.4899999999998</v>
      </c>
    </row>
    <row r="124" spans="2:16" hidden="1" x14ac:dyDescent="0.3">
      <c r="B124" s="47">
        <v>46161</v>
      </c>
      <c r="C124" s="4" t="str">
        <f>_xlfn.XLOOKUP(tblMovimientos[[#This Row],[Cuenta Bancaria]],Listas!$B:$B,Listas!$A:$A,"")</f>
        <v>SSP Capital</v>
      </c>
      <c r="D124" s="48" t="s">
        <v>101</v>
      </c>
      <c r="E124" s="4" t="str">
        <f>_xlfn.XLOOKUP(tblMovimientos[[#This Row],[Cuenta Bancaria]],Listas!$B:$B,Listas!$C:$C,"")</f>
        <v>Bank of America</v>
      </c>
      <c r="F124" s="49" t="s">
        <v>10</v>
      </c>
      <c r="G124" s="48" t="s">
        <v>38</v>
      </c>
      <c r="H124" s="4" t="str">
        <f>IFERROR(_xlfn.XLOOKUP(G124,Listas!E:E,Listas!F:F,""),"")</f>
        <v>Operativo</v>
      </c>
      <c r="I124" s="4" t="str">
        <f>IFERROR(_xlfn.XLOOKUP(G124,Listas!E:E,Listas!G:G,""),"")</f>
        <v>Externo</v>
      </c>
      <c r="J124" s="51">
        <v>737.04</v>
      </c>
      <c r="K124" s="5">
        <f t="shared" si="1"/>
        <v>-737.04</v>
      </c>
      <c r="L124" s="6" t="s">
        <v>93</v>
      </c>
      <c r="M124" s="52">
        <f>SUMIFS('Saldos Iniciales'!$D$2:$D$38,'Saldos Iniciales'!$A$2:$A$38,C124,'Saldos Iniciales'!$B$2:$B$38,D124)+SUMIFS($K$1:$K$1048575,$C$1:$C$1048575,C124,$D$1:$D$1048575,D124,$B$1:$B$1048575,"&lt;="&amp;B124)</f>
        <v>12423.310000000001</v>
      </c>
      <c r="N124" s="30" t="str">
        <f>IF(tblMovimientos[[#This Row],[Tipo de Movimiento]]="Ingreso",tblMovimientos[[#This Row],[Monto (S/)]],"0")</f>
        <v>0</v>
      </c>
      <c r="O124" s="30">
        <f>IF(tblMovimientos[[#This Row],[Tipo de Movimiento]]="Egreso",tblMovimientos[[#This Row],[Monto (S/)]],"0")</f>
        <v>737.04</v>
      </c>
      <c r="P124" s="34">
        <f>IF(tblMovimientos[[#This Row],[Tipo de Movimiento]]="Ingreso",tblMovimientos[[#This Row],[Ingreso]],-tblMovimientos[[#This Row],[Egreso]])</f>
        <v>-737.04</v>
      </c>
    </row>
    <row r="125" spans="2:16" hidden="1" x14ac:dyDescent="0.3">
      <c r="B125" s="47">
        <v>46161</v>
      </c>
      <c r="C125" s="4" t="str">
        <f>_xlfn.XLOOKUP(tblMovimientos[[#This Row],[Cuenta Bancaria]],Listas!$B:$B,Listas!$A:$A,"")</f>
        <v>CFT Group</v>
      </c>
      <c r="D125" s="48" t="s">
        <v>94</v>
      </c>
      <c r="E125" s="4" t="str">
        <f>_xlfn.XLOOKUP(tblMovimientos[[#This Row],[Cuenta Bancaria]],Listas!$B:$B,Listas!$C:$C,"")</f>
        <v>Bank of America</v>
      </c>
      <c r="F125" s="49" t="s">
        <v>9</v>
      </c>
      <c r="G125" s="48" t="s">
        <v>70</v>
      </c>
      <c r="H125" s="4" t="str">
        <f>IFERROR(_xlfn.XLOOKUP(G125,Listas!E:E,Listas!F:F,""),"")</f>
        <v>Operativo</v>
      </c>
      <c r="I125" s="4" t="str">
        <f>IFERROR(_xlfn.XLOOKUP(G125,Listas!E:E,Listas!G:G,""),"")</f>
        <v>Externo</v>
      </c>
      <c r="J125" s="51">
        <v>650000</v>
      </c>
      <c r="K125" s="5">
        <f t="shared" si="1"/>
        <v>650000</v>
      </c>
      <c r="L125" s="6" t="s">
        <v>93</v>
      </c>
      <c r="M125" s="52">
        <f>SUMIFS('Saldos Iniciales'!$D$2:$D$38,'Saldos Iniciales'!$A$2:$A$38,C125,'Saldos Iniciales'!$B$2:$B$38,D125)+SUMIFS($K$1:$K$1048575,$C$1:$C$1048575,C125,$D$1:$D$1048575,D125,$B$1:$B$1048575,"&lt;="&amp;B125)</f>
        <v>661613.90999999992</v>
      </c>
      <c r="N125" s="30">
        <f>IF(tblMovimientos[[#This Row],[Tipo de Movimiento]]="Ingreso",tblMovimientos[[#This Row],[Monto (S/)]],"0")</f>
        <v>650000</v>
      </c>
      <c r="O125" s="30" t="str">
        <f>IF(tblMovimientos[[#This Row],[Tipo de Movimiento]]="Egreso",tblMovimientos[[#This Row],[Monto (S/)]],"0")</f>
        <v>0</v>
      </c>
      <c r="P125" s="34">
        <f>IF(tblMovimientos[[#This Row],[Tipo de Movimiento]]="Ingreso",tblMovimientos[[#This Row],[Ingreso]],-tblMovimientos[[#This Row],[Egreso]])</f>
        <v>650000</v>
      </c>
    </row>
    <row r="126" spans="2:16" hidden="1" x14ac:dyDescent="0.3">
      <c r="B126" s="47">
        <v>46161</v>
      </c>
      <c r="C126" s="4" t="str">
        <f>_xlfn.XLOOKUP(tblMovimientos[[#This Row],[Cuenta Bancaria]],Listas!$B:$B,Listas!$A:$A,"")</f>
        <v>Cross Family Trust</v>
      </c>
      <c r="D126" s="48" t="s">
        <v>111</v>
      </c>
      <c r="E126" s="4" t="str">
        <f>_xlfn.XLOOKUP(tblMovimientos[[#This Row],[Cuenta Bancaria]],Listas!$B:$B,Listas!$C:$C,"")</f>
        <v xml:space="preserve">Amerant Bank </v>
      </c>
      <c r="F126" s="49" t="s">
        <v>10</v>
      </c>
      <c r="G126" s="48" t="s">
        <v>53</v>
      </c>
      <c r="H126" s="4" t="str">
        <f>IFERROR(_xlfn.XLOOKUP(G126,Listas!E:E,Listas!F:F,""),"")</f>
        <v>Inversion</v>
      </c>
      <c r="I126" s="4" t="str">
        <f>IFERROR(_xlfn.XLOOKUP(G126,Listas!E:E,Listas!G:G,""),"")</f>
        <v>Interno</v>
      </c>
      <c r="J126" s="51">
        <v>30000</v>
      </c>
      <c r="K126" s="5">
        <f t="shared" si="1"/>
        <v>-30000</v>
      </c>
      <c r="L126" s="6" t="s">
        <v>93</v>
      </c>
      <c r="M126" s="52">
        <f>SUMIFS('Saldos Iniciales'!$D$2:$D$38,'Saldos Iniciales'!$A$2:$A$38,C126,'Saldos Iniciales'!$B$2:$B$38,D126)+SUMIFS($K$1:$K$1048575,$C$1:$C$1048575,C126,$D$1:$D$1048575,D126,$B$1:$B$1048575,"&lt;="&amp;B126)</f>
        <v>20717.600000000006</v>
      </c>
      <c r="N126" s="30" t="str">
        <f>IF(tblMovimientos[[#This Row],[Tipo de Movimiento]]="Ingreso",tblMovimientos[[#This Row],[Monto (S/)]],"0")</f>
        <v>0</v>
      </c>
      <c r="O126" s="30">
        <f>IF(tblMovimientos[[#This Row],[Tipo de Movimiento]]="Egreso",tblMovimientos[[#This Row],[Monto (S/)]],"0")</f>
        <v>30000</v>
      </c>
      <c r="P126" s="34">
        <f>IF(tblMovimientos[[#This Row],[Tipo de Movimiento]]="Ingreso",tblMovimientos[[#This Row],[Ingreso]],-tblMovimientos[[#This Row],[Egreso]])</f>
        <v>-30000</v>
      </c>
    </row>
    <row r="127" spans="2:16" hidden="1" x14ac:dyDescent="0.3">
      <c r="B127" s="47">
        <v>46161</v>
      </c>
      <c r="C127" s="4" t="str">
        <f>_xlfn.XLOOKUP(tblMovimientos[[#This Row],[Cuenta Bancaria]],Listas!$B:$B,Listas!$A:$A,"")</f>
        <v>Go Blue</v>
      </c>
      <c r="D127" s="48" t="s">
        <v>126</v>
      </c>
      <c r="E127" s="4" t="str">
        <f>_xlfn.XLOOKUP(tblMovimientos[[#This Row],[Cuenta Bancaria]],Listas!$B:$B,Listas!$C:$C,"")</f>
        <v xml:space="preserve">Amerant Bank </v>
      </c>
      <c r="F127" s="49" t="s">
        <v>10</v>
      </c>
      <c r="G127" s="48" t="s">
        <v>38</v>
      </c>
      <c r="H127" s="4" t="str">
        <f>IFERROR(_xlfn.XLOOKUP(G127,Listas!E:E,Listas!F:F,""),"")</f>
        <v>Operativo</v>
      </c>
      <c r="I127" s="4" t="str">
        <f>IFERROR(_xlfn.XLOOKUP(G127,Listas!E:E,Listas!G:G,""),"")</f>
        <v>Externo</v>
      </c>
      <c r="J127" s="51">
        <v>25000</v>
      </c>
      <c r="K127" s="5">
        <f t="shared" si="1"/>
        <v>-25000</v>
      </c>
      <c r="L127" s="6" t="s">
        <v>93</v>
      </c>
      <c r="M127" s="52">
        <f>SUMIFS('Saldos Iniciales'!$D$2:$D$38,'Saldos Iniciales'!$A$2:$A$38,C127,'Saldos Iniciales'!$B$2:$B$38,D127)+SUMIFS($K$1:$K$1048575,$C$1:$C$1048575,C127,$D$1:$D$1048575,D127,$B$1:$B$1048575,"&lt;="&amp;B127)</f>
        <v>18941.21</v>
      </c>
      <c r="N127" s="30" t="str">
        <f>IF(tblMovimientos[[#This Row],[Tipo de Movimiento]]="Ingreso",tblMovimientos[[#This Row],[Monto (S/)]],"0")</f>
        <v>0</v>
      </c>
      <c r="O127" s="30">
        <f>IF(tblMovimientos[[#This Row],[Tipo de Movimiento]]="Egreso",tblMovimientos[[#This Row],[Monto (S/)]],"0")</f>
        <v>25000</v>
      </c>
      <c r="P127" s="34">
        <f>IF(tblMovimientos[[#This Row],[Tipo de Movimiento]]="Ingreso",tblMovimientos[[#This Row],[Ingreso]],-tblMovimientos[[#This Row],[Egreso]])</f>
        <v>-25000</v>
      </c>
    </row>
    <row r="128" spans="2:16" hidden="1" x14ac:dyDescent="0.3">
      <c r="B128" s="47">
        <v>46161</v>
      </c>
      <c r="C128" s="4" t="str">
        <f>_xlfn.XLOOKUP(tblMovimientos[[#This Row],[Cuenta Bancaria]],Listas!$B:$B,Listas!$A:$A,"")</f>
        <v>Go Blue</v>
      </c>
      <c r="D128" s="48" t="s">
        <v>126</v>
      </c>
      <c r="E128" s="4" t="str">
        <f>_xlfn.XLOOKUP(tblMovimientos[[#This Row],[Cuenta Bancaria]],Listas!$B:$B,Listas!$C:$C,"")</f>
        <v xml:space="preserve">Amerant Bank </v>
      </c>
      <c r="F128" s="49" t="s">
        <v>9</v>
      </c>
      <c r="G128" s="48" t="s">
        <v>77</v>
      </c>
      <c r="H128" s="4" t="str">
        <f>IFERROR(_xlfn.XLOOKUP(G128,Listas!E:E,Listas!F:F,""),"")</f>
        <v>Inversion</v>
      </c>
      <c r="I128" s="4" t="str">
        <f>IFERROR(_xlfn.XLOOKUP(G128,Listas!E:E,Listas!G:G,""),"")</f>
        <v>Interno</v>
      </c>
      <c r="J128" s="51">
        <v>30000</v>
      </c>
      <c r="K128" s="5">
        <f t="shared" si="1"/>
        <v>30000</v>
      </c>
      <c r="L128" s="6" t="s">
        <v>93</v>
      </c>
      <c r="M128" s="52">
        <f>SUMIFS('Saldos Iniciales'!$D$2:$D$38,'Saldos Iniciales'!$A$2:$A$38,C128,'Saldos Iniciales'!$B$2:$B$38,D128)+SUMIFS($K$1:$K$1048575,$C$1:$C$1048575,C128,$D$1:$D$1048575,D128,$B$1:$B$1048575,"&lt;="&amp;B128)</f>
        <v>18941.21</v>
      </c>
      <c r="N128" s="30">
        <f>IF(tblMovimientos[[#This Row],[Tipo de Movimiento]]="Ingreso",tblMovimientos[[#This Row],[Monto (S/)]],"0")</f>
        <v>30000</v>
      </c>
      <c r="O128" s="30" t="str">
        <f>IF(tblMovimientos[[#This Row],[Tipo de Movimiento]]="Egreso",tblMovimientos[[#This Row],[Monto (S/)]],"0")</f>
        <v>0</v>
      </c>
      <c r="P128" s="34">
        <f>IF(tblMovimientos[[#This Row],[Tipo de Movimiento]]="Ingreso",tblMovimientos[[#This Row],[Ingreso]],-tblMovimientos[[#This Row],[Egreso]])</f>
        <v>30000</v>
      </c>
    </row>
    <row r="129" spans="2:16" hidden="1" x14ac:dyDescent="0.3">
      <c r="B129" s="47">
        <v>46162</v>
      </c>
      <c r="C129" s="4" t="str">
        <f>_xlfn.XLOOKUP(tblMovimientos[[#This Row],[Cuenta Bancaria]],Listas!$B:$B,Listas!$A:$A,"")</f>
        <v>Go Blue</v>
      </c>
      <c r="D129" s="48" t="s">
        <v>126</v>
      </c>
      <c r="E129" s="4" t="str">
        <f>_xlfn.XLOOKUP(tblMovimientos[[#This Row],[Cuenta Bancaria]],Listas!$B:$B,Listas!$C:$C,"")</f>
        <v xml:space="preserve">Amerant Bank </v>
      </c>
      <c r="F129" s="49" t="s">
        <v>10</v>
      </c>
      <c r="G129" s="48" t="s">
        <v>44</v>
      </c>
      <c r="H129" s="4" t="str">
        <f>IFERROR(_xlfn.XLOOKUP(G129,Listas!E:E,Listas!F:F,""),"")</f>
        <v>Operativo</v>
      </c>
      <c r="I129" s="4" t="str">
        <f>IFERROR(_xlfn.XLOOKUP(G129,Listas!E:E,Listas!G:G,""),"")</f>
        <v>Externo</v>
      </c>
      <c r="J129" s="51">
        <v>15</v>
      </c>
      <c r="K129" s="5">
        <f t="shared" si="1"/>
        <v>-15</v>
      </c>
      <c r="L129" s="6" t="s">
        <v>93</v>
      </c>
      <c r="M129" s="52">
        <f>SUMIFS('Saldos Iniciales'!$D$2:$D$38,'Saldos Iniciales'!$A$2:$A$38,C129,'Saldos Iniciales'!$B$2:$B$38,D129)+SUMIFS($K$1:$K$1048575,$C$1:$C$1048575,C129,$D$1:$D$1048575,D129,$B$1:$B$1048575,"&lt;="&amp;B129)</f>
        <v>8168.0700000000006</v>
      </c>
      <c r="N129" s="30" t="str">
        <f>IF(tblMovimientos[[#This Row],[Tipo de Movimiento]]="Ingreso",tblMovimientos[[#This Row],[Monto (S/)]],"0")</f>
        <v>0</v>
      </c>
      <c r="O129" s="30">
        <f>IF(tblMovimientos[[#This Row],[Tipo de Movimiento]]="Egreso",tblMovimientos[[#This Row],[Monto (S/)]],"0")</f>
        <v>15</v>
      </c>
      <c r="P129" s="34">
        <f>IF(tblMovimientos[[#This Row],[Tipo de Movimiento]]="Ingreso",tblMovimientos[[#This Row],[Ingreso]],-tblMovimientos[[#This Row],[Egreso]])</f>
        <v>-15</v>
      </c>
    </row>
    <row r="130" spans="2:16" hidden="1" x14ac:dyDescent="0.3">
      <c r="B130" s="47">
        <v>46162</v>
      </c>
      <c r="C130" s="4" t="str">
        <f>_xlfn.XLOOKUP(tblMovimientos[[#This Row],[Cuenta Bancaria]],Listas!$B:$B,Listas!$A:$A,"")</f>
        <v>Go Blue</v>
      </c>
      <c r="D130" s="48" t="s">
        <v>126</v>
      </c>
      <c r="E130" s="4" t="str">
        <f>_xlfn.XLOOKUP(tblMovimientos[[#This Row],[Cuenta Bancaria]],Listas!$B:$B,Listas!$C:$C,"")</f>
        <v xml:space="preserve">Amerant Bank </v>
      </c>
      <c r="F130" s="49" t="s">
        <v>10</v>
      </c>
      <c r="G130" s="48" t="s">
        <v>44</v>
      </c>
      <c r="H130" s="4" t="str">
        <f>IFERROR(_xlfn.XLOOKUP(G130,Listas!E:E,Listas!F:F,""),"")</f>
        <v>Operativo</v>
      </c>
      <c r="I130" s="4" t="str">
        <f>IFERROR(_xlfn.XLOOKUP(G130,Listas!E:E,Listas!G:G,""),"")</f>
        <v>Externo</v>
      </c>
      <c r="J130" s="51">
        <v>15</v>
      </c>
      <c r="K130" s="5">
        <f t="shared" ref="K130:K193" si="2">IF(F130="Ingreso",J130,-J130)</f>
        <v>-15</v>
      </c>
      <c r="L130" s="6" t="s">
        <v>93</v>
      </c>
      <c r="M130" s="52">
        <f>SUMIFS('Saldos Iniciales'!$D$2:$D$38,'Saldos Iniciales'!$A$2:$A$38,C130,'Saldos Iniciales'!$B$2:$B$38,D130)+SUMIFS($K$1:$K$1048575,$C$1:$C$1048575,C130,$D$1:$D$1048575,D130,$B$1:$B$1048575,"&lt;="&amp;B130)</f>
        <v>8168.0700000000006</v>
      </c>
      <c r="N130" s="30" t="str">
        <f>IF(tblMovimientos[[#This Row],[Tipo de Movimiento]]="Ingreso",tblMovimientos[[#This Row],[Monto (S/)]],"0")</f>
        <v>0</v>
      </c>
      <c r="O130" s="30">
        <f>IF(tblMovimientos[[#This Row],[Tipo de Movimiento]]="Egreso",tblMovimientos[[#This Row],[Monto (S/)]],"0")</f>
        <v>15</v>
      </c>
      <c r="P130" s="34">
        <f>IF(tblMovimientos[[#This Row],[Tipo de Movimiento]]="Ingreso",tblMovimientos[[#This Row],[Ingreso]],-tblMovimientos[[#This Row],[Egreso]])</f>
        <v>-15</v>
      </c>
    </row>
    <row r="131" spans="2:16" hidden="1" x14ac:dyDescent="0.3">
      <c r="B131" s="47">
        <v>46162</v>
      </c>
      <c r="C131" s="4" t="str">
        <f>_xlfn.XLOOKUP(tblMovimientos[[#This Row],[Cuenta Bancaria]],Listas!$B:$B,Listas!$A:$A,"")</f>
        <v>SSP Capital</v>
      </c>
      <c r="D131" s="48" t="s">
        <v>104</v>
      </c>
      <c r="E131" s="4" t="str">
        <f>_xlfn.XLOOKUP(tblMovimientos[[#This Row],[Cuenta Bancaria]],Listas!$B:$B,Listas!$C:$C,"")</f>
        <v xml:space="preserve">Amerant Bank </v>
      </c>
      <c r="F131" s="49" t="s">
        <v>10</v>
      </c>
      <c r="G131" s="48" t="s">
        <v>46</v>
      </c>
      <c r="H131" s="4" t="str">
        <f>IFERROR(_xlfn.XLOOKUP(G131,Listas!E:E,Listas!F:F,""),"")</f>
        <v>Financiamiento</v>
      </c>
      <c r="I131" s="4" t="str">
        <f>IFERROR(_xlfn.XLOOKUP(G131,Listas!E:E,Listas!G:G,""),"")</f>
        <v>Externo</v>
      </c>
      <c r="J131" s="51">
        <v>2472.2199999999998</v>
      </c>
      <c r="K131" s="5">
        <f t="shared" si="2"/>
        <v>-2472.2199999999998</v>
      </c>
      <c r="L131" s="6" t="s">
        <v>93</v>
      </c>
      <c r="M131" s="52">
        <f>SUMIFS('Saldos Iniciales'!$D$2:$D$38,'Saldos Iniciales'!$A$2:$A$38,C131,'Saldos Iniciales'!$B$2:$B$38,D131)+SUMIFS($K$1:$K$1048575,$C$1:$C$1048575,C131,$D$1:$D$1048575,D131,$B$1:$B$1048575,"&lt;="&amp;B131)</f>
        <v>211018.51999999938</v>
      </c>
      <c r="N131" s="30" t="str">
        <f>IF(tblMovimientos[[#This Row],[Tipo de Movimiento]]="Ingreso",tblMovimientos[[#This Row],[Monto (S/)]],"0")</f>
        <v>0</v>
      </c>
      <c r="O131" s="30">
        <f>IF(tblMovimientos[[#This Row],[Tipo de Movimiento]]="Egreso",tblMovimientos[[#This Row],[Monto (S/)]],"0")</f>
        <v>2472.2199999999998</v>
      </c>
      <c r="P131" s="34">
        <f>IF(tblMovimientos[[#This Row],[Tipo de Movimiento]]="Ingreso",tblMovimientos[[#This Row],[Ingreso]],-tblMovimientos[[#This Row],[Egreso]])</f>
        <v>-2472.2199999999998</v>
      </c>
    </row>
    <row r="132" spans="2:16" hidden="1" x14ac:dyDescent="0.3">
      <c r="B132" s="47">
        <v>46162</v>
      </c>
      <c r="C132" s="4" t="str">
        <f>_xlfn.XLOOKUP(tblMovimientos[[#This Row],[Cuenta Bancaria]],Listas!$B:$B,Listas!$A:$A,"")</f>
        <v>SSP Capital</v>
      </c>
      <c r="D132" s="48" t="s">
        <v>104</v>
      </c>
      <c r="E132" s="4" t="str">
        <f>_xlfn.XLOOKUP(tblMovimientos[[#This Row],[Cuenta Bancaria]],Listas!$B:$B,Listas!$C:$C,"")</f>
        <v xml:space="preserve">Amerant Bank </v>
      </c>
      <c r="F132" s="49" t="s">
        <v>10</v>
      </c>
      <c r="G132" s="48" t="s">
        <v>65</v>
      </c>
      <c r="H132" s="4" t="str">
        <f>IFERROR(_xlfn.XLOOKUP(G132,Listas!E:E,Listas!F:F,""),"")</f>
        <v>Operativo</v>
      </c>
      <c r="I132" s="4" t="str">
        <f>IFERROR(_xlfn.XLOOKUP(G132,Listas!E:E,Listas!G:G,""),"")</f>
        <v>Externo</v>
      </c>
      <c r="J132" s="51">
        <v>20000</v>
      </c>
      <c r="K132" s="5">
        <f t="shared" si="2"/>
        <v>-20000</v>
      </c>
      <c r="L132" s="6" t="s">
        <v>93</v>
      </c>
      <c r="M132" s="52">
        <f>SUMIFS('Saldos Iniciales'!$D$2:$D$38,'Saldos Iniciales'!$A$2:$A$38,C132,'Saldos Iniciales'!$B$2:$B$38,D132)+SUMIFS($K$1:$K$1048575,$C$1:$C$1048575,C132,$D$1:$D$1048575,D132,$B$1:$B$1048575,"&lt;="&amp;B132)</f>
        <v>211018.51999999938</v>
      </c>
      <c r="N132" s="30" t="str">
        <f>IF(tblMovimientos[[#This Row],[Tipo de Movimiento]]="Ingreso",tblMovimientos[[#This Row],[Monto (S/)]],"0")</f>
        <v>0</v>
      </c>
      <c r="O132" s="30">
        <f>IF(tblMovimientos[[#This Row],[Tipo de Movimiento]]="Egreso",tblMovimientos[[#This Row],[Monto (S/)]],"0")</f>
        <v>20000</v>
      </c>
      <c r="P132" s="34">
        <f>IF(tblMovimientos[[#This Row],[Tipo de Movimiento]]="Ingreso",tblMovimientos[[#This Row],[Ingreso]],-tblMovimientos[[#This Row],[Egreso]])</f>
        <v>-20000</v>
      </c>
    </row>
    <row r="133" spans="2:16" hidden="1" x14ac:dyDescent="0.3">
      <c r="B133" s="47">
        <v>46162</v>
      </c>
      <c r="C133" s="4" t="str">
        <f>_xlfn.XLOOKUP(tblMovimientos[[#This Row],[Cuenta Bancaria]],Listas!$B:$B,Listas!$A:$A,"")</f>
        <v>Go Blue</v>
      </c>
      <c r="D133" s="48" t="s">
        <v>126</v>
      </c>
      <c r="E133" s="4" t="str">
        <f>_xlfn.XLOOKUP(tblMovimientos[[#This Row],[Cuenta Bancaria]],Listas!$B:$B,Listas!$C:$C,"")</f>
        <v xml:space="preserve">Amerant Bank </v>
      </c>
      <c r="F133" s="49" t="s">
        <v>10</v>
      </c>
      <c r="G133" s="48" t="s">
        <v>38</v>
      </c>
      <c r="H133" s="4" t="str">
        <f>IFERROR(_xlfn.XLOOKUP(G133,Listas!E:E,Listas!F:F,""),"")</f>
        <v>Operativo</v>
      </c>
      <c r="I133" s="4" t="str">
        <f>IFERROR(_xlfn.XLOOKUP(G133,Listas!E:E,Listas!G:G,""),"")</f>
        <v>Externo</v>
      </c>
      <c r="J133" s="51">
        <v>45</v>
      </c>
      <c r="K133" s="5">
        <f t="shared" si="2"/>
        <v>-45</v>
      </c>
      <c r="L133" s="6" t="s">
        <v>93</v>
      </c>
      <c r="M133" s="52">
        <f>SUMIFS('Saldos Iniciales'!$D$2:$D$38,'Saldos Iniciales'!$A$2:$A$38,C133,'Saldos Iniciales'!$B$2:$B$38,D133)+SUMIFS($K$1:$K$1048575,$C$1:$C$1048575,C133,$D$1:$D$1048575,D133,$B$1:$B$1048575,"&lt;="&amp;B133)</f>
        <v>8168.0700000000006</v>
      </c>
      <c r="N133" s="30" t="str">
        <f>IF(tblMovimientos[[#This Row],[Tipo de Movimiento]]="Ingreso",tblMovimientos[[#This Row],[Monto (S/)]],"0")</f>
        <v>0</v>
      </c>
      <c r="O133" s="30">
        <f>IF(tblMovimientos[[#This Row],[Tipo de Movimiento]]="Egreso",tblMovimientos[[#This Row],[Monto (S/)]],"0")</f>
        <v>45</v>
      </c>
      <c r="P133" s="34">
        <f>IF(tblMovimientos[[#This Row],[Tipo de Movimiento]]="Ingreso",tblMovimientos[[#This Row],[Ingreso]],-tblMovimientos[[#This Row],[Egreso]])</f>
        <v>-45</v>
      </c>
    </row>
    <row r="134" spans="2:16" hidden="1" x14ac:dyDescent="0.3">
      <c r="B134" s="47">
        <v>46162</v>
      </c>
      <c r="C134" s="4" t="str">
        <f>_xlfn.XLOOKUP(tblMovimientos[[#This Row],[Cuenta Bancaria]],Listas!$B:$B,Listas!$A:$A,"")</f>
        <v>Go Blue</v>
      </c>
      <c r="D134" s="48" t="s">
        <v>126</v>
      </c>
      <c r="E134" s="4" t="str">
        <f>_xlfn.XLOOKUP(tblMovimientos[[#This Row],[Cuenta Bancaria]],Listas!$B:$B,Listas!$C:$C,"")</f>
        <v xml:space="preserve">Amerant Bank </v>
      </c>
      <c r="F134" s="49" t="s">
        <v>10</v>
      </c>
      <c r="G134" s="48" t="s">
        <v>38</v>
      </c>
      <c r="H134" s="4" t="str">
        <f>IFERROR(_xlfn.XLOOKUP(G134,Listas!E:E,Listas!F:F,""),"")</f>
        <v>Operativo</v>
      </c>
      <c r="I134" s="4" t="str">
        <f>IFERROR(_xlfn.XLOOKUP(G134,Listas!E:E,Listas!G:G,""),"")</f>
        <v>Externo</v>
      </c>
      <c r="J134" s="51">
        <v>49</v>
      </c>
      <c r="K134" s="5">
        <f t="shared" si="2"/>
        <v>-49</v>
      </c>
      <c r="L134" s="6" t="s">
        <v>93</v>
      </c>
      <c r="M134" s="52">
        <f>SUMIFS('Saldos Iniciales'!$D$2:$D$38,'Saldos Iniciales'!$A$2:$A$38,C134,'Saldos Iniciales'!$B$2:$B$38,D134)+SUMIFS($K$1:$K$1048575,$C$1:$C$1048575,C134,$D$1:$D$1048575,D134,$B$1:$B$1048575,"&lt;="&amp;B134)</f>
        <v>8168.0700000000006</v>
      </c>
      <c r="N134" s="30" t="str">
        <f>IF(tblMovimientos[[#This Row],[Tipo de Movimiento]]="Ingreso",tblMovimientos[[#This Row],[Monto (S/)]],"0")</f>
        <v>0</v>
      </c>
      <c r="O134" s="30">
        <f>IF(tblMovimientos[[#This Row],[Tipo de Movimiento]]="Egreso",tblMovimientos[[#This Row],[Monto (S/)]],"0")</f>
        <v>49</v>
      </c>
      <c r="P134" s="34">
        <f>IF(tblMovimientos[[#This Row],[Tipo de Movimiento]]="Ingreso",tblMovimientos[[#This Row],[Ingreso]],-tblMovimientos[[#This Row],[Egreso]])</f>
        <v>-49</v>
      </c>
    </row>
    <row r="135" spans="2:16" hidden="1" x14ac:dyDescent="0.3">
      <c r="B135" s="47">
        <v>46162</v>
      </c>
      <c r="C135" s="4" t="str">
        <f>_xlfn.XLOOKUP(tblMovimientos[[#This Row],[Cuenta Bancaria]],Listas!$B:$B,Listas!$A:$A,"")</f>
        <v>SSP Capital</v>
      </c>
      <c r="D135" s="48" t="s">
        <v>104</v>
      </c>
      <c r="E135" s="4" t="str">
        <f>_xlfn.XLOOKUP(tblMovimientos[[#This Row],[Cuenta Bancaria]],Listas!$B:$B,Listas!$C:$C,"")</f>
        <v xml:space="preserve">Amerant Bank </v>
      </c>
      <c r="F135" s="49" t="s">
        <v>10</v>
      </c>
      <c r="G135" s="48" t="s">
        <v>46</v>
      </c>
      <c r="H135" s="4" t="str">
        <f>IFERROR(_xlfn.XLOOKUP(G135,Listas!E:E,Listas!F:F,""),"")</f>
        <v>Financiamiento</v>
      </c>
      <c r="I135" s="4" t="str">
        <f>IFERROR(_xlfn.XLOOKUP(G135,Listas!E:E,Listas!G:G,""),"")</f>
        <v>Externo</v>
      </c>
      <c r="J135" s="51">
        <v>26250</v>
      </c>
      <c r="K135" s="5">
        <f t="shared" si="2"/>
        <v>-26250</v>
      </c>
      <c r="L135" s="6" t="s">
        <v>93</v>
      </c>
      <c r="M135" s="52">
        <f>SUMIFS('Saldos Iniciales'!$D$2:$D$38,'Saldos Iniciales'!$A$2:$A$38,C135,'Saldos Iniciales'!$B$2:$B$38,D135)+SUMIFS($K$1:$K$1048575,$C$1:$C$1048575,C135,$D$1:$D$1048575,D135,$B$1:$B$1048575,"&lt;="&amp;B135)</f>
        <v>211018.51999999938</v>
      </c>
      <c r="N135" s="30" t="str">
        <f>IF(tblMovimientos[[#This Row],[Tipo de Movimiento]]="Ingreso",tblMovimientos[[#This Row],[Monto (S/)]],"0")</f>
        <v>0</v>
      </c>
      <c r="O135" s="30">
        <f>IF(tblMovimientos[[#This Row],[Tipo de Movimiento]]="Egreso",tblMovimientos[[#This Row],[Monto (S/)]],"0")</f>
        <v>26250</v>
      </c>
      <c r="P135" s="34">
        <f>IF(tblMovimientos[[#This Row],[Tipo de Movimiento]]="Ingreso",tblMovimientos[[#This Row],[Ingreso]],-tblMovimientos[[#This Row],[Egreso]])</f>
        <v>-26250</v>
      </c>
    </row>
    <row r="136" spans="2:16" hidden="1" x14ac:dyDescent="0.3">
      <c r="B136" s="47">
        <v>46162</v>
      </c>
      <c r="C136" s="4" t="str">
        <f>_xlfn.XLOOKUP(tblMovimientos[[#This Row],[Cuenta Bancaria]],Listas!$B:$B,Listas!$A:$A,"")</f>
        <v>SSP Capital</v>
      </c>
      <c r="D136" s="48" t="s">
        <v>104</v>
      </c>
      <c r="E136" s="4" t="str">
        <f>_xlfn.XLOOKUP(tblMovimientos[[#This Row],[Cuenta Bancaria]],Listas!$B:$B,Listas!$C:$C,"")</f>
        <v xml:space="preserve">Amerant Bank </v>
      </c>
      <c r="F136" s="49" t="s">
        <v>10</v>
      </c>
      <c r="G136" s="48" t="s">
        <v>46</v>
      </c>
      <c r="H136" s="4" t="str">
        <f>IFERROR(_xlfn.XLOOKUP(G136,Listas!E:E,Listas!F:F,""),"")</f>
        <v>Financiamiento</v>
      </c>
      <c r="I136" s="4" t="str">
        <f>IFERROR(_xlfn.XLOOKUP(G136,Listas!E:E,Listas!G:G,""),"")</f>
        <v>Externo</v>
      </c>
      <c r="J136" s="51">
        <v>45833.33</v>
      </c>
      <c r="K136" s="5">
        <f t="shared" si="2"/>
        <v>-45833.33</v>
      </c>
      <c r="L136" s="6" t="s">
        <v>93</v>
      </c>
      <c r="M136" s="52">
        <f>SUMIFS('Saldos Iniciales'!$D$2:$D$38,'Saldos Iniciales'!$A$2:$A$38,C136,'Saldos Iniciales'!$B$2:$B$38,D136)+SUMIFS($K$1:$K$1048575,$C$1:$C$1048575,C136,$D$1:$D$1048575,D136,$B$1:$B$1048575,"&lt;="&amp;B136)</f>
        <v>211018.51999999938</v>
      </c>
      <c r="N136" s="30" t="str">
        <f>IF(tblMovimientos[[#This Row],[Tipo de Movimiento]]="Ingreso",tblMovimientos[[#This Row],[Monto (S/)]],"0")</f>
        <v>0</v>
      </c>
      <c r="O136" s="30">
        <f>IF(tblMovimientos[[#This Row],[Tipo de Movimiento]]="Egreso",tblMovimientos[[#This Row],[Monto (S/)]],"0")</f>
        <v>45833.33</v>
      </c>
      <c r="P136" s="34">
        <f>IF(tblMovimientos[[#This Row],[Tipo de Movimiento]]="Ingreso",tblMovimientos[[#This Row],[Ingreso]],-tblMovimientos[[#This Row],[Egreso]])</f>
        <v>-45833.33</v>
      </c>
    </row>
    <row r="137" spans="2:16" hidden="1" x14ac:dyDescent="0.3">
      <c r="B137" s="47">
        <v>46162</v>
      </c>
      <c r="C137" s="4" t="str">
        <f>_xlfn.XLOOKUP(tblMovimientos[[#This Row],[Cuenta Bancaria]],Listas!$B:$B,Listas!$A:$A,"")</f>
        <v>SSP Capital</v>
      </c>
      <c r="D137" s="48" t="s">
        <v>104</v>
      </c>
      <c r="E137" s="4" t="str">
        <f>_xlfn.XLOOKUP(tblMovimientos[[#This Row],[Cuenta Bancaria]],Listas!$B:$B,Listas!$C:$C,"")</f>
        <v xml:space="preserve">Amerant Bank </v>
      </c>
      <c r="F137" s="49" t="s">
        <v>10</v>
      </c>
      <c r="G137" s="48" t="s">
        <v>46</v>
      </c>
      <c r="H137" s="4" t="str">
        <f>IFERROR(_xlfn.XLOOKUP(G137,Listas!E:E,Listas!F:F,""),"")</f>
        <v>Financiamiento</v>
      </c>
      <c r="I137" s="4" t="str">
        <f>IFERROR(_xlfn.XLOOKUP(G137,Listas!E:E,Listas!G:G,""),"")</f>
        <v>Externo</v>
      </c>
      <c r="J137" s="51">
        <v>49583.34</v>
      </c>
      <c r="K137" s="5">
        <f t="shared" si="2"/>
        <v>-49583.34</v>
      </c>
      <c r="L137" s="6" t="s">
        <v>93</v>
      </c>
      <c r="M137" s="52">
        <f>SUMIFS('Saldos Iniciales'!$D$2:$D$38,'Saldos Iniciales'!$A$2:$A$38,C137,'Saldos Iniciales'!$B$2:$B$38,D137)+SUMIFS($K$1:$K$1048575,$C$1:$C$1048575,C137,$D$1:$D$1048575,D137,$B$1:$B$1048575,"&lt;="&amp;B137)</f>
        <v>211018.51999999938</v>
      </c>
      <c r="N137" s="30" t="str">
        <f>IF(tblMovimientos[[#This Row],[Tipo de Movimiento]]="Ingreso",tblMovimientos[[#This Row],[Monto (S/)]],"0")</f>
        <v>0</v>
      </c>
      <c r="O137" s="30">
        <f>IF(tblMovimientos[[#This Row],[Tipo de Movimiento]]="Egreso",tblMovimientos[[#This Row],[Monto (S/)]],"0")</f>
        <v>49583.34</v>
      </c>
      <c r="P137" s="34">
        <f>IF(tblMovimientos[[#This Row],[Tipo de Movimiento]]="Ingreso",tblMovimientos[[#This Row],[Ingreso]],-tblMovimientos[[#This Row],[Egreso]])</f>
        <v>-49583.34</v>
      </c>
    </row>
    <row r="138" spans="2:16" hidden="1" x14ac:dyDescent="0.3">
      <c r="B138" s="47">
        <v>46162</v>
      </c>
      <c r="C138" s="4" t="str">
        <f>_xlfn.XLOOKUP(tblMovimientos[[#This Row],[Cuenta Bancaria]],Listas!$B:$B,Listas!$A:$A,"")</f>
        <v>SSP Capital</v>
      </c>
      <c r="D138" s="48" t="s">
        <v>101</v>
      </c>
      <c r="E138" s="4" t="str">
        <f>_xlfn.XLOOKUP(tblMovimientos[[#This Row],[Cuenta Bancaria]],Listas!$B:$B,Listas!$C:$C,"")</f>
        <v>Bank of America</v>
      </c>
      <c r="F138" s="49" t="s">
        <v>10</v>
      </c>
      <c r="G138" s="48" t="s">
        <v>38</v>
      </c>
      <c r="H138" s="4" t="str">
        <f>IFERROR(_xlfn.XLOOKUP(G138,Listas!E:E,Listas!F:F,""),"")</f>
        <v>Operativo</v>
      </c>
      <c r="I138" s="4" t="str">
        <f>IFERROR(_xlfn.XLOOKUP(G138,Listas!E:E,Listas!G:G,""),"")</f>
        <v>Externo</v>
      </c>
      <c r="J138" s="51">
        <v>6.35</v>
      </c>
      <c r="K138" s="5">
        <f t="shared" si="2"/>
        <v>-6.35</v>
      </c>
      <c r="L138" s="6" t="s">
        <v>93</v>
      </c>
      <c r="M138" s="52">
        <f>SUMIFS('Saldos Iniciales'!$D$2:$D$38,'Saldos Iniciales'!$A$2:$A$38,C138,'Saldos Iniciales'!$B$2:$B$38,D138)+SUMIFS($K$1:$K$1048575,$C$1:$C$1048575,C138,$D$1:$D$1048575,D138,$B$1:$B$1048575,"&lt;="&amp;B138)</f>
        <v>12325.960000000001</v>
      </c>
      <c r="N138" s="30" t="str">
        <f>IF(tblMovimientos[[#This Row],[Tipo de Movimiento]]="Ingreso",tblMovimientos[[#This Row],[Monto (S/)]],"0")</f>
        <v>0</v>
      </c>
      <c r="O138" s="30">
        <f>IF(tblMovimientos[[#This Row],[Tipo de Movimiento]]="Egreso",tblMovimientos[[#This Row],[Monto (S/)]],"0")</f>
        <v>6.35</v>
      </c>
      <c r="P138" s="34">
        <f>IF(tblMovimientos[[#This Row],[Tipo de Movimiento]]="Ingreso",tblMovimientos[[#This Row],[Ingreso]],-tblMovimientos[[#This Row],[Egreso]])</f>
        <v>-6.35</v>
      </c>
    </row>
    <row r="139" spans="2:16" hidden="1" x14ac:dyDescent="0.3">
      <c r="B139" s="47">
        <v>46162</v>
      </c>
      <c r="C139" s="4" t="str">
        <f>_xlfn.XLOOKUP(tblMovimientos[[#This Row],[Cuenta Bancaria]],Listas!$B:$B,Listas!$A:$A,"")</f>
        <v>SSP Capital</v>
      </c>
      <c r="D139" s="48" t="s">
        <v>101</v>
      </c>
      <c r="E139" s="4" t="str">
        <f>_xlfn.XLOOKUP(tblMovimientos[[#This Row],[Cuenta Bancaria]],Listas!$B:$B,Listas!$C:$C,"")</f>
        <v>Bank of America</v>
      </c>
      <c r="F139" s="49" t="s">
        <v>10</v>
      </c>
      <c r="G139" s="48" t="s">
        <v>41</v>
      </c>
      <c r="H139" s="4" t="str">
        <f>IFERROR(_xlfn.XLOOKUP(G139,Listas!E:E,Listas!F:F,""),"")</f>
        <v>Operativo</v>
      </c>
      <c r="I139" s="4" t="str">
        <f>IFERROR(_xlfn.XLOOKUP(G139,Listas!E:E,Listas!G:G,""),"")</f>
        <v>Externo</v>
      </c>
      <c r="J139" s="51">
        <v>91</v>
      </c>
      <c r="K139" s="5">
        <f t="shared" si="2"/>
        <v>-91</v>
      </c>
      <c r="L139" s="6" t="s">
        <v>93</v>
      </c>
      <c r="M139" s="52">
        <f>SUMIFS('Saldos Iniciales'!$D$2:$D$38,'Saldos Iniciales'!$A$2:$A$38,C139,'Saldos Iniciales'!$B$2:$B$38,D139)+SUMIFS($K$1:$K$1048575,$C$1:$C$1048575,C139,$D$1:$D$1048575,D139,$B$1:$B$1048575,"&lt;="&amp;B139)</f>
        <v>12325.960000000001</v>
      </c>
      <c r="N139" s="30" t="str">
        <f>IF(tblMovimientos[[#This Row],[Tipo de Movimiento]]="Ingreso",tblMovimientos[[#This Row],[Monto (S/)]],"0")</f>
        <v>0</v>
      </c>
      <c r="O139" s="30">
        <f>IF(tblMovimientos[[#This Row],[Tipo de Movimiento]]="Egreso",tblMovimientos[[#This Row],[Monto (S/)]],"0")</f>
        <v>91</v>
      </c>
      <c r="P139" s="34">
        <f>IF(tblMovimientos[[#This Row],[Tipo de Movimiento]]="Ingreso",tblMovimientos[[#This Row],[Ingreso]],-tblMovimientos[[#This Row],[Egreso]])</f>
        <v>-91</v>
      </c>
    </row>
    <row r="140" spans="2:16" hidden="1" x14ac:dyDescent="0.3">
      <c r="B140" s="47">
        <v>46162</v>
      </c>
      <c r="C140" s="4" t="str">
        <f>_xlfn.XLOOKUP(tblMovimientos[[#This Row],[Cuenta Bancaria]],Listas!$B:$B,Listas!$A:$A,"")</f>
        <v>SSP Capital</v>
      </c>
      <c r="D140" s="48" t="s">
        <v>102</v>
      </c>
      <c r="E140" s="4" t="str">
        <f>_xlfn.XLOOKUP(tblMovimientos[[#This Row],[Cuenta Bancaria]],Listas!$B:$B,Listas!$C:$C,"")</f>
        <v>Bank of America</v>
      </c>
      <c r="F140" s="49" t="s">
        <v>10</v>
      </c>
      <c r="G140" s="48" t="s">
        <v>38</v>
      </c>
      <c r="H140" s="4" t="str">
        <f>IFERROR(_xlfn.XLOOKUP(G140,Listas!E:E,Listas!F:F,""),"")</f>
        <v>Operativo</v>
      </c>
      <c r="I140" s="4" t="str">
        <f>IFERROR(_xlfn.XLOOKUP(G140,Listas!E:E,Listas!G:G,""),"")</f>
        <v>Externo</v>
      </c>
      <c r="J140" s="51">
        <v>166.66</v>
      </c>
      <c r="K140" s="5">
        <f t="shared" si="2"/>
        <v>-166.66</v>
      </c>
      <c r="L140" s="6" t="s">
        <v>93</v>
      </c>
      <c r="M140" s="52">
        <f>SUMIFS('Saldos Iniciales'!$D$2:$D$38,'Saldos Iniciales'!$A$2:$A$38,C140,'Saldos Iniciales'!$B$2:$B$38,D140)+SUMIFS($K$1:$K$1048575,$C$1:$C$1048575,C140,$D$1:$D$1048575,D140,$B$1:$B$1048575,"&lt;="&amp;B140)</f>
        <v>563</v>
      </c>
      <c r="N140" s="30" t="str">
        <f>IF(tblMovimientos[[#This Row],[Tipo de Movimiento]]="Ingreso",tblMovimientos[[#This Row],[Monto (S/)]],"0")</f>
        <v>0</v>
      </c>
      <c r="O140" s="30">
        <f>IF(tblMovimientos[[#This Row],[Tipo de Movimiento]]="Egreso",tblMovimientos[[#This Row],[Monto (S/)]],"0")</f>
        <v>166.66</v>
      </c>
      <c r="P140" s="34">
        <f>IF(tblMovimientos[[#This Row],[Tipo de Movimiento]]="Ingreso",tblMovimientos[[#This Row],[Ingreso]],-tblMovimientos[[#This Row],[Egreso]])</f>
        <v>-166.66</v>
      </c>
    </row>
    <row r="141" spans="2:16" hidden="1" x14ac:dyDescent="0.3">
      <c r="B141" s="47">
        <v>46162</v>
      </c>
      <c r="C141" s="4" t="str">
        <f>_xlfn.XLOOKUP(tblMovimientos[[#This Row],[Cuenta Bancaria]],Listas!$B:$B,Listas!$A:$A,"")</f>
        <v>CFT Group</v>
      </c>
      <c r="D141" s="48" t="s">
        <v>94</v>
      </c>
      <c r="E141" s="4" t="str">
        <f>_xlfn.XLOOKUP(tblMovimientos[[#This Row],[Cuenta Bancaria]],Listas!$B:$B,Listas!$C:$C,"")</f>
        <v>Bank of America</v>
      </c>
      <c r="F141" s="49" t="s">
        <v>10</v>
      </c>
      <c r="G141" s="48" t="s">
        <v>64</v>
      </c>
      <c r="H141" s="4" t="str">
        <f>IFERROR(_xlfn.XLOOKUP(G141,Listas!E:E,Listas!F:F,""),"")</f>
        <v>Operativo</v>
      </c>
      <c r="I141" s="4" t="str">
        <f>IFERROR(_xlfn.XLOOKUP(G141,Listas!E:E,Listas!G:G,""),"")</f>
        <v>Interno</v>
      </c>
      <c r="J141" s="51">
        <v>650000</v>
      </c>
      <c r="K141" s="5">
        <f t="shared" si="2"/>
        <v>-650000</v>
      </c>
      <c r="L141" s="6" t="s">
        <v>93</v>
      </c>
      <c r="M141" s="52">
        <f>SUMIFS('Saldos Iniciales'!$D$2:$D$38,'Saldos Iniciales'!$A$2:$A$38,C141,'Saldos Iniciales'!$B$2:$B$38,D141)+SUMIFS($K$1:$K$1048575,$C$1:$C$1048575,C141,$D$1:$D$1048575,D141,$B$1:$B$1048575,"&lt;="&amp;B141)</f>
        <v>11583.909999999974</v>
      </c>
      <c r="N141" s="30" t="str">
        <f>IF(tblMovimientos[[#This Row],[Tipo de Movimiento]]="Ingreso",tblMovimientos[[#This Row],[Monto (S/)]],"0")</f>
        <v>0</v>
      </c>
      <c r="O141" s="30">
        <f>IF(tblMovimientos[[#This Row],[Tipo de Movimiento]]="Egreso",tblMovimientos[[#This Row],[Monto (S/)]],"0")</f>
        <v>650000</v>
      </c>
      <c r="P141" s="34">
        <f>IF(tblMovimientos[[#This Row],[Tipo de Movimiento]]="Ingreso",tblMovimientos[[#This Row],[Ingreso]],-tblMovimientos[[#This Row],[Egreso]])</f>
        <v>-650000</v>
      </c>
    </row>
    <row r="142" spans="2:16" hidden="1" x14ac:dyDescent="0.3">
      <c r="B142" s="47">
        <v>46162</v>
      </c>
      <c r="C142" s="4" t="str">
        <f>_xlfn.XLOOKUP(tblMovimientos[[#This Row],[Cuenta Bancaria]],Listas!$B:$B,Listas!$A:$A,"")</f>
        <v>CFT Group</v>
      </c>
      <c r="D142" s="48" t="s">
        <v>94</v>
      </c>
      <c r="E142" s="4" t="str">
        <f>_xlfn.XLOOKUP(tblMovimientos[[#This Row],[Cuenta Bancaria]],Listas!$B:$B,Listas!$C:$C,"")</f>
        <v>Bank of America</v>
      </c>
      <c r="F142" s="49" t="s">
        <v>10</v>
      </c>
      <c r="G142" s="48" t="s">
        <v>44</v>
      </c>
      <c r="H142" s="4" t="str">
        <f>IFERROR(_xlfn.XLOOKUP(G142,Listas!E:E,Listas!F:F,""),"")</f>
        <v>Operativo</v>
      </c>
      <c r="I142" s="4" t="str">
        <f>IFERROR(_xlfn.XLOOKUP(G142,Listas!E:E,Listas!G:G,""),"")</f>
        <v>Externo</v>
      </c>
      <c r="J142" s="51">
        <v>30</v>
      </c>
      <c r="K142" s="5">
        <f t="shared" si="2"/>
        <v>-30</v>
      </c>
      <c r="L142" s="6" t="s">
        <v>93</v>
      </c>
      <c r="M142" s="52">
        <f>SUMIFS('Saldos Iniciales'!$D$2:$D$38,'Saldos Iniciales'!$A$2:$A$38,C142,'Saldos Iniciales'!$B$2:$B$38,D142)+SUMIFS($K$1:$K$1048575,$C$1:$C$1048575,C142,$D$1:$D$1048575,D142,$B$1:$B$1048575,"&lt;="&amp;B142)</f>
        <v>11583.909999999974</v>
      </c>
      <c r="N142" s="30" t="str">
        <f>IF(tblMovimientos[[#This Row],[Tipo de Movimiento]]="Ingreso",tblMovimientos[[#This Row],[Monto (S/)]],"0")</f>
        <v>0</v>
      </c>
      <c r="O142" s="30">
        <f>IF(tblMovimientos[[#This Row],[Tipo de Movimiento]]="Egreso",tblMovimientos[[#This Row],[Monto (S/)]],"0")</f>
        <v>30</v>
      </c>
      <c r="P142" s="34">
        <f>IF(tblMovimientos[[#This Row],[Tipo de Movimiento]]="Ingreso",tblMovimientos[[#This Row],[Ingreso]],-tblMovimientos[[#This Row],[Egreso]])</f>
        <v>-30</v>
      </c>
    </row>
    <row r="143" spans="2:16" hidden="1" x14ac:dyDescent="0.3">
      <c r="B143" s="47">
        <v>46162</v>
      </c>
      <c r="C143" s="4" t="str">
        <f>_xlfn.XLOOKUP(tblMovimientos[[#This Row],[Cuenta Bancaria]],Listas!$B:$B,Listas!$A:$A,"")</f>
        <v>Cross Family Trust</v>
      </c>
      <c r="D143" s="48" t="s">
        <v>110</v>
      </c>
      <c r="E143" s="4" t="str">
        <f>_xlfn.XLOOKUP(tblMovimientos[[#This Row],[Cuenta Bancaria]],Listas!$B:$B,Listas!$C:$C,"")</f>
        <v>Bank of America</v>
      </c>
      <c r="F143" s="49" t="s">
        <v>9</v>
      </c>
      <c r="G143" s="48" t="s">
        <v>79</v>
      </c>
      <c r="H143" s="4" t="str">
        <f>IFERROR(_xlfn.XLOOKUP(G143,Listas!E:E,Listas!F:F,""),"")</f>
        <v>Inversion</v>
      </c>
      <c r="I143" s="4" t="str">
        <f>IFERROR(_xlfn.XLOOKUP(G143,Listas!E:E,Listas!G:G,""),"")</f>
        <v>Externo</v>
      </c>
      <c r="J143" s="51">
        <v>50000</v>
      </c>
      <c r="K143" s="5">
        <f t="shared" si="2"/>
        <v>50000</v>
      </c>
      <c r="L143" s="6" t="s">
        <v>93</v>
      </c>
      <c r="M143" s="52">
        <f>SUMIFS('Saldos Iniciales'!$D$2:$D$38,'Saldos Iniciales'!$A$2:$A$38,C143,'Saldos Iniciales'!$B$2:$B$38,D143)+SUMIFS($K$1:$K$1048575,$C$1:$C$1048575,C143,$D$1:$D$1048575,D143,$B$1:$B$1048575,"&lt;="&amp;B143)</f>
        <v>57206.89</v>
      </c>
      <c r="N143" s="30">
        <f>IF(tblMovimientos[[#This Row],[Tipo de Movimiento]]="Ingreso",tblMovimientos[[#This Row],[Monto (S/)]],"0")</f>
        <v>50000</v>
      </c>
      <c r="O143" s="30" t="str">
        <f>IF(tblMovimientos[[#This Row],[Tipo de Movimiento]]="Egreso",tblMovimientos[[#This Row],[Monto (S/)]],"0")</f>
        <v>0</v>
      </c>
      <c r="P143" s="34">
        <f>IF(tblMovimientos[[#This Row],[Tipo de Movimiento]]="Ingreso",tblMovimientos[[#This Row],[Ingreso]],-tblMovimientos[[#This Row],[Egreso]])</f>
        <v>50000</v>
      </c>
    </row>
    <row r="144" spans="2:16" hidden="1" x14ac:dyDescent="0.3">
      <c r="B144" s="47">
        <v>46162</v>
      </c>
      <c r="C144" s="4" t="str">
        <f>_xlfn.XLOOKUP(tblMovimientos[[#This Row],[Cuenta Bancaria]],Listas!$B:$B,Listas!$A:$A,"")</f>
        <v>Cross Family Trust</v>
      </c>
      <c r="D144" s="48" t="s">
        <v>110</v>
      </c>
      <c r="E144" s="4" t="str">
        <f>_xlfn.XLOOKUP(tblMovimientos[[#This Row],[Cuenta Bancaria]],Listas!$B:$B,Listas!$C:$C,"")</f>
        <v>Bank of America</v>
      </c>
      <c r="F144" s="49" t="s">
        <v>10</v>
      </c>
      <c r="G144" s="48" t="s">
        <v>44</v>
      </c>
      <c r="H144" s="4" t="str">
        <f>IFERROR(_xlfn.XLOOKUP(G144,Listas!E:E,Listas!F:F,""),"")</f>
        <v>Operativo</v>
      </c>
      <c r="I144" s="4" t="str">
        <f>IFERROR(_xlfn.XLOOKUP(G144,Listas!E:E,Listas!G:G,""),"")</f>
        <v>Externo</v>
      </c>
      <c r="J144" s="51">
        <v>15</v>
      </c>
      <c r="K144" s="5">
        <f t="shared" si="2"/>
        <v>-15</v>
      </c>
      <c r="L144" s="6" t="s">
        <v>93</v>
      </c>
      <c r="M144" s="52">
        <f>SUMIFS('Saldos Iniciales'!$D$2:$D$38,'Saldos Iniciales'!$A$2:$A$38,C144,'Saldos Iniciales'!$B$2:$B$38,D144)+SUMIFS($K$1:$K$1048575,$C$1:$C$1048575,C144,$D$1:$D$1048575,D144,$B$1:$B$1048575,"&lt;="&amp;B144)</f>
        <v>57206.89</v>
      </c>
      <c r="N144" s="30" t="str">
        <f>IF(tblMovimientos[[#This Row],[Tipo de Movimiento]]="Ingreso",tblMovimientos[[#This Row],[Monto (S/)]],"0")</f>
        <v>0</v>
      </c>
      <c r="O144" s="30">
        <f>IF(tblMovimientos[[#This Row],[Tipo de Movimiento]]="Egreso",tblMovimientos[[#This Row],[Monto (S/)]],"0")</f>
        <v>15</v>
      </c>
      <c r="P144" s="34">
        <f>IF(tblMovimientos[[#This Row],[Tipo de Movimiento]]="Ingreso",tblMovimientos[[#This Row],[Ingreso]],-tblMovimientos[[#This Row],[Egreso]])</f>
        <v>-15</v>
      </c>
    </row>
    <row r="145" spans="2:16" hidden="1" x14ac:dyDescent="0.3">
      <c r="B145" s="47">
        <v>46162</v>
      </c>
      <c r="C145" s="4" t="str">
        <f>_xlfn.XLOOKUP(tblMovimientos[[#This Row],[Cuenta Bancaria]],Listas!$B:$B,Listas!$A:$A,"")</f>
        <v>3628 Thomas Ave</v>
      </c>
      <c r="D145" s="48" t="s">
        <v>124</v>
      </c>
      <c r="E145" s="4" t="str">
        <f>_xlfn.XLOOKUP(tblMovimientos[[#This Row],[Cuenta Bancaria]],Listas!$B:$B,Listas!$C:$C,"")</f>
        <v>Bank of America</v>
      </c>
      <c r="F145" s="49" t="s">
        <v>9</v>
      </c>
      <c r="G145" s="48" t="s">
        <v>82</v>
      </c>
      <c r="H145" s="4" t="str">
        <f>IFERROR(_xlfn.XLOOKUP(G145,Listas!E:E,Listas!F:F,""),"")</f>
        <v>Operativo</v>
      </c>
      <c r="I145" s="4" t="str">
        <f>IFERROR(_xlfn.XLOOKUP(G145,Listas!E:E,Listas!G:G,""),"")</f>
        <v>Externo</v>
      </c>
      <c r="J145" s="51">
        <v>2200</v>
      </c>
      <c r="K145" s="5">
        <f t="shared" si="2"/>
        <v>2200</v>
      </c>
      <c r="L145" s="6" t="s">
        <v>93</v>
      </c>
      <c r="M145" s="52">
        <f>SUMIFS('Saldos Iniciales'!$D$2:$D$38,'Saldos Iniciales'!$A$2:$A$38,C145,'Saldos Iniciales'!$B$2:$B$38,D145)+SUMIFS($K$1:$K$1048575,$C$1:$C$1048575,C145,$D$1:$D$1048575,D145,$B$1:$B$1048575,"&lt;="&amp;B145)</f>
        <v>29206.27</v>
      </c>
      <c r="N145" s="30">
        <f>IF(tblMovimientos[[#This Row],[Tipo de Movimiento]]="Ingreso",tblMovimientos[[#This Row],[Monto (S/)]],"0")</f>
        <v>2200</v>
      </c>
      <c r="O145" s="30" t="str">
        <f>IF(tblMovimientos[[#This Row],[Tipo de Movimiento]]="Egreso",tblMovimientos[[#This Row],[Monto (S/)]],"0")</f>
        <v>0</v>
      </c>
      <c r="P145" s="34">
        <f>IF(tblMovimientos[[#This Row],[Tipo de Movimiento]]="Ingreso",tblMovimientos[[#This Row],[Ingreso]],-tblMovimientos[[#This Row],[Egreso]])</f>
        <v>2200</v>
      </c>
    </row>
    <row r="146" spans="2:16" hidden="1" x14ac:dyDescent="0.3">
      <c r="B146" s="47">
        <v>46162</v>
      </c>
      <c r="C146" s="4" t="str">
        <f>_xlfn.XLOOKUP(tblMovimientos[[#This Row],[Cuenta Bancaria]],Listas!$B:$B,Listas!$A:$A,"")</f>
        <v>CFT Group</v>
      </c>
      <c r="D146" s="48" t="s">
        <v>95</v>
      </c>
      <c r="E146" s="4" t="str">
        <f>_xlfn.XLOOKUP(tblMovimientos[[#This Row],[Cuenta Bancaria]],Listas!$B:$B,Listas!$C:$C,"")</f>
        <v xml:space="preserve">Amerant Bank </v>
      </c>
      <c r="F146" s="49" t="s">
        <v>9</v>
      </c>
      <c r="G146" s="48" t="s">
        <v>86</v>
      </c>
      <c r="H146" s="4" t="str">
        <f>IFERROR(_xlfn.XLOOKUP(G146,Listas!E:E,Listas!F:F,""),"")</f>
        <v>Inversion</v>
      </c>
      <c r="I146" s="4" t="str">
        <f>IFERROR(_xlfn.XLOOKUP(G146,Listas!E:E,Listas!G:G,""),"")</f>
        <v>Externo</v>
      </c>
      <c r="J146" s="51">
        <v>25274</v>
      </c>
      <c r="K146" s="5">
        <f t="shared" si="2"/>
        <v>25274</v>
      </c>
      <c r="L146" s="6" t="s">
        <v>93</v>
      </c>
      <c r="M146" s="52">
        <f>SUMIFS('Saldos Iniciales'!$D$2:$D$38,'Saldos Iniciales'!$A$2:$A$38,C146,'Saldos Iniciales'!$B$2:$B$38,D146)+SUMIFS($K$1:$K$1048575,$C$1:$C$1048575,C146,$D$1:$D$1048575,D146,$B$1:$B$1048575,"&lt;="&amp;B146)</f>
        <v>125481.8600000001</v>
      </c>
      <c r="N146" s="30">
        <f>IF(tblMovimientos[[#This Row],[Tipo de Movimiento]]="Ingreso",tblMovimientos[[#This Row],[Monto (S/)]],"0")</f>
        <v>25274</v>
      </c>
      <c r="O146" s="30" t="str">
        <f>IF(tblMovimientos[[#This Row],[Tipo de Movimiento]]="Egreso",tblMovimientos[[#This Row],[Monto (S/)]],"0")</f>
        <v>0</v>
      </c>
      <c r="P146" s="34">
        <f>IF(tblMovimientos[[#This Row],[Tipo de Movimiento]]="Ingreso",tblMovimientos[[#This Row],[Ingreso]],-tblMovimientos[[#This Row],[Egreso]])</f>
        <v>25274</v>
      </c>
    </row>
    <row r="147" spans="2:16" hidden="1" x14ac:dyDescent="0.3">
      <c r="B147" s="47">
        <v>46162</v>
      </c>
      <c r="C147" s="4" t="str">
        <f>_xlfn.XLOOKUP(tblMovimientos[[#This Row],[Cuenta Bancaria]],Listas!$B:$B,Listas!$A:$A,"")</f>
        <v>CFT Group</v>
      </c>
      <c r="D147" s="48" t="s">
        <v>95</v>
      </c>
      <c r="E147" s="4" t="str">
        <f>_xlfn.XLOOKUP(tblMovimientos[[#This Row],[Cuenta Bancaria]],Listas!$B:$B,Listas!$C:$C,"")</f>
        <v xml:space="preserve">Amerant Bank </v>
      </c>
      <c r="F147" s="49" t="s">
        <v>9</v>
      </c>
      <c r="G147" s="48" t="s">
        <v>85</v>
      </c>
      <c r="H147" s="4" t="str">
        <f>IFERROR(_xlfn.XLOOKUP(G147,Listas!E:E,Listas!F:F,""),"")</f>
        <v>Operativo</v>
      </c>
      <c r="I147" s="4" t="str">
        <f>IFERROR(_xlfn.XLOOKUP(G147,Listas!E:E,Listas!G:G,""),"")</f>
        <v>Interno</v>
      </c>
      <c r="J147" s="51">
        <v>650000</v>
      </c>
      <c r="K147" s="5">
        <f t="shared" si="2"/>
        <v>650000</v>
      </c>
      <c r="L147" s="6" t="s">
        <v>93</v>
      </c>
      <c r="M147" s="52">
        <f>SUMIFS('Saldos Iniciales'!$D$2:$D$38,'Saldos Iniciales'!$A$2:$A$38,C147,'Saldos Iniciales'!$B$2:$B$38,D147)+SUMIFS($K$1:$K$1048575,$C$1:$C$1048575,C147,$D$1:$D$1048575,D147,$B$1:$B$1048575,"&lt;="&amp;B147)</f>
        <v>125481.8600000001</v>
      </c>
      <c r="N147" s="30">
        <f>IF(tblMovimientos[[#This Row],[Tipo de Movimiento]]="Ingreso",tblMovimientos[[#This Row],[Monto (S/)]],"0")</f>
        <v>650000</v>
      </c>
      <c r="O147" s="30" t="str">
        <f>IF(tblMovimientos[[#This Row],[Tipo de Movimiento]]="Egreso",tblMovimientos[[#This Row],[Monto (S/)]],"0")</f>
        <v>0</v>
      </c>
      <c r="P147" s="34">
        <f>IF(tblMovimientos[[#This Row],[Tipo de Movimiento]]="Ingreso",tblMovimientos[[#This Row],[Ingreso]],-tblMovimientos[[#This Row],[Egreso]])</f>
        <v>650000</v>
      </c>
    </row>
    <row r="148" spans="2:16" hidden="1" x14ac:dyDescent="0.3">
      <c r="B148" s="47">
        <v>46162</v>
      </c>
      <c r="C148" s="4" t="str">
        <f>_xlfn.XLOOKUP(tblMovimientos[[#This Row],[Cuenta Bancaria]],Listas!$B:$B,Listas!$A:$A,"")</f>
        <v>CFT Group</v>
      </c>
      <c r="D148" s="48" t="s">
        <v>95</v>
      </c>
      <c r="E148" s="4" t="str">
        <f>_xlfn.XLOOKUP(tblMovimientos[[#This Row],[Cuenta Bancaria]],Listas!$B:$B,Listas!$C:$C,"")</f>
        <v xml:space="preserve">Amerant Bank </v>
      </c>
      <c r="F148" s="49" t="s">
        <v>10</v>
      </c>
      <c r="G148" s="48" t="s">
        <v>46</v>
      </c>
      <c r="H148" s="4" t="str">
        <f>IFERROR(_xlfn.XLOOKUP(G148,Listas!E:E,Listas!F:F,""),"")</f>
        <v>Financiamiento</v>
      </c>
      <c r="I148" s="4" t="str">
        <f>IFERROR(_xlfn.XLOOKUP(G148,Listas!E:E,Listas!G:G,""),"")</f>
        <v>Externo</v>
      </c>
      <c r="J148" s="51">
        <v>2366.67</v>
      </c>
      <c r="K148" s="5">
        <f t="shared" si="2"/>
        <v>-2366.67</v>
      </c>
      <c r="L148" s="6" t="s">
        <v>93</v>
      </c>
      <c r="M148" s="52">
        <f>SUMIFS('Saldos Iniciales'!$D$2:$D$38,'Saldos Iniciales'!$A$2:$A$38,C148,'Saldos Iniciales'!$B$2:$B$38,D148)+SUMIFS($K$1:$K$1048575,$C$1:$C$1048575,C148,$D$1:$D$1048575,D148,$B$1:$B$1048575,"&lt;="&amp;B148)</f>
        <v>125481.8600000001</v>
      </c>
      <c r="N148" s="30" t="str">
        <f>IF(tblMovimientos[[#This Row],[Tipo de Movimiento]]="Ingreso",tblMovimientos[[#This Row],[Monto (S/)]],"0")</f>
        <v>0</v>
      </c>
      <c r="O148" s="30">
        <f>IF(tblMovimientos[[#This Row],[Tipo de Movimiento]]="Egreso",tblMovimientos[[#This Row],[Monto (S/)]],"0")</f>
        <v>2366.67</v>
      </c>
      <c r="P148" s="34">
        <f>IF(tblMovimientos[[#This Row],[Tipo de Movimiento]]="Ingreso",tblMovimientos[[#This Row],[Ingreso]],-tblMovimientos[[#This Row],[Egreso]])</f>
        <v>-2366.67</v>
      </c>
    </row>
    <row r="149" spans="2:16" hidden="1" x14ac:dyDescent="0.3">
      <c r="B149" s="47">
        <v>46162</v>
      </c>
      <c r="C149" s="4" t="str">
        <f>_xlfn.XLOOKUP(tblMovimientos[[#This Row],[Cuenta Bancaria]],Listas!$B:$B,Listas!$A:$A,"")</f>
        <v>CFT Group</v>
      </c>
      <c r="D149" s="48" t="s">
        <v>95</v>
      </c>
      <c r="E149" s="4" t="str">
        <f>_xlfn.XLOOKUP(tblMovimientos[[#This Row],[Cuenta Bancaria]],Listas!$B:$B,Listas!$C:$C,"")</f>
        <v xml:space="preserve">Amerant Bank </v>
      </c>
      <c r="F149" s="49" t="s">
        <v>10</v>
      </c>
      <c r="G149" s="48" t="s">
        <v>46</v>
      </c>
      <c r="H149" s="4" t="str">
        <f>IFERROR(_xlfn.XLOOKUP(G149,Listas!E:E,Listas!F:F,""),"")</f>
        <v>Financiamiento</v>
      </c>
      <c r="I149" s="4" t="str">
        <f>IFERROR(_xlfn.XLOOKUP(G149,Listas!E:E,Listas!G:G,""),"")</f>
        <v>Externo</v>
      </c>
      <c r="J149" s="51">
        <v>2916.67</v>
      </c>
      <c r="K149" s="5">
        <f t="shared" si="2"/>
        <v>-2916.67</v>
      </c>
      <c r="L149" s="6" t="s">
        <v>93</v>
      </c>
      <c r="M149" s="52">
        <f>SUMIFS('Saldos Iniciales'!$D$2:$D$38,'Saldos Iniciales'!$A$2:$A$38,C149,'Saldos Iniciales'!$B$2:$B$38,D149)+SUMIFS($K$1:$K$1048575,$C$1:$C$1048575,C149,$D$1:$D$1048575,D149,$B$1:$B$1048575,"&lt;="&amp;B149)</f>
        <v>125481.8600000001</v>
      </c>
      <c r="N149" s="30" t="str">
        <f>IF(tblMovimientos[[#This Row],[Tipo de Movimiento]]="Ingreso",tblMovimientos[[#This Row],[Monto (S/)]],"0")</f>
        <v>0</v>
      </c>
      <c r="O149" s="30">
        <f>IF(tblMovimientos[[#This Row],[Tipo de Movimiento]]="Egreso",tblMovimientos[[#This Row],[Monto (S/)]],"0")</f>
        <v>2916.67</v>
      </c>
      <c r="P149" s="34">
        <f>IF(tblMovimientos[[#This Row],[Tipo de Movimiento]]="Ingreso",tblMovimientos[[#This Row],[Ingreso]],-tblMovimientos[[#This Row],[Egreso]])</f>
        <v>-2916.67</v>
      </c>
    </row>
    <row r="150" spans="2:16" hidden="1" x14ac:dyDescent="0.3">
      <c r="B150" s="47">
        <v>46162</v>
      </c>
      <c r="C150" s="4" t="str">
        <f>_xlfn.XLOOKUP(tblMovimientos[[#This Row],[Cuenta Bancaria]],Listas!$B:$B,Listas!$A:$A,"")</f>
        <v>CFT Group</v>
      </c>
      <c r="D150" s="48" t="s">
        <v>95</v>
      </c>
      <c r="E150" s="4" t="str">
        <f>_xlfn.XLOOKUP(tblMovimientos[[#This Row],[Cuenta Bancaria]],Listas!$B:$B,Listas!$C:$C,"")</f>
        <v xml:space="preserve">Amerant Bank </v>
      </c>
      <c r="F150" s="49" t="s">
        <v>10</v>
      </c>
      <c r="G150" s="48" t="s">
        <v>46</v>
      </c>
      <c r="H150" s="4" t="str">
        <f>IFERROR(_xlfn.XLOOKUP(G150,Listas!E:E,Listas!F:F,""),"")</f>
        <v>Financiamiento</v>
      </c>
      <c r="I150" s="4" t="str">
        <f>IFERROR(_xlfn.XLOOKUP(G150,Listas!E:E,Listas!G:G,""),"")</f>
        <v>Externo</v>
      </c>
      <c r="J150" s="51">
        <v>3500</v>
      </c>
      <c r="K150" s="5">
        <f t="shared" si="2"/>
        <v>-3500</v>
      </c>
      <c r="L150" s="6" t="s">
        <v>93</v>
      </c>
      <c r="M150" s="52">
        <f>SUMIFS('Saldos Iniciales'!$D$2:$D$38,'Saldos Iniciales'!$A$2:$A$38,C150,'Saldos Iniciales'!$B$2:$B$38,D150)+SUMIFS($K$1:$K$1048575,$C$1:$C$1048575,C150,$D$1:$D$1048575,D150,$B$1:$B$1048575,"&lt;="&amp;B150)</f>
        <v>125481.8600000001</v>
      </c>
      <c r="N150" s="30" t="str">
        <f>IF(tblMovimientos[[#This Row],[Tipo de Movimiento]]="Ingreso",tblMovimientos[[#This Row],[Monto (S/)]],"0")</f>
        <v>0</v>
      </c>
      <c r="O150" s="30">
        <f>IF(tblMovimientos[[#This Row],[Tipo de Movimiento]]="Egreso",tblMovimientos[[#This Row],[Monto (S/)]],"0")</f>
        <v>3500</v>
      </c>
      <c r="P150" s="34">
        <f>IF(tblMovimientos[[#This Row],[Tipo de Movimiento]]="Ingreso",tblMovimientos[[#This Row],[Ingreso]],-tblMovimientos[[#This Row],[Egreso]])</f>
        <v>-3500</v>
      </c>
    </row>
    <row r="151" spans="2:16" hidden="1" x14ac:dyDescent="0.3">
      <c r="B151" s="47">
        <v>46162</v>
      </c>
      <c r="C151" s="4" t="str">
        <f>_xlfn.XLOOKUP(tblMovimientos[[#This Row],[Cuenta Bancaria]],Listas!$B:$B,Listas!$A:$A,"")</f>
        <v>CFT Group</v>
      </c>
      <c r="D151" s="48" t="s">
        <v>95</v>
      </c>
      <c r="E151" s="4" t="str">
        <f>_xlfn.XLOOKUP(tblMovimientos[[#This Row],[Cuenta Bancaria]],Listas!$B:$B,Listas!$C:$C,"")</f>
        <v xml:space="preserve">Amerant Bank </v>
      </c>
      <c r="F151" s="49" t="s">
        <v>10</v>
      </c>
      <c r="G151" s="48" t="s">
        <v>46</v>
      </c>
      <c r="H151" s="4" t="str">
        <f>IFERROR(_xlfn.XLOOKUP(G151,Listas!E:E,Listas!F:F,""),"")</f>
        <v>Financiamiento</v>
      </c>
      <c r="I151" s="4" t="str">
        <f>IFERROR(_xlfn.XLOOKUP(G151,Listas!E:E,Listas!G:G,""),"")</f>
        <v>Externo</v>
      </c>
      <c r="J151" s="51">
        <v>3708.33</v>
      </c>
      <c r="K151" s="5">
        <f t="shared" si="2"/>
        <v>-3708.33</v>
      </c>
      <c r="L151" s="6" t="s">
        <v>93</v>
      </c>
      <c r="M151" s="52">
        <f>SUMIFS('Saldos Iniciales'!$D$2:$D$38,'Saldos Iniciales'!$A$2:$A$38,C151,'Saldos Iniciales'!$B$2:$B$38,D151)+SUMIFS($K$1:$K$1048575,$C$1:$C$1048575,C151,$D$1:$D$1048575,D151,$B$1:$B$1048575,"&lt;="&amp;B151)</f>
        <v>125481.8600000001</v>
      </c>
      <c r="N151" s="30" t="str">
        <f>IF(tblMovimientos[[#This Row],[Tipo de Movimiento]]="Ingreso",tblMovimientos[[#This Row],[Monto (S/)]],"0")</f>
        <v>0</v>
      </c>
      <c r="O151" s="30">
        <f>IF(tblMovimientos[[#This Row],[Tipo de Movimiento]]="Egreso",tblMovimientos[[#This Row],[Monto (S/)]],"0")</f>
        <v>3708.33</v>
      </c>
      <c r="P151" s="34">
        <f>IF(tblMovimientos[[#This Row],[Tipo de Movimiento]]="Ingreso",tblMovimientos[[#This Row],[Ingreso]],-tblMovimientos[[#This Row],[Egreso]])</f>
        <v>-3708.33</v>
      </c>
    </row>
    <row r="152" spans="2:16" hidden="1" x14ac:dyDescent="0.3">
      <c r="B152" s="47">
        <v>46162</v>
      </c>
      <c r="C152" s="4" t="str">
        <f>_xlfn.XLOOKUP(tblMovimientos[[#This Row],[Cuenta Bancaria]],Listas!$B:$B,Listas!$A:$A,"")</f>
        <v>CFT Group</v>
      </c>
      <c r="D152" s="48" t="s">
        <v>95</v>
      </c>
      <c r="E152" s="4" t="str">
        <f>_xlfn.XLOOKUP(tblMovimientos[[#This Row],[Cuenta Bancaria]],Listas!$B:$B,Listas!$C:$C,"")</f>
        <v xml:space="preserve">Amerant Bank </v>
      </c>
      <c r="F152" s="49" t="s">
        <v>10</v>
      </c>
      <c r="G152" s="48" t="s">
        <v>46</v>
      </c>
      <c r="H152" s="4" t="str">
        <f>IFERROR(_xlfn.XLOOKUP(G152,Listas!E:E,Listas!F:F,""),"")</f>
        <v>Financiamiento</v>
      </c>
      <c r="I152" s="4" t="str">
        <f>IFERROR(_xlfn.XLOOKUP(G152,Listas!E:E,Listas!G:G,""),"")</f>
        <v>Externo</v>
      </c>
      <c r="J152" s="51">
        <v>10266.67</v>
      </c>
      <c r="K152" s="5">
        <f t="shared" si="2"/>
        <v>-10266.67</v>
      </c>
      <c r="L152" s="6" t="s">
        <v>93</v>
      </c>
      <c r="M152" s="52">
        <f>SUMIFS('Saldos Iniciales'!$D$2:$D$38,'Saldos Iniciales'!$A$2:$A$38,C152,'Saldos Iniciales'!$B$2:$B$38,D152)+SUMIFS($K$1:$K$1048575,$C$1:$C$1048575,C152,$D$1:$D$1048575,D152,$B$1:$B$1048575,"&lt;="&amp;B152)</f>
        <v>125481.8600000001</v>
      </c>
      <c r="N152" s="30" t="str">
        <f>IF(tblMovimientos[[#This Row],[Tipo de Movimiento]]="Ingreso",tblMovimientos[[#This Row],[Monto (S/)]],"0")</f>
        <v>0</v>
      </c>
      <c r="O152" s="30">
        <f>IF(tblMovimientos[[#This Row],[Tipo de Movimiento]]="Egreso",tblMovimientos[[#This Row],[Monto (S/)]],"0")</f>
        <v>10266.67</v>
      </c>
      <c r="P152" s="34">
        <f>IF(tblMovimientos[[#This Row],[Tipo de Movimiento]]="Ingreso",tblMovimientos[[#This Row],[Ingreso]],-tblMovimientos[[#This Row],[Egreso]])</f>
        <v>-10266.67</v>
      </c>
    </row>
    <row r="153" spans="2:16" hidden="1" x14ac:dyDescent="0.3">
      <c r="B153" s="47">
        <v>46162</v>
      </c>
      <c r="C153" s="4" t="str">
        <f>_xlfn.XLOOKUP(tblMovimientos[[#This Row],[Cuenta Bancaria]],Listas!$B:$B,Listas!$A:$A,"")</f>
        <v>CFT Group</v>
      </c>
      <c r="D153" s="48" t="s">
        <v>95</v>
      </c>
      <c r="E153" s="4" t="str">
        <f>_xlfn.XLOOKUP(tblMovimientos[[#This Row],[Cuenta Bancaria]],Listas!$B:$B,Listas!$C:$C,"")</f>
        <v xml:space="preserve">Amerant Bank </v>
      </c>
      <c r="F153" s="49" t="s">
        <v>10</v>
      </c>
      <c r="G153" s="48" t="s">
        <v>46</v>
      </c>
      <c r="H153" s="4" t="str">
        <f>IFERROR(_xlfn.XLOOKUP(G153,Listas!E:E,Listas!F:F,""),"")</f>
        <v>Financiamiento</v>
      </c>
      <c r="I153" s="4" t="str">
        <f>IFERROR(_xlfn.XLOOKUP(G153,Listas!E:E,Listas!G:G,""),"")</f>
        <v>Externo</v>
      </c>
      <c r="J153" s="51">
        <v>11666.67</v>
      </c>
      <c r="K153" s="5">
        <f t="shared" si="2"/>
        <v>-11666.67</v>
      </c>
      <c r="L153" s="6" t="s">
        <v>93</v>
      </c>
      <c r="M153" s="52">
        <f>SUMIFS('Saldos Iniciales'!$D$2:$D$38,'Saldos Iniciales'!$A$2:$A$38,C153,'Saldos Iniciales'!$B$2:$B$38,D153)+SUMIFS($K$1:$K$1048575,$C$1:$C$1048575,C153,$D$1:$D$1048575,D153,$B$1:$B$1048575,"&lt;="&amp;B153)</f>
        <v>125481.8600000001</v>
      </c>
      <c r="N153" s="30" t="str">
        <f>IF(tblMovimientos[[#This Row],[Tipo de Movimiento]]="Ingreso",tblMovimientos[[#This Row],[Monto (S/)]],"0")</f>
        <v>0</v>
      </c>
      <c r="O153" s="30">
        <f>IF(tblMovimientos[[#This Row],[Tipo de Movimiento]]="Egreso",tblMovimientos[[#This Row],[Monto (S/)]],"0")</f>
        <v>11666.67</v>
      </c>
      <c r="P153" s="34">
        <f>IF(tblMovimientos[[#This Row],[Tipo de Movimiento]]="Ingreso",tblMovimientos[[#This Row],[Ingreso]],-tblMovimientos[[#This Row],[Egreso]])</f>
        <v>-11666.67</v>
      </c>
    </row>
    <row r="154" spans="2:16" hidden="1" x14ac:dyDescent="0.3">
      <c r="B154" s="47">
        <v>46162</v>
      </c>
      <c r="C154" s="4" t="str">
        <f>_xlfn.XLOOKUP(tblMovimientos[[#This Row],[Cuenta Bancaria]],Listas!$B:$B,Listas!$A:$A,"")</f>
        <v>CFT Group</v>
      </c>
      <c r="D154" s="48" t="s">
        <v>95</v>
      </c>
      <c r="E154" s="4" t="str">
        <f>_xlfn.XLOOKUP(tblMovimientos[[#This Row],[Cuenta Bancaria]],Listas!$B:$B,Listas!$C:$C,"")</f>
        <v xml:space="preserve">Amerant Bank </v>
      </c>
      <c r="F154" s="49" t="s">
        <v>10</v>
      </c>
      <c r="G154" s="48" t="s">
        <v>46</v>
      </c>
      <c r="H154" s="4" t="str">
        <f>IFERROR(_xlfn.XLOOKUP(G154,Listas!E:E,Listas!F:F,""),"")</f>
        <v>Financiamiento</v>
      </c>
      <c r="I154" s="4" t="str">
        <f>IFERROR(_xlfn.XLOOKUP(G154,Listas!E:E,Listas!G:G,""),"")</f>
        <v>Externo</v>
      </c>
      <c r="J154" s="51">
        <v>22166.67</v>
      </c>
      <c r="K154" s="5">
        <f t="shared" si="2"/>
        <v>-22166.67</v>
      </c>
      <c r="L154" s="6" t="s">
        <v>93</v>
      </c>
      <c r="M154" s="52">
        <f>SUMIFS('Saldos Iniciales'!$D$2:$D$38,'Saldos Iniciales'!$A$2:$A$38,C154,'Saldos Iniciales'!$B$2:$B$38,D154)+SUMIFS($K$1:$K$1048575,$C$1:$C$1048575,C154,$D$1:$D$1048575,D154,$B$1:$B$1048575,"&lt;="&amp;B154)</f>
        <v>125481.8600000001</v>
      </c>
      <c r="N154" s="30" t="str">
        <f>IF(tblMovimientos[[#This Row],[Tipo de Movimiento]]="Ingreso",tblMovimientos[[#This Row],[Monto (S/)]],"0")</f>
        <v>0</v>
      </c>
      <c r="O154" s="30">
        <f>IF(tblMovimientos[[#This Row],[Tipo de Movimiento]]="Egreso",tblMovimientos[[#This Row],[Monto (S/)]],"0")</f>
        <v>22166.67</v>
      </c>
      <c r="P154" s="34">
        <f>IF(tblMovimientos[[#This Row],[Tipo de Movimiento]]="Ingreso",tblMovimientos[[#This Row],[Ingreso]],-tblMovimientos[[#This Row],[Egreso]])</f>
        <v>-22166.67</v>
      </c>
    </row>
    <row r="155" spans="2:16" hidden="1" x14ac:dyDescent="0.3">
      <c r="B155" s="47">
        <v>46162</v>
      </c>
      <c r="C155" s="4" t="str">
        <f>_xlfn.XLOOKUP(tblMovimientos[[#This Row],[Cuenta Bancaria]],Listas!$B:$B,Listas!$A:$A,"")</f>
        <v>CFT Group</v>
      </c>
      <c r="D155" s="48" t="s">
        <v>95</v>
      </c>
      <c r="E155" s="4" t="str">
        <f>_xlfn.XLOOKUP(tblMovimientos[[#This Row],[Cuenta Bancaria]],Listas!$B:$B,Listas!$C:$C,"")</f>
        <v xml:space="preserve">Amerant Bank </v>
      </c>
      <c r="F155" s="49" t="s">
        <v>10</v>
      </c>
      <c r="G155" s="48" t="s">
        <v>46</v>
      </c>
      <c r="H155" s="4" t="str">
        <f>IFERROR(_xlfn.XLOOKUP(G155,Listas!E:E,Listas!F:F,""),"")</f>
        <v>Financiamiento</v>
      </c>
      <c r="I155" s="4" t="str">
        <f>IFERROR(_xlfn.XLOOKUP(G155,Listas!E:E,Listas!G:G,""),"")</f>
        <v>Externo</v>
      </c>
      <c r="J155" s="51">
        <v>23333.33</v>
      </c>
      <c r="K155" s="5">
        <f t="shared" si="2"/>
        <v>-23333.33</v>
      </c>
      <c r="L155" s="6" t="s">
        <v>93</v>
      </c>
      <c r="M155" s="52">
        <f>SUMIFS('Saldos Iniciales'!$D$2:$D$38,'Saldos Iniciales'!$A$2:$A$38,C155,'Saldos Iniciales'!$B$2:$B$38,D155)+SUMIFS($K$1:$K$1048575,$C$1:$C$1048575,C155,$D$1:$D$1048575,D155,$B$1:$B$1048575,"&lt;="&amp;B155)</f>
        <v>125481.8600000001</v>
      </c>
      <c r="N155" s="30" t="str">
        <f>IF(tblMovimientos[[#This Row],[Tipo de Movimiento]]="Ingreso",tblMovimientos[[#This Row],[Monto (S/)]],"0")</f>
        <v>0</v>
      </c>
      <c r="O155" s="30">
        <f>IF(tblMovimientos[[#This Row],[Tipo de Movimiento]]="Egreso",tblMovimientos[[#This Row],[Monto (S/)]],"0")</f>
        <v>23333.33</v>
      </c>
      <c r="P155" s="34">
        <f>IF(tblMovimientos[[#This Row],[Tipo de Movimiento]]="Ingreso",tblMovimientos[[#This Row],[Ingreso]],-tblMovimientos[[#This Row],[Egreso]])</f>
        <v>-23333.33</v>
      </c>
    </row>
    <row r="156" spans="2:16" hidden="1" x14ac:dyDescent="0.3">
      <c r="B156" s="47">
        <v>46162</v>
      </c>
      <c r="C156" s="4" t="str">
        <f>_xlfn.XLOOKUP(tblMovimientos[[#This Row],[Cuenta Bancaria]],Listas!$B:$B,Listas!$A:$A,"")</f>
        <v>CFT Group</v>
      </c>
      <c r="D156" s="48" t="s">
        <v>95</v>
      </c>
      <c r="E156" s="4" t="str">
        <f>_xlfn.XLOOKUP(tblMovimientos[[#This Row],[Cuenta Bancaria]],Listas!$B:$B,Listas!$C:$C,"")</f>
        <v xml:space="preserve">Amerant Bank </v>
      </c>
      <c r="F156" s="49" t="s">
        <v>10</v>
      </c>
      <c r="G156" s="48" t="s">
        <v>61</v>
      </c>
      <c r="H156" s="4" t="str">
        <f>IFERROR(_xlfn.XLOOKUP(G156,Listas!E:E,Listas!F:F,""),"")</f>
        <v>Operativo</v>
      </c>
      <c r="I156" s="4" t="str">
        <f>IFERROR(_xlfn.XLOOKUP(G156,Listas!E:E,Listas!G:G,""),"")</f>
        <v>Externo</v>
      </c>
      <c r="J156" s="51">
        <v>35000</v>
      </c>
      <c r="K156" s="5">
        <f t="shared" si="2"/>
        <v>-35000</v>
      </c>
      <c r="L156" s="6" t="s">
        <v>93</v>
      </c>
      <c r="M156" s="52">
        <f>SUMIFS('Saldos Iniciales'!$D$2:$D$38,'Saldos Iniciales'!$A$2:$A$38,C156,'Saldos Iniciales'!$B$2:$B$38,D156)+SUMIFS($K$1:$K$1048575,$C$1:$C$1048575,C156,$D$1:$D$1048575,D156,$B$1:$B$1048575,"&lt;="&amp;B156)</f>
        <v>125481.8600000001</v>
      </c>
      <c r="N156" s="30" t="str">
        <f>IF(tblMovimientos[[#This Row],[Tipo de Movimiento]]="Ingreso",tblMovimientos[[#This Row],[Monto (S/)]],"0")</f>
        <v>0</v>
      </c>
      <c r="O156" s="30">
        <f>IF(tblMovimientos[[#This Row],[Tipo de Movimiento]]="Egreso",tblMovimientos[[#This Row],[Monto (S/)]],"0")</f>
        <v>35000</v>
      </c>
      <c r="P156" s="34">
        <f>IF(tblMovimientos[[#This Row],[Tipo de Movimiento]]="Ingreso",tblMovimientos[[#This Row],[Ingreso]],-tblMovimientos[[#This Row],[Egreso]])</f>
        <v>-35000</v>
      </c>
    </row>
    <row r="157" spans="2:16" hidden="1" x14ac:dyDescent="0.3">
      <c r="B157" s="47">
        <v>46162</v>
      </c>
      <c r="C157" s="4" t="str">
        <f>_xlfn.XLOOKUP(tblMovimientos[[#This Row],[Cuenta Bancaria]],Listas!$B:$B,Listas!$A:$A,"")</f>
        <v>CFT Group</v>
      </c>
      <c r="D157" s="48" t="s">
        <v>95</v>
      </c>
      <c r="E157" s="4" t="str">
        <f>_xlfn.XLOOKUP(tblMovimientos[[#This Row],[Cuenta Bancaria]],Listas!$B:$B,Listas!$C:$C,"")</f>
        <v xml:space="preserve">Amerant Bank </v>
      </c>
      <c r="F157" s="49" t="s">
        <v>10</v>
      </c>
      <c r="G157" s="48" t="s">
        <v>61</v>
      </c>
      <c r="H157" s="4" t="str">
        <f>IFERROR(_xlfn.XLOOKUP(G157,Listas!E:E,Listas!F:F,""),"")</f>
        <v>Operativo</v>
      </c>
      <c r="I157" s="4" t="str">
        <f>IFERROR(_xlfn.XLOOKUP(G157,Listas!E:E,Listas!G:G,""),"")</f>
        <v>Externo</v>
      </c>
      <c r="J157" s="51">
        <v>65000</v>
      </c>
      <c r="K157" s="5">
        <f t="shared" si="2"/>
        <v>-65000</v>
      </c>
      <c r="L157" s="6" t="s">
        <v>93</v>
      </c>
      <c r="M157" s="52">
        <f>SUMIFS('Saldos Iniciales'!$D$2:$D$38,'Saldos Iniciales'!$A$2:$A$38,C157,'Saldos Iniciales'!$B$2:$B$38,D157)+SUMIFS($K$1:$K$1048575,$C$1:$C$1048575,C157,$D$1:$D$1048575,D157,$B$1:$B$1048575,"&lt;="&amp;B157)</f>
        <v>125481.8600000001</v>
      </c>
      <c r="N157" s="30" t="str">
        <f>IF(tblMovimientos[[#This Row],[Tipo de Movimiento]]="Ingreso",tblMovimientos[[#This Row],[Monto (S/)]],"0")</f>
        <v>0</v>
      </c>
      <c r="O157" s="30">
        <f>IF(tblMovimientos[[#This Row],[Tipo de Movimiento]]="Egreso",tblMovimientos[[#This Row],[Monto (S/)]],"0")</f>
        <v>65000</v>
      </c>
      <c r="P157" s="34">
        <f>IF(tblMovimientos[[#This Row],[Tipo de Movimiento]]="Ingreso",tblMovimientos[[#This Row],[Ingreso]],-tblMovimientos[[#This Row],[Egreso]])</f>
        <v>-65000</v>
      </c>
    </row>
    <row r="158" spans="2:16" hidden="1" x14ac:dyDescent="0.3">
      <c r="B158" s="47">
        <v>46162</v>
      </c>
      <c r="C158" s="4" t="str">
        <f>_xlfn.XLOOKUP(tblMovimientos[[#This Row],[Cuenta Bancaria]],Listas!$B:$B,Listas!$A:$A,"")</f>
        <v>CFT Group</v>
      </c>
      <c r="D158" s="48" t="s">
        <v>95</v>
      </c>
      <c r="E158" s="4" t="str">
        <f>_xlfn.XLOOKUP(tblMovimientos[[#This Row],[Cuenta Bancaria]],Listas!$B:$B,Listas!$C:$C,"")</f>
        <v xml:space="preserve">Amerant Bank </v>
      </c>
      <c r="F158" s="49" t="s">
        <v>10</v>
      </c>
      <c r="G158" s="48" t="s">
        <v>46</v>
      </c>
      <c r="H158" s="4" t="str">
        <f>IFERROR(_xlfn.XLOOKUP(G158,Listas!E:E,Listas!F:F,""),"")</f>
        <v>Financiamiento</v>
      </c>
      <c r="I158" s="4" t="str">
        <f>IFERROR(_xlfn.XLOOKUP(G158,Listas!E:E,Listas!G:G,""),"")</f>
        <v>Externo</v>
      </c>
      <c r="J158" s="51">
        <v>68750</v>
      </c>
      <c r="K158" s="5">
        <f t="shared" si="2"/>
        <v>-68750</v>
      </c>
      <c r="L158" s="6" t="s">
        <v>93</v>
      </c>
      <c r="M158" s="52">
        <f>SUMIFS('Saldos Iniciales'!$D$2:$D$38,'Saldos Iniciales'!$A$2:$A$38,C158,'Saldos Iniciales'!$B$2:$B$38,D158)+SUMIFS($K$1:$K$1048575,$C$1:$C$1048575,C158,$D$1:$D$1048575,D158,$B$1:$B$1048575,"&lt;="&amp;B158)</f>
        <v>125481.8600000001</v>
      </c>
      <c r="N158" s="30" t="str">
        <f>IF(tblMovimientos[[#This Row],[Tipo de Movimiento]]="Ingreso",tblMovimientos[[#This Row],[Monto (S/)]],"0")</f>
        <v>0</v>
      </c>
      <c r="O158" s="30">
        <f>IF(tblMovimientos[[#This Row],[Tipo de Movimiento]]="Egreso",tblMovimientos[[#This Row],[Monto (S/)]],"0")</f>
        <v>68750</v>
      </c>
      <c r="P158" s="34">
        <f>IF(tblMovimientos[[#This Row],[Tipo de Movimiento]]="Ingreso",tblMovimientos[[#This Row],[Ingreso]],-tblMovimientos[[#This Row],[Egreso]])</f>
        <v>-68750</v>
      </c>
    </row>
    <row r="159" spans="2:16" hidden="1" x14ac:dyDescent="0.3">
      <c r="B159" s="47">
        <v>46162</v>
      </c>
      <c r="C159" s="4" t="str">
        <f>_xlfn.XLOOKUP(tblMovimientos[[#This Row],[Cuenta Bancaria]],Listas!$B:$B,Listas!$A:$A,"")</f>
        <v>CFT Group</v>
      </c>
      <c r="D159" s="48" t="s">
        <v>95</v>
      </c>
      <c r="E159" s="4" t="str">
        <f>_xlfn.XLOOKUP(tblMovimientos[[#This Row],[Cuenta Bancaria]],Listas!$B:$B,Listas!$C:$C,"")</f>
        <v xml:space="preserve">Amerant Bank </v>
      </c>
      <c r="F159" s="49" t="s">
        <v>10</v>
      </c>
      <c r="G159" s="48" t="s">
        <v>61</v>
      </c>
      <c r="H159" s="4" t="str">
        <f>IFERROR(_xlfn.XLOOKUP(G159,Listas!E:E,Listas!F:F,""),"")</f>
        <v>Operativo</v>
      </c>
      <c r="I159" s="4" t="str">
        <f>IFERROR(_xlfn.XLOOKUP(G159,Listas!E:E,Listas!G:G,""),"")</f>
        <v>Externo</v>
      </c>
      <c r="J159" s="51">
        <v>100000</v>
      </c>
      <c r="K159" s="5">
        <f t="shared" si="2"/>
        <v>-100000</v>
      </c>
      <c r="L159" s="6" t="s">
        <v>93</v>
      </c>
      <c r="M159" s="52">
        <f>SUMIFS('Saldos Iniciales'!$D$2:$D$38,'Saldos Iniciales'!$A$2:$A$38,C159,'Saldos Iniciales'!$B$2:$B$38,D159)+SUMIFS($K$1:$K$1048575,$C$1:$C$1048575,C159,$D$1:$D$1048575,D159,$B$1:$B$1048575,"&lt;="&amp;B159)</f>
        <v>125481.8600000001</v>
      </c>
      <c r="N159" s="30" t="str">
        <f>IF(tblMovimientos[[#This Row],[Tipo de Movimiento]]="Ingreso",tblMovimientos[[#This Row],[Monto (S/)]],"0")</f>
        <v>0</v>
      </c>
      <c r="O159" s="30">
        <f>IF(tblMovimientos[[#This Row],[Tipo de Movimiento]]="Egreso",tblMovimientos[[#This Row],[Monto (S/)]],"0")</f>
        <v>100000</v>
      </c>
      <c r="P159" s="34">
        <f>IF(tblMovimientos[[#This Row],[Tipo de Movimiento]]="Ingreso",tblMovimientos[[#This Row],[Ingreso]],-tblMovimientos[[#This Row],[Egreso]])</f>
        <v>-100000</v>
      </c>
    </row>
    <row r="160" spans="2:16" hidden="1" x14ac:dyDescent="0.3">
      <c r="B160" s="47">
        <v>46162</v>
      </c>
      <c r="C160" s="4" t="str">
        <f>_xlfn.XLOOKUP(tblMovimientos[[#This Row],[Cuenta Bancaria]],Listas!$B:$B,Listas!$A:$A,"")</f>
        <v>CFT Group</v>
      </c>
      <c r="D160" s="48" t="s">
        <v>95</v>
      </c>
      <c r="E160" s="4" t="str">
        <f>_xlfn.XLOOKUP(tblMovimientos[[#This Row],[Cuenta Bancaria]],Listas!$B:$B,Listas!$C:$C,"")</f>
        <v xml:space="preserve">Amerant Bank </v>
      </c>
      <c r="F160" s="49" t="s">
        <v>10</v>
      </c>
      <c r="G160" s="48" t="s">
        <v>62</v>
      </c>
      <c r="H160" s="4" t="str">
        <f>IFERROR(_xlfn.XLOOKUP(G160,Listas!E:E,Listas!F:F,""),"")</f>
        <v>Operativo</v>
      </c>
      <c r="I160" s="4" t="str">
        <f>IFERROR(_xlfn.XLOOKUP(G160,Listas!E:E,Listas!G:G,""),"")</f>
        <v>Interno</v>
      </c>
      <c r="J160" s="51">
        <v>350000</v>
      </c>
      <c r="K160" s="5">
        <f t="shared" si="2"/>
        <v>-350000</v>
      </c>
      <c r="L160" s="6" t="s">
        <v>93</v>
      </c>
      <c r="M160" s="52">
        <f>SUMIFS('Saldos Iniciales'!$D$2:$D$38,'Saldos Iniciales'!$A$2:$A$38,C160,'Saldos Iniciales'!$B$2:$B$38,D160)+SUMIFS($K$1:$K$1048575,$C$1:$C$1048575,C160,$D$1:$D$1048575,D160,$B$1:$B$1048575,"&lt;="&amp;B160)</f>
        <v>125481.8600000001</v>
      </c>
      <c r="N160" s="30" t="str">
        <f>IF(tblMovimientos[[#This Row],[Tipo de Movimiento]]="Ingreso",tblMovimientos[[#This Row],[Monto (S/)]],"0")</f>
        <v>0</v>
      </c>
      <c r="O160" s="30">
        <f>IF(tblMovimientos[[#This Row],[Tipo de Movimiento]]="Egreso",tblMovimientos[[#This Row],[Monto (S/)]],"0")</f>
        <v>350000</v>
      </c>
      <c r="P160" s="34">
        <f>IF(tblMovimientos[[#This Row],[Tipo de Movimiento]]="Ingreso",tblMovimientos[[#This Row],[Ingreso]],-tblMovimientos[[#This Row],[Egreso]])</f>
        <v>-350000</v>
      </c>
    </row>
    <row r="161" spans="2:16" hidden="1" x14ac:dyDescent="0.3">
      <c r="B161" s="47">
        <v>46162</v>
      </c>
      <c r="C161" s="4" t="str">
        <f>_xlfn.XLOOKUP(tblMovimientos[[#This Row],[Cuenta Bancaria]],Listas!$B:$B,Listas!$A:$A,"")</f>
        <v>SSP Capital</v>
      </c>
      <c r="D161" s="48" t="s">
        <v>104</v>
      </c>
      <c r="E161" s="4" t="str">
        <f>_xlfn.XLOOKUP(tblMovimientos[[#This Row],[Cuenta Bancaria]],Listas!$B:$B,Listas!$C:$C,"")</f>
        <v xml:space="preserve">Amerant Bank </v>
      </c>
      <c r="F161" s="49" t="s">
        <v>10</v>
      </c>
      <c r="G161" s="48" t="s">
        <v>60</v>
      </c>
      <c r="H161" s="4" t="str">
        <f>IFERROR(_xlfn.XLOOKUP(G161,Listas!E:E,Listas!F:F,""),"")</f>
        <v>Inversion</v>
      </c>
      <c r="I161" s="4" t="str">
        <f>IFERROR(_xlfn.XLOOKUP(G161,Listas!E:E,Listas!G:G,""),"")</f>
        <v>Interno</v>
      </c>
      <c r="J161" s="51">
        <v>50000</v>
      </c>
      <c r="K161" s="5">
        <f t="shared" si="2"/>
        <v>-50000</v>
      </c>
      <c r="L161" s="6" t="s">
        <v>93</v>
      </c>
      <c r="M161" s="52">
        <f>SUMIFS('Saldos Iniciales'!$D$2:$D$38,'Saldos Iniciales'!$A$2:$A$38,C161,'Saldos Iniciales'!$B$2:$B$38,D161)+SUMIFS($K$1:$K$1048575,$C$1:$C$1048575,C161,$D$1:$D$1048575,D161,$B$1:$B$1048575,"&lt;="&amp;B161)</f>
        <v>211018.51999999938</v>
      </c>
      <c r="N161" s="30" t="str">
        <f>IF(tblMovimientos[[#This Row],[Tipo de Movimiento]]="Ingreso",tblMovimientos[[#This Row],[Monto (S/)]],"0")</f>
        <v>0</v>
      </c>
      <c r="O161" s="30">
        <f>IF(tblMovimientos[[#This Row],[Tipo de Movimiento]]="Egreso",tblMovimientos[[#This Row],[Monto (S/)]],"0")</f>
        <v>50000</v>
      </c>
      <c r="P161" s="34">
        <f>IF(tblMovimientos[[#This Row],[Tipo de Movimiento]]="Ingreso",tblMovimientos[[#This Row],[Ingreso]],-tblMovimientos[[#This Row],[Egreso]])</f>
        <v>-50000</v>
      </c>
    </row>
    <row r="162" spans="2:16" hidden="1" x14ac:dyDescent="0.3">
      <c r="B162" s="47">
        <v>46162</v>
      </c>
      <c r="C162" s="4" t="str">
        <f>_xlfn.XLOOKUP(tblMovimientos[[#This Row],[Cuenta Bancaria]],Listas!$B:$B,Listas!$A:$A,"")</f>
        <v>SSP Capital</v>
      </c>
      <c r="D162" s="49" t="s">
        <v>104</v>
      </c>
      <c r="E162" s="4" t="str">
        <f>_xlfn.XLOOKUP(tblMovimientos[[#This Row],[Cuenta Bancaria]],Listas!$B:$B,Listas!$C:$C,"")</f>
        <v xml:space="preserve">Amerant Bank </v>
      </c>
      <c r="F162" s="49" t="s">
        <v>10</v>
      </c>
      <c r="G162" s="49" t="s">
        <v>60</v>
      </c>
      <c r="H162" s="4" t="str">
        <f>IFERROR(_xlfn.XLOOKUP(G162,Listas!E:E,Listas!F:F,""),"")</f>
        <v>Inversion</v>
      </c>
      <c r="I162" s="4" t="str">
        <f>IFERROR(_xlfn.XLOOKUP(G162,Listas!E:E,Listas!G:G,""),"")</f>
        <v>Interno</v>
      </c>
      <c r="J162" s="51">
        <v>100000</v>
      </c>
      <c r="K162" s="5">
        <f t="shared" si="2"/>
        <v>-100000</v>
      </c>
      <c r="L162" s="6" t="s">
        <v>93</v>
      </c>
      <c r="M162" s="52">
        <f>SUMIFS('Saldos Iniciales'!$D$2:$D$38,'Saldos Iniciales'!$A$2:$A$38,C162,'Saldos Iniciales'!$B$2:$B$38,D162)+SUMIFS($K$1:$K$1048575,$C$1:$C$1048575,C162,$D$1:$D$1048575,D162,$B$1:$B$1048575,"&lt;="&amp;B162)</f>
        <v>211018.51999999938</v>
      </c>
      <c r="N162" s="30" t="str">
        <f>IF(tblMovimientos[[#This Row],[Tipo de Movimiento]]="Ingreso",tblMovimientos[[#This Row],[Monto (S/)]],"0")</f>
        <v>0</v>
      </c>
      <c r="O162" s="30">
        <f>IF(tblMovimientos[[#This Row],[Tipo de Movimiento]]="Egreso",tblMovimientos[[#This Row],[Monto (S/)]],"0")</f>
        <v>100000</v>
      </c>
      <c r="P162" s="34">
        <f>IF(tblMovimientos[[#This Row],[Tipo de Movimiento]]="Ingreso",tblMovimientos[[#This Row],[Ingreso]],-tblMovimientos[[#This Row],[Egreso]])</f>
        <v>-100000</v>
      </c>
    </row>
    <row r="163" spans="2:16" hidden="1" x14ac:dyDescent="0.3">
      <c r="B163" s="47">
        <v>46162</v>
      </c>
      <c r="C163" s="4" t="str">
        <f>_xlfn.XLOOKUP(tblMovimientos[[#This Row],[Cuenta Bancaria]],Listas!$B:$B,Listas!$A:$A,"")</f>
        <v>SSP Capital</v>
      </c>
      <c r="D163" s="49" t="s">
        <v>104</v>
      </c>
      <c r="E163" s="4" t="str">
        <f>_xlfn.XLOOKUP(tblMovimientos[[#This Row],[Cuenta Bancaria]],Listas!$B:$B,Listas!$C:$C,"")</f>
        <v xml:space="preserve">Amerant Bank </v>
      </c>
      <c r="F163" s="49" t="s">
        <v>9</v>
      </c>
      <c r="G163" s="49" t="s">
        <v>75</v>
      </c>
      <c r="H163" s="4" t="str">
        <f>IFERROR(_xlfn.XLOOKUP(G163,Listas!E:E,Listas!F:F,""),"")</f>
        <v>Financiamiento</v>
      </c>
      <c r="I163" s="4" t="str">
        <f>IFERROR(_xlfn.XLOOKUP(G163,Listas!E:E,Listas!G:G,""),"")</f>
        <v>Interno</v>
      </c>
      <c r="J163" s="51">
        <v>350000</v>
      </c>
      <c r="K163" s="5">
        <f t="shared" si="2"/>
        <v>350000</v>
      </c>
      <c r="L163" s="6" t="s">
        <v>93</v>
      </c>
      <c r="M163" s="52">
        <f>SUMIFS('Saldos Iniciales'!$D$2:$D$38,'Saldos Iniciales'!$A$2:$A$38,C163,'Saldos Iniciales'!$B$2:$B$38,D163)+SUMIFS($K$1:$K$1048575,$C$1:$C$1048575,C163,$D$1:$D$1048575,D163,$B$1:$B$1048575,"&lt;="&amp;B163)</f>
        <v>211018.51999999938</v>
      </c>
      <c r="N163" s="30">
        <f>IF(tblMovimientos[[#This Row],[Tipo de Movimiento]]="Ingreso",tblMovimientos[[#This Row],[Monto (S/)]],"0")</f>
        <v>350000</v>
      </c>
      <c r="O163" s="30" t="str">
        <f>IF(tblMovimientos[[#This Row],[Tipo de Movimiento]]="Egreso",tblMovimientos[[#This Row],[Monto (S/)]],"0")</f>
        <v>0</v>
      </c>
      <c r="P163" s="34">
        <f>IF(tblMovimientos[[#This Row],[Tipo de Movimiento]]="Ingreso",tblMovimientos[[#This Row],[Ingreso]],-tblMovimientos[[#This Row],[Egreso]])</f>
        <v>350000</v>
      </c>
    </row>
    <row r="164" spans="2:16" hidden="1" x14ac:dyDescent="0.3">
      <c r="B164" s="47">
        <v>46162</v>
      </c>
      <c r="C164" s="4" t="str">
        <f>_xlfn.XLOOKUP(tblMovimientos[[#This Row],[Cuenta Bancaria]],Listas!$B:$B,Listas!$A:$A,"")</f>
        <v>Go Blue</v>
      </c>
      <c r="D164" s="49" t="s">
        <v>126</v>
      </c>
      <c r="E164" s="4" t="str">
        <f>_xlfn.XLOOKUP(tblMovimientos[[#This Row],[Cuenta Bancaria]],Listas!$B:$B,Listas!$C:$C,"")</f>
        <v xml:space="preserve">Amerant Bank </v>
      </c>
      <c r="F164" s="49" t="s">
        <v>10</v>
      </c>
      <c r="G164" s="49" t="s">
        <v>38</v>
      </c>
      <c r="H164" s="4" t="str">
        <f>IFERROR(_xlfn.XLOOKUP(G164,Listas!E:E,Listas!F:F,""),"")</f>
        <v>Operativo</v>
      </c>
      <c r="I164" s="4" t="str">
        <f>IFERROR(_xlfn.XLOOKUP(G164,Listas!E:E,Listas!G:G,""),"")</f>
        <v>Externo</v>
      </c>
      <c r="J164" s="51">
        <v>5199.1400000000003</v>
      </c>
      <c r="K164" s="5">
        <f t="shared" si="2"/>
        <v>-5199.1400000000003</v>
      </c>
      <c r="L164" s="6" t="s">
        <v>93</v>
      </c>
      <c r="M164" s="52">
        <f>SUMIFS('Saldos Iniciales'!$D$2:$D$38,'Saldos Iniciales'!$A$2:$A$38,C164,'Saldos Iniciales'!$B$2:$B$38,D164)+SUMIFS($K$1:$K$1048575,$C$1:$C$1048575,C164,$D$1:$D$1048575,D164,$B$1:$B$1048575,"&lt;="&amp;B164)</f>
        <v>8168.0700000000006</v>
      </c>
      <c r="N164" s="30" t="str">
        <f>IF(tblMovimientos[[#This Row],[Tipo de Movimiento]]="Ingreso",tblMovimientos[[#This Row],[Monto (S/)]],"0")</f>
        <v>0</v>
      </c>
      <c r="O164" s="30">
        <f>IF(tblMovimientos[[#This Row],[Tipo de Movimiento]]="Egreso",tblMovimientos[[#This Row],[Monto (S/)]],"0")</f>
        <v>5199.1400000000003</v>
      </c>
      <c r="P164" s="34">
        <f>IF(tblMovimientos[[#This Row],[Tipo de Movimiento]]="Ingreso",tblMovimientos[[#This Row],[Ingreso]],-tblMovimientos[[#This Row],[Egreso]])</f>
        <v>-5199.1400000000003</v>
      </c>
    </row>
    <row r="165" spans="2:16" hidden="1" x14ac:dyDescent="0.3">
      <c r="B165" s="47">
        <v>46162</v>
      </c>
      <c r="C165" s="4" t="str">
        <f>_xlfn.XLOOKUP(tblMovimientos[[#This Row],[Cuenta Bancaria]],Listas!$B:$B,Listas!$A:$A,"")</f>
        <v>Go Blue</v>
      </c>
      <c r="D165" s="49" t="s">
        <v>126</v>
      </c>
      <c r="E165" s="4" t="str">
        <f>_xlfn.XLOOKUP(tblMovimientos[[#This Row],[Cuenta Bancaria]],Listas!$B:$B,Listas!$C:$C,"")</f>
        <v xml:space="preserve">Amerant Bank </v>
      </c>
      <c r="F165" s="49" t="s">
        <v>10</v>
      </c>
      <c r="G165" s="49" t="s">
        <v>38</v>
      </c>
      <c r="H165" s="4" t="str">
        <f>IFERROR(_xlfn.XLOOKUP(G165,Listas!E:E,Listas!F:F,""),"")</f>
        <v>Operativo</v>
      </c>
      <c r="I165" s="4" t="str">
        <f>IFERROR(_xlfn.XLOOKUP(G165,Listas!E:E,Listas!G:G,""),"")</f>
        <v>Externo</v>
      </c>
      <c r="J165" s="51">
        <v>5450</v>
      </c>
      <c r="K165" s="5">
        <f t="shared" si="2"/>
        <v>-5450</v>
      </c>
      <c r="L165" s="6" t="s">
        <v>93</v>
      </c>
      <c r="M165" s="52">
        <f>SUMIFS('Saldos Iniciales'!$D$2:$D$38,'Saldos Iniciales'!$A$2:$A$38,C165,'Saldos Iniciales'!$B$2:$B$38,D165)+SUMIFS($K$1:$K$1048575,$C$1:$C$1048575,C165,$D$1:$D$1048575,D165,$B$1:$B$1048575,"&lt;="&amp;B165)</f>
        <v>8168.0700000000006</v>
      </c>
      <c r="N165" s="30" t="str">
        <f>IF(tblMovimientos[[#This Row],[Tipo de Movimiento]]="Ingreso",tblMovimientos[[#This Row],[Monto (S/)]],"0")</f>
        <v>0</v>
      </c>
      <c r="O165" s="30">
        <f>IF(tblMovimientos[[#This Row],[Tipo de Movimiento]]="Egreso",tblMovimientos[[#This Row],[Monto (S/)]],"0")</f>
        <v>5450</v>
      </c>
      <c r="P165" s="34">
        <f>IF(tblMovimientos[[#This Row],[Tipo de Movimiento]]="Ingreso",tblMovimientos[[#This Row],[Ingreso]],-tblMovimientos[[#This Row],[Egreso]])</f>
        <v>-5450</v>
      </c>
    </row>
    <row r="166" spans="2:16" hidden="1" x14ac:dyDescent="0.3">
      <c r="B166" s="47">
        <v>46163</v>
      </c>
      <c r="C166" s="4" t="str">
        <f>_xlfn.XLOOKUP(tblMovimientos[[#This Row],[Cuenta Bancaria]],Listas!$B:$B,Listas!$A:$A,"")</f>
        <v>A&amp;M Imports</v>
      </c>
      <c r="D166" s="49" t="s">
        <v>100</v>
      </c>
      <c r="E166" s="4" t="str">
        <f>_xlfn.XLOOKUP(tblMovimientos[[#This Row],[Cuenta Bancaria]],Listas!$B:$B,Listas!$C:$C,"")</f>
        <v>Bank of America</v>
      </c>
      <c r="F166" s="49" t="s">
        <v>10</v>
      </c>
      <c r="G166" s="49" t="s">
        <v>61</v>
      </c>
      <c r="H166" s="4" t="str">
        <f>IFERROR(_xlfn.XLOOKUP(G166,Listas!E:E,Listas!F:F,""),"")</f>
        <v>Operativo</v>
      </c>
      <c r="I166" s="4" t="str">
        <f>IFERROR(_xlfn.XLOOKUP(G166,Listas!E:E,Listas!G:G,""),"")</f>
        <v>Externo</v>
      </c>
      <c r="J166" s="51">
        <v>60000</v>
      </c>
      <c r="K166" s="5">
        <f t="shared" si="2"/>
        <v>-60000</v>
      </c>
      <c r="L166" s="6" t="s">
        <v>93</v>
      </c>
      <c r="M166" s="52">
        <f>SUMIFS('Saldos Iniciales'!$D$2:$D$38,'Saldos Iniciales'!$A$2:$A$38,C166,'Saldos Iniciales'!$B$2:$B$38,D166)+SUMIFS($K$1:$K$1048575,$C$1:$C$1048575,C166,$D$1:$D$1048575,D166,$B$1:$B$1048575,"&lt;="&amp;B166)</f>
        <v>497076.20999999985</v>
      </c>
      <c r="N166" s="30" t="str">
        <f>IF(tblMovimientos[[#This Row],[Tipo de Movimiento]]="Ingreso",tblMovimientos[[#This Row],[Monto (S/)]],"0")</f>
        <v>0</v>
      </c>
      <c r="O166" s="30">
        <f>IF(tblMovimientos[[#This Row],[Tipo de Movimiento]]="Egreso",tblMovimientos[[#This Row],[Monto (S/)]],"0")</f>
        <v>60000</v>
      </c>
      <c r="P166" s="34">
        <f>IF(tblMovimientos[[#This Row],[Tipo de Movimiento]]="Ingreso",tblMovimientos[[#This Row],[Ingreso]],-tblMovimientos[[#This Row],[Egreso]])</f>
        <v>-60000</v>
      </c>
    </row>
    <row r="167" spans="2:16" hidden="1" x14ac:dyDescent="0.3">
      <c r="B167" s="47">
        <v>46163</v>
      </c>
      <c r="C167" s="4" t="str">
        <f>_xlfn.XLOOKUP(tblMovimientos[[#This Row],[Cuenta Bancaria]],Listas!$B:$B,Listas!$A:$A,"")</f>
        <v>A&amp;M Imports</v>
      </c>
      <c r="D167" s="49" t="s">
        <v>100</v>
      </c>
      <c r="E167" s="4" t="str">
        <f>_xlfn.XLOOKUP(tblMovimientos[[#This Row],[Cuenta Bancaria]],Listas!$B:$B,Listas!$C:$C,"")</f>
        <v>Bank of America</v>
      </c>
      <c r="F167" s="49" t="s">
        <v>10</v>
      </c>
      <c r="G167" s="49" t="s">
        <v>60</v>
      </c>
      <c r="H167" s="4" t="str">
        <f>IFERROR(_xlfn.XLOOKUP(G167,Listas!E:E,Listas!F:F,""),"")</f>
        <v>Inversion</v>
      </c>
      <c r="I167" s="4" t="str">
        <f>IFERROR(_xlfn.XLOOKUP(G167,Listas!E:E,Listas!G:G,""),"")</f>
        <v>Interno</v>
      </c>
      <c r="J167" s="51">
        <v>75000</v>
      </c>
      <c r="K167" s="5">
        <f t="shared" si="2"/>
        <v>-75000</v>
      </c>
      <c r="L167" s="6" t="s">
        <v>93</v>
      </c>
      <c r="M167" s="52">
        <f>SUMIFS('Saldos Iniciales'!$D$2:$D$38,'Saldos Iniciales'!$A$2:$A$38,C167,'Saldos Iniciales'!$B$2:$B$38,D167)+SUMIFS($K$1:$K$1048575,$C$1:$C$1048575,C167,$D$1:$D$1048575,D167,$B$1:$B$1048575,"&lt;="&amp;B167)</f>
        <v>497076.20999999985</v>
      </c>
      <c r="N167" s="30" t="str">
        <f>IF(tblMovimientos[[#This Row],[Tipo de Movimiento]]="Ingreso",tblMovimientos[[#This Row],[Monto (S/)]],"0")</f>
        <v>0</v>
      </c>
      <c r="O167" s="30">
        <f>IF(tblMovimientos[[#This Row],[Tipo de Movimiento]]="Egreso",tblMovimientos[[#This Row],[Monto (S/)]],"0")</f>
        <v>75000</v>
      </c>
      <c r="P167" s="34">
        <f>IF(tblMovimientos[[#This Row],[Tipo de Movimiento]]="Ingreso",tblMovimientos[[#This Row],[Ingreso]],-tblMovimientos[[#This Row],[Egreso]])</f>
        <v>-75000</v>
      </c>
    </row>
    <row r="168" spans="2:16" hidden="1" x14ac:dyDescent="0.3">
      <c r="B168" s="47">
        <v>46163</v>
      </c>
      <c r="C168" s="4" t="str">
        <f>_xlfn.XLOOKUP(tblMovimientos[[#This Row],[Cuenta Bancaria]],Listas!$B:$B,Listas!$A:$A,"")</f>
        <v>A&amp;M Imports</v>
      </c>
      <c r="D168" s="49" t="s">
        <v>100</v>
      </c>
      <c r="E168" s="4" t="str">
        <f>_xlfn.XLOOKUP(tblMovimientos[[#This Row],[Cuenta Bancaria]],Listas!$B:$B,Listas!$C:$C,"")</f>
        <v>Bank of America</v>
      </c>
      <c r="F168" s="49" t="s">
        <v>10</v>
      </c>
      <c r="G168" s="49" t="s">
        <v>61</v>
      </c>
      <c r="H168" s="4" t="str">
        <f>IFERROR(_xlfn.XLOOKUP(G168,Listas!E:E,Listas!F:F,""),"")</f>
        <v>Operativo</v>
      </c>
      <c r="I168" s="4" t="str">
        <f>IFERROR(_xlfn.XLOOKUP(G168,Listas!E:E,Listas!G:G,""),"")</f>
        <v>Externo</v>
      </c>
      <c r="J168" s="51">
        <v>100000</v>
      </c>
      <c r="K168" s="5">
        <f t="shared" si="2"/>
        <v>-100000</v>
      </c>
      <c r="L168" s="6" t="s">
        <v>93</v>
      </c>
      <c r="M168" s="52">
        <f>SUMIFS('Saldos Iniciales'!$D$2:$D$38,'Saldos Iniciales'!$A$2:$A$38,C168,'Saldos Iniciales'!$B$2:$B$38,D168)+SUMIFS($K$1:$K$1048575,$C$1:$C$1048575,C168,$D$1:$D$1048575,D168,$B$1:$B$1048575,"&lt;="&amp;B168)</f>
        <v>497076.20999999985</v>
      </c>
      <c r="N168" s="30" t="str">
        <f>IF(tblMovimientos[[#This Row],[Tipo de Movimiento]]="Ingreso",tblMovimientos[[#This Row],[Monto (S/)]],"0")</f>
        <v>0</v>
      </c>
      <c r="O168" s="30">
        <f>IF(tblMovimientos[[#This Row],[Tipo de Movimiento]]="Egreso",tblMovimientos[[#This Row],[Monto (S/)]],"0")</f>
        <v>100000</v>
      </c>
      <c r="P168" s="34">
        <f>IF(tblMovimientos[[#This Row],[Tipo de Movimiento]]="Ingreso",tblMovimientos[[#This Row],[Ingreso]],-tblMovimientos[[#This Row],[Egreso]])</f>
        <v>-100000</v>
      </c>
    </row>
    <row r="169" spans="2:16" hidden="1" x14ac:dyDescent="0.3">
      <c r="B169" s="47">
        <v>46163</v>
      </c>
      <c r="C169" s="4" t="str">
        <f>_xlfn.XLOOKUP(tblMovimientos[[#This Row],[Cuenta Bancaria]],Listas!$B:$B,Listas!$A:$A,"")</f>
        <v>A&amp;M Imports</v>
      </c>
      <c r="D169" s="49" t="s">
        <v>100</v>
      </c>
      <c r="E169" s="4" t="str">
        <f>_xlfn.XLOOKUP(tblMovimientos[[#This Row],[Cuenta Bancaria]],Listas!$B:$B,Listas!$C:$C,"")</f>
        <v>Bank of America</v>
      </c>
      <c r="F169" s="49" t="s">
        <v>10</v>
      </c>
      <c r="G169" s="49" t="s">
        <v>61</v>
      </c>
      <c r="H169" s="4" t="str">
        <f>IFERROR(_xlfn.XLOOKUP(G169,Listas!E:E,Listas!F:F,""),"")</f>
        <v>Operativo</v>
      </c>
      <c r="I169" s="4" t="str">
        <f>IFERROR(_xlfn.XLOOKUP(G169,Listas!E:E,Listas!G:G,""),"")</f>
        <v>Externo</v>
      </c>
      <c r="J169" s="51">
        <v>100000</v>
      </c>
      <c r="K169" s="5">
        <f t="shared" si="2"/>
        <v>-100000</v>
      </c>
      <c r="L169" s="6" t="s">
        <v>93</v>
      </c>
      <c r="M169" s="52">
        <f>SUMIFS('Saldos Iniciales'!$D$2:$D$38,'Saldos Iniciales'!$A$2:$A$38,C169,'Saldos Iniciales'!$B$2:$B$38,D169)+SUMIFS($K$1:$K$1048575,$C$1:$C$1048575,C169,$D$1:$D$1048575,D169,$B$1:$B$1048575,"&lt;="&amp;B169)</f>
        <v>497076.20999999985</v>
      </c>
      <c r="N169" s="30" t="str">
        <f>IF(tblMovimientos[[#This Row],[Tipo de Movimiento]]="Ingreso",tblMovimientos[[#This Row],[Monto (S/)]],"0")</f>
        <v>0</v>
      </c>
      <c r="O169" s="30">
        <f>IF(tblMovimientos[[#This Row],[Tipo de Movimiento]]="Egreso",tblMovimientos[[#This Row],[Monto (S/)]],"0")</f>
        <v>100000</v>
      </c>
      <c r="P169" s="34">
        <f>IF(tblMovimientos[[#This Row],[Tipo de Movimiento]]="Ingreso",tblMovimientos[[#This Row],[Ingreso]],-tblMovimientos[[#This Row],[Egreso]])</f>
        <v>-100000</v>
      </c>
    </row>
    <row r="170" spans="2:16" hidden="1" x14ac:dyDescent="0.3">
      <c r="B170" s="47">
        <v>46163</v>
      </c>
      <c r="C170" s="4" t="str">
        <f>_xlfn.XLOOKUP(tblMovimientos[[#This Row],[Cuenta Bancaria]],Listas!$B:$B,Listas!$A:$A,"")</f>
        <v>M1B</v>
      </c>
      <c r="D170" s="49" t="s">
        <v>97</v>
      </c>
      <c r="E170" s="4" t="str">
        <f>_xlfn.XLOOKUP(tblMovimientos[[#This Row],[Cuenta Bancaria]],Listas!$B:$B,Listas!$C:$C,"")</f>
        <v xml:space="preserve">Amerant Bank </v>
      </c>
      <c r="F170" s="49" t="s">
        <v>9</v>
      </c>
      <c r="G170" s="49" t="s">
        <v>87</v>
      </c>
      <c r="H170" s="4" t="str">
        <f>IFERROR(_xlfn.XLOOKUP(G170,Listas!E:E,Listas!F:F,""),"")</f>
        <v>Operativo</v>
      </c>
      <c r="I170" s="4" t="str">
        <f>IFERROR(_xlfn.XLOOKUP(G170,Listas!E:E,Listas!G:G,""),"")</f>
        <v>Externo</v>
      </c>
      <c r="J170" s="51">
        <v>600000</v>
      </c>
      <c r="K170" s="5">
        <f t="shared" si="2"/>
        <v>600000</v>
      </c>
      <c r="L170" s="6" t="s">
        <v>93</v>
      </c>
      <c r="M170" s="52">
        <f>SUMIFS('Saldos Iniciales'!$D$2:$D$38,'Saldos Iniciales'!$A$2:$A$38,C170,'Saldos Iniciales'!$B$2:$B$38,D170)+SUMIFS($K$1:$K$1048575,$C$1:$C$1048575,C170,$D$1:$D$1048575,D170,$B$1:$B$1048575,"&lt;="&amp;B170)</f>
        <v>654760.15999999992</v>
      </c>
      <c r="N170" s="30">
        <f>IF(tblMovimientos[[#This Row],[Tipo de Movimiento]]="Ingreso",tblMovimientos[[#This Row],[Monto (S/)]],"0")</f>
        <v>600000</v>
      </c>
      <c r="O170" s="30" t="str">
        <f>IF(tblMovimientos[[#This Row],[Tipo de Movimiento]]="Egreso",tblMovimientos[[#This Row],[Monto (S/)]],"0")</f>
        <v>0</v>
      </c>
      <c r="P170" s="34">
        <f>IF(tblMovimientos[[#This Row],[Tipo de Movimiento]]="Ingreso",tblMovimientos[[#This Row],[Ingreso]],-tblMovimientos[[#This Row],[Egreso]])</f>
        <v>600000</v>
      </c>
    </row>
    <row r="171" spans="2:16" hidden="1" x14ac:dyDescent="0.3">
      <c r="B171" s="47">
        <v>46163</v>
      </c>
      <c r="C171" s="4" t="str">
        <f>_xlfn.XLOOKUP(tblMovimientos[[#This Row],[Cuenta Bancaria]],Listas!$B:$B,Listas!$A:$A,"")</f>
        <v>Cross Security Trust</v>
      </c>
      <c r="D171" s="49" t="s">
        <v>112</v>
      </c>
      <c r="E171" s="4" t="str">
        <f>_xlfn.XLOOKUP(tblMovimientos[[#This Row],[Cuenta Bancaria]],Listas!$B:$B,Listas!$C:$C,"")</f>
        <v>Bank of America</v>
      </c>
      <c r="F171" s="49" t="s">
        <v>9</v>
      </c>
      <c r="H171" s="4">
        <f>IFERROR(_xlfn.XLOOKUP(G171,Listas!E:E,Listas!F:F,""),"")</f>
        <v>0</v>
      </c>
      <c r="I171" s="4">
        <f>IFERROR(_xlfn.XLOOKUP(G171,Listas!E:E,Listas!G:G,""),"")</f>
        <v>0</v>
      </c>
      <c r="J171" s="51">
        <v>75000</v>
      </c>
      <c r="K171" s="5">
        <f t="shared" si="2"/>
        <v>75000</v>
      </c>
      <c r="L171" s="6" t="s">
        <v>93</v>
      </c>
      <c r="M171" s="52">
        <f>SUMIFS('Saldos Iniciales'!$D$2:$D$38,'Saldos Iniciales'!$A$2:$A$38,C171,'Saldos Iniciales'!$B$2:$B$38,D171)+SUMIFS($K$1:$K$1048575,$C$1:$C$1048575,C171,$D$1:$D$1048575,D171,$B$1:$B$1048575,"&lt;="&amp;B171)</f>
        <v>88090.37</v>
      </c>
      <c r="N171" s="30">
        <f>IF(tblMovimientos[[#This Row],[Tipo de Movimiento]]="Ingreso",tblMovimientos[[#This Row],[Monto (S/)]],"0")</f>
        <v>75000</v>
      </c>
      <c r="O171" s="30" t="str">
        <f>IF(tblMovimientos[[#This Row],[Tipo de Movimiento]]="Egreso",tblMovimientos[[#This Row],[Monto (S/)]],"0")</f>
        <v>0</v>
      </c>
      <c r="P171" s="34">
        <f>IF(tblMovimientos[[#This Row],[Tipo de Movimiento]]="Ingreso",tblMovimientos[[#This Row],[Ingreso]],-tblMovimientos[[#This Row],[Egreso]])</f>
        <v>75000</v>
      </c>
    </row>
    <row r="172" spans="2:16" hidden="1" x14ac:dyDescent="0.3">
      <c r="B172" s="47">
        <v>46164</v>
      </c>
      <c r="C172" s="4" t="str">
        <f>_xlfn.XLOOKUP(tblMovimientos[[#This Row],[Cuenta Bancaria]],Listas!$B:$B,Listas!$A:$A,"")</f>
        <v>SSP Capital</v>
      </c>
      <c r="D172" s="49" t="s">
        <v>101</v>
      </c>
      <c r="E172" s="4" t="str">
        <f>_xlfn.XLOOKUP(tblMovimientos[[#This Row],[Cuenta Bancaria]],Listas!$B:$B,Listas!$C:$C,"")</f>
        <v>Bank of America</v>
      </c>
      <c r="F172" s="49" t="s">
        <v>10</v>
      </c>
      <c r="G172" s="49" t="s">
        <v>38</v>
      </c>
      <c r="H172" s="4" t="str">
        <f>IFERROR(_xlfn.XLOOKUP(G172,Listas!E:E,Listas!F:F,""),"")</f>
        <v>Operativo</v>
      </c>
      <c r="I172" s="4" t="str">
        <f>IFERROR(_xlfn.XLOOKUP(G172,Listas!E:E,Listas!G:G,""),"")</f>
        <v>Externo</v>
      </c>
      <c r="J172" s="51">
        <v>762.99</v>
      </c>
      <c r="K172" s="5">
        <f t="shared" si="2"/>
        <v>-762.99</v>
      </c>
      <c r="L172" s="6" t="s">
        <v>93</v>
      </c>
      <c r="M172" s="52">
        <f>SUMIFS('Saldos Iniciales'!$D$2:$D$38,'Saldos Iniciales'!$A$2:$A$38,C172,'Saldos Iniciales'!$B$2:$B$38,D172)+SUMIFS($K$1:$K$1048575,$C$1:$C$1048575,C172,$D$1:$D$1048575,D172,$B$1:$B$1048575,"&lt;="&amp;B172)</f>
        <v>11562.970000000001</v>
      </c>
      <c r="N172" s="30" t="str">
        <f>IF(tblMovimientos[[#This Row],[Tipo de Movimiento]]="Ingreso",tblMovimientos[[#This Row],[Monto (S/)]],"0")</f>
        <v>0</v>
      </c>
      <c r="O172" s="30">
        <f>IF(tblMovimientos[[#This Row],[Tipo de Movimiento]]="Egreso",tblMovimientos[[#This Row],[Monto (S/)]],"0")</f>
        <v>762.99</v>
      </c>
      <c r="P172" s="34">
        <f>IF(tblMovimientos[[#This Row],[Tipo de Movimiento]]="Ingreso",tblMovimientos[[#This Row],[Ingreso]],-tblMovimientos[[#This Row],[Egreso]])</f>
        <v>-762.99</v>
      </c>
    </row>
    <row r="173" spans="2:16" hidden="1" x14ac:dyDescent="0.3">
      <c r="B173" s="47">
        <v>46168</v>
      </c>
      <c r="C173" s="4" t="str">
        <f>_xlfn.XLOOKUP(tblMovimientos[[#This Row],[Cuenta Bancaria]],Listas!$B:$B,Listas!$A:$A,"")</f>
        <v>CFT Group</v>
      </c>
      <c r="D173" s="49" t="s">
        <v>94</v>
      </c>
      <c r="E173" s="4" t="str">
        <f>_xlfn.XLOOKUP(tblMovimientos[[#This Row],[Cuenta Bancaria]],Listas!$B:$B,Listas!$C:$C,"")</f>
        <v>Bank of America</v>
      </c>
      <c r="F173" s="49" t="s">
        <v>9</v>
      </c>
      <c r="G173" s="49" t="s">
        <v>68</v>
      </c>
      <c r="H173" s="4" t="str">
        <f>IFERROR(_xlfn.XLOOKUP(G173,Listas!E:E,Listas!F:F,""),"")</f>
        <v>Operativo</v>
      </c>
      <c r="I173" s="4" t="str">
        <f>IFERROR(_xlfn.XLOOKUP(G173,Listas!E:E,Listas!G:G,""),"")</f>
        <v>Externo</v>
      </c>
      <c r="J173" s="51">
        <v>110832.53</v>
      </c>
      <c r="K173" s="5">
        <f t="shared" si="2"/>
        <v>110832.53</v>
      </c>
      <c r="L173" s="6" t="s">
        <v>93</v>
      </c>
      <c r="M173" s="52">
        <f>SUMIFS('Saldos Iniciales'!$D$2:$D$38,'Saldos Iniciales'!$A$2:$A$38,C173,'Saldos Iniciales'!$B$2:$B$38,D173)+SUMIFS($K$1:$K$1048575,$C$1:$C$1048575,C173,$D$1:$D$1048575,D173,$B$1:$B$1048575,"&lt;="&amp;B173)</f>
        <v>122416.43999999997</v>
      </c>
      <c r="N173" s="30">
        <f>IF(tblMovimientos[[#This Row],[Tipo de Movimiento]]="Ingreso",tblMovimientos[[#This Row],[Monto (S/)]],"0")</f>
        <v>110832.53</v>
      </c>
      <c r="O173" s="30" t="str">
        <f>IF(tblMovimientos[[#This Row],[Tipo de Movimiento]]="Egreso",tblMovimientos[[#This Row],[Monto (S/)]],"0")</f>
        <v>0</v>
      </c>
      <c r="P173" s="34">
        <f>IF(tblMovimientos[[#This Row],[Tipo de Movimiento]]="Ingreso",tblMovimientos[[#This Row],[Ingreso]],-tblMovimientos[[#This Row],[Egreso]])</f>
        <v>110832.53</v>
      </c>
    </row>
    <row r="174" spans="2:16" hidden="1" x14ac:dyDescent="0.3">
      <c r="B174" s="47">
        <v>46168</v>
      </c>
      <c r="C174" s="4" t="str">
        <f>_xlfn.XLOOKUP(tblMovimientos[[#This Row],[Cuenta Bancaria]],Listas!$B:$B,Listas!$A:$A,"")</f>
        <v>M1B</v>
      </c>
      <c r="D174" s="49" t="s">
        <v>97</v>
      </c>
      <c r="E174" s="4" t="str">
        <f>_xlfn.XLOOKUP(tblMovimientos[[#This Row],[Cuenta Bancaria]],Listas!$B:$B,Listas!$C:$C,"")</f>
        <v xml:space="preserve">Amerant Bank </v>
      </c>
      <c r="F174" s="49" t="s">
        <v>9</v>
      </c>
      <c r="G174" s="49" t="s">
        <v>87</v>
      </c>
      <c r="H174" s="4" t="str">
        <f>IFERROR(_xlfn.XLOOKUP(G174,Listas!E:E,Listas!F:F,""),"")</f>
        <v>Operativo</v>
      </c>
      <c r="I174" s="4" t="str">
        <f>IFERROR(_xlfn.XLOOKUP(G174,Listas!E:E,Listas!G:G,""),"")</f>
        <v>Externo</v>
      </c>
      <c r="J174" s="51">
        <v>600000</v>
      </c>
      <c r="K174" s="5">
        <f t="shared" si="2"/>
        <v>600000</v>
      </c>
      <c r="L174" s="6" t="s">
        <v>93</v>
      </c>
      <c r="M174" s="52">
        <f>SUMIFS('Saldos Iniciales'!$D$2:$D$38,'Saldos Iniciales'!$A$2:$A$38,C174,'Saldos Iniciales'!$B$2:$B$38,D174)+SUMIFS($K$1:$K$1048575,$C$1:$C$1048575,C174,$D$1:$D$1048575,D174,$B$1:$B$1048575,"&lt;="&amp;B174)</f>
        <v>1254760.1600000001</v>
      </c>
      <c r="N174" s="30">
        <f>IF(tblMovimientos[[#This Row],[Tipo de Movimiento]]="Ingreso",tblMovimientos[[#This Row],[Monto (S/)]],"0")</f>
        <v>600000</v>
      </c>
      <c r="O174" s="30" t="str">
        <f>IF(tblMovimientos[[#This Row],[Tipo de Movimiento]]="Egreso",tblMovimientos[[#This Row],[Monto (S/)]],"0")</f>
        <v>0</v>
      </c>
      <c r="P174" s="34">
        <f>IF(tblMovimientos[[#This Row],[Tipo de Movimiento]]="Ingreso",tblMovimientos[[#This Row],[Ingreso]],-tblMovimientos[[#This Row],[Egreso]])</f>
        <v>600000</v>
      </c>
    </row>
    <row r="175" spans="2:16" hidden="1" x14ac:dyDescent="0.3">
      <c r="B175" s="47">
        <v>46169</v>
      </c>
      <c r="C175" s="4" t="str">
        <f>_xlfn.XLOOKUP(tblMovimientos[[#This Row],[Cuenta Bancaria]],Listas!$B:$B,Listas!$A:$A,"")</f>
        <v>A&amp;M Imports</v>
      </c>
      <c r="D175" s="49" t="s">
        <v>100</v>
      </c>
      <c r="E175" s="4" t="str">
        <f>_xlfn.XLOOKUP(tblMovimientos[[#This Row],[Cuenta Bancaria]],Listas!$B:$B,Listas!$C:$C,"")</f>
        <v>Bank of America</v>
      </c>
      <c r="F175" s="49" t="s">
        <v>9</v>
      </c>
      <c r="G175" s="49" t="s">
        <v>68</v>
      </c>
      <c r="H175" s="4" t="str">
        <f>IFERROR(_xlfn.XLOOKUP(G175,Listas!E:E,Listas!F:F,""),"")</f>
        <v>Operativo</v>
      </c>
      <c r="I175" s="4" t="str">
        <f>IFERROR(_xlfn.XLOOKUP(G175,Listas!E:E,Listas!G:G,""),"")</f>
        <v>Externo</v>
      </c>
      <c r="J175" s="51">
        <v>17540.53</v>
      </c>
      <c r="K175" s="5">
        <f t="shared" si="2"/>
        <v>17540.53</v>
      </c>
      <c r="L175" s="6" t="s">
        <v>93</v>
      </c>
      <c r="M175" s="52">
        <f>SUMIFS('Saldos Iniciales'!$D$2:$D$38,'Saldos Iniciales'!$A$2:$A$38,C175,'Saldos Iniciales'!$B$2:$B$38,D175)+SUMIFS($K$1:$K$1048575,$C$1:$C$1048575,C175,$D$1:$D$1048575,D175,$B$1:$B$1048575,"&lt;="&amp;B175)</f>
        <v>514616.73999999987</v>
      </c>
      <c r="N175" s="30">
        <f>IF(tblMovimientos[[#This Row],[Tipo de Movimiento]]="Ingreso",tblMovimientos[[#This Row],[Monto (S/)]],"0")</f>
        <v>17540.53</v>
      </c>
      <c r="O175" s="30" t="str">
        <f>IF(tblMovimientos[[#This Row],[Tipo de Movimiento]]="Egreso",tblMovimientos[[#This Row],[Monto (S/)]],"0")</f>
        <v>0</v>
      </c>
      <c r="P175" s="34">
        <f>IF(tblMovimientos[[#This Row],[Tipo de Movimiento]]="Ingreso",tblMovimientos[[#This Row],[Ingreso]],-tblMovimientos[[#This Row],[Egreso]])</f>
        <v>17540.53</v>
      </c>
    </row>
    <row r="176" spans="2:16" hidden="1" x14ac:dyDescent="0.3">
      <c r="B176" s="47">
        <v>46169</v>
      </c>
      <c r="C176" s="4" t="str">
        <f>_xlfn.XLOOKUP(tblMovimientos[[#This Row],[Cuenta Bancaria]],Listas!$B:$B,Listas!$A:$A,"")</f>
        <v>CFT Group</v>
      </c>
      <c r="D176" s="49" t="s">
        <v>94</v>
      </c>
      <c r="E176" s="4" t="str">
        <f>_xlfn.XLOOKUP(tblMovimientos[[#This Row],[Cuenta Bancaria]],Listas!$B:$B,Listas!$C:$C,"")</f>
        <v>Bank of America</v>
      </c>
      <c r="F176" s="49" t="s">
        <v>9</v>
      </c>
      <c r="G176" s="49" t="s">
        <v>68</v>
      </c>
      <c r="H176" s="4" t="str">
        <f>IFERROR(_xlfn.XLOOKUP(G176,Listas!E:E,Listas!F:F,""),"")</f>
        <v>Operativo</v>
      </c>
      <c r="I176" s="4" t="str">
        <f>IFERROR(_xlfn.XLOOKUP(G176,Listas!E:E,Listas!G:G,""),"")</f>
        <v>Externo</v>
      </c>
      <c r="J176" s="51">
        <v>6217.37</v>
      </c>
      <c r="K176" s="5">
        <f t="shared" si="2"/>
        <v>6217.37</v>
      </c>
      <c r="L176" s="6" t="s">
        <v>93</v>
      </c>
      <c r="M176" s="52">
        <f>SUMIFS('Saldos Iniciales'!$D$2:$D$38,'Saldos Iniciales'!$A$2:$A$38,C176,'Saldos Iniciales'!$B$2:$B$38,D176)+SUMIFS($K$1:$K$1048575,$C$1:$C$1048575,C176,$D$1:$D$1048575,D176,$B$1:$B$1048575,"&lt;="&amp;B176)</f>
        <v>128633.80999999997</v>
      </c>
      <c r="N176" s="30">
        <f>IF(tblMovimientos[[#This Row],[Tipo de Movimiento]]="Ingreso",tblMovimientos[[#This Row],[Monto (S/)]],"0")</f>
        <v>6217.37</v>
      </c>
      <c r="O176" s="30" t="str">
        <f>IF(tblMovimientos[[#This Row],[Tipo de Movimiento]]="Egreso",tblMovimientos[[#This Row],[Monto (S/)]],"0")</f>
        <v>0</v>
      </c>
      <c r="P176" s="34">
        <f>IF(tblMovimientos[[#This Row],[Tipo de Movimiento]]="Ingreso",tblMovimientos[[#This Row],[Ingreso]],-tblMovimientos[[#This Row],[Egreso]])</f>
        <v>6217.37</v>
      </c>
    </row>
    <row r="177" spans="2:16" hidden="1" x14ac:dyDescent="0.3">
      <c r="B177" s="47">
        <v>46169</v>
      </c>
      <c r="C177" s="4" t="str">
        <f>_xlfn.XLOOKUP(tblMovimientos[[#This Row],[Cuenta Bancaria]],Listas!$B:$B,Listas!$A:$A,"")</f>
        <v>3628 Thomas Ave</v>
      </c>
      <c r="D177" s="49" t="s">
        <v>124</v>
      </c>
      <c r="E177" s="4" t="str">
        <f>_xlfn.XLOOKUP(tblMovimientos[[#This Row],[Cuenta Bancaria]],Listas!$B:$B,Listas!$C:$C,"")</f>
        <v>Bank of America</v>
      </c>
      <c r="F177" s="49" t="s">
        <v>9</v>
      </c>
      <c r="G177" s="49" t="s">
        <v>81</v>
      </c>
      <c r="H177" s="4" t="str">
        <f>IFERROR(_xlfn.XLOOKUP(G177,Listas!E:E,Listas!F:F,""),"")</f>
        <v>Operativo</v>
      </c>
      <c r="I177" s="4" t="str">
        <f>IFERROR(_xlfn.XLOOKUP(G177,Listas!E:E,Listas!G:G,""),"")</f>
        <v>Externo</v>
      </c>
      <c r="J177" s="51">
        <v>4400</v>
      </c>
      <c r="K177" s="5">
        <f t="shared" si="2"/>
        <v>4400</v>
      </c>
      <c r="L177" s="6" t="s">
        <v>93</v>
      </c>
      <c r="M177" s="52">
        <f>SUMIFS('Saldos Iniciales'!$D$2:$D$38,'Saldos Iniciales'!$A$2:$A$38,C177,'Saldos Iniciales'!$B$2:$B$38,D177)+SUMIFS($K$1:$K$1048575,$C$1:$C$1048575,C177,$D$1:$D$1048575,D177,$B$1:$B$1048575,"&lt;="&amp;B177)</f>
        <v>33606.270000000004</v>
      </c>
      <c r="N177" s="30">
        <f>IF(tblMovimientos[[#This Row],[Tipo de Movimiento]]="Ingreso",tblMovimientos[[#This Row],[Monto (S/)]],"0")</f>
        <v>4400</v>
      </c>
      <c r="O177" s="30" t="str">
        <f>IF(tblMovimientos[[#This Row],[Tipo de Movimiento]]="Egreso",tblMovimientos[[#This Row],[Monto (S/)]],"0")</f>
        <v>0</v>
      </c>
      <c r="P177" s="34">
        <f>IF(tblMovimientos[[#This Row],[Tipo de Movimiento]]="Ingreso",tblMovimientos[[#This Row],[Ingreso]],-tblMovimientos[[#This Row],[Egreso]])</f>
        <v>4400</v>
      </c>
    </row>
    <row r="178" spans="2:16" hidden="1" x14ac:dyDescent="0.3">
      <c r="B178" s="47">
        <v>46169</v>
      </c>
      <c r="C178" s="4" t="str">
        <f>_xlfn.XLOOKUP(tblMovimientos[[#This Row],[Cuenta Bancaria]],Listas!$B:$B,Listas!$A:$A,"")</f>
        <v>Cross Family Trust</v>
      </c>
      <c r="D178" s="49" t="s">
        <v>111</v>
      </c>
      <c r="E178" s="4" t="str">
        <f>_xlfn.XLOOKUP(tblMovimientos[[#This Row],[Cuenta Bancaria]],Listas!$B:$B,Listas!$C:$C,"")</f>
        <v xml:space="preserve">Amerant Bank </v>
      </c>
      <c r="F178" s="49" t="s">
        <v>10</v>
      </c>
      <c r="G178" s="49" t="s">
        <v>53</v>
      </c>
      <c r="H178" s="4" t="str">
        <f>IFERROR(_xlfn.XLOOKUP(G178,Listas!E:E,Listas!F:F,""),"")</f>
        <v>Inversion</v>
      </c>
      <c r="I178" s="4" t="str">
        <f>IFERROR(_xlfn.XLOOKUP(G178,Listas!E:E,Listas!G:G,""),"")</f>
        <v>Interno</v>
      </c>
      <c r="J178" s="51">
        <v>10000</v>
      </c>
      <c r="K178" s="5">
        <f t="shared" si="2"/>
        <v>-10000</v>
      </c>
      <c r="L178" s="6" t="s">
        <v>93</v>
      </c>
      <c r="M178" s="52">
        <f>SUMIFS('Saldos Iniciales'!$D$2:$D$38,'Saldos Iniciales'!$A$2:$A$38,C178,'Saldos Iniciales'!$B$2:$B$38,D178)+SUMIFS($K$1:$K$1048575,$C$1:$C$1048575,C178,$D$1:$D$1048575,D178,$B$1:$B$1048575,"&lt;="&amp;B178)</f>
        <v>10717.600000000006</v>
      </c>
      <c r="N178" s="30" t="str">
        <f>IF(tblMovimientos[[#This Row],[Tipo de Movimiento]]="Ingreso",tblMovimientos[[#This Row],[Monto (S/)]],"0")</f>
        <v>0</v>
      </c>
      <c r="O178" s="30">
        <f>IF(tblMovimientos[[#This Row],[Tipo de Movimiento]]="Egreso",tblMovimientos[[#This Row],[Monto (S/)]],"0")</f>
        <v>10000</v>
      </c>
      <c r="P178" s="34">
        <f>IF(tblMovimientos[[#This Row],[Tipo de Movimiento]]="Ingreso",tblMovimientos[[#This Row],[Ingreso]],-tblMovimientos[[#This Row],[Egreso]])</f>
        <v>-10000</v>
      </c>
    </row>
    <row r="179" spans="2:16" hidden="1" x14ac:dyDescent="0.3">
      <c r="B179" s="47">
        <v>46169</v>
      </c>
      <c r="C179" s="4" t="str">
        <f>_xlfn.XLOOKUP(tblMovimientos[[#This Row],[Cuenta Bancaria]],Listas!$B:$B,Listas!$A:$A,"")</f>
        <v>Green Harbor Trust</v>
      </c>
      <c r="D179" s="49" t="s">
        <v>125</v>
      </c>
      <c r="E179" s="4" t="str">
        <f>_xlfn.XLOOKUP(tblMovimientos[[#This Row],[Cuenta Bancaria]],Listas!$B:$B,Listas!$C:$C,"")</f>
        <v xml:space="preserve">Amerant Bank </v>
      </c>
      <c r="F179" s="49" t="s">
        <v>9</v>
      </c>
      <c r="G179" s="49" t="s">
        <v>77</v>
      </c>
      <c r="H179" s="4" t="str">
        <f>IFERROR(_xlfn.XLOOKUP(G179,Listas!E:E,Listas!F:F,""),"")</f>
        <v>Inversion</v>
      </c>
      <c r="I179" s="4" t="str">
        <f>IFERROR(_xlfn.XLOOKUP(G179,Listas!E:E,Listas!G:G,""),"")</f>
        <v>Interno</v>
      </c>
      <c r="J179" s="51">
        <v>10000</v>
      </c>
      <c r="K179" s="5">
        <f t="shared" si="2"/>
        <v>10000</v>
      </c>
      <c r="L179" s="6" t="s">
        <v>93</v>
      </c>
      <c r="M179" s="52">
        <f>SUMIFS('Saldos Iniciales'!$D$2:$D$38,'Saldos Iniciales'!$A$2:$A$38,C179,'Saldos Iniciales'!$B$2:$B$38,D179)+SUMIFS($K$1:$K$1048575,$C$1:$C$1048575,C179,$D$1:$D$1048575,D179,$B$1:$B$1048575,"&lt;="&amp;B179)</f>
        <v>345</v>
      </c>
      <c r="N179" s="30">
        <f>IF(tblMovimientos[[#This Row],[Tipo de Movimiento]]="Ingreso",tblMovimientos[[#This Row],[Monto (S/)]],"0")</f>
        <v>10000</v>
      </c>
      <c r="O179" s="30" t="str">
        <f>IF(tblMovimientos[[#This Row],[Tipo de Movimiento]]="Egreso",tblMovimientos[[#This Row],[Monto (S/)]],"0")</f>
        <v>0</v>
      </c>
      <c r="P179" s="34">
        <f>IF(tblMovimientos[[#This Row],[Tipo de Movimiento]]="Ingreso",tblMovimientos[[#This Row],[Ingreso]],-tblMovimientos[[#This Row],[Egreso]])</f>
        <v>10000</v>
      </c>
    </row>
    <row r="180" spans="2:16" hidden="1" x14ac:dyDescent="0.3">
      <c r="B180" s="47">
        <v>46169</v>
      </c>
      <c r="C180" s="4" t="str">
        <f>_xlfn.XLOOKUP(tblMovimientos[[#This Row],[Cuenta Bancaria]],Listas!$B:$B,Listas!$A:$A,"")</f>
        <v>Green Harbor Trust</v>
      </c>
      <c r="D180" s="49" t="s">
        <v>125</v>
      </c>
      <c r="E180" s="4" t="str">
        <f>_xlfn.XLOOKUP(tblMovimientos[[#This Row],[Cuenta Bancaria]],Listas!$B:$B,Listas!$C:$C,"")</f>
        <v xml:space="preserve">Amerant Bank </v>
      </c>
      <c r="F180" s="49" t="s">
        <v>10</v>
      </c>
      <c r="G180" s="49" t="s">
        <v>53</v>
      </c>
      <c r="H180" s="4" t="str">
        <f>IFERROR(_xlfn.XLOOKUP(G180,Listas!E:E,Listas!F:F,""),"")</f>
        <v>Inversion</v>
      </c>
      <c r="I180" s="4" t="str">
        <f>IFERROR(_xlfn.XLOOKUP(G180,Listas!E:E,Listas!G:G,""),"")</f>
        <v>Interno</v>
      </c>
      <c r="J180" s="51">
        <v>10000</v>
      </c>
      <c r="K180" s="5">
        <f t="shared" si="2"/>
        <v>-10000</v>
      </c>
      <c r="L180" s="6" t="s">
        <v>93</v>
      </c>
      <c r="M180" s="52">
        <f>SUMIFS('Saldos Iniciales'!$D$2:$D$38,'Saldos Iniciales'!$A$2:$A$38,C180,'Saldos Iniciales'!$B$2:$B$38,D180)+SUMIFS($K$1:$K$1048575,$C$1:$C$1048575,C180,$D$1:$D$1048575,D180,$B$1:$B$1048575,"&lt;="&amp;B180)</f>
        <v>345</v>
      </c>
      <c r="N180" s="30" t="str">
        <f>IF(tblMovimientos[[#This Row],[Tipo de Movimiento]]="Ingreso",tblMovimientos[[#This Row],[Monto (S/)]],"0")</f>
        <v>0</v>
      </c>
      <c r="O180" s="30">
        <f>IF(tblMovimientos[[#This Row],[Tipo de Movimiento]]="Egreso",tblMovimientos[[#This Row],[Monto (S/)]],"0")</f>
        <v>10000</v>
      </c>
      <c r="P180" s="34">
        <f>IF(tblMovimientos[[#This Row],[Tipo de Movimiento]]="Ingreso",tblMovimientos[[#This Row],[Ingreso]],-tblMovimientos[[#This Row],[Egreso]])</f>
        <v>-10000</v>
      </c>
    </row>
    <row r="181" spans="2:16" hidden="1" x14ac:dyDescent="0.3">
      <c r="B181" s="47">
        <v>46169</v>
      </c>
      <c r="C181" s="4" t="str">
        <f>_xlfn.XLOOKUP(tblMovimientos[[#This Row],[Cuenta Bancaria]],Listas!$B:$B,Listas!$A:$A,"")</f>
        <v>Go Blue</v>
      </c>
      <c r="D181" s="49" t="s">
        <v>126</v>
      </c>
      <c r="E181" s="4" t="str">
        <f>_xlfn.XLOOKUP(tblMovimientos[[#This Row],[Cuenta Bancaria]],Listas!$B:$B,Listas!$C:$C,"")</f>
        <v xml:space="preserve">Amerant Bank </v>
      </c>
      <c r="F181" s="49" t="s">
        <v>10</v>
      </c>
      <c r="G181" s="49" t="s">
        <v>38</v>
      </c>
      <c r="H181" s="4" t="str">
        <f>IFERROR(_xlfn.XLOOKUP(G181,Listas!E:E,Listas!F:F,""),"")</f>
        <v>Operativo</v>
      </c>
      <c r="I181" s="4" t="str">
        <f>IFERROR(_xlfn.XLOOKUP(G181,Listas!E:E,Listas!G:G,""),"")</f>
        <v>Externo</v>
      </c>
      <c r="J181" s="51">
        <v>51.35</v>
      </c>
      <c r="K181" s="5">
        <f t="shared" si="2"/>
        <v>-51.35</v>
      </c>
      <c r="L181" s="6" t="s">
        <v>93</v>
      </c>
      <c r="M181" s="52">
        <f>SUMIFS('Saldos Iniciales'!$D$2:$D$38,'Saldos Iniciales'!$A$2:$A$38,C181,'Saldos Iniciales'!$B$2:$B$38,D181)+SUMIFS($K$1:$K$1048575,$C$1:$C$1048575,C181,$D$1:$D$1048575,D181,$B$1:$B$1048575,"&lt;="&amp;B181)</f>
        <v>17588.03</v>
      </c>
      <c r="N181" s="30" t="str">
        <f>IF(tblMovimientos[[#This Row],[Tipo de Movimiento]]="Ingreso",tblMovimientos[[#This Row],[Monto (S/)]],"0")</f>
        <v>0</v>
      </c>
      <c r="O181" s="30">
        <f>IF(tblMovimientos[[#This Row],[Tipo de Movimiento]]="Egreso",tblMovimientos[[#This Row],[Monto (S/)]],"0")</f>
        <v>51.35</v>
      </c>
      <c r="P181" s="34">
        <f>IF(tblMovimientos[[#This Row],[Tipo de Movimiento]]="Ingreso",tblMovimientos[[#This Row],[Ingreso]],-tblMovimientos[[#This Row],[Egreso]])</f>
        <v>-51.35</v>
      </c>
    </row>
    <row r="182" spans="2:16" hidden="1" x14ac:dyDescent="0.3">
      <c r="B182" s="47">
        <v>46169</v>
      </c>
      <c r="C182" s="4" t="str">
        <f>_xlfn.XLOOKUP(tblMovimientos[[#This Row],[Cuenta Bancaria]],Listas!$B:$B,Listas!$A:$A,"")</f>
        <v>Go Blue</v>
      </c>
      <c r="D182" s="49" t="s">
        <v>126</v>
      </c>
      <c r="E182" s="4" t="str">
        <f>_xlfn.XLOOKUP(tblMovimientos[[#This Row],[Cuenta Bancaria]],Listas!$B:$B,Listas!$C:$C,"")</f>
        <v xml:space="preserve">Amerant Bank </v>
      </c>
      <c r="F182" s="49" t="s">
        <v>10</v>
      </c>
      <c r="G182" s="49" t="s">
        <v>38</v>
      </c>
      <c r="H182" s="4" t="str">
        <f>IFERROR(_xlfn.XLOOKUP(G182,Listas!E:E,Listas!F:F,""),"")</f>
        <v>Operativo</v>
      </c>
      <c r="I182" s="4" t="str">
        <f>IFERROR(_xlfn.XLOOKUP(G182,Listas!E:E,Listas!G:G,""),"")</f>
        <v>Externo</v>
      </c>
      <c r="J182" s="51">
        <v>528.69000000000005</v>
      </c>
      <c r="K182" s="5">
        <f t="shared" si="2"/>
        <v>-528.69000000000005</v>
      </c>
      <c r="L182" s="6" t="s">
        <v>93</v>
      </c>
      <c r="M182" s="52">
        <f>SUMIFS('Saldos Iniciales'!$D$2:$D$38,'Saldos Iniciales'!$A$2:$A$38,C182,'Saldos Iniciales'!$B$2:$B$38,D182)+SUMIFS($K$1:$K$1048575,$C$1:$C$1048575,C182,$D$1:$D$1048575,D182,$B$1:$B$1048575,"&lt;="&amp;B182)</f>
        <v>17588.03</v>
      </c>
      <c r="N182" s="30" t="str">
        <f>IF(tblMovimientos[[#This Row],[Tipo de Movimiento]]="Ingreso",tblMovimientos[[#This Row],[Monto (S/)]],"0")</f>
        <v>0</v>
      </c>
      <c r="O182" s="30">
        <f>IF(tblMovimientos[[#This Row],[Tipo de Movimiento]]="Egreso",tblMovimientos[[#This Row],[Monto (S/)]],"0")</f>
        <v>528.69000000000005</v>
      </c>
      <c r="P182" s="34">
        <f>IF(tblMovimientos[[#This Row],[Tipo de Movimiento]]="Ingreso",tblMovimientos[[#This Row],[Ingreso]],-tblMovimientos[[#This Row],[Egreso]])</f>
        <v>-528.69000000000005</v>
      </c>
    </row>
    <row r="183" spans="2:16" hidden="1" x14ac:dyDescent="0.3">
      <c r="B183" s="47">
        <v>46169</v>
      </c>
      <c r="C183" s="4" t="str">
        <f>_xlfn.XLOOKUP(tblMovimientos[[#This Row],[Cuenta Bancaria]],Listas!$B:$B,Listas!$A:$A,"")</f>
        <v>Go Blue</v>
      </c>
      <c r="D183" s="49" t="s">
        <v>126</v>
      </c>
      <c r="E183" s="4" t="str">
        <f>_xlfn.XLOOKUP(tblMovimientos[[#This Row],[Cuenta Bancaria]],Listas!$B:$B,Listas!$C:$C,"")</f>
        <v xml:space="preserve">Amerant Bank </v>
      </c>
      <c r="F183" s="49" t="s">
        <v>9</v>
      </c>
      <c r="G183" s="49" t="s">
        <v>77</v>
      </c>
      <c r="H183" s="4" t="str">
        <f>IFERROR(_xlfn.XLOOKUP(G183,Listas!E:E,Listas!F:F,""),"")</f>
        <v>Inversion</v>
      </c>
      <c r="I183" s="4" t="str">
        <f>IFERROR(_xlfn.XLOOKUP(G183,Listas!E:E,Listas!G:G,""),"")</f>
        <v>Interno</v>
      </c>
      <c r="J183" s="51">
        <v>10000</v>
      </c>
      <c r="K183" s="5">
        <f t="shared" si="2"/>
        <v>10000</v>
      </c>
      <c r="L183" s="6" t="s">
        <v>93</v>
      </c>
      <c r="M183" s="52">
        <f>SUMIFS('Saldos Iniciales'!$D$2:$D$38,'Saldos Iniciales'!$A$2:$A$38,C183,'Saldos Iniciales'!$B$2:$B$38,D183)+SUMIFS($K$1:$K$1048575,$C$1:$C$1048575,C183,$D$1:$D$1048575,D183,$B$1:$B$1048575,"&lt;="&amp;B183)</f>
        <v>17588.03</v>
      </c>
      <c r="N183" s="30">
        <f>IF(tblMovimientos[[#This Row],[Tipo de Movimiento]]="Ingreso",tblMovimientos[[#This Row],[Monto (S/)]],"0")</f>
        <v>10000</v>
      </c>
      <c r="O183" s="30" t="str">
        <f>IF(tblMovimientos[[#This Row],[Tipo de Movimiento]]="Egreso",tblMovimientos[[#This Row],[Monto (S/)]],"0")</f>
        <v>0</v>
      </c>
      <c r="P183" s="34">
        <f>IF(tblMovimientos[[#This Row],[Tipo de Movimiento]]="Ingreso",tblMovimientos[[#This Row],[Ingreso]],-tblMovimientos[[#This Row],[Egreso]])</f>
        <v>10000</v>
      </c>
    </row>
    <row r="184" spans="2:16" hidden="1" x14ac:dyDescent="0.3">
      <c r="B184" s="47">
        <v>46170</v>
      </c>
      <c r="C184" s="4" t="str">
        <f>_xlfn.XLOOKUP(tblMovimientos[[#This Row],[Cuenta Bancaria]],Listas!$B:$B,Listas!$A:$A,"")</f>
        <v>SSP Capital</v>
      </c>
      <c r="D184" s="49" t="s">
        <v>101</v>
      </c>
      <c r="E184" s="4" t="str">
        <f>_xlfn.XLOOKUP(tblMovimientos[[#This Row],[Cuenta Bancaria]],Listas!$B:$B,Listas!$C:$C,"")</f>
        <v>Bank of America</v>
      </c>
      <c r="F184" s="49" t="s">
        <v>10</v>
      </c>
      <c r="G184" s="49" t="s">
        <v>38</v>
      </c>
      <c r="H184" s="4" t="str">
        <f>IFERROR(_xlfn.XLOOKUP(G184,Listas!E:E,Listas!F:F,""),"")</f>
        <v>Operativo</v>
      </c>
      <c r="I184" s="4" t="str">
        <f>IFERROR(_xlfn.XLOOKUP(G184,Listas!E:E,Listas!G:G,""),"")</f>
        <v>Externo</v>
      </c>
      <c r="J184" s="51">
        <v>526.75</v>
      </c>
      <c r="K184" s="5">
        <f t="shared" si="2"/>
        <v>-526.75</v>
      </c>
      <c r="L184" s="6" t="s">
        <v>93</v>
      </c>
      <c r="M184" s="52">
        <f>SUMIFS('Saldos Iniciales'!$D$2:$D$38,'Saldos Iniciales'!$A$2:$A$38,C184,'Saldos Iniciales'!$B$2:$B$38,D184)+SUMIFS($K$1:$K$1048575,$C$1:$C$1048575,C184,$D$1:$D$1048575,D184,$B$1:$B$1048575,"&lt;="&amp;B184)</f>
        <v>11036.220000000001</v>
      </c>
      <c r="N184" s="30" t="str">
        <f>IF(tblMovimientos[[#This Row],[Tipo de Movimiento]]="Ingreso",tblMovimientos[[#This Row],[Monto (S/)]],"0")</f>
        <v>0</v>
      </c>
      <c r="O184" s="30">
        <f>IF(tblMovimientos[[#This Row],[Tipo de Movimiento]]="Egreso",tblMovimientos[[#This Row],[Monto (S/)]],"0")</f>
        <v>526.75</v>
      </c>
      <c r="P184" s="34">
        <f>IF(tblMovimientos[[#This Row],[Tipo de Movimiento]]="Ingreso",tblMovimientos[[#This Row],[Ingreso]],-tblMovimientos[[#This Row],[Egreso]])</f>
        <v>-526.75</v>
      </c>
    </row>
    <row r="185" spans="2:16" hidden="1" x14ac:dyDescent="0.3">
      <c r="B185" s="47">
        <v>46170</v>
      </c>
      <c r="C185" s="4" t="str">
        <f>_xlfn.XLOOKUP(tblMovimientos[[#This Row],[Cuenta Bancaria]],Listas!$B:$B,Listas!$A:$A,"")</f>
        <v>A&amp;M Imports</v>
      </c>
      <c r="D185" s="49" t="s">
        <v>100</v>
      </c>
      <c r="E185" s="4" t="str">
        <f>_xlfn.XLOOKUP(tblMovimientos[[#This Row],[Cuenta Bancaria]],Listas!$B:$B,Listas!$C:$C,"")</f>
        <v>Bank of America</v>
      </c>
      <c r="F185" s="49" t="s">
        <v>9</v>
      </c>
      <c r="G185" s="49" t="s">
        <v>68</v>
      </c>
      <c r="H185" s="4" t="str">
        <f>IFERROR(_xlfn.XLOOKUP(G185,Listas!E:E,Listas!F:F,""),"")</f>
        <v>Operativo</v>
      </c>
      <c r="I185" s="4" t="str">
        <f>IFERROR(_xlfn.XLOOKUP(G185,Listas!E:E,Listas!G:G,""),"")</f>
        <v>Externo</v>
      </c>
      <c r="J185" s="51">
        <v>21979.11</v>
      </c>
      <c r="K185" s="5">
        <f t="shared" si="2"/>
        <v>21979.11</v>
      </c>
      <c r="L185" s="6" t="s">
        <v>93</v>
      </c>
      <c r="M185" s="52">
        <f>SUMIFS('Saldos Iniciales'!$D$2:$D$38,'Saldos Iniciales'!$A$2:$A$38,C185,'Saldos Iniciales'!$B$2:$B$38,D185)+SUMIFS($K$1:$K$1048575,$C$1:$C$1048575,C185,$D$1:$D$1048575,D185,$B$1:$B$1048575,"&lt;="&amp;B185)</f>
        <v>376595.84999999986</v>
      </c>
      <c r="N185" s="30">
        <f>IF(tblMovimientos[[#This Row],[Tipo de Movimiento]]="Ingreso",tblMovimientos[[#This Row],[Monto (S/)]],"0")</f>
        <v>21979.11</v>
      </c>
      <c r="O185" s="30" t="str">
        <f>IF(tblMovimientos[[#This Row],[Tipo de Movimiento]]="Egreso",tblMovimientos[[#This Row],[Monto (S/)]],"0")</f>
        <v>0</v>
      </c>
      <c r="P185" s="34">
        <f>IF(tblMovimientos[[#This Row],[Tipo de Movimiento]]="Ingreso",tblMovimientos[[#This Row],[Ingreso]],-tblMovimientos[[#This Row],[Egreso]])</f>
        <v>21979.11</v>
      </c>
    </row>
    <row r="186" spans="2:16" hidden="1" x14ac:dyDescent="0.3">
      <c r="B186" s="47">
        <v>46170</v>
      </c>
      <c r="C186" s="4" t="str">
        <f>_xlfn.XLOOKUP(tblMovimientos[[#This Row],[Cuenta Bancaria]],Listas!$B:$B,Listas!$A:$A,"")</f>
        <v>A&amp;M Imports</v>
      </c>
      <c r="D186" s="49" t="s">
        <v>100</v>
      </c>
      <c r="E186" s="4" t="str">
        <f>_xlfn.XLOOKUP(tblMovimientos[[#This Row],[Cuenta Bancaria]],Listas!$B:$B,Listas!$C:$C,"")</f>
        <v>Bank of America</v>
      </c>
      <c r="F186" s="49" t="s">
        <v>10</v>
      </c>
      <c r="G186" s="49" t="s">
        <v>61</v>
      </c>
      <c r="H186" s="4" t="str">
        <f>IFERROR(_xlfn.XLOOKUP(G186,Listas!E:E,Listas!F:F,""),"")</f>
        <v>Operativo</v>
      </c>
      <c r="I186" s="4" t="str">
        <f>IFERROR(_xlfn.XLOOKUP(G186,Listas!E:E,Listas!G:G,""),"")</f>
        <v>Externo</v>
      </c>
      <c r="J186" s="51">
        <v>60000</v>
      </c>
      <c r="K186" s="5">
        <f t="shared" si="2"/>
        <v>-60000</v>
      </c>
      <c r="L186" s="6" t="s">
        <v>93</v>
      </c>
      <c r="M186" s="52">
        <f>SUMIFS('Saldos Iniciales'!$D$2:$D$38,'Saldos Iniciales'!$A$2:$A$38,C186,'Saldos Iniciales'!$B$2:$B$38,D186)+SUMIFS($K$1:$K$1048575,$C$1:$C$1048575,C186,$D$1:$D$1048575,D186,$B$1:$B$1048575,"&lt;="&amp;B186)</f>
        <v>376595.84999999986</v>
      </c>
      <c r="N186" s="30" t="str">
        <f>IF(tblMovimientos[[#This Row],[Tipo de Movimiento]]="Ingreso",tblMovimientos[[#This Row],[Monto (S/)]],"0")</f>
        <v>0</v>
      </c>
      <c r="O186" s="30">
        <f>IF(tblMovimientos[[#This Row],[Tipo de Movimiento]]="Egreso",tblMovimientos[[#This Row],[Monto (S/)]],"0")</f>
        <v>60000</v>
      </c>
      <c r="P186" s="34">
        <f>IF(tblMovimientos[[#This Row],[Tipo de Movimiento]]="Ingreso",tblMovimientos[[#This Row],[Ingreso]],-tblMovimientos[[#This Row],[Egreso]])</f>
        <v>-60000</v>
      </c>
    </row>
    <row r="187" spans="2:16" hidden="1" x14ac:dyDescent="0.3">
      <c r="B187" s="47">
        <v>46170</v>
      </c>
      <c r="C187" s="4" t="str">
        <f>_xlfn.XLOOKUP(tblMovimientos[[#This Row],[Cuenta Bancaria]],Listas!$B:$B,Listas!$A:$A,"")</f>
        <v>A&amp;M Imports</v>
      </c>
      <c r="D187" s="49" t="s">
        <v>100</v>
      </c>
      <c r="E187" s="4" t="str">
        <f>_xlfn.XLOOKUP(tblMovimientos[[#This Row],[Cuenta Bancaria]],Listas!$B:$B,Listas!$C:$C,"")</f>
        <v>Bank of America</v>
      </c>
      <c r="F187" s="49" t="s">
        <v>10</v>
      </c>
      <c r="G187" s="49" t="s">
        <v>61</v>
      </c>
      <c r="H187" s="4" t="str">
        <f>IFERROR(_xlfn.XLOOKUP(G187,Listas!E:E,Listas!F:F,""),"")</f>
        <v>Operativo</v>
      </c>
      <c r="I187" s="4" t="str">
        <f>IFERROR(_xlfn.XLOOKUP(G187,Listas!E:E,Listas!G:G,""),"")</f>
        <v>Externo</v>
      </c>
      <c r="J187" s="51">
        <v>100000</v>
      </c>
      <c r="K187" s="5">
        <f t="shared" si="2"/>
        <v>-100000</v>
      </c>
      <c r="L187" s="6" t="s">
        <v>93</v>
      </c>
      <c r="M187" s="52">
        <f>SUMIFS('Saldos Iniciales'!$D$2:$D$38,'Saldos Iniciales'!$A$2:$A$38,C187,'Saldos Iniciales'!$B$2:$B$38,D187)+SUMIFS($K$1:$K$1048575,$C$1:$C$1048575,C187,$D$1:$D$1048575,D187,$B$1:$B$1048575,"&lt;="&amp;B187)</f>
        <v>376595.84999999986</v>
      </c>
      <c r="N187" s="30" t="str">
        <f>IF(tblMovimientos[[#This Row],[Tipo de Movimiento]]="Ingreso",tblMovimientos[[#This Row],[Monto (S/)]],"0")</f>
        <v>0</v>
      </c>
      <c r="O187" s="30">
        <f>IF(tblMovimientos[[#This Row],[Tipo de Movimiento]]="Egreso",tblMovimientos[[#This Row],[Monto (S/)]],"0")</f>
        <v>100000</v>
      </c>
      <c r="P187" s="34">
        <f>IF(tblMovimientos[[#This Row],[Tipo de Movimiento]]="Ingreso",tblMovimientos[[#This Row],[Ingreso]],-tblMovimientos[[#This Row],[Egreso]])</f>
        <v>-100000</v>
      </c>
    </row>
    <row r="188" spans="2:16" hidden="1" x14ac:dyDescent="0.3">
      <c r="B188" s="47">
        <v>46170</v>
      </c>
      <c r="C188" s="4" t="str">
        <f>_xlfn.XLOOKUP(tblMovimientos[[#This Row],[Cuenta Bancaria]],Listas!$B:$B,Listas!$A:$A,"")</f>
        <v>CFT Group</v>
      </c>
      <c r="D188" s="49" t="s">
        <v>94</v>
      </c>
      <c r="E188" s="4" t="str">
        <f>_xlfn.XLOOKUP(tblMovimientos[[#This Row],[Cuenta Bancaria]],Listas!$B:$B,Listas!$C:$C,"")</f>
        <v>Bank of America</v>
      </c>
      <c r="F188" s="49" t="s">
        <v>9</v>
      </c>
      <c r="G188" s="49" t="s">
        <v>68</v>
      </c>
      <c r="H188" s="4" t="str">
        <f>IFERROR(_xlfn.XLOOKUP(G188,Listas!E:E,Listas!F:F,""),"")</f>
        <v>Operativo</v>
      </c>
      <c r="I188" s="4" t="str">
        <f>IFERROR(_xlfn.XLOOKUP(G188,Listas!E:E,Listas!G:G,""),"")</f>
        <v>Externo</v>
      </c>
      <c r="J188" s="51">
        <v>68444.820000000007</v>
      </c>
      <c r="K188" s="5">
        <f t="shared" si="2"/>
        <v>68444.820000000007</v>
      </c>
      <c r="L188" s="6" t="s">
        <v>93</v>
      </c>
      <c r="M188" s="52">
        <f>SUMIFS('Saldos Iniciales'!$D$2:$D$38,'Saldos Iniciales'!$A$2:$A$38,C188,'Saldos Iniciales'!$B$2:$B$38,D188)+SUMIFS($K$1:$K$1048575,$C$1:$C$1048575,C188,$D$1:$D$1048575,D188,$B$1:$B$1048575,"&lt;="&amp;B188)</f>
        <v>197078.62999999998</v>
      </c>
      <c r="N188" s="30">
        <f>IF(tblMovimientos[[#This Row],[Tipo de Movimiento]]="Ingreso",tblMovimientos[[#This Row],[Monto (S/)]],"0")</f>
        <v>68444.820000000007</v>
      </c>
      <c r="O188" s="30" t="str">
        <f>IF(tblMovimientos[[#This Row],[Tipo de Movimiento]]="Egreso",tblMovimientos[[#This Row],[Monto (S/)]],"0")</f>
        <v>0</v>
      </c>
      <c r="P188" s="34">
        <f>IF(tblMovimientos[[#This Row],[Tipo de Movimiento]]="Ingreso",tblMovimientos[[#This Row],[Ingreso]],-tblMovimientos[[#This Row],[Egreso]])</f>
        <v>68444.820000000007</v>
      </c>
    </row>
    <row r="189" spans="2:16" hidden="1" x14ac:dyDescent="0.3">
      <c r="B189" s="47">
        <v>46170</v>
      </c>
      <c r="C189" s="4" t="str">
        <f>_xlfn.XLOOKUP(tblMovimientos[[#This Row],[Cuenta Bancaria]],Listas!$B:$B,Listas!$A:$A,"")</f>
        <v>2515 Overbrook</v>
      </c>
      <c r="D189" s="49" t="s">
        <v>121</v>
      </c>
      <c r="E189" s="4" t="str">
        <f>_xlfn.XLOOKUP(tblMovimientos[[#This Row],[Cuenta Bancaria]],Listas!$B:$B,Listas!$C:$C,"")</f>
        <v>Bank of America</v>
      </c>
      <c r="F189" s="49" t="s">
        <v>9</v>
      </c>
      <c r="G189" s="49" t="s">
        <v>71</v>
      </c>
      <c r="H189" s="4" t="str">
        <f>IFERROR(_xlfn.XLOOKUP(G189,Listas!E:E,Listas!F:F,""),"")</f>
        <v>Operativo</v>
      </c>
      <c r="I189" s="4" t="str">
        <f>IFERROR(_xlfn.XLOOKUP(G189,Listas!E:E,Listas!G:G,""),"")</f>
        <v>Interno</v>
      </c>
      <c r="J189" s="51">
        <v>20000</v>
      </c>
      <c r="K189" s="5">
        <f t="shared" si="2"/>
        <v>20000</v>
      </c>
      <c r="L189" s="6" t="s">
        <v>93</v>
      </c>
      <c r="M189" s="52">
        <f>SUMIFS('Saldos Iniciales'!$D$2:$D$38,'Saldos Iniciales'!$A$2:$A$38,C189,'Saldos Iniciales'!$B$2:$B$38,D189)+SUMIFS($K$1:$K$1048575,$C$1:$C$1048575,C189,$D$1:$D$1048575,D189,$B$1:$B$1048575,"&lt;="&amp;B189)</f>
        <v>35123.179999999964</v>
      </c>
      <c r="N189" s="30">
        <f>IF(tblMovimientos[[#This Row],[Tipo de Movimiento]]="Ingreso",tblMovimientos[[#This Row],[Monto (S/)]],"0")</f>
        <v>20000</v>
      </c>
      <c r="O189" s="30" t="str">
        <f>IF(tblMovimientos[[#This Row],[Tipo de Movimiento]]="Egreso",tblMovimientos[[#This Row],[Monto (S/)]],"0")</f>
        <v>0</v>
      </c>
      <c r="P189" s="34">
        <f>IF(tblMovimientos[[#This Row],[Tipo de Movimiento]]="Ingreso",tblMovimientos[[#This Row],[Ingreso]],-tblMovimientos[[#This Row],[Egreso]])</f>
        <v>20000</v>
      </c>
    </row>
    <row r="190" spans="2:16" hidden="1" x14ac:dyDescent="0.3">
      <c r="B190" s="47">
        <v>46170</v>
      </c>
      <c r="C190" s="4" t="str">
        <f>_xlfn.XLOOKUP(tblMovimientos[[#This Row],[Cuenta Bancaria]],Listas!$B:$B,Listas!$A:$A,"")</f>
        <v>M1B</v>
      </c>
      <c r="D190" s="49" t="s">
        <v>97</v>
      </c>
      <c r="E190" s="4" t="str">
        <f>_xlfn.XLOOKUP(tblMovimientos[[#This Row],[Cuenta Bancaria]],Listas!$B:$B,Listas!$C:$C,"")</f>
        <v xml:space="preserve">Amerant Bank </v>
      </c>
      <c r="F190" s="49" t="s">
        <v>9</v>
      </c>
      <c r="G190" s="49" t="s">
        <v>68</v>
      </c>
      <c r="H190" s="4" t="str">
        <f>IFERROR(_xlfn.XLOOKUP(G190,Listas!E:E,Listas!F:F,""),"")</f>
        <v>Operativo</v>
      </c>
      <c r="I190" s="4" t="str">
        <f>IFERROR(_xlfn.XLOOKUP(G190,Listas!E:E,Listas!G:G,""),"")</f>
        <v>Externo</v>
      </c>
      <c r="J190" s="51">
        <v>2637.12</v>
      </c>
      <c r="K190" s="5">
        <f t="shared" si="2"/>
        <v>2637.12</v>
      </c>
      <c r="L190" s="6" t="s">
        <v>93</v>
      </c>
      <c r="M190" s="52">
        <f>SUMIFS('Saldos Iniciales'!$D$2:$D$38,'Saldos Iniciales'!$A$2:$A$38,C190,'Saldos Iniciales'!$B$2:$B$38,D190)+SUMIFS($K$1:$K$1048575,$C$1:$C$1048575,C190,$D$1:$D$1048575,D190,$B$1:$B$1048575,"&lt;="&amp;B190)</f>
        <v>57397.280000000173</v>
      </c>
      <c r="N190" s="30">
        <f>IF(tblMovimientos[[#This Row],[Tipo de Movimiento]]="Ingreso",tblMovimientos[[#This Row],[Monto (S/)]],"0")</f>
        <v>2637.12</v>
      </c>
      <c r="O190" s="30" t="str">
        <f>IF(tblMovimientos[[#This Row],[Tipo de Movimiento]]="Egreso",tblMovimientos[[#This Row],[Monto (S/)]],"0")</f>
        <v>0</v>
      </c>
      <c r="P190" s="34">
        <f>IF(tblMovimientos[[#This Row],[Tipo de Movimiento]]="Ingreso",tblMovimientos[[#This Row],[Ingreso]],-tblMovimientos[[#This Row],[Egreso]])</f>
        <v>2637.12</v>
      </c>
    </row>
    <row r="191" spans="2:16" hidden="1" x14ac:dyDescent="0.3">
      <c r="B191" s="47">
        <v>46170</v>
      </c>
      <c r="C191" s="4" t="str">
        <f>_xlfn.XLOOKUP(tblMovimientos[[#This Row],[Cuenta Bancaria]],Listas!$B:$B,Listas!$A:$A,"")</f>
        <v>M1B</v>
      </c>
      <c r="D191" s="49" t="s">
        <v>97</v>
      </c>
      <c r="E191" s="4" t="str">
        <f>_xlfn.XLOOKUP(tblMovimientos[[#This Row],[Cuenta Bancaria]],Listas!$B:$B,Listas!$C:$C,"")</f>
        <v xml:space="preserve">Amerant Bank </v>
      </c>
      <c r="F191" s="49" t="s">
        <v>10</v>
      </c>
      <c r="G191" s="49" t="s">
        <v>65</v>
      </c>
      <c r="H191" s="4" t="str">
        <f>IFERROR(_xlfn.XLOOKUP(G191,Listas!E:E,Listas!F:F,""),"")</f>
        <v>Operativo</v>
      </c>
      <c r="I191" s="4" t="s">
        <v>160</v>
      </c>
      <c r="J191" s="51">
        <v>1200000</v>
      </c>
      <c r="K191" s="5">
        <f t="shared" si="2"/>
        <v>-1200000</v>
      </c>
      <c r="L191" s="6" t="s">
        <v>93</v>
      </c>
      <c r="M191" s="52">
        <f>SUMIFS('Saldos Iniciales'!$D$2:$D$38,'Saldos Iniciales'!$A$2:$A$38,C191,'Saldos Iniciales'!$B$2:$B$38,D191)+SUMIFS($K$1:$K$1048575,$C$1:$C$1048575,C191,$D$1:$D$1048575,D191,$B$1:$B$1048575,"&lt;="&amp;B191)</f>
        <v>57397.280000000173</v>
      </c>
      <c r="N191" s="30" t="str">
        <f>IF(tblMovimientos[[#This Row],[Tipo de Movimiento]]="Ingreso",tblMovimientos[[#This Row],[Monto (S/)]],"0")</f>
        <v>0</v>
      </c>
      <c r="O191" s="30">
        <f>IF(tblMovimientos[[#This Row],[Tipo de Movimiento]]="Egreso",tblMovimientos[[#This Row],[Monto (S/)]],"0")</f>
        <v>1200000</v>
      </c>
      <c r="P191" s="34">
        <f>IF(tblMovimientos[[#This Row],[Tipo de Movimiento]]="Ingreso",tblMovimientos[[#This Row],[Ingreso]],-tblMovimientos[[#This Row],[Egreso]])</f>
        <v>-1200000</v>
      </c>
    </row>
    <row r="192" spans="2:16" hidden="1" x14ac:dyDescent="0.3">
      <c r="B192" s="47">
        <v>46170</v>
      </c>
      <c r="C192" s="4" t="str">
        <f>_xlfn.XLOOKUP(tblMovimientos[[#This Row],[Cuenta Bancaria]],Listas!$B:$B,Listas!$A:$A,"")</f>
        <v>CFT Group</v>
      </c>
      <c r="D192" s="49" t="s">
        <v>95</v>
      </c>
      <c r="E192" s="4" t="str">
        <f>_xlfn.XLOOKUP(tblMovimientos[[#This Row],[Cuenta Bancaria]],Listas!$B:$B,Listas!$C:$C,"")</f>
        <v xml:space="preserve">Amerant Bank </v>
      </c>
      <c r="F192" s="49" t="s">
        <v>9</v>
      </c>
      <c r="G192" s="49" t="s">
        <v>70</v>
      </c>
      <c r="H192" s="4" t="str">
        <f>IFERROR(_xlfn.XLOOKUP(G192,Listas!E:E,Listas!F:F,""),"")</f>
        <v>Operativo</v>
      </c>
      <c r="I192" s="4" t="s">
        <v>160</v>
      </c>
      <c r="J192" s="51">
        <v>1200000</v>
      </c>
      <c r="K192" s="5">
        <f t="shared" si="2"/>
        <v>1200000</v>
      </c>
      <c r="L192" s="6" t="s">
        <v>93</v>
      </c>
      <c r="M192" s="52">
        <f>SUMIFS('Saldos Iniciales'!$D$2:$D$38,'Saldos Iniciales'!$A$2:$A$38,C192,'Saldos Iniciales'!$B$2:$B$38,D192)+SUMIFS($K$1:$K$1048575,$C$1:$C$1048575,C192,$D$1:$D$1048575,D192,$B$1:$B$1048575,"&lt;="&amp;B192)</f>
        <v>784648.53</v>
      </c>
      <c r="N192" s="30">
        <f>IF(tblMovimientos[[#This Row],[Tipo de Movimiento]]="Ingreso",tblMovimientos[[#This Row],[Monto (S/)]],"0")</f>
        <v>1200000</v>
      </c>
      <c r="O192" s="30" t="str">
        <f>IF(tblMovimientos[[#This Row],[Tipo de Movimiento]]="Egreso",tblMovimientos[[#This Row],[Monto (S/)]],"0")</f>
        <v>0</v>
      </c>
      <c r="P192" s="34">
        <f>IF(tblMovimientos[[#This Row],[Tipo de Movimiento]]="Ingreso",tblMovimientos[[#This Row],[Ingreso]],-tblMovimientos[[#This Row],[Egreso]])</f>
        <v>1200000</v>
      </c>
    </row>
    <row r="193" spans="2:16" hidden="1" x14ac:dyDescent="0.3">
      <c r="B193" s="47">
        <v>46170</v>
      </c>
      <c r="C193" s="4" t="str">
        <f>_xlfn.XLOOKUP(tblMovimientos[[#This Row],[Cuenta Bancaria]],Listas!$B:$B,Listas!$A:$A,"")</f>
        <v>CFT Group</v>
      </c>
      <c r="D193" s="49" t="s">
        <v>95</v>
      </c>
      <c r="E193" s="4" t="str">
        <f>_xlfn.XLOOKUP(tblMovimientos[[#This Row],[Cuenta Bancaria]],Listas!$B:$B,Listas!$C:$C,"")</f>
        <v xml:space="preserve">Amerant Bank </v>
      </c>
      <c r="F193" s="49" t="s">
        <v>10</v>
      </c>
      <c r="G193" s="49" t="s">
        <v>46</v>
      </c>
      <c r="H193" s="4" t="str">
        <f>IFERROR(_xlfn.XLOOKUP(G193,Listas!E:E,Listas!F:F,""),"")</f>
        <v>Financiamiento</v>
      </c>
      <c r="I193" s="4" t="str">
        <f>IFERROR(_xlfn.XLOOKUP(G193,Listas!E:E,Listas!G:G,""),"")</f>
        <v>Externo</v>
      </c>
      <c r="J193" s="51">
        <v>10000</v>
      </c>
      <c r="K193" s="5">
        <f t="shared" si="2"/>
        <v>-10000</v>
      </c>
      <c r="L193" s="6" t="s">
        <v>93</v>
      </c>
      <c r="M193" s="52">
        <f>SUMIFS('Saldos Iniciales'!$D$2:$D$38,'Saldos Iniciales'!$A$2:$A$38,C193,'Saldos Iniciales'!$B$2:$B$38,D193)+SUMIFS($K$1:$K$1048575,$C$1:$C$1048575,C193,$D$1:$D$1048575,D193,$B$1:$B$1048575,"&lt;="&amp;B193)</f>
        <v>784648.53</v>
      </c>
      <c r="N193" s="30" t="str">
        <f>IF(tblMovimientos[[#This Row],[Tipo de Movimiento]]="Ingreso",tblMovimientos[[#This Row],[Monto (S/)]],"0")</f>
        <v>0</v>
      </c>
      <c r="O193" s="30">
        <f>IF(tblMovimientos[[#This Row],[Tipo de Movimiento]]="Egreso",tblMovimientos[[#This Row],[Monto (S/)]],"0")</f>
        <v>10000</v>
      </c>
      <c r="P193" s="34">
        <f>IF(tblMovimientos[[#This Row],[Tipo de Movimiento]]="Ingreso",tblMovimientos[[#This Row],[Ingreso]],-tblMovimientos[[#This Row],[Egreso]])</f>
        <v>-10000</v>
      </c>
    </row>
    <row r="194" spans="2:16" hidden="1" x14ac:dyDescent="0.3">
      <c r="B194" s="47">
        <v>46170</v>
      </c>
      <c r="C194" s="4" t="str">
        <f>_xlfn.XLOOKUP(tblMovimientos[[#This Row],[Cuenta Bancaria]],Listas!$B:$B,Listas!$A:$A,"")</f>
        <v>CFT Group</v>
      </c>
      <c r="D194" s="49" t="s">
        <v>95</v>
      </c>
      <c r="E194" s="4" t="str">
        <f>_xlfn.XLOOKUP(tblMovimientos[[#This Row],[Cuenta Bancaria]],Listas!$B:$B,Listas!$C:$C,"")</f>
        <v xml:space="preserve">Amerant Bank </v>
      </c>
      <c r="F194" s="49" t="s">
        <v>10</v>
      </c>
      <c r="G194" s="49" t="s">
        <v>46</v>
      </c>
      <c r="H194" s="4" t="str">
        <f>IFERROR(_xlfn.XLOOKUP(G194,Listas!E:E,Listas!F:F,""),"")</f>
        <v>Financiamiento</v>
      </c>
      <c r="I194" s="4" t="str">
        <f>IFERROR(_xlfn.XLOOKUP(G194,Listas!E:E,Listas!G:G,""),"")</f>
        <v>Externo</v>
      </c>
      <c r="J194" s="51">
        <v>10833.33</v>
      </c>
      <c r="K194" s="5">
        <f t="shared" ref="K194:K217" si="3">IF(F194="Ingreso",J194,-J194)</f>
        <v>-10833.33</v>
      </c>
      <c r="L194" s="6" t="s">
        <v>93</v>
      </c>
      <c r="M194" s="52">
        <f>SUMIFS('Saldos Iniciales'!$D$2:$D$38,'Saldos Iniciales'!$A$2:$A$38,C194,'Saldos Iniciales'!$B$2:$B$38,D194)+SUMIFS($K$1:$K$1048575,$C$1:$C$1048575,C194,$D$1:$D$1048575,D194,$B$1:$B$1048575,"&lt;="&amp;B194)</f>
        <v>784648.53</v>
      </c>
      <c r="N194" s="30" t="str">
        <f>IF(tblMovimientos[[#This Row],[Tipo de Movimiento]]="Ingreso",tblMovimientos[[#This Row],[Monto (S/)]],"0")</f>
        <v>0</v>
      </c>
      <c r="O194" s="30">
        <f>IF(tblMovimientos[[#This Row],[Tipo de Movimiento]]="Egreso",tblMovimientos[[#This Row],[Monto (S/)]],"0")</f>
        <v>10833.33</v>
      </c>
      <c r="P194" s="34">
        <f>IF(tblMovimientos[[#This Row],[Tipo de Movimiento]]="Ingreso",tblMovimientos[[#This Row],[Ingreso]],-tblMovimientos[[#This Row],[Egreso]])</f>
        <v>-10833.33</v>
      </c>
    </row>
    <row r="195" spans="2:16" hidden="1" x14ac:dyDescent="0.3">
      <c r="B195" s="47">
        <v>46170</v>
      </c>
      <c r="C195" s="4" t="str">
        <f>_xlfn.XLOOKUP(tblMovimientos[[#This Row],[Cuenta Bancaria]],Listas!$B:$B,Listas!$A:$A,"")</f>
        <v>CFT Group</v>
      </c>
      <c r="D195" s="49" t="s">
        <v>95</v>
      </c>
      <c r="E195" s="4" t="str">
        <f>_xlfn.XLOOKUP(tblMovimientos[[#This Row],[Cuenta Bancaria]],Listas!$B:$B,Listas!$C:$C,"")</f>
        <v xml:space="preserve">Amerant Bank </v>
      </c>
      <c r="F195" s="49" t="s">
        <v>10</v>
      </c>
      <c r="G195" s="49" t="s">
        <v>50</v>
      </c>
      <c r="H195" s="4" t="str">
        <f>IFERROR(_xlfn.XLOOKUP(G195,Listas!E:E,Listas!F:F,""),"")</f>
        <v>Financiamiento</v>
      </c>
      <c r="I195" s="4" t="str">
        <f>IFERROR(_xlfn.XLOOKUP(G195,Listas!E:E,Listas!G:G,""),"")</f>
        <v>Externo</v>
      </c>
      <c r="J195" s="51">
        <v>20000</v>
      </c>
      <c r="K195" s="5">
        <f t="shared" si="3"/>
        <v>-20000</v>
      </c>
      <c r="L195" s="6" t="s">
        <v>93</v>
      </c>
      <c r="M195" s="52">
        <f>SUMIFS('Saldos Iniciales'!$D$2:$D$38,'Saldos Iniciales'!$A$2:$A$38,C195,'Saldos Iniciales'!$B$2:$B$38,D195)+SUMIFS($K$1:$K$1048575,$C$1:$C$1048575,C195,$D$1:$D$1048575,D195,$B$1:$B$1048575,"&lt;="&amp;B195)</f>
        <v>784648.53</v>
      </c>
      <c r="N195" s="30" t="str">
        <f>IF(tblMovimientos[[#This Row],[Tipo de Movimiento]]="Ingreso",tblMovimientos[[#This Row],[Monto (S/)]],"0")</f>
        <v>0</v>
      </c>
      <c r="O195" s="30">
        <f>IF(tblMovimientos[[#This Row],[Tipo de Movimiento]]="Egreso",tblMovimientos[[#This Row],[Monto (S/)]],"0")</f>
        <v>20000</v>
      </c>
      <c r="P195" s="34">
        <f>IF(tblMovimientos[[#This Row],[Tipo de Movimiento]]="Ingreso",tblMovimientos[[#This Row],[Ingreso]],-tblMovimientos[[#This Row],[Egreso]])</f>
        <v>-20000</v>
      </c>
    </row>
    <row r="196" spans="2:16" hidden="1" x14ac:dyDescent="0.3">
      <c r="B196" s="47">
        <v>46170</v>
      </c>
      <c r="C196" s="4" t="str">
        <f>_xlfn.XLOOKUP(tblMovimientos[[#This Row],[Cuenta Bancaria]],Listas!$B:$B,Listas!$A:$A,"")</f>
        <v>CFT Group</v>
      </c>
      <c r="D196" s="49" t="s">
        <v>95</v>
      </c>
      <c r="E196" s="4" t="str">
        <f>_xlfn.XLOOKUP(tblMovimientos[[#This Row],[Cuenta Bancaria]],Listas!$B:$B,Listas!$C:$C,"")</f>
        <v xml:space="preserve">Amerant Bank </v>
      </c>
      <c r="F196" s="49" t="s">
        <v>10</v>
      </c>
      <c r="G196" s="49" t="s">
        <v>61</v>
      </c>
      <c r="H196" s="4" t="str">
        <f>IFERROR(_xlfn.XLOOKUP(G196,Listas!E:E,Listas!F:F,""),"")</f>
        <v>Operativo</v>
      </c>
      <c r="I196" s="4" t="str">
        <f>IFERROR(_xlfn.XLOOKUP(G196,Listas!E:E,Listas!G:G,""),"")</f>
        <v>Externo</v>
      </c>
      <c r="J196" s="51">
        <v>40000</v>
      </c>
      <c r="K196" s="5">
        <f t="shared" si="3"/>
        <v>-40000</v>
      </c>
      <c r="L196" s="6" t="s">
        <v>93</v>
      </c>
      <c r="M196" s="52">
        <f>SUMIFS('Saldos Iniciales'!$D$2:$D$38,'Saldos Iniciales'!$A$2:$A$38,C196,'Saldos Iniciales'!$B$2:$B$38,D196)+SUMIFS($K$1:$K$1048575,$C$1:$C$1048575,C196,$D$1:$D$1048575,D196,$B$1:$B$1048575,"&lt;="&amp;B196)</f>
        <v>784648.53</v>
      </c>
      <c r="N196" s="30" t="str">
        <f>IF(tblMovimientos[[#This Row],[Tipo de Movimiento]]="Ingreso",tblMovimientos[[#This Row],[Monto (S/)]],"0")</f>
        <v>0</v>
      </c>
      <c r="O196" s="30">
        <f>IF(tblMovimientos[[#This Row],[Tipo de Movimiento]]="Egreso",tblMovimientos[[#This Row],[Monto (S/)]],"0")</f>
        <v>40000</v>
      </c>
      <c r="P196" s="34">
        <f>IF(tblMovimientos[[#This Row],[Tipo de Movimiento]]="Ingreso",tblMovimientos[[#This Row],[Ingreso]],-tblMovimientos[[#This Row],[Egreso]])</f>
        <v>-40000</v>
      </c>
    </row>
    <row r="197" spans="2:16" hidden="1" x14ac:dyDescent="0.3">
      <c r="B197" s="47">
        <v>46170</v>
      </c>
      <c r="C197" s="4" t="str">
        <f>_xlfn.XLOOKUP(tblMovimientos[[#This Row],[Cuenta Bancaria]],Listas!$B:$B,Listas!$A:$A,"")</f>
        <v>CFT Group</v>
      </c>
      <c r="D197" s="49" t="s">
        <v>95</v>
      </c>
      <c r="E197" s="4" t="str">
        <f>_xlfn.XLOOKUP(tblMovimientos[[#This Row],[Cuenta Bancaria]],Listas!$B:$B,Listas!$C:$C,"")</f>
        <v xml:space="preserve">Amerant Bank </v>
      </c>
      <c r="F197" s="49" t="s">
        <v>10</v>
      </c>
      <c r="G197" s="49" t="s">
        <v>61</v>
      </c>
      <c r="H197" s="4" t="str">
        <f>IFERROR(_xlfn.XLOOKUP(G197,Listas!E:E,Listas!F:F,""),"")</f>
        <v>Operativo</v>
      </c>
      <c r="I197" s="4" t="str">
        <f>IFERROR(_xlfn.XLOOKUP(G197,Listas!E:E,Listas!G:G,""),"")</f>
        <v>Externo</v>
      </c>
      <c r="J197" s="51">
        <v>60000</v>
      </c>
      <c r="K197" s="5">
        <f t="shared" si="3"/>
        <v>-60000</v>
      </c>
      <c r="L197" s="6" t="s">
        <v>93</v>
      </c>
      <c r="M197" s="52">
        <f>SUMIFS('Saldos Iniciales'!$D$2:$D$38,'Saldos Iniciales'!$A$2:$A$38,C197,'Saldos Iniciales'!$B$2:$B$38,D197)+SUMIFS($K$1:$K$1048575,$C$1:$C$1048575,C197,$D$1:$D$1048575,D197,$B$1:$B$1048575,"&lt;="&amp;B197)</f>
        <v>784648.53</v>
      </c>
      <c r="N197" s="30" t="str">
        <f>IF(tblMovimientos[[#This Row],[Tipo de Movimiento]]="Ingreso",tblMovimientos[[#This Row],[Monto (S/)]],"0")</f>
        <v>0</v>
      </c>
      <c r="O197" s="30">
        <f>IF(tblMovimientos[[#This Row],[Tipo de Movimiento]]="Egreso",tblMovimientos[[#This Row],[Monto (S/)]],"0")</f>
        <v>60000</v>
      </c>
      <c r="P197" s="34">
        <f>IF(tblMovimientos[[#This Row],[Tipo de Movimiento]]="Ingreso",tblMovimientos[[#This Row],[Ingreso]],-tblMovimientos[[#This Row],[Egreso]])</f>
        <v>-60000</v>
      </c>
    </row>
    <row r="198" spans="2:16" hidden="1" x14ac:dyDescent="0.3">
      <c r="B198" s="47">
        <v>46170</v>
      </c>
      <c r="C198" s="4" t="str">
        <f>_xlfn.XLOOKUP(tblMovimientos[[#This Row],[Cuenta Bancaria]],Listas!$B:$B,Listas!$A:$A,"")</f>
        <v>CFT Group</v>
      </c>
      <c r="D198" s="49" t="s">
        <v>95</v>
      </c>
      <c r="E198" s="4" t="str">
        <f>_xlfn.XLOOKUP(tblMovimientos[[#This Row],[Cuenta Bancaria]],Listas!$B:$B,Listas!$C:$C,"")</f>
        <v xml:space="preserve">Amerant Bank </v>
      </c>
      <c r="F198" s="49" t="s">
        <v>10</v>
      </c>
      <c r="G198" s="49" t="s">
        <v>61</v>
      </c>
      <c r="H198" s="4" t="str">
        <f>IFERROR(_xlfn.XLOOKUP(G198,Listas!E:E,Listas!F:F,""),"")</f>
        <v>Operativo</v>
      </c>
      <c r="I198" s="4" t="str">
        <f>IFERROR(_xlfn.XLOOKUP(G198,Listas!E:E,Listas!G:G,""),"")</f>
        <v>Externo</v>
      </c>
      <c r="J198" s="51">
        <v>100000</v>
      </c>
      <c r="K198" s="5">
        <f t="shared" si="3"/>
        <v>-100000</v>
      </c>
      <c r="L198" s="6" t="s">
        <v>93</v>
      </c>
      <c r="M198" s="52">
        <f>SUMIFS('Saldos Iniciales'!$D$2:$D$38,'Saldos Iniciales'!$A$2:$A$38,C198,'Saldos Iniciales'!$B$2:$B$38,D198)+SUMIFS($K$1:$K$1048575,$C$1:$C$1048575,C198,$D$1:$D$1048575,D198,$B$1:$B$1048575,"&lt;="&amp;B198)</f>
        <v>784648.53</v>
      </c>
      <c r="N198" s="30" t="str">
        <f>IF(tblMovimientos[[#This Row],[Tipo de Movimiento]]="Ingreso",tblMovimientos[[#This Row],[Monto (S/)]],"0")</f>
        <v>0</v>
      </c>
      <c r="O198" s="30">
        <f>IF(tblMovimientos[[#This Row],[Tipo de Movimiento]]="Egreso",tblMovimientos[[#This Row],[Monto (S/)]],"0")</f>
        <v>100000</v>
      </c>
      <c r="P198" s="34">
        <f>IF(tblMovimientos[[#This Row],[Tipo de Movimiento]]="Ingreso",tblMovimientos[[#This Row],[Ingreso]],-tblMovimientos[[#This Row],[Egreso]])</f>
        <v>-100000</v>
      </c>
    </row>
    <row r="199" spans="2:16" hidden="1" x14ac:dyDescent="0.3">
      <c r="B199" s="47">
        <v>46170</v>
      </c>
      <c r="C199" s="4" t="str">
        <f>_xlfn.XLOOKUP(tblMovimientos[[#This Row],[Cuenta Bancaria]],Listas!$B:$B,Listas!$A:$A,"")</f>
        <v>CFT Group</v>
      </c>
      <c r="D199" s="49" t="s">
        <v>95</v>
      </c>
      <c r="E199" s="4" t="str">
        <f>_xlfn.XLOOKUP(tblMovimientos[[#This Row],[Cuenta Bancaria]],Listas!$B:$B,Listas!$C:$C,"")</f>
        <v xml:space="preserve">Amerant Bank </v>
      </c>
      <c r="F199" s="49" t="s">
        <v>10</v>
      </c>
      <c r="G199" s="49" t="s">
        <v>62</v>
      </c>
      <c r="H199" s="4" t="str">
        <f>IFERROR(_xlfn.XLOOKUP(G199,Listas!E:E,Listas!F:F,""),"")</f>
        <v>Operativo</v>
      </c>
      <c r="I199" s="4" t="str">
        <f>IFERROR(_xlfn.XLOOKUP(G199,Listas!E:E,Listas!G:G,""),"")</f>
        <v>Interno</v>
      </c>
      <c r="J199" s="51">
        <v>300000</v>
      </c>
      <c r="K199" s="5">
        <f t="shared" si="3"/>
        <v>-300000</v>
      </c>
      <c r="L199" s="6" t="s">
        <v>93</v>
      </c>
      <c r="M199" s="52">
        <f>SUMIFS('Saldos Iniciales'!$D$2:$D$38,'Saldos Iniciales'!$A$2:$A$38,C199,'Saldos Iniciales'!$B$2:$B$38,D199)+SUMIFS($K$1:$K$1048575,$C$1:$C$1048575,C199,$D$1:$D$1048575,D199,$B$1:$B$1048575,"&lt;="&amp;B199)</f>
        <v>784648.53</v>
      </c>
      <c r="N199" s="30" t="str">
        <f>IF(tblMovimientos[[#This Row],[Tipo de Movimiento]]="Ingreso",tblMovimientos[[#This Row],[Monto (S/)]],"0")</f>
        <v>0</v>
      </c>
      <c r="O199" s="30">
        <f>IF(tblMovimientos[[#This Row],[Tipo de Movimiento]]="Egreso",tblMovimientos[[#This Row],[Monto (S/)]],"0")</f>
        <v>300000</v>
      </c>
      <c r="P199" s="34">
        <f>IF(tblMovimientos[[#This Row],[Tipo de Movimiento]]="Ingreso",tblMovimientos[[#This Row],[Ingreso]],-tblMovimientos[[#This Row],[Egreso]])</f>
        <v>-300000</v>
      </c>
    </row>
    <row r="200" spans="2:16" hidden="1" x14ac:dyDescent="0.3">
      <c r="B200" s="47">
        <v>46170</v>
      </c>
      <c r="C200" s="4" t="str">
        <f>_xlfn.XLOOKUP(tblMovimientos[[#This Row],[Cuenta Bancaria]],Listas!$B:$B,Listas!$A:$A,"")</f>
        <v>SSP Capital</v>
      </c>
      <c r="D200" s="49" t="s">
        <v>104</v>
      </c>
      <c r="E200" s="4" t="str">
        <f>_xlfn.XLOOKUP(tblMovimientos[[#This Row],[Cuenta Bancaria]],Listas!$B:$B,Listas!$C:$C,"")</f>
        <v xml:space="preserve">Amerant Bank </v>
      </c>
      <c r="F200" s="49" t="s">
        <v>9</v>
      </c>
      <c r="G200" s="49" t="s">
        <v>75</v>
      </c>
      <c r="H200" s="4" t="str">
        <f>IFERROR(_xlfn.XLOOKUP(G200,Listas!E:E,Listas!F:F,""),"")</f>
        <v>Financiamiento</v>
      </c>
      <c r="I200" s="4" t="str">
        <f>IFERROR(_xlfn.XLOOKUP(G200,Listas!E:E,Listas!G:G,""),"")</f>
        <v>Interno</v>
      </c>
      <c r="J200" s="51">
        <v>300000</v>
      </c>
      <c r="K200" s="5">
        <f t="shared" si="3"/>
        <v>300000</v>
      </c>
      <c r="L200" s="6" t="s">
        <v>93</v>
      </c>
      <c r="M200" s="52">
        <f>SUMIFS('Saldos Iniciales'!$D$2:$D$38,'Saldos Iniciales'!$A$2:$A$38,C200,'Saldos Iniciales'!$B$2:$B$38,D200)+SUMIFS($K$1:$K$1048575,$C$1:$C$1048575,C200,$D$1:$D$1048575,D200,$B$1:$B$1048575,"&lt;="&amp;B200)</f>
        <v>321514.8599999994</v>
      </c>
      <c r="N200" s="30">
        <f>IF(tblMovimientos[[#This Row],[Tipo de Movimiento]]="Ingreso",tblMovimientos[[#This Row],[Monto (S/)]],"0")</f>
        <v>300000</v>
      </c>
      <c r="O200" s="30" t="str">
        <f>IF(tblMovimientos[[#This Row],[Tipo de Movimiento]]="Egreso",tblMovimientos[[#This Row],[Monto (S/)]],"0")</f>
        <v>0</v>
      </c>
      <c r="P200" s="34">
        <f>IF(tblMovimientos[[#This Row],[Tipo de Movimiento]]="Ingreso",tblMovimientos[[#This Row],[Ingreso]],-tblMovimientos[[#This Row],[Egreso]])</f>
        <v>300000</v>
      </c>
    </row>
    <row r="201" spans="2:16" hidden="1" x14ac:dyDescent="0.3">
      <c r="B201" s="47">
        <v>46170</v>
      </c>
      <c r="C201" s="4" t="str">
        <f>_xlfn.XLOOKUP(tblMovimientos[[#This Row],[Cuenta Bancaria]],Listas!$B:$B,Listas!$A:$A,"")</f>
        <v>SSP Capital</v>
      </c>
      <c r="D201" s="49" t="s">
        <v>104</v>
      </c>
      <c r="E201" s="4" t="str">
        <f>_xlfn.XLOOKUP(tblMovimientos[[#This Row],[Cuenta Bancaria]],Listas!$B:$B,Listas!$C:$C,"")</f>
        <v xml:space="preserve">Amerant Bank </v>
      </c>
      <c r="F201" s="49" t="s">
        <v>10</v>
      </c>
      <c r="G201" s="49" t="s">
        <v>38</v>
      </c>
      <c r="H201" s="4" t="str">
        <f>IFERROR(_xlfn.XLOOKUP(G201,Listas!E:E,Listas!F:F,""),"")</f>
        <v>Operativo</v>
      </c>
      <c r="I201" s="4" t="str">
        <f>IFERROR(_xlfn.XLOOKUP(G201,Listas!E:E,Listas!G:G,""),"")</f>
        <v>Externo</v>
      </c>
      <c r="J201" s="51">
        <v>10753.2</v>
      </c>
      <c r="K201" s="5">
        <f t="shared" si="3"/>
        <v>-10753.2</v>
      </c>
      <c r="L201" s="6" t="s">
        <v>93</v>
      </c>
      <c r="M201" s="52">
        <f>SUMIFS('Saldos Iniciales'!$D$2:$D$38,'Saldos Iniciales'!$A$2:$A$38,C201,'Saldos Iniciales'!$B$2:$B$38,D201)+SUMIFS($K$1:$K$1048575,$C$1:$C$1048575,C201,$D$1:$D$1048575,D201,$B$1:$B$1048575,"&lt;="&amp;B201)</f>
        <v>321514.8599999994</v>
      </c>
      <c r="N201" s="30" t="str">
        <f>IF(tblMovimientos[[#This Row],[Tipo de Movimiento]]="Ingreso",tblMovimientos[[#This Row],[Monto (S/)]],"0")</f>
        <v>0</v>
      </c>
      <c r="O201" s="30">
        <f>IF(tblMovimientos[[#This Row],[Tipo de Movimiento]]="Egreso",tblMovimientos[[#This Row],[Monto (S/)]],"0")</f>
        <v>10753.2</v>
      </c>
      <c r="P201" s="34">
        <f>IF(tblMovimientos[[#This Row],[Tipo de Movimiento]]="Ingreso",tblMovimientos[[#This Row],[Ingreso]],-tblMovimientos[[#This Row],[Egreso]])</f>
        <v>-10753.2</v>
      </c>
    </row>
    <row r="202" spans="2:16" hidden="1" x14ac:dyDescent="0.3">
      <c r="B202" s="47">
        <v>46170</v>
      </c>
      <c r="C202" s="4" t="str">
        <f>_xlfn.XLOOKUP(tblMovimientos[[#This Row],[Cuenta Bancaria]],Listas!$B:$B,Listas!$A:$A,"")</f>
        <v>SSP Capital</v>
      </c>
      <c r="D202" s="49" t="s">
        <v>104</v>
      </c>
      <c r="E202" s="4" t="str">
        <f>_xlfn.XLOOKUP(tblMovimientos[[#This Row],[Cuenta Bancaria]],Listas!$B:$B,Listas!$C:$C,"")</f>
        <v xml:space="preserve">Amerant Bank </v>
      </c>
      <c r="F202" s="49" t="s">
        <v>10</v>
      </c>
      <c r="G202" s="49" t="s">
        <v>56</v>
      </c>
      <c r="H202" s="4" t="str">
        <f>IFERROR(_xlfn.XLOOKUP(G202,Listas!E:E,Listas!F:F,""),"")</f>
        <v>Inversion</v>
      </c>
      <c r="I202" s="4" t="str">
        <f>IFERROR(_xlfn.XLOOKUP(G202,Listas!E:E,Listas!G:G,""),"")</f>
        <v>Externo</v>
      </c>
      <c r="J202" s="51">
        <v>16733.29</v>
      </c>
      <c r="K202" s="5">
        <f t="shared" si="3"/>
        <v>-16733.29</v>
      </c>
      <c r="L202" s="6" t="s">
        <v>93</v>
      </c>
      <c r="M202" s="52">
        <f>SUMIFS('Saldos Iniciales'!$D$2:$D$38,'Saldos Iniciales'!$A$2:$A$38,C202,'Saldos Iniciales'!$B$2:$B$38,D202)+SUMIFS($K$1:$K$1048575,$C$1:$C$1048575,C202,$D$1:$D$1048575,D202,$B$1:$B$1048575,"&lt;="&amp;B202)</f>
        <v>321514.8599999994</v>
      </c>
      <c r="N202" s="30" t="str">
        <f>IF(tblMovimientos[[#This Row],[Tipo de Movimiento]]="Ingreso",tblMovimientos[[#This Row],[Monto (S/)]],"0")</f>
        <v>0</v>
      </c>
      <c r="O202" s="30">
        <f>IF(tblMovimientos[[#This Row],[Tipo de Movimiento]]="Egreso",tblMovimientos[[#This Row],[Monto (S/)]],"0")</f>
        <v>16733.29</v>
      </c>
      <c r="P202" s="34">
        <f>IF(tblMovimientos[[#This Row],[Tipo de Movimiento]]="Ingreso",tblMovimientos[[#This Row],[Ingreso]],-tblMovimientos[[#This Row],[Egreso]])</f>
        <v>-16733.29</v>
      </c>
    </row>
    <row r="203" spans="2:16" hidden="1" x14ac:dyDescent="0.3">
      <c r="B203" s="47">
        <v>46170</v>
      </c>
      <c r="C203" s="4" t="str">
        <f>_xlfn.XLOOKUP(tblMovimientos[[#This Row],[Cuenta Bancaria]],Listas!$B:$B,Listas!$A:$A,"")</f>
        <v>SSP Capital</v>
      </c>
      <c r="D203" s="49" t="s">
        <v>104</v>
      </c>
      <c r="E203" s="4" t="str">
        <f>_xlfn.XLOOKUP(tblMovimientos[[#This Row],[Cuenta Bancaria]],Listas!$B:$B,Listas!$C:$C,"")</f>
        <v xml:space="preserve">Amerant Bank </v>
      </c>
      <c r="F203" s="49" t="s">
        <v>10</v>
      </c>
      <c r="G203" s="49" t="s">
        <v>40</v>
      </c>
      <c r="H203" s="4" t="str">
        <f>IFERROR(_xlfn.XLOOKUP(G203,Listas!E:E,Listas!F:F,""),"")</f>
        <v>Operativo</v>
      </c>
      <c r="I203" s="4" t="str">
        <f>IFERROR(_xlfn.XLOOKUP(G203,Listas!E:E,Listas!G:G,""),"")</f>
        <v>Externo</v>
      </c>
      <c r="J203" s="51">
        <v>162017.17000000001</v>
      </c>
      <c r="K203" s="5">
        <f t="shared" si="3"/>
        <v>-162017.17000000001</v>
      </c>
      <c r="L203" s="6" t="s">
        <v>93</v>
      </c>
      <c r="M203" s="52">
        <f>SUMIFS('Saldos Iniciales'!$D$2:$D$38,'Saldos Iniciales'!$A$2:$A$38,C203,'Saldos Iniciales'!$B$2:$B$38,D203)+SUMIFS($K$1:$K$1048575,$C$1:$C$1048575,C203,$D$1:$D$1048575,D203,$B$1:$B$1048575,"&lt;="&amp;B203)</f>
        <v>321514.8599999994</v>
      </c>
      <c r="N203" s="30" t="str">
        <f>IF(tblMovimientos[[#This Row],[Tipo de Movimiento]]="Ingreso",tblMovimientos[[#This Row],[Monto (S/)]],"0")</f>
        <v>0</v>
      </c>
      <c r="O203" s="30">
        <f>IF(tblMovimientos[[#This Row],[Tipo de Movimiento]]="Egreso",tblMovimientos[[#This Row],[Monto (S/)]],"0")</f>
        <v>162017.17000000001</v>
      </c>
      <c r="P203" s="34">
        <f>IF(tblMovimientos[[#This Row],[Tipo de Movimiento]]="Ingreso",tblMovimientos[[#This Row],[Ingreso]],-tblMovimientos[[#This Row],[Egreso]])</f>
        <v>-162017.17000000001</v>
      </c>
    </row>
    <row r="204" spans="2:16" hidden="1" x14ac:dyDescent="0.3">
      <c r="B204" s="47">
        <v>46170</v>
      </c>
      <c r="C204" s="4" t="str">
        <f>_xlfn.XLOOKUP(tblMovimientos[[#This Row],[Cuenta Bancaria]],Listas!$B:$B,Listas!$A:$A,"")</f>
        <v>Go Blue</v>
      </c>
      <c r="D204" s="49" t="s">
        <v>126</v>
      </c>
      <c r="E204" s="4" t="str">
        <f>_xlfn.XLOOKUP(tblMovimientos[[#This Row],[Cuenta Bancaria]],Listas!$B:$B,Listas!$C:$C,"")</f>
        <v xml:space="preserve">Amerant Bank </v>
      </c>
      <c r="F204" s="49" t="s">
        <v>10</v>
      </c>
      <c r="G204" s="49" t="s">
        <v>44</v>
      </c>
      <c r="H204" s="4" t="str">
        <f>IFERROR(_xlfn.XLOOKUP(G204,Listas!E:E,Listas!F:F,""),"")</f>
        <v>Operativo</v>
      </c>
      <c r="I204" s="4" t="str">
        <f>IFERROR(_xlfn.XLOOKUP(G204,Listas!E:E,Listas!G:G,""),"")</f>
        <v>Externo</v>
      </c>
      <c r="J204" s="51">
        <v>15</v>
      </c>
      <c r="K204" s="5">
        <f t="shared" si="3"/>
        <v>-15</v>
      </c>
      <c r="L204" s="6" t="s">
        <v>93</v>
      </c>
      <c r="M204" s="52">
        <f>SUMIFS('Saldos Iniciales'!$D$2:$D$38,'Saldos Iniciales'!$A$2:$A$38,C204,'Saldos Iniciales'!$B$2:$B$38,D204)+SUMIFS($K$1:$K$1048575,$C$1:$C$1048575,C204,$D$1:$D$1048575,D204,$B$1:$B$1048575,"&lt;="&amp;B204)</f>
        <v>9076.2400000000016</v>
      </c>
      <c r="N204" s="30" t="str">
        <f>IF(tblMovimientos[[#This Row],[Tipo de Movimiento]]="Ingreso",tblMovimientos[[#This Row],[Monto (S/)]],"0")</f>
        <v>0</v>
      </c>
      <c r="O204" s="30">
        <f>IF(tblMovimientos[[#This Row],[Tipo de Movimiento]]="Egreso",tblMovimientos[[#This Row],[Monto (S/)]],"0")</f>
        <v>15</v>
      </c>
      <c r="P204" s="34">
        <f>IF(tblMovimientos[[#This Row],[Tipo de Movimiento]]="Ingreso",tblMovimientos[[#This Row],[Ingreso]],-tblMovimientos[[#This Row],[Egreso]])</f>
        <v>-15</v>
      </c>
    </row>
    <row r="205" spans="2:16" hidden="1" x14ac:dyDescent="0.3">
      <c r="B205" s="47">
        <v>46170</v>
      </c>
      <c r="C205" s="4" t="str">
        <f>_xlfn.XLOOKUP(tblMovimientos[[#This Row],[Cuenta Bancaria]],Listas!$B:$B,Listas!$A:$A,"")</f>
        <v>Go Blue</v>
      </c>
      <c r="D205" s="49" t="s">
        <v>126</v>
      </c>
      <c r="E205" s="4" t="str">
        <f>_xlfn.XLOOKUP(tblMovimientos[[#This Row],[Cuenta Bancaria]],Listas!$B:$B,Listas!$C:$C,"")</f>
        <v xml:space="preserve">Amerant Bank </v>
      </c>
      <c r="F205" s="49" t="s">
        <v>10</v>
      </c>
      <c r="G205" s="49" t="s">
        <v>44</v>
      </c>
      <c r="H205" s="4" t="str">
        <f>IFERROR(_xlfn.XLOOKUP(G205,Listas!E:E,Listas!F:F,""),"")</f>
        <v>Operativo</v>
      </c>
      <c r="I205" s="4" t="str">
        <f>IFERROR(_xlfn.XLOOKUP(G205,Listas!E:E,Listas!G:G,""),"")</f>
        <v>Externo</v>
      </c>
      <c r="J205" s="51">
        <v>15</v>
      </c>
      <c r="K205" s="5">
        <f t="shared" si="3"/>
        <v>-15</v>
      </c>
      <c r="L205" s="6" t="s">
        <v>93</v>
      </c>
      <c r="M205" s="52">
        <f>SUMIFS('Saldos Iniciales'!$D$2:$D$38,'Saldos Iniciales'!$A$2:$A$38,C205,'Saldos Iniciales'!$B$2:$B$38,D205)+SUMIFS($K$1:$K$1048575,$C$1:$C$1048575,C205,$D$1:$D$1048575,D205,$B$1:$B$1048575,"&lt;="&amp;B205)</f>
        <v>9076.2400000000016</v>
      </c>
      <c r="N205" s="30" t="str">
        <f>IF(tblMovimientos[[#This Row],[Tipo de Movimiento]]="Ingreso",tblMovimientos[[#This Row],[Monto (S/)]],"0")</f>
        <v>0</v>
      </c>
      <c r="O205" s="30">
        <f>IF(tblMovimientos[[#This Row],[Tipo de Movimiento]]="Egreso",tblMovimientos[[#This Row],[Monto (S/)]],"0")</f>
        <v>15</v>
      </c>
      <c r="P205" s="34">
        <f>IF(tblMovimientos[[#This Row],[Tipo de Movimiento]]="Ingreso",tblMovimientos[[#This Row],[Ingreso]],-tblMovimientos[[#This Row],[Egreso]])</f>
        <v>-15</v>
      </c>
    </row>
    <row r="206" spans="2:16" hidden="1" x14ac:dyDescent="0.3">
      <c r="B206" s="47">
        <v>46170</v>
      </c>
      <c r="C206" s="4" t="str">
        <f>_xlfn.XLOOKUP(tblMovimientos[[#This Row],[Cuenta Bancaria]],Listas!$B:$B,Listas!$A:$A,"")</f>
        <v>Go Blue</v>
      </c>
      <c r="D206" s="49" t="s">
        <v>126</v>
      </c>
      <c r="E206" s="4" t="str">
        <f>_xlfn.XLOOKUP(tblMovimientos[[#This Row],[Cuenta Bancaria]],Listas!$B:$B,Listas!$C:$C,"")</f>
        <v xml:space="preserve">Amerant Bank </v>
      </c>
      <c r="F206" s="49" t="s">
        <v>10</v>
      </c>
      <c r="G206" s="49" t="s">
        <v>44</v>
      </c>
      <c r="H206" s="4" t="str">
        <f>IFERROR(_xlfn.XLOOKUP(G206,Listas!E:E,Listas!F:F,""),"")</f>
        <v>Operativo</v>
      </c>
      <c r="I206" s="4" t="str">
        <f>IFERROR(_xlfn.XLOOKUP(G206,Listas!E:E,Listas!G:G,""),"")</f>
        <v>Externo</v>
      </c>
      <c r="J206" s="51">
        <v>15</v>
      </c>
      <c r="K206" s="5">
        <f t="shared" si="3"/>
        <v>-15</v>
      </c>
      <c r="L206" s="6" t="s">
        <v>93</v>
      </c>
      <c r="M206" s="52">
        <f>SUMIFS('Saldos Iniciales'!$D$2:$D$38,'Saldos Iniciales'!$A$2:$A$38,C206,'Saldos Iniciales'!$B$2:$B$38,D206)+SUMIFS($K$1:$K$1048575,$C$1:$C$1048575,C206,$D$1:$D$1048575,D206,$B$1:$B$1048575,"&lt;="&amp;B206)</f>
        <v>9076.2400000000016</v>
      </c>
      <c r="N206" s="30" t="str">
        <f>IF(tblMovimientos[[#This Row],[Tipo de Movimiento]]="Ingreso",tblMovimientos[[#This Row],[Monto (S/)]],"0")</f>
        <v>0</v>
      </c>
      <c r="O206" s="30">
        <f>IF(tblMovimientos[[#This Row],[Tipo de Movimiento]]="Egreso",tblMovimientos[[#This Row],[Monto (S/)]],"0")</f>
        <v>15</v>
      </c>
      <c r="P206" s="34">
        <f>IF(tblMovimientos[[#This Row],[Tipo de Movimiento]]="Ingreso",tblMovimientos[[#This Row],[Ingreso]],-tblMovimientos[[#This Row],[Egreso]])</f>
        <v>-15</v>
      </c>
    </row>
    <row r="207" spans="2:16" hidden="1" x14ac:dyDescent="0.3">
      <c r="B207" s="47">
        <v>46170</v>
      </c>
      <c r="C207" s="4" t="str">
        <f>_xlfn.XLOOKUP(tblMovimientos[[#This Row],[Cuenta Bancaria]],Listas!$B:$B,Listas!$A:$A,"")</f>
        <v>Go Blue</v>
      </c>
      <c r="D207" s="49" t="s">
        <v>126</v>
      </c>
      <c r="E207" s="4" t="str">
        <f>_xlfn.XLOOKUP(tblMovimientos[[#This Row],[Cuenta Bancaria]],Listas!$B:$B,Listas!$C:$C,"")</f>
        <v xml:space="preserve">Amerant Bank </v>
      </c>
      <c r="F207" s="49" t="s">
        <v>10</v>
      </c>
      <c r="G207" s="49" t="s">
        <v>44</v>
      </c>
      <c r="H207" s="4" t="str">
        <f>IFERROR(_xlfn.XLOOKUP(G207,Listas!E:E,Listas!F:F,""),"")</f>
        <v>Operativo</v>
      </c>
      <c r="I207" s="4" t="str">
        <f>IFERROR(_xlfn.XLOOKUP(G207,Listas!E:E,Listas!G:G,""),"")</f>
        <v>Externo</v>
      </c>
      <c r="J207" s="51">
        <v>15</v>
      </c>
      <c r="K207" s="5">
        <f t="shared" si="3"/>
        <v>-15</v>
      </c>
      <c r="L207" s="6" t="s">
        <v>93</v>
      </c>
      <c r="M207" s="52">
        <f>SUMIFS('Saldos Iniciales'!$D$2:$D$38,'Saldos Iniciales'!$A$2:$A$38,C207,'Saldos Iniciales'!$B$2:$B$38,D207)+SUMIFS($K$1:$K$1048575,$C$1:$C$1048575,C207,$D$1:$D$1048575,D207,$B$1:$B$1048575,"&lt;="&amp;B207)</f>
        <v>9076.2400000000016</v>
      </c>
      <c r="N207" s="30" t="str">
        <f>IF(tblMovimientos[[#This Row],[Tipo de Movimiento]]="Ingreso",tblMovimientos[[#This Row],[Monto (S/)]],"0")</f>
        <v>0</v>
      </c>
      <c r="O207" s="30">
        <f>IF(tblMovimientos[[#This Row],[Tipo de Movimiento]]="Egreso",tblMovimientos[[#This Row],[Monto (S/)]],"0")</f>
        <v>15</v>
      </c>
      <c r="P207" s="34">
        <f>IF(tblMovimientos[[#This Row],[Tipo de Movimiento]]="Ingreso",tblMovimientos[[#This Row],[Ingreso]],-tblMovimientos[[#This Row],[Egreso]])</f>
        <v>-15</v>
      </c>
    </row>
    <row r="208" spans="2:16" hidden="1" x14ac:dyDescent="0.3">
      <c r="B208" s="47">
        <v>46170</v>
      </c>
      <c r="C208" s="4" t="str">
        <f>_xlfn.XLOOKUP(tblMovimientos[[#This Row],[Cuenta Bancaria]],Listas!$B:$B,Listas!$A:$A,"")</f>
        <v>Go Blue</v>
      </c>
      <c r="D208" s="49" t="s">
        <v>126</v>
      </c>
      <c r="E208" s="4" t="str">
        <f>_xlfn.XLOOKUP(tblMovimientos[[#This Row],[Cuenta Bancaria]],Listas!$B:$B,Listas!$C:$C,"")</f>
        <v xml:space="preserve">Amerant Bank </v>
      </c>
      <c r="F208" s="49" t="s">
        <v>10</v>
      </c>
      <c r="G208" s="49" t="s">
        <v>38</v>
      </c>
      <c r="H208" s="4" t="str">
        <f>IFERROR(_xlfn.XLOOKUP(G208,Listas!E:E,Listas!F:F,""),"")</f>
        <v>Operativo</v>
      </c>
      <c r="I208" s="4" t="str">
        <f>IFERROR(_xlfn.XLOOKUP(G208,Listas!E:E,Listas!G:G,""),"")</f>
        <v>Externo</v>
      </c>
      <c r="J208" s="51">
        <v>951.3</v>
      </c>
      <c r="K208" s="5">
        <f t="shared" si="3"/>
        <v>-951.3</v>
      </c>
      <c r="L208" s="6" t="s">
        <v>93</v>
      </c>
      <c r="M208" s="52">
        <f>SUMIFS('Saldos Iniciales'!$D$2:$D$38,'Saldos Iniciales'!$A$2:$A$38,C208,'Saldos Iniciales'!$B$2:$B$38,D208)+SUMIFS($K$1:$K$1048575,$C$1:$C$1048575,C208,$D$1:$D$1048575,D208,$B$1:$B$1048575,"&lt;="&amp;B208)</f>
        <v>9076.2400000000016</v>
      </c>
      <c r="N208" s="30" t="str">
        <f>IF(tblMovimientos[[#This Row],[Tipo de Movimiento]]="Ingreso",tblMovimientos[[#This Row],[Monto (S/)]],"0")</f>
        <v>0</v>
      </c>
      <c r="O208" s="30">
        <f>IF(tblMovimientos[[#This Row],[Tipo de Movimiento]]="Egreso",tblMovimientos[[#This Row],[Monto (S/)]],"0")</f>
        <v>951.3</v>
      </c>
      <c r="P208" s="34">
        <f>IF(tblMovimientos[[#This Row],[Tipo de Movimiento]]="Ingreso",tblMovimientos[[#This Row],[Ingreso]],-tblMovimientos[[#This Row],[Egreso]])</f>
        <v>-951.3</v>
      </c>
    </row>
    <row r="209" spans="2:16" hidden="1" x14ac:dyDescent="0.3">
      <c r="B209" s="47">
        <v>46170</v>
      </c>
      <c r="C209" s="4" t="str">
        <f>_xlfn.XLOOKUP(tblMovimientos[[#This Row],[Cuenta Bancaria]],Listas!$B:$B,Listas!$A:$A,"")</f>
        <v>Go Blue</v>
      </c>
      <c r="D209" s="49" t="s">
        <v>126</v>
      </c>
      <c r="E209" s="4" t="str">
        <f>_xlfn.XLOOKUP(tblMovimientos[[#This Row],[Cuenta Bancaria]],Listas!$B:$B,Listas!$C:$C,"")</f>
        <v xml:space="preserve">Amerant Bank </v>
      </c>
      <c r="F209" s="49" t="s">
        <v>10</v>
      </c>
      <c r="G209" s="49" t="s">
        <v>38</v>
      </c>
      <c r="H209" s="4" t="str">
        <f>IFERROR(_xlfn.XLOOKUP(G209,Listas!E:E,Listas!F:F,""),"")</f>
        <v>Operativo</v>
      </c>
      <c r="I209" s="4" t="str">
        <f>IFERROR(_xlfn.XLOOKUP(G209,Listas!E:E,Listas!G:G,""),"")</f>
        <v>Externo</v>
      </c>
      <c r="J209" s="51">
        <v>1981.86</v>
      </c>
      <c r="K209" s="5">
        <f t="shared" si="3"/>
        <v>-1981.86</v>
      </c>
      <c r="L209" s="6" t="s">
        <v>93</v>
      </c>
      <c r="M209" s="52">
        <f>SUMIFS('Saldos Iniciales'!$D$2:$D$38,'Saldos Iniciales'!$A$2:$A$38,C209,'Saldos Iniciales'!$B$2:$B$38,D209)+SUMIFS($K$1:$K$1048575,$C$1:$C$1048575,C209,$D$1:$D$1048575,D209,$B$1:$B$1048575,"&lt;="&amp;B209)</f>
        <v>9076.2400000000016</v>
      </c>
      <c r="N209" s="30" t="str">
        <f>IF(tblMovimientos[[#This Row],[Tipo de Movimiento]]="Ingreso",tblMovimientos[[#This Row],[Monto (S/)]],"0")</f>
        <v>0</v>
      </c>
      <c r="O209" s="30">
        <f>IF(tblMovimientos[[#This Row],[Tipo de Movimiento]]="Egreso",tblMovimientos[[#This Row],[Monto (S/)]],"0")</f>
        <v>1981.86</v>
      </c>
      <c r="P209" s="34">
        <f>IF(tblMovimientos[[#This Row],[Tipo de Movimiento]]="Ingreso",tblMovimientos[[#This Row],[Ingreso]],-tblMovimientos[[#This Row],[Egreso]])</f>
        <v>-1981.86</v>
      </c>
    </row>
    <row r="210" spans="2:16" hidden="1" x14ac:dyDescent="0.3">
      <c r="B210" s="47">
        <v>46170</v>
      </c>
      <c r="C210" s="4" t="str">
        <f>_xlfn.XLOOKUP(tblMovimientos[[#This Row],[Cuenta Bancaria]],Listas!$B:$B,Listas!$A:$A,"")</f>
        <v>Go Blue</v>
      </c>
      <c r="D210" s="49" t="s">
        <v>126</v>
      </c>
      <c r="E210" s="4" t="str">
        <f>_xlfn.XLOOKUP(tblMovimientos[[#This Row],[Cuenta Bancaria]],Listas!$B:$B,Listas!$C:$C,"")</f>
        <v xml:space="preserve">Amerant Bank </v>
      </c>
      <c r="F210" s="49" t="s">
        <v>10</v>
      </c>
      <c r="G210" s="49" t="s">
        <v>38</v>
      </c>
      <c r="H210" s="4" t="str">
        <f>IFERROR(_xlfn.XLOOKUP(G210,Listas!E:E,Listas!F:F,""),"")</f>
        <v>Operativo</v>
      </c>
      <c r="I210" s="4" t="str">
        <f>IFERROR(_xlfn.XLOOKUP(G210,Listas!E:E,Listas!G:G,""),"")</f>
        <v>Externo</v>
      </c>
      <c r="J210" s="51">
        <v>2500</v>
      </c>
      <c r="K210" s="5">
        <f t="shared" si="3"/>
        <v>-2500</v>
      </c>
      <c r="L210" s="6" t="s">
        <v>93</v>
      </c>
      <c r="M210" s="52">
        <f>SUMIFS('Saldos Iniciales'!$D$2:$D$38,'Saldos Iniciales'!$A$2:$A$38,C210,'Saldos Iniciales'!$B$2:$B$38,D210)+SUMIFS($K$1:$K$1048575,$C$1:$C$1048575,C210,$D$1:$D$1048575,D210,$B$1:$B$1048575,"&lt;="&amp;B210)</f>
        <v>9076.2400000000016</v>
      </c>
      <c r="N210" s="30" t="str">
        <f>IF(tblMovimientos[[#This Row],[Tipo de Movimiento]]="Ingreso",tblMovimientos[[#This Row],[Monto (S/)]],"0")</f>
        <v>0</v>
      </c>
      <c r="O210" s="30">
        <f>IF(tblMovimientos[[#This Row],[Tipo de Movimiento]]="Egreso",tblMovimientos[[#This Row],[Monto (S/)]],"0")</f>
        <v>2500</v>
      </c>
      <c r="P210" s="34">
        <f>IF(tblMovimientos[[#This Row],[Tipo de Movimiento]]="Ingreso",tblMovimientos[[#This Row],[Ingreso]],-tblMovimientos[[#This Row],[Egreso]])</f>
        <v>-2500</v>
      </c>
    </row>
    <row r="211" spans="2:16" hidden="1" x14ac:dyDescent="0.3">
      <c r="B211" s="47">
        <v>46170</v>
      </c>
      <c r="C211" s="4" t="str">
        <f>_xlfn.XLOOKUP(tblMovimientos[[#This Row],[Cuenta Bancaria]],Listas!$B:$B,Listas!$A:$A,"")</f>
        <v>Go Blue</v>
      </c>
      <c r="D211" s="49" t="s">
        <v>126</v>
      </c>
      <c r="E211" s="4" t="str">
        <f>_xlfn.XLOOKUP(tblMovimientos[[#This Row],[Cuenta Bancaria]],Listas!$B:$B,Listas!$C:$C,"")</f>
        <v xml:space="preserve">Amerant Bank </v>
      </c>
      <c r="F211" s="49" t="s">
        <v>10</v>
      </c>
      <c r="G211" s="49" t="s">
        <v>38</v>
      </c>
      <c r="H211" s="4" t="str">
        <f>IFERROR(_xlfn.XLOOKUP(G211,Listas!E:E,Listas!F:F,""),"")</f>
        <v>Operativo</v>
      </c>
      <c r="I211" s="4" t="str">
        <f>IFERROR(_xlfn.XLOOKUP(G211,Listas!E:E,Listas!G:G,""),"")</f>
        <v>Externo</v>
      </c>
      <c r="J211" s="51">
        <v>3018.63</v>
      </c>
      <c r="K211" s="5">
        <f t="shared" si="3"/>
        <v>-3018.63</v>
      </c>
      <c r="L211" s="6" t="s">
        <v>93</v>
      </c>
      <c r="M211" s="52">
        <f>SUMIFS('Saldos Iniciales'!$D$2:$D$38,'Saldos Iniciales'!$A$2:$A$38,C211,'Saldos Iniciales'!$B$2:$B$38,D211)+SUMIFS($K$1:$K$1048575,$C$1:$C$1048575,C211,$D$1:$D$1048575,D211,$B$1:$B$1048575,"&lt;="&amp;B211)</f>
        <v>9076.2400000000016</v>
      </c>
      <c r="N211" s="30" t="str">
        <f>IF(tblMovimientos[[#This Row],[Tipo de Movimiento]]="Ingreso",tblMovimientos[[#This Row],[Monto (S/)]],"0")</f>
        <v>0</v>
      </c>
      <c r="O211" s="30">
        <f>IF(tblMovimientos[[#This Row],[Tipo de Movimiento]]="Egreso",tblMovimientos[[#This Row],[Monto (S/)]],"0")</f>
        <v>3018.63</v>
      </c>
      <c r="P211" s="34">
        <f>IF(tblMovimientos[[#This Row],[Tipo de Movimiento]]="Ingreso",tblMovimientos[[#This Row],[Ingreso]],-tblMovimientos[[#This Row],[Egreso]])</f>
        <v>-3018.63</v>
      </c>
    </row>
    <row r="212" spans="2:16" hidden="1" x14ac:dyDescent="0.3">
      <c r="B212" s="47">
        <v>46171</v>
      </c>
      <c r="C212" s="4" t="str">
        <f>_xlfn.XLOOKUP(tblMovimientos[[#This Row],[Cuenta Bancaria]],Listas!$B:$B,Listas!$A:$A,"")</f>
        <v>SSP Capital</v>
      </c>
      <c r="D212" s="49" t="s">
        <v>101</v>
      </c>
      <c r="E212" s="4" t="str">
        <f>_xlfn.XLOOKUP(tblMovimientos[[#This Row],[Cuenta Bancaria]],Listas!$B:$B,Listas!$C:$C,"")</f>
        <v>Bank of America</v>
      </c>
      <c r="F212" s="49" t="s">
        <v>10</v>
      </c>
      <c r="G212" s="49" t="s">
        <v>38</v>
      </c>
      <c r="H212" s="4" t="str">
        <f>IFERROR(_xlfn.XLOOKUP(G212,Listas!E:E,Listas!F:F,""),"")</f>
        <v>Operativo</v>
      </c>
      <c r="I212" s="4" t="str">
        <f>IFERROR(_xlfn.XLOOKUP(G212,Listas!E:E,Listas!G:G,""),"")</f>
        <v>Externo</v>
      </c>
      <c r="J212" s="51">
        <v>193.01</v>
      </c>
      <c r="K212" s="5">
        <f t="shared" si="3"/>
        <v>-193.01</v>
      </c>
      <c r="L212" s="6" t="s">
        <v>93</v>
      </c>
      <c r="M212" s="52">
        <f>SUMIFS('Saldos Iniciales'!$D$2:$D$38,'Saldos Iniciales'!$A$2:$A$38,C212,'Saldos Iniciales'!$B$2:$B$38,D212)+SUMIFS($K$1:$K$1048575,$C$1:$C$1048575,C212,$D$1:$D$1048575,D212,$B$1:$B$1048575,"&lt;="&amp;B212)</f>
        <v>10843.210000000001</v>
      </c>
      <c r="N212" s="30" t="str">
        <f>IF(tblMovimientos[[#This Row],[Tipo de Movimiento]]="Ingreso",tblMovimientos[[#This Row],[Monto (S/)]],"0")</f>
        <v>0</v>
      </c>
      <c r="O212" s="30">
        <f>IF(tblMovimientos[[#This Row],[Tipo de Movimiento]]="Egreso",tblMovimientos[[#This Row],[Monto (S/)]],"0")</f>
        <v>193.01</v>
      </c>
      <c r="P212" s="34">
        <f>IF(tblMovimientos[[#This Row],[Tipo de Movimiento]]="Ingreso",tblMovimientos[[#This Row],[Ingreso]],-tblMovimientos[[#This Row],[Egreso]])</f>
        <v>-193.01</v>
      </c>
    </row>
    <row r="213" spans="2:16" hidden="1" x14ac:dyDescent="0.3">
      <c r="B213" s="47">
        <v>46171</v>
      </c>
      <c r="C213" s="4" t="str">
        <f>_xlfn.XLOOKUP(tblMovimientos[[#This Row],[Cuenta Bancaria]],Listas!$B:$B,Listas!$A:$A,"")</f>
        <v>A&amp;M Imports</v>
      </c>
      <c r="D213" s="49" t="s">
        <v>100</v>
      </c>
      <c r="E213" s="4" t="str">
        <f>_xlfn.XLOOKUP(tblMovimientos[[#This Row],[Cuenta Bancaria]],Listas!$B:$B,Listas!$C:$C,"")</f>
        <v>Bank of America</v>
      </c>
      <c r="F213" s="49" t="s">
        <v>9</v>
      </c>
      <c r="G213" s="49" t="s">
        <v>80</v>
      </c>
      <c r="H213" s="4" t="str">
        <f>IFERROR(_xlfn.XLOOKUP(G213,Listas!E:E,Listas!F:F,""),"")</f>
        <v>Operativo</v>
      </c>
      <c r="I213" s="4" t="str">
        <f>IFERROR(_xlfn.XLOOKUP(G213,Listas!E:E,Listas!G:G,""),"")</f>
        <v>Externo</v>
      </c>
      <c r="J213" s="51">
        <v>46804.94</v>
      </c>
      <c r="K213" s="5">
        <f t="shared" si="3"/>
        <v>46804.94</v>
      </c>
      <c r="L213" s="6" t="s">
        <v>93</v>
      </c>
      <c r="M213" s="52">
        <f>SUMIFS('Saldos Iniciales'!$D$2:$D$38,'Saldos Iniciales'!$A$2:$A$38,C213,'Saldos Iniciales'!$B$2:$B$38,D213)+SUMIFS($K$1:$K$1048575,$C$1:$C$1048575,C213,$D$1:$D$1048575,D213,$B$1:$B$1048575,"&lt;="&amp;B213)</f>
        <v>424853.11999999988</v>
      </c>
      <c r="N213" s="30">
        <f>IF(tblMovimientos[[#This Row],[Tipo de Movimiento]]="Ingreso",tblMovimientos[[#This Row],[Monto (S/)]],"0")</f>
        <v>46804.94</v>
      </c>
      <c r="O213" s="30" t="str">
        <f>IF(tblMovimientos[[#This Row],[Tipo de Movimiento]]="Egreso",tblMovimientos[[#This Row],[Monto (S/)]],"0")</f>
        <v>0</v>
      </c>
      <c r="P213" s="34">
        <f>IF(tblMovimientos[[#This Row],[Tipo de Movimiento]]="Ingreso",tblMovimientos[[#This Row],[Ingreso]],-tblMovimientos[[#This Row],[Egreso]])</f>
        <v>46804.94</v>
      </c>
    </row>
    <row r="214" spans="2:16" hidden="1" x14ac:dyDescent="0.3">
      <c r="B214" s="47">
        <v>46171</v>
      </c>
      <c r="C214" s="4" t="str">
        <f>_xlfn.XLOOKUP(tblMovimientos[[#This Row],[Cuenta Bancaria]],Listas!$B:$B,Listas!$A:$A,"")</f>
        <v>A&amp;M Imports</v>
      </c>
      <c r="D214" s="49" t="s">
        <v>100</v>
      </c>
      <c r="E214" s="4" t="str">
        <f>_xlfn.XLOOKUP(tblMovimientos[[#This Row],[Cuenta Bancaria]],Listas!$B:$B,Listas!$C:$C,"")</f>
        <v>Bank of America</v>
      </c>
      <c r="F214" s="49" t="s">
        <v>9</v>
      </c>
      <c r="G214" s="49" t="s">
        <v>68</v>
      </c>
      <c r="H214" s="4" t="str">
        <f>IFERROR(_xlfn.XLOOKUP(G214,Listas!E:E,Listas!F:F,""),"")</f>
        <v>Operativo</v>
      </c>
      <c r="I214" s="4" t="str">
        <f>IFERROR(_xlfn.XLOOKUP(G214,Listas!E:E,Listas!G:G,""),"")</f>
        <v>Externo</v>
      </c>
      <c r="J214" s="51">
        <v>1452.33</v>
      </c>
      <c r="K214" s="5">
        <f t="shared" si="3"/>
        <v>1452.33</v>
      </c>
      <c r="L214" s="6" t="s">
        <v>93</v>
      </c>
      <c r="M214" s="52">
        <f>SUMIFS('Saldos Iniciales'!$D$2:$D$38,'Saldos Iniciales'!$A$2:$A$38,C214,'Saldos Iniciales'!$B$2:$B$38,D214)+SUMIFS($K$1:$K$1048575,$C$1:$C$1048575,C214,$D$1:$D$1048575,D214,$B$1:$B$1048575,"&lt;="&amp;B214)</f>
        <v>424853.11999999988</v>
      </c>
      <c r="N214" s="30">
        <f>IF(tblMovimientos[[#This Row],[Tipo de Movimiento]]="Ingreso",tblMovimientos[[#This Row],[Monto (S/)]],"0")</f>
        <v>1452.33</v>
      </c>
      <c r="O214" s="30" t="str">
        <f>IF(tblMovimientos[[#This Row],[Tipo de Movimiento]]="Egreso",tblMovimientos[[#This Row],[Monto (S/)]],"0")</f>
        <v>0</v>
      </c>
      <c r="P214" s="34">
        <f>IF(tblMovimientos[[#This Row],[Tipo de Movimiento]]="Ingreso",tblMovimientos[[#This Row],[Ingreso]],-tblMovimientos[[#This Row],[Egreso]])</f>
        <v>1452.33</v>
      </c>
    </row>
    <row r="215" spans="2:16" hidden="1" x14ac:dyDescent="0.3">
      <c r="B215" s="47">
        <v>46171</v>
      </c>
      <c r="C215" s="4" t="str">
        <f>_xlfn.XLOOKUP(tblMovimientos[[#This Row],[Cuenta Bancaria]],Listas!$B:$B,Listas!$A:$A,"")</f>
        <v>CFT Group</v>
      </c>
      <c r="D215" s="49" t="s">
        <v>94</v>
      </c>
      <c r="E215" s="4" t="str">
        <f>_xlfn.XLOOKUP(tblMovimientos[[#This Row],[Cuenta Bancaria]],Listas!$B:$B,Listas!$C:$C,"")</f>
        <v>Bank of America</v>
      </c>
      <c r="F215" s="49" t="s">
        <v>10</v>
      </c>
      <c r="G215" s="49" t="s">
        <v>40</v>
      </c>
      <c r="H215" s="4" t="str">
        <f>IFERROR(_xlfn.XLOOKUP(G215,Listas!E:E,Listas!F:F,""),"")</f>
        <v>Operativo</v>
      </c>
      <c r="I215" s="4" t="str">
        <f>IFERROR(_xlfn.XLOOKUP(G215,Listas!E:E,Listas!G:G,""),"")</f>
        <v>Externo</v>
      </c>
      <c r="J215" s="51">
        <v>2977.95</v>
      </c>
      <c r="K215" s="5">
        <f t="shared" si="3"/>
        <v>-2977.95</v>
      </c>
      <c r="L215" s="6" t="s">
        <v>93</v>
      </c>
      <c r="M215" s="52">
        <f>SUMIFS('Saldos Iniciales'!$D$2:$D$38,'Saldos Iniciales'!$A$2:$A$38,C215,'Saldos Iniciales'!$B$2:$B$38,D215)+SUMIFS($K$1:$K$1048575,$C$1:$C$1048575,C215,$D$1:$D$1048575,D215,$B$1:$B$1048575,"&lt;="&amp;B215)</f>
        <v>193489.58</v>
      </c>
      <c r="N215" s="30" t="str">
        <f>IF(tblMovimientos[[#This Row],[Tipo de Movimiento]]="Ingreso",tblMovimientos[[#This Row],[Monto (S/)]],"0")</f>
        <v>0</v>
      </c>
      <c r="O215" s="30">
        <f>IF(tblMovimientos[[#This Row],[Tipo de Movimiento]]="Egreso",tblMovimientos[[#This Row],[Monto (S/)]],"0")</f>
        <v>2977.95</v>
      </c>
      <c r="P215" s="34">
        <f>IF(tblMovimientos[[#This Row],[Tipo de Movimiento]]="Ingreso",tblMovimientos[[#This Row],[Ingreso]],-tblMovimientos[[#This Row],[Egreso]])</f>
        <v>-2977.95</v>
      </c>
    </row>
    <row r="216" spans="2:16" hidden="1" x14ac:dyDescent="0.3">
      <c r="B216" s="47">
        <v>46171</v>
      </c>
      <c r="C216" s="4" t="str">
        <f>_xlfn.XLOOKUP(tblMovimientos[[#This Row],[Cuenta Bancaria]],Listas!$B:$B,Listas!$A:$A,"")</f>
        <v>CFT Group</v>
      </c>
      <c r="D216" s="49" t="s">
        <v>94</v>
      </c>
      <c r="E216" s="4" t="str">
        <f>_xlfn.XLOOKUP(tblMovimientos[[#This Row],[Cuenta Bancaria]],Listas!$B:$B,Listas!$C:$C,"")</f>
        <v>Bank of America</v>
      </c>
      <c r="F216" s="49" t="s">
        <v>10</v>
      </c>
      <c r="G216" s="49" t="s">
        <v>42</v>
      </c>
      <c r="H216" s="4" t="str">
        <f>IFERROR(_xlfn.XLOOKUP(G216,Listas!E:E,Listas!F:F,""),"")</f>
        <v>Operativo</v>
      </c>
      <c r="I216" s="4" t="str">
        <f>IFERROR(_xlfn.XLOOKUP(G216,Listas!E:E,Listas!G:G,""),"")</f>
        <v>Externo</v>
      </c>
      <c r="J216" s="51">
        <v>611.1</v>
      </c>
      <c r="K216" s="5">
        <f t="shared" si="3"/>
        <v>-611.1</v>
      </c>
      <c r="L216" s="6" t="s">
        <v>93</v>
      </c>
      <c r="M216" s="52">
        <f>SUMIFS('Saldos Iniciales'!$D$2:$D$38,'Saldos Iniciales'!$A$2:$A$38,C216,'Saldos Iniciales'!$B$2:$B$38,D216)+SUMIFS($K$1:$K$1048575,$C$1:$C$1048575,C216,$D$1:$D$1048575,D216,$B$1:$B$1048575,"&lt;="&amp;B216)</f>
        <v>193489.58</v>
      </c>
      <c r="N216" s="30" t="str">
        <f>IF(tblMovimientos[[#This Row],[Tipo de Movimiento]]="Ingreso",tblMovimientos[[#This Row],[Monto (S/)]],"0")</f>
        <v>0</v>
      </c>
      <c r="O216" s="30">
        <f>IF(tblMovimientos[[#This Row],[Tipo de Movimiento]]="Egreso",tblMovimientos[[#This Row],[Monto (S/)]],"0")</f>
        <v>611.1</v>
      </c>
      <c r="P216" s="34">
        <f>IF(tblMovimientos[[#This Row],[Tipo de Movimiento]]="Ingreso",tblMovimientos[[#This Row],[Ingreso]],-tblMovimientos[[#This Row],[Egreso]])</f>
        <v>-611.1</v>
      </c>
    </row>
    <row r="217" spans="2:16" hidden="1" x14ac:dyDescent="0.3">
      <c r="B217" s="47">
        <v>46171</v>
      </c>
      <c r="C217" s="4" t="str">
        <f>_xlfn.XLOOKUP(tblMovimientos[[#This Row],[Cuenta Bancaria]],Listas!$B:$B,Listas!$A:$A,"")</f>
        <v>2515 Overbrook</v>
      </c>
      <c r="D217" s="49" t="s">
        <v>121</v>
      </c>
      <c r="E217" s="4" t="str">
        <f>_xlfn.XLOOKUP(tblMovimientos[[#This Row],[Cuenta Bancaria]],Listas!$B:$B,Listas!$C:$C,"")</f>
        <v>Bank of America</v>
      </c>
      <c r="F217" s="49" t="s">
        <v>10</v>
      </c>
      <c r="G217" s="49" t="s">
        <v>44</v>
      </c>
      <c r="H217" s="4" t="str">
        <f>IFERROR(_xlfn.XLOOKUP(G217,Listas!E:E,Listas!F:F,""),"")</f>
        <v>Operativo</v>
      </c>
      <c r="I217" s="4" t="str">
        <f>IFERROR(_xlfn.XLOOKUP(G217,Listas!E:E,Listas!G:G,""),"")</f>
        <v>Externo</v>
      </c>
      <c r="J217" s="51">
        <v>15</v>
      </c>
      <c r="K217" s="5">
        <f t="shared" si="3"/>
        <v>-15</v>
      </c>
      <c r="L217" s="6" t="s">
        <v>93</v>
      </c>
      <c r="M217" s="52">
        <f>SUMIFS('Saldos Iniciales'!$D$2:$D$38,'Saldos Iniciales'!$A$2:$A$38,C217,'Saldos Iniciales'!$B$2:$B$38,D217)+SUMIFS($K$1:$K$1048575,$C$1:$C$1048575,C217,$D$1:$D$1048575,D217,$B$1:$B$1048575,"&lt;="&amp;B217)</f>
        <v>35108.179999999964</v>
      </c>
      <c r="N217" s="30" t="str">
        <f>IF(tblMovimientos[[#This Row],[Tipo de Movimiento]]="Ingreso",tblMovimientos[[#This Row],[Monto (S/)]],"0")</f>
        <v>0</v>
      </c>
      <c r="O217" s="30">
        <f>IF(tblMovimientos[[#This Row],[Tipo de Movimiento]]="Egreso",tblMovimientos[[#This Row],[Monto (S/)]],"0")</f>
        <v>15</v>
      </c>
      <c r="P217" s="34">
        <f>IF(tblMovimientos[[#This Row],[Tipo de Movimiento]]="Ingreso",tblMovimientos[[#This Row],[Ingreso]],-tblMovimientos[[#This Row],[Egreso]])</f>
        <v>-15</v>
      </c>
    </row>
    <row r="218" spans="2:16" hidden="1" x14ac:dyDescent="0.3">
      <c r="B218" s="47">
        <v>46171</v>
      </c>
      <c r="C218" s="4" t="str">
        <f>_xlfn.XLOOKUP(tblMovimientos[[#This Row],[Cuenta Bancaria]],Listas!$B:$B,Listas!$A:$A,"")</f>
        <v>SSP Capital</v>
      </c>
      <c r="D218" s="49" t="s">
        <v>106</v>
      </c>
      <c r="E218" s="4" t="str">
        <f>_xlfn.XLOOKUP(tblMovimientos[[#This Row],[Cuenta Bancaria]],Listas!$B:$B,Listas!$C:$C,"")</f>
        <v xml:space="preserve">Amerant Bank </v>
      </c>
      <c r="F218" s="49" t="s">
        <v>9</v>
      </c>
      <c r="G218" s="49" t="s">
        <v>84</v>
      </c>
      <c r="H218" s="4" t="str">
        <f>IFERROR(_xlfn.XLOOKUP(G218,Listas!E:E,Listas!F:F,""),"")</f>
        <v>Operativo</v>
      </c>
      <c r="I218" s="4" t="str">
        <f>IFERROR(_xlfn.XLOOKUP(G218,Listas!E:E,Listas!G:G,""),"")</f>
        <v>Externo</v>
      </c>
      <c r="J218" s="51">
        <v>2291.75</v>
      </c>
      <c r="K218" s="5">
        <f t="shared" ref="K218:K229" si="4">IF(F218="Ingreso",J218,-J218)</f>
        <v>2291.75</v>
      </c>
      <c r="L218" s="6" t="s">
        <v>93</v>
      </c>
      <c r="M218" s="52">
        <f>SUMIFS('Saldos Iniciales'!$D$2:$D$38,'Saldos Iniciales'!$A$2:$A$38,C218,'Saldos Iniciales'!$B$2:$B$38,D218)+SUMIFS($K$1:$K$1048575,$C$1:$C$1048575,C218,$D$1:$D$1048575,D218,$B$1:$B$1048575,"&lt;="&amp;B218)</f>
        <v>749812.95</v>
      </c>
      <c r="N218" s="30">
        <f>IF(tblMovimientos[[#This Row],[Tipo de Movimiento]]="Ingreso",tblMovimientos[[#This Row],[Monto (S/)]],"0")</f>
        <v>2291.75</v>
      </c>
      <c r="O218" s="30" t="str">
        <f>IF(tblMovimientos[[#This Row],[Tipo de Movimiento]]="Egreso",tblMovimientos[[#This Row],[Monto (S/)]],"0")</f>
        <v>0</v>
      </c>
      <c r="P218" s="34">
        <f>IF(tblMovimientos[[#This Row],[Tipo de Movimiento]]="Ingreso",tblMovimientos[[#This Row],[Ingreso]],-tblMovimientos[[#This Row],[Egreso]])</f>
        <v>2291.75</v>
      </c>
    </row>
    <row r="219" spans="2:16" hidden="1" x14ac:dyDescent="0.3">
      <c r="B219" s="47">
        <v>46171</v>
      </c>
      <c r="C219" s="4" t="str">
        <f>_xlfn.XLOOKUP(tblMovimientos[[#This Row],[Cuenta Bancaria]],Listas!$B:$B,Listas!$A:$A,"")</f>
        <v>SSP Capital</v>
      </c>
      <c r="D219" s="49" t="s">
        <v>104</v>
      </c>
      <c r="E219" s="4" t="str">
        <f>_xlfn.XLOOKUP(tblMovimientos[[#This Row],[Cuenta Bancaria]],Listas!$B:$B,Listas!$C:$C,"")</f>
        <v xml:space="preserve">Amerant Bank </v>
      </c>
      <c r="F219" s="49" t="s">
        <v>10</v>
      </c>
      <c r="G219" s="49" t="s">
        <v>42</v>
      </c>
      <c r="H219" s="4" t="str">
        <f>IFERROR(_xlfn.XLOOKUP(G219,Listas!E:E,Listas!F:F,""),"")</f>
        <v>Operativo</v>
      </c>
      <c r="I219" s="4" t="str">
        <f>IFERROR(_xlfn.XLOOKUP(G219,Listas!E:E,Listas!G:G,""),"")</f>
        <v>Externo</v>
      </c>
      <c r="J219" s="51">
        <v>76593.55</v>
      </c>
      <c r="K219" s="5">
        <f t="shared" si="4"/>
        <v>-76593.55</v>
      </c>
      <c r="L219" s="6" t="s">
        <v>93</v>
      </c>
      <c r="M219" s="52">
        <f>SUMIFS('Saldos Iniciales'!$D$2:$D$38,'Saldos Iniciales'!$A$2:$A$38,C219,'Saldos Iniciales'!$B$2:$B$38,D219)+SUMIFS($K$1:$K$1048575,$C$1:$C$1048575,C219,$D$1:$D$1048575,D219,$B$1:$B$1048575,"&lt;="&amp;B219)</f>
        <v>244921.30999999936</v>
      </c>
      <c r="N219" s="30" t="str">
        <f>IF(tblMovimientos[[#This Row],[Tipo de Movimiento]]="Ingreso",tblMovimientos[[#This Row],[Monto (S/)]],"0")</f>
        <v>0</v>
      </c>
      <c r="O219" s="30">
        <f>IF(tblMovimientos[[#This Row],[Tipo de Movimiento]]="Egreso",tblMovimientos[[#This Row],[Monto (S/)]],"0")</f>
        <v>76593.55</v>
      </c>
      <c r="P219" s="34">
        <f>IF(tblMovimientos[[#This Row],[Tipo de Movimiento]]="Ingreso",tblMovimientos[[#This Row],[Ingreso]],-tblMovimientos[[#This Row],[Egreso]])</f>
        <v>-76593.55</v>
      </c>
    </row>
    <row r="220" spans="2:16" hidden="1" x14ac:dyDescent="0.3">
      <c r="B220" s="47">
        <v>46171</v>
      </c>
      <c r="C220" s="4" t="str">
        <f>_xlfn.XLOOKUP(tblMovimientos[[#This Row],[Cuenta Bancaria]],Listas!$B:$B,Listas!$A:$A,"")</f>
        <v>Electrama</v>
      </c>
      <c r="D220" s="49" t="s">
        <v>113</v>
      </c>
      <c r="E220" s="4" t="str">
        <f>_xlfn.XLOOKUP(tblMovimientos[[#This Row],[Cuenta Bancaria]],Listas!$B:$B,Listas!$C:$C,"")</f>
        <v>Chase Bank</v>
      </c>
      <c r="F220" s="49" t="s">
        <v>10</v>
      </c>
      <c r="H220" s="4">
        <f>IFERROR(_xlfn.XLOOKUP(G220,Listas!E:E,Listas!F:F,""),"")</f>
        <v>0</v>
      </c>
      <c r="I220" s="4">
        <f>IFERROR(_xlfn.XLOOKUP(G220,Listas!E:E,Listas!G:G,""),"")</f>
        <v>0</v>
      </c>
      <c r="J220" s="51">
        <v>1270.43</v>
      </c>
      <c r="K220" s="5">
        <f t="shared" si="4"/>
        <v>-1270.43</v>
      </c>
      <c r="L220" s="6" t="s">
        <v>93</v>
      </c>
      <c r="M220" s="52">
        <f>SUMIFS('Saldos Iniciales'!$D$2:$D$38,'Saldos Iniciales'!$A$2:$A$38,C220,'Saldos Iniciales'!$B$2:$B$38,D220)+SUMIFS($K$1:$K$1048575,$C$1:$C$1048575,C220,$D$1:$D$1048575,D220,$B$1:$B$1048575,"&lt;="&amp;B220)</f>
        <v>1227.9699999999998</v>
      </c>
      <c r="N220" s="30" t="str">
        <f>IF(tblMovimientos[[#This Row],[Tipo de Movimiento]]="Ingreso",tblMovimientos[[#This Row],[Monto (S/)]],"0")</f>
        <v>0</v>
      </c>
      <c r="O220" s="30">
        <f>IF(tblMovimientos[[#This Row],[Tipo de Movimiento]]="Egreso",tblMovimientos[[#This Row],[Monto (S/)]],"0")</f>
        <v>1270.43</v>
      </c>
      <c r="P220" s="34">
        <f>IF(tblMovimientos[[#This Row],[Tipo de Movimiento]]="Ingreso",tblMovimientos[[#This Row],[Ingreso]],-tblMovimientos[[#This Row],[Egreso]])</f>
        <v>-1270.43</v>
      </c>
    </row>
    <row r="221" spans="2:16" x14ac:dyDescent="0.3">
      <c r="B221" s="47">
        <v>46174</v>
      </c>
      <c r="C221" s="4" t="str">
        <f>_xlfn.XLOOKUP(tblMovimientos[[#This Row],[Cuenta Bancaria]],Listas!$B:$B,Listas!$A:$A,"")</f>
        <v>A&amp;M Imports</v>
      </c>
      <c r="D221" s="49" t="s">
        <v>100</v>
      </c>
      <c r="E221" s="4" t="str">
        <f>_xlfn.XLOOKUP(tblMovimientos[[#This Row],[Cuenta Bancaria]],Listas!$B:$B,Listas!$C:$C,"")</f>
        <v>Bank of America</v>
      </c>
      <c r="F221" s="49" t="s">
        <v>9</v>
      </c>
      <c r="G221" s="49" t="s">
        <v>80</v>
      </c>
      <c r="H221" s="4" t="str">
        <f>IFERROR(_xlfn.XLOOKUP(G221,Listas!E:E,Listas!F:F,""),"")</f>
        <v>Operativo</v>
      </c>
      <c r="I221" s="4" t="str">
        <f>IFERROR(_xlfn.XLOOKUP(G221,Listas!E:E,Listas!G:G,""),"")</f>
        <v>Externo</v>
      </c>
      <c r="J221" s="51">
        <v>380000</v>
      </c>
      <c r="K221" s="5">
        <f t="shared" si="4"/>
        <v>380000</v>
      </c>
      <c r="L221" s="16" t="s">
        <v>128</v>
      </c>
      <c r="M221" s="52">
        <f>SUMIFS('Saldos Iniciales'!$D$2:$D$38,'Saldos Iniciales'!$A$2:$A$38,C221,'Saldos Iniciales'!$B$2:$B$38,D221)+SUMIFS($K$1:$K$1048575,$C$1:$C$1048575,C221,$D$1:$D$1048575,D221,$B$1:$B$1048575,"&lt;="&amp;B221)</f>
        <v>804853.11999999988</v>
      </c>
      <c r="N221" s="30">
        <f>IF(tblMovimientos[[#This Row],[Tipo de Movimiento]]="Ingreso",tblMovimientos[[#This Row],[Monto (S/)]],"0")</f>
        <v>380000</v>
      </c>
      <c r="O221" s="30" t="str">
        <f>IF(tblMovimientos[[#This Row],[Tipo de Movimiento]]="Egreso",tblMovimientos[[#This Row],[Monto (S/)]],"0")</f>
        <v>0</v>
      </c>
      <c r="P221" s="34">
        <f>IF(tblMovimientos[[#This Row],[Tipo de Movimiento]]="Ingreso",tblMovimientos[[#This Row],[Ingreso]],-tblMovimientos[[#This Row],[Egreso]])</f>
        <v>380000</v>
      </c>
    </row>
    <row r="222" spans="2:16" x14ac:dyDescent="0.3">
      <c r="B222" s="47">
        <v>46174</v>
      </c>
      <c r="C222" s="4" t="str">
        <f>_xlfn.XLOOKUP(tblMovimientos[[#This Row],[Cuenta Bancaria]],Listas!$B:$B,Listas!$A:$A,"")</f>
        <v>Sacred Valley Capital</v>
      </c>
      <c r="D222" s="49" t="s">
        <v>114</v>
      </c>
      <c r="E222" s="4" t="str">
        <f>_xlfn.XLOOKUP(tblMovimientos[[#This Row],[Cuenta Bancaria]],Listas!$B:$B,Listas!$C:$C,"")</f>
        <v>Bank of America</v>
      </c>
      <c r="F222" s="49" t="s">
        <v>10</v>
      </c>
      <c r="G222" s="49" t="s">
        <v>44</v>
      </c>
      <c r="H222" s="4" t="str">
        <f>IFERROR(_xlfn.XLOOKUP(G222,Listas!E:E,Listas!F:F,""),"")</f>
        <v>Operativo</v>
      </c>
      <c r="I222" s="4" t="str">
        <f>IFERROR(_xlfn.XLOOKUP(G222,Listas!E:E,Listas!G:G,""),"")</f>
        <v>Externo</v>
      </c>
      <c r="J222" s="51">
        <v>29.95</v>
      </c>
      <c r="K222" s="5">
        <f t="shared" si="4"/>
        <v>-29.95</v>
      </c>
      <c r="L222" s="16" t="s">
        <v>128</v>
      </c>
      <c r="M222" s="52">
        <f>SUMIFS('Saldos Iniciales'!$D$2:$D$38,'Saldos Iniciales'!$A$2:$A$38,C222,'Saldos Iniciales'!$B$2:$B$38,D222)+SUMIFS($K$1:$K$1048575,$C$1:$C$1048575,C222,$D$1:$D$1048575,D222,$B$1:$B$1048575,"&lt;="&amp;B222)</f>
        <v>84.35</v>
      </c>
      <c r="N222" s="30" t="str">
        <f>IF(tblMovimientos[[#This Row],[Tipo de Movimiento]]="Ingreso",tblMovimientos[[#This Row],[Monto (S/)]],"0")</f>
        <v>0</v>
      </c>
      <c r="O222" s="30">
        <f>IF(tblMovimientos[[#This Row],[Tipo de Movimiento]]="Egreso",tblMovimientos[[#This Row],[Monto (S/)]],"0")</f>
        <v>29.95</v>
      </c>
      <c r="P222" s="34">
        <f>IF(tblMovimientos[[#This Row],[Tipo de Movimiento]]="Ingreso",tblMovimientos[[#This Row],[Ingreso]],-tblMovimientos[[#This Row],[Egreso]])</f>
        <v>-29.95</v>
      </c>
    </row>
    <row r="223" spans="2:16" x14ac:dyDescent="0.3">
      <c r="B223" s="47">
        <v>46174</v>
      </c>
      <c r="C223" s="4" t="str">
        <f>_xlfn.XLOOKUP(tblMovimientos[[#This Row],[Cuenta Bancaria]],Listas!$B:$B,Listas!$A:$A,"")</f>
        <v>YWC Capital</v>
      </c>
      <c r="D223" s="49" t="s">
        <v>115</v>
      </c>
      <c r="E223" s="4" t="str">
        <f>_xlfn.XLOOKUP(tblMovimientos[[#This Row],[Cuenta Bancaria]],Listas!$B:$B,Listas!$C:$C,"")</f>
        <v>Bank of America</v>
      </c>
      <c r="F223" s="49" t="s">
        <v>10</v>
      </c>
      <c r="G223" s="49" t="s">
        <v>44</v>
      </c>
      <c r="H223" s="4" t="str">
        <f>IFERROR(_xlfn.XLOOKUP(G223,Listas!E:E,Listas!F:F,""),"")</f>
        <v>Operativo</v>
      </c>
      <c r="I223" s="4" t="str">
        <f>IFERROR(_xlfn.XLOOKUP(G223,Listas!E:E,Listas!G:G,""),"")</f>
        <v>Externo</v>
      </c>
      <c r="J223" s="51">
        <v>29.95</v>
      </c>
      <c r="K223" s="5">
        <f t="shared" si="4"/>
        <v>-29.95</v>
      </c>
      <c r="L223" s="16" t="s">
        <v>128</v>
      </c>
      <c r="M223" s="52">
        <f>SUMIFS('Saldos Iniciales'!$D$2:$D$38,'Saldos Iniciales'!$A$2:$A$38,C223,'Saldos Iniciales'!$B$2:$B$38,D223)+SUMIFS($K$1:$K$1048575,$C$1:$C$1048575,C223,$D$1:$D$1048575,D223,$B$1:$B$1048575,"&lt;="&amp;B223)</f>
        <v>2237.77</v>
      </c>
      <c r="N223" s="30" t="str">
        <f>IF(tblMovimientos[[#This Row],[Tipo de Movimiento]]="Ingreso",tblMovimientos[[#This Row],[Monto (S/)]],"0")</f>
        <v>0</v>
      </c>
      <c r="O223" s="30">
        <f>IF(tblMovimientos[[#This Row],[Tipo de Movimiento]]="Egreso",tblMovimientos[[#This Row],[Monto (S/)]],"0")</f>
        <v>29.95</v>
      </c>
      <c r="P223" s="34">
        <f>IF(tblMovimientos[[#This Row],[Tipo de Movimiento]]="Ingreso",tblMovimientos[[#This Row],[Ingreso]],-tblMovimientos[[#This Row],[Egreso]])</f>
        <v>-29.95</v>
      </c>
    </row>
    <row r="224" spans="2:16" x14ac:dyDescent="0.3">
      <c r="B224" s="47">
        <v>46174</v>
      </c>
      <c r="C224" s="4" t="str">
        <f>_xlfn.XLOOKUP(tblMovimientos[[#This Row],[Cuenta Bancaria]],Listas!$B:$B,Listas!$A:$A,"")</f>
        <v>Arbor Capital Properties</v>
      </c>
      <c r="D224" s="49" t="s">
        <v>120</v>
      </c>
      <c r="E224" s="4" t="str">
        <f>_xlfn.XLOOKUP(tblMovimientos[[#This Row],[Cuenta Bancaria]],Listas!$B:$B,Listas!$C:$C,"")</f>
        <v>Bank of America</v>
      </c>
      <c r="F224" s="49" t="s">
        <v>10</v>
      </c>
      <c r="G224" s="49" t="s">
        <v>44</v>
      </c>
      <c r="H224" s="4" t="str">
        <f>IFERROR(_xlfn.XLOOKUP(G224,Listas!E:E,Listas!F:F,""),"")</f>
        <v>Operativo</v>
      </c>
      <c r="I224" s="4" t="str">
        <f>IFERROR(_xlfn.XLOOKUP(G224,Listas!E:E,Listas!G:G,""),"")</f>
        <v>Externo</v>
      </c>
      <c r="J224" s="51">
        <v>16</v>
      </c>
      <c r="K224" s="5">
        <f t="shared" si="4"/>
        <v>-16</v>
      </c>
      <c r="L224" s="16" t="s">
        <v>128</v>
      </c>
      <c r="M224" s="52">
        <f>SUMIFS('Saldos Iniciales'!$D$2:$D$38,'Saldos Iniciales'!$A$2:$A$38,C224,'Saldos Iniciales'!$B$2:$B$38,D224)+SUMIFS($K$1:$K$1048575,$C$1:$C$1048575,C224,$D$1:$D$1048575,D224,$B$1:$B$1048575,"&lt;="&amp;B224)</f>
        <v>1428.08</v>
      </c>
      <c r="N224" s="30" t="str">
        <f>IF(tblMovimientos[[#This Row],[Tipo de Movimiento]]="Ingreso",tblMovimientos[[#This Row],[Monto (S/)]],"0")</f>
        <v>0</v>
      </c>
      <c r="O224" s="30">
        <f>IF(tblMovimientos[[#This Row],[Tipo de Movimiento]]="Egreso",tblMovimientos[[#This Row],[Monto (S/)]],"0")</f>
        <v>16</v>
      </c>
      <c r="P224" s="34">
        <f>IF(tblMovimientos[[#This Row],[Tipo de Movimiento]]="Ingreso",tblMovimientos[[#This Row],[Ingreso]],-tblMovimientos[[#This Row],[Egreso]])</f>
        <v>-16</v>
      </c>
    </row>
    <row r="225" spans="2:16" x14ac:dyDescent="0.3">
      <c r="B225" s="47">
        <v>46174</v>
      </c>
      <c r="C225" s="4" t="str">
        <f>_xlfn.XLOOKUP(tblMovimientos[[#This Row],[Cuenta Bancaria]],Listas!$B:$B,Listas!$A:$A,"")</f>
        <v>2515 Overbrook</v>
      </c>
      <c r="D225" s="49" t="s">
        <v>121</v>
      </c>
      <c r="E225" s="4" t="str">
        <f>_xlfn.XLOOKUP(tblMovimientos[[#This Row],[Cuenta Bancaria]],Listas!$B:$B,Listas!$C:$C,"")</f>
        <v>Bank of America</v>
      </c>
      <c r="F225" s="49" t="s">
        <v>10</v>
      </c>
      <c r="G225" s="49" t="s">
        <v>38</v>
      </c>
      <c r="H225" s="4" t="str">
        <f>IFERROR(_xlfn.XLOOKUP(G225,Listas!E:E,Listas!F:F,""),"")</f>
        <v>Operativo</v>
      </c>
      <c r="I225" s="4" t="str">
        <f>IFERROR(_xlfn.XLOOKUP(G225,Listas!E:E,Listas!G:G,""),"")</f>
        <v>Externo</v>
      </c>
      <c r="J225" s="51">
        <v>489</v>
      </c>
      <c r="K225" s="5">
        <f t="shared" si="4"/>
        <v>-489</v>
      </c>
      <c r="L225" s="16" t="s">
        <v>128</v>
      </c>
      <c r="M225" s="52">
        <f>SUMIFS('Saldos Iniciales'!$D$2:$D$38,'Saldos Iniciales'!$A$2:$A$38,C225,'Saldos Iniciales'!$B$2:$B$38,D225)+SUMIFS($K$1:$K$1048575,$C$1:$C$1048575,C225,$D$1:$D$1048575,D225,$B$1:$B$1048575,"&lt;="&amp;B225)</f>
        <v>26085.849999999962</v>
      </c>
      <c r="N225" s="30" t="str">
        <f>IF(tblMovimientos[[#This Row],[Tipo de Movimiento]]="Ingreso",tblMovimientos[[#This Row],[Monto (S/)]],"0")</f>
        <v>0</v>
      </c>
      <c r="O225" s="30">
        <f>IF(tblMovimientos[[#This Row],[Tipo de Movimiento]]="Egreso",tblMovimientos[[#This Row],[Monto (S/)]],"0")</f>
        <v>489</v>
      </c>
      <c r="P225" s="34">
        <f>IF(tblMovimientos[[#This Row],[Tipo de Movimiento]]="Ingreso",tblMovimientos[[#This Row],[Ingreso]],-tblMovimientos[[#This Row],[Egreso]])</f>
        <v>-489</v>
      </c>
    </row>
    <row r="226" spans="2:16" x14ac:dyDescent="0.3">
      <c r="B226" s="47">
        <v>46174</v>
      </c>
      <c r="C226" s="4" t="str">
        <f>_xlfn.XLOOKUP(tblMovimientos[[#This Row],[Cuenta Bancaria]],Listas!$B:$B,Listas!$A:$A,"")</f>
        <v>2515 Overbrook</v>
      </c>
      <c r="D226" s="49" t="s">
        <v>121</v>
      </c>
      <c r="E226" s="4" t="str">
        <f>_xlfn.XLOOKUP(tblMovimientos[[#This Row],[Cuenta Bancaria]],Listas!$B:$B,Listas!$C:$C,"")</f>
        <v>Bank of America</v>
      </c>
      <c r="F226" s="49" t="s">
        <v>10</v>
      </c>
      <c r="G226" s="49" t="s">
        <v>65</v>
      </c>
      <c r="H226" s="4" t="str">
        <f>IFERROR(_xlfn.XLOOKUP(G226,Listas!E:E,Listas!F:F,""),"")</f>
        <v>Operativo</v>
      </c>
      <c r="I226" s="4" t="str">
        <f>IFERROR(_xlfn.XLOOKUP(G226,Listas!E:E,Listas!G:G,""),"")</f>
        <v>Externo</v>
      </c>
      <c r="J226" s="51">
        <v>8533.33</v>
      </c>
      <c r="K226" s="5">
        <f t="shared" si="4"/>
        <v>-8533.33</v>
      </c>
      <c r="L226" s="16" t="s">
        <v>128</v>
      </c>
      <c r="M226" s="52">
        <f>SUMIFS('Saldos Iniciales'!$D$2:$D$38,'Saldos Iniciales'!$A$2:$A$38,C226,'Saldos Iniciales'!$B$2:$B$38,D226)+SUMIFS($K$1:$K$1048575,$C$1:$C$1048575,C226,$D$1:$D$1048575,D226,$B$1:$B$1048575,"&lt;="&amp;B226)</f>
        <v>26085.849999999962</v>
      </c>
      <c r="N226" s="30" t="str">
        <f>IF(tblMovimientos[[#This Row],[Tipo de Movimiento]]="Ingreso",tblMovimientos[[#This Row],[Monto (S/)]],"0")</f>
        <v>0</v>
      </c>
      <c r="O226" s="30">
        <f>IF(tblMovimientos[[#This Row],[Tipo de Movimiento]]="Egreso",tblMovimientos[[#This Row],[Monto (S/)]],"0")</f>
        <v>8533.33</v>
      </c>
      <c r="P226" s="34">
        <f>IF(tblMovimientos[[#This Row],[Tipo de Movimiento]]="Ingreso",tblMovimientos[[#This Row],[Ingreso]],-tblMovimientos[[#This Row],[Egreso]])</f>
        <v>-8533.33</v>
      </c>
    </row>
    <row r="227" spans="2:16" x14ac:dyDescent="0.3">
      <c r="B227" s="47">
        <v>46174</v>
      </c>
      <c r="C227" s="4" t="str">
        <f>_xlfn.XLOOKUP(tblMovimientos[[#This Row],[Cuenta Bancaria]],Listas!$B:$B,Listas!$A:$A,"")</f>
        <v>2515 Overbrook</v>
      </c>
      <c r="D227" s="49" t="s">
        <v>122</v>
      </c>
      <c r="E227" s="4" t="str">
        <f>_xlfn.XLOOKUP(tblMovimientos[[#This Row],[Cuenta Bancaria]],Listas!$B:$B,Listas!$C:$C,"")</f>
        <v>Bank of America</v>
      </c>
      <c r="F227" s="49" t="s">
        <v>10</v>
      </c>
      <c r="G227" s="49" t="s">
        <v>44</v>
      </c>
      <c r="H227" s="4" t="str">
        <f>IFERROR(_xlfn.XLOOKUP(G227,Listas!E:E,Listas!F:F,""),"")</f>
        <v>Operativo</v>
      </c>
      <c r="I227" s="4" t="str">
        <f>IFERROR(_xlfn.XLOOKUP(G227,Listas!E:E,Listas!G:G,""),"")</f>
        <v>Externo</v>
      </c>
      <c r="J227" s="51">
        <v>10</v>
      </c>
      <c r="K227" s="5">
        <f t="shared" si="4"/>
        <v>-10</v>
      </c>
      <c r="L227" s="16" t="s">
        <v>128</v>
      </c>
      <c r="M227" s="52">
        <f>SUMIFS('Saldos Iniciales'!$D$2:$D$38,'Saldos Iniciales'!$A$2:$A$38,C227,'Saldos Iniciales'!$B$2:$B$38,D227)+SUMIFS($K$1:$K$1048575,$C$1:$C$1048575,C227,$D$1:$D$1048575,D227,$B$1:$B$1048575,"&lt;="&amp;B227)</f>
        <v>330.42</v>
      </c>
      <c r="N227" s="30" t="str">
        <f>IF(tblMovimientos[[#This Row],[Tipo de Movimiento]]="Ingreso",tblMovimientos[[#This Row],[Monto (S/)]],"0")</f>
        <v>0</v>
      </c>
      <c r="O227" s="30">
        <f>IF(tblMovimientos[[#This Row],[Tipo de Movimiento]]="Egreso",tblMovimientos[[#This Row],[Monto (S/)]],"0")</f>
        <v>10</v>
      </c>
      <c r="P227" s="34">
        <f>IF(tblMovimientos[[#This Row],[Tipo de Movimiento]]="Ingreso",tblMovimientos[[#This Row],[Ingreso]],-tblMovimientos[[#This Row],[Egreso]])</f>
        <v>-10</v>
      </c>
    </row>
    <row r="228" spans="2:16" x14ac:dyDescent="0.3">
      <c r="B228" s="47">
        <v>46174</v>
      </c>
      <c r="C228" s="4" t="str">
        <f>_xlfn.XLOOKUP(tblMovimientos[[#This Row],[Cuenta Bancaria]],Listas!$B:$B,Listas!$A:$A,"")</f>
        <v>112 Florida Ave</v>
      </c>
      <c r="D228" s="49" t="s">
        <v>123</v>
      </c>
      <c r="E228" s="4" t="str">
        <f>_xlfn.XLOOKUP(tblMovimientos[[#This Row],[Cuenta Bancaria]],Listas!$B:$B,Listas!$C:$C,"")</f>
        <v>Bank of America</v>
      </c>
      <c r="F228" s="49" t="s">
        <v>10</v>
      </c>
      <c r="G228" s="49" t="s">
        <v>48</v>
      </c>
      <c r="H228" s="4" t="str">
        <f>IFERROR(_xlfn.XLOOKUP(G228,Listas!E:E,Listas!F:F,""),"")</f>
        <v>Financiamiento</v>
      </c>
      <c r="I228" s="4" t="str">
        <f>IFERROR(_xlfn.XLOOKUP(G228,Listas!E:E,Listas!G:G,""),"")</f>
        <v>Externo</v>
      </c>
      <c r="J228" s="51">
        <v>9798.6299999999992</v>
      </c>
      <c r="K228" s="5">
        <f t="shared" si="4"/>
        <v>-9798.6299999999992</v>
      </c>
      <c r="L228" s="16" t="s">
        <v>128</v>
      </c>
      <c r="M228" s="52">
        <f>SUMIFS('Saldos Iniciales'!$D$2:$D$38,'Saldos Iniciales'!$A$2:$A$38,C228,'Saldos Iniciales'!$B$2:$B$38,D228)+SUMIFS($K$1:$K$1048575,$C$1:$C$1048575,C228,$D$1:$D$1048575,D228,$B$1:$B$1048575,"&lt;="&amp;B228)</f>
        <v>5321.4300000000021</v>
      </c>
      <c r="N228" s="30" t="str">
        <f>IF(tblMovimientos[[#This Row],[Tipo de Movimiento]]="Ingreso",tblMovimientos[[#This Row],[Monto (S/)]],"0")</f>
        <v>0</v>
      </c>
      <c r="O228" s="30">
        <f>IF(tblMovimientos[[#This Row],[Tipo de Movimiento]]="Egreso",tblMovimientos[[#This Row],[Monto (S/)]],"0")</f>
        <v>9798.6299999999992</v>
      </c>
      <c r="P228" s="34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7">
        <v>46174</v>
      </c>
      <c r="C229" s="4" t="str">
        <f>_xlfn.XLOOKUP(tblMovimientos[[#This Row],[Cuenta Bancaria]],Listas!$B:$B,Listas!$A:$A,"")</f>
        <v>3628 Thomas Ave</v>
      </c>
      <c r="D229" s="49" t="s">
        <v>124</v>
      </c>
      <c r="E229" s="4" t="str">
        <f>_xlfn.XLOOKUP(tblMovimientos[[#This Row],[Cuenta Bancaria]],Listas!$B:$B,Listas!$C:$C,"")</f>
        <v>Bank of America</v>
      </c>
      <c r="F229" s="49" t="s">
        <v>10</v>
      </c>
      <c r="G229" s="49" t="s">
        <v>48</v>
      </c>
      <c r="H229" s="4" t="str">
        <f>IFERROR(_xlfn.XLOOKUP(G229,Listas!E:E,Listas!F:F,""),"")</f>
        <v>Financiamiento</v>
      </c>
      <c r="I229" s="4" t="str">
        <f>IFERROR(_xlfn.XLOOKUP(G229,Listas!E:E,Listas!G:G,""),"")</f>
        <v>Externo</v>
      </c>
      <c r="J229" s="51">
        <v>8773.0400000000009</v>
      </c>
      <c r="K229" s="5">
        <f t="shared" si="4"/>
        <v>-8773.0400000000009</v>
      </c>
      <c r="L229" s="16" t="s">
        <v>128</v>
      </c>
      <c r="M229" s="52">
        <f>SUMIFS('Saldos Iniciales'!$D$2:$D$38,'Saldos Iniciales'!$A$2:$A$38,C229,'Saldos Iniciales'!$B$2:$B$38,D229)+SUMIFS($K$1:$K$1048575,$C$1:$C$1048575,C229,$D$1:$D$1048575,D229,$B$1:$B$1048575,"&lt;="&amp;B229)</f>
        <v>24833.23</v>
      </c>
      <c r="N229" s="30" t="str">
        <f>IF(tblMovimientos[[#This Row],[Tipo de Movimiento]]="Ingreso",tblMovimientos[[#This Row],[Monto (S/)]],"0")</f>
        <v>0</v>
      </c>
      <c r="O229" s="30">
        <f>IF(tblMovimientos[[#This Row],[Tipo de Movimiento]]="Egreso",tblMovimientos[[#This Row],[Monto (S/)]],"0")</f>
        <v>8773.0400000000009</v>
      </c>
      <c r="P229" s="34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7">
        <v>46174</v>
      </c>
      <c r="C230" s="4" t="str">
        <f>_xlfn.XLOOKUP(tblMovimientos[[#This Row],[Cuenta Bancaria]],Listas!$B:$B,Listas!$A:$A,"")</f>
        <v>M1B</v>
      </c>
      <c r="D230" s="49" t="s">
        <v>97</v>
      </c>
      <c r="E230" s="4" t="str">
        <f>_xlfn.XLOOKUP(tblMovimientos[[#This Row],[Cuenta Bancaria]],Listas!$B:$B,Listas!$C:$C,"")</f>
        <v xml:space="preserve">Amerant Bank </v>
      </c>
      <c r="F230" s="49" t="s">
        <v>9</v>
      </c>
      <c r="G230" s="49" t="s">
        <v>68</v>
      </c>
      <c r="H230" s="4" t="str">
        <f>IFERROR(_xlfn.XLOOKUP(G230,Listas!E:E,Listas!F:F,""),"")</f>
        <v>Operativo</v>
      </c>
      <c r="I230" s="4" t="str">
        <f>IFERROR(_xlfn.XLOOKUP(G230,Listas!E:E,Listas!G:G,""),"")</f>
        <v>Externo</v>
      </c>
      <c r="J230" s="51">
        <v>6979.11</v>
      </c>
      <c r="K230" s="5">
        <f t="shared" ref="K230:K266" si="5">IF(F230="Ingreso",J230,-J230)</f>
        <v>6979.11</v>
      </c>
      <c r="L230" s="16" t="s">
        <v>128</v>
      </c>
      <c r="M230" s="52">
        <f>SUMIFS('Saldos Iniciales'!$D$2:$D$38,'Saldos Iniciales'!$A$2:$A$38,C230,'Saldos Iniciales'!$B$2:$B$38,D230)+SUMIFS($K$1:$K$1048575,$C$1:$C$1048575,C230,$D$1:$D$1048575,D230,$B$1:$B$1048575,"&lt;="&amp;B230)</f>
        <v>64376.390000000174</v>
      </c>
      <c r="N230" s="30">
        <f>IF(tblMovimientos[[#This Row],[Tipo de Movimiento]]="Ingreso",tblMovimientos[[#This Row],[Monto (S/)]],"0")</f>
        <v>6979.11</v>
      </c>
      <c r="O230" s="30" t="str">
        <f>IF(tblMovimientos[[#This Row],[Tipo de Movimiento]]="Egreso",tblMovimientos[[#This Row],[Monto (S/)]],"0")</f>
        <v>0</v>
      </c>
      <c r="P230" s="34">
        <f>IF(tblMovimientos[[#This Row],[Tipo de Movimiento]]="Ingreso",tblMovimientos[[#This Row],[Ingreso]],-tblMovimientos[[#This Row],[Egreso]])</f>
        <v>6979.11</v>
      </c>
    </row>
    <row r="231" spans="2:16" x14ac:dyDescent="0.3">
      <c r="B231" s="47">
        <v>46174</v>
      </c>
      <c r="C231" s="4" t="str">
        <f>_xlfn.XLOOKUP(tblMovimientos[[#This Row],[Cuenta Bancaria]],Listas!$B:$B,Listas!$A:$A,"")</f>
        <v>Go Blue</v>
      </c>
      <c r="D231" s="49" t="s">
        <v>126</v>
      </c>
      <c r="E231" s="4" t="str">
        <f>_xlfn.XLOOKUP(tblMovimientos[[#This Row],[Cuenta Bancaria]],Listas!$B:$B,Listas!$C:$C,"")</f>
        <v xml:space="preserve">Amerant Bank </v>
      </c>
      <c r="F231" s="49" t="s">
        <v>10</v>
      </c>
      <c r="G231" s="49" t="s">
        <v>38</v>
      </c>
      <c r="H231" s="4" t="str">
        <f>IFERROR(_xlfn.XLOOKUP(G231,Listas!E:E,Listas!F:F,""),"")</f>
        <v>Operativo</v>
      </c>
      <c r="I231" s="4" t="str">
        <f>IFERROR(_xlfn.XLOOKUP(G231,Listas!E:E,Listas!G:G,""),"")</f>
        <v>Externo</v>
      </c>
      <c r="J231" s="51">
        <v>1593.39</v>
      </c>
      <c r="K231" s="5">
        <f t="shared" si="5"/>
        <v>-1593.39</v>
      </c>
      <c r="L231" s="16" t="s">
        <v>128</v>
      </c>
      <c r="M231" s="52">
        <f>SUMIFS('Saldos Iniciales'!$D$2:$D$38,'Saldos Iniciales'!$A$2:$A$38,C231,'Saldos Iniciales'!$B$2:$B$38,D231)+SUMIFS($K$1:$K$1048575,$C$1:$C$1048575,C231,$D$1:$D$1048575,D231,$B$1:$B$1048575,"&lt;="&amp;B231)</f>
        <v>6824.47</v>
      </c>
      <c r="N231" s="30" t="str">
        <f>IF(tblMovimientos[[#This Row],[Tipo de Movimiento]]="Ingreso",tblMovimientos[[#This Row],[Monto (S/)]],"0")</f>
        <v>0</v>
      </c>
      <c r="O231" s="30">
        <f>IF(tblMovimientos[[#This Row],[Tipo de Movimiento]]="Egreso",tblMovimientos[[#This Row],[Monto (S/)]],"0")</f>
        <v>1593.39</v>
      </c>
      <c r="P231" s="34">
        <f>IF(tblMovimientos[[#This Row],[Tipo de Movimiento]]="Ingreso",tblMovimientos[[#This Row],[Ingreso]],-tblMovimientos[[#This Row],[Egreso]])</f>
        <v>-1593.39</v>
      </c>
    </row>
    <row r="232" spans="2:16" x14ac:dyDescent="0.3">
      <c r="B232" s="47">
        <v>46174</v>
      </c>
      <c r="C232" s="4" t="str">
        <f>_xlfn.XLOOKUP(tblMovimientos[[#This Row],[Cuenta Bancaria]],Listas!$B:$B,Listas!$A:$A,"")</f>
        <v>Go Blue</v>
      </c>
      <c r="D232" s="49" t="s">
        <v>126</v>
      </c>
      <c r="E232" s="4" t="str">
        <f>_xlfn.XLOOKUP(tblMovimientos[[#This Row],[Cuenta Bancaria]],Listas!$B:$B,Listas!$C:$C,"")</f>
        <v xml:space="preserve">Amerant Bank </v>
      </c>
      <c r="F232" s="49" t="s">
        <v>10</v>
      </c>
      <c r="G232" s="49" t="s">
        <v>38</v>
      </c>
      <c r="H232" s="4" t="str">
        <f>IFERROR(_xlfn.XLOOKUP(G232,Listas!E:E,Listas!F:F,""),"")</f>
        <v>Operativo</v>
      </c>
      <c r="I232" s="4" t="str">
        <f>IFERROR(_xlfn.XLOOKUP(G232,Listas!E:E,Listas!G:G,""),"")</f>
        <v>Externo</v>
      </c>
      <c r="J232" s="51">
        <v>493.38</v>
      </c>
      <c r="K232" s="5">
        <f t="shared" si="5"/>
        <v>-493.38</v>
      </c>
      <c r="L232" s="16" t="s">
        <v>128</v>
      </c>
      <c r="M232" s="52">
        <f>SUMIFS('Saldos Iniciales'!$D$2:$D$38,'Saldos Iniciales'!$A$2:$A$38,C232,'Saldos Iniciales'!$B$2:$B$38,D232)+SUMIFS($K$1:$K$1048575,$C$1:$C$1048575,C232,$D$1:$D$1048575,D232,$B$1:$B$1048575,"&lt;="&amp;B232)</f>
        <v>6824.47</v>
      </c>
      <c r="N232" s="30" t="str">
        <f>IF(tblMovimientos[[#This Row],[Tipo de Movimiento]]="Ingreso",tblMovimientos[[#This Row],[Monto (S/)]],"0")</f>
        <v>0</v>
      </c>
      <c r="O232" s="30">
        <f>IF(tblMovimientos[[#This Row],[Tipo de Movimiento]]="Egreso",tblMovimientos[[#This Row],[Monto (S/)]],"0")</f>
        <v>493.38</v>
      </c>
      <c r="P232" s="34">
        <f>IF(tblMovimientos[[#This Row],[Tipo de Movimiento]]="Ingreso",tblMovimientos[[#This Row],[Ingreso]],-tblMovimientos[[#This Row],[Egreso]])</f>
        <v>-493.38</v>
      </c>
    </row>
    <row r="233" spans="2:16" x14ac:dyDescent="0.3">
      <c r="B233" s="47">
        <v>46174</v>
      </c>
      <c r="C233" s="4" t="str">
        <f>_xlfn.XLOOKUP(tblMovimientos[[#This Row],[Cuenta Bancaria]],Listas!$B:$B,Listas!$A:$A,"")</f>
        <v>Go Blue</v>
      </c>
      <c r="D233" s="49" t="s">
        <v>126</v>
      </c>
      <c r="E233" s="4" t="str">
        <f>_xlfn.XLOOKUP(tblMovimientos[[#This Row],[Cuenta Bancaria]],Listas!$B:$B,Listas!$C:$C,"")</f>
        <v xml:space="preserve">Amerant Bank </v>
      </c>
      <c r="F233" s="49" t="s">
        <v>10</v>
      </c>
      <c r="G233" s="49" t="s">
        <v>38</v>
      </c>
      <c r="H233" s="4" t="str">
        <f>IFERROR(_xlfn.XLOOKUP(G233,Listas!E:E,Listas!F:F,""),"")</f>
        <v>Operativo</v>
      </c>
      <c r="I233" s="4" t="str">
        <f>IFERROR(_xlfn.XLOOKUP(G233,Listas!E:E,Listas!G:G,""),"")</f>
        <v>Externo</v>
      </c>
      <c r="J233" s="51">
        <v>165</v>
      </c>
      <c r="K233" s="5">
        <f t="shared" si="5"/>
        <v>-165</v>
      </c>
      <c r="L233" s="16" t="s">
        <v>128</v>
      </c>
      <c r="M233" s="52">
        <f>SUMIFS('Saldos Iniciales'!$D$2:$D$38,'Saldos Iniciales'!$A$2:$A$38,C233,'Saldos Iniciales'!$B$2:$B$38,D233)+SUMIFS($K$1:$K$1048575,$C$1:$C$1048575,C233,$D$1:$D$1048575,D233,$B$1:$B$1048575,"&lt;="&amp;B233)</f>
        <v>6824.47</v>
      </c>
      <c r="N233" s="30" t="str">
        <f>IF(tblMovimientos[[#This Row],[Tipo de Movimiento]]="Ingreso",tblMovimientos[[#This Row],[Monto (S/)]],"0")</f>
        <v>0</v>
      </c>
      <c r="O233" s="30">
        <f>IF(tblMovimientos[[#This Row],[Tipo de Movimiento]]="Egreso",tblMovimientos[[#This Row],[Monto (S/)]],"0")</f>
        <v>165</v>
      </c>
      <c r="P233" s="34">
        <f>IF(tblMovimientos[[#This Row],[Tipo de Movimiento]]="Ingreso",tblMovimientos[[#This Row],[Ingreso]],-tblMovimientos[[#This Row],[Egreso]])</f>
        <v>-165</v>
      </c>
    </row>
    <row r="234" spans="2:16" x14ac:dyDescent="0.3">
      <c r="B234" s="47">
        <v>46175</v>
      </c>
      <c r="C234" s="4" t="str">
        <f>_xlfn.XLOOKUP(tblMovimientos[[#This Row],[Cuenta Bancaria]],Listas!$B:$B,Listas!$A:$A,"")</f>
        <v>2515 Overbrook</v>
      </c>
      <c r="D234" s="49" t="s">
        <v>121</v>
      </c>
      <c r="E234" s="4" t="str">
        <f>_xlfn.XLOOKUP(tblMovimientos[[#This Row],[Cuenta Bancaria]],Listas!$B:$B,Listas!$C:$C,"")</f>
        <v>Bank of America</v>
      </c>
      <c r="F234" s="49" t="s">
        <v>10</v>
      </c>
      <c r="G234" s="49" t="s">
        <v>38</v>
      </c>
      <c r="H234" s="4" t="str">
        <f>IFERROR(_xlfn.XLOOKUP(G234,Listas!E:E,Listas!F:F,""),"")</f>
        <v>Operativo</v>
      </c>
      <c r="I234" s="4" t="str">
        <f>IFERROR(_xlfn.XLOOKUP(G234,Listas!E:E,Listas!G:G,""),"")</f>
        <v>Externo</v>
      </c>
      <c r="J234" s="51">
        <v>626.29999999999995</v>
      </c>
      <c r="K234" s="5">
        <f t="shared" si="5"/>
        <v>-626.29999999999995</v>
      </c>
      <c r="L234" s="16" t="s">
        <v>128</v>
      </c>
      <c r="M234" s="52">
        <f>SUMIFS('Saldos Iniciales'!$D$2:$D$38,'Saldos Iniciales'!$A$2:$A$38,C234,'Saldos Iniciales'!$B$2:$B$38,D234)+SUMIFS($K$1:$K$1048575,$C$1:$C$1048575,C234,$D$1:$D$1048575,D234,$B$1:$B$1048575,"&lt;="&amp;B234)</f>
        <v>25459.549999999963</v>
      </c>
      <c r="N234" s="30" t="str">
        <f>IF(tblMovimientos[[#This Row],[Tipo de Movimiento]]="Ingreso",tblMovimientos[[#This Row],[Monto (S/)]],"0")</f>
        <v>0</v>
      </c>
      <c r="O234" s="30">
        <f>IF(tblMovimientos[[#This Row],[Tipo de Movimiento]]="Egreso",tblMovimientos[[#This Row],[Monto (S/)]],"0")</f>
        <v>626.29999999999995</v>
      </c>
      <c r="P234" s="34">
        <f>IF(tblMovimientos[[#This Row],[Tipo de Movimiento]]="Ingreso",tblMovimientos[[#This Row],[Ingreso]],-tblMovimientos[[#This Row],[Egreso]])</f>
        <v>-626.29999999999995</v>
      </c>
    </row>
    <row r="235" spans="2:16" x14ac:dyDescent="0.3">
      <c r="B235" s="47">
        <v>46175</v>
      </c>
      <c r="C235" s="4" t="str">
        <f>_xlfn.XLOOKUP(tblMovimientos[[#This Row],[Cuenta Bancaria]],Listas!$B:$B,Listas!$A:$A,"")</f>
        <v>Go Blue</v>
      </c>
      <c r="D235" s="49" t="s">
        <v>126</v>
      </c>
      <c r="E235" s="4" t="str">
        <f>_xlfn.XLOOKUP(tblMovimientos[[#This Row],[Cuenta Bancaria]],Listas!$B:$B,Listas!$C:$C,"")</f>
        <v xml:space="preserve">Amerant Bank </v>
      </c>
      <c r="F235" s="49" t="s">
        <v>10</v>
      </c>
      <c r="G235" s="49" t="s">
        <v>38</v>
      </c>
      <c r="H235" s="4" t="str">
        <f>IFERROR(_xlfn.XLOOKUP(G235,Listas!E:E,Listas!F:F,""),"")</f>
        <v>Operativo</v>
      </c>
      <c r="I235" s="4" t="str">
        <f>IFERROR(_xlfn.XLOOKUP(G235,Listas!E:E,Listas!G:G,""),"")</f>
        <v>Externo</v>
      </c>
      <c r="J235" s="51">
        <v>3309.58</v>
      </c>
      <c r="K235" s="5">
        <f t="shared" si="5"/>
        <v>-3309.58</v>
      </c>
      <c r="L235" s="16" t="s">
        <v>128</v>
      </c>
      <c r="M235" s="52">
        <f>SUMIFS('Saldos Iniciales'!$D$2:$D$38,'Saldos Iniciales'!$A$2:$A$38,C235,'Saldos Iniciales'!$B$2:$B$38,D235)+SUMIFS($K$1:$K$1048575,$C$1:$C$1048575,C235,$D$1:$D$1048575,D235,$B$1:$B$1048575,"&lt;="&amp;B235)</f>
        <v>3514.8900000000012</v>
      </c>
      <c r="N235" s="30" t="str">
        <f>IF(tblMovimientos[[#This Row],[Tipo de Movimiento]]="Ingreso",tblMovimientos[[#This Row],[Monto (S/)]],"0")</f>
        <v>0</v>
      </c>
      <c r="O235" s="30">
        <f>IF(tblMovimientos[[#This Row],[Tipo de Movimiento]]="Egreso",tblMovimientos[[#This Row],[Monto (S/)]],"0")</f>
        <v>3309.58</v>
      </c>
      <c r="P235" s="34">
        <f>IF(tblMovimientos[[#This Row],[Tipo de Movimiento]]="Ingreso",tblMovimientos[[#This Row],[Ingreso]],-tblMovimientos[[#This Row],[Egreso]])</f>
        <v>-3309.58</v>
      </c>
    </row>
    <row r="236" spans="2:16" x14ac:dyDescent="0.3">
      <c r="B236" s="47">
        <v>46176</v>
      </c>
      <c r="C236" s="4" t="str">
        <f>_xlfn.XLOOKUP(tblMovimientos[[#This Row],[Cuenta Bancaria]],Listas!$B:$B,Listas!$A:$A,"")</f>
        <v>SSP Capital</v>
      </c>
      <c r="D236" s="49" t="s">
        <v>101</v>
      </c>
      <c r="E236" s="4" t="str">
        <f>_xlfn.XLOOKUP(tblMovimientos[[#This Row],[Cuenta Bancaria]],Listas!$B:$B,Listas!$C:$C,"")</f>
        <v>Bank of America</v>
      </c>
      <c r="F236" s="49" t="s">
        <v>10</v>
      </c>
      <c r="G236" s="49" t="s">
        <v>38</v>
      </c>
      <c r="H236" s="4" t="str">
        <f>IFERROR(_xlfn.XLOOKUP(G236,Listas!E:E,Listas!F:F,""),"")</f>
        <v>Operativo</v>
      </c>
      <c r="I236" s="4" t="str">
        <f>IFERROR(_xlfn.XLOOKUP(G236,Listas!E:E,Listas!G:G,""),"")</f>
        <v>Externo</v>
      </c>
      <c r="J236" s="51">
        <v>290.01</v>
      </c>
      <c r="K236" s="5">
        <f t="shared" si="5"/>
        <v>-290.01</v>
      </c>
      <c r="L236" s="16" t="s">
        <v>128</v>
      </c>
      <c r="M236" s="52">
        <f>SUMIFS('Saldos Iniciales'!$D$2:$D$38,'Saldos Iniciales'!$A$2:$A$38,C236,'Saldos Iniciales'!$B$2:$B$38,D236)+SUMIFS($K$1:$K$1048575,$C$1:$C$1048575,C236,$D$1:$D$1048575,D236,$B$1:$B$1048575,"&lt;="&amp;B236)</f>
        <v>10553.2</v>
      </c>
      <c r="N236" s="30" t="str">
        <f>IF(tblMovimientos[[#This Row],[Tipo de Movimiento]]="Ingreso",tblMovimientos[[#This Row],[Monto (S/)]],"0")</f>
        <v>0</v>
      </c>
      <c r="O236" s="30">
        <f>IF(tblMovimientos[[#This Row],[Tipo de Movimiento]]="Egreso",tblMovimientos[[#This Row],[Monto (S/)]],"0")</f>
        <v>290.01</v>
      </c>
      <c r="P236" s="34">
        <f>IF(tblMovimientos[[#This Row],[Tipo de Movimiento]]="Ingreso",tblMovimientos[[#This Row],[Ingreso]],-tblMovimientos[[#This Row],[Egreso]])</f>
        <v>-290.01</v>
      </c>
    </row>
    <row r="237" spans="2:16" x14ac:dyDescent="0.3">
      <c r="B237" s="47">
        <v>46176</v>
      </c>
      <c r="C237" s="4" t="str">
        <f>_xlfn.XLOOKUP(tblMovimientos[[#This Row],[Cuenta Bancaria]],Listas!$B:$B,Listas!$A:$A,"")</f>
        <v>Cross Family Trust</v>
      </c>
      <c r="D237" s="49" t="s">
        <v>110</v>
      </c>
      <c r="E237" s="4" t="str">
        <f>_xlfn.XLOOKUP(tblMovimientos[[#This Row],[Cuenta Bancaria]],Listas!$B:$B,Listas!$C:$C,"")</f>
        <v>Bank of America</v>
      </c>
      <c r="F237" s="49" t="s">
        <v>10</v>
      </c>
      <c r="G237" s="49" t="s">
        <v>38</v>
      </c>
      <c r="H237" s="4" t="str">
        <f>IFERROR(_xlfn.XLOOKUP(G237,Listas!E:E,Listas!F:F,""),"")</f>
        <v>Operativo</v>
      </c>
      <c r="I237" s="4" t="str">
        <f>IFERROR(_xlfn.XLOOKUP(G237,Listas!E:E,Listas!G:G,""),"")</f>
        <v>Externo</v>
      </c>
      <c r="J237" s="51">
        <v>6000</v>
      </c>
      <c r="K237" s="5">
        <f t="shared" si="5"/>
        <v>-6000</v>
      </c>
      <c r="L237" s="16" t="s">
        <v>128</v>
      </c>
      <c r="M237" s="52">
        <f>SUMIFS('Saldos Iniciales'!$D$2:$D$38,'Saldos Iniciales'!$A$2:$A$38,C237,'Saldos Iniciales'!$B$2:$B$38,D237)+SUMIFS($K$1:$K$1048575,$C$1:$C$1048575,C237,$D$1:$D$1048575,D237,$B$1:$B$1048575,"&lt;="&amp;B237)</f>
        <v>51206.89</v>
      </c>
      <c r="N237" s="30" t="str">
        <f>IF(tblMovimientos[[#This Row],[Tipo de Movimiento]]="Ingreso",tblMovimientos[[#This Row],[Monto (S/)]],"0")</f>
        <v>0</v>
      </c>
      <c r="O237" s="30">
        <f>IF(tblMovimientos[[#This Row],[Tipo de Movimiento]]="Egreso",tblMovimientos[[#This Row],[Monto (S/)]],"0")</f>
        <v>6000</v>
      </c>
      <c r="P237" s="34">
        <f>IF(tblMovimientos[[#This Row],[Tipo de Movimiento]]="Ingreso",tblMovimientos[[#This Row],[Ingreso]],-tblMovimientos[[#This Row],[Egreso]])</f>
        <v>-6000</v>
      </c>
    </row>
    <row r="238" spans="2:16" x14ac:dyDescent="0.3">
      <c r="B238" s="47">
        <v>46177</v>
      </c>
      <c r="C238" s="4" t="str">
        <f>_xlfn.XLOOKUP(tblMovimientos[[#This Row],[Cuenta Bancaria]],Listas!$B:$B,Listas!$A:$A,"")</f>
        <v>SSP Capital</v>
      </c>
      <c r="D238" s="49" t="s">
        <v>101</v>
      </c>
      <c r="E238" s="4" t="str">
        <f>_xlfn.XLOOKUP(tblMovimientos[[#This Row],[Cuenta Bancaria]],Listas!$B:$B,Listas!$C:$C,"")</f>
        <v>Bank of America</v>
      </c>
      <c r="F238" s="49" t="s">
        <v>9</v>
      </c>
      <c r="G238" s="49" t="s">
        <v>68</v>
      </c>
      <c r="H238" s="4" t="str">
        <f>IFERROR(_xlfn.XLOOKUP(G238,Listas!E:E,Listas!F:F,""),"")</f>
        <v>Operativo</v>
      </c>
      <c r="I238" s="4" t="str">
        <f>IFERROR(_xlfn.XLOOKUP(G238,Listas!E:E,Listas!G:G,""),"")</f>
        <v>Externo</v>
      </c>
      <c r="J238" s="51">
        <v>15307.88</v>
      </c>
      <c r="K238" s="5">
        <f t="shared" si="5"/>
        <v>15307.88</v>
      </c>
      <c r="L238" s="16" t="s">
        <v>128</v>
      </c>
      <c r="M238" s="52">
        <f>SUMIFS('Saldos Iniciales'!$D$2:$D$38,'Saldos Iniciales'!$A$2:$A$38,C238,'Saldos Iniciales'!$B$2:$B$38,D238)+SUMIFS($K$1:$K$1048575,$C$1:$C$1048575,C238,$D$1:$D$1048575,D238,$B$1:$B$1048575,"&lt;="&amp;B238)</f>
        <v>25322.66</v>
      </c>
      <c r="N238" s="30">
        <f>IF(tblMovimientos[[#This Row],[Tipo de Movimiento]]="Ingreso",tblMovimientos[[#This Row],[Monto (S/)]],"0")</f>
        <v>15307.88</v>
      </c>
      <c r="O238" s="30" t="str">
        <f>IF(tblMovimientos[[#This Row],[Tipo de Movimiento]]="Egreso",tblMovimientos[[#This Row],[Monto (S/)]],"0")</f>
        <v>0</v>
      </c>
      <c r="P238" s="34">
        <f>IF(tblMovimientos[[#This Row],[Tipo de Movimiento]]="Ingreso",tblMovimientos[[#This Row],[Ingreso]],-tblMovimientos[[#This Row],[Egreso]])</f>
        <v>15307.88</v>
      </c>
    </row>
    <row r="239" spans="2:16" x14ac:dyDescent="0.3">
      <c r="B239" s="47">
        <v>46177</v>
      </c>
      <c r="C239" s="4" t="str">
        <f>_xlfn.XLOOKUP(tblMovimientos[[#This Row],[Cuenta Bancaria]],Listas!$B:$B,Listas!$A:$A,"")</f>
        <v>SSP Capital</v>
      </c>
      <c r="D239" s="49" t="s">
        <v>101</v>
      </c>
      <c r="E239" s="4" t="str">
        <f>_xlfn.XLOOKUP(tblMovimientos[[#This Row],[Cuenta Bancaria]],Listas!$B:$B,Listas!$C:$C,"")</f>
        <v>Bank of America</v>
      </c>
      <c r="F239" s="49" t="s">
        <v>10</v>
      </c>
      <c r="G239" s="49" t="s">
        <v>38</v>
      </c>
      <c r="H239" s="4" t="str">
        <f>IFERROR(_xlfn.XLOOKUP(G239,Listas!E:E,Listas!F:F,""),"")</f>
        <v>Operativo</v>
      </c>
      <c r="I239" s="4" t="str">
        <f>IFERROR(_xlfn.XLOOKUP(G239,Listas!E:E,Listas!G:G,""),"")</f>
        <v>Externo</v>
      </c>
      <c r="J239" s="51">
        <v>538.41999999999996</v>
      </c>
      <c r="K239" s="5">
        <f t="shared" si="5"/>
        <v>-538.41999999999996</v>
      </c>
      <c r="L239" s="16" t="s">
        <v>128</v>
      </c>
      <c r="M239" s="52">
        <f>SUMIFS('Saldos Iniciales'!$D$2:$D$38,'Saldos Iniciales'!$A$2:$A$38,C239,'Saldos Iniciales'!$B$2:$B$38,D239)+SUMIFS($K$1:$K$1048575,$C$1:$C$1048575,C239,$D$1:$D$1048575,D239,$B$1:$B$1048575,"&lt;="&amp;B239)</f>
        <v>25322.66</v>
      </c>
      <c r="N239" s="30" t="str">
        <f>IF(tblMovimientos[[#This Row],[Tipo de Movimiento]]="Ingreso",tblMovimientos[[#This Row],[Monto (S/)]],"0")</f>
        <v>0</v>
      </c>
      <c r="O239" s="30">
        <f>IF(tblMovimientos[[#This Row],[Tipo de Movimiento]]="Egreso",tblMovimientos[[#This Row],[Monto (S/)]],"0")</f>
        <v>538.41999999999996</v>
      </c>
      <c r="P239" s="34">
        <f>IF(tblMovimientos[[#This Row],[Tipo de Movimiento]]="Ingreso",tblMovimientos[[#This Row],[Ingreso]],-tblMovimientos[[#This Row],[Egreso]])</f>
        <v>-538.41999999999996</v>
      </c>
    </row>
    <row r="240" spans="2:16" x14ac:dyDescent="0.3">
      <c r="B240" s="47">
        <v>46177</v>
      </c>
      <c r="C240" s="4" t="str">
        <f>_xlfn.XLOOKUP(tblMovimientos[[#This Row],[Cuenta Bancaria]],Listas!$B:$B,Listas!$A:$A,"")</f>
        <v>A&amp;M Imports</v>
      </c>
      <c r="D240" s="49" t="s">
        <v>100</v>
      </c>
      <c r="E240" s="4" t="str">
        <f>_xlfn.XLOOKUP(tblMovimientos[[#This Row],[Cuenta Bancaria]],Listas!$B:$B,Listas!$C:$C,"")</f>
        <v>Bank of America</v>
      </c>
      <c r="F240" s="49" t="s">
        <v>10</v>
      </c>
      <c r="G240" s="49" t="s">
        <v>61</v>
      </c>
      <c r="H240" s="4" t="str">
        <f>IFERROR(_xlfn.XLOOKUP(G240,Listas!E:E,Listas!F:F,""),"")</f>
        <v>Operativo</v>
      </c>
      <c r="I240" s="4" t="str">
        <f>IFERROR(_xlfn.XLOOKUP(G240,Listas!E:E,Listas!G:G,""),"")</f>
        <v>Externo</v>
      </c>
      <c r="J240" s="51">
        <v>60000</v>
      </c>
      <c r="K240" s="5">
        <f t="shared" si="5"/>
        <v>-60000</v>
      </c>
      <c r="L240" s="16" t="s">
        <v>128</v>
      </c>
      <c r="M240" s="52">
        <f>SUMIFS('Saldos Iniciales'!$D$2:$D$38,'Saldos Iniciales'!$A$2:$A$38,C240,'Saldos Iniciales'!$B$2:$B$38,D240)+SUMIFS($K$1:$K$1048575,$C$1:$C$1048575,C240,$D$1:$D$1048575,D240,$B$1:$B$1048575,"&lt;="&amp;B240)</f>
        <v>729545.23999999987</v>
      </c>
      <c r="N240" s="30" t="str">
        <f>IF(tblMovimientos[[#This Row],[Tipo de Movimiento]]="Ingreso",tblMovimientos[[#This Row],[Monto (S/)]],"0")</f>
        <v>0</v>
      </c>
      <c r="O240" s="30">
        <f>IF(tblMovimientos[[#This Row],[Tipo de Movimiento]]="Egreso",tblMovimientos[[#This Row],[Monto (S/)]],"0")</f>
        <v>60000</v>
      </c>
      <c r="P240" s="34">
        <f>IF(tblMovimientos[[#This Row],[Tipo de Movimiento]]="Ingreso",tblMovimientos[[#This Row],[Ingreso]],-tblMovimientos[[#This Row],[Egreso]])</f>
        <v>-60000</v>
      </c>
    </row>
    <row r="241" spans="2:16" x14ac:dyDescent="0.3">
      <c r="B241" s="47">
        <v>46177</v>
      </c>
      <c r="C241" s="4" t="str">
        <f>_xlfn.XLOOKUP(tblMovimientos[[#This Row],[Cuenta Bancaria]],Listas!$B:$B,Listas!$A:$A,"")</f>
        <v>A&amp;M Imports</v>
      </c>
      <c r="D241" s="49" t="s">
        <v>100</v>
      </c>
      <c r="E241" s="4" t="str">
        <f>_xlfn.XLOOKUP(tblMovimientos[[#This Row],[Cuenta Bancaria]],Listas!$B:$B,Listas!$C:$C,"")</f>
        <v>Bank of America</v>
      </c>
      <c r="F241" s="49" t="s">
        <v>10</v>
      </c>
      <c r="G241" s="49" t="s">
        <v>49</v>
      </c>
      <c r="H241" s="4" t="str">
        <f>IFERROR(_xlfn.XLOOKUP(G241,Listas!E:E,Listas!F:F,""),"")</f>
        <v>Financiamiento</v>
      </c>
      <c r="I241" s="4" t="str">
        <f>IFERROR(_xlfn.XLOOKUP(G241,Listas!E:E,Listas!G:G,""),"")</f>
        <v>Externo</v>
      </c>
      <c r="J241" s="51">
        <v>15307.88</v>
      </c>
      <c r="K241" s="5">
        <f t="shared" si="5"/>
        <v>-15307.88</v>
      </c>
      <c r="L241" s="16" t="s">
        <v>128</v>
      </c>
      <c r="M241" s="52">
        <f>SUMIFS('Saldos Iniciales'!$D$2:$D$38,'Saldos Iniciales'!$A$2:$A$38,C241,'Saldos Iniciales'!$B$2:$B$38,D241)+SUMIFS($K$1:$K$1048575,$C$1:$C$1048575,C241,$D$1:$D$1048575,D241,$B$1:$B$1048575,"&lt;="&amp;B241)</f>
        <v>729545.23999999987</v>
      </c>
      <c r="N241" s="30" t="str">
        <f>IF(tblMovimientos[[#This Row],[Tipo de Movimiento]]="Ingreso",tblMovimientos[[#This Row],[Monto (S/)]],"0")</f>
        <v>0</v>
      </c>
      <c r="O241" s="30">
        <f>IF(tblMovimientos[[#This Row],[Tipo de Movimiento]]="Egreso",tblMovimientos[[#This Row],[Monto (S/)]],"0")</f>
        <v>15307.88</v>
      </c>
      <c r="P241" s="34">
        <f>IF(tblMovimientos[[#This Row],[Tipo de Movimiento]]="Ingreso",tblMovimientos[[#This Row],[Ingreso]],-tblMovimientos[[#This Row],[Egreso]])</f>
        <v>-15307.88</v>
      </c>
    </row>
    <row r="242" spans="2:16" x14ac:dyDescent="0.3">
      <c r="B242" s="47">
        <v>46177</v>
      </c>
      <c r="C242" s="4" t="str">
        <f>_xlfn.XLOOKUP(tblMovimientos[[#This Row],[Cuenta Bancaria]],Listas!$B:$B,Listas!$A:$A,"")</f>
        <v>CFT Group</v>
      </c>
      <c r="D242" s="49" t="s">
        <v>94</v>
      </c>
      <c r="E242" s="4" t="str">
        <f>_xlfn.XLOOKUP(tblMovimientos[[#This Row],[Cuenta Bancaria]],Listas!$B:$B,Listas!$C:$C,"")</f>
        <v>Bank of America</v>
      </c>
      <c r="F242" s="49" t="s">
        <v>10</v>
      </c>
      <c r="G242" s="49" t="s">
        <v>64</v>
      </c>
      <c r="H242" s="4" t="str">
        <f>IFERROR(_xlfn.XLOOKUP(G242,Listas!E:E,Listas!F:F,""),"")</f>
        <v>Operativo</v>
      </c>
      <c r="I242" s="4" t="str">
        <f>IFERROR(_xlfn.XLOOKUP(G242,Listas!E:E,Listas!G:G,""),"")</f>
        <v>Interno</v>
      </c>
      <c r="J242" s="51">
        <v>185000</v>
      </c>
      <c r="K242" s="5">
        <f t="shared" si="5"/>
        <v>-185000</v>
      </c>
      <c r="L242" s="16" t="s">
        <v>128</v>
      </c>
      <c r="M242" s="52">
        <f>SUMIFS('Saldos Iniciales'!$D$2:$D$38,'Saldos Iniciales'!$A$2:$A$38,C242,'Saldos Iniciales'!$B$2:$B$38,D242)+SUMIFS($K$1:$K$1048575,$C$1:$C$1048575,C242,$D$1:$D$1048575,D242,$B$1:$B$1048575,"&lt;="&amp;B242)</f>
        <v>8489.5799999999872</v>
      </c>
      <c r="N242" s="30" t="str">
        <f>IF(tblMovimientos[[#This Row],[Tipo de Movimiento]]="Ingreso",tblMovimientos[[#This Row],[Monto (S/)]],"0")</f>
        <v>0</v>
      </c>
      <c r="O242" s="30">
        <f>IF(tblMovimientos[[#This Row],[Tipo de Movimiento]]="Egreso",tblMovimientos[[#This Row],[Monto (S/)]],"0")</f>
        <v>185000</v>
      </c>
      <c r="P242" s="34">
        <f>IF(tblMovimientos[[#This Row],[Tipo de Movimiento]]="Ingreso",tblMovimientos[[#This Row],[Ingreso]],-tblMovimientos[[#This Row],[Egreso]])</f>
        <v>-185000</v>
      </c>
    </row>
    <row r="243" spans="2:16" x14ac:dyDescent="0.3">
      <c r="B243" s="47">
        <v>46177</v>
      </c>
      <c r="C243" s="4" t="str">
        <f>_xlfn.XLOOKUP(tblMovimientos[[#This Row],[Cuenta Bancaria]],Listas!$B:$B,Listas!$A:$A,"")</f>
        <v>CFT Group</v>
      </c>
      <c r="D243" s="49" t="s">
        <v>95</v>
      </c>
      <c r="E243" s="4" t="str">
        <f>_xlfn.XLOOKUP(tblMovimientos[[#This Row],[Cuenta Bancaria]],Listas!$B:$B,Listas!$C:$C,"")</f>
        <v xml:space="preserve">Amerant Bank </v>
      </c>
      <c r="F243" s="49" t="s">
        <v>9</v>
      </c>
      <c r="G243" s="49" t="s">
        <v>85</v>
      </c>
      <c r="H243" s="4" t="str">
        <f>IFERROR(_xlfn.XLOOKUP(G243,Listas!E:E,Listas!F:F,""),"")</f>
        <v>Operativo</v>
      </c>
      <c r="I243" s="4" t="str">
        <f>IFERROR(_xlfn.XLOOKUP(G243,Listas!E:E,Listas!G:G,""),"")</f>
        <v>Interno</v>
      </c>
      <c r="J243" s="51">
        <v>185000</v>
      </c>
      <c r="K243" s="5">
        <f t="shared" si="5"/>
        <v>185000</v>
      </c>
      <c r="L243" s="16" t="s">
        <v>128</v>
      </c>
      <c r="M243" s="52">
        <f>SUMIFS('Saldos Iniciales'!$D$2:$D$38,'Saldos Iniciales'!$A$2:$A$38,C243,'Saldos Iniciales'!$B$2:$B$38,D243)+SUMIFS($K$1:$K$1048575,$C$1:$C$1048575,C243,$D$1:$D$1048575,D243,$B$1:$B$1048575,"&lt;="&amp;B243)</f>
        <v>719648.53</v>
      </c>
      <c r="N243" s="30">
        <f>IF(tblMovimientos[[#This Row],[Tipo de Movimiento]]="Ingreso",tblMovimientos[[#This Row],[Monto (S/)]],"0")</f>
        <v>185000</v>
      </c>
      <c r="O243" s="30" t="str">
        <f>IF(tblMovimientos[[#This Row],[Tipo de Movimiento]]="Egreso",tblMovimientos[[#This Row],[Monto (S/)]],"0")</f>
        <v>0</v>
      </c>
      <c r="P243" s="34">
        <f>IF(tblMovimientos[[#This Row],[Tipo de Movimiento]]="Ingreso",tblMovimientos[[#This Row],[Ingreso]],-tblMovimientos[[#This Row],[Egreso]])</f>
        <v>185000</v>
      </c>
    </row>
    <row r="244" spans="2:16" x14ac:dyDescent="0.3">
      <c r="B244" s="47">
        <v>46177</v>
      </c>
      <c r="C244" s="4" t="str">
        <f>_xlfn.XLOOKUP(tblMovimientos[[#This Row],[Cuenta Bancaria]],Listas!$B:$B,Listas!$A:$A,"")</f>
        <v>CFT Group</v>
      </c>
      <c r="D244" s="49" t="s">
        <v>95</v>
      </c>
      <c r="E244" s="4" t="str">
        <f>_xlfn.XLOOKUP(tblMovimientos[[#This Row],[Cuenta Bancaria]],Listas!$B:$B,Listas!$C:$C,"")</f>
        <v xml:space="preserve">Amerant Bank </v>
      </c>
      <c r="F244" s="49" t="s">
        <v>10</v>
      </c>
      <c r="G244" s="49" t="s">
        <v>61</v>
      </c>
      <c r="H244" s="4" t="str">
        <f>IFERROR(_xlfn.XLOOKUP(G244,Listas!E:E,Listas!F:F,""),"")</f>
        <v>Operativo</v>
      </c>
      <c r="I244" s="4" t="str">
        <f>IFERROR(_xlfn.XLOOKUP(G244,Listas!E:E,Listas!G:G,""),"")</f>
        <v>Externo</v>
      </c>
      <c r="J244" s="51">
        <v>30000</v>
      </c>
      <c r="K244" s="5">
        <f t="shared" si="5"/>
        <v>-30000</v>
      </c>
      <c r="L244" s="16" t="s">
        <v>128</v>
      </c>
      <c r="M244" s="52">
        <f>SUMIFS('Saldos Iniciales'!$D$2:$D$38,'Saldos Iniciales'!$A$2:$A$38,C244,'Saldos Iniciales'!$B$2:$B$38,D244)+SUMIFS($K$1:$K$1048575,$C$1:$C$1048575,C244,$D$1:$D$1048575,D244,$B$1:$B$1048575,"&lt;="&amp;B244)</f>
        <v>719648.53</v>
      </c>
      <c r="N244" s="30" t="str">
        <f>IF(tblMovimientos[[#This Row],[Tipo de Movimiento]]="Ingreso",tblMovimientos[[#This Row],[Monto (S/)]],"0")</f>
        <v>0</v>
      </c>
      <c r="O244" s="30">
        <f>IF(tblMovimientos[[#This Row],[Tipo de Movimiento]]="Egreso",tblMovimientos[[#This Row],[Monto (S/)]],"0")</f>
        <v>30000</v>
      </c>
      <c r="P244" s="34">
        <f>IF(tblMovimientos[[#This Row],[Tipo de Movimiento]]="Ingreso",tblMovimientos[[#This Row],[Ingreso]],-tblMovimientos[[#This Row],[Egreso]])</f>
        <v>-30000</v>
      </c>
    </row>
    <row r="245" spans="2:16" x14ac:dyDescent="0.3">
      <c r="B245" s="47">
        <v>46177</v>
      </c>
      <c r="C245" s="4" t="str">
        <f>_xlfn.XLOOKUP(tblMovimientos[[#This Row],[Cuenta Bancaria]],Listas!$B:$B,Listas!$A:$A,"")</f>
        <v>CFT Group</v>
      </c>
      <c r="D245" s="49" t="s">
        <v>95</v>
      </c>
      <c r="E245" s="4" t="str">
        <f>_xlfn.XLOOKUP(tblMovimientos[[#This Row],[Cuenta Bancaria]],Listas!$B:$B,Listas!$C:$C,"")</f>
        <v xml:space="preserve">Amerant Bank </v>
      </c>
      <c r="F245" s="49" t="s">
        <v>10</v>
      </c>
      <c r="G245" s="49" t="s">
        <v>61</v>
      </c>
      <c r="H245" s="4" t="str">
        <f>IFERROR(_xlfn.XLOOKUP(G245,Listas!E:E,Listas!F:F,""),"")</f>
        <v>Operativo</v>
      </c>
      <c r="I245" s="4" t="str">
        <f>IFERROR(_xlfn.XLOOKUP(G245,Listas!E:E,Listas!G:G,""),"")</f>
        <v>Externo</v>
      </c>
      <c r="J245" s="51">
        <v>70000</v>
      </c>
      <c r="K245" s="5">
        <f t="shared" si="5"/>
        <v>-70000</v>
      </c>
      <c r="L245" s="16" t="s">
        <v>128</v>
      </c>
      <c r="M245" s="52">
        <f>SUMIFS('Saldos Iniciales'!$D$2:$D$38,'Saldos Iniciales'!$A$2:$A$38,C245,'Saldos Iniciales'!$B$2:$B$38,D245)+SUMIFS($K$1:$K$1048575,$C$1:$C$1048575,C245,$D$1:$D$1048575,D245,$B$1:$B$1048575,"&lt;="&amp;B245)</f>
        <v>719648.53</v>
      </c>
      <c r="N245" s="30" t="str">
        <f>IF(tblMovimientos[[#This Row],[Tipo de Movimiento]]="Ingreso",tblMovimientos[[#This Row],[Monto (S/)]],"0")</f>
        <v>0</v>
      </c>
      <c r="O245" s="30">
        <f>IF(tblMovimientos[[#This Row],[Tipo de Movimiento]]="Egreso",tblMovimientos[[#This Row],[Monto (S/)]],"0")</f>
        <v>70000</v>
      </c>
      <c r="P245" s="34">
        <f>IF(tblMovimientos[[#This Row],[Tipo de Movimiento]]="Ingreso",tblMovimientos[[#This Row],[Ingreso]],-tblMovimientos[[#This Row],[Egreso]])</f>
        <v>-70000</v>
      </c>
    </row>
    <row r="246" spans="2:16" x14ac:dyDescent="0.3">
      <c r="B246" s="47">
        <v>46177</v>
      </c>
      <c r="C246" s="4" t="str">
        <f>_xlfn.XLOOKUP(tblMovimientos[[#This Row],[Cuenta Bancaria]],Listas!$B:$B,Listas!$A:$A,"")</f>
        <v>CFT Group</v>
      </c>
      <c r="D246" s="49" t="s">
        <v>95</v>
      </c>
      <c r="E246" s="4" t="str">
        <f>_xlfn.XLOOKUP(tblMovimientos[[#This Row],[Cuenta Bancaria]],Listas!$B:$B,Listas!$C:$C,"")</f>
        <v xml:space="preserve">Amerant Bank </v>
      </c>
      <c r="F246" s="49" t="s">
        <v>10</v>
      </c>
      <c r="G246" s="49" t="s">
        <v>50</v>
      </c>
      <c r="H246" s="4" t="str">
        <f>IFERROR(_xlfn.XLOOKUP(G246,Listas!E:E,Listas!F:F,""),"")</f>
        <v>Financiamiento</v>
      </c>
      <c r="I246" s="4" t="str">
        <f>IFERROR(_xlfn.XLOOKUP(G246,Listas!E:E,Listas!G:G,""),"")</f>
        <v>Externo</v>
      </c>
      <c r="J246" s="51">
        <v>150000</v>
      </c>
      <c r="K246" s="5">
        <f t="shared" si="5"/>
        <v>-150000</v>
      </c>
      <c r="L246" s="16" t="s">
        <v>128</v>
      </c>
      <c r="M246" s="52">
        <f>SUMIFS('Saldos Iniciales'!$D$2:$D$38,'Saldos Iniciales'!$A$2:$A$38,C246,'Saldos Iniciales'!$B$2:$B$38,D246)+SUMIFS($K$1:$K$1048575,$C$1:$C$1048575,C246,$D$1:$D$1048575,D246,$B$1:$B$1048575,"&lt;="&amp;B246)</f>
        <v>719648.53</v>
      </c>
      <c r="N246" s="30" t="str">
        <f>IF(tblMovimientos[[#This Row],[Tipo de Movimiento]]="Ingreso",tblMovimientos[[#This Row],[Monto (S/)]],"0")</f>
        <v>0</v>
      </c>
      <c r="O246" s="30">
        <f>IF(tblMovimientos[[#This Row],[Tipo de Movimiento]]="Egreso",tblMovimientos[[#This Row],[Monto (S/)]],"0")</f>
        <v>150000</v>
      </c>
      <c r="P246" s="34">
        <f>IF(tblMovimientos[[#This Row],[Tipo de Movimiento]]="Ingreso",tblMovimientos[[#This Row],[Ingreso]],-tblMovimientos[[#This Row],[Egreso]])</f>
        <v>-150000</v>
      </c>
    </row>
    <row r="247" spans="2:16" x14ac:dyDescent="0.3">
      <c r="B247" s="47">
        <v>46177</v>
      </c>
      <c r="C247" s="4" t="str">
        <f>_xlfn.XLOOKUP(tblMovimientos[[#This Row],[Cuenta Bancaria]],Listas!$B:$B,Listas!$A:$A,"")</f>
        <v>EC Auto</v>
      </c>
      <c r="D247" s="49" t="s">
        <v>119</v>
      </c>
      <c r="E247" s="4" t="str">
        <f>_xlfn.XLOOKUP(tblMovimientos[[#This Row],[Cuenta Bancaria]],Listas!$B:$B,Listas!$C:$C,"")</f>
        <v xml:space="preserve">Amerant Bank </v>
      </c>
      <c r="F247" s="49" t="s">
        <v>10</v>
      </c>
      <c r="G247" s="49" t="s">
        <v>38</v>
      </c>
      <c r="H247" s="4" t="str">
        <f>IFERROR(_xlfn.XLOOKUP(G247,Listas!E:E,Listas!F:F,""),"")</f>
        <v>Operativo</v>
      </c>
      <c r="I247" s="4" t="str">
        <f>IFERROR(_xlfn.XLOOKUP(G247,Listas!E:E,Listas!G:G,""),"")</f>
        <v>Externo</v>
      </c>
      <c r="J247" s="51">
        <v>518.65</v>
      </c>
      <c r="K247" s="5">
        <f t="shared" si="5"/>
        <v>-518.65</v>
      </c>
      <c r="L247" s="16" t="s">
        <v>128</v>
      </c>
      <c r="M247" s="52">
        <f>SUMIFS('Saldos Iniciales'!$D$2:$D$38,'Saldos Iniciales'!$A$2:$A$38,C247,'Saldos Iniciales'!$B$2:$B$38,D247)+SUMIFS($K$1:$K$1048575,$C$1:$C$1048575,C247,$D$1:$D$1048575,D247,$B$1:$B$1048575,"&lt;="&amp;B247)</f>
        <v>382.69000000000005</v>
      </c>
      <c r="N247" s="30" t="str">
        <f>IF(tblMovimientos[[#This Row],[Tipo de Movimiento]]="Ingreso",tblMovimientos[[#This Row],[Monto (S/)]],"0")</f>
        <v>0</v>
      </c>
      <c r="O247" s="30">
        <f>IF(tblMovimientos[[#This Row],[Tipo de Movimiento]]="Egreso",tblMovimientos[[#This Row],[Monto (S/)]],"0")</f>
        <v>518.65</v>
      </c>
      <c r="P247" s="34">
        <f>IF(tblMovimientos[[#This Row],[Tipo de Movimiento]]="Ingreso",tblMovimientos[[#This Row],[Ingreso]],-tblMovimientos[[#This Row],[Egreso]])</f>
        <v>-518.65</v>
      </c>
    </row>
    <row r="248" spans="2:16" x14ac:dyDescent="0.3">
      <c r="B248" s="47">
        <v>46177</v>
      </c>
      <c r="C248" s="4" t="str">
        <f>_xlfn.XLOOKUP(tblMovimientos[[#This Row],[Cuenta Bancaria]],Listas!$B:$B,Listas!$A:$A,"")</f>
        <v>Cross Family Trust</v>
      </c>
      <c r="D248" s="49" t="s">
        <v>111</v>
      </c>
      <c r="E248" s="4" t="str">
        <f>_xlfn.XLOOKUP(tblMovimientos[[#This Row],[Cuenta Bancaria]],Listas!$B:$B,Listas!$C:$C,"")</f>
        <v xml:space="preserve">Amerant Bank </v>
      </c>
      <c r="F248" s="49" t="s">
        <v>10</v>
      </c>
      <c r="G248" s="49" t="s">
        <v>64</v>
      </c>
      <c r="H248" s="4" t="str">
        <f>IFERROR(_xlfn.XLOOKUP(G248,Listas!E:E,Listas!F:F,""),"")</f>
        <v>Operativo</v>
      </c>
      <c r="I248" s="4" t="str">
        <f>IFERROR(_xlfn.XLOOKUP(G248,Listas!E:E,Listas!G:G,""),"")</f>
        <v>Interno</v>
      </c>
      <c r="J248" s="51">
        <v>9000</v>
      </c>
      <c r="K248" s="5">
        <f t="shared" si="5"/>
        <v>-9000</v>
      </c>
      <c r="L248" s="16" t="s">
        <v>128</v>
      </c>
      <c r="M248" s="52">
        <f>SUMIFS('Saldos Iniciales'!$D$2:$D$38,'Saldos Iniciales'!$A$2:$A$38,C248,'Saldos Iniciales'!$B$2:$B$38,D248)+SUMIFS($K$1:$K$1048575,$C$1:$C$1048575,C248,$D$1:$D$1048575,D248,$B$1:$B$1048575,"&lt;="&amp;B248)</f>
        <v>1717.6000000000058</v>
      </c>
      <c r="N248" s="30" t="str">
        <f>IF(tblMovimientos[[#This Row],[Tipo de Movimiento]]="Ingreso",tblMovimientos[[#This Row],[Monto (S/)]],"0")</f>
        <v>0</v>
      </c>
      <c r="O248" s="30">
        <f>IF(tblMovimientos[[#This Row],[Tipo de Movimiento]]="Egreso",tblMovimientos[[#This Row],[Monto (S/)]],"0")</f>
        <v>9000</v>
      </c>
      <c r="P248" s="34">
        <f>IF(tblMovimientos[[#This Row],[Tipo de Movimiento]]="Ingreso",tblMovimientos[[#This Row],[Ingreso]],-tblMovimientos[[#This Row],[Egreso]])</f>
        <v>-9000</v>
      </c>
    </row>
    <row r="249" spans="2:16" x14ac:dyDescent="0.3">
      <c r="B249" s="47">
        <v>46177</v>
      </c>
      <c r="C249" s="4" t="str">
        <f>_xlfn.XLOOKUP(tblMovimientos[[#This Row],[Cuenta Bancaria]],Listas!$B:$B,Listas!$A:$A,"")</f>
        <v>SSP Capital</v>
      </c>
      <c r="D249" s="49" t="s">
        <v>104</v>
      </c>
      <c r="E249" s="4" t="str">
        <f>_xlfn.XLOOKUP(tblMovimientos[[#This Row],[Cuenta Bancaria]],Listas!$B:$B,Listas!$C:$C,"")</f>
        <v xml:space="preserve">Amerant Bank </v>
      </c>
      <c r="F249" s="49" t="s">
        <v>9</v>
      </c>
      <c r="G249" s="49" t="s">
        <v>75</v>
      </c>
      <c r="H249" s="4" t="str">
        <f>IFERROR(_xlfn.XLOOKUP(G249,Listas!E:E,Listas!F:F,""),"")</f>
        <v>Financiamiento</v>
      </c>
      <c r="I249" s="4" t="str">
        <f>IFERROR(_xlfn.XLOOKUP(G249,Listas!E:E,Listas!G:G,""),"")</f>
        <v>Interno</v>
      </c>
      <c r="J249" s="51">
        <v>150000</v>
      </c>
      <c r="K249" s="5">
        <f t="shared" si="5"/>
        <v>150000</v>
      </c>
      <c r="L249" s="16" t="s">
        <v>128</v>
      </c>
      <c r="M249" s="52">
        <f>SUMIFS('Saldos Iniciales'!$D$2:$D$38,'Saldos Iniciales'!$A$2:$A$38,C249,'Saldos Iniciales'!$B$2:$B$38,D249)+SUMIFS($K$1:$K$1048575,$C$1:$C$1048575,C249,$D$1:$D$1048575,D249,$B$1:$B$1048575,"&lt;="&amp;B249)</f>
        <v>386254.63999999932</v>
      </c>
      <c r="N249" s="30">
        <f>IF(tblMovimientos[[#This Row],[Tipo de Movimiento]]="Ingreso",tblMovimientos[[#This Row],[Monto (S/)]],"0")</f>
        <v>150000</v>
      </c>
      <c r="O249" s="30" t="str">
        <f>IF(tblMovimientos[[#This Row],[Tipo de Movimiento]]="Egreso",tblMovimientos[[#This Row],[Monto (S/)]],"0")</f>
        <v>0</v>
      </c>
      <c r="P249" s="34">
        <f>IF(tblMovimientos[[#This Row],[Tipo de Movimiento]]="Ingreso",tblMovimientos[[#This Row],[Ingreso]],-tblMovimientos[[#This Row],[Egreso]])</f>
        <v>150000</v>
      </c>
    </row>
    <row r="250" spans="2:16" x14ac:dyDescent="0.3">
      <c r="B250" s="47">
        <v>46177</v>
      </c>
      <c r="C250" s="4" t="str">
        <f>_xlfn.XLOOKUP(tblMovimientos[[#This Row],[Cuenta Bancaria]],Listas!$B:$B,Listas!$A:$A,"")</f>
        <v>SSP Capital</v>
      </c>
      <c r="D250" s="49" t="s">
        <v>104</v>
      </c>
      <c r="E250" s="4" t="str">
        <f>_xlfn.XLOOKUP(tblMovimientos[[#This Row],[Cuenta Bancaria]],Listas!$B:$B,Listas!$C:$C,"")</f>
        <v xml:space="preserve">Amerant Bank </v>
      </c>
      <c r="F250" s="49" t="s">
        <v>10</v>
      </c>
      <c r="G250" s="49" t="s">
        <v>46</v>
      </c>
      <c r="H250" s="4" t="str">
        <f>IFERROR(_xlfn.XLOOKUP(G250,Listas!E:E,Listas!F:F,""),"")</f>
        <v>Financiamiento</v>
      </c>
      <c r="I250" s="4" t="str">
        <f>IFERROR(_xlfn.XLOOKUP(G250,Listas!E:E,Listas!G:G,""),"")</f>
        <v>Externo</v>
      </c>
      <c r="J250" s="51">
        <v>8666.67</v>
      </c>
      <c r="K250" s="5">
        <f t="shared" si="5"/>
        <v>-8666.67</v>
      </c>
      <c r="L250" s="16" t="s">
        <v>128</v>
      </c>
      <c r="M250" s="52">
        <f>SUMIFS('Saldos Iniciales'!$D$2:$D$38,'Saldos Iniciales'!$A$2:$A$38,C250,'Saldos Iniciales'!$B$2:$B$38,D250)+SUMIFS($K$1:$K$1048575,$C$1:$C$1048575,C250,$D$1:$D$1048575,D250,$B$1:$B$1048575,"&lt;="&amp;B250)</f>
        <v>386254.63999999932</v>
      </c>
      <c r="N250" s="30" t="str">
        <f>IF(tblMovimientos[[#This Row],[Tipo de Movimiento]]="Ingreso",tblMovimientos[[#This Row],[Monto (S/)]],"0")</f>
        <v>0</v>
      </c>
      <c r="O250" s="30">
        <f>IF(tblMovimientos[[#This Row],[Tipo de Movimiento]]="Egreso",tblMovimientos[[#This Row],[Monto (S/)]],"0")</f>
        <v>8666.67</v>
      </c>
      <c r="P250" s="34">
        <f>IF(tblMovimientos[[#This Row],[Tipo de Movimiento]]="Ingreso",tblMovimientos[[#This Row],[Ingreso]],-tblMovimientos[[#This Row],[Egreso]])</f>
        <v>-8666.67</v>
      </c>
    </row>
    <row r="251" spans="2:16" x14ac:dyDescent="0.3">
      <c r="B251" s="47">
        <v>46177</v>
      </c>
      <c r="C251" s="4" t="str">
        <f>_xlfn.XLOOKUP(tblMovimientos[[#This Row],[Cuenta Bancaria]],Listas!$B:$B,Listas!$A:$A,"")</f>
        <v>Green Harbor Trust</v>
      </c>
      <c r="D251" s="49" t="s">
        <v>125</v>
      </c>
      <c r="E251" s="4" t="str">
        <f>_xlfn.XLOOKUP(tblMovimientos[[#This Row],[Cuenta Bancaria]],Listas!$B:$B,Listas!$C:$C,"")</f>
        <v xml:space="preserve">Amerant Bank </v>
      </c>
      <c r="F251" s="49" t="s">
        <v>9</v>
      </c>
      <c r="G251" s="49" t="s">
        <v>85</v>
      </c>
      <c r="H251" s="4" t="str">
        <f>IFERROR(_xlfn.XLOOKUP(G251,Listas!E:E,Listas!F:F,""),"")</f>
        <v>Operativo</v>
      </c>
      <c r="I251" s="4" t="str">
        <f>IFERROR(_xlfn.XLOOKUP(G251,Listas!E:E,Listas!G:G,""),"")</f>
        <v>Interno</v>
      </c>
      <c r="J251" s="51">
        <v>9000</v>
      </c>
      <c r="K251" s="5">
        <f t="shared" si="5"/>
        <v>9000</v>
      </c>
      <c r="L251" s="16" t="s">
        <v>128</v>
      </c>
      <c r="M251" s="52">
        <f>SUMIFS('Saldos Iniciales'!$D$2:$D$38,'Saldos Iniciales'!$A$2:$A$38,C251,'Saldos Iniciales'!$B$2:$B$38,D251)+SUMIFS($K$1:$K$1048575,$C$1:$C$1048575,C251,$D$1:$D$1048575,D251,$B$1:$B$1048575,"&lt;="&amp;B251)</f>
        <v>345</v>
      </c>
      <c r="N251" s="30">
        <f>IF(tblMovimientos[[#This Row],[Tipo de Movimiento]]="Ingreso",tblMovimientos[[#This Row],[Monto (S/)]],"0")</f>
        <v>9000</v>
      </c>
      <c r="O251" s="30" t="str">
        <f>IF(tblMovimientos[[#This Row],[Tipo de Movimiento]]="Egreso",tblMovimientos[[#This Row],[Monto (S/)]],"0")</f>
        <v>0</v>
      </c>
      <c r="P251" s="34">
        <f>IF(tblMovimientos[[#This Row],[Tipo de Movimiento]]="Ingreso",tblMovimientos[[#This Row],[Ingreso]],-tblMovimientos[[#This Row],[Egreso]])</f>
        <v>9000</v>
      </c>
    </row>
    <row r="252" spans="2:16" x14ac:dyDescent="0.3">
      <c r="B252" s="47">
        <v>46177</v>
      </c>
      <c r="C252" s="4" t="str">
        <f>_xlfn.XLOOKUP(tblMovimientos[[#This Row],[Cuenta Bancaria]],Listas!$B:$B,Listas!$A:$A,"")</f>
        <v>Green Harbor Trust</v>
      </c>
      <c r="D252" s="49" t="s">
        <v>125</v>
      </c>
      <c r="E252" s="4" t="str">
        <f>_xlfn.XLOOKUP(tblMovimientos[[#This Row],[Cuenta Bancaria]],Listas!$B:$B,Listas!$C:$C,"")</f>
        <v xml:space="preserve">Amerant Bank </v>
      </c>
      <c r="F252" s="49" t="s">
        <v>10</v>
      </c>
      <c r="G252" s="49" t="s">
        <v>64</v>
      </c>
      <c r="H252" s="4" t="str">
        <f>IFERROR(_xlfn.XLOOKUP(G252,Listas!E:E,Listas!F:F,""),"")</f>
        <v>Operativo</v>
      </c>
      <c r="I252" s="4" t="str">
        <f>IFERROR(_xlfn.XLOOKUP(G252,Listas!E:E,Listas!G:G,""),"")</f>
        <v>Interno</v>
      </c>
      <c r="J252" s="51">
        <v>9000</v>
      </c>
      <c r="K252" s="5">
        <f t="shared" si="5"/>
        <v>-9000</v>
      </c>
      <c r="L252" s="16" t="s">
        <v>128</v>
      </c>
      <c r="M252" s="52">
        <f>SUMIFS('Saldos Iniciales'!$D$2:$D$38,'Saldos Iniciales'!$A$2:$A$38,C252,'Saldos Iniciales'!$B$2:$B$38,D252)+SUMIFS($K$1:$K$1048575,$C$1:$C$1048575,C252,$D$1:$D$1048575,D252,$B$1:$B$1048575,"&lt;="&amp;B252)</f>
        <v>345</v>
      </c>
      <c r="N252" s="30" t="str">
        <f>IF(tblMovimientos[[#This Row],[Tipo de Movimiento]]="Ingreso",tblMovimientos[[#This Row],[Monto (S/)]],"0")</f>
        <v>0</v>
      </c>
      <c r="O252" s="30">
        <f>IF(tblMovimientos[[#This Row],[Tipo de Movimiento]]="Egreso",tblMovimientos[[#This Row],[Monto (S/)]],"0")</f>
        <v>9000</v>
      </c>
      <c r="P252" s="34">
        <f>IF(tblMovimientos[[#This Row],[Tipo de Movimiento]]="Ingreso",tblMovimientos[[#This Row],[Ingreso]],-tblMovimientos[[#This Row],[Egreso]])</f>
        <v>-9000</v>
      </c>
    </row>
    <row r="253" spans="2:16" x14ac:dyDescent="0.3">
      <c r="B253" s="47">
        <v>46177</v>
      </c>
      <c r="C253" s="4" t="str">
        <f>_xlfn.XLOOKUP(tblMovimientos[[#This Row],[Cuenta Bancaria]],Listas!$B:$B,Listas!$A:$A,"")</f>
        <v>Go Blue</v>
      </c>
      <c r="D253" s="49" t="s">
        <v>126</v>
      </c>
      <c r="E253" s="4" t="str">
        <f>_xlfn.XLOOKUP(tblMovimientos[[#This Row],[Cuenta Bancaria]],Listas!$B:$B,Listas!$C:$C,"")</f>
        <v xml:space="preserve">Amerant Bank </v>
      </c>
      <c r="F253" s="49" t="s">
        <v>9</v>
      </c>
      <c r="G253" s="49" t="s">
        <v>85</v>
      </c>
      <c r="H253" s="4" t="str">
        <f>IFERROR(_xlfn.XLOOKUP(G253,Listas!E:E,Listas!F:F,""),"")</f>
        <v>Operativo</v>
      </c>
      <c r="I253" s="4" t="str">
        <f>IFERROR(_xlfn.XLOOKUP(G253,Listas!E:E,Listas!G:G,""),"")</f>
        <v>Interno</v>
      </c>
      <c r="J253" s="51">
        <v>9000</v>
      </c>
      <c r="K253" s="5">
        <f t="shared" si="5"/>
        <v>9000</v>
      </c>
      <c r="L253" s="16" t="s">
        <v>128</v>
      </c>
      <c r="M253" s="52">
        <f>SUMIFS('Saldos Iniciales'!$D$2:$D$38,'Saldos Iniciales'!$A$2:$A$38,C253,'Saldos Iniciales'!$B$2:$B$38,D253)+SUMIFS($K$1:$K$1048575,$C$1:$C$1048575,C253,$D$1:$D$1048575,D253,$B$1:$B$1048575,"&lt;="&amp;B253)</f>
        <v>2422.7400000000016</v>
      </c>
      <c r="N253" s="30">
        <f>IF(tblMovimientos[[#This Row],[Tipo de Movimiento]]="Ingreso",tblMovimientos[[#This Row],[Monto (S/)]],"0")</f>
        <v>9000</v>
      </c>
      <c r="O253" s="30" t="str">
        <f>IF(tblMovimientos[[#This Row],[Tipo de Movimiento]]="Egreso",tblMovimientos[[#This Row],[Monto (S/)]],"0")</f>
        <v>0</v>
      </c>
      <c r="P253" s="34">
        <f>IF(tblMovimientos[[#This Row],[Tipo de Movimiento]]="Ingreso",tblMovimientos[[#This Row],[Ingreso]],-tblMovimientos[[#This Row],[Egreso]])</f>
        <v>9000</v>
      </c>
    </row>
    <row r="254" spans="2:16" x14ac:dyDescent="0.3">
      <c r="B254" s="47">
        <v>46177</v>
      </c>
      <c r="C254" s="4" t="str">
        <f>_xlfn.XLOOKUP(tblMovimientos[[#This Row],[Cuenta Bancaria]],Listas!$B:$B,Listas!$A:$A,"")</f>
        <v>Go Blue</v>
      </c>
      <c r="D254" s="49" t="s">
        <v>126</v>
      </c>
      <c r="E254" s="4" t="str">
        <f>_xlfn.XLOOKUP(tblMovimientos[[#This Row],[Cuenta Bancaria]],Listas!$B:$B,Listas!$C:$C,"")</f>
        <v xml:space="preserve">Amerant Bank </v>
      </c>
      <c r="F254" s="49" t="s">
        <v>10</v>
      </c>
      <c r="G254" s="49" t="s">
        <v>38</v>
      </c>
      <c r="H254" s="4" t="str">
        <f>IFERROR(_xlfn.XLOOKUP(G254,Listas!E:E,Listas!F:F,""),"")</f>
        <v>Operativo</v>
      </c>
      <c r="I254" s="4" t="str">
        <f>IFERROR(_xlfn.XLOOKUP(G254,Listas!E:E,Listas!G:G,""),"")</f>
        <v>Externo</v>
      </c>
      <c r="J254" s="51">
        <v>250</v>
      </c>
      <c r="K254" s="5">
        <f t="shared" si="5"/>
        <v>-250</v>
      </c>
      <c r="L254" s="16" t="s">
        <v>128</v>
      </c>
      <c r="M254" s="52">
        <f>SUMIFS('Saldos Iniciales'!$D$2:$D$38,'Saldos Iniciales'!$A$2:$A$38,C254,'Saldos Iniciales'!$B$2:$B$38,D254)+SUMIFS($K$1:$K$1048575,$C$1:$C$1048575,C254,$D$1:$D$1048575,D254,$B$1:$B$1048575,"&lt;="&amp;B254)</f>
        <v>2422.7400000000016</v>
      </c>
      <c r="N254" s="30" t="str">
        <f>IF(tblMovimientos[[#This Row],[Tipo de Movimiento]]="Ingreso",tblMovimientos[[#This Row],[Monto (S/)]],"0")</f>
        <v>0</v>
      </c>
      <c r="O254" s="30">
        <f>IF(tblMovimientos[[#This Row],[Tipo de Movimiento]]="Egreso",tblMovimientos[[#This Row],[Monto (S/)]],"0")</f>
        <v>250</v>
      </c>
      <c r="P254" s="34">
        <f>IF(tblMovimientos[[#This Row],[Tipo de Movimiento]]="Ingreso",tblMovimientos[[#This Row],[Ingreso]],-tblMovimientos[[#This Row],[Egreso]])</f>
        <v>-250</v>
      </c>
    </row>
    <row r="255" spans="2:16" x14ac:dyDescent="0.3">
      <c r="B255" s="47">
        <v>46177</v>
      </c>
      <c r="C255" s="4" t="str">
        <f>_xlfn.XLOOKUP(tblMovimientos[[#This Row],[Cuenta Bancaria]],Listas!$B:$B,Listas!$A:$A,"")</f>
        <v>Go Blue</v>
      </c>
      <c r="D255" s="49" t="s">
        <v>126</v>
      </c>
      <c r="E255" s="4" t="str">
        <f>_xlfn.XLOOKUP(tblMovimientos[[#This Row],[Cuenta Bancaria]],Listas!$B:$B,Listas!$C:$C,"")</f>
        <v xml:space="preserve">Amerant Bank </v>
      </c>
      <c r="F255" s="49" t="s">
        <v>10</v>
      </c>
      <c r="G255" s="49" t="s">
        <v>38</v>
      </c>
      <c r="H255" s="4" t="str">
        <f>IFERROR(_xlfn.XLOOKUP(G255,Listas!E:E,Listas!F:F,""),"")</f>
        <v>Operativo</v>
      </c>
      <c r="I255" s="4" t="str">
        <f>IFERROR(_xlfn.XLOOKUP(G255,Listas!E:E,Listas!G:G,""),"")</f>
        <v>Externo</v>
      </c>
      <c r="J255" s="51">
        <v>2175</v>
      </c>
      <c r="K255" s="5">
        <f t="shared" si="5"/>
        <v>-2175</v>
      </c>
      <c r="L255" s="16" t="s">
        <v>128</v>
      </c>
      <c r="M255" s="52">
        <f>SUMIFS('Saldos Iniciales'!$D$2:$D$38,'Saldos Iniciales'!$A$2:$A$38,C255,'Saldos Iniciales'!$B$2:$B$38,D255)+SUMIFS($K$1:$K$1048575,$C$1:$C$1048575,C255,$D$1:$D$1048575,D255,$B$1:$B$1048575,"&lt;="&amp;B255)</f>
        <v>2422.7400000000016</v>
      </c>
      <c r="N255" s="30" t="str">
        <f>IF(tblMovimientos[[#This Row],[Tipo de Movimiento]]="Ingreso",tblMovimientos[[#This Row],[Monto (S/)]],"0")</f>
        <v>0</v>
      </c>
      <c r="O255" s="30">
        <f>IF(tblMovimientos[[#This Row],[Tipo de Movimiento]]="Egreso",tblMovimientos[[#This Row],[Monto (S/)]],"0")</f>
        <v>2175</v>
      </c>
      <c r="P255" s="34">
        <f>IF(tblMovimientos[[#This Row],[Tipo de Movimiento]]="Ingreso",tblMovimientos[[#This Row],[Ingreso]],-tblMovimientos[[#This Row],[Egreso]])</f>
        <v>-2175</v>
      </c>
    </row>
    <row r="256" spans="2:16" x14ac:dyDescent="0.3">
      <c r="B256" s="47">
        <v>46177</v>
      </c>
      <c r="C256" s="4" t="str">
        <f>_xlfn.XLOOKUP(tblMovimientos[[#This Row],[Cuenta Bancaria]],Listas!$B:$B,Listas!$A:$A,"")</f>
        <v>Go Blue</v>
      </c>
      <c r="D256" s="49" t="s">
        <v>126</v>
      </c>
      <c r="E256" s="4" t="str">
        <f>_xlfn.XLOOKUP(tblMovimientos[[#This Row],[Cuenta Bancaria]],Listas!$B:$B,Listas!$C:$C,"")</f>
        <v xml:space="preserve">Amerant Bank </v>
      </c>
      <c r="F256" s="49" t="s">
        <v>10</v>
      </c>
      <c r="G256" s="49" t="s">
        <v>44</v>
      </c>
      <c r="H256" s="4" t="str">
        <f>IFERROR(_xlfn.XLOOKUP(G256,Listas!E:E,Listas!F:F,""),"")</f>
        <v>Operativo</v>
      </c>
      <c r="I256" s="4" t="str">
        <f>IFERROR(_xlfn.XLOOKUP(G256,Listas!E:E,Listas!G:G,""),"")</f>
        <v>Externo</v>
      </c>
      <c r="J256" s="51">
        <v>15</v>
      </c>
      <c r="K256" s="5">
        <f t="shared" si="5"/>
        <v>-15</v>
      </c>
      <c r="L256" s="16" t="s">
        <v>128</v>
      </c>
      <c r="M256" s="52">
        <f>SUMIFS('Saldos Iniciales'!$D$2:$D$38,'Saldos Iniciales'!$A$2:$A$38,C256,'Saldos Iniciales'!$B$2:$B$38,D256)+SUMIFS($K$1:$K$1048575,$C$1:$C$1048575,C256,$D$1:$D$1048575,D256,$B$1:$B$1048575,"&lt;="&amp;B256)</f>
        <v>2422.7400000000016</v>
      </c>
      <c r="N256" s="30" t="str">
        <f>IF(tblMovimientos[[#This Row],[Tipo de Movimiento]]="Ingreso",tblMovimientos[[#This Row],[Monto (S/)]],"0")</f>
        <v>0</v>
      </c>
      <c r="O256" s="30">
        <f>IF(tblMovimientos[[#This Row],[Tipo de Movimiento]]="Egreso",tblMovimientos[[#This Row],[Monto (S/)]],"0")</f>
        <v>15</v>
      </c>
      <c r="P256" s="34">
        <f>IF(tblMovimientos[[#This Row],[Tipo de Movimiento]]="Ingreso",tblMovimientos[[#This Row],[Ingreso]],-tblMovimientos[[#This Row],[Egreso]])</f>
        <v>-15</v>
      </c>
    </row>
    <row r="257" spans="2:16" x14ac:dyDescent="0.3">
      <c r="B257" s="47">
        <v>46177</v>
      </c>
      <c r="C257" s="4" t="str">
        <f>_xlfn.XLOOKUP(tblMovimientos[[#This Row],[Cuenta Bancaria]],Listas!$B:$B,Listas!$A:$A,"")</f>
        <v>Go Blue</v>
      </c>
      <c r="D257" s="49" t="s">
        <v>126</v>
      </c>
      <c r="E257" s="4" t="str">
        <f>_xlfn.XLOOKUP(tblMovimientos[[#This Row],[Cuenta Bancaria]],Listas!$B:$B,Listas!$C:$C,"")</f>
        <v xml:space="preserve">Amerant Bank </v>
      </c>
      <c r="F257" s="49" t="s">
        <v>10</v>
      </c>
      <c r="G257" s="49" t="s">
        <v>38</v>
      </c>
      <c r="H257" s="4" t="str">
        <f>IFERROR(_xlfn.XLOOKUP(G257,Listas!E:E,Listas!F:F,""),"")</f>
        <v>Operativo</v>
      </c>
      <c r="I257" s="4" t="str">
        <f>IFERROR(_xlfn.XLOOKUP(G257,Listas!E:E,Listas!G:G,""),"")</f>
        <v>Externo</v>
      </c>
      <c r="J257" s="51">
        <v>3622.15</v>
      </c>
      <c r="K257" s="5">
        <f t="shared" si="5"/>
        <v>-3622.15</v>
      </c>
      <c r="L257" s="16" t="s">
        <v>128</v>
      </c>
      <c r="M257" s="52">
        <f>SUMIFS('Saldos Iniciales'!$D$2:$D$38,'Saldos Iniciales'!$A$2:$A$38,C257,'Saldos Iniciales'!$B$2:$B$38,D257)+SUMIFS($K$1:$K$1048575,$C$1:$C$1048575,C257,$D$1:$D$1048575,D257,$B$1:$B$1048575,"&lt;="&amp;B257)</f>
        <v>2422.7400000000016</v>
      </c>
      <c r="N257" s="30" t="str">
        <f>IF(tblMovimientos[[#This Row],[Tipo de Movimiento]]="Ingreso",tblMovimientos[[#This Row],[Monto (S/)]],"0")</f>
        <v>0</v>
      </c>
      <c r="O257" s="30">
        <f>IF(tblMovimientos[[#This Row],[Tipo de Movimiento]]="Egreso",tblMovimientos[[#This Row],[Monto (S/)]],"0")</f>
        <v>3622.15</v>
      </c>
      <c r="P257" s="34">
        <f>IF(tblMovimientos[[#This Row],[Tipo de Movimiento]]="Ingreso",tblMovimientos[[#This Row],[Ingreso]],-tblMovimientos[[#This Row],[Egreso]])</f>
        <v>-3622.15</v>
      </c>
    </row>
    <row r="258" spans="2:16" x14ac:dyDescent="0.3">
      <c r="B258" s="47">
        <v>46177</v>
      </c>
      <c r="C258" s="4" t="str">
        <f>_xlfn.XLOOKUP(tblMovimientos[[#This Row],[Cuenta Bancaria]],Listas!$B:$B,Listas!$A:$A,"")</f>
        <v>Go Blue</v>
      </c>
      <c r="D258" s="49" t="s">
        <v>126</v>
      </c>
      <c r="E258" s="4" t="str">
        <f>_xlfn.XLOOKUP(tblMovimientos[[#This Row],[Cuenta Bancaria]],Listas!$B:$B,Listas!$C:$C,"")</f>
        <v xml:space="preserve">Amerant Bank </v>
      </c>
      <c r="F258" s="49" t="s">
        <v>10</v>
      </c>
      <c r="G258" s="49" t="s">
        <v>44</v>
      </c>
      <c r="H258" s="4" t="str">
        <f>IFERROR(_xlfn.XLOOKUP(G258,Listas!E:E,Listas!F:F,""),"")</f>
        <v>Operativo</v>
      </c>
      <c r="I258" s="4" t="str">
        <f>IFERROR(_xlfn.XLOOKUP(G258,Listas!E:E,Listas!G:G,""),"")</f>
        <v>Externo</v>
      </c>
      <c r="J258" s="51">
        <v>15</v>
      </c>
      <c r="K258" s="5">
        <f t="shared" si="5"/>
        <v>-15</v>
      </c>
      <c r="L258" s="16" t="s">
        <v>128</v>
      </c>
      <c r="M258" s="52">
        <f>SUMIFS('Saldos Iniciales'!$D$2:$D$38,'Saldos Iniciales'!$A$2:$A$38,C258,'Saldos Iniciales'!$B$2:$B$38,D258)+SUMIFS($K$1:$K$1048575,$C$1:$C$1048575,C258,$D$1:$D$1048575,D258,$B$1:$B$1048575,"&lt;="&amp;B258)</f>
        <v>2422.7400000000016</v>
      </c>
      <c r="N258" s="30" t="str">
        <f>IF(tblMovimientos[[#This Row],[Tipo de Movimiento]]="Ingreso",tblMovimientos[[#This Row],[Monto (S/)]],"0")</f>
        <v>0</v>
      </c>
      <c r="O258" s="30">
        <f>IF(tblMovimientos[[#This Row],[Tipo de Movimiento]]="Egreso",tblMovimientos[[#This Row],[Monto (S/)]],"0")</f>
        <v>15</v>
      </c>
      <c r="P258" s="34">
        <f>IF(tblMovimientos[[#This Row],[Tipo de Movimiento]]="Ingreso",tblMovimientos[[#This Row],[Ingreso]],-tblMovimientos[[#This Row],[Egreso]])</f>
        <v>-15</v>
      </c>
    </row>
    <row r="259" spans="2:16" x14ac:dyDescent="0.3">
      <c r="B259" s="47">
        <v>46177</v>
      </c>
      <c r="C259" s="4" t="str">
        <f>_xlfn.XLOOKUP(tblMovimientos[[#This Row],[Cuenta Bancaria]],Listas!$B:$B,Listas!$A:$A,"")</f>
        <v>Go Blue</v>
      </c>
      <c r="D259" s="49" t="s">
        <v>126</v>
      </c>
      <c r="E259" s="4" t="str">
        <f>_xlfn.XLOOKUP(tblMovimientos[[#This Row],[Cuenta Bancaria]],Listas!$B:$B,Listas!$C:$C,"")</f>
        <v xml:space="preserve">Amerant Bank </v>
      </c>
      <c r="F259" s="49" t="s">
        <v>10</v>
      </c>
      <c r="G259" s="49" t="s">
        <v>38</v>
      </c>
      <c r="H259" s="4" t="str">
        <f>IFERROR(_xlfn.XLOOKUP(G259,Listas!E:E,Listas!F:F,""),"")</f>
        <v>Operativo</v>
      </c>
      <c r="I259" s="4" t="str">
        <f>IFERROR(_xlfn.XLOOKUP(G259,Listas!E:E,Listas!G:G,""),"")</f>
        <v>Externo</v>
      </c>
      <c r="J259" s="51">
        <v>4000</v>
      </c>
      <c r="K259" s="5">
        <f t="shared" si="5"/>
        <v>-4000</v>
      </c>
      <c r="L259" s="16" t="s">
        <v>128</v>
      </c>
      <c r="M259" s="52">
        <f>SUMIFS('Saldos Iniciales'!$D$2:$D$38,'Saldos Iniciales'!$A$2:$A$38,C259,'Saldos Iniciales'!$B$2:$B$38,D259)+SUMIFS($K$1:$K$1048575,$C$1:$C$1048575,C259,$D$1:$D$1048575,D259,$B$1:$B$1048575,"&lt;="&amp;B259)</f>
        <v>2422.7400000000016</v>
      </c>
      <c r="N259" s="30" t="str">
        <f>IF(tblMovimientos[[#This Row],[Tipo de Movimiento]]="Ingreso",tblMovimientos[[#This Row],[Monto (S/)]],"0")</f>
        <v>0</v>
      </c>
      <c r="O259" s="30">
        <f>IF(tblMovimientos[[#This Row],[Tipo de Movimiento]]="Egreso",tblMovimientos[[#This Row],[Monto (S/)]],"0")</f>
        <v>4000</v>
      </c>
      <c r="P259" s="34">
        <f>IF(tblMovimientos[[#This Row],[Tipo de Movimiento]]="Ingreso",tblMovimientos[[#This Row],[Ingreso]],-tblMovimientos[[#This Row],[Egreso]])</f>
        <v>-4000</v>
      </c>
    </row>
    <row r="260" spans="2:16" x14ac:dyDescent="0.3">
      <c r="B260" s="47">
        <v>46177</v>
      </c>
      <c r="C260" s="4" t="str">
        <f>_xlfn.XLOOKUP(tblMovimientos[[#This Row],[Cuenta Bancaria]],Listas!$B:$B,Listas!$A:$A,"")</f>
        <v>Go Blue</v>
      </c>
      <c r="D260" s="49" t="s">
        <v>126</v>
      </c>
      <c r="E260" s="4" t="str">
        <f>_xlfn.XLOOKUP(tblMovimientos[[#This Row],[Cuenta Bancaria]],Listas!$B:$B,Listas!$C:$C,"")</f>
        <v xml:space="preserve">Amerant Bank </v>
      </c>
      <c r="F260" s="49" t="s">
        <v>10</v>
      </c>
      <c r="G260" s="49" t="s">
        <v>44</v>
      </c>
      <c r="H260" s="4" t="str">
        <f>IFERROR(_xlfn.XLOOKUP(G260,Listas!E:E,Listas!F:F,""),"")</f>
        <v>Operativo</v>
      </c>
      <c r="I260" s="4" t="str">
        <f>IFERROR(_xlfn.XLOOKUP(G260,Listas!E:E,Listas!G:G,""),"")</f>
        <v>Externo</v>
      </c>
      <c r="J260" s="51">
        <v>15</v>
      </c>
      <c r="K260" s="5">
        <f t="shared" si="5"/>
        <v>-15</v>
      </c>
      <c r="L260" s="16" t="s">
        <v>128</v>
      </c>
      <c r="M260" s="52">
        <f>SUMIFS('Saldos Iniciales'!$D$2:$D$38,'Saldos Iniciales'!$A$2:$A$38,C260,'Saldos Iniciales'!$B$2:$B$38,D260)+SUMIFS($K$1:$K$1048575,$C$1:$C$1048575,C260,$D$1:$D$1048575,D260,$B$1:$B$1048575,"&lt;="&amp;B260)</f>
        <v>2422.7400000000016</v>
      </c>
      <c r="N260" s="30" t="str">
        <f>IF(tblMovimientos[[#This Row],[Tipo de Movimiento]]="Ingreso",tblMovimientos[[#This Row],[Monto (S/)]],"0")</f>
        <v>0</v>
      </c>
      <c r="O260" s="30">
        <f>IF(tblMovimientos[[#This Row],[Tipo de Movimiento]]="Egreso",tblMovimientos[[#This Row],[Monto (S/)]],"0")</f>
        <v>15</v>
      </c>
      <c r="P260" s="34">
        <f>IF(tblMovimientos[[#This Row],[Tipo de Movimiento]]="Ingreso",tblMovimientos[[#This Row],[Ingreso]],-tblMovimientos[[#This Row],[Egreso]])</f>
        <v>-15</v>
      </c>
    </row>
    <row r="261" spans="2:16" x14ac:dyDescent="0.3">
      <c r="B261" s="47">
        <v>46178</v>
      </c>
      <c r="C261" s="4" t="str">
        <f>_xlfn.XLOOKUP(tblMovimientos[[#This Row],[Cuenta Bancaria]],Listas!$B:$B,Listas!$A:$A,"")</f>
        <v>SSP Capital</v>
      </c>
      <c r="D261" s="49" t="s">
        <v>101</v>
      </c>
      <c r="E261" s="4" t="str">
        <f>_xlfn.XLOOKUP(tblMovimientos[[#This Row],[Cuenta Bancaria]],Listas!$B:$B,Listas!$C:$C,"")</f>
        <v>Bank of America</v>
      </c>
      <c r="F261" s="49" t="s">
        <v>10</v>
      </c>
      <c r="G261" s="49" t="s">
        <v>38</v>
      </c>
      <c r="H261" s="4" t="str">
        <f>IFERROR(_xlfn.XLOOKUP(G261,Listas!E:E,Listas!F:F,""),"")</f>
        <v>Operativo</v>
      </c>
      <c r="I261" s="4" t="str">
        <f>IFERROR(_xlfn.XLOOKUP(G261,Listas!E:E,Listas!G:G,""),"")</f>
        <v>Externo</v>
      </c>
      <c r="J261" s="51">
        <v>6.35</v>
      </c>
      <c r="K261" s="5">
        <f t="shared" si="5"/>
        <v>-6.35</v>
      </c>
      <c r="L261" s="16" t="s">
        <v>128</v>
      </c>
      <c r="M261" s="52">
        <f>SUMIFS('Saldos Iniciales'!$D$2:$D$38,'Saldos Iniciales'!$A$2:$A$38,C261,'Saldos Iniciales'!$B$2:$B$38,D261)+SUMIFS($K$1:$K$1048575,$C$1:$C$1048575,C261,$D$1:$D$1048575,D261,$B$1:$B$1048575,"&lt;="&amp;B261)</f>
        <v>17636.53</v>
      </c>
      <c r="N261" s="30" t="str">
        <f>IF(tblMovimientos[[#This Row],[Tipo de Movimiento]]="Ingreso",tblMovimientos[[#This Row],[Monto (S/)]],"0")</f>
        <v>0</v>
      </c>
      <c r="O261" s="30">
        <f>IF(tblMovimientos[[#This Row],[Tipo de Movimiento]]="Egreso",tblMovimientos[[#This Row],[Monto (S/)]],"0")</f>
        <v>6.35</v>
      </c>
      <c r="P261" s="34">
        <f>IF(tblMovimientos[[#This Row],[Tipo de Movimiento]]="Ingreso",tblMovimientos[[#This Row],[Ingreso]],-tblMovimientos[[#This Row],[Egreso]])</f>
        <v>-6.35</v>
      </c>
    </row>
    <row r="262" spans="2:16" x14ac:dyDescent="0.3">
      <c r="B262" s="47">
        <v>46178</v>
      </c>
      <c r="C262" s="4" t="str">
        <f>_xlfn.XLOOKUP(tblMovimientos[[#This Row],[Cuenta Bancaria]],Listas!$B:$B,Listas!$A:$A,"")</f>
        <v>SSP Capital</v>
      </c>
      <c r="D262" s="49" t="s">
        <v>101</v>
      </c>
      <c r="E262" s="4" t="str">
        <f>_xlfn.XLOOKUP(tblMovimientos[[#This Row],[Cuenta Bancaria]],Listas!$B:$B,Listas!$C:$C,"")</f>
        <v>Bank of America</v>
      </c>
      <c r="F262" s="49" t="s">
        <v>10</v>
      </c>
      <c r="G262" s="49" t="s">
        <v>41</v>
      </c>
      <c r="H262" s="4" t="str">
        <f>IFERROR(_xlfn.XLOOKUP(G262,Listas!E:E,Listas!F:F,""),"")</f>
        <v>Operativo</v>
      </c>
      <c r="I262" s="4" t="str">
        <f>IFERROR(_xlfn.XLOOKUP(G262,Listas!E:E,Listas!G:G,""),"")</f>
        <v>Externo</v>
      </c>
      <c r="J262" s="51">
        <v>7679.78</v>
      </c>
      <c r="K262" s="5">
        <f t="shared" si="5"/>
        <v>-7679.78</v>
      </c>
      <c r="L262" s="16" t="s">
        <v>128</v>
      </c>
      <c r="M262" s="52">
        <f>SUMIFS('Saldos Iniciales'!$D$2:$D$38,'Saldos Iniciales'!$A$2:$A$38,C262,'Saldos Iniciales'!$B$2:$B$38,D262)+SUMIFS($K$1:$K$1048575,$C$1:$C$1048575,C262,$D$1:$D$1048575,D262,$B$1:$B$1048575,"&lt;="&amp;B262)</f>
        <v>17636.53</v>
      </c>
      <c r="N262" s="30" t="str">
        <f>IF(tblMovimientos[[#This Row],[Tipo de Movimiento]]="Ingreso",tblMovimientos[[#This Row],[Monto (S/)]],"0")</f>
        <v>0</v>
      </c>
      <c r="O262" s="30">
        <f>IF(tblMovimientos[[#This Row],[Tipo de Movimiento]]="Egreso",tblMovimientos[[#This Row],[Monto (S/)]],"0")</f>
        <v>7679.78</v>
      </c>
      <c r="P262" s="34">
        <f>IF(tblMovimientos[[#This Row],[Tipo de Movimiento]]="Ingreso",tblMovimientos[[#This Row],[Ingreso]],-tblMovimientos[[#This Row],[Egreso]])</f>
        <v>-7679.78</v>
      </c>
    </row>
    <row r="263" spans="2:16" x14ac:dyDescent="0.3">
      <c r="B263" s="47">
        <v>46181</v>
      </c>
      <c r="C263" s="4" t="str">
        <f>_xlfn.XLOOKUP(tblMovimientos[[#This Row],[Cuenta Bancaria]],Listas!$B:$B,Listas!$A:$A,"")</f>
        <v>Go Blue</v>
      </c>
      <c r="D263" s="49" t="s">
        <v>126</v>
      </c>
      <c r="E263" s="4" t="str">
        <f>_xlfn.XLOOKUP(tblMovimientos[[#This Row],[Cuenta Bancaria]],Listas!$B:$B,Listas!$C:$C,"")</f>
        <v xml:space="preserve">Amerant Bank </v>
      </c>
      <c r="F263" s="49" t="s">
        <v>10</v>
      </c>
      <c r="G263" s="49" t="s">
        <v>38</v>
      </c>
      <c r="H263" s="4" t="str">
        <f>IFERROR(_xlfn.XLOOKUP(G263,Listas!E:E,Listas!F:F,""),"")</f>
        <v>Operativo</v>
      </c>
      <c r="I263" s="4" t="str">
        <f>IFERROR(_xlfn.XLOOKUP(G263,Listas!E:E,Listas!G:G,""),"")</f>
        <v>Externo</v>
      </c>
      <c r="J263" s="51">
        <v>739.52</v>
      </c>
      <c r="K263" s="5">
        <f t="shared" si="5"/>
        <v>-739.52</v>
      </c>
      <c r="L263" s="16" t="s">
        <v>128</v>
      </c>
      <c r="M263" s="52">
        <f>SUMIFS('Saldos Iniciales'!$D$2:$D$38,'Saldos Iniciales'!$A$2:$A$38,C263,'Saldos Iniciales'!$B$2:$B$38,D263)+SUMIFS($K$1:$K$1048575,$C$1:$C$1048575,C263,$D$1:$D$1048575,D263,$B$1:$B$1048575,"&lt;="&amp;B263)</f>
        <v>1451.1500000000015</v>
      </c>
      <c r="N263" s="30" t="str">
        <f>IF(tblMovimientos[[#This Row],[Tipo de Movimiento]]="Ingreso",tblMovimientos[[#This Row],[Monto (S/)]],"0")</f>
        <v>0</v>
      </c>
      <c r="O263" s="30">
        <f>IF(tblMovimientos[[#This Row],[Tipo de Movimiento]]="Egreso",tblMovimientos[[#This Row],[Monto (S/)]],"0")</f>
        <v>739.52</v>
      </c>
      <c r="P263" s="34">
        <f>IF(tblMovimientos[[#This Row],[Tipo de Movimiento]]="Ingreso",tblMovimientos[[#This Row],[Ingreso]],-tblMovimientos[[#This Row],[Egreso]])</f>
        <v>-739.52</v>
      </c>
    </row>
    <row r="264" spans="2:16" x14ac:dyDescent="0.3">
      <c r="B264" s="47">
        <v>46181</v>
      </c>
      <c r="C264" s="4" t="str">
        <f>_xlfn.XLOOKUP(tblMovimientos[[#This Row],[Cuenta Bancaria]],Listas!$B:$B,Listas!$A:$A,"")</f>
        <v>Go Blue</v>
      </c>
      <c r="D264" s="49" t="s">
        <v>126</v>
      </c>
      <c r="E264" s="4" t="str">
        <f>_xlfn.XLOOKUP(tblMovimientos[[#This Row],[Cuenta Bancaria]],Listas!$B:$B,Listas!$C:$C,"")</f>
        <v xml:space="preserve">Amerant Bank </v>
      </c>
      <c r="F264" s="49" t="s">
        <v>10</v>
      </c>
      <c r="G264" s="49" t="s">
        <v>38</v>
      </c>
      <c r="H264" s="4" t="str">
        <f>IFERROR(_xlfn.XLOOKUP(G264,Listas!E:E,Listas!F:F,""),"")</f>
        <v>Operativo</v>
      </c>
      <c r="I264" s="4" t="str">
        <f>IFERROR(_xlfn.XLOOKUP(G264,Listas!E:E,Listas!G:G,""),"")</f>
        <v>Externo</v>
      </c>
      <c r="J264" s="51">
        <v>0.01</v>
      </c>
      <c r="K264" s="5">
        <f t="shared" si="5"/>
        <v>-0.01</v>
      </c>
      <c r="L264" s="16" t="s">
        <v>128</v>
      </c>
      <c r="M264" s="52">
        <f>SUMIFS('Saldos Iniciales'!$D$2:$D$38,'Saldos Iniciales'!$A$2:$A$38,C264,'Saldos Iniciales'!$B$2:$B$38,D264)+SUMIFS($K$1:$K$1048575,$C$1:$C$1048575,C264,$D$1:$D$1048575,D264,$B$1:$B$1048575,"&lt;="&amp;B264)</f>
        <v>1451.1500000000015</v>
      </c>
      <c r="N264" s="30" t="str">
        <f>IF(tblMovimientos[[#This Row],[Tipo de Movimiento]]="Ingreso",tblMovimientos[[#This Row],[Monto (S/)]],"0")</f>
        <v>0</v>
      </c>
      <c r="O264" s="30">
        <f>IF(tblMovimientos[[#This Row],[Tipo de Movimiento]]="Egreso",tblMovimientos[[#This Row],[Monto (S/)]],"0")</f>
        <v>0.01</v>
      </c>
      <c r="P264" s="34">
        <f>IF(tblMovimientos[[#This Row],[Tipo de Movimiento]]="Ingreso",tblMovimientos[[#This Row],[Ingreso]],-tblMovimientos[[#This Row],[Egreso]])</f>
        <v>-0.01</v>
      </c>
    </row>
    <row r="265" spans="2:16" x14ac:dyDescent="0.3">
      <c r="B265" s="47">
        <v>46181</v>
      </c>
      <c r="C265" s="4" t="str">
        <f>_xlfn.XLOOKUP(tblMovimientos[[#This Row],[Cuenta Bancaria]],Listas!$B:$B,Listas!$A:$A,"")</f>
        <v>Go Blue</v>
      </c>
      <c r="D265" s="49" t="s">
        <v>126</v>
      </c>
      <c r="E265" s="4" t="str">
        <f>_xlfn.XLOOKUP(tblMovimientos[[#This Row],[Cuenta Bancaria]],Listas!$B:$B,Listas!$C:$C,"")</f>
        <v xml:space="preserve">Amerant Bank </v>
      </c>
      <c r="F265" s="49" t="s">
        <v>10</v>
      </c>
      <c r="G265" s="49" t="s">
        <v>38</v>
      </c>
      <c r="H265" s="4" t="str">
        <f>IFERROR(_xlfn.XLOOKUP(G265,Listas!E:E,Listas!F:F,""),"")</f>
        <v>Operativo</v>
      </c>
      <c r="I265" s="4" t="str">
        <f>IFERROR(_xlfn.XLOOKUP(G265,Listas!E:E,Listas!G:G,""),"")</f>
        <v>Externo</v>
      </c>
      <c r="J265" s="51">
        <v>232.06</v>
      </c>
      <c r="K265" s="5">
        <f t="shared" si="5"/>
        <v>-232.06</v>
      </c>
      <c r="L265" s="16" t="s">
        <v>128</v>
      </c>
      <c r="M265" s="52">
        <f>SUMIFS('Saldos Iniciales'!$D$2:$D$38,'Saldos Iniciales'!$A$2:$A$38,C265,'Saldos Iniciales'!$B$2:$B$38,D265)+SUMIFS($K$1:$K$1048575,$C$1:$C$1048575,C265,$D$1:$D$1048575,D265,$B$1:$B$1048575,"&lt;="&amp;B265)</f>
        <v>1451.1500000000015</v>
      </c>
      <c r="N265" s="30" t="str">
        <f>IF(tblMovimientos[[#This Row],[Tipo de Movimiento]]="Ingreso",tblMovimientos[[#This Row],[Monto (S/)]],"0")</f>
        <v>0</v>
      </c>
      <c r="O265" s="30">
        <f>IF(tblMovimientos[[#This Row],[Tipo de Movimiento]]="Egreso",tblMovimientos[[#This Row],[Monto (S/)]],"0")</f>
        <v>232.06</v>
      </c>
      <c r="P265" s="34">
        <f>IF(tblMovimientos[[#This Row],[Tipo de Movimiento]]="Ingreso",tblMovimientos[[#This Row],[Ingreso]],-tblMovimientos[[#This Row],[Egreso]])</f>
        <v>-232.06</v>
      </c>
    </row>
    <row r="266" spans="2:16" x14ac:dyDescent="0.3">
      <c r="B266" s="47">
        <v>46182</v>
      </c>
      <c r="C266" s="4" t="str">
        <f>_xlfn.XLOOKUP(tblMovimientos[[#This Row],[Cuenta Bancaria]],Listas!$B:$B,Listas!$A:$A,"")</f>
        <v>Go Blue</v>
      </c>
      <c r="D266" s="49" t="s">
        <v>126</v>
      </c>
      <c r="E266" s="4" t="str">
        <f>_xlfn.XLOOKUP(tblMovimientos[[#This Row],[Cuenta Bancaria]],Listas!$B:$B,Listas!$C:$C,"")</f>
        <v xml:space="preserve">Amerant Bank </v>
      </c>
      <c r="F266" s="49" t="s">
        <v>10</v>
      </c>
      <c r="G266" s="49" t="s">
        <v>38</v>
      </c>
      <c r="H266" s="4" t="str">
        <f>IFERROR(_xlfn.XLOOKUP(G266,Listas!E:E,Listas!F:F,""),"")</f>
        <v>Operativo</v>
      </c>
      <c r="I266" s="4" t="str">
        <f>IFERROR(_xlfn.XLOOKUP(G266,Listas!E:E,Listas!G:G,""),"")</f>
        <v>Externo</v>
      </c>
      <c r="J266" s="51">
        <v>114.66</v>
      </c>
      <c r="K266" s="5">
        <f t="shared" si="5"/>
        <v>-114.66</v>
      </c>
      <c r="L266" s="16" t="s">
        <v>128</v>
      </c>
      <c r="M266" s="52">
        <f>SUMIFS('Saldos Iniciales'!$D$2:$D$38,'Saldos Iniciales'!$A$2:$A$38,C266,'Saldos Iniciales'!$B$2:$B$38,D266)+SUMIFS($K$1:$K$1048575,$C$1:$C$1048575,C266,$D$1:$D$1048575,D266,$B$1:$B$1048575,"&lt;="&amp;B266)</f>
        <v>1289.7300000000014</v>
      </c>
      <c r="N266" s="30" t="str">
        <f>IF(tblMovimientos[[#This Row],[Tipo de Movimiento]]="Ingreso",tblMovimientos[[#This Row],[Monto (S/)]],"0")</f>
        <v>0</v>
      </c>
      <c r="O266" s="30">
        <f>IF(tblMovimientos[[#This Row],[Tipo de Movimiento]]="Egreso",tblMovimientos[[#This Row],[Monto (S/)]],"0")</f>
        <v>114.66</v>
      </c>
      <c r="P266" s="34">
        <f>IF(tblMovimientos[[#This Row],[Tipo de Movimiento]]="Ingreso",tblMovimientos[[#This Row],[Ingreso]],-tblMovimientos[[#This Row],[Egreso]])</f>
        <v>-114.66</v>
      </c>
    </row>
    <row r="267" spans="2:16" x14ac:dyDescent="0.3">
      <c r="B267" s="47">
        <v>46182</v>
      </c>
      <c r="C267" s="4" t="str">
        <f>_xlfn.XLOOKUP(tblMovimientos[[#This Row],[Cuenta Bancaria]],Listas!$B:$B,Listas!$A:$A,"")</f>
        <v>SSP Capital</v>
      </c>
      <c r="D267" s="49" t="s">
        <v>104</v>
      </c>
      <c r="E267" s="4" t="str">
        <f>_xlfn.XLOOKUP(tblMovimientos[[#This Row],[Cuenta Bancaria]],Listas!$B:$B,Listas!$C:$C,"")</f>
        <v xml:space="preserve">Amerant Bank </v>
      </c>
      <c r="F267" s="49" t="s">
        <v>10</v>
      </c>
      <c r="H267" s="4">
        <f>IFERROR(_xlfn.XLOOKUP(G267,Listas!E:E,Listas!F:F,""),"")</f>
        <v>0</v>
      </c>
      <c r="I267" s="4">
        <f>IFERROR(_xlfn.XLOOKUP(G267,Listas!E:E,Listas!G:G,""),"")</f>
        <v>0</v>
      </c>
      <c r="J267" s="51">
        <v>2462.62</v>
      </c>
      <c r="K267" s="5">
        <f t="shared" ref="K267:K270" si="6">IF(F267="Ingreso",J267,-J267)</f>
        <v>-2462.62</v>
      </c>
      <c r="L267" s="16" t="s">
        <v>128</v>
      </c>
      <c r="M267" s="52">
        <f>SUMIFS('Saldos Iniciales'!$D$2:$D$38,'Saldos Iniciales'!$A$2:$A$38,C267,'Saldos Iniciales'!$B$2:$B$38,D267)+SUMIFS($K$1:$K$1048575,$C$1:$C$1048575,C267,$D$1:$D$1048575,D267,$B$1:$B$1048575,"&lt;="&amp;B267)</f>
        <v>383792.01999999932</v>
      </c>
      <c r="N267" s="30" t="str">
        <f>IF(tblMovimientos[[#This Row],[Tipo de Movimiento]]="Ingreso",tblMovimientos[[#This Row],[Monto (S/)]],"0")</f>
        <v>0</v>
      </c>
      <c r="O267" s="30">
        <f>IF(tblMovimientos[[#This Row],[Tipo de Movimiento]]="Egreso",tblMovimientos[[#This Row],[Monto (S/)]],"0")</f>
        <v>2462.62</v>
      </c>
      <c r="P267" s="34">
        <f>IF(tblMovimientos[[#This Row],[Tipo de Movimiento]]="Ingreso",tblMovimientos[[#This Row],[Ingreso]],-tblMovimientos[[#This Row],[Egreso]])</f>
        <v>-2462.62</v>
      </c>
    </row>
    <row r="268" spans="2:16" x14ac:dyDescent="0.3">
      <c r="B268" s="47">
        <v>46182</v>
      </c>
      <c r="C268" s="4" t="str">
        <f>_xlfn.XLOOKUP(tblMovimientos[[#This Row],[Cuenta Bancaria]],Listas!$B:$B,Listas!$A:$A,"")</f>
        <v>Go Blue</v>
      </c>
      <c r="D268" s="49" t="s">
        <v>126</v>
      </c>
      <c r="E268" s="4" t="str">
        <f>_xlfn.XLOOKUP(tblMovimientos[[#This Row],[Cuenta Bancaria]],Listas!$B:$B,Listas!$C:$C,"")</f>
        <v xml:space="preserve">Amerant Bank </v>
      </c>
      <c r="F268" s="49" t="s">
        <v>10</v>
      </c>
      <c r="H268" s="4">
        <f>IFERROR(_xlfn.XLOOKUP(G268,Listas!E:E,Listas!F:F,""),"")</f>
        <v>0</v>
      </c>
      <c r="I268" s="4">
        <f>IFERROR(_xlfn.XLOOKUP(G268,Listas!E:E,Listas!G:G,""),"")</f>
        <v>0</v>
      </c>
      <c r="J268" s="51">
        <v>46.76</v>
      </c>
      <c r="K268" s="5">
        <f t="shared" si="6"/>
        <v>-46.76</v>
      </c>
      <c r="L268" s="16" t="s">
        <v>128</v>
      </c>
      <c r="M268" s="52">
        <f>SUMIFS('Saldos Iniciales'!$D$2:$D$38,'Saldos Iniciales'!$A$2:$A$38,C268,'Saldos Iniciales'!$B$2:$B$38,D268)+SUMIFS($K$1:$K$1048575,$C$1:$C$1048575,C268,$D$1:$D$1048575,D268,$B$1:$B$1048575,"&lt;="&amp;B268)</f>
        <v>1289.7300000000014</v>
      </c>
      <c r="N268" s="30" t="str">
        <f>IF(tblMovimientos[[#This Row],[Tipo de Movimiento]]="Ingreso",tblMovimientos[[#This Row],[Monto (S/)]],"0")</f>
        <v>0</v>
      </c>
      <c r="O268" s="30">
        <f>IF(tblMovimientos[[#This Row],[Tipo de Movimiento]]="Egreso",tblMovimientos[[#This Row],[Monto (S/)]],"0")</f>
        <v>46.76</v>
      </c>
      <c r="P268" s="34">
        <f>IF(tblMovimientos[[#This Row],[Tipo de Movimiento]]="Ingreso",tblMovimientos[[#This Row],[Ingreso]],-tblMovimientos[[#This Row],[Egreso]])</f>
        <v>-46.76</v>
      </c>
    </row>
    <row r="269" spans="2:16" x14ac:dyDescent="0.3">
      <c r="B269" s="47">
        <v>46183</v>
      </c>
      <c r="C269" s="4" t="str">
        <f>_xlfn.XLOOKUP(tblMovimientos[[#This Row],[Cuenta Bancaria]],Listas!$B:$B,Listas!$A:$A,"")</f>
        <v>CFT Group</v>
      </c>
      <c r="D269" s="49" t="s">
        <v>95</v>
      </c>
      <c r="E269" s="4" t="str">
        <f>_xlfn.XLOOKUP(tblMovimientos[[#This Row],[Cuenta Bancaria]],Listas!$B:$B,Listas!$C:$C,"")</f>
        <v xml:space="preserve">Amerant Bank </v>
      </c>
      <c r="F269" s="49" t="s">
        <v>9</v>
      </c>
      <c r="H269" s="4">
        <f>IFERROR(_xlfn.XLOOKUP(G269,Listas!E:E,Listas!F:F,""),"")</f>
        <v>0</v>
      </c>
      <c r="I269" s="4">
        <f>IFERROR(_xlfn.XLOOKUP(G269,Listas!E:E,Listas!G:G,""),"")</f>
        <v>0</v>
      </c>
      <c r="J269" s="51">
        <v>255000</v>
      </c>
      <c r="K269" s="5">
        <f t="shared" si="6"/>
        <v>255000</v>
      </c>
      <c r="L269" s="16" t="s">
        <v>128</v>
      </c>
      <c r="M269" s="52">
        <f>SUMIFS('Saldos Iniciales'!$D$2:$D$38,'Saldos Iniciales'!$A$2:$A$38,C269,'Saldos Iniciales'!$B$2:$B$38,D269)+SUMIFS($K$1:$K$1048575,$C$1:$C$1048575,C269,$D$1:$D$1048575,D269,$B$1:$B$1048575,"&lt;="&amp;B269)</f>
        <v>1974648.53</v>
      </c>
      <c r="N269" s="30">
        <f>IF(tblMovimientos[[#This Row],[Tipo de Movimiento]]="Ingreso",tblMovimientos[[#This Row],[Monto (S/)]],"0")</f>
        <v>255000</v>
      </c>
      <c r="O269" s="30" t="str">
        <f>IF(tblMovimientos[[#This Row],[Tipo de Movimiento]]="Egreso",tblMovimientos[[#This Row],[Monto (S/)]],"0")</f>
        <v>0</v>
      </c>
      <c r="P269" s="34">
        <f>IF(tblMovimientos[[#This Row],[Tipo de Movimiento]]="Ingreso",tblMovimientos[[#This Row],[Ingreso]],-tblMovimientos[[#This Row],[Egreso]])</f>
        <v>255000</v>
      </c>
    </row>
    <row r="270" spans="2:16" x14ac:dyDescent="0.3">
      <c r="B270" s="47">
        <v>46183</v>
      </c>
      <c r="C270" s="4" t="str">
        <f>_xlfn.XLOOKUP(tblMovimientos[[#This Row],[Cuenta Bancaria]],Listas!$B:$B,Listas!$A:$A,"")</f>
        <v>CFT Group</v>
      </c>
      <c r="D270" s="49" t="s">
        <v>95</v>
      </c>
      <c r="E270" s="4" t="str">
        <f>_xlfn.XLOOKUP(tblMovimientos[[#This Row],[Cuenta Bancaria]],Listas!$B:$B,Listas!$C:$C,"")</f>
        <v xml:space="preserve">Amerant Bank </v>
      </c>
      <c r="F270" s="49" t="s">
        <v>9</v>
      </c>
      <c r="H270" s="4">
        <f>IFERROR(_xlfn.XLOOKUP(G270,Listas!E:E,Listas!F:F,""),"")</f>
        <v>0</v>
      </c>
      <c r="I270" s="4">
        <f>IFERROR(_xlfn.XLOOKUP(G270,Listas!E:E,Listas!G:G,""),"")</f>
        <v>0</v>
      </c>
      <c r="J270" s="51">
        <v>1000000</v>
      </c>
      <c r="K270" s="5">
        <f t="shared" si="6"/>
        <v>1000000</v>
      </c>
      <c r="L270" s="16" t="s">
        <v>128</v>
      </c>
      <c r="M270" s="52">
        <f>SUMIFS('Saldos Iniciales'!$D$2:$D$38,'Saldos Iniciales'!$A$2:$A$38,C270,'Saldos Iniciales'!$B$2:$B$38,D270)+SUMIFS($K$1:$K$1048575,$C$1:$C$1048575,C270,$D$1:$D$1048575,D270,$B$1:$B$1048575,"&lt;="&amp;B270)</f>
        <v>1974648.53</v>
      </c>
      <c r="N270" s="30">
        <f>IF(tblMovimientos[[#This Row],[Tipo de Movimiento]]="Ingreso",tblMovimientos[[#This Row],[Monto (S/)]],"0")</f>
        <v>1000000</v>
      </c>
      <c r="O270" s="30" t="str">
        <f>IF(tblMovimientos[[#This Row],[Tipo de Movimiento]]="Egreso",tblMovimientos[[#This Row],[Monto (S/)]],"0")</f>
        <v>0</v>
      </c>
      <c r="P270" s="34">
        <f>IF(tblMovimientos[[#This Row],[Tipo de Movimiento]]="Ingreso",tblMovimientos[[#This Row],[Ingreso]],-tblMovimientos[[#This Row],[Egreso]])</f>
        <v>1000000</v>
      </c>
    </row>
    <row r="271" spans="2:16" x14ac:dyDescent="0.3">
      <c r="B271" s="47">
        <v>46182</v>
      </c>
      <c r="C271" s="4" t="str">
        <f>_xlfn.XLOOKUP(tblMovimientos[[#This Row],[Cuenta Bancaria]],Listas!$B:$B,Listas!$A:$A,"")</f>
        <v>SSP Capital</v>
      </c>
      <c r="D271" s="49" t="s">
        <v>101</v>
      </c>
      <c r="E271" s="4" t="str">
        <f>_xlfn.XLOOKUP(tblMovimientos[[#This Row],[Cuenta Bancaria]],Listas!$B:$B,Listas!$C:$C,"")</f>
        <v>Bank of America</v>
      </c>
      <c r="F271" s="49" t="s">
        <v>10</v>
      </c>
      <c r="H271" s="4">
        <f>IFERROR(_xlfn.XLOOKUP(G271,Listas!E:E,Listas!F:F,""),"")</f>
        <v>0</v>
      </c>
      <c r="I271" s="4">
        <f>IFERROR(_xlfn.XLOOKUP(G271,Listas!E:E,Listas!G:G,""),"")</f>
        <v>0</v>
      </c>
      <c r="J271" s="51">
        <v>1291.6500000000001</v>
      </c>
      <c r="K271" s="5">
        <f t="shared" ref="K271:K276" si="7">IF(F271="Ingreso",J271,-J271)</f>
        <v>-1291.6500000000001</v>
      </c>
      <c r="L271" s="16" t="s">
        <v>128</v>
      </c>
      <c r="M271" s="52">
        <f>SUMIFS('Saldos Iniciales'!$D$2:$D$38,'Saldos Iniciales'!$A$2:$A$38,C271,'Saldos Iniciales'!$B$2:$B$38,D271)+SUMIFS($K$1:$K$1048575,$C$1:$C$1048575,C271,$D$1:$D$1048575,D271,$B$1:$B$1048575,"&lt;="&amp;B271)</f>
        <v>16344.88</v>
      </c>
      <c r="N271" s="30" t="str">
        <f>IF(tblMovimientos[[#This Row],[Tipo de Movimiento]]="Ingreso",tblMovimientos[[#This Row],[Monto (S/)]],"0")</f>
        <v>0</v>
      </c>
      <c r="O271" s="30">
        <f>IF(tblMovimientos[[#This Row],[Tipo de Movimiento]]="Egreso",tblMovimientos[[#This Row],[Monto (S/)]],"0")</f>
        <v>1291.6500000000001</v>
      </c>
      <c r="P271" s="34">
        <f>IF(tblMovimientos[[#This Row],[Tipo de Movimiento]]="Ingreso",tblMovimientos[[#This Row],[Ingreso]],-tblMovimientos[[#This Row],[Egreso]])</f>
        <v>-1291.6500000000001</v>
      </c>
    </row>
    <row r="272" spans="2:16" x14ac:dyDescent="0.3">
      <c r="B272" s="47">
        <v>46183</v>
      </c>
      <c r="C272" s="4" t="str">
        <f>_xlfn.XLOOKUP(tblMovimientos[[#This Row],[Cuenta Bancaria]],Listas!$B:$B,Listas!$A:$A,"")</f>
        <v>A&amp;M Imports</v>
      </c>
      <c r="D272" s="49" t="s">
        <v>100</v>
      </c>
      <c r="E272" s="4" t="str">
        <f>_xlfn.XLOOKUP(tblMovimientos[[#This Row],[Cuenta Bancaria]],Listas!$B:$B,Listas!$C:$C,"")</f>
        <v>Bank of America</v>
      </c>
      <c r="F272" s="49" t="s">
        <v>9</v>
      </c>
      <c r="H272" s="4">
        <f>IFERROR(_xlfn.XLOOKUP(G272,Listas!E:E,Listas!F:F,""),"")</f>
        <v>0</v>
      </c>
      <c r="I272" s="4">
        <f>IFERROR(_xlfn.XLOOKUP(G272,Listas!E:E,Listas!G:G,""),"")</f>
        <v>0</v>
      </c>
      <c r="J272" s="51">
        <v>14761.57</v>
      </c>
      <c r="K272" s="5">
        <f t="shared" si="7"/>
        <v>14761.57</v>
      </c>
      <c r="L272" s="16" t="s">
        <v>128</v>
      </c>
      <c r="M272" s="52">
        <f>SUMIFS('Saldos Iniciales'!$D$2:$D$38,'Saldos Iniciales'!$A$2:$A$38,C272,'Saldos Iniciales'!$B$2:$B$38,D272)+SUMIFS($K$1:$K$1048575,$C$1:$C$1048575,C272,$D$1:$D$1048575,D272,$B$1:$B$1048575,"&lt;="&amp;B272)</f>
        <v>744306.80999999982</v>
      </c>
      <c r="N272" s="30">
        <f>IF(tblMovimientos[[#This Row],[Tipo de Movimiento]]="Ingreso",tblMovimientos[[#This Row],[Monto (S/)]],"0")</f>
        <v>14761.57</v>
      </c>
      <c r="O272" s="30" t="str">
        <f>IF(tblMovimientos[[#This Row],[Tipo de Movimiento]]="Egreso",tblMovimientos[[#This Row],[Monto (S/)]],"0")</f>
        <v>0</v>
      </c>
      <c r="P272" s="34">
        <f>IF(tblMovimientos[[#This Row],[Tipo de Movimiento]]="Ingreso",tblMovimientos[[#This Row],[Ingreso]],-tblMovimientos[[#This Row],[Egreso]])</f>
        <v>14761.57</v>
      </c>
    </row>
    <row r="273" spans="2:16" x14ac:dyDescent="0.3">
      <c r="B273" s="47">
        <v>46182</v>
      </c>
      <c r="C273" s="4" t="str">
        <f>_xlfn.XLOOKUP(tblMovimientos[[#This Row],[Cuenta Bancaria]],Listas!$B:$B,Listas!$A:$A,"")</f>
        <v>CFT Group</v>
      </c>
      <c r="D273" s="49" t="s">
        <v>94</v>
      </c>
      <c r="E273" s="4" t="str">
        <f>_xlfn.XLOOKUP(tblMovimientos[[#This Row],[Cuenta Bancaria]],Listas!$B:$B,Listas!$C:$C,"")</f>
        <v>Bank of America</v>
      </c>
      <c r="F273" s="49" t="s">
        <v>9</v>
      </c>
      <c r="H273" s="4">
        <f>IFERROR(_xlfn.XLOOKUP(G273,Listas!E:E,Listas!F:F,""),"")</f>
        <v>0</v>
      </c>
      <c r="I273" s="4">
        <f>IFERROR(_xlfn.XLOOKUP(G273,Listas!E:E,Listas!G:G,""),"")</f>
        <v>0</v>
      </c>
      <c r="J273" s="51">
        <v>113987.15</v>
      </c>
      <c r="K273" s="5">
        <f t="shared" si="7"/>
        <v>113987.15</v>
      </c>
      <c r="L273" s="16" t="s">
        <v>128</v>
      </c>
      <c r="M273" s="52">
        <f>SUMIFS('Saldos Iniciales'!$D$2:$D$38,'Saldos Iniciales'!$A$2:$A$38,C273,'Saldos Iniciales'!$B$2:$B$38,D273)+SUMIFS($K$1:$K$1048575,$C$1:$C$1048575,C273,$D$1:$D$1048575,D273,$B$1:$B$1048575,"&lt;="&amp;B273)</f>
        <v>122476.72999999998</v>
      </c>
      <c r="N273" s="30">
        <f>IF(tblMovimientos[[#This Row],[Tipo de Movimiento]]="Ingreso",tblMovimientos[[#This Row],[Monto (S/)]],"0")</f>
        <v>113987.15</v>
      </c>
      <c r="O273" s="30" t="str">
        <f>IF(tblMovimientos[[#This Row],[Tipo de Movimiento]]="Egreso",tblMovimientos[[#This Row],[Monto (S/)]],"0")</f>
        <v>0</v>
      </c>
      <c r="P273" s="34">
        <f>IF(tblMovimientos[[#This Row],[Tipo de Movimiento]]="Ingreso",tblMovimientos[[#This Row],[Ingreso]],-tblMovimientos[[#This Row],[Egreso]])</f>
        <v>113987.15</v>
      </c>
    </row>
    <row r="274" spans="2:16" x14ac:dyDescent="0.3">
      <c r="B274" s="47">
        <v>46183</v>
      </c>
      <c r="C274" s="4" t="str">
        <f>_xlfn.XLOOKUP(tblMovimientos[[#This Row],[Cuenta Bancaria]],Listas!$B:$B,Listas!$A:$A,"")</f>
        <v>CFT Group</v>
      </c>
      <c r="D274" s="49" t="s">
        <v>94</v>
      </c>
      <c r="E274" s="4" t="str">
        <f>_xlfn.XLOOKUP(tblMovimientos[[#This Row],[Cuenta Bancaria]],Listas!$B:$B,Listas!$C:$C,"")</f>
        <v>Bank of America</v>
      </c>
      <c r="F274" s="49" t="s">
        <v>9</v>
      </c>
      <c r="H274" s="4">
        <f>IFERROR(_xlfn.XLOOKUP(G274,Listas!E:E,Listas!F:F,""),"")</f>
        <v>0</v>
      </c>
      <c r="I274" s="4">
        <f>IFERROR(_xlfn.XLOOKUP(G274,Listas!E:E,Listas!G:G,""),"")</f>
        <v>0</v>
      </c>
      <c r="J274" s="51">
        <v>99279.52</v>
      </c>
      <c r="K274" s="5">
        <f t="shared" si="7"/>
        <v>99279.52</v>
      </c>
      <c r="L274" s="16" t="s">
        <v>128</v>
      </c>
      <c r="M274" s="52">
        <f>SUMIFS('Saldos Iniciales'!$D$2:$D$38,'Saldos Iniciales'!$A$2:$A$38,C274,'Saldos Iniciales'!$B$2:$B$38,D274)+SUMIFS($K$1:$K$1048575,$C$1:$C$1048575,C274,$D$1:$D$1048575,D274,$B$1:$B$1048575,"&lt;="&amp;B274)</f>
        <v>308841.39</v>
      </c>
      <c r="N274" s="30">
        <f>IF(tblMovimientos[[#This Row],[Tipo de Movimiento]]="Ingreso",tblMovimientos[[#This Row],[Monto (S/)]],"0")</f>
        <v>99279.52</v>
      </c>
      <c r="O274" s="30" t="str">
        <f>IF(tblMovimientos[[#This Row],[Tipo de Movimiento]]="Egreso",tblMovimientos[[#This Row],[Monto (S/)]],"0")</f>
        <v>0</v>
      </c>
      <c r="P274" s="34">
        <f>IF(tblMovimientos[[#This Row],[Tipo de Movimiento]]="Ingreso",tblMovimientos[[#This Row],[Ingreso]],-tblMovimientos[[#This Row],[Egreso]])</f>
        <v>99279.52</v>
      </c>
    </row>
    <row r="275" spans="2:16" x14ac:dyDescent="0.3">
      <c r="B275" s="47">
        <v>46183</v>
      </c>
      <c r="C275" s="4" t="str">
        <f>_xlfn.XLOOKUP(tblMovimientos[[#This Row],[Cuenta Bancaria]],Listas!$B:$B,Listas!$A:$A,"")</f>
        <v>CFT Group</v>
      </c>
      <c r="D275" s="49" t="s">
        <v>94</v>
      </c>
      <c r="E275" s="4" t="str">
        <f>_xlfn.XLOOKUP(tblMovimientos[[#This Row],[Cuenta Bancaria]],Listas!$B:$B,Listas!$C:$C,"")</f>
        <v>Bank of America</v>
      </c>
      <c r="F275" s="49" t="s">
        <v>9</v>
      </c>
      <c r="H275" s="4">
        <f>IFERROR(_xlfn.XLOOKUP(G275,Listas!E:E,Listas!F:F,""),"")</f>
        <v>0</v>
      </c>
      <c r="I275" s="4">
        <f>IFERROR(_xlfn.XLOOKUP(G275,Listas!E:E,Listas!G:G,""),"")</f>
        <v>0</v>
      </c>
      <c r="J275" s="51">
        <v>87085.14</v>
      </c>
      <c r="K275" s="5">
        <f t="shared" si="7"/>
        <v>87085.14</v>
      </c>
      <c r="L275" s="16" t="s">
        <v>128</v>
      </c>
      <c r="M275" s="52">
        <f>SUMIFS('Saldos Iniciales'!$D$2:$D$38,'Saldos Iniciales'!$A$2:$A$38,C275,'Saldos Iniciales'!$B$2:$B$38,D275)+SUMIFS($K$1:$K$1048575,$C$1:$C$1048575,C275,$D$1:$D$1048575,D275,$B$1:$B$1048575,"&lt;="&amp;B275)</f>
        <v>308841.39</v>
      </c>
      <c r="N275" s="30">
        <f>IF(tblMovimientos[[#This Row],[Tipo de Movimiento]]="Ingreso",tblMovimientos[[#This Row],[Monto (S/)]],"0")</f>
        <v>87085.14</v>
      </c>
      <c r="O275" s="30" t="str">
        <f>IF(tblMovimientos[[#This Row],[Tipo de Movimiento]]="Egreso",tblMovimientos[[#This Row],[Monto (S/)]],"0")</f>
        <v>0</v>
      </c>
      <c r="P275" s="34">
        <f>IF(tblMovimientos[[#This Row],[Tipo de Movimiento]]="Ingreso",tblMovimientos[[#This Row],[Ingreso]],-tblMovimientos[[#This Row],[Egreso]])</f>
        <v>87085.14</v>
      </c>
    </row>
    <row r="276" spans="2:16" x14ac:dyDescent="0.3">
      <c r="B276" s="47">
        <v>46183</v>
      </c>
      <c r="C276" s="4" t="str">
        <f>_xlfn.XLOOKUP(tblMovimientos[[#This Row],[Cuenta Bancaria]],Listas!$B:$B,Listas!$A:$A,"")</f>
        <v>3628 Thomas Ave</v>
      </c>
      <c r="D276" s="49" t="s">
        <v>124</v>
      </c>
      <c r="E276" s="4" t="str">
        <f>_xlfn.XLOOKUP(tblMovimientos[[#This Row],[Cuenta Bancaria]],Listas!$B:$B,Listas!$C:$C,"")</f>
        <v>Bank of America</v>
      </c>
      <c r="F276" s="49" t="s">
        <v>10</v>
      </c>
      <c r="H276" s="4">
        <f>IFERROR(_xlfn.XLOOKUP(G276,Listas!E:E,Listas!F:F,""),"")</f>
        <v>0</v>
      </c>
      <c r="I276" s="4">
        <f>IFERROR(_xlfn.XLOOKUP(G276,Listas!E:E,Listas!G:G,""),"")</f>
        <v>0</v>
      </c>
      <c r="J276" s="51">
        <v>89.25</v>
      </c>
      <c r="K276" s="5">
        <f t="shared" si="7"/>
        <v>-89.25</v>
      </c>
      <c r="L276" s="16" t="s">
        <v>128</v>
      </c>
      <c r="M276" s="52">
        <f>SUMIFS('Saldos Iniciales'!$D$2:$D$38,'Saldos Iniciales'!$A$2:$A$38,C276,'Saldos Iniciales'!$B$2:$B$38,D276)+SUMIFS($K$1:$K$1048575,$C$1:$C$1048575,C276,$D$1:$D$1048575,D276,$B$1:$B$1048575,"&lt;="&amp;B276)</f>
        <v>24743.98</v>
      </c>
      <c r="N276" s="30" t="str">
        <f>IF(tblMovimientos[[#This Row],[Tipo de Movimiento]]="Ingreso",tblMovimientos[[#This Row],[Monto (S/)]],"0")</f>
        <v>0</v>
      </c>
      <c r="O276" s="30">
        <f>IF(tblMovimientos[[#This Row],[Tipo de Movimiento]]="Egreso",tblMovimientos[[#This Row],[Monto (S/)]],"0")</f>
        <v>89.25</v>
      </c>
      <c r="P276" s="34">
        <f>IF(tblMovimientos[[#This Row],[Tipo de Movimiento]]="Ingreso",tblMovimientos[[#This Row],[Ingreso]],-tblMovimientos[[#This Row],[Egreso]])</f>
        <v>-89.25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C2:C1048575</xm:sqref>
        </x14:dataValidation>
        <x14:dataValidation type="list" allowBlank="1" xr:uid="{AAA2F2FB-5D82-4852-BA68-E541EA956BD2}">
          <x14:formula1>
            <xm:f>Listas!$B$2:$B$34</xm:f>
          </x14:formula1>
          <xm:sqref>D2:D1048575</xm:sqref>
        </x14:dataValidation>
        <x14:dataValidation type="list" allowBlank="1" xr:uid="{DC8BA3D2-F104-4639-8653-545CA2BBE131}">
          <x14:formula1>
            <xm:f>Listas!$E$2:$E$52</xm:f>
          </x14:formula1>
          <xm:sqref>G2:G1048575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F2:F1048575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6" t="s">
        <v>127</v>
      </c>
      <c r="B1" s="36" t="s">
        <v>164</v>
      </c>
      <c r="C1" s="36" t="s">
        <v>166</v>
      </c>
      <c r="D1" s="36" t="s">
        <v>169</v>
      </c>
      <c r="E1" s="37" t="s">
        <v>165</v>
      </c>
    </row>
    <row r="2" spans="1:5" x14ac:dyDescent="0.3">
      <c r="A2" s="39" t="s">
        <v>36</v>
      </c>
      <c r="B2" s="40">
        <f>COUNTIF('Saldos Iniciales'!B:B,"*"&amp;A2&amp;"*")</f>
        <v>14</v>
      </c>
      <c r="C2" s="42">
        <f>SUMIF('Saldos Iniciales'!B:B,"*"&amp;A2&amp;"*",'Saldos Iniciales'!D:D)</f>
        <v>416678.25999999989</v>
      </c>
      <c r="D2" s="42">
        <f>SUMIF(tblMovimientos[Banco],"*"&amp;A2&amp;"*",tblMovimientos[Monto con signo])</f>
        <v>854249.65000000014</v>
      </c>
      <c r="E2" s="45">
        <f>C2+D2</f>
        <v>1270927.9100000001</v>
      </c>
    </row>
    <row r="3" spans="1:5" x14ac:dyDescent="0.3">
      <c r="A3" s="39" t="s">
        <v>167</v>
      </c>
      <c r="B3" s="40">
        <f>COUNTIF('Saldos Iniciales'!B:B,"*"&amp;A3&amp;"*")</f>
        <v>11</v>
      </c>
      <c r="C3" s="42">
        <f>SUMIF('Saldos Iniciales'!B:B,"*"&amp;A3&amp;"*",'Saldos Iniciales'!D:D)</f>
        <v>1162008.1799999997</v>
      </c>
      <c r="D3" s="42">
        <f>SUMIF(tblMovimientos[Banco],"*"&amp;A3&amp;"*",tblMovimientos[Monto con signo])</f>
        <v>2026026.6199999996</v>
      </c>
      <c r="E3" s="45">
        <f t="shared" ref="E3:E9" si="0">C3+D3</f>
        <v>3188034.7999999993</v>
      </c>
    </row>
    <row r="4" spans="1:5" x14ac:dyDescent="0.3">
      <c r="A4" s="39" t="s">
        <v>153</v>
      </c>
      <c r="B4" s="40">
        <f>COUNTIF('Saldos Iniciales'!B:B,"*"&amp;A4&amp;"*")</f>
        <v>3</v>
      </c>
      <c r="C4" s="42">
        <f>SUMIF('Saldos Iniciales'!B:B,"*"&amp;A4&amp;"*",'Saldos Iniciales'!D:D)</f>
        <v>16509.96</v>
      </c>
      <c r="D4" s="42">
        <f>SUMIF(tblMovimientos[Banco],"*"&amp;A4&amp;"*",tblMovimientos[Monto con signo])</f>
        <v>-127.72999999999999</v>
      </c>
      <c r="E4" s="45">
        <f t="shared" si="0"/>
        <v>16382.23</v>
      </c>
    </row>
    <row r="5" spans="1:5" x14ac:dyDescent="0.3">
      <c r="A5" s="39" t="s">
        <v>154</v>
      </c>
      <c r="B5" s="40">
        <f>COUNTIF('Saldos Iniciales'!B:B,"*"&amp;A5&amp;"*")</f>
        <v>1</v>
      </c>
      <c r="C5" s="42">
        <f>SUMIF('Saldos Iniciales'!B:B,"*"&amp;A5&amp;"*",'Saldos Iniciales'!D:D)</f>
        <v>19920</v>
      </c>
      <c r="D5" s="42">
        <f>SUMIF(tblMovimientos[Banco],"*"&amp;A5&amp;"*",tblMovimientos[Monto con signo])</f>
        <v>0</v>
      </c>
      <c r="E5" s="45">
        <f t="shared" si="0"/>
        <v>19920</v>
      </c>
    </row>
    <row r="6" spans="1:5" x14ac:dyDescent="0.3">
      <c r="A6" s="39" t="s">
        <v>155</v>
      </c>
      <c r="B6" s="40">
        <f>COUNTIF('Saldos Iniciales'!B:B,"*"&amp;A6&amp;"*")</f>
        <v>1</v>
      </c>
      <c r="C6" s="42">
        <f>SUMIF('Saldos Iniciales'!B:B,"*"&amp;A6&amp;"*",'Saldos Iniciales'!D:D)</f>
        <v>808.82999999999993</v>
      </c>
      <c r="D6" s="42">
        <f>SUMIF(tblMovimientos[Banco],"*"&amp;A6&amp;"*",tblMovimientos[Monto con signo])</f>
        <v>419.13999999999987</v>
      </c>
      <c r="E6" s="45">
        <f t="shared" si="0"/>
        <v>1227.9699999999998</v>
      </c>
    </row>
    <row r="7" spans="1:5" x14ac:dyDescent="0.3">
      <c r="A7" s="39" t="s">
        <v>156</v>
      </c>
      <c r="B7" s="40">
        <f>COUNTIF('Saldos Iniciales'!B:B,"*"&amp;A7&amp;"*")</f>
        <v>1</v>
      </c>
      <c r="C7" s="42">
        <f>SUMIF('Saldos Iniciales'!B:B,"*"&amp;A7&amp;"*",'Saldos Iniciales'!D:D)</f>
        <v>3364.94</v>
      </c>
      <c r="D7" s="42">
        <f>SUMIF(tblMovimientos[Banco],"*"&amp;A7&amp;"*",tblMovimientos[Monto con signo])</f>
        <v>-15</v>
      </c>
      <c r="E7" s="45">
        <f t="shared" si="0"/>
        <v>3349.94</v>
      </c>
    </row>
    <row r="8" spans="1:5" x14ac:dyDescent="0.3">
      <c r="A8" s="39" t="s">
        <v>157</v>
      </c>
      <c r="B8" s="40">
        <f>COUNTIF('Saldos Iniciales'!B:B,"*"&amp;A8&amp;"*")</f>
        <v>1</v>
      </c>
      <c r="C8" s="42">
        <f>SUMIF('Saldos Iniciales'!B:B,"*"&amp;A8&amp;"*",'Saldos Iniciales'!D:D)</f>
        <v>0</v>
      </c>
      <c r="D8" s="42">
        <f>SUMIF(tblMovimientos[Banco],"*"&amp;A8&amp;"*",tblMovimientos[Monto con signo])</f>
        <v>0</v>
      </c>
      <c r="E8" s="45">
        <f t="shared" si="0"/>
        <v>0</v>
      </c>
    </row>
    <row r="9" spans="1:5" x14ac:dyDescent="0.3">
      <c r="A9" s="38" t="s">
        <v>168</v>
      </c>
      <c r="B9" s="41">
        <f>COUNTIF('Saldos Iniciales'!B:B,"*"&amp;A9&amp;"*")</f>
        <v>1</v>
      </c>
      <c r="C9" s="43">
        <f>SUMIF('Saldos Iniciales'!B:B,"*"&amp;A9&amp;"*",'Saldos Iniciales'!D:D)</f>
        <v>0</v>
      </c>
      <c r="D9" s="42">
        <f>SUMIF(tblMovimientos[Banco],"*"&amp;A9&amp;"*",tblMovimientos[Monto con signo])</f>
        <v>0</v>
      </c>
      <c r="E9" s="45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I2" activePane="bottomRight" state="frozen"/>
      <selection pane="topRight" activeCell="C1" sqref="C1"/>
      <selection pane="bottomLeft" activeCell="A5" sqref="A5"/>
      <selection pane="bottomRight" activeCell="I4" sqref="I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16.5546875" customWidth="1"/>
    <col min="5" max="5" width="14.44140625" hidden="1" customWidth="1" outlineLevel="1"/>
    <col min="6" max="7" width="14.21875" hidden="1" customWidth="1" outlineLevel="1"/>
    <col min="8" max="8" width="17.88671875" bestFit="1" customWidth="1" collapsed="1"/>
    <col min="9" max="9" width="17.21875" bestFit="1" customWidth="1"/>
    <col min="10" max="10" width="14.6640625" customWidth="1"/>
    <col min="11" max="11" width="13.33203125" bestFit="1" customWidth="1"/>
    <col min="12" max="12" width="14.21875" bestFit="1" customWidth="1"/>
    <col min="13" max="13" width="15.6640625" bestFit="1" customWidth="1"/>
    <col min="14" max="14" width="16.5546875" bestFit="1" customWidth="1"/>
    <col min="15" max="15" width="13.6640625" bestFit="1" customWidth="1"/>
    <col min="16" max="16" width="13.33203125" bestFit="1" customWidth="1"/>
    <col min="17" max="17" width="14.21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137</v>
      </c>
      <c r="E1" s="1" t="s">
        <v>138</v>
      </c>
      <c r="F1" s="1" t="s">
        <v>139</v>
      </c>
      <c r="G1" s="1" t="s">
        <v>148</v>
      </c>
      <c r="H1" s="1" t="s">
        <v>136</v>
      </c>
      <c r="I1" s="1" t="s">
        <v>140</v>
      </c>
      <c r="J1" s="1" t="s">
        <v>141</v>
      </c>
      <c r="K1" s="1" t="s">
        <v>142</v>
      </c>
      <c r="L1" s="1" t="s">
        <v>149</v>
      </c>
      <c r="M1" s="1" t="s">
        <v>143</v>
      </c>
      <c r="N1" s="1" t="s">
        <v>144</v>
      </c>
      <c r="O1" s="1" t="s">
        <v>145</v>
      </c>
      <c r="P1" s="1" t="s">
        <v>146</v>
      </c>
      <c r="Q1" s="1" t="s">
        <v>150</v>
      </c>
      <c r="R1" s="1" t="s">
        <v>147</v>
      </c>
    </row>
    <row r="2" spans="1:18" x14ac:dyDescent="0.3">
      <c r="A2" s="11" t="s">
        <v>93</v>
      </c>
      <c r="B2" s="11" t="s">
        <v>17</v>
      </c>
      <c r="C2" s="11" t="s">
        <v>94</v>
      </c>
      <c r="D2" s="20">
        <f>SUMIFS('Saldos Iniciales'!$D$2:$D$38,'Saldos Iniciales'!$A$2:$A$38,$B2,'Saldos Iniciales'!$B$2:$B$38,$C2)</f>
        <v>132689.04999999999</v>
      </c>
      <c r="E2" s="52">
        <f>SUMIFS(Movimientos!$J$1:$J$1048575,Movimientos!$C$1:$C$1048575,$B2,Movimientos!$D$1:$D$1048575,$C2,Movimientos!$L$1:$L$1048575,A$2,Movimientos!$F$1:$F$1048575,"Ingreso")</f>
        <v>994464.58000000007</v>
      </c>
      <c r="F2" s="52">
        <f>SUMIFS(Movimientos!$J$1:$J$1048575,Movimientos!$C$1:$C$1048575,$B2,Movimientos!$D$1:$D$1048575,$C2,Movimientos!$L$1:$L$1048575,A$2,Movimientos!$F$1:$F$1048575,"Egreso")</f>
        <v>933664.04999999993</v>
      </c>
      <c r="G2" s="19">
        <f>+E2-F2</f>
        <v>60800.530000000144</v>
      </c>
      <c r="H2" s="12">
        <f>D2+E2-F2</f>
        <v>193489.58000000019</v>
      </c>
      <c r="I2" s="5">
        <f>H2</f>
        <v>193489.58000000019</v>
      </c>
      <c r="J2" s="52">
        <f>SUMIFS(Movimientos!$J$1:$J$1048575,Movimientos!$C$1:$C$1048575,$B2,Movimientos!$D$1:$D$1048575,$C2,Movimientos!$L$1:$L$1048575,A$3,Movimientos!$F$1:$F$1048575,"Ingreso")</f>
        <v>300351.81</v>
      </c>
      <c r="K2" s="52">
        <f>SUMIFS(Movimientos!$J$1:$J$1048575,Movimientos!$C$1:$C$1048575,$B2,Movimientos!$D$1:$D$1048575,$C2,Movimientos!$L$1:$L$1048575,A$3,Movimientos!$F$1:$F$1048575,"Egreso")</f>
        <v>185000</v>
      </c>
      <c r="L2" s="7">
        <f>+J2-K2</f>
        <v>115351.81</v>
      </c>
      <c r="M2" s="12">
        <f>I2+J2-K2</f>
        <v>308841.39000000019</v>
      </c>
      <c r="N2" s="5">
        <f>M2</f>
        <v>308841.39000000019</v>
      </c>
      <c r="O2" s="52">
        <f>SUMIFS(Movimientos!$J$1:$J$1048575,Movimientos!$C$1:$C$1048575,$B2,Movimientos!$D$1:$D$1048575,$C2,Movimientos!$L$1:$L$1048575,A$4,Movimientos!$F$1:$F$1048575,"Ingreso")</f>
        <v>0</v>
      </c>
      <c r="P2" s="52">
        <f>SUMIFS(Movimientos!$J$1:$J$1048575,Movimientos!$C$1:$C$1048575,$B2,Movimientos!$D$1:$D$1048575,$C2,Movimientos!$L$1:$L$1048575,A$4,Movimientos!$F$1:$F$1048575,"Egreso")</f>
        <v>0</v>
      </c>
      <c r="Q2" s="7">
        <f>+O2-P2</f>
        <v>0</v>
      </c>
      <c r="R2" s="12">
        <f>N2+O2-P2</f>
        <v>308841.39000000019</v>
      </c>
    </row>
    <row r="3" spans="1:18" x14ac:dyDescent="0.3">
      <c r="A3" s="11" t="s">
        <v>128</v>
      </c>
      <c r="B3" s="11" t="s">
        <v>17</v>
      </c>
      <c r="C3" s="11" t="s">
        <v>95</v>
      </c>
      <c r="D3" s="20">
        <f>SUMIFS('Saldos Iniciales'!$D$2:$D$38,'Saldos Iniciales'!$A$2:$A$38,$B3,'Saldos Iniciales'!$B$2:$B$38,$C3)</f>
        <v>62799.530000000261</v>
      </c>
      <c r="E3" s="52">
        <f>SUMIFS(Movimientos!$J$1:$J$1048575,Movimientos!$C$1:$C$1048575,$B3,Movimientos!$D$1:$D$1048575,$C3,Movimientos!$L$1:$L$1048575,A$2,Movimientos!$F$1:$F$1048575,"Ingreso")</f>
        <v>2605274</v>
      </c>
      <c r="F3" s="52">
        <f>SUMIFS(Movimientos!$J$1:$J$1048575,Movimientos!$C$1:$C$1048575,$B3,Movimientos!$D$1:$D$1048575,$C3,Movimientos!$L$1:$L$1048575,A$2,Movimientos!$F$1:$F$1048575,"Egreso")</f>
        <v>1883425.0000000002</v>
      </c>
      <c r="G3" s="19">
        <f t="shared" ref="G3:G34" si="0">+E3-F3</f>
        <v>721848.99999999977</v>
      </c>
      <c r="H3" s="12">
        <f>D3+E3-F3</f>
        <v>784648.53</v>
      </c>
      <c r="I3" s="5">
        <f>H3</f>
        <v>784648.53</v>
      </c>
      <c r="J3" s="52">
        <f>SUMIFS(Movimientos!$J$1:$J$1048575,Movimientos!$C$1:$C$1048575,$B3,Movimientos!$D$1:$D$1048575,$C3,Movimientos!$L$1:$L$1048575,A$3,Movimientos!$F$1:$F$1048575,"Ingreso")</f>
        <v>1440000</v>
      </c>
      <c r="K3" s="52">
        <f>SUMIFS(Movimientos!$J$1:$J$1048575,Movimientos!$C$1:$C$1048575,$B3,Movimientos!$D$1:$D$1048575,$C3,Movimientos!$L$1:$L$1048575,A$3,Movimientos!$F$1:$F$1048575,"Egreso")</f>
        <v>250000</v>
      </c>
      <c r="L3" s="7">
        <f t="shared" ref="L3:L34" si="1">+J3-K3</f>
        <v>1190000</v>
      </c>
      <c r="M3" s="12">
        <f>I3+J3-K3</f>
        <v>1974648.5300000003</v>
      </c>
      <c r="N3" s="5">
        <f>M3</f>
        <v>1974648.5300000003</v>
      </c>
      <c r="O3" s="52">
        <f>SUMIFS(Movimientos!$J$1:$J$1048575,Movimientos!$C$1:$C$1048575,$B3,Movimientos!$D$1:$D$1048575,$C3,Movimientos!$L$1:$L$1048575,A$4,Movimientos!$F$1:$F$1048575,"Ingreso")</f>
        <v>0</v>
      </c>
      <c r="P3" s="52">
        <f>SUMIFS(Movimientos!$J$1:$J$1048575,Movimientos!$C$1:$C$1048575,$B3,Movimientos!$D$1:$D$1048575,$C3,Movimientos!$L$1:$L$1048575,A$4,Movimientos!$F$1:$F$1048575,"Egreso")</f>
        <v>0</v>
      </c>
      <c r="Q3" s="7">
        <f t="shared" ref="Q3:Q34" si="2">+O3-P3</f>
        <v>0</v>
      </c>
      <c r="R3" s="12">
        <f>N3+O3-P3</f>
        <v>1974648.5300000003</v>
      </c>
    </row>
    <row r="4" spans="1:18" x14ac:dyDescent="0.3">
      <c r="A4" s="11" t="s">
        <v>129</v>
      </c>
      <c r="B4" s="11" t="s">
        <v>17</v>
      </c>
      <c r="C4" s="11" t="s">
        <v>96</v>
      </c>
      <c r="D4" s="20">
        <f>SUMIFS('Saldos Iniciales'!$D$2:$D$38,'Saldos Iniciales'!$A$2:$A$38,$B4,'Saldos Iniciales'!$B$2:$B$38,$C4)</f>
        <v>5274.85</v>
      </c>
      <c r="E4" s="52">
        <f>SUMIFS(Movimientos!$J$1:$J$1048575,Movimientos!$C$1:$C$1048575,$B4,Movimientos!$D$1:$D$1048575,$C4,Movimientos!$L$1:$L$1048575,A$2,Movimientos!$F$1:$F$1048575,"Ingreso")</f>
        <v>0</v>
      </c>
      <c r="F4" s="52">
        <f>SUMIFS(Movimientos!$J$1:$J$1048575,Movimientos!$C$1:$C$1048575,$B4,Movimientos!$D$1:$D$1048575,$C4,Movimientos!$L$1:$L$1048575,A$2,Movimientos!$F$1:$F$1048575,"Egreso")</f>
        <v>18.82</v>
      </c>
      <c r="G4" s="19">
        <f t="shared" si="0"/>
        <v>-18.82</v>
      </c>
      <c r="H4" s="12">
        <f>D4+E4-F4</f>
        <v>5256.0300000000007</v>
      </c>
      <c r="I4" s="5">
        <f>H4</f>
        <v>5256.0300000000007</v>
      </c>
      <c r="J4" s="52">
        <f>SUMIFS(Movimientos!$J$1:$J$1048575,Movimientos!$C$1:$C$1048575,$B4,Movimientos!$D$1:$D$1048575,$C4,Movimientos!$L$1:$L$1048575,A$3,Movimientos!$F$1:$F$1048575,"Ingreso")</f>
        <v>0</v>
      </c>
      <c r="K4" s="52">
        <f>SUMIFS(Movimientos!$J$1:$J$1048575,Movimientos!$C$1:$C$1048575,$B4,Movimientos!$D$1:$D$1048575,$C4,Movimientos!$L$1:$L$1048575,A$3,Movimientos!$F$1:$F$1048575,"Egreso")</f>
        <v>0</v>
      </c>
      <c r="L4" s="7">
        <f t="shared" si="1"/>
        <v>0</v>
      </c>
      <c r="M4" s="12">
        <f>I4+J4-K4</f>
        <v>5256.0300000000007</v>
      </c>
      <c r="N4" s="5">
        <f>M4</f>
        <v>5256.0300000000007</v>
      </c>
      <c r="O4" s="52">
        <f>SUMIFS(Movimientos!$J$1:$J$1048575,Movimientos!$C$1:$C$1048575,$B4,Movimientos!$D$1:$D$1048575,$C4,Movimientos!$L$1:$L$1048575,A$4,Movimientos!$F$1:$F$1048575,"Ingreso")</f>
        <v>0</v>
      </c>
      <c r="P4" s="52">
        <f>SUMIFS(Movimientos!$J$1:$J$1048575,Movimientos!$C$1:$C$1048575,$B4,Movimientos!$D$1:$D$1048575,$C4,Movimientos!$L$1:$L$1048575,A$4,Movimientos!$F$1:$F$1048575,"Egreso")</f>
        <v>0</v>
      </c>
      <c r="Q4" s="7">
        <f t="shared" si="2"/>
        <v>0</v>
      </c>
      <c r="R4" s="12">
        <f>N4+O4-P4</f>
        <v>5256.0300000000007</v>
      </c>
    </row>
    <row r="5" spans="1:18" x14ac:dyDescent="0.3">
      <c r="A5" s="11" t="s">
        <v>133</v>
      </c>
      <c r="B5" s="11" t="s">
        <v>18</v>
      </c>
      <c r="C5" s="11" t="s">
        <v>97</v>
      </c>
      <c r="D5" s="20">
        <f>SUMIFS('Saldos Iniciales'!$D$2:$D$38,'Saldos Iniciales'!$A$2:$A$38,$B5,'Saldos Iniciales'!$B$2:$B$38,$C5)</f>
        <v>39539.53999999995</v>
      </c>
      <c r="E5" s="52">
        <f>SUMIFS(Movimientos!$J$1:$J$1048575,Movimientos!$C$1:$C$1048575,$B5,Movimientos!$D$1:$D$1048575,$C5,Movimientos!$L$1:$L$1048575,A$2,Movimientos!$F$1:$F$1048575,"Ingreso")</f>
        <v>1787857.7400000002</v>
      </c>
      <c r="F5" s="52">
        <f>SUMIFS(Movimientos!$J$1:$J$1048575,Movimientos!$C$1:$C$1048575,$B5,Movimientos!$D$1:$D$1048575,$C5,Movimientos!$L$1:$L$1048575,A$2,Movimientos!$F$1:$F$1048575,"Egreso")</f>
        <v>1770000</v>
      </c>
      <c r="G5" s="19">
        <f t="shared" si="0"/>
        <v>17857.740000000224</v>
      </c>
      <c r="H5" s="12">
        <f>D5+E5-F5</f>
        <v>57397.280000000261</v>
      </c>
      <c r="I5" s="5">
        <f>H5</f>
        <v>57397.280000000261</v>
      </c>
      <c r="J5" s="52">
        <f>SUMIFS(Movimientos!$J$1:$J$1048575,Movimientos!$C$1:$C$1048575,$B5,Movimientos!$D$1:$D$1048575,$C5,Movimientos!$L$1:$L$1048575,A$3,Movimientos!$F$1:$F$1048575,"Ingreso")</f>
        <v>6979.11</v>
      </c>
      <c r="K5" s="52">
        <f>SUMIFS(Movimientos!$J$1:$J$1048575,Movimientos!$C$1:$C$1048575,$B5,Movimientos!$D$1:$D$1048575,$C5,Movimientos!$L$1:$L$1048575,A$3,Movimientos!$F$1:$F$1048575,"Egreso")</f>
        <v>0</v>
      </c>
      <c r="L5" s="7">
        <f t="shared" si="1"/>
        <v>6979.11</v>
      </c>
      <c r="M5" s="12">
        <f>I5+J5-K5</f>
        <v>64376.390000000261</v>
      </c>
      <c r="N5" s="5">
        <f>M5</f>
        <v>64376.390000000261</v>
      </c>
      <c r="O5" s="52">
        <f>SUMIFS(Movimientos!$J$1:$J$1048575,Movimientos!$C$1:$C$1048575,$B5,Movimientos!$D$1:$D$1048575,$C5,Movimientos!$L$1:$L$1048575,A$4,Movimientos!$F$1:$F$1048575,"Ingreso")</f>
        <v>0</v>
      </c>
      <c r="P5" s="52">
        <f>SUMIFS(Movimientos!$J$1:$J$1048575,Movimientos!$C$1:$C$1048575,$B5,Movimientos!$D$1:$D$1048575,$C5,Movimientos!$L$1:$L$1048575,A$4,Movimientos!$F$1:$F$1048575,"Egreso")</f>
        <v>0</v>
      </c>
      <c r="Q5" s="7">
        <f t="shared" si="2"/>
        <v>0</v>
      </c>
      <c r="R5" s="12">
        <f>N5+O5-P5</f>
        <v>64376.390000000261</v>
      </c>
    </row>
    <row r="6" spans="1:18" x14ac:dyDescent="0.3">
      <c r="A6" s="11" t="s">
        <v>134</v>
      </c>
      <c r="B6" s="11" t="s">
        <v>18</v>
      </c>
      <c r="C6" s="11" t="s">
        <v>98</v>
      </c>
      <c r="D6" s="20">
        <f>SUMIFS('Saldos Iniciales'!$D$2:$D$38,'Saldos Iniciales'!$A$2:$A$38,$B6,'Saldos Iniciales'!$B$2:$B$38,$C6)</f>
        <v>5000</v>
      </c>
      <c r="E6" s="52">
        <f>SUMIFS(Movimientos!$J$1:$J$1048575,Movimientos!$C$1:$C$1048575,$B6,Movimientos!$D$1:$D$1048575,$C6,Movimientos!$L$1:$L$1048575,A$2,Movimientos!$F$1:$F$1048575,"Ingreso")</f>
        <v>0</v>
      </c>
      <c r="F6" s="52">
        <f>SUMIFS(Movimientos!$J$1:$J$1048575,Movimientos!$C$1:$C$1048575,$B6,Movimientos!$D$1:$D$1048575,$C6,Movimientos!$L$1:$L$1048575,A$2,Movimientos!$F$1:$F$1048575,"Egreso")</f>
        <v>0</v>
      </c>
      <c r="G6" s="19">
        <f t="shared" si="0"/>
        <v>0</v>
      </c>
      <c r="H6" s="12">
        <f>D6+E6-F6</f>
        <v>5000</v>
      </c>
      <c r="I6" s="5">
        <f>H6</f>
        <v>5000</v>
      </c>
      <c r="J6" s="52">
        <f>SUMIFS(Movimientos!$J$1:$J$1048575,Movimientos!$C$1:$C$1048575,$B6,Movimientos!$D$1:$D$1048575,$C6,Movimientos!$L$1:$L$1048575,A$3,Movimientos!$F$1:$F$1048575,"Ingreso")</f>
        <v>0</v>
      </c>
      <c r="K6" s="52">
        <f>SUMIFS(Movimientos!$J$1:$J$1048575,Movimientos!$C$1:$C$1048575,$B6,Movimientos!$D$1:$D$1048575,$C6,Movimientos!$L$1:$L$1048575,A$3,Movimientos!$F$1:$F$1048575,"Egreso")</f>
        <v>0</v>
      </c>
      <c r="L6" s="7">
        <f t="shared" si="1"/>
        <v>0</v>
      </c>
      <c r="M6" s="12">
        <f>I6+J6-K6</f>
        <v>5000</v>
      </c>
      <c r="N6" s="5">
        <f>M6</f>
        <v>5000</v>
      </c>
      <c r="O6" s="52">
        <f>SUMIFS(Movimientos!$J$1:$J$1048575,Movimientos!$C$1:$C$1048575,$B6,Movimientos!$D$1:$D$1048575,$C6,Movimientos!$L$1:$L$1048575,A$4,Movimientos!$F$1:$F$1048575,"Ingreso")</f>
        <v>0</v>
      </c>
      <c r="P6" s="52">
        <f>SUMIFS(Movimientos!$J$1:$J$1048575,Movimientos!$C$1:$C$1048575,$B6,Movimientos!$D$1:$D$1048575,$C6,Movimientos!$L$1:$L$1048575,A$4,Movimientos!$F$1:$F$1048575,"Egreso")</f>
        <v>0</v>
      </c>
      <c r="Q6" s="7">
        <f t="shared" si="2"/>
        <v>0</v>
      </c>
      <c r="R6" s="12">
        <f>N6+O6-P6</f>
        <v>5000</v>
      </c>
    </row>
    <row r="7" spans="1:18" x14ac:dyDescent="0.3">
      <c r="A7" s="11" t="s">
        <v>135</v>
      </c>
      <c r="B7" s="11" t="s">
        <v>19</v>
      </c>
      <c r="C7" s="11" t="s">
        <v>99</v>
      </c>
      <c r="D7" s="20">
        <f>SUMIFS('Saldos Iniciales'!$D$2:$D$38,'Saldos Iniciales'!$A$2:$A$38,$B7,'Saldos Iniciales'!$B$2:$B$38,$C7)</f>
        <v>1669.89</v>
      </c>
      <c r="E7" s="52">
        <f>SUMIFS(Movimientos!$J$1:$J$1048575,Movimientos!$C$1:$C$1048575,$B7,Movimientos!$D$1:$D$1048575,$C7,Movimientos!$L$1:$L$1048575,A$2,Movimientos!$F$1:$F$1048575,"Ingreso")</f>
        <v>0</v>
      </c>
      <c r="F7" s="52">
        <f>SUMIFS(Movimientos!$J$1:$J$1048575,Movimientos!$C$1:$C$1048575,$B7,Movimientos!$D$1:$D$1048575,$C7,Movimientos!$L$1:$L$1048575,A$2,Movimientos!$F$1:$F$1048575,"Egreso")</f>
        <v>0</v>
      </c>
      <c r="G7" s="19">
        <f t="shared" si="0"/>
        <v>0</v>
      </c>
      <c r="H7" s="12">
        <f t="shared" ref="H7:H34" si="3">D7+E7-F7</f>
        <v>1669.89</v>
      </c>
      <c r="I7" s="5">
        <f t="shared" ref="I7:I34" si="4">H7</f>
        <v>1669.89</v>
      </c>
      <c r="J7" s="52">
        <f>SUMIFS(Movimientos!$J$1:$J$1048575,Movimientos!$C$1:$C$1048575,$B7,Movimientos!$D$1:$D$1048575,$C7,Movimientos!$L$1:$L$1048575,A$3,Movimientos!$F$1:$F$1048575,"Ingreso")</f>
        <v>0</v>
      </c>
      <c r="K7" s="52">
        <f>SUMIFS(Movimientos!$J$1:$J$1048575,Movimientos!$C$1:$C$1048575,$B7,Movimientos!$D$1:$D$1048575,$C7,Movimientos!$L$1:$L$1048575,A$3,Movimientos!$F$1:$F$1048575,"Egreso")</f>
        <v>0</v>
      </c>
      <c r="L7" s="7">
        <f t="shared" si="1"/>
        <v>0</v>
      </c>
      <c r="M7" s="12">
        <f t="shared" ref="M7:M34" si="5">I7+J7-K7</f>
        <v>1669.89</v>
      </c>
      <c r="N7" s="5">
        <f t="shared" ref="N7:N34" si="6">M7</f>
        <v>1669.89</v>
      </c>
      <c r="O7" s="52">
        <f>SUMIFS(Movimientos!$J$1:$J$1048575,Movimientos!$C$1:$C$1048575,$B7,Movimientos!$D$1:$D$1048575,$C7,Movimientos!$L$1:$L$1048575,A$4,Movimientos!$F$1:$F$1048575,"Ingreso")</f>
        <v>0</v>
      </c>
      <c r="P7" s="52">
        <f>SUMIFS(Movimientos!$J$1:$J$1048575,Movimientos!$C$1:$C$1048575,$B7,Movimientos!$D$1:$D$1048575,$C7,Movimientos!$L$1:$L$1048575,A$4,Movimientos!$F$1:$F$1048575,"Egreso")</f>
        <v>0</v>
      </c>
      <c r="Q7" s="7">
        <f t="shared" si="2"/>
        <v>0</v>
      </c>
      <c r="R7" s="12">
        <f t="shared" ref="R7:R34" si="7">N7+O7-P7</f>
        <v>1669.89</v>
      </c>
    </row>
    <row r="8" spans="1:18" x14ac:dyDescent="0.3">
      <c r="A8" s="11"/>
      <c r="B8" s="11" t="s">
        <v>20</v>
      </c>
      <c r="C8" s="11" t="s">
        <v>100</v>
      </c>
      <c r="D8" s="20">
        <f>SUMIFS('Saldos Iniciales'!$D$2:$D$38,'Saldos Iniciales'!$A$2:$A$38,$B8,'Saldos Iniciales'!$B$2:$B$38,$C8)</f>
        <v>177088.59</v>
      </c>
      <c r="E8" s="52">
        <f>SUMIFS(Movimientos!$J$1:$J$1048575,Movimientos!$C$1:$C$1048575,$B8,Movimientos!$D$1:$D$1048575,$C8,Movimientos!$L$1:$L$1048575,A$2,Movimientos!$F$1:$F$1048575,"Ingreso")</f>
        <v>2810870.3299999996</v>
      </c>
      <c r="F8" s="52">
        <f>SUMIFS(Movimientos!$J$1:$J$1048575,Movimientos!$C$1:$C$1048575,$B8,Movimientos!$D$1:$D$1048575,$C8,Movimientos!$L$1:$L$1048575,A$2,Movimientos!$F$1:$F$1048575,"Egreso")</f>
        <v>2563105.7999999998</v>
      </c>
      <c r="G8" s="19">
        <f t="shared" si="0"/>
        <v>247764.5299999998</v>
      </c>
      <c r="H8" s="12">
        <f t="shared" si="3"/>
        <v>424853.11999999965</v>
      </c>
      <c r="I8" s="5">
        <f t="shared" si="4"/>
        <v>424853.11999999965</v>
      </c>
      <c r="J8" s="52">
        <f>SUMIFS(Movimientos!$J$1:$J$1048575,Movimientos!$C$1:$C$1048575,$B8,Movimientos!$D$1:$D$1048575,$C8,Movimientos!$L$1:$L$1048575,A$3,Movimientos!$F$1:$F$1048575,"Ingreso")</f>
        <v>394761.57</v>
      </c>
      <c r="K8" s="52">
        <f>SUMIFS(Movimientos!$J$1:$J$1048575,Movimientos!$C$1:$C$1048575,$B8,Movimientos!$D$1:$D$1048575,$C8,Movimientos!$L$1:$L$1048575,A$3,Movimientos!$F$1:$F$1048575,"Egreso")</f>
        <v>75307.88</v>
      </c>
      <c r="L8" s="7">
        <f t="shared" si="1"/>
        <v>319453.69</v>
      </c>
      <c r="M8" s="12">
        <f t="shared" si="5"/>
        <v>744306.80999999971</v>
      </c>
      <c r="N8" s="5">
        <f t="shared" si="6"/>
        <v>744306.80999999971</v>
      </c>
      <c r="O8" s="52">
        <f>SUMIFS(Movimientos!$J$1:$J$1048575,Movimientos!$C$1:$C$1048575,$B8,Movimientos!$D$1:$D$1048575,$C8,Movimientos!$L$1:$L$1048575,A$4,Movimientos!$F$1:$F$1048575,"Ingreso")</f>
        <v>0</v>
      </c>
      <c r="P8" s="52">
        <f>SUMIFS(Movimientos!$J$1:$J$1048575,Movimientos!$C$1:$C$1048575,$B8,Movimientos!$D$1:$D$1048575,$C8,Movimientos!$L$1:$L$1048575,A$4,Movimientos!$F$1:$F$1048575,"Egreso")</f>
        <v>0</v>
      </c>
      <c r="Q8" s="7">
        <f t="shared" si="2"/>
        <v>0</v>
      </c>
      <c r="R8" s="12">
        <f t="shared" si="7"/>
        <v>744306.80999999971</v>
      </c>
    </row>
    <row r="9" spans="1:18" x14ac:dyDescent="0.3">
      <c r="A9" s="11"/>
      <c r="B9" s="11" t="s">
        <v>21</v>
      </c>
      <c r="C9" s="11" t="s">
        <v>101</v>
      </c>
      <c r="D9" s="20">
        <f>SUMIFS('Saldos Iniciales'!$D$2:$D$38,'Saldos Iniciales'!$A$2:$A$38,$B9,'Saldos Iniciales'!$B$2:$B$38,$C9)</f>
        <v>12379.18</v>
      </c>
      <c r="E9" s="52">
        <f>SUMIFS(Movimientos!$J$1:$J$1048575,Movimientos!$C$1:$C$1048575,$B9,Movimientos!$D$1:$D$1048575,$C9,Movimientos!$L$1:$L$1048575,A$2,Movimientos!$F$1:$F$1048575,"Ingreso")</f>
        <v>15321.74</v>
      </c>
      <c r="F9" s="52">
        <f>SUMIFS(Movimientos!$J$1:$J$1048575,Movimientos!$C$1:$C$1048575,$B9,Movimientos!$D$1:$D$1048575,$C9,Movimientos!$L$1:$L$1048575,A$2,Movimientos!$F$1:$F$1048575,"Egreso")</f>
        <v>16857.71</v>
      </c>
      <c r="G9" s="19">
        <f t="shared" si="0"/>
        <v>-1535.9699999999993</v>
      </c>
      <c r="H9" s="12">
        <f t="shared" si="3"/>
        <v>10843.21</v>
      </c>
      <c r="I9" s="5">
        <f t="shared" si="4"/>
        <v>10843.21</v>
      </c>
      <c r="J9" s="52">
        <f>SUMIFS(Movimientos!$J$1:$J$1048575,Movimientos!$C$1:$C$1048575,$B9,Movimientos!$D$1:$D$1048575,$C9,Movimientos!$L$1:$L$1048575,A$3,Movimientos!$F$1:$F$1048575,"Ingreso")</f>
        <v>15307.88</v>
      </c>
      <c r="K9" s="52">
        <f>SUMIFS(Movimientos!$J$1:$J$1048575,Movimientos!$C$1:$C$1048575,$B9,Movimientos!$D$1:$D$1048575,$C9,Movimientos!$L$1:$L$1048575,A$3,Movimientos!$F$1:$F$1048575,"Egreso")</f>
        <v>9806.2099999999991</v>
      </c>
      <c r="L9" s="7">
        <f t="shared" si="1"/>
        <v>5501.67</v>
      </c>
      <c r="M9" s="12">
        <f t="shared" si="5"/>
        <v>16344.879999999997</v>
      </c>
      <c r="N9" s="5">
        <f t="shared" si="6"/>
        <v>16344.879999999997</v>
      </c>
      <c r="O9" s="52">
        <f>SUMIFS(Movimientos!$J$1:$J$1048575,Movimientos!$C$1:$C$1048575,$B9,Movimientos!$D$1:$D$1048575,$C9,Movimientos!$L$1:$L$1048575,A$4,Movimientos!$F$1:$F$1048575,"Ingreso")</f>
        <v>0</v>
      </c>
      <c r="P9" s="52">
        <f>SUMIFS(Movimientos!$J$1:$J$1048575,Movimientos!$C$1:$C$1048575,$B9,Movimientos!$D$1:$D$1048575,$C9,Movimientos!$L$1:$L$1048575,A$4,Movimientos!$F$1:$F$1048575,"Egreso")</f>
        <v>0</v>
      </c>
      <c r="Q9" s="7">
        <f t="shared" si="2"/>
        <v>0</v>
      </c>
      <c r="R9" s="12">
        <f t="shared" si="7"/>
        <v>16344.879999999997</v>
      </c>
    </row>
    <row r="10" spans="1:18" x14ac:dyDescent="0.3">
      <c r="A10" s="11"/>
      <c r="B10" s="11" t="s">
        <v>21</v>
      </c>
      <c r="C10" s="11" t="s">
        <v>102</v>
      </c>
      <c r="D10" s="20">
        <f>SUMIFS('Saldos Iniciales'!$D$2:$D$38,'Saldos Iniciales'!$A$2:$A$38,$B10,'Saldos Iniciales'!$B$2:$B$38,$C10)</f>
        <v>759.07</v>
      </c>
      <c r="E10" s="52">
        <f>SUMIFS(Movimientos!$J$1:$J$1048575,Movimientos!$C$1:$C$1048575,$B10,Movimientos!$D$1:$D$1048575,$C10,Movimientos!$L$1:$L$1048575,A$2,Movimientos!$F$1:$F$1048575,"Ingreso")</f>
        <v>0</v>
      </c>
      <c r="F10" s="52">
        <f>SUMIFS(Movimientos!$J$1:$J$1048575,Movimientos!$C$1:$C$1048575,$B10,Movimientos!$D$1:$D$1048575,$C10,Movimientos!$L$1:$L$1048575,A$2,Movimientos!$F$1:$F$1048575,"Egreso")</f>
        <v>196.07</v>
      </c>
      <c r="G10" s="19">
        <f t="shared" si="0"/>
        <v>-196.07</v>
      </c>
      <c r="H10" s="12">
        <f t="shared" si="3"/>
        <v>563</v>
      </c>
      <c r="I10" s="5">
        <f t="shared" si="4"/>
        <v>563</v>
      </c>
      <c r="J10" s="52">
        <f>SUMIFS(Movimientos!$J$1:$J$1048575,Movimientos!$C$1:$C$1048575,$B10,Movimientos!$D$1:$D$1048575,$C10,Movimientos!$L$1:$L$1048575,A$3,Movimientos!$F$1:$F$1048575,"Ingreso")</f>
        <v>0</v>
      </c>
      <c r="K10" s="52">
        <f>SUMIFS(Movimientos!$J$1:$J$1048575,Movimientos!$C$1:$C$1048575,$B10,Movimientos!$D$1:$D$1048575,$C10,Movimientos!$L$1:$L$1048575,A$3,Movimientos!$F$1:$F$1048575,"Egreso")</f>
        <v>0</v>
      </c>
      <c r="L10" s="7">
        <f t="shared" si="1"/>
        <v>0</v>
      </c>
      <c r="M10" s="12">
        <f t="shared" si="5"/>
        <v>563</v>
      </c>
      <c r="N10" s="5">
        <f t="shared" si="6"/>
        <v>563</v>
      </c>
      <c r="O10" s="52">
        <f>SUMIFS(Movimientos!$J$1:$J$1048575,Movimientos!$C$1:$C$1048575,$B10,Movimientos!$D$1:$D$1048575,$C10,Movimientos!$L$1:$L$1048575,A$4,Movimientos!$F$1:$F$1048575,"Ingreso")</f>
        <v>0</v>
      </c>
      <c r="P10" s="52">
        <f>SUMIFS(Movimientos!$J$1:$J$1048575,Movimientos!$C$1:$C$1048575,$B10,Movimientos!$D$1:$D$1048575,$C10,Movimientos!$L$1:$L$1048575,A$4,Movimientos!$F$1:$F$1048575,"Egreso")</f>
        <v>0</v>
      </c>
      <c r="Q10" s="7">
        <f t="shared" si="2"/>
        <v>0</v>
      </c>
      <c r="R10" s="12">
        <f t="shared" si="7"/>
        <v>563</v>
      </c>
    </row>
    <row r="11" spans="1:18" x14ac:dyDescent="0.3">
      <c r="A11" s="11"/>
      <c r="B11" s="11" t="s">
        <v>21</v>
      </c>
      <c r="C11" s="11" t="s">
        <v>103</v>
      </c>
      <c r="D11" s="20">
        <f>SUMIFS('Saldos Iniciales'!$D$2:$D$38,'Saldos Iniciales'!$A$2:$A$38,$B11,'Saldos Iniciales'!$B$2:$B$38,$C11)</f>
        <v>0</v>
      </c>
      <c r="E11" s="52">
        <f>SUMIFS(Movimientos!$J$1:$J$1048575,Movimientos!$C$1:$C$1048575,$B11,Movimientos!$D$1:$D$1048575,$C11,Movimientos!$L$1:$L$1048575,A$2,Movimientos!$F$1:$F$1048575,"Ingreso")</f>
        <v>0</v>
      </c>
      <c r="F11" s="52">
        <f>SUMIFS(Movimientos!$J$1:$J$1048575,Movimientos!$C$1:$C$1048575,$B11,Movimientos!$D$1:$D$1048575,$C11,Movimientos!$L$1:$L$1048575,A$2,Movimientos!$F$1:$F$1048575,"Egreso")</f>
        <v>0</v>
      </c>
      <c r="G11" s="19">
        <f t="shared" si="0"/>
        <v>0</v>
      </c>
      <c r="H11" s="12">
        <f t="shared" si="3"/>
        <v>0</v>
      </c>
      <c r="I11" s="5">
        <f t="shared" si="4"/>
        <v>0</v>
      </c>
      <c r="J11" s="52">
        <f>SUMIFS(Movimientos!$J$1:$J$1048575,Movimientos!$C$1:$C$1048575,$B11,Movimientos!$D$1:$D$1048575,$C11,Movimientos!$L$1:$L$1048575,A$3,Movimientos!$F$1:$F$1048575,"Ingreso")</f>
        <v>0</v>
      </c>
      <c r="K11" s="52">
        <f>SUMIFS(Movimientos!$J$1:$J$1048575,Movimientos!$C$1:$C$1048575,$B11,Movimientos!$D$1:$D$1048575,$C11,Movimientos!$L$1:$L$1048575,A$3,Movimientos!$F$1:$F$1048575,"Egreso")</f>
        <v>0</v>
      </c>
      <c r="L11" s="7">
        <f t="shared" si="1"/>
        <v>0</v>
      </c>
      <c r="M11" s="12">
        <f t="shared" si="5"/>
        <v>0</v>
      </c>
      <c r="N11" s="5">
        <f t="shared" si="6"/>
        <v>0</v>
      </c>
      <c r="O11" s="52">
        <f>SUMIFS(Movimientos!$J$1:$J$1048575,Movimientos!$C$1:$C$1048575,$B11,Movimientos!$D$1:$D$1048575,$C11,Movimientos!$L$1:$L$1048575,A$4,Movimientos!$F$1:$F$1048575,"Ingreso")</f>
        <v>0</v>
      </c>
      <c r="P11" s="52">
        <f>SUMIFS(Movimientos!$J$1:$J$1048575,Movimientos!$C$1:$C$1048575,$B11,Movimientos!$D$1:$D$1048575,$C11,Movimientos!$L$1:$L$1048575,A$4,Movimientos!$F$1:$F$1048575,"Egreso")</f>
        <v>0</v>
      </c>
      <c r="Q11" s="7">
        <f t="shared" si="2"/>
        <v>0</v>
      </c>
      <c r="R11" s="12">
        <f t="shared" si="7"/>
        <v>0</v>
      </c>
    </row>
    <row r="12" spans="1:18" x14ac:dyDescent="0.3">
      <c r="A12" s="11"/>
      <c r="B12" s="11" t="s">
        <v>21</v>
      </c>
      <c r="C12" s="11" t="s">
        <v>104</v>
      </c>
      <c r="D12" s="20">
        <f>SUMIFS('Saldos Iniciales'!$D$2:$D$38,'Saldos Iniciales'!$A$2:$A$38,$B12,'Saldos Iniciales'!$B$2:$B$38,$C12)</f>
        <v>219857.81999999937</v>
      </c>
      <c r="E12" s="52">
        <f>SUMIFS(Movimientos!$J$1:$J$1048575,Movimientos!$C$1:$C$1048575,$B12,Movimientos!$D$1:$D$1048575,$C12,Movimientos!$L$1:$L$1048575,A$2,Movimientos!$F$1:$F$1048575,"Ingreso")</f>
        <v>1689975</v>
      </c>
      <c r="F12" s="52">
        <f>SUMIFS(Movimientos!$J$1:$J$1048575,Movimientos!$C$1:$C$1048575,$B12,Movimientos!$D$1:$D$1048575,$C12,Movimientos!$L$1:$L$1048575,A$2,Movimientos!$F$1:$F$1048575,"Egreso")</f>
        <v>1664911.5100000002</v>
      </c>
      <c r="G12" s="19">
        <f t="shared" si="0"/>
        <v>25063.489999999758</v>
      </c>
      <c r="H12" s="12">
        <f t="shared" si="3"/>
        <v>244921.30999999912</v>
      </c>
      <c r="I12" s="5">
        <f t="shared" si="4"/>
        <v>244921.30999999912</v>
      </c>
      <c r="J12" s="52">
        <f>SUMIFS(Movimientos!$J$1:$J$1048575,Movimientos!$C$1:$C$1048575,$B12,Movimientos!$D$1:$D$1048575,$C12,Movimientos!$L$1:$L$1048575,A$3,Movimientos!$F$1:$F$1048575,"Ingreso")</f>
        <v>150000</v>
      </c>
      <c r="K12" s="52">
        <f>SUMIFS(Movimientos!$J$1:$J$1048575,Movimientos!$C$1:$C$1048575,$B12,Movimientos!$D$1:$D$1048575,$C12,Movimientos!$L$1:$L$1048575,A$3,Movimientos!$F$1:$F$1048575,"Egreso")</f>
        <v>11129.29</v>
      </c>
      <c r="L12" s="7">
        <f t="shared" si="1"/>
        <v>138870.71</v>
      </c>
      <c r="M12" s="12">
        <f t="shared" si="5"/>
        <v>383792.01999999915</v>
      </c>
      <c r="N12" s="5">
        <f t="shared" si="6"/>
        <v>383792.01999999915</v>
      </c>
      <c r="O12" s="52">
        <f>SUMIFS(Movimientos!$J$1:$J$1048575,Movimientos!$C$1:$C$1048575,$B12,Movimientos!$D$1:$D$1048575,$C12,Movimientos!$L$1:$L$1048575,A$4,Movimientos!$F$1:$F$1048575,"Ingreso")</f>
        <v>0</v>
      </c>
      <c r="P12" s="52">
        <f>SUMIFS(Movimientos!$J$1:$J$1048575,Movimientos!$C$1:$C$1048575,$B12,Movimientos!$D$1:$D$1048575,$C12,Movimientos!$L$1:$L$1048575,A$4,Movimientos!$F$1:$F$1048575,"Egreso")</f>
        <v>0</v>
      </c>
      <c r="Q12" s="7">
        <f t="shared" si="2"/>
        <v>0</v>
      </c>
      <c r="R12" s="12">
        <f t="shared" si="7"/>
        <v>383792.01999999915</v>
      </c>
    </row>
    <row r="13" spans="1:18" x14ac:dyDescent="0.3">
      <c r="A13" s="11"/>
      <c r="B13" s="11" t="s">
        <v>21</v>
      </c>
      <c r="C13" s="11" t="s">
        <v>105</v>
      </c>
      <c r="D13" s="20">
        <f>SUMIFS('Saldos Iniciales'!$D$2:$D$38,'Saldos Iniciales'!$A$2:$A$38,$B13,'Saldos Iniciales'!$B$2:$B$38,$C13)</f>
        <v>4870.1099999999997</v>
      </c>
      <c r="E13" s="52">
        <f>SUMIFS(Movimientos!$J$1:$J$1048575,Movimientos!$C$1:$C$1048575,$B13,Movimientos!$D$1:$D$1048575,$C13,Movimientos!$L$1:$L$1048575,A$2,Movimientos!$F$1:$F$1048575,"Ingreso")</f>
        <v>0</v>
      </c>
      <c r="F13" s="52">
        <f>SUMIFS(Movimientos!$J$1:$J$1048575,Movimientos!$C$1:$C$1048575,$B13,Movimientos!$D$1:$D$1048575,$C13,Movimientos!$L$1:$L$1048575,A$2,Movimientos!$F$1:$F$1048575,"Egreso")</f>
        <v>108.91</v>
      </c>
      <c r="G13" s="19">
        <f t="shared" si="0"/>
        <v>-108.91</v>
      </c>
      <c r="H13" s="12">
        <f t="shared" si="3"/>
        <v>4761.2</v>
      </c>
      <c r="I13" s="5">
        <f t="shared" si="4"/>
        <v>4761.2</v>
      </c>
      <c r="J13" s="52">
        <f>SUMIFS(Movimientos!$J$1:$J$1048575,Movimientos!$C$1:$C$1048575,$B13,Movimientos!$D$1:$D$1048575,$C13,Movimientos!$L$1:$L$1048575,A$3,Movimientos!$F$1:$F$1048575,"Ingreso")</f>
        <v>0</v>
      </c>
      <c r="K13" s="52">
        <f>SUMIFS(Movimientos!$J$1:$J$1048575,Movimientos!$C$1:$C$1048575,$B13,Movimientos!$D$1:$D$1048575,$C13,Movimientos!$L$1:$L$1048575,A$3,Movimientos!$F$1:$F$1048575,"Egreso")</f>
        <v>0</v>
      </c>
      <c r="L13" s="7">
        <f t="shared" si="1"/>
        <v>0</v>
      </c>
      <c r="M13" s="12">
        <f t="shared" si="5"/>
        <v>4761.2</v>
      </c>
      <c r="N13" s="5">
        <f t="shared" si="6"/>
        <v>4761.2</v>
      </c>
      <c r="O13" s="52">
        <f>SUMIFS(Movimientos!$J$1:$J$1048575,Movimientos!$C$1:$C$1048575,$B13,Movimientos!$D$1:$D$1048575,$C13,Movimientos!$L$1:$L$1048575,A$4,Movimientos!$F$1:$F$1048575,"Ingreso")</f>
        <v>0</v>
      </c>
      <c r="P13" s="52">
        <f>SUMIFS(Movimientos!$J$1:$J$1048575,Movimientos!$C$1:$C$1048575,$B13,Movimientos!$D$1:$D$1048575,$C13,Movimientos!$L$1:$L$1048575,A$4,Movimientos!$F$1:$F$1048575,"Egreso")</f>
        <v>0</v>
      </c>
      <c r="Q13" s="7">
        <f t="shared" si="2"/>
        <v>0</v>
      </c>
      <c r="R13" s="12">
        <f t="shared" si="7"/>
        <v>4761.2</v>
      </c>
    </row>
    <row r="14" spans="1:18" x14ac:dyDescent="0.3">
      <c r="A14" s="11"/>
      <c r="B14" s="11" t="s">
        <v>21</v>
      </c>
      <c r="C14" s="11" t="s">
        <v>106</v>
      </c>
      <c r="D14" s="20">
        <f>SUMIFS('Saldos Iniciales'!$D$2:$D$38,'Saldos Iniciales'!$A$2:$A$38,$B14,'Saldos Iniciales'!$B$2:$B$38,$C14)</f>
        <v>747521.2</v>
      </c>
      <c r="E14" s="52">
        <f>SUMIFS(Movimientos!$J$1:$J$1048575,Movimientos!$C$1:$C$1048575,$B14,Movimientos!$D$1:$D$1048575,$C14,Movimientos!$L$1:$L$1048575,A$2,Movimientos!$F$1:$F$1048575,"Ingreso")</f>
        <v>2291.75</v>
      </c>
      <c r="F14" s="52">
        <f>SUMIFS(Movimientos!$J$1:$J$1048575,Movimientos!$C$1:$C$1048575,$B14,Movimientos!$D$1:$D$1048575,$C14,Movimientos!$L$1:$L$1048575,A$2,Movimientos!$F$1:$F$1048575,"Egreso")</f>
        <v>0</v>
      </c>
      <c r="G14" s="19">
        <f t="shared" si="0"/>
        <v>2291.75</v>
      </c>
      <c r="H14" s="12">
        <f t="shared" si="3"/>
        <v>749812.95</v>
      </c>
      <c r="I14" s="5">
        <f t="shared" si="4"/>
        <v>749812.95</v>
      </c>
      <c r="J14" s="52">
        <f>SUMIFS(Movimientos!$J$1:$J$1048575,Movimientos!$C$1:$C$1048575,$B14,Movimientos!$D$1:$D$1048575,$C14,Movimientos!$L$1:$L$1048575,A$3,Movimientos!$F$1:$F$1048575,"Ingreso")</f>
        <v>0</v>
      </c>
      <c r="K14" s="52">
        <f>SUMIFS(Movimientos!$J$1:$J$1048575,Movimientos!$C$1:$C$1048575,$B14,Movimientos!$D$1:$D$1048575,$C14,Movimientos!$L$1:$L$1048575,A$3,Movimientos!$F$1:$F$1048575,"Egreso")</f>
        <v>0</v>
      </c>
      <c r="L14" s="7">
        <f t="shared" si="1"/>
        <v>0</v>
      </c>
      <c r="M14" s="12">
        <f t="shared" si="5"/>
        <v>749812.95</v>
      </c>
      <c r="N14" s="5">
        <f t="shared" si="6"/>
        <v>749812.95</v>
      </c>
      <c r="O14" s="52">
        <f>SUMIFS(Movimientos!$J$1:$J$1048575,Movimientos!$C$1:$C$1048575,$B14,Movimientos!$D$1:$D$1048575,$C14,Movimientos!$L$1:$L$1048575,A$4,Movimientos!$F$1:$F$1048575,"Ingreso")</f>
        <v>0</v>
      </c>
      <c r="P14" s="52">
        <f>SUMIFS(Movimientos!$J$1:$J$1048575,Movimientos!$C$1:$C$1048575,$B14,Movimientos!$D$1:$D$1048575,$C14,Movimientos!$L$1:$L$1048575,A$4,Movimientos!$F$1:$F$1048575,"Egreso")</f>
        <v>0</v>
      </c>
      <c r="Q14" s="7">
        <f t="shared" si="2"/>
        <v>0</v>
      </c>
      <c r="R14" s="12">
        <f t="shared" si="7"/>
        <v>749812.95</v>
      </c>
    </row>
    <row r="15" spans="1:18" x14ac:dyDescent="0.3">
      <c r="A15" s="11"/>
      <c r="B15" s="11" t="s">
        <v>21</v>
      </c>
      <c r="C15" s="11" t="s">
        <v>107</v>
      </c>
      <c r="D15" s="20">
        <f>SUMIFS('Saldos Iniciales'!$D$2:$D$38,'Saldos Iniciales'!$A$2:$A$38,$B15,'Saldos Iniciales'!$B$2:$B$38,$C15)</f>
        <v>5000</v>
      </c>
      <c r="E15" s="52">
        <f>SUMIFS(Movimientos!$J$1:$J$1048575,Movimientos!$C$1:$C$1048575,$B15,Movimientos!$D$1:$D$1048575,$C15,Movimientos!$L$1:$L$1048575,A$2,Movimientos!$F$1:$F$1048575,"Ingreso")</f>
        <v>0</v>
      </c>
      <c r="F15" s="52">
        <f>SUMIFS(Movimientos!$J$1:$J$1048575,Movimientos!$C$1:$C$1048575,$B15,Movimientos!$D$1:$D$1048575,$C15,Movimientos!$L$1:$L$1048575,A$2,Movimientos!$F$1:$F$1048575,"Egreso")</f>
        <v>0</v>
      </c>
      <c r="G15" s="19">
        <f t="shared" si="0"/>
        <v>0</v>
      </c>
      <c r="H15" s="12">
        <f t="shared" si="3"/>
        <v>5000</v>
      </c>
      <c r="I15" s="5">
        <f t="shared" si="4"/>
        <v>5000</v>
      </c>
      <c r="J15" s="52">
        <f>SUMIFS(Movimientos!$J$1:$J$1048575,Movimientos!$C$1:$C$1048575,$B15,Movimientos!$D$1:$D$1048575,$C15,Movimientos!$L$1:$L$1048575,A$3,Movimientos!$F$1:$F$1048575,"Ingreso")</f>
        <v>0</v>
      </c>
      <c r="K15" s="52">
        <f>SUMIFS(Movimientos!$J$1:$J$1048575,Movimientos!$C$1:$C$1048575,$B15,Movimientos!$D$1:$D$1048575,$C15,Movimientos!$L$1:$L$1048575,A$3,Movimientos!$F$1:$F$1048575,"Egreso")</f>
        <v>0</v>
      </c>
      <c r="L15" s="7">
        <f t="shared" si="1"/>
        <v>0</v>
      </c>
      <c r="M15" s="12">
        <f t="shared" si="5"/>
        <v>5000</v>
      </c>
      <c r="N15" s="5">
        <f t="shared" si="6"/>
        <v>5000</v>
      </c>
      <c r="O15" s="52">
        <f>SUMIFS(Movimientos!$J$1:$J$1048575,Movimientos!$C$1:$C$1048575,$B15,Movimientos!$D$1:$D$1048575,$C15,Movimientos!$L$1:$L$1048575,A$4,Movimientos!$F$1:$F$1048575,"Ingreso")</f>
        <v>0</v>
      </c>
      <c r="P15" s="52">
        <f>SUMIFS(Movimientos!$J$1:$J$1048575,Movimientos!$C$1:$C$1048575,$B15,Movimientos!$D$1:$D$1048575,$C15,Movimientos!$L$1:$L$1048575,A$4,Movimientos!$F$1:$F$1048575,"Egreso")</f>
        <v>0</v>
      </c>
      <c r="Q15" s="7">
        <f t="shared" si="2"/>
        <v>0</v>
      </c>
      <c r="R15" s="12">
        <f t="shared" si="7"/>
        <v>5000</v>
      </c>
    </row>
    <row r="16" spans="1:18" x14ac:dyDescent="0.3">
      <c r="A16" s="11"/>
      <c r="B16" s="11" t="s">
        <v>22</v>
      </c>
      <c r="C16" s="11" t="s">
        <v>108</v>
      </c>
      <c r="D16" s="20">
        <f>SUMIFS('Saldos Iniciales'!$D$2:$D$38,'Saldos Iniciales'!$A$2:$A$38,$B16,'Saldos Iniciales'!$B$2:$B$38,$C16)</f>
        <v>19920</v>
      </c>
      <c r="E16" s="52">
        <f>SUMIFS(Movimientos!$J$1:$J$1048575,Movimientos!$C$1:$C$1048575,$B16,Movimientos!$D$1:$D$1048575,$C16,Movimientos!$L$1:$L$1048575,A$2,Movimientos!$F$1:$F$1048575,"Ingreso")</f>
        <v>0</v>
      </c>
      <c r="F16" s="52">
        <f>SUMIFS(Movimientos!$J$1:$J$1048575,Movimientos!$C$1:$C$1048575,$B16,Movimientos!$D$1:$D$1048575,$C16,Movimientos!$L$1:$L$1048575,A$2,Movimientos!$F$1:$F$1048575,"Egreso")</f>
        <v>0</v>
      </c>
      <c r="G16" s="19">
        <f t="shared" si="0"/>
        <v>0</v>
      </c>
      <c r="H16" s="12">
        <f t="shared" si="3"/>
        <v>19920</v>
      </c>
      <c r="I16" s="5">
        <f t="shared" si="4"/>
        <v>19920</v>
      </c>
      <c r="J16" s="52">
        <f>SUMIFS(Movimientos!$J$1:$J$1048575,Movimientos!$C$1:$C$1048575,$B16,Movimientos!$D$1:$D$1048575,$C16,Movimientos!$L$1:$L$1048575,A$3,Movimientos!$F$1:$F$1048575,"Ingreso")</f>
        <v>0</v>
      </c>
      <c r="K16" s="52">
        <f>SUMIFS(Movimientos!$J$1:$J$1048575,Movimientos!$C$1:$C$1048575,$B16,Movimientos!$D$1:$D$1048575,$C16,Movimientos!$L$1:$L$1048575,A$3,Movimientos!$F$1:$F$1048575,"Egreso")</f>
        <v>0</v>
      </c>
      <c r="L16" s="7">
        <f t="shared" si="1"/>
        <v>0</v>
      </c>
      <c r="M16" s="12">
        <f t="shared" si="5"/>
        <v>19920</v>
      </c>
      <c r="N16" s="5">
        <f t="shared" si="6"/>
        <v>19920</v>
      </c>
      <c r="O16" s="52">
        <f>SUMIFS(Movimientos!$J$1:$J$1048575,Movimientos!$C$1:$C$1048575,$B16,Movimientos!$D$1:$D$1048575,$C16,Movimientos!$L$1:$L$1048575,A$4,Movimientos!$F$1:$F$1048575,"Ingreso")</f>
        <v>0</v>
      </c>
      <c r="P16" s="52">
        <f>SUMIFS(Movimientos!$J$1:$J$1048575,Movimientos!$C$1:$C$1048575,$B16,Movimientos!$D$1:$D$1048575,$C16,Movimientos!$L$1:$L$1048575,A$4,Movimientos!$F$1:$F$1048575,"Egreso")</f>
        <v>0</v>
      </c>
      <c r="Q16" s="7">
        <f t="shared" si="2"/>
        <v>0</v>
      </c>
      <c r="R16" s="12">
        <f t="shared" si="7"/>
        <v>19920</v>
      </c>
    </row>
    <row r="17" spans="1:18" x14ac:dyDescent="0.3">
      <c r="A17" s="11"/>
      <c r="B17" s="11" t="s">
        <v>22</v>
      </c>
      <c r="C17" s="11" t="s">
        <v>109</v>
      </c>
      <c r="D17" s="20">
        <f>SUMIFS('Saldos Iniciales'!$D$2:$D$38,'Saldos Iniciales'!$A$2:$A$38,$B17,'Saldos Iniciales'!$B$2:$B$38,$C17)</f>
        <v>6365</v>
      </c>
      <c r="E17" s="52">
        <f>SUMIFS(Movimientos!$J$1:$J$1048575,Movimientos!$C$1:$C$1048575,$B17,Movimientos!$D$1:$D$1048575,$C17,Movimientos!$L$1:$L$1048575,A$2,Movimientos!$F$1:$F$1048575,"Ingreso")</f>
        <v>0</v>
      </c>
      <c r="F17" s="52">
        <f>SUMIFS(Movimientos!$J$1:$J$1048575,Movimientos!$C$1:$C$1048575,$B17,Movimientos!$D$1:$D$1048575,$C17,Movimientos!$L$1:$L$1048575,A$2,Movimientos!$F$1:$F$1048575,"Egreso")</f>
        <v>0</v>
      </c>
      <c r="G17" s="19">
        <f t="shared" si="0"/>
        <v>0</v>
      </c>
      <c r="H17" s="12">
        <f t="shared" si="3"/>
        <v>6365</v>
      </c>
      <c r="I17" s="5">
        <f t="shared" si="4"/>
        <v>6365</v>
      </c>
      <c r="J17" s="52">
        <f>SUMIFS(Movimientos!$J$1:$J$1048575,Movimientos!$C$1:$C$1048575,$B17,Movimientos!$D$1:$D$1048575,$C17,Movimientos!$L$1:$L$1048575,A$3,Movimientos!$F$1:$F$1048575,"Ingreso")</f>
        <v>0</v>
      </c>
      <c r="K17" s="52">
        <f>SUMIFS(Movimientos!$J$1:$J$1048575,Movimientos!$C$1:$C$1048575,$B17,Movimientos!$D$1:$D$1048575,$C17,Movimientos!$L$1:$L$1048575,A$3,Movimientos!$F$1:$F$1048575,"Egreso")</f>
        <v>0</v>
      </c>
      <c r="L17" s="7">
        <f t="shared" si="1"/>
        <v>0</v>
      </c>
      <c r="M17" s="12">
        <f t="shared" si="5"/>
        <v>6365</v>
      </c>
      <c r="N17" s="5">
        <f t="shared" si="6"/>
        <v>6365</v>
      </c>
      <c r="O17" s="52">
        <f>SUMIFS(Movimientos!$J$1:$J$1048575,Movimientos!$C$1:$C$1048575,$B17,Movimientos!$D$1:$D$1048575,$C17,Movimientos!$L$1:$L$1048575,A$4,Movimientos!$F$1:$F$1048575,"Ingreso")</f>
        <v>0</v>
      </c>
      <c r="P17" s="52">
        <f>SUMIFS(Movimientos!$J$1:$J$1048575,Movimientos!$C$1:$C$1048575,$B17,Movimientos!$D$1:$D$1048575,$C17,Movimientos!$L$1:$L$1048575,A$4,Movimientos!$F$1:$F$1048575,"Egreso")</f>
        <v>0</v>
      </c>
      <c r="Q17" s="7">
        <f t="shared" si="2"/>
        <v>0</v>
      </c>
      <c r="R17" s="12">
        <f t="shared" si="7"/>
        <v>6365</v>
      </c>
    </row>
    <row r="18" spans="1:18" x14ac:dyDescent="0.3">
      <c r="A18" s="11"/>
      <c r="B18" s="11" t="s">
        <v>22</v>
      </c>
      <c r="C18" s="11" t="s">
        <v>110</v>
      </c>
      <c r="D18" s="20">
        <f>SUMIFS('Saldos Iniciales'!$D$2:$D$38,'Saldos Iniciales'!$A$2:$A$38,$B18,'Saldos Iniciales'!$B$2:$B$38,$C18)</f>
        <v>13221.89</v>
      </c>
      <c r="E18" s="52">
        <f>SUMIFS(Movimientos!$J$1:$J$1048575,Movimientos!$C$1:$C$1048575,$B18,Movimientos!$D$1:$D$1048575,$C18,Movimientos!$L$1:$L$1048575,A$2,Movimientos!$F$1:$F$1048575,"Ingreso")</f>
        <v>50000</v>
      </c>
      <c r="F18" s="52">
        <f>SUMIFS(Movimientos!$J$1:$J$1048575,Movimientos!$C$1:$C$1048575,$B18,Movimientos!$D$1:$D$1048575,$C18,Movimientos!$L$1:$L$1048575,A$2,Movimientos!$F$1:$F$1048575,"Egreso")</f>
        <v>6015</v>
      </c>
      <c r="G18" s="19">
        <f t="shared" si="0"/>
        <v>43985</v>
      </c>
      <c r="H18" s="12">
        <f t="shared" si="3"/>
        <v>57206.89</v>
      </c>
      <c r="I18" s="5">
        <f t="shared" si="4"/>
        <v>57206.89</v>
      </c>
      <c r="J18" s="52">
        <f>SUMIFS(Movimientos!$J$1:$J$1048575,Movimientos!$C$1:$C$1048575,$B18,Movimientos!$D$1:$D$1048575,$C18,Movimientos!$L$1:$L$1048575,A$3,Movimientos!$F$1:$F$1048575,"Ingreso")</f>
        <v>0</v>
      </c>
      <c r="K18" s="52">
        <f>SUMIFS(Movimientos!$J$1:$J$1048575,Movimientos!$C$1:$C$1048575,$B18,Movimientos!$D$1:$D$1048575,$C18,Movimientos!$L$1:$L$1048575,A$3,Movimientos!$F$1:$F$1048575,"Egreso")</f>
        <v>6000</v>
      </c>
      <c r="L18" s="7">
        <f t="shared" si="1"/>
        <v>-6000</v>
      </c>
      <c r="M18" s="12">
        <f t="shared" si="5"/>
        <v>51206.89</v>
      </c>
      <c r="N18" s="5">
        <f t="shared" si="6"/>
        <v>51206.89</v>
      </c>
      <c r="O18" s="52">
        <f>SUMIFS(Movimientos!$J$1:$J$1048575,Movimientos!$C$1:$C$1048575,$B18,Movimientos!$D$1:$D$1048575,$C18,Movimientos!$L$1:$L$1048575,A$4,Movimientos!$F$1:$F$1048575,"Ingreso")</f>
        <v>0</v>
      </c>
      <c r="P18" s="52">
        <f>SUMIFS(Movimientos!$J$1:$J$1048575,Movimientos!$C$1:$C$1048575,$B18,Movimientos!$D$1:$D$1048575,$C18,Movimientos!$L$1:$L$1048575,A$4,Movimientos!$F$1:$F$1048575,"Egreso")</f>
        <v>0</v>
      </c>
      <c r="Q18" s="7">
        <f t="shared" si="2"/>
        <v>0</v>
      </c>
      <c r="R18" s="12">
        <f t="shared" si="7"/>
        <v>51206.89</v>
      </c>
    </row>
    <row r="19" spans="1:18" x14ac:dyDescent="0.3">
      <c r="A19" s="11"/>
      <c r="B19" s="11" t="s">
        <v>22</v>
      </c>
      <c r="C19" s="11" t="s">
        <v>111</v>
      </c>
      <c r="D19" s="20">
        <f>SUMIFS('Saldos Iniciales'!$D$2:$D$38,'Saldos Iniciales'!$A$2:$A$38,$B19,'Saldos Iniciales'!$B$2:$B$38,$C19)</f>
        <v>65717.600000000006</v>
      </c>
      <c r="E19" s="52">
        <f>SUMIFS(Movimientos!$J$1:$J$1048575,Movimientos!$C$1:$C$1048575,$B19,Movimientos!$D$1:$D$1048575,$C19,Movimientos!$L$1:$L$1048575,A$2,Movimientos!$F$1:$F$1048575,"Ingreso")</f>
        <v>0</v>
      </c>
      <c r="F19" s="52">
        <f>SUMIFS(Movimientos!$J$1:$J$1048575,Movimientos!$C$1:$C$1048575,$B19,Movimientos!$D$1:$D$1048575,$C19,Movimientos!$L$1:$L$1048575,A$2,Movimientos!$F$1:$F$1048575,"Egreso")</f>
        <v>55000</v>
      </c>
      <c r="G19" s="19">
        <f t="shared" si="0"/>
        <v>-55000</v>
      </c>
      <c r="H19" s="12">
        <f t="shared" si="3"/>
        <v>10717.600000000006</v>
      </c>
      <c r="I19" s="5">
        <f t="shared" si="4"/>
        <v>10717.600000000006</v>
      </c>
      <c r="J19" s="52">
        <f>SUMIFS(Movimientos!$J$1:$J$1048575,Movimientos!$C$1:$C$1048575,$B19,Movimientos!$D$1:$D$1048575,$C19,Movimientos!$L$1:$L$1048575,A$3,Movimientos!$F$1:$F$1048575,"Ingreso")</f>
        <v>0</v>
      </c>
      <c r="K19" s="52">
        <f>SUMIFS(Movimientos!$J$1:$J$1048575,Movimientos!$C$1:$C$1048575,$B19,Movimientos!$D$1:$D$1048575,$C19,Movimientos!$L$1:$L$1048575,A$3,Movimientos!$F$1:$F$1048575,"Egreso")</f>
        <v>9000</v>
      </c>
      <c r="L19" s="7">
        <f t="shared" si="1"/>
        <v>-9000</v>
      </c>
      <c r="M19" s="12">
        <f t="shared" si="5"/>
        <v>1717.6000000000058</v>
      </c>
      <c r="N19" s="5">
        <f t="shared" si="6"/>
        <v>1717.6000000000058</v>
      </c>
      <c r="O19" s="52">
        <f>SUMIFS(Movimientos!$J$1:$J$1048575,Movimientos!$C$1:$C$1048575,$B19,Movimientos!$D$1:$D$1048575,$C19,Movimientos!$L$1:$L$1048575,A$4,Movimientos!$F$1:$F$1048575,"Ingreso")</f>
        <v>0</v>
      </c>
      <c r="P19" s="52">
        <f>SUMIFS(Movimientos!$J$1:$J$1048575,Movimientos!$C$1:$C$1048575,$B19,Movimientos!$D$1:$D$1048575,$C19,Movimientos!$L$1:$L$1048575,A$4,Movimientos!$F$1:$F$1048575,"Egreso")</f>
        <v>0</v>
      </c>
      <c r="Q19" s="7">
        <f t="shared" si="2"/>
        <v>0</v>
      </c>
      <c r="R19" s="12">
        <f t="shared" si="7"/>
        <v>1717.6000000000058</v>
      </c>
    </row>
    <row r="20" spans="1:18" x14ac:dyDescent="0.3">
      <c r="A20" s="11"/>
      <c r="B20" s="11" t="s">
        <v>23</v>
      </c>
      <c r="C20" s="11" t="s">
        <v>112</v>
      </c>
      <c r="D20" s="20">
        <f>SUMIFS('Saldos Iniciales'!$D$2:$D$38,'Saldos Iniciales'!$A$2:$A$38,$B20,'Saldos Iniciales'!$B$2:$B$38,$C20)</f>
        <v>13088.589999999997</v>
      </c>
      <c r="E20" s="52">
        <f>SUMIFS(Movimientos!$J$1:$J$1048575,Movimientos!$C$1:$C$1048575,$B20,Movimientos!$D$1:$D$1048575,$C20,Movimientos!$L$1:$L$1048575,A$2,Movimientos!$F$1:$F$1048575,"Ingreso")</f>
        <v>1575001.78</v>
      </c>
      <c r="F20" s="52">
        <f>SUMIFS(Movimientos!$J$1:$J$1048575,Movimientos!$C$1:$C$1048575,$B20,Movimientos!$D$1:$D$1048575,$C20,Movimientos!$L$1:$L$1048575,A$2,Movimientos!$F$1:$F$1048575,"Egreso")</f>
        <v>1500000</v>
      </c>
      <c r="G20" s="19">
        <f t="shared" si="0"/>
        <v>75001.780000000028</v>
      </c>
      <c r="H20" s="12">
        <f t="shared" si="3"/>
        <v>88090.370000000112</v>
      </c>
      <c r="I20" s="5">
        <f t="shared" si="4"/>
        <v>88090.370000000112</v>
      </c>
      <c r="J20" s="52">
        <f>SUMIFS(Movimientos!$J$1:$J$1048575,Movimientos!$C$1:$C$1048575,$B20,Movimientos!$D$1:$D$1048575,$C20,Movimientos!$L$1:$L$1048575,A$3,Movimientos!$F$1:$F$1048575,"Ingreso")</f>
        <v>0</v>
      </c>
      <c r="K20" s="52">
        <f>SUMIFS(Movimientos!$J$1:$J$1048575,Movimientos!$C$1:$C$1048575,$B20,Movimientos!$D$1:$D$1048575,$C20,Movimientos!$L$1:$L$1048575,A$3,Movimientos!$F$1:$F$1048575,"Egreso")</f>
        <v>0</v>
      </c>
      <c r="L20" s="7">
        <f t="shared" si="1"/>
        <v>0</v>
      </c>
      <c r="M20" s="12">
        <f t="shared" si="5"/>
        <v>88090.370000000112</v>
      </c>
      <c r="N20" s="5">
        <f t="shared" si="6"/>
        <v>88090.370000000112</v>
      </c>
      <c r="O20" s="52">
        <f>SUMIFS(Movimientos!$J$1:$J$1048575,Movimientos!$C$1:$C$1048575,$B20,Movimientos!$D$1:$D$1048575,$C20,Movimientos!$L$1:$L$1048575,A$4,Movimientos!$F$1:$F$1048575,"Ingreso")</f>
        <v>0</v>
      </c>
      <c r="P20" s="52">
        <f>SUMIFS(Movimientos!$J$1:$J$1048575,Movimientos!$C$1:$C$1048575,$B20,Movimientos!$D$1:$D$1048575,$C20,Movimientos!$L$1:$L$1048575,A$4,Movimientos!$F$1:$F$1048575,"Egreso")</f>
        <v>0</v>
      </c>
      <c r="Q20" s="7">
        <f t="shared" si="2"/>
        <v>0</v>
      </c>
      <c r="R20" s="12">
        <f t="shared" si="7"/>
        <v>88090.370000000112</v>
      </c>
    </row>
    <row r="21" spans="1:18" x14ac:dyDescent="0.3">
      <c r="A21" s="11"/>
      <c r="B21" s="11" t="s">
        <v>24</v>
      </c>
      <c r="C21" s="11" t="s">
        <v>113</v>
      </c>
      <c r="D21" s="20">
        <f>SUMIFS('Saldos Iniciales'!$D$2:$D$38,'Saldos Iniciales'!$A$2:$A$38,$B21,'Saldos Iniciales'!$B$2:$B$38,$C21)</f>
        <v>808.82999999999993</v>
      </c>
      <c r="E21" s="52">
        <f>SUMIFS(Movimientos!$J$1:$J$1048575,Movimientos!$C$1:$C$1048575,$B21,Movimientos!$D$1:$D$1048575,$C21,Movimientos!$L$1:$L$1048575,A$2,Movimientos!$F$1:$F$1048575,"Ingreso")</f>
        <v>3000</v>
      </c>
      <c r="F21" s="52">
        <f>SUMIFS(Movimientos!$J$1:$J$1048575,Movimientos!$C$1:$C$1048575,$B21,Movimientos!$D$1:$D$1048575,$C21,Movimientos!$L$1:$L$1048575,A$2,Movimientos!$F$1:$F$1048575,"Egreso")</f>
        <v>2580.86</v>
      </c>
      <c r="G21" s="19">
        <f t="shared" si="0"/>
        <v>419.13999999999987</v>
      </c>
      <c r="H21" s="12">
        <f t="shared" si="3"/>
        <v>1227.9699999999998</v>
      </c>
      <c r="I21" s="5">
        <f t="shared" si="4"/>
        <v>1227.9699999999998</v>
      </c>
      <c r="J21" s="52">
        <f>SUMIFS(Movimientos!$J$1:$J$1048575,Movimientos!$C$1:$C$1048575,$B21,Movimientos!$D$1:$D$1048575,$C21,Movimientos!$L$1:$L$1048575,A$3,Movimientos!$F$1:$F$1048575,"Ingreso")</f>
        <v>0</v>
      </c>
      <c r="K21" s="52">
        <f>SUMIFS(Movimientos!$J$1:$J$1048575,Movimientos!$C$1:$C$1048575,$B21,Movimientos!$D$1:$D$1048575,$C21,Movimientos!$L$1:$L$1048575,A$3,Movimientos!$F$1:$F$1048575,"Egreso")</f>
        <v>0</v>
      </c>
      <c r="L21" s="7">
        <f t="shared" si="1"/>
        <v>0</v>
      </c>
      <c r="M21" s="12">
        <f t="shared" si="5"/>
        <v>1227.9699999999998</v>
      </c>
      <c r="N21" s="5">
        <f t="shared" si="6"/>
        <v>1227.9699999999998</v>
      </c>
      <c r="O21" s="52">
        <f>SUMIFS(Movimientos!$J$1:$J$1048575,Movimientos!$C$1:$C$1048575,$B21,Movimientos!$D$1:$D$1048575,$C21,Movimientos!$L$1:$L$1048575,A$4,Movimientos!$F$1:$F$1048575,"Ingreso")</f>
        <v>0</v>
      </c>
      <c r="P21" s="52">
        <f>SUMIFS(Movimientos!$J$1:$J$1048575,Movimientos!$C$1:$C$1048575,$B21,Movimientos!$D$1:$D$1048575,$C21,Movimientos!$L$1:$L$1048575,A$4,Movimientos!$F$1:$F$1048575,"Egreso")</f>
        <v>0</v>
      </c>
      <c r="Q21" s="7">
        <f t="shared" si="2"/>
        <v>0</v>
      </c>
      <c r="R21" s="12">
        <f t="shared" si="7"/>
        <v>1227.9699999999998</v>
      </c>
    </row>
    <row r="22" spans="1:18" x14ac:dyDescent="0.3">
      <c r="A22" s="11"/>
      <c r="B22" s="11" t="s">
        <v>25</v>
      </c>
      <c r="C22" s="11" t="s">
        <v>114</v>
      </c>
      <c r="D22" s="20">
        <f>SUMIFS('Saldos Iniciales'!$D$2:$D$38,'Saldos Iniciales'!$A$2:$A$38,$B22,'Saldos Iniciales'!$B$2:$B$38,$C22)</f>
        <v>144.25</v>
      </c>
      <c r="E22" s="52">
        <f>SUMIFS(Movimientos!$J$1:$J$1048575,Movimientos!$C$1:$C$1048575,$B22,Movimientos!$D$1:$D$1048575,$C22,Movimientos!$L$1:$L$1048575,A$2,Movimientos!$F$1:$F$1048575,"Ingreso")</f>
        <v>0</v>
      </c>
      <c r="F22" s="52">
        <f>SUMIFS(Movimientos!$J$1:$J$1048575,Movimientos!$C$1:$C$1048575,$B22,Movimientos!$D$1:$D$1048575,$C22,Movimientos!$L$1:$L$1048575,A$2,Movimientos!$F$1:$F$1048575,"Egreso")</f>
        <v>29.95</v>
      </c>
      <c r="G22" s="19">
        <f t="shared" si="0"/>
        <v>-29.95</v>
      </c>
      <c r="H22" s="12">
        <f t="shared" si="3"/>
        <v>114.3</v>
      </c>
      <c r="I22" s="5">
        <f t="shared" si="4"/>
        <v>114.3</v>
      </c>
      <c r="J22" s="52">
        <f>SUMIFS(Movimientos!$J$1:$J$1048575,Movimientos!$C$1:$C$1048575,$B22,Movimientos!$D$1:$D$1048575,$C22,Movimientos!$L$1:$L$1048575,A$3,Movimientos!$F$1:$F$1048575,"Ingreso")</f>
        <v>0</v>
      </c>
      <c r="K22" s="52">
        <f>SUMIFS(Movimientos!$J$1:$J$1048575,Movimientos!$C$1:$C$1048575,$B22,Movimientos!$D$1:$D$1048575,$C22,Movimientos!$L$1:$L$1048575,A$3,Movimientos!$F$1:$F$1048575,"Egreso")</f>
        <v>29.95</v>
      </c>
      <c r="L22" s="7">
        <f t="shared" si="1"/>
        <v>-29.95</v>
      </c>
      <c r="M22" s="12">
        <f t="shared" si="5"/>
        <v>84.35</v>
      </c>
      <c r="N22" s="5">
        <f t="shared" si="6"/>
        <v>84.35</v>
      </c>
      <c r="O22" s="52">
        <f>SUMIFS(Movimientos!$J$1:$J$1048575,Movimientos!$C$1:$C$1048575,$B22,Movimientos!$D$1:$D$1048575,$C22,Movimientos!$L$1:$L$1048575,A$4,Movimientos!$F$1:$F$1048575,"Ingreso")</f>
        <v>0</v>
      </c>
      <c r="P22" s="52">
        <f>SUMIFS(Movimientos!$J$1:$J$1048575,Movimientos!$C$1:$C$1048575,$B22,Movimientos!$D$1:$D$1048575,$C22,Movimientos!$L$1:$L$1048575,A$4,Movimientos!$F$1:$F$1048575,"Egreso")</f>
        <v>0</v>
      </c>
      <c r="Q22" s="7">
        <f t="shared" si="2"/>
        <v>0</v>
      </c>
      <c r="R22" s="12">
        <f t="shared" si="7"/>
        <v>84.35</v>
      </c>
    </row>
    <row r="23" spans="1:18" x14ac:dyDescent="0.3">
      <c r="A23" s="11"/>
      <c r="B23" s="11" t="s">
        <v>26</v>
      </c>
      <c r="C23" s="11" t="s">
        <v>115</v>
      </c>
      <c r="D23" s="20">
        <f>SUMIFS('Saldos Iniciales'!$D$2:$D$38,'Saldos Iniciales'!$A$2:$A$38,$B23,'Saldos Iniciales'!$B$2:$B$38,$C23)</f>
        <v>2297.67</v>
      </c>
      <c r="E23" s="52">
        <f>SUMIFS(Movimientos!$J$1:$J$1048575,Movimientos!$C$1:$C$1048575,$B23,Movimientos!$D$1:$D$1048575,$C23,Movimientos!$L$1:$L$1048575,A$2,Movimientos!$F$1:$F$1048575,"Ingreso")</f>
        <v>0</v>
      </c>
      <c r="F23" s="52">
        <f>SUMIFS(Movimientos!$J$1:$J$1048575,Movimientos!$C$1:$C$1048575,$B23,Movimientos!$D$1:$D$1048575,$C23,Movimientos!$L$1:$L$1048575,A$2,Movimientos!$F$1:$F$1048575,"Egreso")</f>
        <v>29.95</v>
      </c>
      <c r="G23" s="19">
        <f t="shared" si="0"/>
        <v>-29.95</v>
      </c>
      <c r="H23" s="12">
        <f t="shared" si="3"/>
        <v>2267.7200000000003</v>
      </c>
      <c r="I23" s="5">
        <f t="shared" si="4"/>
        <v>2267.7200000000003</v>
      </c>
      <c r="J23" s="52">
        <f>SUMIFS(Movimientos!$J$1:$J$1048575,Movimientos!$C$1:$C$1048575,$B23,Movimientos!$D$1:$D$1048575,$C23,Movimientos!$L$1:$L$1048575,A$3,Movimientos!$F$1:$F$1048575,"Ingreso")</f>
        <v>0</v>
      </c>
      <c r="K23" s="52">
        <f>SUMIFS(Movimientos!$J$1:$J$1048575,Movimientos!$C$1:$C$1048575,$B23,Movimientos!$D$1:$D$1048575,$C23,Movimientos!$L$1:$L$1048575,A$3,Movimientos!$F$1:$F$1048575,"Egreso")</f>
        <v>29.95</v>
      </c>
      <c r="L23" s="7">
        <f t="shared" si="1"/>
        <v>-29.95</v>
      </c>
      <c r="M23" s="12">
        <f t="shared" si="5"/>
        <v>2237.7700000000004</v>
      </c>
      <c r="N23" s="5">
        <f t="shared" si="6"/>
        <v>2237.7700000000004</v>
      </c>
      <c r="O23" s="52">
        <f>SUMIFS(Movimientos!$J$1:$J$1048575,Movimientos!$C$1:$C$1048575,$B23,Movimientos!$D$1:$D$1048575,$C23,Movimientos!$L$1:$L$1048575,A$4,Movimientos!$F$1:$F$1048575,"Ingreso")</f>
        <v>0</v>
      </c>
      <c r="P23" s="52">
        <f>SUMIFS(Movimientos!$J$1:$J$1048575,Movimientos!$C$1:$C$1048575,$B23,Movimientos!$D$1:$D$1048575,$C23,Movimientos!$L$1:$L$1048575,A$4,Movimientos!$F$1:$F$1048575,"Egreso")</f>
        <v>0</v>
      </c>
      <c r="Q23" s="7">
        <f t="shared" si="2"/>
        <v>0</v>
      </c>
      <c r="R23" s="12">
        <f t="shared" si="7"/>
        <v>2237.7700000000004</v>
      </c>
    </row>
    <row r="24" spans="1:18" x14ac:dyDescent="0.3">
      <c r="A24" s="11"/>
      <c r="B24" s="11" t="s">
        <v>27</v>
      </c>
      <c r="C24" s="11" t="s">
        <v>116</v>
      </c>
      <c r="D24" s="20">
        <f>SUMIFS('Saldos Iniciales'!$D$2:$D$38,'Saldos Iniciales'!$A$2:$A$38,$B24,'Saldos Iniciales'!$B$2:$B$38,$C24)</f>
        <v>3364.94</v>
      </c>
      <c r="E24" s="52">
        <f>SUMIFS(Movimientos!$J$1:$J$1048575,Movimientos!$C$1:$C$1048575,$B24,Movimientos!$D$1:$D$1048575,$C24,Movimientos!$L$1:$L$1048575,A$2,Movimientos!$F$1:$F$1048575,"Ingreso")</f>
        <v>0</v>
      </c>
      <c r="F24" s="52">
        <f>SUMIFS(Movimientos!$J$1:$J$1048575,Movimientos!$C$1:$C$1048575,$B24,Movimientos!$D$1:$D$1048575,$C24,Movimientos!$L$1:$L$1048575,A$2,Movimientos!$F$1:$F$1048575,"Egreso")</f>
        <v>15</v>
      </c>
      <c r="G24" s="19">
        <f t="shared" si="0"/>
        <v>-15</v>
      </c>
      <c r="H24" s="12">
        <f t="shared" si="3"/>
        <v>3349.94</v>
      </c>
      <c r="I24" s="5">
        <f t="shared" si="4"/>
        <v>3349.94</v>
      </c>
      <c r="J24" s="52">
        <f>SUMIFS(Movimientos!$J$1:$J$1048575,Movimientos!$C$1:$C$1048575,$B24,Movimientos!$D$1:$D$1048575,$C24,Movimientos!$L$1:$L$1048575,A$3,Movimientos!$F$1:$F$1048575,"Ingreso")</f>
        <v>0</v>
      </c>
      <c r="K24" s="52">
        <f>SUMIFS(Movimientos!$J$1:$J$1048575,Movimientos!$C$1:$C$1048575,$B24,Movimientos!$D$1:$D$1048575,$C24,Movimientos!$L$1:$L$1048575,A$3,Movimientos!$F$1:$F$1048575,"Egreso")</f>
        <v>0</v>
      </c>
      <c r="L24" s="7">
        <f t="shared" si="1"/>
        <v>0</v>
      </c>
      <c r="M24" s="12">
        <f t="shared" si="5"/>
        <v>3349.94</v>
      </c>
      <c r="N24" s="5">
        <f t="shared" si="6"/>
        <v>3349.94</v>
      </c>
      <c r="O24" s="52">
        <f>SUMIFS(Movimientos!$J$1:$J$1048575,Movimientos!$C$1:$C$1048575,$B24,Movimientos!$D$1:$D$1048575,$C24,Movimientos!$L$1:$L$1048575,A$4,Movimientos!$F$1:$F$1048575,"Ingreso")</f>
        <v>0</v>
      </c>
      <c r="P24" s="52">
        <f>SUMIFS(Movimientos!$J$1:$J$1048575,Movimientos!$C$1:$C$1048575,$B24,Movimientos!$D$1:$D$1048575,$C24,Movimientos!$L$1:$L$1048575,A$4,Movimientos!$F$1:$F$1048575,"Egreso")</f>
        <v>0</v>
      </c>
      <c r="Q24" s="7">
        <f t="shared" si="2"/>
        <v>0</v>
      </c>
      <c r="R24" s="12">
        <f t="shared" si="7"/>
        <v>3349.94</v>
      </c>
    </row>
    <row r="25" spans="1:18" x14ac:dyDescent="0.3">
      <c r="A25" s="11"/>
      <c r="B25" s="11" t="s">
        <v>28</v>
      </c>
      <c r="C25" s="11" t="s">
        <v>117</v>
      </c>
      <c r="D25" s="20">
        <f>SUMIFS('Saldos Iniciales'!$D$2:$D$38,'Saldos Iniciales'!$A$2:$A$38,$B25,'Saldos Iniciales'!$B$2:$B$38,$C25)</f>
        <v>1968.99</v>
      </c>
      <c r="E25" s="52">
        <f>SUMIFS(Movimientos!$J$1:$J$1048575,Movimientos!$C$1:$C$1048575,$B25,Movimientos!$D$1:$D$1048575,$C25,Movimientos!$L$1:$L$1048575,A$2,Movimientos!$F$1:$F$1048575,"Ingreso")</f>
        <v>0</v>
      </c>
      <c r="F25" s="52">
        <f>SUMIFS(Movimientos!$J$1:$J$1048575,Movimientos!$C$1:$C$1048575,$B25,Movimientos!$D$1:$D$1048575,$C25,Movimientos!$L$1:$L$1048575,A$2,Movimientos!$F$1:$F$1048575,"Egreso")</f>
        <v>0</v>
      </c>
      <c r="G25" s="19">
        <f t="shared" si="0"/>
        <v>0</v>
      </c>
      <c r="H25" s="12">
        <f t="shared" si="3"/>
        <v>1968.99</v>
      </c>
      <c r="I25" s="5">
        <f t="shared" si="4"/>
        <v>1968.99</v>
      </c>
      <c r="J25" s="52">
        <f>SUMIFS(Movimientos!$J$1:$J$1048575,Movimientos!$C$1:$C$1048575,$B25,Movimientos!$D$1:$D$1048575,$C25,Movimientos!$L$1:$L$1048575,A$3,Movimientos!$F$1:$F$1048575,"Ingreso")</f>
        <v>0</v>
      </c>
      <c r="K25" s="52">
        <f>SUMIFS(Movimientos!$J$1:$J$1048575,Movimientos!$C$1:$C$1048575,$B25,Movimientos!$D$1:$D$1048575,$C25,Movimientos!$L$1:$L$1048575,A$3,Movimientos!$F$1:$F$1048575,"Egreso")</f>
        <v>0</v>
      </c>
      <c r="L25" s="7">
        <f t="shared" si="1"/>
        <v>0</v>
      </c>
      <c r="M25" s="12">
        <f t="shared" si="5"/>
        <v>1968.99</v>
      </c>
      <c r="N25" s="5">
        <f t="shared" si="6"/>
        <v>1968.99</v>
      </c>
      <c r="O25" s="52">
        <f>SUMIFS(Movimientos!$J$1:$J$1048575,Movimientos!$C$1:$C$1048575,$B25,Movimientos!$D$1:$D$1048575,$C25,Movimientos!$L$1:$L$1048575,A$4,Movimientos!$F$1:$F$1048575,"Ingreso")</f>
        <v>0</v>
      </c>
      <c r="P25" s="52">
        <f>SUMIFS(Movimientos!$J$1:$J$1048575,Movimientos!$C$1:$C$1048575,$B25,Movimientos!$D$1:$D$1048575,$C25,Movimientos!$L$1:$L$1048575,A$4,Movimientos!$F$1:$F$1048575,"Egreso")</f>
        <v>0</v>
      </c>
      <c r="Q25" s="7">
        <f t="shared" si="2"/>
        <v>0</v>
      </c>
      <c r="R25" s="12">
        <f t="shared" si="7"/>
        <v>1968.99</v>
      </c>
    </row>
    <row r="26" spans="1:18" x14ac:dyDescent="0.3">
      <c r="A26" s="11"/>
      <c r="B26" s="11" t="s">
        <v>29</v>
      </c>
      <c r="C26" s="11" t="s">
        <v>118</v>
      </c>
      <c r="D26" s="20">
        <f>SUMIFS('Saldos Iniciales'!$D$2:$D$38,'Saldos Iniciales'!$A$2:$A$38,$B26,'Saldos Iniciales'!$B$2:$B$38,$C26)</f>
        <v>0</v>
      </c>
      <c r="E26" s="52">
        <f>SUMIFS(Movimientos!$J$1:$J$1048575,Movimientos!$C$1:$C$1048575,$B26,Movimientos!$D$1:$D$1048575,$C26,Movimientos!$L$1:$L$1048575,A$2,Movimientos!$F$1:$F$1048575,"Ingreso")</f>
        <v>0</v>
      </c>
      <c r="F26" s="52">
        <f>SUMIFS(Movimientos!$J$1:$J$1048575,Movimientos!$C$1:$C$1048575,$B26,Movimientos!$D$1:$D$1048575,$C26,Movimientos!$L$1:$L$1048575,A$2,Movimientos!$F$1:$F$1048575,"Egreso")</f>
        <v>0</v>
      </c>
      <c r="G26" s="19">
        <f t="shared" si="0"/>
        <v>0</v>
      </c>
      <c r="H26" s="12">
        <f t="shared" si="3"/>
        <v>0</v>
      </c>
      <c r="I26" s="5">
        <f t="shared" si="4"/>
        <v>0</v>
      </c>
      <c r="J26" s="52">
        <f>SUMIFS(Movimientos!$J$1:$J$1048575,Movimientos!$C$1:$C$1048575,$B26,Movimientos!$D$1:$D$1048575,$C26,Movimientos!$L$1:$L$1048575,A$3,Movimientos!$F$1:$F$1048575,"Ingreso")</f>
        <v>0</v>
      </c>
      <c r="K26" s="52">
        <f>SUMIFS(Movimientos!$J$1:$J$1048575,Movimientos!$C$1:$C$1048575,$B26,Movimientos!$D$1:$D$1048575,$C26,Movimientos!$L$1:$L$1048575,A$3,Movimientos!$F$1:$F$1048575,"Egreso")</f>
        <v>0</v>
      </c>
      <c r="L26" s="7">
        <f t="shared" si="1"/>
        <v>0</v>
      </c>
      <c r="M26" s="12">
        <f t="shared" si="5"/>
        <v>0</v>
      </c>
      <c r="N26" s="5">
        <f t="shared" si="6"/>
        <v>0</v>
      </c>
      <c r="O26" s="52">
        <f>SUMIFS(Movimientos!$J$1:$J$1048575,Movimientos!$C$1:$C$1048575,$B26,Movimientos!$D$1:$D$1048575,$C26,Movimientos!$L$1:$L$1048575,A$4,Movimientos!$F$1:$F$1048575,"Ingreso")</f>
        <v>0</v>
      </c>
      <c r="P26" s="52">
        <f>SUMIFS(Movimientos!$J$1:$J$1048575,Movimientos!$C$1:$C$1048575,$B26,Movimientos!$D$1:$D$1048575,$C26,Movimientos!$L$1:$L$1048575,A$4,Movimientos!$F$1:$F$1048575,"Egreso")</f>
        <v>0</v>
      </c>
      <c r="Q26" s="7">
        <f t="shared" si="2"/>
        <v>0</v>
      </c>
      <c r="R26" s="12">
        <f t="shared" si="7"/>
        <v>0</v>
      </c>
    </row>
    <row r="27" spans="1:18" x14ac:dyDescent="0.3">
      <c r="A27" s="11"/>
      <c r="B27" s="11" t="s">
        <v>29</v>
      </c>
      <c r="C27" s="11" t="s">
        <v>119</v>
      </c>
      <c r="D27" s="20">
        <f>SUMIFS('Saldos Iniciales'!$D$2:$D$38,'Saldos Iniciales'!$A$2:$A$38,$B27,'Saldos Iniciales'!$B$2:$B$38,$C27)</f>
        <v>901.34</v>
      </c>
      <c r="E27" s="52">
        <f>SUMIFS(Movimientos!$J$1:$J$1048575,Movimientos!$C$1:$C$1048575,$B27,Movimientos!$D$1:$D$1048575,$C27,Movimientos!$L$1:$L$1048575,A$2,Movimientos!$F$1:$F$1048575,"Ingreso")</f>
        <v>0</v>
      </c>
      <c r="F27" s="52">
        <f>SUMIFS(Movimientos!$J$1:$J$1048575,Movimientos!$C$1:$C$1048575,$B27,Movimientos!$D$1:$D$1048575,$C27,Movimientos!$L$1:$L$1048575,A$2,Movimientos!$F$1:$F$1048575,"Egreso")</f>
        <v>0</v>
      </c>
      <c r="G27" s="19">
        <f t="shared" si="0"/>
        <v>0</v>
      </c>
      <c r="H27" s="12">
        <f t="shared" si="3"/>
        <v>901.34</v>
      </c>
      <c r="I27" s="5">
        <f t="shared" si="4"/>
        <v>901.34</v>
      </c>
      <c r="J27" s="52">
        <f>SUMIFS(Movimientos!$J$1:$J$1048575,Movimientos!$C$1:$C$1048575,$B27,Movimientos!$D$1:$D$1048575,$C27,Movimientos!$L$1:$L$1048575,A$3,Movimientos!$F$1:$F$1048575,"Ingreso")</f>
        <v>0</v>
      </c>
      <c r="K27" s="52">
        <f>SUMIFS(Movimientos!$J$1:$J$1048575,Movimientos!$C$1:$C$1048575,$B27,Movimientos!$D$1:$D$1048575,$C27,Movimientos!$L$1:$L$1048575,A$3,Movimientos!$F$1:$F$1048575,"Egreso")</f>
        <v>518.65</v>
      </c>
      <c r="L27" s="7">
        <f t="shared" si="1"/>
        <v>-518.65</v>
      </c>
      <c r="M27" s="12">
        <f t="shared" si="5"/>
        <v>382.69000000000005</v>
      </c>
      <c r="N27" s="5">
        <f t="shared" si="6"/>
        <v>382.69000000000005</v>
      </c>
      <c r="O27" s="52">
        <f>SUMIFS(Movimientos!$J$1:$J$1048575,Movimientos!$C$1:$C$1048575,$B27,Movimientos!$D$1:$D$1048575,$C27,Movimientos!$L$1:$L$1048575,A$4,Movimientos!$F$1:$F$1048575,"Ingreso")</f>
        <v>0</v>
      </c>
      <c r="P27" s="52">
        <f>SUMIFS(Movimientos!$J$1:$J$1048575,Movimientos!$C$1:$C$1048575,$B27,Movimientos!$D$1:$D$1048575,$C27,Movimientos!$L$1:$L$1048575,A$4,Movimientos!$F$1:$F$1048575,"Egreso")</f>
        <v>0</v>
      </c>
      <c r="Q27" s="7">
        <f t="shared" si="2"/>
        <v>0</v>
      </c>
      <c r="R27" s="12">
        <f t="shared" si="7"/>
        <v>382.69000000000005</v>
      </c>
    </row>
    <row r="28" spans="1:18" x14ac:dyDescent="0.3">
      <c r="A28" s="11"/>
      <c r="B28" s="11" t="s">
        <v>30</v>
      </c>
      <c r="C28" s="11" t="s">
        <v>120</v>
      </c>
      <c r="D28" s="20">
        <f>SUMIFS('Saldos Iniciales'!$D$2:$D$38,'Saldos Iniciales'!$A$2:$A$38,$B28,'Saldos Iniciales'!$B$2:$B$38,$C28)</f>
        <v>1460.08</v>
      </c>
      <c r="E28" s="52">
        <f>SUMIFS(Movimientos!$J$1:$J$1048575,Movimientos!$C$1:$C$1048575,$B28,Movimientos!$D$1:$D$1048575,$C28,Movimientos!$L$1:$L$1048575,A$2,Movimientos!$F$1:$F$1048575,"Ingreso")</f>
        <v>0</v>
      </c>
      <c r="F28" s="52">
        <f>SUMIFS(Movimientos!$J$1:$J$1048575,Movimientos!$C$1:$C$1048575,$B28,Movimientos!$D$1:$D$1048575,$C28,Movimientos!$L$1:$L$1048575,A$2,Movimientos!$F$1:$F$1048575,"Egreso")</f>
        <v>16</v>
      </c>
      <c r="G28" s="19">
        <f t="shared" si="0"/>
        <v>-16</v>
      </c>
      <c r="H28" s="12">
        <f t="shared" si="3"/>
        <v>1444.08</v>
      </c>
      <c r="I28" s="5">
        <f t="shared" si="4"/>
        <v>1444.08</v>
      </c>
      <c r="J28" s="52">
        <f>SUMIFS(Movimientos!$J$1:$J$1048575,Movimientos!$C$1:$C$1048575,$B28,Movimientos!$D$1:$D$1048575,$C28,Movimientos!$L$1:$L$1048575,A$3,Movimientos!$F$1:$F$1048575,"Ingreso")</f>
        <v>0</v>
      </c>
      <c r="K28" s="52">
        <f>SUMIFS(Movimientos!$J$1:$J$1048575,Movimientos!$C$1:$C$1048575,$B28,Movimientos!$D$1:$D$1048575,$C28,Movimientos!$L$1:$L$1048575,A$3,Movimientos!$F$1:$F$1048575,"Egreso")</f>
        <v>16</v>
      </c>
      <c r="L28" s="7">
        <f t="shared" si="1"/>
        <v>-16</v>
      </c>
      <c r="M28" s="12">
        <f t="shared" si="5"/>
        <v>1428.08</v>
      </c>
      <c r="N28" s="5">
        <f t="shared" si="6"/>
        <v>1428.08</v>
      </c>
      <c r="O28" s="52">
        <f>SUMIFS(Movimientos!$J$1:$J$1048575,Movimientos!$C$1:$C$1048575,$B28,Movimientos!$D$1:$D$1048575,$C28,Movimientos!$L$1:$L$1048575,A$4,Movimientos!$F$1:$F$1048575,"Ingreso")</f>
        <v>0</v>
      </c>
      <c r="P28" s="52">
        <f>SUMIFS(Movimientos!$J$1:$J$1048575,Movimientos!$C$1:$C$1048575,$B28,Movimientos!$D$1:$D$1048575,$C28,Movimientos!$L$1:$L$1048575,A$4,Movimientos!$F$1:$F$1048575,"Egreso")</f>
        <v>0</v>
      </c>
      <c r="Q28" s="7">
        <f t="shared" si="2"/>
        <v>0</v>
      </c>
      <c r="R28" s="12">
        <f t="shared" si="7"/>
        <v>1428.08</v>
      </c>
    </row>
    <row r="29" spans="1:18" x14ac:dyDescent="0.3">
      <c r="A29" s="11"/>
      <c r="B29" s="11" t="s">
        <v>31</v>
      </c>
      <c r="C29" s="11" t="s">
        <v>121</v>
      </c>
      <c r="D29" s="20">
        <f>SUMIFS('Saldos Iniciales'!$D$2:$D$38,'Saldos Iniciales'!$A$2:$A$38,$B29,'Saldos Iniciales'!$B$2:$B$38,$C29)</f>
        <v>26266.509999999962</v>
      </c>
      <c r="E29" s="52">
        <f>SUMIFS(Movimientos!$J$1:$J$1048575,Movimientos!$C$1:$C$1048575,$B29,Movimientos!$D$1:$D$1048575,$C29,Movimientos!$L$1:$L$1048575,A$2,Movimientos!$F$1:$F$1048575,"Ingreso")</f>
        <v>25250</v>
      </c>
      <c r="F29" s="52">
        <f>SUMIFS(Movimientos!$J$1:$J$1048575,Movimientos!$C$1:$C$1048575,$B29,Movimientos!$D$1:$D$1048575,$C29,Movimientos!$L$1:$L$1048575,A$2,Movimientos!$F$1:$F$1048575,"Egreso")</f>
        <v>16408.330000000002</v>
      </c>
      <c r="G29" s="19">
        <f t="shared" si="0"/>
        <v>8841.6699999999983</v>
      </c>
      <c r="H29" s="12">
        <f t="shared" si="3"/>
        <v>35108.179999999964</v>
      </c>
      <c r="I29" s="5">
        <f t="shared" si="4"/>
        <v>35108.179999999964</v>
      </c>
      <c r="J29" s="52">
        <f>SUMIFS(Movimientos!$J$1:$J$1048575,Movimientos!$C$1:$C$1048575,$B29,Movimientos!$D$1:$D$1048575,$C29,Movimientos!$L$1:$L$1048575,A$3,Movimientos!$F$1:$F$1048575,"Ingreso")</f>
        <v>0</v>
      </c>
      <c r="K29" s="52">
        <f>SUMIFS(Movimientos!$J$1:$J$1048575,Movimientos!$C$1:$C$1048575,$B29,Movimientos!$D$1:$D$1048575,$C29,Movimientos!$L$1:$L$1048575,A$3,Movimientos!$F$1:$F$1048575,"Egreso")</f>
        <v>9648.6299999999992</v>
      </c>
      <c r="L29" s="7">
        <f t="shared" si="1"/>
        <v>-9648.6299999999992</v>
      </c>
      <c r="M29" s="12">
        <f t="shared" si="5"/>
        <v>25459.549999999967</v>
      </c>
      <c r="N29" s="5">
        <f t="shared" si="6"/>
        <v>25459.549999999967</v>
      </c>
      <c r="O29" s="52">
        <f>SUMIFS(Movimientos!$J$1:$J$1048575,Movimientos!$C$1:$C$1048575,$B29,Movimientos!$D$1:$D$1048575,$C29,Movimientos!$L$1:$L$1048575,A$4,Movimientos!$F$1:$F$1048575,"Ingreso")</f>
        <v>0</v>
      </c>
      <c r="P29" s="52">
        <f>SUMIFS(Movimientos!$J$1:$J$1048575,Movimientos!$C$1:$C$1048575,$B29,Movimientos!$D$1:$D$1048575,$C29,Movimientos!$L$1:$L$1048575,A$4,Movimientos!$F$1:$F$1048575,"Egreso")</f>
        <v>0</v>
      </c>
      <c r="Q29" s="7">
        <f t="shared" si="2"/>
        <v>0</v>
      </c>
      <c r="R29" s="12">
        <f t="shared" si="7"/>
        <v>25459.549999999967</v>
      </c>
    </row>
    <row r="30" spans="1:18" x14ac:dyDescent="0.3">
      <c r="A30" s="11"/>
      <c r="B30" s="11" t="s">
        <v>31</v>
      </c>
      <c r="C30" s="11" t="s">
        <v>122</v>
      </c>
      <c r="D30" s="20">
        <f>SUMIFS('Saldos Iniciales'!$D$2:$D$38,'Saldos Iniciales'!$A$2:$A$38,$B30,'Saldos Iniciales'!$B$2:$B$38,$C30)</f>
        <v>350.42</v>
      </c>
      <c r="E30" s="52">
        <f>SUMIFS(Movimientos!$J$1:$J$1048575,Movimientos!$C$1:$C$1048575,$B30,Movimientos!$D$1:$D$1048575,$C30,Movimientos!$L$1:$L$1048575,A$2,Movimientos!$F$1:$F$1048575,"Ingreso")</f>
        <v>0</v>
      </c>
      <c r="F30" s="52">
        <f>SUMIFS(Movimientos!$J$1:$J$1048575,Movimientos!$C$1:$C$1048575,$B30,Movimientos!$D$1:$D$1048575,$C30,Movimientos!$L$1:$L$1048575,A$2,Movimientos!$F$1:$F$1048575,"Egreso")</f>
        <v>10</v>
      </c>
      <c r="G30" s="19">
        <f t="shared" si="0"/>
        <v>-10</v>
      </c>
      <c r="H30" s="12">
        <f t="shared" si="3"/>
        <v>340.42</v>
      </c>
      <c r="I30" s="5">
        <f t="shared" si="4"/>
        <v>340.42</v>
      </c>
      <c r="J30" s="52">
        <f>SUMIFS(Movimientos!$J$1:$J$1048575,Movimientos!$C$1:$C$1048575,$B30,Movimientos!$D$1:$D$1048575,$C30,Movimientos!$L$1:$L$1048575,A$3,Movimientos!$F$1:$F$1048575,"Ingreso")</f>
        <v>0</v>
      </c>
      <c r="K30" s="52">
        <f>SUMIFS(Movimientos!$J$1:$J$1048575,Movimientos!$C$1:$C$1048575,$B30,Movimientos!$D$1:$D$1048575,$C30,Movimientos!$L$1:$L$1048575,A$3,Movimientos!$F$1:$F$1048575,"Egreso")</f>
        <v>10</v>
      </c>
      <c r="L30" s="7">
        <f t="shared" si="1"/>
        <v>-10</v>
      </c>
      <c r="M30" s="12">
        <f t="shared" si="5"/>
        <v>330.42</v>
      </c>
      <c r="N30" s="5">
        <f t="shared" si="6"/>
        <v>330.42</v>
      </c>
      <c r="O30" s="52">
        <f>SUMIFS(Movimientos!$J$1:$J$1048575,Movimientos!$C$1:$C$1048575,$B30,Movimientos!$D$1:$D$1048575,$C30,Movimientos!$L$1:$L$1048575,A$4,Movimientos!$F$1:$F$1048575,"Ingreso")</f>
        <v>0</v>
      </c>
      <c r="P30" s="52">
        <f>SUMIFS(Movimientos!$J$1:$J$1048575,Movimientos!$C$1:$C$1048575,$B30,Movimientos!$D$1:$D$1048575,$C30,Movimientos!$L$1:$L$1048575,A$4,Movimientos!$F$1:$F$1048575,"Egreso")</f>
        <v>0</v>
      </c>
      <c r="Q30" s="7">
        <f t="shared" si="2"/>
        <v>0</v>
      </c>
      <c r="R30" s="12">
        <f t="shared" si="7"/>
        <v>330.42</v>
      </c>
    </row>
    <row r="31" spans="1:18" x14ac:dyDescent="0.3">
      <c r="A31" s="11"/>
      <c r="B31" s="11" t="s">
        <v>32</v>
      </c>
      <c r="C31" s="11" t="s">
        <v>123</v>
      </c>
      <c r="D31" s="20">
        <f>SUMIFS('Saldos Iniciales'!$D$2:$D$38,'Saldos Iniciales'!$A$2:$A$38,$B31,'Saldos Iniciales'!$B$2:$B$38,$C31)</f>
        <v>9902.5400000000009</v>
      </c>
      <c r="E31" s="52">
        <f>SUMIFS(Movimientos!$J$1:$J$1048575,Movimientos!$C$1:$C$1048575,$B31,Movimientos!$D$1:$D$1048575,$C31,Movimientos!$L$1:$L$1048575,A$2,Movimientos!$F$1:$F$1048575,"Ingreso")</f>
        <v>16750</v>
      </c>
      <c r="F31" s="52">
        <f>SUMIFS(Movimientos!$J$1:$J$1048575,Movimientos!$C$1:$C$1048575,$B31,Movimientos!$D$1:$D$1048575,$C31,Movimientos!$L$1:$L$1048575,A$2,Movimientos!$F$1:$F$1048575,"Egreso")</f>
        <v>11532.48</v>
      </c>
      <c r="G31" s="19">
        <f t="shared" si="0"/>
        <v>5217.5200000000004</v>
      </c>
      <c r="H31" s="12">
        <f t="shared" si="3"/>
        <v>15120.060000000001</v>
      </c>
      <c r="I31" s="5">
        <f t="shared" si="4"/>
        <v>15120.060000000001</v>
      </c>
      <c r="J31" s="52">
        <f>SUMIFS(Movimientos!$J$1:$J$1048575,Movimientos!$C$1:$C$1048575,$B31,Movimientos!$D$1:$D$1048575,$C31,Movimientos!$L$1:$L$1048575,A$3,Movimientos!$F$1:$F$1048575,"Ingreso")</f>
        <v>0</v>
      </c>
      <c r="K31" s="52">
        <f>SUMIFS(Movimientos!$J$1:$J$1048575,Movimientos!$C$1:$C$1048575,$B31,Movimientos!$D$1:$D$1048575,$C31,Movimientos!$L$1:$L$1048575,A$3,Movimientos!$F$1:$F$1048575,"Egreso")</f>
        <v>9798.6299999999992</v>
      </c>
      <c r="L31" s="7">
        <f t="shared" si="1"/>
        <v>-9798.6299999999992</v>
      </c>
      <c r="M31" s="12">
        <f t="shared" si="5"/>
        <v>5321.4300000000021</v>
      </c>
      <c r="N31" s="5">
        <f t="shared" si="6"/>
        <v>5321.4300000000021</v>
      </c>
      <c r="O31" s="52">
        <f>SUMIFS(Movimientos!$J$1:$J$1048575,Movimientos!$C$1:$C$1048575,$B31,Movimientos!$D$1:$D$1048575,$C31,Movimientos!$L$1:$L$1048575,A$4,Movimientos!$F$1:$F$1048575,"Ingreso")</f>
        <v>0</v>
      </c>
      <c r="P31" s="52">
        <f>SUMIFS(Movimientos!$J$1:$J$1048575,Movimientos!$C$1:$C$1048575,$B31,Movimientos!$D$1:$D$1048575,$C31,Movimientos!$L$1:$L$1048575,A$4,Movimientos!$F$1:$F$1048575,"Egreso")</f>
        <v>0</v>
      </c>
      <c r="Q31" s="7">
        <f t="shared" si="2"/>
        <v>0</v>
      </c>
      <c r="R31" s="12">
        <f t="shared" si="7"/>
        <v>5321.4300000000021</v>
      </c>
    </row>
    <row r="32" spans="1:18" x14ac:dyDescent="0.3">
      <c r="A32" s="11"/>
      <c r="B32" s="11" t="s">
        <v>33</v>
      </c>
      <c r="C32" s="11" t="s">
        <v>124</v>
      </c>
      <c r="D32" s="20">
        <f>SUMIFS('Saldos Iniciales'!$D$2:$D$38,'Saldos Iniciales'!$A$2:$A$38,$B32,'Saldos Iniciales'!$B$2:$B$38,$C32)</f>
        <v>25061.43</v>
      </c>
      <c r="E32" s="52">
        <f>SUMIFS(Movimientos!$J$1:$J$1048575,Movimientos!$C$1:$C$1048575,$B32,Movimientos!$D$1:$D$1048575,$C32,Movimientos!$L$1:$L$1048575,A$2,Movimientos!$F$1:$F$1048575,"Ingreso")</f>
        <v>21650</v>
      </c>
      <c r="F32" s="52">
        <f>SUMIFS(Movimientos!$J$1:$J$1048575,Movimientos!$C$1:$C$1048575,$B32,Movimientos!$D$1:$D$1048575,$C32,Movimientos!$L$1:$L$1048575,A$2,Movimientos!$F$1:$F$1048575,"Egreso")</f>
        <v>13105.160000000002</v>
      </c>
      <c r="G32" s="19">
        <f t="shared" si="0"/>
        <v>8544.8399999999983</v>
      </c>
      <c r="H32" s="12">
        <f t="shared" si="3"/>
        <v>33606.269999999997</v>
      </c>
      <c r="I32" s="5">
        <f t="shared" si="4"/>
        <v>33606.269999999997</v>
      </c>
      <c r="J32" s="52">
        <f>SUMIFS(Movimientos!$J$1:$J$1048575,Movimientos!$C$1:$C$1048575,$B32,Movimientos!$D$1:$D$1048575,$C32,Movimientos!$L$1:$L$1048575,A$3,Movimientos!$F$1:$F$1048575,"Ingreso")</f>
        <v>0</v>
      </c>
      <c r="K32" s="52">
        <f>SUMIFS(Movimientos!$J$1:$J$1048575,Movimientos!$C$1:$C$1048575,$B32,Movimientos!$D$1:$D$1048575,$C32,Movimientos!$L$1:$L$1048575,A$3,Movimientos!$F$1:$F$1048575,"Egreso")</f>
        <v>8862.2900000000009</v>
      </c>
      <c r="L32" s="7">
        <f t="shared" si="1"/>
        <v>-8862.2900000000009</v>
      </c>
      <c r="M32" s="12">
        <f t="shared" si="5"/>
        <v>24743.979999999996</v>
      </c>
      <c r="N32" s="5">
        <f t="shared" si="6"/>
        <v>24743.979999999996</v>
      </c>
      <c r="O32" s="52">
        <f>SUMIFS(Movimientos!$J$1:$J$1048575,Movimientos!$C$1:$C$1048575,$B32,Movimientos!$D$1:$D$1048575,$C32,Movimientos!$L$1:$L$1048575,A$4,Movimientos!$F$1:$F$1048575,"Ingreso")</f>
        <v>0</v>
      </c>
      <c r="P32" s="52">
        <f>SUMIFS(Movimientos!$J$1:$J$1048575,Movimientos!$C$1:$C$1048575,$B32,Movimientos!$D$1:$D$1048575,$C32,Movimientos!$L$1:$L$1048575,A$4,Movimientos!$F$1:$F$1048575,"Egreso")</f>
        <v>0</v>
      </c>
      <c r="Q32" s="7">
        <f t="shared" si="2"/>
        <v>0</v>
      </c>
      <c r="R32" s="12">
        <f t="shared" si="7"/>
        <v>24743.979999999996</v>
      </c>
    </row>
    <row r="33" spans="1:18" x14ac:dyDescent="0.3">
      <c r="A33" s="11"/>
      <c r="B33" s="11" t="s">
        <v>34</v>
      </c>
      <c r="C33" s="11" t="s">
        <v>125</v>
      </c>
      <c r="D33" s="20">
        <f>SUMIFS('Saldos Iniciales'!$D$2:$D$38,'Saldos Iniciales'!$A$2:$A$38,$B33,'Saldos Iniciales'!$B$2:$B$38,$C33)</f>
        <v>345</v>
      </c>
      <c r="E33" s="52">
        <f>SUMIFS(Movimientos!$J$1:$J$1048575,Movimientos!$C$1:$C$1048575,$B33,Movimientos!$D$1:$D$1048575,$C33,Movimientos!$L$1:$L$1048575,A$2,Movimientos!$F$1:$F$1048575,"Ingreso")</f>
        <v>10000</v>
      </c>
      <c r="F33" s="52">
        <f>SUMIFS(Movimientos!$J$1:$J$1048575,Movimientos!$C$1:$C$1048575,$B33,Movimientos!$D$1:$D$1048575,$C33,Movimientos!$L$1:$L$1048575,A$2,Movimientos!$F$1:$F$1048575,"Egreso")</f>
        <v>10000</v>
      </c>
      <c r="G33" s="19">
        <f t="shared" si="0"/>
        <v>0</v>
      </c>
      <c r="H33" s="12">
        <f t="shared" si="3"/>
        <v>345</v>
      </c>
      <c r="I33" s="5">
        <f t="shared" si="4"/>
        <v>345</v>
      </c>
      <c r="J33" s="52">
        <f>SUMIFS(Movimientos!$J$1:$J$1048575,Movimientos!$C$1:$C$1048575,$B33,Movimientos!$D$1:$D$1048575,$C33,Movimientos!$L$1:$L$1048575,A$3,Movimientos!$F$1:$F$1048575,"Ingreso")</f>
        <v>9000</v>
      </c>
      <c r="K33" s="52">
        <f>SUMIFS(Movimientos!$J$1:$J$1048575,Movimientos!$C$1:$C$1048575,$B33,Movimientos!$D$1:$D$1048575,$C33,Movimientos!$L$1:$L$1048575,A$3,Movimientos!$F$1:$F$1048575,"Egreso")</f>
        <v>9000</v>
      </c>
      <c r="L33" s="7">
        <f t="shared" si="1"/>
        <v>0</v>
      </c>
      <c r="M33" s="12">
        <f t="shared" si="5"/>
        <v>345</v>
      </c>
      <c r="N33" s="5">
        <f t="shared" si="6"/>
        <v>345</v>
      </c>
      <c r="O33" s="52">
        <f>SUMIFS(Movimientos!$J$1:$J$1048575,Movimientos!$C$1:$C$1048575,$B33,Movimientos!$D$1:$D$1048575,$C33,Movimientos!$L$1:$L$1048575,A$4,Movimientos!$F$1:$F$1048575,"Ingreso")</f>
        <v>0</v>
      </c>
      <c r="P33" s="52">
        <f>SUMIFS(Movimientos!$J$1:$J$1048575,Movimientos!$C$1:$C$1048575,$B33,Movimientos!$D$1:$D$1048575,$C33,Movimientos!$L$1:$L$1048575,A$4,Movimientos!$F$1:$F$1048575,"Egreso")</f>
        <v>0</v>
      </c>
      <c r="Q33" s="7">
        <f t="shared" si="2"/>
        <v>0</v>
      </c>
      <c r="R33" s="12">
        <f t="shared" si="7"/>
        <v>345</v>
      </c>
    </row>
    <row r="34" spans="1:18" x14ac:dyDescent="0.3">
      <c r="A34" s="11"/>
      <c r="B34" s="11" t="s">
        <v>35</v>
      </c>
      <c r="C34" s="11" t="s">
        <v>126</v>
      </c>
      <c r="D34" s="20">
        <f>SUMIFS('Saldos Iniciales'!$D$2:$D$38,'Saldos Iniciales'!$A$2:$A$38,$B34,'Saldos Iniciales'!$B$2:$B$38,$C34)</f>
        <v>13656.26</v>
      </c>
      <c r="E34" s="52">
        <f>SUMIFS(Movimientos!$J$1:$J$1048575,Movimientos!$C$1:$C$1048575,$B34,Movimientos!$D$1:$D$1048575,$C34,Movimientos!$L$1:$L$1048575,A$2,Movimientos!$F$1:$F$1048575,"Ingreso")</f>
        <v>55000</v>
      </c>
      <c r="F34" s="52">
        <f>SUMIFS(Movimientos!$J$1:$J$1048575,Movimientos!$C$1:$C$1048575,$B34,Movimientos!$D$1:$D$1048575,$C34,Movimientos!$L$1:$L$1048575,A$2,Movimientos!$F$1:$F$1048575,"Egreso")</f>
        <v>59580.020000000004</v>
      </c>
      <c r="G34" s="19">
        <f t="shared" si="0"/>
        <v>-4580.0200000000041</v>
      </c>
      <c r="H34" s="12">
        <f t="shared" si="3"/>
        <v>9076.2399999999907</v>
      </c>
      <c r="I34" s="5">
        <f t="shared" si="4"/>
        <v>9076.2399999999907</v>
      </c>
      <c r="J34" s="52">
        <f>SUMIFS(Movimientos!$J$1:$J$1048575,Movimientos!$C$1:$C$1048575,$B34,Movimientos!$D$1:$D$1048575,$C34,Movimientos!$L$1:$L$1048575,A$3,Movimientos!$F$1:$F$1048575,"Ingreso")</f>
        <v>9000</v>
      </c>
      <c r="K34" s="52">
        <f>SUMIFS(Movimientos!$J$1:$J$1048575,Movimientos!$C$1:$C$1048575,$B34,Movimientos!$D$1:$D$1048575,$C34,Movimientos!$L$1:$L$1048575,A$3,Movimientos!$F$1:$F$1048575,"Egreso")</f>
        <v>16786.509999999998</v>
      </c>
      <c r="L34" s="7">
        <f t="shared" si="1"/>
        <v>-7786.5099999999984</v>
      </c>
      <c r="M34" s="12">
        <f t="shared" si="5"/>
        <v>1289.7299999999923</v>
      </c>
      <c r="N34" s="5">
        <f t="shared" si="6"/>
        <v>1289.7299999999923</v>
      </c>
      <c r="O34" s="52">
        <f>SUMIFS(Movimientos!$J$1:$J$1048575,Movimientos!$C$1:$C$1048575,$B34,Movimientos!$D$1:$D$1048575,$C34,Movimientos!$L$1:$L$1048575,A$4,Movimientos!$F$1:$F$1048575,"Ingreso")</f>
        <v>0</v>
      </c>
      <c r="P34" s="52">
        <f>SUMIFS(Movimientos!$J$1:$J$1048575,Movimientos!$C$1:$C$1048575,$B34,Movimientos!$D$1:$D$1048575,$C34,Movimientos!$L$1:$L$1048575,A$4,Movimientos!$F$1:$F$1048575,"Egreso")</f>
        <v>0</v>
      </c>
      <c r="Q34" s="7">
        <f t="shared" si="2"/>
        <v>0</v>
      </c>
      <c r="R34" s="12">
        <f t="shared" si="7"/>
        <v>1289.7299999999923</v>
      </c>
    </row>
    <row r="35" spans="1:18" x14ac:dyDescent="0.3">
      <c r="C35" s="44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2" sqref="C42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21" t="s">
        <v>151</v>
      </c>
      <c r="B1" s="22" t="s">
        <v>1</v>
      </c>
      <c r="C1" s="22" t="s">
        <v>17</v>
      </c>
      <c r="D1" s="22" t="s">
        <v>18</v>
      </c>
      <c r="E1" s="22" t="s">
        <v>19</v>
      </c>
      <c r="F1" s="22" t="s">
        <v>20</v>
      </c>
      <c r="G1" s="22" t="s">
        <v>21</v>
      </c>
      <c r="H1" s="22" t="s">
        <v>22</v>
      </c>
      <c r="I1" s="22" t="s">
        <v>23</v>
      </c>
      <c r="J1" s="22" t="s">
        <v>24</v>
      </c>
      <c r="K1" s="22" t="s">
        <v>25</v>
      </c>
      <c r="L1" s="22" t="s">
        <v>26</v>
      </c>
      <c r="M1" s="22" t="s">
        <v>27</v>
      </c>
      <c r="N1" s="22" t="s">
        <v>28</v>
      </c>
      <c r="O1" s="22" t="s">
        <v>29</v>
      </c>
      <c r="P1" s="22" t="s">
        <v>30</v>
      </c>
      <c r="Q1" s="22" t="s">
        <v>31</v>
      </c>
      <c r="R1" s="22" t="s">
        <v>32</v>
      </c>
      <c r="S1" s="22" t="s">
        <v>33</v>
      </c>
      <c r="T1" s="22" t="s">
        <v>34</v>
      </c>
      <c r="U1" s="22" t="s">
        <v>35</v>
      </c>
      <c r="V1" s="23" t="s">
        <v>152</v>
      </c>
    </row>
    <row r="2" spans="1:22" x14ac:dyDescent="0.3">
      <c r="A2" s="24">
        <v>1</v>
      </c>
      <c r="B2" s="25">
        <v>46143</v>
      </c>
      <c r="C2" s="26">
        <f>SUMIFS('Saldos Iniciales'!$D:$D,'Saldos Iniciales'!$A:$A,"CFT Group")+SUMIFS(Movimientos!$K$1:$K$1048575,Movimientos!$C$1:$C$1048575,"CFT Group",Movimientos!$B$1:$B$1048575,"&lt;="&amp;$B2)</f>
        <v>200763.43000000025</v>
      </c>
      <c r="D2" s="26">
        <f>SUMIFS('Saldos Iniciales'!$D:$D,'Saldos Iniciales'!$A:$A,"M1B")+SUMIFS(Movimientos!$K$1:$K$1048575,Movimientos!$C$1:$C$1048575,"M1B",Movimientos!$B$1:$B$1048575,"&lt;="&amp;$B2)</f>
        <v>51288.029999999948</v>
      </c>
      <c r="E2" s="26">
        <f>SUMIFS('Saldos Iniciales'!$D:$D,'Saldos Iniciales'!$A:$A,"Durand")+SUMIFS(Movimientos!$K$1:$K$1048575,Movimientos!$C$1:$C$1048575,"Durand",Movimientos!$B$1:$B$1048575,"&lt;="&amp;$B2)</f>
        <v>1669.89</v>
      </c>
      <c r="F2" s="26">
        <f>SUMIFS('Saldos Iniciales'!$D:$D,'Saldos Iniciales'!$A:$A,"A&amp;M Imports")+SUMIFS(Movimientos!$K$1:$K$1048575,Movimientos!$C$1:$C$1048575,"A&amp;M Imports",Movimientos!$B$1:$B$1048575,"&lt;="&amp;$B2)</f>
        <v>589990.30000000005</v>
      </c>
      <c r="G2" s="26">
        <f>SUMIFS('Saldos Iniciales'!$D:$D,'Saldos Iniciales'!$A:$A,"SSP Capital")+SUMIFS(Movimientos!$K$1:$K$1048575,Movimientos!$C$1:$C$1048575,"SSP Capital",Movimientos!$B$1:$B$1048575,"&lt;="&amp;$B2)</f>
        <v>990387.37999999931</v>
      </c>
      <c r="H2" s="26">
        <f>SUMIFS('Saldos Iniciales'!$D:$D,'Saldos Iniciales'!$A:$A,"Cross Family Trust")+SUMIFS(Movimientos!$K$1:$K$1048575,Movimientos!$C$1:$C$1048575,"Cross Family Trust",Movimientos!$B$1:$B$1048575,"&lt;="&amp;$B2)</f>
        <v>105224.49</v>
      </c>
      <c r="I2" s="26">
        <f>SUMIFS('Saldos Iniciales'!$D:$D,'Saldos Iniciales'!$A:$A,"Cross Security Trust")+SUMIFS(Movimientos!$K$1:$K$1048575,Movimientos!$C$1:$C$1048575,"Cross Security Trust",Movimientos!$B$1:$B$1048575,"&lt;="&amp;$B2)</f>
        <v>13088.589999999997</v>
      </c>
      <c r="J2" s="26">
        <f>SUMIFS('Saldos Iniciales'!$D:$D,'Saldos Iniciales'!$A:$A,"Electrama")+SUMIFS(Movimientos!$K$1:$K$1048575,Movimientos!$C$1:$C$1048575,"Electrama",Movimientos!$B$1:$B$1048575,"&lt;="&amp;$B2)</f>
        <v>808.82999999999993</v>
      </c>
      <c r="K2" s="26">
        <f>SUMIFS('Saldos Iniciales'!$D:$D,'Saldos Iniciales'!$A:$A,"Sacred Valley Capital")+SUMIFS(Movimientos!$K$1:$K$1048575,Movimientos!$C$1:$C$1048575,"Sacred Valley Capital",Movimientos!$B$1:$B$1048575,"&lt;="&amp;$B2)</f>
        <v>114.3</v>
      </c>
      <c r="L2" s="26">
        <f>SUMIFS('Saldos Iniciales'!$D:$D,'Saldos Iniciales'!$A:$A,"YWC Capital")+SUMIFS(Movimientos!$K$1:$K$1048575,Movimientos!$C$1:$C$1048575,"YWC Capital",Movimientos!$B$1:$B$1048575,"&lt;="&amp;$B2)</f>
        <v>2267.7200000000003</v>
      </c>
      <c r="M2" s="26">
        <f>SUMIFS('Saldos Iniciales'!$D:$D,'Saldos Iniciales'!$A:$A,"Soweto")+SUMIFS(Movimientos!$K$1:$K$1048575,Movimientos!$C$1:$C$1048575,"Soweto",Movimientos!$B$1:$B$1048575,"&lt;="&amp;$B2)</f>
        <v>3364.94</v>
      </c>
      <c r="N2" s="26">
        <f>SUMIFS('Saldos Iniciales'!$D:$D,'Saldos Iniciales'!$A:$A,"Green Stone Trust")+SUMIFS(Movimientos!$K$1:$K$1048575,Movimientos!$C$1:$C$1048575,"Green Stone Trust",Movimientos!$B$1:$B$1048575,"&lt;="&amp;$B2)</f>
        <v>1968.99</v>
      </c>
      <c r="O2" s="26">
        <f>SUMIFS('Saldos Iniciales'!$D:$D,'Saldos Iniciales'!$A:$A,"EC Auto")+SUMIFS(Movimientos!$K$1:$K$1048575,Movimientos!$C$1:$C$1048575,"EC Auto",Movimientos!$B$1:$B$1048575,"&lt;="&amp;$B2)</f>
        <v>901.34</v>
      </c>
      <c r="P2" s="26">
        <f>SUMIFS('Saldos Iniciales'!$D:$D,'Saldos Iniciales'!$A:$A,"Arbor Capital Properties")+SUMIFS(Movimientos!$K$1:$K$1048575,Movimientos!$C$1:$C$1048575,"Arbor Capital Properties",Movimientos!$B$1:$B$1048575,"&lt;="&amp;$B2)</f>
        <v>1444.08</v>
      </c>
      <c r="Q2" s="26">
        <f>SUMIFS('Saldos Iniciales'!$D:$D,'Saldos Iniciales'!$A:$A,"2515 Overbrook")+SUMIFS(Movimientos!$K$1:$K$1048575,Movimientos!$C$1:$C$1048575,"2515 Overbrook",Movimientos!$B$1:$B$1048575,"&lt;="&amp;$B2)</f>
        <v>23262.599999999962</v>
      </c>
      <c r="R2" s="26">
        <f>SUMIFS('Saldos Iniciales'!$D:$D,'Saldos Iniciales'!$A:$A,"112 Florida Ave")+SUMIFS(Movimientos!$K$1:$K$1048575,Movimientos!$C$1:$C$1048575,"112 Florida Ave",Movimientos!$B$1:$B$1048575,"&lt;="&amp;$B2)</f>
        <v>6853.9100000000017</v>
      </c>
      <c r="S2" s="26">
        <f>SUMIFS('Saldos Iniciales'!$D:$D,'Saldos Iniciales'!$A:$A,"3628 Thomas Ave")+SUMIFS(Movimientos!$K$1:$K$1048575,Movimientos!$C$1:$C$1048575,"3628 Thomas Ave",Movimientos!$B$1:$B$1048575,"&lt;="&amp;$B2)</f>
        <v>21338.39</v>
      </c>
      <c r="T2" s="26">
        <f>SUMIFS('Saldos Iniciales'!$D:$D,'Saldos Iniciales'!$A:$A,"Green Harbor Trust")+SUMIFS(Movimientos!$K$1:$K$1048575,Movimientos!$C$1:$C$1048575,"Green Harbor Trust",Movimientos!$B$1:$B$1048575,"&lt;="&amp;$B2)</f>
        <v>345</v>
      </c>
      <c r="U2" s="26">
        <f>SUMIFS('Saldos Iniciales'!$D:$D,'Saldos Iniciales'!$A:$A,"Go Blue")+SUMIFS(Movimientos!$K$1:$K$1048575,Movimientos!$C$1:$C$1048575,"Go Blue",Movimientos!$B$1:$B$1048575,"&lt;="&amp;$B2)</f>
        <v>13491.26</v>
      </c>
      <c r="V2" s="27">
        <f>SUM(C2:U2)</f>
        <v>2028573.4699999995</v>
      </c>
    </row>
    <row r="3" spans="1:22" hidden="1" outlineLevel="1" x14ac:dyDescent="0.3">
      <c r="A3" s="24">
        <f>+A2+1</f>
        <v>2</v>
      </c>
      <c r="B3" s="25">
        <v>46144</v>
      </c>
      <c r="C3" s="26">
        <f>SUMIFS('Saldos Iniciales'!$D:$D,'Saldos Iniciales'!$A:$A,"CFT Group")+SUMIFS(Movimientos!$K$1:$K$1048575,Movimientos!$C$1:$C$1048575,"CFT Group",Movimientos!$B$1:$B$1048575,"&lt;="&amp;$B3)</f>
        <v>200763.43000000025</v>
      </c>
      <c r="D3" s="26">
        <f>SUMIFS('Saldos Iniciales'!$D:$D,'Saldos Iniciales'!$A:$A,"M1B")+SUMIFS(Movimientos!$K$1:$K$1048575,Movimientos!$C$1:$C$1048575,"M1B",Movimientos!$B$1:$B$1048575,"&lt;="&amp;$B3)</f>
        <v>51288.029999999948</v>
      </c>
      <c r="E3" s="26">
        <f>SUMIFS('Saldos Iniciales'!$D:$D,'Saldos Iniciales'!$A:$A,"Durand")+SUMIFS(Movimientos!$K$1:$K$1048575,Movimientos!$C$1:$C$1048575,"Durand",Movimientos!$B$1:$B$1048575,"&lt;="&amp;$B3)</f>
        <v>1669.89</v>
      </c>
      <c r="F3" s="26">
        <f>SUMIFS('Saldos Iniciales'!$D:$D,'Saldos Iniciales'!$A:$A,"A&amp;M Imports")+SUMIFS(Movimientos!$K$1:$K$1048575,Movimientos!$C$1:$C$1048575,"A&amp;M Imports",Movimientos!$B$1:$B$1048575,"&lt;="&amp;$B3)</f>
        <v>589990.30000000005</v>
      </c>
      <c r="G3" s="26">
        <f>SUMIFS('Saldos Iniciales'!$D:$D,'Saldos Iniciales'!$A:$A,"SSP Capital")+SUMIFS(Movimientos!$K$1:$K$1048575,Movimientos!$C$1:$C$1048575,"SSP Capital",Movimientos!$B$1:$B$1048575,"&lt;="&amp;$B3)</f>
        <v>990387.37999999931</v>
      </c>
      <c r="H3" s="26">
        <f>SUMIFS('Saldos Iniciales'!$D:$D,'Saldos Iniciales'!$A:$A,"Cross Family Trust")+SUMIFS(Movimientos!$K$1:$K$1048575,Movimientos!$C$1:$C$1048575,"Cross Family Trust",Movimientos!$B$1:$B$1048575,"&lt;="&amp;$B3)</f>
        <v>105224.49</v>
      </c>
      <c r="I3" s="26">
        <f>SUMIFS('Saldos Iniciales'!$D:$D,'Saldos Iniciales'!$A:$A,"Cross Security Trust")+SUMIFS(Movimientos!$K$1:$K$1048575,Movimientos!$C$1:$C$1048575,"Cross Security Trust",Movimientos!$B$1:$B$1048575,"&lt;="&amp;$B3)</f>
        <v>13088.589999999997</v>
      </c>
      <c r="J3" s="26">
        <f>SUMIFS('Saldos Iniciales'!$D:$D,'Saldos Iniciales'!$A:$A,"Electrama")+SUMIFS(Movimientos!$K$1:$K$1048575,Movimientos!$C$1:$C$1048575,"Electrama",Movimientos!$B$1:$B$1048575,"&lt;="&amp;$B3)</f>
        <v>808.82999999999993</v>
      </c>
      <c r="K3" s="26">
        <f>SUMIFS('Saldos Iniciales'!$D:$D,'Saldos Iniciales'!$A:$A,"Sacred Valley Capital")+SUMIFS(Movimientos!$K$1:$K$1048575,Movimientos!$C$1:$C$1048575,"Sacred Valley Capital",Movimientos!$B$1:$B$1048575,"&lt;="&amp;$B3)</f>
        <v>114.3</v>
      </c>
      <c r="L3" s="26">
        <f>SUMIFS('Saldos Iniciales'!$D:$D,'Saldos Iniciales'!$A:$A,"YWC Capital")+SUMIFS(Movimientos!$K$1:$K$1048575,Movimientos!$C$1:$C$1048575,"YWC Capital",Movimientos!$B$1:$B$1048575,"&lt;="&amp;$B3)</f>
        <v>2267.7200000000003</v>
      </c>
      <c r="M3" s="26">
        <f>SUMIFS('Saldos Iniciales'!$D:$D,'Saldos Iniciales'!$A:$A,"Soweto")+SUMIFS(Movimientos!$K$1:$K$1048575,Movimientos!$C$1:$C$1048575,"Soweto",Movimientos!$B$1:$B$1048575,"&lt;="&amp;$B3)</f>
        <v>3364.94</v>
      </c>
      <c r="N3" s="26">
        <f>SUMIFS('Saldos Iniciales'!$D:$D,'Saldos Iniciales'!$A:$A,"Green Stone Trust")+SUMIFS(Movimientos!$K$1:$K$1048575,Movimientos!$C$1:$C$1048575,"Green Stone Trust",Movimientos!$B$1:$B$1048575,"&lt;="&amp;$B3)</f>
        <v>1968.99</v>
      </c>
      <c r="O3" s="26">
        <f>SUMIFS('Saldos Iniciales'!$D:$D,'Saldos Iniciales'!$A:$A,"EC Auto")+SUMIFS(Movimientos!$K$1:$K$1048575,Movimientos!$C$1:$C$1048575,"EC Auto",Movimientos!$B$1:$B$1048575,"&lt;="&amp;$B3)</f>
        <v>901.34</v>
      </c>
      <c r="P3" s="26">
        <f>SUMIFS('Saldos Iniciales'!$D:$D,'Saldos Iniciales'!$A:$A,"Arbor Capital Properties")+SUMIFS(Movimientos!$K$1:$K$1048575,Movimientos!$C$1:$C$1048575,"Arbor Capital Properties",Movimientos!$B$1:$B$1048575,"&lt;="&amp;$B3)</f>
        <v>1444.08</v>
      </c>
      <c r="Q3" s="26">
        <f>SUMIFS('Saldos Iniciales'!$D:$D,'Saldos Iniciales'!$A:$A,"2515 Overbrook")+SUMIFS(Movimientos!$K$1:$K$1048575,Movimientos!$C$1:$C$1048575,"2515 Overbrook",Movimientos!$B$1:$B$1048575,"&lt;="&amp;$B3)</f>
        <v>23262.599999999962</v>
      </c>
      <c r="R3" s="26">
        <f>SUMIFS('Saldos Iniciales'!$D:$D,'Saldos Iniciales'!$A:$A,"112 Florida Ave")+SUMIFS(Movimientos!$K$1:$K$1048575,Movimientos!$C$1:$C$1048575,"112 Florida Ave",Movimientos!$B$1:$B$1048575,"&lt;="&amp;$B3)</f>
        <v>6853.9100000000017</v>
      </c>
      <c r="S3" s="26">
        <f>SUMIFS('Saldos Iniciales'!$D:$D,'Saldos Iniciales'!$A:$A,"3628 Thomas Ave")+SUMIFS(Movimientos!$K$1:$K$1048575,Movimientos!$C$1:$C$1048575,"3628 Thomas Ave",Movimientos!$B$1:$B$1048575,"&lt;="&amp;$B3)</f>
        <v>21338.39</v>
      </c>
      <c r="T3" s="26">
        <f>SUMIFS('Saldos Iniciales'!$D:$D,'Saldos Iniciales'!$A:$A,"Green Harbor Trust")+SUMIFS(Movimientos!$K$1:$K$1048575,Movimientos!$C$1:$C$1048575,"Green Harbor Trust",Movimientos!$B$1:$B$1048575,"&lt;="&amp;$B3)</f>
        <v>345</v>
      </c>
      <c r="U3" s="26">
        <f>SUMIFS('Saldos Iniciales'!$D:$D,'Saldos Iniciales'!$A:$A,"Go Blue")+SUMIFS(Movimientos!$K$1:$K$1048575,Movimientos!$C$1:$C$1048575,"Go Blue",Movimientos!$B$1:$B$1048575,"&lt;="&amp;$B3)</f>
        <v>13491.26</v>
      </c>
      <c r="V3" s="27">
        <f t="shared" ref="V3:V39" si="0">SUM(C3:U3)</f>
        <v>2028573.4699999995</v>
      </c>
    </row>
    <row r="4" spans="1:22" hidden="1" outlineLevel="1" x14ac:dyDescent="0.3">
      <c r="A4" s="24">
        <f t="shared" ref="A4:A62" si="1">+A3+1</f>
        <v>3</v>
      </c>
      <c r="B4" s="25">
        <v>46145</v>
      </c>
      <c r="C4" s="26">
        <f>SUMIFS('Saldos Iniciales'!$D:$D,'Saldos Iniciales'!$A:$A,"CFT Group")+SUMIFS(Movimientos!$K$1:$K$1048575,Movimientos!$C$1:$C$1048575,"CFT Group",Movimientos!$B$1:$B$1048575,"&lt;="&amp;$B4)</f>
        <v>200763.43000000025</v>
      </c>
      <c r="D4" s="26">
        <f>SUMIFS('Saldos Iniciales'!$D:$D,'Saldos Iniciales'!$A:$A,"M1B")+SUMIFS(Movimientos!$K$1:$K$1048575,Movimientos!$C$1:$C$1048575,"M1B",Movimientos!$B$1:$B$1048575,"&lt;="&amp;$B4)</f>
        <v>51288.029999999948</v>
      </c>
      <c r="E4" s="26">
        <f>SUMIFS('Saldos Iniciales'!$D:$D,'Saldos Iniciales'!$A:$A,"Durand")+SUMIFS(Movimientos!$K$1:$K$1048575,Movimientos!$C$1:$C$1048575,"Durand",Movimientos!$B$1:$B$1048575,"&lt;="&amp;$B4)</f>
        <v>1669.89</v>
      </c>
      <c r="F4" s="26">
        <f>SUMIFS('Saldos Iniciales'!$D:$D,'Saldos Iniciales'!$A:$A,"A&amp;M Imports")+SUMIFS(Movimientos!$K$1:$K$1048575,Movimientos!$C$1:$C$1048575,"A&amp;M Imports",Movimientos!$B$1:$B$1048575,"&lt;="&amp;$B4)</f>
        <v>589990.30000000005</v>
      </c>
      <c r="G4" s="26">
        <f>SUMIFS('Saldos Iniciales'!$D:$D,'Saldos Iniciales'!$A:$A,"SSP Capital")+SUMIFS(Movimientos!$K$1:$K$1048575,Movimientos!$C$1:$C$1048575,"SSP Capital",Movimientos!$B$1:$B$1048575,"&lt;="&amp;$B4)</f>
        <v>990387.37999999931</v>
      </c>
      <c r="H4" s="26">
        <f>SUMIFS('Saldos Iniciales'!$D:$D,'Saldos Iniciales'!$A:$A,"Cross Family Trust")+SUMIFS(Movimientos!$K$1:$K$1048575,Movimientos!$C$1:$C$1048575,"Cross Family Trust",Movimientos!$B$1:$B$1048575,"&lt;="&amp;$B4)</f>
        <v>105224.49</v>
      </c>
      <c r="I4" s="26">
        <f>SUMIFS('Saldos Iniciales'!$D:$D,'Saldos Iniciales'!$A:$A,"Cross Security Trust")+SUMIFS(Movimientos!$K$1:$K$1048575,Movimientos!$C$1:$C$1048575,"Cross Security Trust",Movimientos!$B$1:$B$1048575,"&lt;="&amp;$B4)</f>
        <v>13088.589999999997</v>
      </c>
      <c r="J4" s="26">
        <f>SUMIFS('Saldos Iniciales'!$D:$D,'Saldos Iniciales'!$A:$A,"Electrama")+SUMIFS(Movimientos!$K$1:$K$1048575,Movimientos!$C$1:$C$1048575,"Electrama",Movimientos!$B$1:$B$1048575,"&lt;="&amp;$B4)</f>
        <v>808.82999999999993</v>
      </c>
      <c r="K4" s="26">
        <f>SUMIFS('Saldos Iniciales'!$D:$D,'Saldos Iniciales'!$A:$A,"Sacred Valley Capital")+SUMIFS(Movimientos!$K$1:$K$1048575,Movimientos!$C$1:$C$1048575,"Sacred Valley Capital",Movimientos!$B$1:$B$1048575,"&lt;="&amp;$B4)</f>
        <v>114.3</v>
      </c>
      <c r="L4" s="26">
        <f>SUMIFS('Saldos Iniciales'!$D:$D,'Saldos Iniciales'!$A:$A,"YWC Capital")+SUMIFS(Movimientos!$K$1:$K$1048575,Movimientos!$C$1:$C$1048575,"YWC Capital",Movimientos!$B$1:$B$1048575,"&lt;="&amp;$B4)</f>
        <v>2267.7200000000003</v>
      </c>
      <c r="M4" s="26">
        <f>SUMIFS('Saldos Iniciales'!$D:$D,'Saldos Iniciales'!$A:$A,"Soweto")+SUMIFS(Movimientos!$K$1:$K$1048575,Movimientos!$C$1:$C$1048575,"Soweto",Movimientos!$B$1:$B$1048575,"&lt;="&amp;$B4)</f>
        <v>3364.94</v>
      </c>
      <c r="N4" s="26">
        <f>SUMIFS('Saldos Iniciales'!$D:$D,'Saldos Iniciales'!$A:$A,"Green Stone Trust")+SUMIFS(Movimientos!$K$1:$K$1048575,Movimientos!$C$1:$C$1048575,"Green Stone Trust",Movimientos!$B$1:$B$1048575,"&lt;="&amp;$B4)</f>
        <v>1968.99</v>
      </c>
      <c r="O4" s="26">
        <f>SUMIFS('Saldos Iniciales'!$D:$D,'Saldos Iniciales'!$A:$A,"EC Auto")+SUMIFS(Movimientos!$K$1:$K$1048575,Movimientos!$C$1:$C$1048575,"EC Auto",Movimientos!$B$1:$B$1048575,"&lt;="&amp;$B4)</f>
        <v>901.34</v>
      </c>
      <c r="P4" s="26">
        <f>SUMIFS('Saldos Iniciales'!$D:$D,'Saldos Iniciales'!$A:$A,"Arbor Capital Properties")+SUMIFS(Movimientos!$K$1:$K$1048575,Movimientos!$C$1:$C$1048575,"Arbor Capital Properties",Movimientos!$B$1:$B$1048575,"&lt;="&amp;$B4)</f>
        <v>1444.08</v>
      </c>
      <c r="Q4" s="26">
        <f>SUMIFS('Saldos Iniciales'!$D:$D,'Saldos Iniciales'!$A:$A,"2515 Overbrook")+SUMIFS(Movimientos!$K$1:$K$1048575,Movimientos!$C$1:$C$1048575,"2515 Overbrook",Movimientos!$B$1:$B$1048575,"&lt;="&amp;$B4)</f>
        <v>23262.599999999962</v>
      </c>
      <c r="R4" s="26">
        <f>SUMIFS('Saldos Iniciales'!$D:$D,'Saldos Iniciales'!$A:$A,"112 Florida Ave")+SUMIFS(Movimientos!$K$1:$K$1048575,Movimientos!$C$1:$C$1048575,"112 Florida Ave",Movimientos!$B$1:$B$1048575,"&lt;="&amp;$B4)</f>
        <v>6853.9100000000017</v>
      </c>
      <c r="S4" s="26">
        <f>SUMIFS('Saldos Iniciales'!$D:$D,'Saldos Iniciales'!$A:$A,"3628 Thomas Ave")+SUMIFS(Movimientos!$K$1:$K$1048575,Movimientos!$C$1:$C$1048575,"3628 Thomas Ave",Movimientos!$B$1:$B$1048575,"&lt;="&amp;$B4)</f>
        <v>21338.39</v>
      </c>
      <c r="T4" s="26">
        <f>SUMIFS('Saldos Iniciales'!$D:$D,'Saldos Iniciales'!$A:$A,"Green Harbor Trust")+SUMIFS(Movimientos!$K$1:$K$1048575,Movimientos!$C$1:$C$1048575,"Green Harbor Trust",Movimientos!$B$1:$B$1048575,"&lt;="&amp;$B4)</f>
        <v>345</v>
      </c>
      <c r="U4" s="26">
        <f>SUMIFS('Saldos Iniciales'!$D:$D,'Saldos Iniciales'!$A:$A,"Go Blue")+SUMIFS(Movimientos!$K$1:$K$1048575,Movimientos!$C$1:$C$1048575,"Go Blue",Movimientos!$B$1:$B$1048575,"&lt;="&amp;$B4)</f>
        <v>13491.26</v>
      </c>
      <c r="V4" s="27">
        <f t="shared" si="0"/>
        <v>2028573.4699999995</v>
      </c>
    </row>
    <row r="5" spans="1:22" hidden="1" outlineLevel="1" x14ac:dyDescent="0.3">
      <c r="A5" s="24">
        <f t="shared" si="1"/>
        <v>4</v>
      </c>
      <c r="B5" s="25">
        <v>46146</v>
      </c>
      <c r="C5" s="26">
        <f>SUMIFS('Saldos Iniciales'!$D:$D,'Saldos Iniciales'!$A:$A,"CFT Group")+SUMIFS(Movimientos!$K$1:$K$1048575,Movimientos!$C$1:$C$1048575,"CFT Group",Movimientos!$B$1:$B$1048575,"&lt;="&amp;$B5)</f>
        <v>200763.43000000025</v>
      </c>
      <c r="D5" s="26">
        <f>SUMIFS('Saldos Iniciales'!$D:$D,'Saldos Iniciales'!$A:$A,"M1B")+SUMIFS(Movimientos!$K$1:$K$1048575,Movimientos!$C$1:$C$1048575,"M1B",Movimientos!$B$1:$B$1048575,"&lt;="&amp;$B5)</f>
        <v>51288.029999999948</v>
      </c>
      <c r="E5" s="26">
        <f>SUMIFS('Saldos Iniciales'!$D:$D,'Saldos Iniciales'!$A:$A,"Durand")+SUMIFS(Movimientos!$K$1:$K$1048575,Movimientos!$C$1:$C$1048575,"Durand",Movimientos!$B$1:$B$1048575,"&lt;="&amp;$B5)</f>
        <v>1669.89</v>
      </c>
      <c r="F5" s="26">
        <f>SUMIFS('Saldos Iniciales'!$D:$D,'Saldos Iniciales'!$A:$A,"A&amp;M Imports")+SUMIFS(Movimientos!$K$1:$K$1048575,Movimientos!$C$1:$C$1048575,"A&amp;M Imports",Movimientos!$B$1:$B$1048575,"&lt;="&amp;$B5)</f>
        <v>589990.30000000005</v>
      </c>
      <c r="G5" s="26">
        <f>SUMIFS('Saldos Iniciales'!$D:$D,'Saldos Iniciales'!$A:$A,"SSP Capital")+SUMIFS(Movimientos!$K$1:$K$1048575,Movimientos!$C$1:$C$1048575,"SSP Capital",Movimientos!$B$1:$B$1048575,"&lt;="&amp;$B5)</f>
        <v>1790387.3799999994</v>
      </c>
      <c r="H5" s="26">
        <f>SUMIFS('Saldos Iniciales'!$D:$D,'Saldos Iniciales'!$A:$A,"Cross Family Trust")+SUMIFS(Movimientos!$K$1:$K$1048575,Movimientos!$C$1:$C$1048575,"Cross Family Trust",Movimientos!$B$1:$B$1048575,"&lt;="&amp;$B5)</f>
        <v>99224.49</v>
      </c>
      <c r="I5" s="26">
        <f>SUMIFS('Saldos Iniciales'!$D:$D,'Saldos Iniciales'!$A:$A,"Cross Security Trust")+SUMIFS(Movimientos!$K$1:$K$1048575,Movimientos!$C$1:$C$1048575,"Cross Security Trust",Movimientos!$B$1:$B$1048575,"&lt;="&amp;$B5)</f>
        <v>13088.589999999997</v>
      </c>
      <c r="J5" s="26">
        <f>SUMIFS('Saldos Iniciales'!$D:$D,'Saldos Iniciales'!$A:$A,"Electrama")+SUMIFS(Movimientos!$K$1:$K$1048575,Movimientos!$C$1:$C$1048575,"Electrama",Movimientos!$B$1:$B$1048575,"&lt;="&amp;$B5)</f>
        <v>808.82999999999993</v>
      </c>
      <c r="K5" s="26">
        <f>SUMIFS('Saldos Iniciales'!$D:$D,'Saldos Iniciales'!$A:$A,"Sacred Valley Capital")+SUMIFS(Movimientos!$K$1:$K$1048575,Movimientos!$C$1:$C$1048575,"Sacred Valley Capital",Movimientos!$B$1:$B$1048575,"&lt;="&amp;$B5)</f>
        <v>114.3</v>
      </c>
      <c r="L5" s="26">
        <f>SUMIFS('Saldos Iniciales'!$D:$D,'Saldos Iniciales'!$A:$A,"YWC Capital")+SUMIFS(Movimientos!$K$1:$K$1048575,Movimientos!$C$1:$C$1048575,"YWC Capital",Movimientos!$B$1:$B$1048575,"&lt;="&amp;$B5)</f>
        <v>2267.7200000000003</v>
      </c>
      <c r="M5" s="26">
        <f>SUMIFS('Saldos Iniciales'!$D:$D,'Saldos Iniciales'!$A:$A,"Soweto")+SUMIFS(Movimientos!$K$1:$K$1048575,Movimientos!$C$1:$C$1048575,"Soweto",Movimientos!$B$1:$B$1048575,"&lt;="&amp;$B5)</f>
        <v>3364.94</v>
      </c>
      <c r="N5" s="26">
        <f>SUMIFS('Saldos Iniciales'!$D:$D,'Saldos Iniciales'!$A:$A,"Green Stone Trust")+SUMIFS(Movimientos!$K$1:$K$1048575,Movimientos!$C$1:$C$1048575,"Green Stone Trust",Movimientos!$B$1:$B$1048575,"&lt;="&amp;$B5)</f>
        <v>1968.99</v>
      </c>
      <c r="O5" s="26">
        <f>SUMIFS('Saldos Iniciales'!$D:$D,'Saldos Iniciales'!$A:$A,"EC Auto")+SUMIFS(Movimientos!$K$1:$K$1048575,Movimientos!$C$1:$C$1048575,"EC Auto",Movimientos!$B$1:$B$1048575,"&lt;="&amp;$B5)</f>
        <v>901.34</v>
      </c>
      <c r="P5" s="26">
        <f>SUMIFS('Saldos Iniciales'!$D:$D,'Saldos Iniciales'!$A:$A,"Arbor Capital Properties")+SUMIFS(Movimientos!$K$1:$K$1048575,Movimientos!$C$1:$C$1048575,"Arbor Capital Properties",Movimientos!$B$1:$B$1048575,"&lt;="&amp;$B5)</f>
        <v>1444.08</v>
      </c>
      <c r="Q5" s="26">
        <f>SUMIFS('Saldos Iniciales'!$D:$D,'Saldos Iniciales'!$A:$A,"2515 Overbrook")+SUMIFS(Movimientos!$K$1:$K$1048575,Movimientos!$C$1:$C$1048575,"2515 Overbrook",Movimientos!$B$1:$B$1048575,"&lt;="&amp;$B5)</f>
        <v>23247.599999999962</v>
      </c>
      <c r="R5" s="26">
        <f>SUMIFS('Saldos Iniciales'!$D:$D,'Saldos Iniciales'!$A:$A,"112 Florida Ave")+SUMIFS(Movimientos!$K$1:$K$1048575,Movimientos!$C$1:$C$1048575,"112 Florida Ave",Movimientos!$B$1:$B$1048575,"&lt;="&amp;$B5)</f>
        <v>6853.9100000000017</v>
      </c>
      <c r="S5" s="26">
        <f>SUMIFS('Saldos Iniciales'!$D:$D,'Saldos Iniciales'!$A:$A,"3628 Thomas Ave")+SUMIFS(Movimientos!$K$1:$K$1048575,Movimientos!$C$1:$C$1048575,"3628 Thomas Ave",Movimientos!$B$1:$B$1048575,"&lt;="&amp;$B5)</f>
        <v>21338.39</v>
      </c>
      <c r="T5" s="26">
        <f>SUMIFS('Saldos Iniciales'!$D:$D,'Saldos Iniciales'!$A:$A,"Green Harbor Trust")+SUMIFS(Movimientos!$K$1:$K$1048575,Movimientos!$C$1:$C$1048575,"Green Harbor Trust",Movimientos!$B$1:$B$1048575,"&lt;="&amp;$B5)</f>
        <v>345</v>
      </c>
      <c r="U5" s="26">
        <f>SUMIFS('Saldos Iniciales'!$D:$D,'Saldos Iniciales'!$A:$A,"Go Blue")+SUMIFS(Movimientos!$K$1:$K$1048575,Movimientos!$C$1:$C$1048575,"Go Blue",Movimientos!$B$1:$B$1048575,"&lt;="&amp;$B5)</f>
        <v>8782.25</v>
      </c>
      <c r="V5" s="27">
        <f t="shared" si="0"/>
        <v>2817849.4600000004</v>
      </c>
    </row>
    <row r="6" spans="1:22" hidden="1" outlineLevel="1" x14ac:dyDescent="0.3">
      <c r="A6" s="24">
        <f t="shared" si="1"/>
        <v>5</v>
      </c>
      <c r="B6" s="25">
        <v>46147</v>
      </c>
      <c r="C6" s="26">
        <f>SUMIFS('Saldos Iniciales'!$D:$D,'Saldos Iniciales'!$A:$A,"CFT Group")+SUMIFS(Movimientos!$K$1:$K$1048575,Movimientos!$C$1:$C$1048575,"CFT Group",Movimientos!$B$1:$B$1048575,"&lt;="&amp;$B6)</f>
        <v>197763.43000000025</v>
      </c>
      <c r="D6" s="26">
        <f>SUMIFS('Saldos Iniciales'!$D:$D,'Saldos Iniciales'!$A:$A,"M1B")+SUMIFS(Movimientos!$K$1:$K$1048575,Movimientos!$C$1:$C$1048575,"M1B",Movimientos!$B$1:$B$1048575,"&lt;="&amp;$B6)</f>
        <v>51288.029999999948</v>
      </c>
      <c r="E6" s="26">
        <f>SUMIFS('Saldos Iniciales'!$D:$D,'Saldos Iniciales'!$A:$A,"Durand")+SUMIFS(Movimientos!$K$1:$K$1048575,Movimientos!$C$1:$C$1048575,"Durand",Movimientos!$B$1:$B$1048575,"&lt;="&amp;$B6)</f>
        <v>1669.89</v>
      </c>
      <c r="F6" s="26">
        <f>SUMIFS('Saldos Iniciales'!$D:$D,'Saldos Iniciales'!$A:$A,"A&amp;M Imports")+SUMIFS(Movimientos!$K$1:$K$1048575,Movimientos!$C$1:$C$1048575,"A&amp;M Imports",Movimientos!$B$1:$B$1048575,"&lt;="&amp;$B6)</f>
        <v>989990.29999999993</v>
      </c>
      <c r="G6" s="26">
        <f>SUMIFS('Saldos Iniciales'!$D:$D,'Saldos Iniciales'!$A:$A,"SSP Capital")+SUMIFS(Movimientos!$K$1:$K$1048575,Movimientos!$C$1:$C$1048575,"SSP Capital",Movimientos!$B$1:$B$1048575,"&lt;="&amp;$B6)</f>
        <v>1088892.0899999994</v>
      </c>
      <c r="H6" s="26">
        <f>SUMIFS('Saldos Iniciales'!$D:$D,'Saldos Iniciales'!$A:$A,"Cross Family Trust")+SUMIFS(Movimientos!$K$1:$K$1048575,Movimientos!$C$1:$C$1048575,"Cross Family Trust",Movimientos!$B$1:$B$1048575,"&lt;="&amp;$B6)</f>
        <v>84224.49</v>
      </c>
      <c r="I6" s="26">
        <f>SUMIFS('Saldos Iniciales'!$D:$D,'Saldos Iniciales'!$A:$A,"Cross Security Trust")+SUMIFS(Movimientos!$K$1:$K$1048575,Movimientos!$C$1:$C$1048575,"Cross Security Trust",Movimientos!$B$1:$B$1048575,"&lt;="&amp;$B6)</f>
        <v>813088.59</v>
      </c>
      <c r="J6" s="26">
        <f>SUMIFS('Saldos Iniciales'!$D:$D,'Saldos Iniciales'!$A:$A,"Electrama")+SUMIFS(Movimientos!$K$1:$K$1048575,Movimientos!$C$1:$C$1048575,"Electrama",Movimientos!$B$1:$B$1048575,"&lt;="&amp;$B6)</f>
        <v>3768.83</v>
      </c>
      <c r="K6" s="26">
        <f>SUMIFS('Saldos Iniciales'!$D:$D,'Saldos Iniciales'!$A:$A,"Sacred Valley Capital")+SUMIFS(Movimientos!$K$1:$K$1048575,Movimientos!$C$1:$C$1048575,"Sacred Valley Capital",Movimientos!$B$1:$B$1048575,"&lt;="&amp;$B6)</f>
        <v>114.3</v>
      </c>
      <c r="L6" s="26">
        <f>SUMIFS('Saldos Iniciales'!$D:$D,'Saldos Iniciales'!$A:$A,"YWC Capital")+SUMIFS(Movimientos!$K$1:$K$1048575,Movimientos!$C$1:$C$1048575,"YWC Capital",Movimientos!$B$1:$B$1048575,"&lt;="&amp;$B6)</f>
        <v>2267.7200000000003</v>
      </c>
      <c r="M6" s="26">
        <f>SUMIFS('Saldos Iniciales'!$D:$D,'Saldos Iniciales'!$A:$A,"Soweto")+SUMIFS(Movimientos!$K$1:$K$1048575,Movimientos!$C$1:$C$1048575,"Soweto",Movimientos!$B$1:$B$1048575,"&lt;="&amp;$B6)</f>
        <v>3364.94</v>
      </c>
      <c r="N6" s="26">
        <f>SUMIFS('Saldos Iniciales'!$D:$D,'Saldos Iniciales'!$A:$A,"Green Stone Trust")+SUMIFS(Movimientos!$K$1:$K$1048575,Movimientos!$C$1:$C$1048575,"Green Stone Trust",Movimientos!$B$1:$B$1048575,"&lt;="&amp;$B6)</f>
        <v>1968.99</v>
      </c>
      <c r="O6" s="26">
        <f>SUMIFS('Saldos Iniciales'!$D:$D,'Saldos Iniciales'!$A:$A,"EC Auto")+SUMIFS(Movimientos!$K$1:$K$1048575,Movimientos!$C$1:$C$1048575,"EC Auto",Movimientos!$B$1:$B$1048575,"&lt;="&amp;$B6)</f>
        <v>901.34</v>
      </c>
      <c r="P6" s="26">
        <f>SUMIFS('Saldos Iniciales'!$D:$D,'Saldos Iniciales'!$A:$A,"Arbor Capital Properties")+SUMIFS(Movimientos!$K$1:$K$1048575,Movimientos!$C$1:$C$1048575,"Arbor Capital Properties",Movimientos!$B$1:$B$1048575,"&lt;="&amp;$B6)</f>
        <v>1444.08</v>
      </c>
      <c r="Q6" s="26">
        <f>SUMIFS('Saldos Iniciales'!$D:$D,'Saldos Iniciales'!$A:$A,"2515 Overbrook")+SUMIFS(Movimientos!$K$1:$K$1048575,Movimientos!$C$1:$C$1048575,"2515 Overbrook",Movimientos!$B$1:$B$1048575,"&lt;="&amp;$B6)</f>
        <v>23247.599999999962</v>
      </c>
      <c r="R6" s="26">
        <f>SUMIFS('Saldos Iniciales'!$D:$D,'Saldos Iniciales'!$A:$A,"112 Florida Ave")+SUMIFS(Movimientos!$K$1:$K$1048575,Movimientos!$C$1:$C$1048575,"112 Florida Ave",Movimientos!$B$1:$B$1048575,"&lt;="&amp;$B6)</f>
        <v>6853.9100000000017</v>
      </c>
      <c r="S6" s="26">
        <f>SUMIFS('Saldos Iniciales'!$D:$D,'Saldos Iniciales'!$A:$A,"3628 Thomas Ave")+SUMIFS(Movimientos!$K$1:$K$1048575,Movimientos!$C$1:$C$1048575,"3628 Thomas Ave",Movimientos!$B$1:$B$1048575,"&lt;="&amp;$B6)</f>
        <v>21338.39</v>
      </c>
      <c r="T6" s="26">
        <f>SUMIFS('Saldos Iniciales'!$D:$D,'Saldos Iniciales'!$A:$A,"Green Harbor Trust")+SUMIFS(Movimientos!$K$1:$K$1048575,Movimientos!$C$1:$C$1048575,"Green Harbor Trust",Movimientos!$B$1:$B$1048575,"&lt;="&amp;$B6)</f>
        <v>345</v>
      </c>
      <c r="U6" s="26">
        <f>SUMIFS('Saldos Iniciales'!$D:$D,'Saldos Iniciales'!$A:$A,"Go Blue")+SUMIFS(Movimientos!$K$1:$K$1048575,Movimientos!$C$1:$C$1048575,"Go Blue",Movimientos!$B$1:$B$1048575,"&lt;="&amp;$B6)</f>
        <v>8782.25</v>
      </c>
      <c r="V6" s="27">
        <f t="shared" si="0"/>
        <v>3301314.17</v>
      </c>
    </row>
    <row r="7" spans="1:22" hidden="1" outlineLevel="1" x14ac:dyDescent="0.3">
      <c r="A7" s="24">
        <f t="shared" si="1"/>
        <v>6</v>
      </c>
      <c r="B7" s="25">
        <v>46148</v>
      </c>
      <c r="C7" s="26">
        <f>SUMIFS('Saldos Iniciales'!$D:$D,'Saldos Iniciales'!$A:$A,"CFT Group")+SUMIFS(Movimientos!$K$1:$K$1048575,Movimientos!$C$1:$C$1048575,"CFT Group",Movimientos!$B$1:$B$1048575,"&lt;="&amp;$B7)</f>
        <v>197763.43000000025</v>
      </c>
      <c r="D7" s="26">
        <f>SUMIFS('Saldos Iniciales'!$D:$D,'Saldos Iniciales'!$A:$A,"M1B")+SUMIFS(Movimientos!$K$1:$K$1048575,Movimientos!$C$1:$C$1048575,"M1B",Movimientos!$B$1:$B$1048575,"&lt;="&amp;$B7)</f>
        <v>626288.02999999991</v>
      </c>
      <c r="E7" s="26">
        <f>SUMIFS('Saldos Iniciales'!$D:$D,'Saldos Iniciales'!$A:$A,"Durand")+SUMIFS(Movimientos!$K$1:$K$1048575,Movimientos!$C$1:$C$1048575,"Durand",Movimientos!$B$1:$B$1048575,"&lt;="&amp;$B7)</f>
        <v>1669.89</v>
      </c>
      <c r="F7" s="26">
        <f>SUMIFS('Saldos Iniciales'!$D:$D,'Saldos Iniciales'!$A:$A,"A&amp;M Imports")+SUMIFS(Movimientos!$K$1:$K$1048575,Movimientos!$C$1:$C$1048575,"A&amp;M Imports",Movimientos!$B$1:$B$1048575,"&lt;="&amp;$B7)</f>
        <v>989990.29999999993</v>
      </c>
      <c r="G7" s="26">
        <f>SUMIFS('Saldos Iniciales'!$D:$D,'Saldos Iniciales'!$A:$A,"SSP Capital")+SUMIFS(Movimientos!$K$1:$K$1048575,Movimientos!$C$1:$C$1048575,"SSP Capital",Movimientos!$B$1:$B$1048575,"&lt;="&amp;$B7)</f>
        <v>961212.30999999924</v>
      </c>
      <c r="H7" s="26">
        <f>SUMIFS('Saldos Iniciales'!$D:$D,'Saldos Iniciales'!$A:$A,"Cross Family Trust")+SUMIFS(Movimientos!$K$1:$K$1048575,Movimientos!$C$1:$C$1048575,"Cross Family Trust",Movimientos!$B$1:$B$1048575,"&lt;="&amp;$B7)</f>
        <v>84224.49</v>
      </c>
      <c r="I7" s="26">
        <f>SUMIFS('Saldos Iniciales'!$D:$D,'Saldos Iniciales'!$A:$A,"Cross Security Trust")+SUMIFS(Movimientos!$K$1:$K$1048575,Movimientos!$C$1:$C$1048575,"Cross Security Trust",Movimientos!$B$1:$B$1048575,"&lt;="&amp;$B7)</f>
        <v>813088.59</v>
      </c>
      <c r="J7" s="26">
        <f>SUMIFS('Saldos Iniciales'!$D:$D,'Saldos Iniciales'!$A:$A,"Electrama")+SUMIFS(Movimientos!$K$1:$K$1048575,Movimientos!$C$1:$C$1048575,"Electrama",Movimientos!$B$1:$B$1048575,"&lt;="&amp;$B7)</f>
        <v>3768.83</v>
      </c>
      <c r="K7" s="26">
        <f>SUMIFS('Saldos Iniciales'!$D:$D,'Saldos Iniciales'!$A:$A,"Sacred Valley Capital")+SUMIFS(Movimientos!$K$1:$K$1048575,Movimientos!$C$1:$C$1048575,"Sacred Valley Capital",Movimientos!$B$1:$B$1048575,"&lt;="&amp;$B7)</f>
        <v>114.3</v>
      </c>
      <c r="L7" s="26">
        <f>SUMIFS('Saldos Iniciales'!$D:$D,'Saldos Iniciales'!$A:$A,"YWC Capital")+SUMIFS(Movimientos!$K$1:$K$1048575,Movimientos!$C$1:$C$1048575,"YWC Capital",Movimientos!$B$1:$B$1048575,"&lt;="&amp;$B7)</f>
        <v>2267.7200000000003</v>
      </c>
      <c r="M7" s="26">
        <f>SUMIFS('Saldos Iniciales'!$D:$D,'Saldos Iniciales'!$A:$A,"Soweto")+SUMIFS(Movimientos!$K$1:$K$1048575,Movimientos!$C$1:$C$1048575,"Soweto",Movimientos!$B$1:$B$1048575,"&lt;="&amp;$B7)</f>
        <v>3364.94</v>
      </c>
      <c r="N7" s="26">
        <f>SUMIFS('Saldos Iniciales'!$D:$D,'Saldos Iniciales'!$A:$A,"Green Stone Trust")+SUMIFS(Movimientos!$K$1:$K$1048575,Movimientos!$C$1:$C$1048575,"Green Stone Trust",Movimientos!$B$1:$B$1048575,"&lt;="&amp;$B7)</f>
        <v>1968.99</v>
      </c>
      <c r="O7" s="26">
        <f>SUMIFS('Saldos Iniciales'!$D:$D,'Saldos Iniciales'!$A:$A,"EC Auto")+SUMIFS(Movimientos!$K$1:$K$1048575,Movimientos!$C$1:$C$1048575,"EC Auto",Movimientos!$B$1:$B$1048575,"&lt;="&amp;$B7)</f>
        <v>901.34</v>
      </c>
      <c r="P7" s="26">
        <f>SUMIFS('Saldos Iniciales'!$D:$D,'Saldos Iniciales'!$A:$A,"Arbor Capital Properties")+SUMIFS(Movimientos!$K$1:$K$1048575,Movimientos!$C$1:$C$1048575,"Arbor Capital Properties",Movimientos!$B$1:$B$1048575,"&lt;="&amp;$B7)</f>
        <v>1444.08</v>
      </c>
      <c r="Q7" s="26">
        <f>SUMIFS('Saldos Iniciales'!$D:$D,'Saldos Iniciales'!$A:$A,"2515 Overbrook")+SUMIFS(Movimientos!$K$1:$K$1048575,Movimientos!$C$1:$C$1048575,"2515 Overbrook",Movimientos!$B$1:$B$1048575,"&lt;="&amp;$B7)</f>
        <v>23247.599999999962</v>
      </c>
      <c r="R7" s="26">
        <f>SUMIFS('Saldos Iniciales'!$D:$D,'Saldos Iniciales'!$A:$A,"112 Florida Ave")+SUMIFS(Movimientos!$K$1:$K$1048575,Movimientos!$C$1:$C$1048575,"112 Florida Ave",Movimientos!$B$1:$B$1048575,"&lt;="&amp;$B7)</f>
        <v>5135.0600000000013</v>
      </c>
      <c r="S7" s="26">
        <f>SUMIFS('Saldos Iniciales'!$D:$D,'Saldos Iniciales'!$A:$A,"3628 Thomas Ave")+SUMIFS(Movimientos!$K$1:$K$1048575,Movimientos!$C$1:$C$1048575,"3628 Thomas Ave",Movimientos!$B$1:$B$1048575,"&lt;="&amp;$B7)</f>
        <v>21338.39</v>
      </c>
      <c r="T7" s="26">
        <f>SUMIFS('Saldos Iniciales'!$D:$D,'Saldos Iniciales'!$A:$A,"Green Harbor Trust")+SUMIFS(Movimientos!$K$1:$K$1048575,Movimientos!$C$1:$C$1048575,"Green Harbor Trust",Movimientos!$B$1:$B$1048575,"&lt;="&amp;$B7)</f>
        <v>345</v>
      </c>
      <c r="U7" s="26">
        <f>SUMIFS('Saldos Iniciales'!$D:$D,'Saldos Iniciales'!$A:$A,"Go Blue")+SUMIFS(Movimientos!$K$1:$K$1048575,Movimientos!$C$1:$C$1048575,"Go Blue",Movimientos!$B$1:$B$1048575,"&lt;="&amp;$B7)</f>
        <v>8782.25</v>
      </c>
      <c r="V7" s="27">
        <f t="shared" si="0"/>
        <v>3746915.54</v>
      </c>
    </row>
    <row r="8" spans="1:22" hidden="1" outlineLevel="1" x14ac:dyDescent="0.3">
      <c r="A8" s="24">
        <f t="shared" si="1"/>
        <v>7</v>
      </c>
      <c r="B8" s="25">
        <v>46149</v>
      </c>
      <c r="C8" s="26">
        <f>SUMIFS('Saldos Iniciales'!$D:$D,'Saldos Iniciales'!$A:$A,"CFT Group")+SUMIFS(Movimientos!$K$1:$K$1048575,Movimientos!$C$1:$C$1048575,"CFT Group",Movimientos!$B$1:$B$1048575,"&lt;="&amp;$B8)</f>
        <v>447763.43000000028</v>
      </c>
      <c r="D8" s="26">
        <f>SUMIFS('Saldos Iniciales'!$D:$D,'Saldos Iniciales'!$A:$A,"M1B")+SUMIFS(Movimientos!$K$1:$K$1048575,Movimientos!$C$1:$C$1048575,"M1B",Movimientos!$B$1:$B$1048575,"&lt;="&amp;$B8)</f>
        <v>56288.029999999941</v>
      </c>
      <c r="E8" s="26">
        <f>SUMIFS('Saldos Iniciales'!$D:$D,'Saldos Iniciales'!$A:$A,"Durand")+SUMIFS(Movimientos!$K$1:$K$1048575,Movimientos!$C$1:$C$1048575,"Durand",Movimientos!$B$1:$B$1048575,"&lt;="&amp;$B8)</f>
        <v>1669.89</v>
      </c>
      <c r="F8" s="26">
        <f>SUMIFS('Saldos Iniciales'!$D:$D,'Saldos Iniciales'!$A:$A,"A&amp;M Imports")+SUMIFS(Movimientos!$K$1:$K$1048575,Movimientos!$C$1:$C$1048575,"A&amp;M Imports",Movimientos!$B$1:$B$1048575,"&lt;="&amp;$B8)</f>
        <v>274668.55999999994</v>
      </c>
      <c r="G8" s="26">
        <f>SUMIFS('Saldos Iniciales'!$D:$D,'Saldos Iniciales'!$A:$A,"SSP Capital")+SUMIFS(Movimientos!$K$1:$K$1048575,Movimientos!$C$1:$C$1048575,"SSP Capital",Movimientos!$B$1:$B$1048575,"&lt;="&amp;$B8)</f>
        <v>926213.13999999932</v>
      </c>
      <c r="H8" s="26">
        <f>SUMIFS('Saldos Iniciales'!$D:$D,'Saldos Iniciales'!$A:$A,"Cross Family Trust")+SUMIFS(Movimientos!$K$1:$K$1048575,Movimientos!$C$1:$C$1048575,"Cross Family Trust",Movimientos!$B$1:$B$1048575,"&lt;="&amp;$B8)</f>
        <v>84224.49</v>
      </c>
      <c r="I8" s="26">
        <f>SUMIFS('Saldos Iniciales'!$D:$D,'Saldos Iniciales'!$A:$A,"Cross Security Trust")+SUMIFS(Movimientos!$K$1:$K$1048575,Movimientos!$C$1:$C$1048575,"Cross Security Trust",Movimientos!$B$1:$B$1048575,"&lt;="&amp;$B8)</f>
        <v>1513088.59</v>
      </c>
      <c r="J8" s="26">
        <f>SUMIFS('Saldos Iniciales'!$D:$D,'Saldos Iniciales'!$A:$A,"Electrama")+SUMIFS(Movimientos!$K$1:$K$1048575,Movimientos!$C$1:$C$1048575,"Electrama",Movimientos!$B$1:$B$1048575,"&lt;="&amp;$B8)</f>
        <v>3768.83</v>
      </c>
      <c r="K8" s="26">
        <f>SUMIFS('Saldos Iniciales'!$D:$D,'Saldos Iniciales'!$A:$A,"Sacred Valley Capital")+SUMIFS(Movimientos!$K$1:$K$1048575,Movimientos!$C$1:$C$1048575,"Sacred Valley Capital",Movimientos!$B$1:$B$1048575,"&lt;="&amp;$B8)</f>
        <v>114.3</v>
      </c>
      <c r="L8" s="26">
        <f>SUMIFS('Saldos Iniciales'!$D:$D,'Saldos Iniciales'!$A:$A,"YWC Capital")+SUMIFS(Movimientos!$K$1:$K$1048575,Movimientos!$C$1:$C$1048575,"YWC Capital",Movimientos!$B$1:$B$1048575,"&lt;="&amp;$B8)</f>
        <v>2267.7200000000003</v>
      </c>
      <c r="M8" s="26">
        <f>SUMIFS('Saldos Iniciales'!$D:$D,'Saldos Iniciales'!$A:$A,"Soweto")+SUMIFS(Movimientos!$K$1:$K$1048575,Movimientos!$C$1:$C$1048575,"Soweto",Movimientos!$B$1:$B$1048575,"&lt;="&amp;$B8)</f>
        <v>3364.94</v>
      </c>
      <c r="N8" s="26">
        <f>SUMIFS('Saldos Iniciales'!$D:$D,'Saldos Iniciales'!$A:$A,"Green Stone Trust")+SUMIFS(Movimientos!$K$1:$K$1048575,Movimientos!$C$1:$C$1048575,"Green Stone Trust",Movimientos!$B$1:$B$1048575,"&lt;="&amp;$B8)</f>
        <v>1968.99</v>
      </c>
      <c r="O8" s="26">
        <f>SUMIFS('Saldos Iniciales'!$D:$D,'Saldos Iniciales'!$A:$A,"EC Auto")+SUMIFS(Movimientos!$K$1:$K$1048575,Movimientos!$C$1:$C$1048575,"EC Auto",Movimientos!$B$1:$B$1048575,"&lt;="&amp;$B8)</f>
        <v>901.34</v>
      </c>
      <c r="P8" s="26">
        <f>SUMIFS('Saldos Iniciales'!$D:$D,'Saldos Iniciales'!$A:$A,"Arbor Capital Properties")+SUMIFS(Movimientos!$K$1:$K$1048575,Movimientos!$C$1:$C$1048575,"Arbor Capital Properties",Movimientos!$B$1:$B$1048575,"&lt;="&amp;$B8)</f>
        <v>1444.08</v>
      </c>
      <c r="Q8" s="26">
        <f>SUMIFS('Saldos Iniciales'!$D:$D,'Saldos Iniciales'!$A:$A,"2515 Overbrook")+SUMIFS(Movimientos!$K$1:$K$1048575,Movimientos!$C$1:$C$1048575,"2515 Overbrook",Movimientos!$B$1:$B$1048575,"&lt;="&amp;$B8)</f>
        <v>23247.599999999962</v>
      </c>
      <c r="R8" s="26">
        <f>SUMIFS('Saldos Iniciales'!$D:$D,'Saldos Iniciales'!$A:$A,"112 Florida Ave")+SUMIFS(Movimientos!$K$1:$K$1048575,Movimientos!$C$1:$C$1048575,"112 Florida Ave",Movimientos!$B$1:$B$1048575,"&lt;="&amp;$B8)</f>
        <v>15135.060000000001</v>
      </c>
      <c r="S8" s="26">
        <f>SUMIFS('Saldos Iniciales'!$D:$D,'Saldos Iniciales'!$A:$A,"3628 Thomas Ave")+SUMIFS(Movimientos!$K$1:$K$1048575,Movimientos!$C$1:$C$1048575,"3628 Thomas Ave",Movimientos!$B$1:$B$1048575,"&lt;="&amp;$B8)</f>
        <v>31338.39</v>
      </c>
      <c r="T8" s="26">
        <f>SUMIFS('Saldos Iniciales'!$D:$D,'Saldos Iniciales'!$A:$A,"Green Harbor Trust")+SUMIFS(Movimientos!$K$1:$K$1048575,Movimientos!$C$1:$C$1048575,"Green Harbor Trust",Movimientos!$B$1:$B$1048575,"&lt;="&amp;$B8)</f>
        <v>345</v>
      </c>
      <c r="U8" s="26">
        <f>SUMIFS('Saldos Iniciales'!$D:$D,'Saldos Iniciales'!$A:$A,"Go Blue")+SUMIFS(Movimientos!$K$1:$K$1048575,Movimientos!$C$1:$C$1048575,"Go Blue",Movimientos!$B$1:$B$1048575,"&lt;="&amp;$B8)</f>
        <v>8782.25</v>
      </c>
      <c r="V8" s="27">
        <f t="shared" si="0"/>
        <v>3396594.63</v>
      </c>
    </row>
    <row r="9" spans="1:22" hidden="1" outlineLevel="1" x14ac:dyDescent="0.3">
      <c r="A9" s="24">
        <f t="shared" si="1"/>
        <v>8</v>
      </c>
      <c r="B9" s="25">
        <v>46150</v>
      </c>
      <c r="C9" s="26">
        <f>SUMIFS('Saldos Iniciales'!$D:$D,'Saldos Iniciales'!$A:$A,"CFT Group")+SUMIFS(Movimientos!$K$1:$K$1048575,Movimientos!$C$1:$C$1048575,"CFT Group",Movimientos!$B$1:$B$1048575,"&lt;="&amp;$B9)</f>
        <v>512927.75000000023</v>
      </c>
      <c r="D9" s="26">
        <f>SUMIFS('Saldos Iniciales'!$D:$D,'Saldos Iniciales'!$A:$A,"M1B")+SUMIFS(Movimientos!$K$1:$K$1048575,Movimientos!$C$1:$C$1048575,"M1B",Movimientos!$B$1:$B$1048575,"&lt;="&amp;$B9)</f>
        <v>58840.089999999938</v>
      </c>
      <c r="E9" s="26">
        <f>SUMIFS('Saldos Iniciales'!$D:$D,'Saldos Iniciales'!$A:$A,"Durand")+SUMIFS(Movimientos!$K$1:$K$1048575,Movimientos!$C$1:$C$1048575,"Durand",Movimientos!$B$1:$B$1048575,"&lt;="&amp;$B9)</f>
        <v>1669.89</v>
      </c>
      <c r="F9" s="26">
        <f>SUMIFS('Saldos Iniciales'!$D:$D,'Saldos Iniciales'!$A:$A,"A&amp;M Imports")+SUMIFS(Movimientos!$K$1:$K$1048575,Movimientos!$C$1:$C$1048575,"A&amp;M Imports",Movimientos!$B$1:$B$1048575,"&lt;="&amp;$B9)</f>
        <v>792366.49999999988</v>
      </c>
      <c r="G9" s="26">
        <f>SUMIFS('Saldos Iniciales'!$D:$D,'Saldos Iniciales'!$A:$A,"SSP Capital")+SUMIFS(Movimientos!$K$1:$K$1048575,Movimientos!$C$1:$C$1048575,"SSP Capital",Movimientos!$B$1:$B$1048575,"&lt;="&amp;$B9)</f>
        <v>923830.41999999923</v>
      </c>
      <c r="H9" s="26">
        <f>SUMIFS('Saldos Iniciales'!$D:$D,'Saldos Iniciales'!$A:$A,"Cross Family Trust")+SUMIFS(Movimientos!$K$1:$K$1048575,Movimientos!$C$1:$C$1048575,"Cross Family Trust",Movimientos!$B$1:$B$1048575,"&lt;="&amp;$B9)</f>
        <v>84224.49</v>
      </c>
      <c r="I9" s="26">
        <f>SUMIFS('Saldos Iniciales'!$D:$D,'Saldos Iniciales'!$A:$A,"Cross Security Trust")+SUMIFS(Movimientos!$K$1:$K$1048575,Movimientos!$C$1:$C$1048575,"Cross Security Trust",Movimientos!$B$1:$B$1048575,"&lt;="&amp;$B9)</f>
        <v>13088.589999999997</v>
      </c>
      <c r="J9" s="26">
        <f>SUMIFS('Saldos Iniciales'!$D:$D,'Saldos Iniciales'!$A:$A,"Electrama")+SUMIFS(Movimientos!$K$1:$K$1048575,Movimientos!$C$1:$C$1048575,"Electrama",Movimientos!$B$1:$B$1048575,"&lt;="&amp;$B9)</f>
        <v>3768.83</v>
      </c>
      <c r="K9" s="26">
        <f>SUMIFS('Saldos Iniciales'!$D:$D,'Saldos Iniciales'!$A:$A,"Sacred Valley Capital")+SUMIFS(Movimientos!$K$1:$K$1048575,Movimientos!$C$1:$C$1048575,"Sacred Valley Capital",Movimientos!$B$1:$B$1048575,"&lt;="&amp;$B9)</f>
        <v>114.3</v>
      </c>
      <c r="L9" s="26">
        <f>SUMIFS('Saldos Iniciales'!$D:$D,'Saldos Iniciales'!$A:$A,"YWC Capital")+SUMIFS(Movimientos!$K$1:$K$1048575,Movimientos!$C$1:$C$1048575,"YWC Capital",Movimientos!$B$1:$B$1048575,"&lt;="&amp;$B9)</f>
        <v>2267.7200000000003</v>
      </c>
      <c r="M9" s="26">
        <f>SUMIFS('Saldos Iniciales'!$D:$D,'Saldos Iniciales'!$A:$A,"Soweto")+SUMIFS(Movimientos!$K$1:$K$1048575,Movimientos!$C$1:$C$1048575,"Soweto",Movimientos!$B$1:$B$1048575,"&lt;="&amp;$B9)</f>
        <v>3349.94</v>
      </c>
      <c r="N9" s="26">
        <f>SUMIFS('Saldos Iniciales'!$D:$D,'Saldos Iniciales'!$A:$A,"Green Stone Trust")+SUMIFS(Movimientos!$K$1:$K$1048575,Movimientos!$C$1:$C$1048575,"Green Stone Trust",Movimientos!$B$1:$B$1048575,"&lt;="&amp;$B9)</f>
        <v>1968.99</v>
      </c>
      <c r="O9" s="26">
        <f>SUMIFS('Saldos Iniciales'!$D:$D,'Saldos Iniciales'!$A:$A,"EC Auto")+SUMIFS(Movimientos!$K$1:$K$1048575,Movimientos!$C$1:$C$1048575,"EC Auto",Movimientos!$B$1:$B$1048575,"&lt;="&amp;$B9)</f>
        <v>901.34</v>
      </c>
      <c r="P9" s="26">
        <f>SUMIFS('Saldos Iniciales'!$D:$D,'Saldos Iniciales'!$A:$A,"Arbor Capital Properties")+SUMIFS(Movimientos!$K$1:$K$1048575,Movimientos!$C$1:$C$1048575,"Arbor Capital Properties",Movimientos!$B$1:$B$1048575,"&lt;="&amp;$B9)</f>
        <v>1444.08</v>
      </c>
      <c r="Q9" s="26">
        <f>SUMIFS('Saldos Iniciales'!$D:$D,'Saldos Iniciales'!$A:$A,"2515 Overbrook")+SUMIFS(Movimientos!$K$1:$K$1048575,Movimientos!$C$1:$C$1048575,"2515 Overbrook",Movimientos!$B$1:$B$1048575,"&lt;="&amp;$B9)</f>
        <v>20592.599999999962</v>
      </c>
      <c r="R9" s="26">
        <f>SUMIFS('Saldos Iniciales'!$D:$D,'Saldos Iniciales'!$A:$A,"112 Florida Ave")+SUMIFS(Movimientos!$K$1:$K$1048575,Movimientos!$C$1:$C$1048575,"112 Florida Ave",Movimientos!$B$1:$B$1048575,"&lt;="&amp;$B9)</f>
        <v>15120.060000000001</v>
      </c>
      <c r="S9" s="26">
        <f>SUMIFS('Saldos Iniciales'!$D:$D,'Saldos Iniciales'!$A:$A,"3628 Thomas Ave")+SUMIFS(Movimientos!$K$1:$K$1048575,Movimientos!$C$1:$C$1048575,"3628 Thomas Ave",Movimientos!$B$1:$B$1048575,"&lt;="&amp;$B9)</f>
        <v>31323.39</v>
      </c>
      <c r="T9" s="26">
        <f>SUMIFS('Saldos Iniciales'!$D:$D,'Saldos Iniciales'!$A:$A,"Green Harbor Trust")+SUMIFS(Movimientos!$K$1:$K$1048575,Movimientos!$C$1:$C$1048575,"Green Harbor Trust",Movimientos!$B$1:$B$1048575,"&lt;="&amp;$B9)</f>
        <v>345</v>
      </c>
      <c r="U9" s="26">
        <f>SUMIFS('Saldos Iniciales'!$D:$D,'Saldos Iniciales'!$A:$A,"Go Blue")+SUMIFS(Movimientos!$K$1:$K$1048575,Movimientos!$C$1:$C$1048575,"Go Blue",Movimientos!$B$1:$B$1048575,"&lt;="&amp;$B9)</f>
        <v>23782.25</v>
      </c>
      <c r="V9" s="27">
        <f t="shared" si="0"/>
        <v>2491926.23</v>
      </c>
    </row>
    <row r="10" spans="1:22" ht="13.8" hidden="1" customHeight="1" outlineLevel="1" x14ac:dyDescent="0.3">
      <c r="A10" s="24">
        <f t="shared" si="1"/>
        <v>9</v>
      </c>
      <c r="B10" s="25">
        <v>46151</v>
      </c>
      <c r="C10" s="26">
        <f>SUMIFS('Saldos Iniciales'!$D:$D,'Saldos Iniciales'!$A:$A,"CFT Group")+SUMIFS(Movimientos!$K$1:$K$1048575,Movimientos!$C$1:$C$1048575,"CFT Group",Movimientos!$B$1:$B$1048575,"&lt;="&amp;$B10)</f>
        <v>512927.75000000023</v>
      </c>
      <c r="D10" s="26">
        <f>SUMIFS('Saldos Iniciales'!$D:$D,'Saldos Iniciales'!$A:$A,"M1B")+SUMIFS(Movimientos!$K$1:$K$1048575,Movimientos!$C$1:$C$1048575,"M1B",Movimientos!$B$1:$B$1048575,"&lt;="&amp;$B10)</f>
        <v>58840.089999999938</v>
      </c>
      <c r="E10" s="26">
        <f>SUMIFS('Saldos Iniciales'!$D:$D,'Saldos Iniciales'!$A:$A,"Durand")+SUMIFS(Movimientos!$K$1:$K$1048575,Movimientos!$C$1:$C$1048575,"Durand",Movimientos!$B$1:$B$1048575,"&lt;="&amp;$B10)</f>
        <v>1669.89</v>
      </c>
      <c r="F10" s="26">
        <f>SUMIFS('Saldos Iniciales'!$D:$D,'Saldos Iniciales'!$A:$A,"A&amp;M Imports")+SUMIFS(Movimientos!$K$1:$K$1048575,Movimientos!$C$1:$C$1048575,"A&amp;M Imports",Movimientos!$B$1:$B$1048575,"&lt;="&amp;$B10)</f>
        <v>792366.49999999988</v>
      </c>
      <c r="G10" s="26">
        <f>SUMIFS('Saldos Iniciales'!$D:$D,'Saldos Iniciales'!$A:$A,"SSP Capital")+SUMIFS(Movimientos!$K$1:$K$1048575,Movimientos!$C$1:$C$1048575,"SSP Capital",Movimientos!$B$1:$B$1048575,"&lt;="&amp;$B10)</f>
        <v>923830.41999999923</v>
      </c>
      <c r="H10" s="26">
        <f>SUMIFS('Saldos Iniciales'!$D:$D,'Saldos Iniciales'!$A:$A,"Cross Family Trust")+SUMIFS(Movimientos!$K$1:$K$1048575,Movimientos!$C$1:$C$1048575,"Cross Family Trust",Movimientos!$B$1:$B$1048575,"&lt;="&amp;$B10)</f>
        <v>84224.49</v>
      </c>
      <c r="I10" s="26">
        <f>SUMIFS('Saldos Iniciales'!$D:$D,'Saldos Iniciales'!$A:$A,"Cross Security Trust")+SUMIFS(Movimientos!$K$1:$K$1048575,Movimientos!$C$1:$C$1048575,"Cross Security Trust",Movimientos!$B$1:$B$1048575,"&lt;="&amp;$B10)</f>
        <v>13088.589999999997</v>
      </c>
      <c r="J10" s="26">
        <f>SUMIFS('Saldos Iniciales'!$D:$D,'Saldos Iniciales'!$A:$A,"Electrama")+SUMIFS(Movimientos!$K$1:$K$1048575,Movimientos!$C$1:$C$1048575,"Electrama",Movimientos!$B$1:$B$1048575,"&lt;="&amp;$B10)</f>
        <v>3768.83</v>
      </c>
      <c r="K10" s="26">
        <f>SUMIFS('Saldos Iniciales'!$D:$D,'Saldos Iniciales'!$A:$A,"Sacred Valley Capital")+SUMIFS(Movimientos!$K$1:$K$1048575,Movimientos!$C$1:$C$1048575,"Sacred Valley Capital",Movimientos!$B$1:$B$1048575,"&lt;="&amp;$B10)</f>
        <v>114.3</v>
      </c>
      <c r="L10" s="26">
        <f>SUMIFS('Saldos Iniciales'!$D:$D,'Saldos Iniciales'!$A:$A,"YWC Capital")+SUMIFS(Movimientos!$K$1:$K$1048575,Movimientos!$C$1:$C$1048575,"YWC Capital",Movimientos!$B$1:$B$1048575,"&lt;="&amp;$B10)</f>
        <v>2267.7200000000003</v>
      </c>
      <c r="M10" s="26">
        <f>SUMIFS('Saldos Iniciales'!$D:$D,'Saldos Iniciales'!$A:$A,"Soweto")+SUMIFS(Movimientos!$K$1:$K$1048575,Movimientos!$C$1:$C$1048575,"Soweto",Movimientos!$B$1:$B$1048575,"&lt;="&amp;$B10)</f>
        <v>3349.94</v>
      </c>
      <c r="N10" s="26">
        <f>SUMIFS('Saldos Iniciales'!$D:$D,'Saldos Iniciales'!$A:$A,"Green Stone Trust")+SUMIFS(Movimientos!$K$1:$K$1048575,Movimientos!$C$1:$C$1048575,"Green Stone Trust",Movimientos!$B$1:$B$1048575,"&lt;="&amp;$B10)</f>
        <v>1968.99</v>
      </c>
      <c r="O10" s="26">
        <f>SUMIFS('Saldos Iniciales'!$D:$D,'Saldos Iniciales'!$A:$A,"EC Auto")+SUMIFS(Movimientos!$K$1:$K$1048575,Movimientos!$C$1:$C$1048575,"EC Auto",Movimientos!$B$1:$B$1048575,"&lt;="&amp;$B10)</f>
        <v>901.34</v>
      </c>
      <c r="P10" s="26">
        <f>SUMIFS('Saldos Iniciales'!$D:$D,'Saldos Iniciales'!$A:$A,"Arbor Capital Properties")+SUMIFS(Movimientos!$K$1:$K$1048575,Movimientos!$C$1:$C$1048575,"Arbor Capital Properties",Movimientos!$B$1:$B$1048575,"&lt;="&amp;$B10)</f>
        <v>1444.08</v>
      </c>
      <c r="Q10" s="26">
        <f>SUMIFS('Saldos Iniciales'!$D:$D,'Saldos Iniciales'!$A:$A,"2515 Overbrook")+SUMIFS(Movimientos!$K$1:$K$1048575,Movimientos!$C$1:$C$1048575,"2515 Overbrook",Movimientos!$B$1:$B$1048575,"&lt;="&amp;$B10)</f>
        <v>20592.599999999962</v>
      </c>
      <c r="R10" s="26">
        <f>SUMIFS('Saldos Iniciales'!$D:$D,'Saldos Iniciales'!$A:$A,"112 Florida Ave")+SUMIFS(Movimientos!$K$1:$K$1048575,Movimientos!$C$1:$C$1048575,"112 Florida Ave",Movimientos!$B$1:$B$1048575,"&lt;="&amp;$B10)</f>
        <v>15120.060000000001</v>
      </c>
      <c r="S10" s="26">
        <f>SUMIFS('Saldos Iniciales'!$D:$D,'Saldos Iniciales'!$A:$A,"3628 Thomas Ave")+SUMIFS(Movimientos!$K$1:$K$1048575,Movimientos!$C$1:$C$1048575,"3628 Thomas Ave",Movimientos!$B$1:$B$1048575,"&lt;="&amp;$B10)</f>
        <v>31323.39</v>
      </c>
      <c r="T10" s="26">
        <f>SUMIFS('Saldos Iniciales'!$D:$D,'Saldos Iniciales'!$A:$A,"Green Harbor Trust")+SUMIFS(Movimientos!$K$1:$K$1048575,Movimientos!$C$1:$C$1048575,"Green Harbor Trust",Movimientos!$B$1:$B$1048575,"&lt;="&amp;$B10)</f>
        <v>345</v>
      </c>
      <c r="U10" s="26">
        <f>SUMIFS('Saldos Iniciales'!$D:$D,'Saldos Iniciales'!$A:$A,"Go Blue")+SUMIFS(Movimientos!$K$1:$K$1048575,Movimientos!$C$1:$C$1048575,"Go Blue",Movimientos!$B$1:$B$1048575,"&lt;="&amp;$B10)</f>
        <v>23782.25</v>
      </c>
      <c r="V10" s="27">
        <f t="shared" si="0"/>
        <v>2491926.23</v>
      </c>
    </row>
    <row r="11" spans="1:22" hidden="1" outlineLevel="1" x14ac:dyDescent="0.3">
      <c r="A11" s="24">
        <f t="shared" si="1"/>
        <v>10</v>
      </c>
      <c r="B11" s="25">
        <v>46152</v>
      </c>
      <c r="C11" s="26">
        <f>SUMIFS('Saldos Iniciales'!$D:$D,'Saldos Iniciales'!$A:$A,"CFT Group")+SUMIFS(Movimientos!$K$1:$K$1048575,Movimientos!$C$1:$C$1048575,"CFT Group",Movimientos!$B$1:$B$1048575,"&lt;="&amp;$B11)</f>
        <v>512927.75000000023</v>
      </c>
      <c r="D11" s="26">
        <f>SUMIFS('Saldos Iniciales'!$D:$D,'Saldos Iniciales'!$A:$A,"M1B")+SUMIFS(Movimientos!$K$1:$K$1048575,Movimientos!$C$1:$C$1048575,"M1B",Movimientos!$B$1:$B$1048575,"&lt;="&amp;$B11)</f>
        <v>58840.089999999938</v>
      </c>
      <c r="E11" s="26">
        <f>SUMIFS('Saldos Iniciales'!$D:$D,'Saldos Iniciales'!$A:$A,"Durand")+SUMIFS(Movimientos!$K$1:$K$1048575,Movimientos!$C$1:$C$1048575,"Durand",Movimientos!$B$1:$B$1048575,"&lt;="&amp;$B11)</f>
        <v>1669.89</v>
      </c>
      <c r="F11" s="26">
        <f>SUMIFS('Saldos Iniciales'!$D:$D,'Saldos Iniciales'!$A:$A,"A&amp;M Imports")+SUMIFS(Movimientos!$K$1:$K$1048575,Movimientos!$C$1:$C$1048575,"A&amp;M Imports",Movimientos!$B$1:$B$1048575,"&lt;="&amp;$B11)</f>
        <v>792366.49999999988</v>
      </c>
      <c r="G11" s="26">
        <f>SUMIFS('Saldos Iniciales'!$D:$D,'Saldos Iniciales'!$A:$A,"SSP Capital")+SUMIFS(Movimientos!$K$1:$K$1048575,Movimientos!$C$1:$C$1048575,"SSP Capital",Movimientos!$B$1:$B$1048575,"&lt;="&amp;$B11)</f>
        <v>923830.41999999923</v>
      </c>
      <c r="H11" s="26">
        <f>SUMIFS('Saldos Iniciales'!$D:$D,'Saldos Iniciales'!$A:$A,"Cross Family Trust")+SUMIFS(Movimientos!$K$1:$K$1048575,Movimientos!$C$1:$C$1048575,"Cross Family Trust",Movimientos!$B$1:$B$1048575,"&lt;="&amp;$B11)</f>
        <v>84224.49</v>
      </c>
      <c r="I11" s="26">
        <f>SUMIFS('Saldos Iniciales'!$D:$D,'Saldos Iniciales'!$A:$A,"Cross Security Trust")+SUMIFS(Movimientos!$K$1:$K$1048575,Movimientos!$C$1:$C$1048575,"Cross Security Trust",Movimientos!$B$1:$B$1048575,"&lt;="&amp;$B11)</f>
        <v>13088.589999999997</v>
      </c>
      <c r="J11" s="26">
        <f>SUMIFS('Saldos Iniciales'!$D:$D,'Saldos Iniciales'!$A:$A,"Electrama")+SUMIFS(Movimientos!$K$1:$K$1048575,Movimientos!$C$1:$C$1048575,"Electrama",Movimientos!$B$1:$B$1048575,"&lt;="&amp;$B11)</f>
        <v>3768.83</v>
      </c>
      <c r="K11" s="26">
        <f>SUMIFS('Saldos Iniciales'!$D:$D,'Saldos Iniciales'!$A:$A,"Sacred Valley Capital")+SUMIFS(Movimientos!$K$1:$K$1048575,Movimientos!$C$1:$C$1048575,"Sacred Valley Capital",Movimientos!$B$1:$B$1048575,"&lt;="&amp;$B11)</f>
        <v>114.3</v>
      </c>
      <c r="L11" s="26">
        <f>SUMIFS('Saldos Iniciales'!$D:$D,'Saldos Iniciales'!$A:$A,"YWC Capital")+SUMIFS(Movimientos!$K$1:$K$1048575,Movimientos!$C$1:$C$1048575,"YWC Capital",Movimientos!$B$1:$B$1048575,"&lt;="&amp;$B11)</f>
        <v>2267.7200000000003</v>
      </c>
      <c r="M11" s="26">
        <f>SUMIFS('Saldos Iniciales'!$D:$D,'Saldos Iniciales'!$A:$A,"Soweto")+SUMIFS(Movimientos!$K$1:$K$1048575,Movimientos!$C$1:$C$1048575,"Soweto",Movimientos!$B$1:$B$1048575,"&lt;="&amp;$B11)</f>
        <v>3349.94</v>
      </c>
      <c r="N11" s="26">
        <f>SUMIFS('Saldos Iniciales'!$D:$D,'Saldos Iniciales'!$A:$A,"Green Stone Trust")+SUMIFS(Movimientos!$K$1:$K$1048575,Movimientos!$C$1:$C$1048575,"Green Stone Trust",Movimientos!$B$1:$B$1048575,"&lt;="&amp;$B11)</f>
        <v>1968.99</v>
      </c>
      <c r="O11" s="26">
        <f>SUMIFS('Saldos Iniciales'!$D:$D,'Saldos Iniciales'!$A:$A,"EC Auto")+SUMIFS(Movimientos!$K$1:$K$1048575,Movimientos!$C$1:$C$1048575,"EC Auto",Movimientos!$B$1:$B$1048575,"&lt;="&amp;$B11)</f>
        <v>901.34</v>
      </c>
      <c r="P11" s="26">
        <f>SUMIFS('Saldos Iniciales'!$D:$D,'Saldos Iniciales'!$A:$A,"Arbor Capital Properties")+SUMIFS(Movimientos!$K$1:$K$1048575,Movimientos!$C$1:$C$1048575,"Arbor Capital Properties",Movimientos!$B$1:$B$1048575,"&lt;="&amp;$B11)</f>
        <v>1444.08</v>
      </c>
      <c r="Q11" s="26">
        <f>SUMIFS('Saldos Iniciales'!$D:$D,'Saldos Iniciales'!$A:$A,"2515 Overbrook")+SUMIFS(Movimientos!$K$1:$K$1048575,Movimientos!$C$1:$C$1048575,"2515 Overbrook",Movimientos!$B$1:$B$1048575,"&lt;="&amp;$B11)</f>
        <v>20592.599999999962</v>
      </c>
      <c r="R11" s="26">
        <f>SUMIFS('Saldos Iniciales'!$D:$D,'Saldos Iniciales'!$A:$A,"112 Florida Ave")+SUMIFS(Movimientos!$K$1:$K$1048575,Movimientos!$C$1:$C$1048575,"112 Florida Ave",Movimientos!$B$1:$B$1048575,"&lt;="&amp;$B11)</f>
        <v>15120.060000000001</v>
      </c>
      <c r="S11" s="26">
        <f>SUMIFS('Saldos Iniciales'!$D:$D,'Saldos Iniciales'!$A:$A,"3628 Thomas Ave")+SUMIFS(Movimientos!$K$1:$K$1048575,Movimientos!$C$1:$C$1048575,"3628 Thomas Ave",Movimientos!$B$1:$B$1048575,"&lt;="&amp;$B11)</f>
        <v>31323.39</v>
      </c>
      <c r="T11" s="26">
        <f>SUMIFS('Saldos Iniciales'!$D:$D,'Saldos Iniciales'!$A:$A,"Green Harbor Trust")+SUMIFS(Movimientos!$K$1:$K$1048575,Movimientos!$C$1:$C$1048575,"Green Harbor Trust",Movimientos!$B$1:$B$1048575,"&lt;="&amp;$B11)</f>
        <v>345</v>
      </c>
      <c r="U11" s="26">
        <f>SUMIFS('Saldos Iniciales'!$D:$D,'Saldos Iniciales'!$A:$A,"Go Blue")+SUMIFS(Movimientos!$K$1:$K$1048575,Movimientos!$C$1:$C$1048575,"Go Blue",Movimientos!$B$1:$B$1048575,"&lt;="&amp;$B11)</f>
        <v>23782.25</v>
      </c>
      <c r="V11" s="27">
        <f t="shared" si="0"/>
        <v>2491926.23</v>
      </c>
    </row>
    <row r="12" spans="1:22" hidden="1" outlineLevel="1" x14ac:dyDescent="0.3">
      <c r="A12" s="24">
        <f t="shared" si="1"/>
        <v>11</v>
      </c>
      <c r="B12" s="25">
        <v>46153</v>
      </c>
      <c r="C12" s="26">
        <f>SUMIFS('Saldos Iniciales'!$D:$D,'Saldos Iniciales'!$A:$A,"CFT Group")+SUMIFS(Movimientos!$K$1:$K$1048575,Movimientos!$C$1:$C$1048575,"CFT Group",Movimientos!$B$1:$B$1048575,"&lt;="&amp;$B12)</f>
        <v>512927.75000000023</v>
      </c>
      <c r="D12" s="26">
        <f>SUMIFS('Saldos Iniciales'!$D:$D,'Saldos Iniciales'!$A:$A,"M1B")+SUMIFS(Movimientos!$K$1:$K$1048575,Movimientos!$C$1:$C$1048575,"M1B",Movimientos!$B$1:$B$1048575,"&lt;="&amp;$B12)</f>
        <v>58840.089999999938</v>
      </c>
      <c r="E12" s="26">
        <f>SUMIFS('Saldos Iniciales'!$D:$D,'Saldos Iniciales'!$A:$A,"Durand")+SUMIFS(Movimientos!$K$1:$K$1048575,Movimientos!$C$1:$C$1048575,"Durand",Movimientos!$B$1:$B$1048575,"&lt;="&amp;$B12)</f>
        <v>1669.89</v>
      </c>
      <c r="F12" s="26">
        <f>SUMIFS('Saldos Iniciales'!$D:$D,'Saldos Iniciales'!$A:$A,"A&amp;M Imports")+SUMIFS(Movimientos!$K$1:$K$1048575,Movimientos!$C$1:$C$1048575,"A&amp;M Imports",Movimientos!$B$1:$B$1048575,"&lt;="&amp;$B12)</f>
        <v>1368366.5</v>
      </c>
      <c r="G12" s="26">
        <f>SUMIFS('Saldos Iniciales'!$D:$D,'Saldos Iniciales'!$A:$A,"SSP Capital")+SUMIFS(Movimientos!$K$1:$K$1048575,Movimientos!$C$1:$C$1048575,"SSP Capital",Movimientos!$B$1:$B$1048575,"&lt;="&amp;$B12)</f>
        <v>1162513.7699999993</v>
      </c>
      <c r="H12" s="26">
        <f>SUMIFS('Saldos Iniciales'!$D:$D,'Saldos Iniciales'!$A:$A,"Cross Family Trust")+SUMIFS(Movimientos!$K$1:$K$1048575,Movimientos!$C$1:$C$1048575,"Cross Family Trust",Movimientos!$B$1:$B$1048575,"&lt;="&amp;$B12)</f>
        <v>84224.49</v>
      </c>
      <c r="I12" s="26">
        <f>SUMIFS('Saldos Iniciales'!$D:$D,'Saldos Iniciales'!$A:$A,"Cross Security Trust")+SUMIFS(Movimientos!$K$1:$K$1048575,Movimientos!$C$1:$C$1048575,"Cross Security Trust",Movimientos!$B$1:$B$1048575,"&lt;="&amp;$B12)</f>
        <v>13088.589999999997</v>
      </c>
      <c r="J12" s="26">
        <f>SUMIFS('Saldos Iniciales'!$D:$D,'Saldos Iniciales'!$A:$A,"Electrama")+SUMIFS(Movimientos!$K$1:$K$1048575,Movimientos!$C$1:$C$1048575,"Electrama",Movimientos!$B$1:$B$1048575,"&lt;="&amp;$B12)</f>
        <v>3768.83</v>
      </c>
      <c r="K12" s="26">
        <f>SUMIFS('Saldos Iniciales'!$D:$D,'Saldos Iniciales'!$A:$A,"Sacred Valley Capital")+SUMIFS(Movimientos!$K$1:$K$1048575,Movimientos!$C$1:$C$1048575,"Sacred Valley Capital",Movimientos!$B$1:$B$1048575,"&lt;="&amp;$B12)</f>
        <v>114.3</v>
      </c>
      <c r="L12" s="26">
        <f>SUMIFS('Saldos Iniciales'!$D:$D,'Saldos Iniciales'!$A:$A,"YWC Capital")+SUMIFS(Movimientos!$K$1:$K$1048575,Movimientos!$C$1:$C$1048575,"YWC Capital",Movimientos!$B$1:$B$1048575,"&lt;="&amp;$B12)</f>
        <v>2267.7200000000003</v>
      </c>
      <c r="M12" s="26">
        <f>SUMIFS('Saldos Iniciales'!$D:$D,'Saldos Iniciales'!$A:$A,"Soweto")+SUMIFS(Movimientos!$K$1:$K$1048575,Movimientos!$C$1:$C$1048575,"Soweto",Movimientos!$B$1:$B$1048575,"&lt;="&amp;$B12)</f>
        <v>3349.94</v>
      </c>
      <c r="N12" s="26">
        <f>SUMIFS('Saldos Iniciales'!$D:$D,'Saldos Iniciales'!$A:$A,"Green Stone Trust")+SUMIFS(Movimientos!$K$1:$K$1048575,Movimientos!$C$1:$C$1048575,"Green Stone Trust",Movimientos!$B$1:$B$1048575,"&lt;="&amp;$B12)</f>
        <v>1968.99</v>
      </c>
      <c r="O12" s="26">
        <f>SUMIFS('Saldos Iniciales'!$D:$D,'Saldos Iniciales'!$A:$A,"EC Auto")+SUMIFS(Movimientos!$K$1:$K$1048575,Movimientos!$C$1:$C$1048575,"EC Auto",Movimientos!$B$1:$B$1048575,"&lt;="&amp;$B12)</f>
        <v>901.34</v>
      </c>
      <c r="P12" s="26">
        <f>SUMIFS('Saldos Iniciales'!$D:$D,'Saldos Iniciales'!$A:$A,"Arbor Capital Properties")+SUMIFS(Movimientos!$K$1:$K$1048575,Movimientos!$C$1:$C$1048575,"Arbor Capital Properties",Movimientos!$B$1:$B$1048575,"&lt;="&amp;$B12)</f>
        <v>1444.08</v>
      </c>
      <c r="Q12" s="26">
        <f>SUMIFS('Saldos Iniciales'!$D:$D,'Saldos Iniciales'!$A:$A,"2515 Overbrook")+SUMIFS(Movimientos!$K$1:$K$1048575,Movimientos!$C$1:$C$1048575,"2515 Overbrook",Movimientos!$B$1:$B$1048575,"&lt;="&amp;$B12)</f>
        <v>19092.599999999962</v>
      </c>
      <c r="R12" s="26">
        <f>SUMIFS('Saldos Iniciales'!$D:$D,'Saldos Iniciales'!$A:$A,"112 Florida Ave")+SUMIFS(Movimientos!$K$1:$K$1048575,Movimientos!$C$1:$C$1048575,"112 Florida Ave",Movimientos!$B$1:$B$1048575,"&lt;="&amp;$B12)</f>
        <v>15120.060000000001</v>
      </c>
      <c r="S12" s="26">
        <f>SUMIFS('Saldos Iniciales'!$D:$D,'Saldos Iniciales'!$A:$A,"3628 Thomas Ave")+SUMIFS(Movimientos!$K$1:$K$1048575,Movimientos!$C$1:$C$1048575,"3628 Thomas Ave",Movimientos!$B$1:$B$1048575,"&lt;="&amp;$B12)</f>
        <v>31323.39</v>
      </c>
      <c r="T12" s="26">
        <f>SUMIFS('Saldos Iniciales'!$D:$D,'Saldos Iniciales'!$A:$A,"Green Harbor Trust")+SUMIFS(Movimientos!$K$1:$K$1048575,Movimientos!$C$1:$C$1048575,"Green Harbor Trust",Movimientos!$B$1:$B$1048575,"&lt;="&amp;$B12)</f>
        <v>345</v>
      </c>
      <c r="U12" s="26">
        <f>SUMIFS('Saldos Iniciales'!$D:$D,'Saldos Iniciales'!$A:$A,"Go Blue")+SUMIFS(Movimientos!$K$1:$K$1048575,Movimientos!$C$1:$C$1048575,"Go Blue",Movimientos!$B$1:$B$1048575,"&lt;="&amp;$B12)</f>
        <v>16956.59</v>
      </c>
      <c r="V12" s="27">
        <f t="shared" si="0"/>
        <v>3298283.92</v>
      </c>
    </row>
    <row r="13" spans="1:22" hidden="1" outlineLevel="1" x14ac:dyDescent="0.3">
      <c r="A13" s="24">
        <f t="shared" si="1"/>
        <v>12</v>
      </c>
      <c r="B13" s="25">
        <v>46154</v>
      </c>
      <c r="C13" s="26">
        <f>SUMIFS('Saldos Iniciales'!$D:$D,'Saldos Iniciales'!$A:$A,"CFT Group")+SUMIFS(Movimientos!$K$1:$K$1048575,Movimientos!$C$1:$C$1048575,"CFT Group",Movimientos!$B$1:$B$1048575,"&lt;="&amp;$B13)</f>
        <v>606714.4700000002</v>
      </c>
      <c r="D13" s="26">
        <f>SUMIFS('Saldos Iniciales'!$D:$D,'Saldos Iniciales'!$A:$A,"M1B")+SUMIFS(Movimientos!$K$1:$K$1048575,Movimientos!$C$1:$C$1048575,"M1B",Movimientos!$B$1:$B$1048575,"&lt;="&amp;$B13)</f>
        <v>58840.089999999938</v>
      </c>
      <c r="E13" s="26">
        <f>SUMIFS('Saldos Iniciales'!$D:$D,'Saldos Iniciales'!$A:$A,"Durand")+SUMIFS(Movimientos!$K$1:$K$1048575,Movimientos!$C$1:$C$1048575,"Durand",Movimientos!$B$1:$B$1048575,"&lt;="&amp;$B13)</f>
        <v>1669.89</v>
      </c>
      <c r="F13" s="26">
        <f>SUMIFS('Saldos Iniciales'!$D:$D,'Saldos Iniciales'!$A:$A,"A&amp;M Imports")+SUMIFS(Movimientos!$K$1:$K$1048575,Movimientos!$C$1:$C$1048575,"A&amp;M Imports",Movimientos!$B$1:$B$1048575,"&lt;="&amp;$B13)</f>
        <v>1226185.8999999999</v>
      </c>
      <c r="G13" s="26">
        <f>SUMIFS('Saldos Iniciales'!$D:$D,'Saldos Iniciales'!$A:$A,"SSP Capital")+SUMIFS(Movimientos!$K$1:$K$1048575,Movimientos!$C$1:$C$1048575,"SSP Capital",Movimientos!$B$1:$B$1048575,"&lt;="&amp;$B13)</f>
        <v>1162404.8599999992</v>
      </c>
      <c r="H13" s="26">
        <f>SUMIFS('Saldos Iniciales'!$D:$D,'Saldos Iniciales'!$A:$A,"Cross Family Trust")+SUMIFS(Movimientos!$K$1:$K$1048575,Movimientos!$C$1:$C$1048575,"Cross Family Trust",Movimientos!$B$1:$B$1048575,"&lt;="&amp;$B13)</f>
        <v>84224.49</v>
      </c>
      <c r="I13" s="26">
        <f>SUMIFS('Saldos Iniciales'!$D:$D,'Saldos Iniciales'!$A:$A,"Cross Security Trust")+SUMIFS(Movimientos!$K$1:$K$1048575,Movimientos!$C$1:$C$1048575,"Cross Security Trust",Movimientos!$B$1:$B$1048575,"&lt;="&amp;$B13)</f>
        <v>13088.589999999997</v>
      </c>
      <c r="J13" s="26">
        <f>SUMIFS('Saldos Iniciales'!$D:$D,'Saldos Iniciales'!$A:$A,"Electrama")+SUMIFS(Movimientos!$K$1:$K$1048575,Movimientos!$C$1:$C$1048575,"Electrama",Movimientos!$B$1:$B$1048575,"&lt;="&amp;$B13)</f>
        <v>3768.83</v>
      </c>
      <c r="K13" s="26">
        <f>SUMIFS('Saldos Iniciales'!$D:$D,'Saldos Iniciales'!$A:$A,"Sacred Valley Capital")+SUMIFS(Movimientos!$K$1:$K$1048575,Movimientos!$C$1:$C$1048575,"Sacred Valley Capital",Movimientos!$B$1:$B$1048575,"&lt;="&amp;$B13)</f>
        <v>114.3</v>
      </c>
      <c r="L13" s="26">
        <f>SUMIFS('Saldos Iniciales'!$D:$D,'Saldos Iniciales'!$A:$A,"YWC Capital")+SUMIFS(Movimientos!$K$1:$K$1048575,Movimientos!$C$1:$C$1048575,"YWC Capital",Movimientos!$B$1:$B$1048575,"&lt;="&amp;$B13)</f>
        <v>2267.7200000000003</v>
      </c>
      <c r="M13" s="26">
        <f>SUMIFS('Saldos Iniciales'!$D:$D,'Saldos Iniciales'!$A:$A,"Soweto")+SUMIFS(Movimientos!$K$1:$K$1048575,Movimientos!$C$1:$C$1048575,"Soweto",Movimientos!$B$1:$B$1048575,"&lt;="&amp;$B13)</f>
        <v>3349.94</v>
      </c>
      <c r="N13" s="26">
        <f>SUMIFS('Saldos Iniciales'!$D:$D,'Saldos Iniciales'!$A:$A,"Green Stone Trust")+SUMIFS(Movimientos!$K$1:$K$1048575,Movimientos!$C$1:$C$1048575,"Green Stone Trust",Movimientos!$B$1:$B$1048575,"&lt;="&amp;$B13)</f>
        <v>1968.99</v>
      </c>
      <c r="O13" s="26">
        <f>SUMIFS('Saldos Iniciales'!$D:$D,'Saldos Iniciales'!$A:$A,"EC Auto")+SUMIFS(Movimientos!$K$1:$K$1048575,Movimientos!$C$1:$C$1048575,"EC Auto",Movimientos!$B$1:$B$1048575,"&lt;="&amp;$B13)</f>
        <v>901.34</v>
      </c>
      <c r="P13" s="26">
        <f>SUMIFS('Saldos Iniciales'!$D:$D,'Saldos Iniciales'!$A:$A,"Arbor Capital Properties")+SUMIFS(Movimientos!$K$1:$K$1048575,Movimientos!$C$1:$C$1048575,"Arbor Capital Properties",Movimientos!$B$1:$B$1048575,"&lt;="&amp;$B13)</f>
        <v>1444.08</v>
      </c>
      <c r="Q13" s="26">
        <f>SUMIFS('Saldos Iniciales'!$D:$D,'Saldos Iniciales'!$A:$A,"2515 Overbrook")+SUMIFS(Movimientos!$K$1:$K$1048575,Movimientos!$C$1:$C$1048575,"2515 Overbrook",Movimientos!$B$1:$B$1048575,"&lt;="&amp;$B13)</f>
        <v>19092.599999999962</v>
      </c>
      <c r="R13" s="26">
        <f>SUMIFS('Saldos Iniciales'!$D:$D,'Saldos Iniciales'!$A:$A,"112 Florida Ave")+SUMIFS(Movimientos!$K$1:$K$1048575,Movimientos!$C$1:$C$1048575,"112 Florida Ave",Movimientos!$B$1:$B$1048575,"&lt;="&amp;$B13)</f>
        <v>15120.060000000001</v>
      </c>
      <c r="S13" s="26">
        <f>SUMIFS('Saldos Iniciales'!$D:$D,'Saldos Iniciales'!$A:$A,"3628 Thomas Ave")+SUMIFS(Movimientos!$K$1:$K$1048575,Movimientos!$C$1:$C$1048575,"3628 Thomas Ave",Movimientos!$B$1:$B$1048575,"&lt;="&amp;$B13)</f>
        <v>31323.39</v>
      </c>
      <c r="T13" s="26">
        <f>SUMIFS('Saldos Iniciales'!$D:$D,'Saldos Iniciales'!$A:$A,"Green Harbor Trust")+SUMIFS(Movimientos!$K$1:$K$1048575,Movimientos!$C$1:$C$1048575,"Green Harbor Trust",Movimientos!$B$1:$B$1048575,"&lt;="&amp;$B13)</f>
        <v>345</v>
      </c>
      <c r="U13" s="26">
        <f>SUMIFS('Saldos Iniciales'!$D:$D,'Saldos Iniciales'!$A:$A,"Go Blue")+SUMIFS(Movimientos!$K$1:$K$1048575,Movimientos!$C$1:$C$1048575,"Go Blue",Movimientos!$B$1:$B$1048575,"&lt;="&amp;$B13)</f>
        <v>16741.59</v>
      </c>
      <c r="V13" s="27">
        <f t="shared" si="0"/>
        <v>3249566.1299999994</v>
      </c>
    </row>
    <row r="14" spans="1:22" hidden="1" outlineLevel="1" x14ac:dyDescent="0.3">
      <c r="A14" s="24">
        <f t="shared" si="1"/>
        <v>13</v>
      </c>
      <c r="B14" s="25">
        <v>46155</v>
      </c>
      <c r="C14" s="26">
        <f>SUMIFS('Saldos Iniciales'!$D:$D,'Saldos Iniciales'!$A:$A,"CFT Group")+SUMIFS(Movimientos!$K$1:$K$1048575,Movimientos!$C$1:$C$1048575,"CFT Group",Movimientos!$B$1:$B$1048575,"&lt;="&amp;$B14)</f>
        <v>606714.4700000002</v>
      </c>
      <c r="D14" s="26">
        <f>SUMIFS('Saldos Iniciales'!$D:$D,'Saldos Iniciales'!$A:$A,"M1B")+SUMIFS(Movimientos!$K$1:$K$1048575,Movimientos!$C$1:$C$1048575,"M1B",Movimientos!$B$1:$B$1048575,"&lt;="&amp;$B14)</f>
        <v>58840.089999999938</v>
      </c>
      <c r="E14" s="26">
        <f>SUMIFS('Saldos Iniciales'!$D:$D,'Saldos Iniciales'!$A:$A,"Durand")+SUMIFS(Movimientos!$K$1:$K$1048575,Movimientos!$C$1:$C$1048575,"Durand",Movimientos!$B$1:$B$1048575,"&lt;="&amp;$B14)</f>
        <v>1669.89</v>
      </c>
      <c r="F14" s="26">
        <f>SUMIFS('Saldos Iniciales'!$D:$D,'Saldos Iniciales'!$A:$A,"A&amp;M Imports")+SUMIFS(Movimientos!$K$1:$K$1048575,Movimientos!$C$1:$C$1048575,"A&amp;M Imports",Movimientos!$B$1:$B$1048575,"&lt;="&amp;$B14)</f>
        <v>1242679.67</v>
      </c>
      <c r="G14" s="26">
        <f>SUMIFS('Saldos Iniciales'!$D:$D,'Saldos Iniciales'!$A:$A,"SSP Capital")+SUMIFS(Movimientos!$K$1:$K$1048575,Movimientos!$C$1:$C$1048575,"SSP Capital",Movimientos!$B$1:$B$1048575,"&lt;="&amp;$B14)</f>
        <v>1162404.8599999992</v>
      </c>
      <c r="H14" s="26">
        <f>SUMIFS('Saldos Iniciales'!$D:$D,'Saldos Iniciales'!$A:$A,"Cross Family Trust")+SUMIFS(Movimientos!$K$1:$K$1048575,Movimientos!$C$1:$C$1048575,"Cross Family Trust",Movimientos!$B$1:$B$1048575,"&lt;="&amp;$B14)</f>
        <v>84224.49</v>
      </c>
      <c r="I14" s="26">
        <f>SUMIFS('Saldos Iniciales'!$D:$D,'Saldos Iniciales'!$A:$A,"Cross Security Trust")+SUMIFS(Movimientos!$K$1:$K$1048575,Movimientos!$C$1:$C$1048575,"Cross Security Trust",Movimientos!$B$1:$B$1048575,"&lt;="&amp;$B14)</f>
        <v>13090.369999999997</v>
      </c>
      <c r="J14" s="26">
        <f>SUMIFS('Saldos Iniciales'!$D:$D,'Saldos Iniciales'!$A:$A,"Electrama")+SUMIFS(Movimientos!$K$1:$K$1048575,Movimientos!$C$1:$C$1048575,"Electrama",Movimientos!$B$1:$B$1048575,"&lt;="&amp;$B14)</f>
        <v>2498.3999999999996</v>
      </c>
      <c r="K14" s="26">
        <f>SUMIFS('Saldos Iniciales'!$D:$D,'Saldos Iniciales'!$A:$A,"Sacred Valley Capital")+SUMIFS(Movimientos!$K$1:$K$1048575,Movimientos!$C$1:$C$1048575,"Sacred Valley Capital",Movimientos!$B$1:$B$1048575,"&lt;="&amp;$B14)</f>
        <v>114.3</v>
      </c>
      <c r="L14" s="26">
        <f>SUMIFS('Saldos Iniciales'!$D:$D,'Saldos Iniciales'!$A:$A,"YWC Capital")+SUMIFS(Movimientos!$K$1:$K$1048575,Movimientos!$C$1:$C$1048575,"YWC Capital",Movimientos!$B$1:$B$1048575,"&lt;="&amp;$B14)</f>
        <v>2267.7200000000003</v>
      </c>
      <c r="M14" s="26">
        <f>SUMIFS('Saldos Iniciales'!$D:$D,'Saldos Iniciales'!$A:$A,"Soweto")+SUMIFS(Movimientos!$K$1:$K$1048575,Movimientos!$C$1:$C$1048575,"Soweto",Movimientos!$B$1:$B$1048575,"&lt;="&amp;$B14)</f>
        <v>3349.94</v>
      </c>
      <c r="N14" s="26">
        <f>SUMIFS('Saldos Iniciales'!$D:$D,'Saldos Iniciales'!$A:$A,"Green Stone Trust")+SUMIFS(Movimientos!$K$1:$K$1048575,Movimientos!$C$1:$C$1048575,"Green Stone Trust",Movimientos!$B$1:$B$1048575,"&lt;="&amp;$B14)</f>
        <v>1968.99</v>
      </c>
      <c r="O14" s="26">
        <f>SUMIFS('Saldos Iniciales'!$D:$D,'Saldos Iniciales'!$A:$A,"EC Auto")+SUMIFS(Movimientos!$K$1:$K$1048575,Movimientos!$C$1:$C$1048575,"EC Auto",Movimientos!$B$1:$B$1048575,"&lt;="&amp;$B14)</f>
        <v>901.34</v>
      </c>
      <c r="P14" s="26">
        <f>SUMIFS('Saldos Iniciales'!$D:$D,'Saldos Iniciales'!$A:$A,"Arbor Capital Properties")+SUMIFS(Movimientos!$K$1:$K$1048575,Movimientos!$C$1:$C$1048575,"Arbor Capital Properties",Movimientos!$B$1:$B$1048575,"&lt;="&amp;$B14)</f>
        <v>1444.08</v>
      </c>
      <c r="Q14" s="26">
        <f>SUMIFS('Saldos Iniciales'!$D:$D,'Saldos Iniciales'!$A:$A,"2515 Overbrook")+SUMIFS(Movimientos!$K$1:$K$1048575,Movimientos!$C$1:$C$1048575,"2515 Overbrook",Movimientos!$B$1:$B$1048575,"&lt;="&amp;$B14)</f>
        <v>18242.599999999962</v>
      </c>
      <c r="R14" s="26">
        <f>SUMIFS('Saldos Iniciales'!$D:$D,'Saldos Iniciales'!$A:$A,"112 Florida Ave")+SUMIFS(Movimientos!$K$1:$K$1048575,Movimientos!$C$1:$C$1048575,"112 Florida Ave",Movimientos!$B$1:$B$1048575,"&lt;="&amp;$B14)</f>
        <v>15120.060000000001</v>
      </c>
      <c r="S14" s="26">
        <f>SUMIFS('Saldos Iniciales'!$D:$D,'Saldos Iniciales'!$A:$A,"3628 Thomas Ave")+SUMIFS(Movimientos!$K$1:$K$1048575,Movimientos!$C$1:$C$1048575,"3628 Thomas Ave",Movimientos!$B$1:$B$1048575,"&lt;="&amp;$B14)</f>
        <v>31323.39</v>
      </c>
      <c r="T14" s="26">
        <f>SUMIFS('Saldos Iniciales'!$D:$D,'Saldos Iniciales'!$A:$A,"Green Harbor Trust")+SUMIFS(Movimientos!$K$1:$K$1048575,Movimientos!$C$1:$C$1048575,"Green Harbor Trust",Movimientos!$B$1:$B$1048575,"&lt;="&amp;$B14)</f>
        <v>345</v>
      </c>
      <c r="U14" s="26">
        <f>SUMIFS('Saldos Iniciales'!$D:$D,'Saldos Iniciales'!$A:$A,"Go Blue")+SUMIFS(Movimientos!$K$1:$K$1048575,Movimientos!$C$1:$C$1048575,"Go Blue",Movimientos!$B$1:$B$1048575,"&lt;="&amp;$B14)</f>
        <v>16741.59</v>
      </c>
      <c r="V14" s="27">
        <f t="shared" si="0"/>
        <v>3263941.25</v>
      </c>
    </row>
    <row r="15" spans="1:22" hidden="1" outlineLevel="1" x14ac:dyDescent="0.3">
      <c r="A15" s="24">
        <f t="shared" si="1"/>
        <v>14</v>
      </c>
      <c r="B15" s="25">
        <v>46156</v>
      </c>
      <c r="C15" s="26">
        <f>SUMIFS('Saldos Iniciales'!$D:$D,'Saldos Iniciales'!$A:$A,"CFT Group")+SUMIFS(Movimientos!$K$1:$K$1048575,Movimientos!$C$1:$C$1048575,"CFT Group",Movimientos!$B$1:$B$1048575,"&lt;="&amp;$B15)</f>
        <v>165752.81000000023</v>
      </c>
      <c r="D15" s="26">
        <f>SUMIFS('Saldos Iniciales'!$D:$D,'Saldos Iniciales'!$A:$A,"M1B")+SUMIFS(Movimientos!$K$1:$K$1048575,Movimientos!$C$1:$C$1048575,"M1B",Movimientos!$B$1:$B$1048575,"&lt;="&amp;$B15)</f>
        <v>59760.159999999938</v>
      </c>
      <c r="E15" s="26">
        <f>SUMIFS('Saldos Iniciales'!$D:$D,'Saldos Iniciales'!$A:$A,"Durand")+SUMIFS(Movimientos!$K$1:$K$1048575,Movimientos!$C$1:$C$1048575,"Durand",Movimientos!$B$1:$B$1048575,"&lt;="&amp;$B15)</f>
        <v>1669.89</v>
      </c>
      <c r="F15" s="26">
        <f>SUMIFS('Saldos Iniciales'!$D:$D,'Saldos Iniciales'!$A:$A,"A&amp;M Imports")+SUMIFS(Movimientos!$K$1:$K$1048575,Movimientos!$C$1:$C$1048575,"A&amp;M Imports",Movimientos!$B$1:$B$1048575,"&lt;="&amp;$B15)</f>
        <v>832679.66999999981</v>
      </c>
      <c r="G15" s="26">
        <f>SUMIFS('Saldos Iniciales'!$D:$D,'Saldos Iniciales'!$A:$A,"SSP Capital")+SUMIFS(Movimientos!$K$1:$K$1048575,Movimientos!$C$1:$C$1048575,"SSP Capital",Movimientos!$B$1:$B$1048575,"&lt;="&amp;$B15)</f>
        <v>952193.18999999925</v>
      </c>
      <c r="H15" s="26">
        <f>SUMIFS('Saldos Iniciales'!$D:$D,'Saldos Iniciales'!$A:$A,"Cross Family Trust")+SUMIFS(Movimientos!$K$1:$K$1048575,Movimientos!$C$1:$C$1048575,"Cross Family Trust",Movimientos!$B$1:$B$1048575,"&lt;="&amp;$B15)</f>
        <v>84224.49</v>
      </c>
      <c r="I15" s="26">
        <f>SUMIFS('Saldos Iniciales'!$D:$D,'Saldos Iniciales'!$A:$A,"Cross Security Trust")+SUMIFS(Movimientos!$K$1:$K$1048575,Movimientos!$C$1:$C$1048575,"Cross Security Trust",Movimientos!$B$1:$B$1048575,"&lt;="&amp;$B15)</f>
        <v>13090.369999999997</v>
      </c>
      <c r="J15" s="26">
        <f>SUMIFS('Saldos Iniciales'!$D:$D,'Saldos Iniciales'!$A:$A,"Electrama")+SUMIFS(Movimientos!$K$1:$K$1048575,Movimientos!$C$1:$C$1048575,"Electrama",Movimientos!$B$1:$B$1048575,"&lt;="&amp;$B15)</f>
        <v>2498.3999999999996</v>
      </c>
      <c r="K15" s="26">
        <f>SUMIFS('Saldos Iniciales'!$D:$D,'Saldos Iniciales'!$A:$A,"Sacred Valley Capital")+SUMIFS(Movimientos!$K$1:$K$1048575,Movimientos!$C$1:$C$1048575,"Sacred Valley Capital",Movimientos!$B$1:$B$1048575,"&lt;="&amp;$B15)</f>
        <v>114.3</v>
      </c>
      <c r="L15" s="26">
        <f>SUMIFS('Saldos Iniciales'!$D:$D,'Saldos Iniciales'!$A:$A,"YWC Capital")+SUMIFS(Movimientos!$K$1:$K$1048575,Movimientos!$C$1:$C$1048575,"YWC Capital",Movimientos!$B$1:$B$1048575,"&lt;="&amp;$B15)</f>
        <v>2267.7200000000003</v>
      </c>
      <c r="M15" s="26">
        <f>SUMIFS('Saldos Iniciales'!$D:$D,'Saldos Iniciales'!$A:$A,"Soweto")+SUMIFS(Movimientos!$K$1:$K$1048575,Movimientos!$C$1:$C$1048575,"Soweto",Movimientos!$B$1:$B$1048575,"&lt;="&amp;$B15)</f>
        <v>3349.94</v>
      </c>
      <c r="N15" s="26">
        <f>SUMIFS('Saldos Iniciales'!$D:$D,'Saldos Iniciales'!$A:$A,"Green Stone Trust")+SUMIFS(Movimientos!$K$1:$K$1048575,Movimientos!$C$1:$C$1048575,"Green Stone Trust",Movimientos!$B$1:$B$1048575,"&lt;="&amp;$B15)</f>
        <v>1968.99</v>
      </c>
      <c r="O15" s="26">
        <f>SUMIFS('Saldos Iniciales'!$D:$D,'Saldos Iniciales'!$A:$A,"EC Auto")+SUMIFS(Movimientos!$K$1:$K$1048575,Movimientos!$C$1:$C$1048575,"EC Auto",Movimientos!$B$1:$B$1048575,"&lt;="&amp;$B15)</f>
        <v>901.34</v>
      </c>
      <c r="P15" s="26">
        <f>SUMIFS('Saldos Iniciales'!$D:$D,'Saldos Iniciales'!$A:$A,"Arbor Capital Properties")+SUMIFS(Movimientos!$K$1:$K$1048575,Movimientos!$C$1:$C$1048575,"Arbor Capital Properties",Movimientos!$B$1:$B$1048575,"&lt;="&amp;$B15)</f>
        <v>1444.08</v>
      </c>
      <c r="Q15" s="26">
        <f>SUMIFS('Saldos Iniciales'!$D:$D,'Saldos Iniciales'!$A:$A,"2515 Overbrook")+SUMIFS(Movimientos!$K$1:$K$1048575,Movimientos!$C$1:$C$1048575,"2515 Overbrook",Movimientos!$B$1:$B$1048575,"&lt;="&amp;$B15)</f>
        <v>18242.599999999962</v>
      </c>
      <c r="R15" s="26">
        <f>SUMIFS('Saldos Iniciales'!$D:$D,'Saldos Iniciales'!$A:$A,"112 Florida Ave")+SUMIFS(Movimientos!$K$1:$K$1048575,Movimientos!$C$1:$C$1048575,"112 Florida Ave",Movimientos!$B$1:$B$1048575,"&lt;="&amp;$B15)</f>
        <v>15120.060000000001</v>
      </c>
      <c r="S15" s="26">
        <f>SUMIFS('Saldos Iniciales'!$D:$D,'Saldos Iniciales'!$A:$A,"3628 Thomas Ave")+SUMIFS(Movimientos!$K$1:$K$1048575,Movimientos!$C$1:$C$1048575,"3628 Thomas Ave",Movimientos!$B$1:$B$1048575,"&lt;="&amp;$B15)</f>
        <v>31323.39</v>
      </c>
      <c r="T15" s="26">
        <f>SUMIFS('Saldos Iniciales'!$D:$D,'Saldos Iniciales'!$A:$A,"Green Harbor Trust")+SUMIFS(Movimientos!$K$1:$K$1048575,Movimientos!$C$1:$C$1048575,"Green Harbor Trust",Movimientos!$B$1:$B$1048575,"&lt;="&amp;$B15)</f>
        <v>345</v>
      </c>
      <c r="U15" s="26">
        <f>SUMIFS('Saldos Iniciales'!$D:$D,'Saldos Iniciales'!$A:$A,"Go Blue")+SUMIFS(Movimientos!$K$1:$K$1048575,Movimientos!$C$1:$C$1048575,"Go Blue",Movimientos!$B$1:$B$1048575,"&lt;="&amp;$B15)</f>
        <v>14226.59</v>
      </c>
      <c r="V15" s="27">
        <f t="shared" si="0"/>
        <v>2201172.9899999993</v>
      </c>
    </row>
    <row r="16" spans="1:22" hidden="1" outlineLevel="1" x14ac:dyDescent="0.3">
      <c r="A16" s="24">
        <f t="shared" si="1"/>
        <v>15</v>
      </c>
      <c r="B16" s="25">
        <v>46157</v>
      </c>
      <c r="C16" s="26">
        <f>SUMIFS('Saldos Iniciales'!$D:$D,'Saldos Iniciales'!$A:$A,"CFT Group")+SUMIFS(Movimientos!$K$1:$K$1048575,Movimientos!$C$1:$C$1048575,"CFT Group",Movimientos!$B$1:$B$1048575,"&lt;="&amp;$B16)</f>
        <v>165752.81000000023</v>
      </c>
      <c r="D16" s="26">
        <f>SUMIFS('Saldos Iniciales'!$D:$D,'Saldos Iniciales'!$A:$A,"M1B")+SUMIFS(Movimientos!$K$1:$K$1048575,Movimientos!$C$1:$C$1048575,"M1B",Movimientos!$B$1:$B$1048575,"&lt;="&amp;$B16)</f>
        <v>59760.159999999938</v>
      </c>
      <c r="E16" s="26">
        <f>SUMIFS('Saldos Iniciales'!$D:$D,'Saldos Iniciales'!$A:$A,"Durand")+SUMIFS(Movimientos!$K$1:$K$1048575,Movimientos!$C$1:$C$1048575,"Durand",Movimientos!$B$1:$B$1048575,"&lt;="&amp;$B16)</f>
        <v>1669.89</v>
      </c>
      <c r="F16" s="26">
        <f>SUMIFS('Saldos Iniciales'!$D:$D,'Saldos Iniciales'!$A:$A,"A&amp;M Imports")+SUMIFS(Movimientos!$K$1:$K$1048575,Movimientos!$C$1:$C$1048575,"A&amp;M Imports",Movimientos!$B$1:$B$1048575,"&lt;="&amp;$B16)</f>
        <v>832076.20999999985</v>
      </c>
      <c r="G16" s="26">
        <f>SUMIFS('Saldos Iniciales'!$D:$D,'Saldos Iniciales'!$A:$A,"SSP Capital")+SUMIFS(Movimientos!$K$1:$K$1048575,Movimientos!$C$1:$C$1048575,"SSP Capital",Movimientos!$B$1:$B$1048575,"&lt;="&amp;$B16)</f>
        <v>952163.77999999933</v>
      </c>
      <c r="H16" s="26">
        <f>SUMIFS('Saldos Iniciales'!$D:$D,'Saldos Iniciales'!$A:$A,"Cross Family Trust")+SUMIFS(Movimientos!$K$1:$K$1048575,Movimientos!$C$1:$C$1048575,"Cross Family Trust",Movimientos!$B$1:$B$1048575,"&lt;="&amp;$B16)</f>
        <v>84224.49</v>
      </c>
      <c r="I16" s="26">
        <f>SUMIFS('Saldos Iniciales'!$D:$D,'Saldos Iniciales'!$A:$A,"Cross Security Trust")+SUMIFS(Movimientos!$K$1:$K$1048575,Movimientos!$C$1:$C$1048575,"Cross Security Trust",Movimientos!$B$1:$B$1048575,"&lt;="&amp;$B16)</f>
        <v>13090.369999999997</v>
      </c>
      <c r="J16" s="26">
        <f>SUMIFS('Saldos Iniciales'!$D:$D,'Saldos Iniciales'!$A:$A,"Electrama")+SUMIFS(Movimientos!$K$1:$K$1048575,Movimientos!$C$1:$C$1048575,"Electrama",Movimientos!$B$1:$B$1048575,"&lt;="&amp;$B16)</f>
        <v>2498.3999999999996</v>
      </c>
      <c r="K16" s="26">
        <f>SUMIFS('Saldos Iniciales'!$D:$D,'Saldos Iniciales'!$A:$A,"Sacred Valley Capital")+SUMIFS(Movimientos!$K$1:$K$1048575,Movimientos!$C$1:$C$1048575,"Sacred Valley Capital",Movimientos!$B$1:$B$1048575,"&lt;="&amp;$B16)</f>
        <v>114.3</v>
      </c>
      <c r="L16" s="26">
        <f>SUMIFS('Saldos Iniciales'!$D:$D,'Saldos Iniciales'!$A:$A,"YWC Capital")+SUMIFS(Movimientos!$K$1:$K$1048575,Movimientos!$C$1:$C$1048575,"YWC Capital",Movimientos!$B$1:$B$1048575,"&lt;="&amp;$B16)</f>
        <v>2267.7200000000003</v>
      </c>
      <c r="M16" s="26">
        <f>SUMIFS('Saldos Iniciales'!$D:$D,'Saldos Iniciales'!$A:$A,"Soweto")+SUMIFS(Movimientos!$K$1:$K$1048575,Movimientos!$C$1:$C$1048575,"Soweto",Movimientos!$B$1:$B$1048575,"&lt;="&amp;$B16)</f>
        <v>3349.94</v>
      </c>
      <c r="N16" s="26">
        <f>SUMIFS('Saldos Iniciales'!$D:$D,'Saldos Iniciales'!$A:$A,"Green Stone Trust")+SUMIFS(Movimientos!$K$1:$K$1048575,Movimientos!$C$1:$C$1048575,"Green Stone Trust",Movimientos!$B$1:$B$1048575,"&lt;="&amp;$B16)</f>
        <v>1968.99</v>
      </c>
      <c r="O16" s="26">
        <f>SUMIFS('Saldos Iniciales'!$D:$D,'Saldos Iniciales'!$A:$A,"EC Auto")+SUMIFS(Movimientos!$K$1:$K$1048575,Movimientos!$C$1:$C$1048575,"EC Auto",Movimientos!$B$1:$B$1048575,"&lt;="&amp;$B16)</f>
        <v>901.34</v>
      </c>
      <c r="P16" s="26">
        <f>SUMIFS('Saldos Iniciales'!$D:$D,'Saldos Iniciales'!$A:$A,"Arbor Capital Properties")+SUMIFS(Movimientos!$K$1:$K$1048575,Movimientos!$C$1:$C$1048575,"Arbor Capital Properties",Movimientos!$B$1:$B$1048575,"&lt;="&amp;$B16)</f>
        <v>1444.08</v>
      </c>
      <c r="Q16" s="26">
        <f>SUMIFS('Saldos Iniciales'!$D:$D,'Saldos Iniciales'!$A:$A,"2515 Overbrook")+SUMIFS(Movimientos!$K$1:$K$1048575,Movimientos!$C$1:$C$1048575,"2515 Overbrook",Movimientos!$B$1:$B$1048575,"&lt;="&amp;$B16)</f>
        <v>18242.599999999962</v>
      </c>
      <c r="R16" s="26">
        <f>SUMIFS('Saldos Iniciales'!$D:$D,'Saldos Iniciales'!$A:$A,"112 Florida Ave")+SUMIFS(Movimientos!$K$1:$K$1048575,Movimientos!$C$1:$C$1048575,"112 Florida Ave",Movimientos!$B$1:$B$1048575,"&lt;="&amp;$B16)</f>
        <v>15120.060000000001</v>
      </c>
      <c r="S16" s="26">
        <f>SUMIFS('Saldos Iniciales'!$D:$D,'Saldos Iniciales'!$A:$A,"3628 Thomas Ave")+SUMIFS(Movimientos!$K$1:$K$1048575,Movimientos!$C$1:$C$1048575,"3628 Thomas Ave",Movimientos!$B$1:$B$1048575,"&lt;="&amp;$B16)</f>
        <v>27011.27</v>
      </c>
      <c r="T16" s="26">
        <f>SUMIFS('Saldos Iniciales'!$D:$D,'Saldos Iniciales'!$A:$A,"Green Harbor Trust")+SUMIFS(Movimientos!$K$1:$K$1048575,Movimientos!$C$1:$C$1048575,"Green Harbor Trust",Movimientos!$B$1:$B$1048575,"&lt;="&amp;$B16)</f>
        <v>345</v>
      </c>
      <c r="U16" s="26">
        <f>SUMIFS('Saldos Iniciales'!$D:$D,'Saldos Iniciales'!$A:$A,"Go Blue")+SUMIFS(Movimientos!$K$1:$K$1048575,Movimientos!$C$1:$C$1048575,"Go Blue",Movimientos!$B$1:$B$1048575,"&lt;="&amp;$B16)</f>
        <v>14176.59</v>
      </c>
      <c r="V16" s="27">
        <f t="shared" si="0"/>
        <v>2196177.9999999995</v>
      </c>
    </row>
    <row r="17" spans="1:22" hidden="1" outlineLevel="1" x14ac:dyDescent="0.3">
      <c r="A17" s="24">
        <f t="shared" si="1"/>
        <v>16</v>
      </c>
      <c r="B17" s="25">
        <v>46158</v>
      </c>
      <c r="C17" s="26">
        <f>SUMIFS('Saldos Iniciales'!$D:$D,'Saldos Iniciales'!$A:$A,"CFT Group")+SUMIFS(Movimientos!$K$1:$K$1048575,Movimientos!$C$1:$C$1048575,"CFT Group",Movimientos!$B$1:$B$1048575,"&lt;="&amp;$B17)</f>
        <v>165752.81000000023</v>
      </c>
      <c r="D17" s="26">
        <f>SUMIFS('Saldos Iniciales'!$D:$D,'Saldos Iniciales'!$A:$A,"M1B")+SUMIFS(Movimientos!$K$1:$K$1048575,Movimientos!$C$1:$C$1048575,"M1B",Movimientos!$B$1:$B$1048575,"&lt;="&amp;$B17)</f>
        <v>59760.159999999938</v>
      </c>
      <c r="E17" s="26">
        <f>SUMIFS('Saldos Iniciales'!$D:$D,'Saldos Iniciales'!$A:$A,"Durand")+SUMIFS(Movimientos!$K$1:$K$1048575,Movimientos!$C$1:$C$1048575,"Durand",Movimientos!$B$1:$B$1048575,"&lt;="&amp;$B17)</f>
        <v>1669.89</v>
      </c>
      <c r="F17" s="26">
        <f>SUMIFS('Saldos Iniciales'!$D:$D,'Saldos Iniciales'!$A:$A,"A&amp;M Imports")+SUMIFS(Movimientos!$K$1:$K$1048575,Movimientos!$C$1:$C$1048575,"A&amp;M Imports",Movimientos!$B$1:$B$1048575,"&lt;="&amp;$B17)</f>
        <v>832076.20999999985</v>
      </c>
      <c r="G17" s="26">
        <f>SUMIFS('Saldos Iniciales'!$D:$D,'Saldos Iniciales'!$A:$A,"SSP Capital")+SUMIFS(Movimientos!$K$1:$K$1048575,Movimientos!$C$1:$C$1048575,"SSP Capital",Movimientos!$B$1:$B$1048575,"&lt;="&amp;$B17)</f>
        <v>952163.77999999933</v>
      </c>
      <c r="H17" s="26">
        <f>SUMIFS('Saldos Iniciales'!$D:$D,'Saldos Iniciales'!$A:$A,"Cross Family Trust")+SUMIFS(Movimientos!$K$1:$K$1048575,Movimientos!$C$1:$C$1048575,"Cross Family Trust",Movimientos!$B$1:$B$1048575,"&lt;="&amp;$B17)</f>
        <v>84224.49</v>
      </c>
      <c r="I17" s="26">
        <f>SUMIFS('Saldos Iniciales'!$D:$D,'Saldos Iniciales'!$A:$A,"Cross Security Trust")+SUMIFS(Movimientos!$K$1:$K$1048575,Movimientos!$C$1:$C$1048575,"Cross Security Trust",Movimientos!$B$1:$B$1048575,"&lt;="&amp;$B17)</f>
        <v>13090.369999999997</v>
      </c>
      <c r="J17" s="26">
        <f>SUMIFS('Saldos Iniciales'!$D:$D,'Saldos Iniciales'!$A:$A,"Electrama")+SUMIFS(Movimientos!$K$1:$K$1048575,Movimientos!$C$1:$C$1048575,"Electrama",Movimientos!$B$1:$B$1048575,"&lt;="&amp;$B17)</f>
        <v>2498.3999999999996</v>
      </c>
      <c r="K17" s="26">
        <f>SUMIFS('Saldos Iniciales'!$D:$D,'Saldos Iniciales'!$A:$A,"Sacred Valley Capital")+SUMIFS(Movimientos!$K$1:$K$1048575,Movimientos!$C$1:$C$1048575,"Sacred Valley Capital",Movimientos!$B$1:$B$1048575,"&lt;="&amp;$B17)</f>
        <v>114.3</v>
      </c>
      <c r="L17" s="26">
        <f>SUMIFS('Saldos Iniciales'!$D:$D,'Saldos Iniciales'!$A:$A,"YWC Capital")+SUMIFS(Movimientos!$K$1:$K$1048575,Movimientos!$C$1:$C$1048575,"YWC Capital",Movimientos!$B$1:$B$1048575,"&lt;="&amp;$B17)</f>
        <v>2267.7200000000003</v>
      </c>
      <c r="M17" s="26">
        <f>SUMIFS('Saldos Iniciales'!$D:$D,'Saldos Iniciales'!$A:$A,"Soweto")+SUMIFS(Movimientos!$K$1:$K$1048575,Movimientos!$C$1:$C$1048575,"Soweto",Movimientos!$B$1:$B$1048575,"&lt;="&amp;$B17)</f>
        <v>3349.94</v>
      </c>
      <c r="N17" s="26">
        <f>SUMIFS('Saldos Iniciales'!$D:$D,'Saldos Iniciales'!$A:$A,"Green Stone Trust")+SUMIFS(Movimientos!$K$1:$K$1048575,Movimientos!$C$1:$C$1048575,"Green Stone Trust",Movimientos!$B$1:$B$1048575,"&lt;="&amp;$B17)</f>
        <v>1968.99</v>
      </c>
      <c r="O17" s="26">
        <f>SUMIFS('Saldos Iniciales'!$D:$D,'Saldos Iniciales'!$A:$A,"EC Auto")+SUMIFS(Movimientos!$K$1:$K$1048575,Movimientos!$C$1:$C$1048575,"EC Auto",Movimientos!$B$1:$B$1048575,"&lt;="&amp;$B17)</f>
        <v>901.34</v>
      </c>
      <c r="P17" s="26">
        <f>SUMIFS('Saldos Iniciales'!$D:$D,'Saldos Iniciales'!$A:$A,"Arbor Capital Properties")+SUMIFS(Movimientos!$K$1:$K$1048575,Movimientos!$C$1:$C$1048575,"Arbor Capital Properties",Movimientos!$B$1:$B$1048575,"&lt;="&amp;$B17)</f>
        <v>1444.08</v>
      </c>
      <c r="Q17" s="26">
        <f>SUMIFS('Saldos Iniciales'!$D:$D,'Saldos Iniciales'!$A:$A,"2515 Overbrook")+SUMIFS(Movimientos!$K$1:$K$1048575,Movimientos!$C$1:$C$1048575,"2515 Overbrook",Movimientos!$B$1:$B$1048575,"&lt;="&amp;$B17)</f>
        <v>18242.599999999962</v>
      </c>
      <c r="R17" s="26">
        <f>SUMIFS('Saldos Iniciales'!$D:$D,'Saldos Iniciales'!$A:$A,"112 Florida Ave")+SUMIFS(Movimientos!$K$1:$K$1048575,Movimientos!$C$1:$C$1048575,"112 Florida Ave",Movimientos!$B$1:$B$1048575,"&lt;="&amp;$B17)</f>
        <v>15120.060000000001</v>
      </c>
      <c r="S17" s="26">
        <f>SUMIFS('Saldos Iniciales'!$D:$D,'Saldos Iniciales'!$A:$A,"3628 Thomas Ave")+SUMIFS(Movimientos!$K$1:$K$1048575,Movimientos!$C$1:$C$1048575,"3628 Thomas Ave",Movimientos!$B$1:$B$1048575,"&lt;="&amp;$B17)</f>
        <v>27011.27</v>
      </c>
      <c r="T17" s="26">
        <f>SUMIFS('Saldos Iniciales'!$D:$D,'Saldos Iniciales'!$A:$A,"Green Harbor Trust")+SUMIFS(Movimientos!$K$1:$K$1048575,Movimientos!$C$1:$C$1048575,"Green Harbor Trust",Movimientos!$B$1:$B$1048575,"&lt;="&amp;$B17)</f>
        <v>345</v>
      </c>
      <c r="U17" s="26">
        <f>SUMIFS('Saldos Iniciales'!$D:$D,'Saldos Iniciales'!$A:$A,"Go Blue")+SUMIFS(Movimientos!$K$1:$K$1048575,Movimientos!$C$1:$C$1048575,"Go Blue",Movimientos!$B$1:$B$1048575,"&lt;="&amp;$B17)</f>
        <v>14176.59</v>
      </c>
      <c r="V17" s="27">
        <f t="shared" si="0"/>
        <v>2196177.9999999995</v>
      </c>
    </row>
    <row r="18" spans="1:22" hidden="1" outlineLevel="1" x14ac:dyDescent="0.3">
      <c r="A18" s="24">
        <f t="shared" si="1"/>
        <v>17</v>
      </c>
      <c r="B18" s="25">
        <v>46159</v>
      </c>
      <c r="C18" s="26">
        <f>SUMIFS('Saldos Iniciales'!$D:$D,'Saldos Iniciales'!$A:$A,"CFT Group")+SUMIFS(Movimientos!$K$1:$K$1048575,Movimientos!$C$1:$C$1048575,"CFT Group",Movimientos!$B$1:$B$1048575,"&lt;="&amp;$B18)</f>
        <v>165752.81000000023</v>
      </c>
      <c r="D18" s="26">
        <f>SUMIFS('Saldos Iniciales'!$D:$D,'Saldos Iniciales'!$A:$A,"M1B")+SUMIFS(Movimientos!$K$1:$K$1048575,Movimientos!$C$1:$C$1048575,"M1B",Movimientos!$B$1:$B$1048575,"&lt;="&amp;$B18)</f>
        <v>59760.159999999938</v>
      </c>
      <c r="E18" s="26">
        <f>SUMIFS('Saldos Iniciales'!$D:$D,'Saldos Iniciales'!$A:$A,"Durand")+SUMIFS(Movimientos!$K$1:$K$1048575,Movimientos!$C$1:$C$1048575,"Durand",Movimientos!$B$1:$B$1048575,"&lt;="&amp;$B18)</f>
        <v>1669.89</v>
      </c>
      <c r="F18" s="26">
        <f>SUMIFS('Saldos Iniciales'!$D:$D,'Saldos Iniciales'!$A:$A,"A&amp;M Imports")+SUMIFS(Movimientos!$K$1:$K$1048575,Movimientos!$C$1:$C$1048575,"A&amp;M Imports",Movimientos!$B$1:$B$1048575,"&lt;="&amp;$B18)</f>
        <v>832076.20999999985</v>
      </c>
      <c r="G18" s="26">
        <f>SUMIFS('Saldos Iniciales'!$D:$D,'Saldos Iniciales'!$A:$A,"SSP Capital")+SUMIFS(Movimientos!$K$1:$K$1048575,Movimientos!$C$1:$C$1048575,"SSP Capital",Movimientos!$B$1:$B$1048575,"&lt;="&amp;$B18)</f>
        <v>952163.77999999933</v>
      </c>
      <c r="H18" s="26">
        <f>SUMIFS('Saldos Iniciales'!$D:$D,'Saldos Iniciales'!$A:$A,"Cross Family Trust")+SUMIFS(Movimientos!$K$1:$K$1048575,Movimientos!$C$1:$C$1048575,"Cross Family Trust",Movimientos!$B$1:$B$1048575,"&lt;="&amp;$B18)</f>
        <v>84224.49</v>
      </c>
      <c r="I18" s="26">
        <f>SUMIFS('Saldos Iniciales'!$D:$D,'Saldos Iniciales'!$A:$A,"Cross Security Trust")+SUMIFS(Movimientos!$K$1:$K$1048575,Movimientos!$C$1:$C$1048575,"Cross Security Trust",Movimientos!$B$1:$B$1048575,"&lt;="&amp;$B18)</f>
        <v>13090.369999999997</v>
      </c>
      <c r="J18" s="26">
        <f>SUMIFS('Saldos Iniciales'!$D:$D,'Saldos Iniciales'!$A:$A,"Electrama")+SUMIFS(Movimientos!$K$1:$K$1048575,Movimientos!$C$1:$C$1048575,"Electrama",Movimientos!$B$1:$B$1048575,"&lt;="&amp;$B18)</f>
        <v>2498.3999999999996</v>
      </c>
      <c r="K18" s="26">
        <f>SUMIFS('Saldos Iniciales'!$D:$D,'Saldos Iniciales'!$A:$A,"Sacred Valley Capital")+SUMIFS(Movimientos!$K$1:$K$1048575,Movimientos!$C$1:$C$1048575,"Sacred Valley Capital",Movimientos!$B$1:$B$1048575,"&lt;="&amp;$B18)</f>
        <v>114.3</v>
      </c>
      <c r="L18" s="26">
        <f>SUMIFS('Saldos Iniciales'!$D:$D,'Saldos Iniciales'!$A:$A,"YWC Capital")+SUMIFS(Movimientos!$K$1:$K$1048575,Movimientos!$C$1:$C$1048575,"YWC Capital",Movimientos!$B$1:$B$1048575,"&lt;="&amp;$B18)</f>
        <v>2267.7200000000003</v>
      </c>
      <c r="M18" s="26">
        <f>SUMIFS('Saldos Iniciales'!$D:$D,'Saldos Iniciales'!$A:$A,"Soweto")+SUMIFS(Movimientos!$K$1:$K$1048575,Movimientos!$C$1:$C$1048575,"Soweto",Movimientos!$B$1:$B$1048575,"&lt;="&amp;$B18)</f>
        <v>3349.94</v>
      </c>
      <c r="N18" s="26">
        <f>SUMIFS('Saldos Iniciales'!$D:$D,'Saldos Iniciales'!$A:$A,"Green Stone Trust")+SUMIFS(Movimientos!$K$1:$K$1048575,Movimientos!$C$1:$C$1048575,"Green Stone Trust",Movimientos!$B$1:$B$1048575,"&lt;="&amp;$B18)</f>
        <v>1968.99</v>
      </c>
      <c r="O18" s="26">
        <f>SUMIFS('Saldos Iniciales'!$D:$D,'Saldos Iniciales'!$A:$A,"EC Auto")+SUMIFS(Movimientos!$K$1:$K$1048575,Movimientos!$C$1:$C$1048575,"EC Auto",Movimientos!$B$1:$B$1048575,"&lt;="&amp;$B18)</f>
        <v>901.34</v>
      </c>
      <c r="P18" s="26">
        <f>SUMIFS('Saldos Iniciales'!$D:$D,'Saldos Iniciales'!$A:$A,"Arbor Capital Properties")+SUMIFS(Movimientos!$K$1:$K$1048575,Movimientos!$C$1:$C$1048575,"Arbor Capital Properties",Movimientos!$B$1:$B$1048575,"&lt;="&amp;$B18)</f>
        <v>1444.08</v>
      </c>
      <c r="Q18" s="26">
        <f>SUMIFS('Saldos Iniciales'!$D:$D,'Saldos Iniciales'!$A:$A,"2515 Overbrook")+SUMIFS(Movimientos!$K$1:$K$1048575,Movimientos!$C$1:$C$1048575,"2515 Overbrook",Movimientos!$B$1:$B$1048575,"&lt;="&amp;$B18)</f>
        <v>18242.599999999962</v>
      </c>
      <c r="R18" s="26">
        <f>SUMIFS('Saldos Iniciales'!$D:$D,'Saldos Iniciales'!$A:$A,"112 Florida Ave")+SUMIFS(Movimientos!$K$1:$K$1048575,Movimientos!$C$1:$C$1048575,"112 Florida Ave",Movimientos!$B$1:$B$1048575,"&lt;="&amp;$B18)</f>
        <v>15120.060000000001</v>
      </c>
      <c r="S18" s="26">
        <f>SUMIFS('Saldos Iniciales'!$D:$D,'Saldos Iniciales'!$A:$A,"3628 Thomas Ave")+SUMIFS(Movimientos!$K$1:$K$1048575,Movimientos!$C$1:$C$1048575,"3628 Thomas Ave",Movimientos!$B$1:$B$1048575,"&lt;="&amp;$B18)</f>
        <v>27011.27</v>
      </c>
      <c r="T18" s="26">
        <f>SUMIFS('Saldos Iniciales'!$D:$D,'Saldos Iniciales'!$A:$A,"Green Harbor Trust")+SUMIFS(Movimientos!$K$1:$K$1048575,Movimientos!$C$1:$C$1048575,"Green Harbor Trust",Movimientos!$B$1:$B$1048575,"&lt;="&amp;$B18)</f>
        <v>345</v>
      </c>
      <c r="U18" s="26">
        <f>SUMIFS('Saldos Iniciales'!$D:$D,'Saldos Iniciales'!$A:$A,"Go Blue")+SUMIFS(Movimientos!$K$1:$K$1048575,Movimientos!$C$1:$C$1048575,"Go Blue",Movimientos!$B$1:$B$1048575,"&lt;="&amp;$B18)</f>
        <v>14176.59</v>
      </c>
      <c r="V18" s="27">
        <f t="shared" si="0"/>
        <v>2196177.9999999995</v>
      </c>
    </row>
    <row r="19" spans="1:22" hidden="1" outlineLevel="1" x14ac:dyDescent="0.3">
      <c r="A19" s="24">
        <f t="shared" si="1"/>
        <v>18</v>
      </c>
      <c r="B19" s="25">
        <v>46160</v>
      </c>
      <c r="C19" s="26">
        <f>SUMIFS('Saldos Iniciales'!$D:$D,'Saldos Iniciales'!$A:$A,"CFT Group")+SUMIFS(Movimientos!$K$1:$K$1048575,Movimientos!$C$1:$C$1048575,"CFT Group",Movimientos!$B$1:$B$1048575,"&lt;="&amp;$B19)</f>
        <v>165752.81000000023</v>
      </c>
      <c r="D19" s="26">
        <f>SUMIFS('Saldos Iniciales'!$D:$D,'Saldos Iniciales'!$A:$A,"M1B")+SUMIFS(Movimientos!$K$1:$K$1048575,Movimientos!$C$1:$C$1048575,"M1B",Movimientos!$B$1:$B$1048575,"&lt;="&amp;$B19)</f>
        <v>59760.159999999938</v>
      </c>
      <c r="E19" s="26">
        <f>SUMIFS('Saldos Iniciales'!$D:$D,'Saldos Iniciales'!$A:$A,"Durand")+SUMIFS(Movimientos!$K$1:$K$1048575,Movimientos!$C$1:$C$1048575,"Durand",Movimientos!$B$1:$B$1048575,"&lt;="&amp;$B19)</f>
        <v>1669.89</v>
      </c>
      <c r="F19" s="26">
        <f>SUMIFS('Saldos Iniciales'!$D:$D,'Saldos Iniciales'!$A:$A,"A&amp;M Imports")+SUMIFS(Movimientos!$K$1:$K$1048575,Movimientos!$C$1:$C$1048575,"A&amp;M Imports",Movimientos!$B$1:$B$1048575,"&lt;="&amp;$B19)</f>
        <v>832076.20999999985</v>
      </c>
      <c r="G19" s="26">
        <f>SUMIFS('Saldos Iniciales'!$D:$D,'Saldos Iniciales'!$A:$A,"SSP Capital")+SUMIFS(Movimientos!$K$1:$K$1048575,Movimientos!$C$1:$C$1048575,"SSP Capital",Movimientos!$B$1:$B$1048575,"&lt;="&amp;$B19)</f>
        <v>928713.30999999924</v>
      </c>
      <c r="H19" s="26">
        <f>SUMIFS('Saldos Iniciales'!$D:$D,'Saldos Iniciales'!$A:$A,"Cross Family Trust")+SUMIFS(Movimientos!$K$1:$K$1048575,Movimientos!$C$1:$C$1048575,"Cross Family Trust",Movimientos!$B$1:$B$1048575,"&lt;="&amp;$B19)</f>
        <v>84224.49</v>
      </c>
      <c r="I19" s="26">
        <f>SUMIFS('Saldos Iniciales'!$D:$D,'Saldos Iniciales'!$A:$A,"Cross Security Trust")+SUMIFS(Movimientos!$K$1:$K$1048575,Movimientos!$C$1:$C$1048575,"Cross Security Trust",Movimientos!$B$1:$B$1048575,"&lt;="&amp;$B19)</f>
        <v>13090.369999999997</v>
      </c>
      <c r="J19" s="26">
        <f>SUMIFS('Saldos Iniciales'!$D:$D,'Saldos Iniciales'!$A:$A,"Electrama")+SUMIFS(Movimientos!$K$1:$K$1048575,Movimientos!$C$1:$C$1048575,"Electrama",Movimientos!$B$1:$B$1048575,"&lt;="&amp;$B19)</f>
        <v>2498.3999999999996</v>
      </c>
      <c r="K19" s="26">
        <f>SUMIFS('Saldos Iniciales'!$D:$D,'Saldos Iniciales'!$A:$A,"Sacred Valley Capital")+SUMIFS(Movimientos!$K$1:$K$1048575,Movimientos!$C$1:$C$1048575,"Sacred Valley Capital",Movimientos!$B$1:$B$1048575,"&lt;="&amp;$B19)</f>
        <v>114.3</v>
      </c>
      <c r="L19" s="26">
        <f>SUMIFS('Saldos Iniciales'!$D:$D,'Saldos Iniciales'!$A:$A,"YWC Capital")+SUMIFS(Movimientos!$K$1:$K$1048575,Movimientos!$C$1:$C$1048575,"YWC Capital",Movimientos!$B$1:$B$1048575,"&lt;="&amp;$B19)</f>
        <v>2267.7200000000003</v>
      </c>
      <c r="M19" s="26">
        <f>SUMIFS('Saldos Iniciales'!$D:$D,'Saldos Iniciales'!$A:$A,"Soweto")+SUMIFS(Movimientos!$K$1:$K$1048575,Movimientos!$C$1:$C$1048575,"Soweto",Movimientos!$B$1:$B$1048575,"&lt;="&amp;$B19)</f>
        <v>3349.94</v>
      </c>
      <c r="N19" s="26">
        <f>SUMIFS('Saldos Iniciales'!$D:$D,'Saldos Iniciales'!$A:$A,"Green Stone Trust")+SUMIFS(Movimientos!$K$1:$K$1048575,Movimientos!$C$1:$C$1048575,"Green Stone Trust",Movimientos!$B$1:$B$1048575,"&lt;="&amp;$B19)</f>
        <v>1968.99</v>
      </c>
      <c r="O19" s="26">
        <f>SUMIFS('Saldos Iniciales'!$D:$D,'Saldos Iniciales'!$A:$A,"EC Auto")+SUMIFS(Movimientos!$K$1:$K$1048575,Movimientos!$C$1:$C$1048575,"EC Auto",Movimientos!$B$1:$B$1048575,"&lt;="&amp;$B19)</f>
        <v>901.34</v>
      </c>
      <c r="P19" s="26">
        <f>SUMIFS('Saldos Iniciales'!$D:$D,'Saldos Iniciales'!$A:$A,"Arbor Capital Properties")+SUMIFS(Movimientos!$K$1:$K$1048575,Movimientos!$C$1:$C$1048575,"Arbor Capital Properties",Movimientos!$B$1:$B$1048575,"&lt;="&amp;$B19)</f>
        <v>1444.08</v>
      </c>
      <c r="Q19" s="26">
        <f>SUMIFS('Saldos Iniciales'!$D:$D,'Saldos Iniciales'!$A:$A,"2515 Overbrook")+SUMIFS(Movimientos!$K$1:$K$1048575,Movimientos!$C$1:$C$1048575,"2515 Overbrook",Movimientos!$B$1:$B$1048575,"&lt;="&amp;$B19)</f>
        <v>15463.59999999996</v>
      </c>
      <c r="R19" s="26">
        <f>SUMIFS('Saldos Iniciales'!$D:$D,'Saldos Iniciales'!$A:$A,"112 Florida Ave")+SUMIFS(Movimientos!$K$1:$K$1048575,Movimientos!$C$1:$C$1048575,"112 Florida Ave",Movimientos!$B$1:$B$1048575,"&lt;="&amp;$B19)</f>
        <v>15120.060000000001</v>
      </c>
      <c r="S19" s="26">
        <f>SUMIFS('Saldos Iniciales'!$D:$D,'Saldos Iniciales'!$A:$A,"3628 Thomas Ave")+SUMIFS(Movimientos!$K$1:$K$1048575,Movimientos!$C$1:$C$1048575,"3628 Thomas Ave",Movimientos!$B$1:$B$1048575,"&lt;="&amp;$B19)</f>
        <v>27006.27</v>
      </c>
      <c r="T19" s="26">
        <f>SUMIFS('Saldos Iniciales'!$D:$D,'Saldos Iniciales'!$A:$A,"Green Harbor Trust")+SUMIFS(Movimientos!$K$1:$K$1048575,Movimientos!$C$1:$C$1048575,"Green Harbor Trust",Movimientos!$B$1:$B$1048575,"&lt;="&amp;$B19)</f>
        <v>345</v>
      </c>
      <c r="U19" s="26">
        <f>SUMIFS('Saldos Iniciales'!$D:$D,'Saldos Iniciales'!$A:$A,"Go Blue")+SUMIFS(Movimientos!$K$1:$K$1048575,Movimientos!$C$1:$C$1048575,"Go Blue",Movimientos!$B$1:$B$1048575,"&lt;="&amp;$B19)</f>
        <v>13941.210000000001</v>
      </c>
      <c r="V19" s="27">
        <f t="shared" si="0"/>
        <v>2169708.1499999994</v>
      </c>
    </row>
    <row r="20" spans="1:22" hidden="1" outlineLevel="1" x14ac:dyDescent="0.3">
      <c r="A20" s="24">
        <f t="shared" si="1"/>
        <v>19</v>
      </c>
      <c r="B20" s="25">
        <v>46161</v>
      </c>
      <c r="C20" s="26">
        <f>SUMIFS('Saldos Iniciales'!$D:$D,'Saldos Iniciales'!$A:$A,"CFT Group")+SUMIFS(Movimientos!$K$1:$K$1048575,Movimientos!$C$1:$C$1048575,"CFT Group",Movimientos!$B$1:$B$1048575,"&lt;="&amp;$B20)</f>
        <v>815752.81000000029</v>
      </c>
      <c r="D20" s="26">
        <f>SUMIFS('Saldos Iniciales'!$D:$D,'Saldos Iniciales'!$A:$A,"M1B")+SUMIFS(Movimientos!$K$1:$K$1048575,Movimientos!$C$1:$C$1048575,"M1B",Movimientos!$B$1:$B$1048575,"&lt;="&amp;$B20)</f>
        <v>59760.159999999938</v>
      </c>
      <c r="E20" s="26">
        <f>SUMIFS('Saldos Iniciales'!$D:$D,'Saldos Iniciales'!$A:$A,"Durand")+SUMIFS(Movimientos!$K$1:$K$1048575,Movimientos!$C$1:$C$1048575,"Durand",Movimientos!$B$1:$B$1048575,"&lt;="&amp;$B20)</f>
        <v>1669.89</v>
      </c>
      <c r="F20" s="26">
        <f>SUMIFS('Saldos Iniciales'!$D:$D,'Saldos Iniciales'!$A:$A,"A&amp;M Imports")+SUMIFS(Movimientos!$K$1:$K$1048575,Movimientos!$C$1:$C$1048575,"A&amp;M Imports",Movimientos!$B$1:$B$1048575,"&lt;="&amp;$B20)</f>
        <v>832076.20999999985</v>
      </c>
      <c r="G20" s="26">
        <f>SUMIFS('Saldos Iniciales'!$D:$D,'Saldos Iniciales'!$A:$A,"SSP Capital")+SUMIFS(Movimientos!$K$1:$K$1048575,Movimientos!$C$1:$C$1048575,"SSP Capital",Movimientos!$B$1:$B$1048575,"&lt;="&amp;$B20)</f>
        <v>925592.77999999933</v>
      </c>
      <c r="H20" s="26">
        <f>SUMIFS('Saldos Iniciales'!$D:$D,'Saldos Iniciales'!$A:$A,"Cross Family Trust")+SUMIFS(Movimientos!$K$1:$K$1048575,Movimientos!$C$1:$C$1048575,"Cross Family Trust",Movimientos!$B$1:$B$1048575,"&lt;="&amp;$B20)</f>
        <v>54224.490000000005</v>
      </c>
      <c r="I20" s="26">
        <f>SUMIFS('Saldos Iniciales'!$D:$D,'Saldos Iniciales'!$A:$A,"Cross Security Trust")+SUMIFS(Movimientos!$K$1:$K$1048575,Movimientos!$C$1:$C$1048575,"Cross Security Trust",Movimientos!$B$1:$B$1048575,"&lt;="&amp;$B20)</f>
        <v>13090.369999999997</v>
      </c>
      <c r="J20" s="26">
        <f>SUMIFS('Saldos Iniciales'!$D:$D,'Saldos Iniciales'!$A:$A,"Electrama")+SUMIFS(Movimientos!$K$1:$K$1048575,Movimientos!$C$1:$C$1048575,"Electrama",Movimientos!$B$1:$B$1048575,"&lt;="&amp;$B20)</f>
        <v>2498.3999999999996</v>
      </c>
      <c r="K20" s="26">
        <f>SUMIFS('Saldos Iniciales'!$D:$D,'Saldos Iniciales'!$A:$A,"Sacred Valley Capital")+SUMIFS(Movimientos!$K$1:$K$1048575,Movimientos!$C$1:$C$1048575,"Sacred Valley Capital",Movimientos!$B$1:$B$1048575,"&lt;="&amp;$B20)</f>
        <v>114.3</v>
      </c>
      <c r="L20" s="26">
        <f>SUMIFS('Saldos Iniciales'!$D:$D,'Saldos Iniciales'!$A:$A,"YWC Capital")+SUMIFS(Movimientos!$K$1:$K$1048575,Movimientos!$C$1:$C$1048575,"YWC Capital",Movimientos!$B$1:$B$1048575,"&lt;="&amp;$B20)</f>
        <v>2267.7200000000003</v>
      </c>
      <c r="M20" s="26">
        <f>SUMIFS('Saldos Iniciales'!$D:$D,'Saldos Iniciales'!$A:$A,"Soweto")+SUMIFS(Movimientos!$K$1:$K$1048575,Movimientos!$C$1:$C$1048575,"Soweto",Movimientos!$B$1:$B$1048575,"&lt;="&amp;$B20)</f>
        <v>3349.94</v>
      </c>
      <c r="N20" s="26">
        <f>SUMIFS('Saldos Iniciales'!$D:$D,'Saldos Iniciales'!$A:$A,"Green Stone Trust")+SUMIFS(Movimientos!$K$1:$K$1048575,Movimientos!$C$1:$C$1048575,"Green Stone Trust",Movimientos!$B$1:$B$1048575,"&lt;="&amp;$B20)</f>
        <v>1968.99</v>
      </c>
      <c r="O20" s="26">
        <f>SUMIFS('Saldos Iniciales'!$D:$D,'Saldos Iniciales'!$A:$A,"EC Auto")+SUMIFS(Movimientos!$K$1:$K$1048575,Movimientos!$C$1:$C$1048575,"EC Auto",Movimientos!$B$1:$B$1048575,"&lt;="&amp;$B20)</f>
        <v>901.34</v>
      </c>
      <c r="P20" s="26">
        <f>SUMIFS('Saldos Iniciales'!$D:$D,'Saldos Iniciales'!$A:$A,"Arbor Capital Properties")+SUMIFS(Movimientos!$K$1:$K$1048575,Movimientos!$C$1:$C$1048575,"Arbor Capital Properties",Movimientos!$B$1:$B$1048575,"&lt;="&amp;$B20)</f>
        <v>1444.08</v>
      </c>
      <c r="Q20" s="26">
        <f>SUMIFS('Saldos Iniciales'!$D:$D,'Saldos Iniciales'!$A:$A,"2515 Overbrook")+SUMIFS(Movimientos!$K$1:$K$1048575,Movimientos!$C$1:$C$1048575,"2515 Overbrook",Movimientos!$B$1:$B$1048575,"&lt;="&amp;$B20)</f>
        <v>15463.59999999996</v>
      </c>
      <c r="R20" s="26">
        <f>SUMIFS('Saldos Iniciales'!$D:$D,'Saldos Iniciales'!$A:$A,"112 Florida Ave")+SUMIFS(Movimientos!$K$1:$K$1048575,Movimientos!$C$1:$C$1048575,"112 Florida Ave",Movimientos!$B$1:$B$1048575,"&lt;="&amp;$B20)</f>
        <v>15120.060000000001</v>
      </c>
      <c r="S20" s="26">
        <f>SUMIFS('Saldos Iniciales'!$D:$D,'Saldos Iniciales'!$A:$A,"3628 Thomas Ave")+SUMIFS(Movimientos!$K$1:$K$1048575,Movimientos!$C$1:$C$1048575,"3628 Thomas Ave",Movimientos!$B$1:$B$1048575,"&lt;="&amp;$B20)</f>
        <v>27006.27</v>
      </c>
      <c r="T20" s="26">
        <f>SUMIFS('Saldos Iniciales'!$D:$D,'Saldos Iniciales'!$A:$A,"Green Harbor Trust")+SUMIFS(Movimientos!$K$1:$K$1048575,Movimientos!$C$1:$C$1048575,"Green Harbor Trust",Movimientos!$B$1:$B$1048575,"&lt;="&amp;$B20)</f>
        <v>345</v>
      </c>
      <c r="U20" s="26">
        <f>SUMIFS('Saldos Iniciales'!$D:$D,'Saldos Iniciales'!$A:$A,"Go Blue")+SUMIFS(Movimientos!$K$1:$K$1048575,Movimientos!$C$1:$C$1048575,"Go Blue",Movimientos!$B$1:$B$1048575,"&lt;="&amp;$B20)</f>
        <v>18941.21</v>
      </c>
      <c r="V20" s="27">
        <f t="shared" si="0"/>
        <v>2791587.62</v>
      </c>
    </row>
    <row r="21" spans="1:22" hidden="1" outlineLevel="1" x14ac:dyDescent="0.3">
      <c r="A21" s="24">
        <f t="shared" si="1"/>
        <v>20</v>
      </c>
      <c r="B21" s="25">
        <v>46162</v>
      </c>
      <c r="C21" s="26">
        <f>SUMIFS('Saldos Iniciales'!$D:$D,'Saldos Iniciales'!$A:$A,"CFT Group")+SUMIFS(Movimientos!$K$1:$K$1048575,Movimientos!$C$1:$C$1048575,"CFT Group",Movimientos!$B$1:$B$1048575,"&lt;="&amp;$B21)</f>
        <v>142321.80000000013</v>
      </c>
      <c r="D21" s="26">
        <f>SUMIFS('Saldos Iniciales'!$D:$D,'Saldos Iniciales'!$A:$A,"M1B")+SUMIFS(Movimientos!$K$1:$K$1048575,Movimientos!$C$1:$C$1048575,"M1B",Movimientos!$B$1:$B$1048575,"&lt;="&amp;$B21)</f>
        <v>59760.159999999938</v>
      </c>
      <c r="E21" s="26">
        <f>SUMIFS('Saldos Iniciales'!$D:$D,'Saldos Iniciales'!$A:$A,"Durand")+SUMIFS(Movimientos!$K$1:$K$1048575,Movimientos!$C$1:$C$1048575,"Durand",Movimientos!$B$1:$B$1048575,"&lt;="&amp;$B21)</f>
        <v>1669.89</v>
      </c>
      <c r="F21" s="26">
        <f>SUMIFS('Saldos Iniciales'!$D:$D,'Saldos Iniciales'!$A:$A,"A&amp;M Imports")+SUMIFS(Movimientos!$K$1:$K$1048575,Movimientos!$C$1:$C$1048575,"A&amp;M Imports",Movimientos!$B$1:$B$1048575,"&lt;="&amp;$B21)</f>
        <v>832076.20999999985</v>
      </c>
      <c r="G21" s="26">
        <f>SUMIFS('Saldos Iniciales'!$D:$D,'Saldos Iniciales'!$A:$A,"SSP Capital")+SUMIFS(Movimientos!$K$1:$K$1048575,Movimientos!$C$1:$C$1048575,"SSP Capital",Movimientos!$B$1:$B$1048575,"&lt;="&amp;$B21)</f>
        <v>981189.87999999931</v>
      </c>
      <c r="H21" s="26">
        <f>SUMIFS('Saldos Iniciales'!$D:$D,'Saldos Iniciales'!$A:$A,"Cross Family Trust")+SUMIFS(Movimientos!$K$1:$K$1048575,Movimientos!$C$1:$C$1048575,"Cross Family Trust",Movimientos!$B$1:$B$1048575,"&lt;="&amp;$B21)</f>
        <v>104209.49</v>
      </c>
      <c r="I21" s="26">
        <f>SUMIFS('Saldos Iniciales'!$D:$D,'Saldos Iniciales'!$A:$A,"Cross Security Trust")+SUMIFS(Movimientos!$K$1:$K$1048575,Movimientos!$C$1:$C$1048575,"Cross Security Trust",Movimientos!$B$1:$B$1048575,"&lt;="&amp;$B21)</f>
        <v>13090.369999999997</v>
      </c>
      <c r="J21" s="26">
        <f>SUMIFS('Saldos Iniciales'!$D:$D,'Saldos Iniciales'!$A:$A,"Electrama")+SUMIFS(Movimientos!$K$1:$K$1048575,Movimientos!$C$1:$C$1048575,"Electrama",Movimientos!$B$1:$B$1048575,"&lt;="&amp;$B21)</f>
        <v>2498.3999999999996</v>
      </c>
      <c r="K21" s="26">
        <f>SUMIFS('Saldos Iniciales'!$D:$D,'Saldos Iniciales'!$A:$A,"Sacred Valley Capital")+SUMIFS(Movimientos!$K$1:$K$1048575,Movimientos!$C$1:$C$1048575,"Sacred Valley Capital",Movimientos!$B$1:$B$1048575,"&lt;="&amp;$B21)</f>
        <v>114.3</v>
      </c>
      <c r="L21" s="26">
        <f>SUMIFS('Saldos Iniciales'!$D:$D,'Saldos Iniciales'!$A:$A,"YWC Capital")+SUMIFS(Movimientos!$K$1:$K$1048575,Movimientos!$C$1:$C$1048575,"YWC Capital",Movimientos!$B$1:$B$1048575,"&lt;="&amp;$B21)</f>
        <v>2267.7200000000003</v>
      </c>
      <c r="M21" s="26">
        <f>SUMIFS('Saldos Iniciales'!$D:$D,'Saldos Iniciales'!$A:$A,"Soweto")+SUMIFS(Movimientos!$K$1:$K$1048575,Movimientos!$C$1:$C$1048575,"Soweto",Movimientos!$B$1:$B$1048575,"&lt;="&amp;$B21)</f>
        <v>3349.94</v>
      </c>
      <c r="N21" s="26">
        <f>SUMIFS('Saldos Iniciales'!$D:$D,'Saldos Iniciales'!$A:$A,"Green Stone Trust")+SUMIFS(Movimientos!$K$1:$K$1048575,Movimientos!$C$1:$C$1048575,"Green Stone Trust",Movimientos!$B$1:$B$1048575,"&lt;="&amp;$B21)</f>
        <v>1968.99</v>
      </c>
      <c r="O21" s="26">
        <f>SUMIFS('Saldos Iniciales'!$D:$D,'Saldos Iniciales'!$A:$A,"EC Auto")+SUMIFS(Movimientos!$K$1:$K$1048575,Movimientos!$C$1:$C$1048575,"EC Auto",Movimientos!$B$1:$B$1048575,"&lt;="&amp;$B21)</f>
        <v>901.34</v>
      </c>
      <c r="P21" s="26">
        <f>SUMIFS('Saldos Iniciales'!$D:$D,'Saldos Iniciales'!$A:$A,"Arbor Capital Properties")+SUMIFS(Movimientos!$K$1:$K$1048575,Movimientos!$C$1:$C$1048575,"Arbor Capital Properties",Movimientos!$B$1:$B$1048575,"&lt;="&amp;$B21)</f>
        <v>1444.08</v>
      </c>
      <c r="Q21" s="26">
        <f>SUMIFS('Saldos Iniciales'!$D:$D,'Saldos Iniciales'!$A:$A,"2515 Overbrook")+SUMIFS(Movimientos!$K$1:$K$1048575,Movimientos!$C$1:$C$1048575,"2515 Overbrook",Movimientos!$B$1:$B$1048575,"&lt;="&amp;$B21)</f>
        <v>15463.59999999996</v>
      </c>
      <c r="R21" s="26">
        <f>SUMIFS('Saldos Iniciales'!$D:$D,'Saldos Iniciales'!$A:$A,"112 Florida Ave")+SUMIFS(Movimientos!$K$1:$K$1048575,Movimientos!$C$1:$C$1048575,"112 Florida Ave",Movimientos!$B$1:$B$1048575,"&lt;="&amp;$B21)</f>
        <v>15120.060000000001</v>
      </c>
      <c r="S21" s="26">
        <f>SUMIFS('Saldos Iniciales'!$D:$D,'Saldos Iniciales'!$A:$A,"3628 Thomas Ave")+SUMIFS(Movimientos!$K$1:$K$1048575,Movimientos!$C$1:$C$1048575,"3628 Thomas Ave",Movimientos!$B$1:$B$1048575,"&lt;="&amp;$B21)</f>
        <v>29206.27</v>
      </c>
      <c r="T21" s="26">
        <f>SUMIFS('Saldos Iniciales'!$D:$D,'Saldos Iniciales'!$A:$A,"Green Harbor Trust")+SUMIFS(Movimientos!$K$1:$K$1048575,Movimientos!$C$1:$C$1048575,"Green Harbor Trust",Movimientos!$B$1:$B$1048575,"&lt;="&amp;$B21)</f>
        <v>345</v>
      </c>
      <c r="U21" s="26">
        <f>SUMIFS('Saldos Iniciales'!$D:$D,'Saldos Iniciales'!$A:$A,"Go Blue")+SUMIFS(Movimientos!$K$1:$K$1048575,Movimientos!$C$1:$C$1048575,"Go Blue",Movimientos!$B$1:$B$1048575,"&lt;="&amp;$B21)</f>
        <v>8168.0700000000006</v>
      </c>
      <c r="V21" s="27">
        <f t="shared" si="0"/>
        <v>2215165.5699999994</v>
      </c>
    </row>
    <row r="22" spans="1:22" hidden="1" outlineLevel="1" x14ac:dyDescent="0.3">
      <c r="A22" s="24">
        <f t="shared" si="1"/>
        <v>21</v>
      </c>
      <c r="B22" s="25">
        <v>46163</v>
      </c>
      <c r="C22" s="26">
        <f>SUMIFS('Saldos Iniciales'!$D:$D,'Saldos Iniciales'!$A:$A,"CFT Group")+SUMIFS(Movimientos!$K$1:$K$1048575,Movimientos!$C$1:$C$1048575,"CFT Group",Movimientos!$B$1:$B$1048575,"&lt;="&amp;$B22)</f>
        <v>142321.80000000013</v>
      </c>
      <c r="D22" s="26">
        <f>SUMIFS('Saldos Iniciales'!$D:$D,'Saldos Iniciales'!$A:$A,"M1B")+SUMIFS(Movimientos!$K$1:$K$1048575,Movimientos!$C$1:$C$1048575,"M1B",Movimientos!$B$1:$B$1048575,"&lt;="&amp;$B22)</f>
        <v>659760.15999999992</v>
      </c>
      <c r="E22" s="26">
        <f>SUMIFS('Saldos Iniciales'!$D:$D,'Saldos Iniciales'!$A:$A,"Durand")+SUMIFS(Movimientos!$K$1:$K$1048575,Movimientos!$C$1:$C$1048575,"Durand",Movimientos!$B$1:$B$1048575,"&lt;="&amp;$B22)</f>
        <v>1669.89</v>
      </c>
      <c r="F22" s="26">
        <f>SUMIFS('Saldos Iniciales'!$D:$D,'Saldos Iniciales'!$A:$A,"A&amp;M Imports")+SUMIFS(Movimientos!$K$1:$K$1048575,Movimientos!$C$1:$C$1048575,"A&amp;M Imports",Movimientos!$B$1:$B$1048575,"&lt;="&amp;$B22)</f>
        <v>497076.20999999985</v>
      </c>
      <c r="G22" s="26">
        <f>SUMIFS('Saldos Iniciales'!$D:$D,'Saldos Iniciales'!$A:$A,"SSP Capital")+SUMIFS(Movimientos!$K$1:$K$1048575,Movimientos!$C$1:$C$1048575,"SSP Capital",Movimientos!$B$1:$B$1048575,"&lt;="&amp;$B22)</f>
        <v>981189.87999999931</v>
      </c>
      <c r="H22" s="26">
        <f>SUMIFS('Saldos Iniciales'!$D:$D,'Saldos Iniciales'!$A:$A,"Cross Family Trust")+SUMIFS(Movimientos!$K$1:$K$1048575,Movimientos!$C$1:$C$1048575,"Cross Family Trust",Movimientos!$B$1:$B$1048575,"&lt;="&amp;$B22)</f>
        <v>104209.49</v>
      </c>
      <c r="I22" s="26">
        <f>SUMIFS('Saldos Iniciales'!$D:$D,'Saldos Iniciales'!$A:$A,"Cross Security Trust")+SUMIFS(Movimientos!$K$1:$K$1048575,Movimientos!$C$1:$C$1048575,"Cross Security Trust",Movimientos!$B$1:$B$1048575,"&lt;="&amp;$B22)</f>
        <v>88090.37</v>
      </c>
      <c r="J22" s="26">
        <f>SUMIFS('Saldos Iniciales'!$D:$D,'Saldos Iniciales'!$A:$A,"Electrama")+SUMIFS(Movimientos!$K$1:$K$1048575,Movimientos!$C$1:$C$1048575,"Electrama",Movimientos!$B$1:$B$1048575,"&lt;="&amp;$B22)</f>
        <v>2498.3999999999996</v>
      </c>
      <c r="K22" s="26">
        <f>SUMIFS('Saldos Iniciales'!$D:$D,'Saldos Iniciales'!$A:$A,"Sacred Valley Capital")+SUMIFS(Movimientos!$K$1:$K$1048575,Movimientos!$C$1:$C$1048575,"Sacred Valley Capital",Movimientos!$B$1:$B$1048575,"&lt;="&amp;$B22)</f>
        <v>114.3</v>
      </c>
      <c r="L22" s="26">
        <f>SUMIFS('Saldos Iniciales'!$D:$D,'Saldos Iniciales'!$A:$A,"YWC Capital")+SUMIFS(Movimientos!$K$1:$K$1048575,Movimientos!$C$1:$C$1048575,"YWC Capital",Movimientos!$B$1:$B$1048575,"&lt;="&amp;$B22)</f>
        <v>2267.7200000000003</v>
      </c>
      <c r="M22" s="26">
        <f>SUMIFS('Saldos Iniciales'!$D:$D,'Saldos Iniciales'!$A:$A,"Soweto")+SUMIFS(Movimientos!$K$1:$K$1048575,Movimientos!$C$1:$C$1048575,"Soweto",Movimientos!$B$1:$B$1048575,"&lt;="&amp;$B22)</f>
        <v>3349.94</v>
      </c>
      <c r="N22" s="26">
        <f>SUMIFS('Saldos Iniciales'!$D:$D,'Saldos Iniciales'!$A:$A,"Green Stone Trust")+SUMIFS(Movimientos!$K$1:$K$1048575,Movimientos!$C$1:$C$1048575,"Green Stone Trust",Movimientos!$B$1:$B$1048575,"&lt;="&amp;$B22)</f>
        <v>1968.99</v>
      </c>
      <c r="O22" s="26">
        <f>SUMIFS('Saldos Iniciales'!$D:$D,'Saldos Iniciales'!$A:$A,"EC Auto")+SUMIFS(Movimientos!$K$1:$K$1048575,Movimientos!$C$1:$C$1048575,"EC Auto",Movimientos!$B$1:$B$1048575,"&lt;="&amp;$B22)</f>
        <v>901.34</v>
      </c>
      <c r="P22" s="26">
        <f>SUMIFS('Saldos Iniciales'!$D:$D,'Saldos Iniciales'!$A:$A,"Arbor Capital Properties")+SUMIFS(Movimientos!$K$1:$K$1048575,Movimientos!$C$1:$C$1048575,"Arbor Capital Properties",Movimientos!$B$1:$B$1048575,"&lt;="&amp;$B22)</f>
        <v>1444.08</v>
      </c>
      <c r="Q22" s="26">
        <f>SUMIFS('Saldos Iniciales'!$D:$D,'Saldos Iniciales'!$A:$A,"2515 Overbrook")+SUMIFS(Movimientos!$K$1:$K$1048575,Movimientos!$C$1:$C$1048575,"2515 Overbrook",Movimientos!$B$1:$B$1048575,"&lt;="&amp;$B22)</f>
        <v>15463.59999999996</v>
      </c>
      <c r="R22" s="26">
        <f>SUMIFS('Saldos Iniciales'!$D:$D,'Saldos Iniciales'!$A:$A,"112 Florida Ave")+SUMIFS(Movimientos!$K$1:$K$1048575,Movimientos!$C$1:$C$1048575,"112 Florida Ave",Movimientos!$B$1:$B$1048575,"&lt;="&amp;$B22)</f>
        <v>15120.060000000001</v>
      </c>
      <c r="S22" s="26">
        <f>SUMIFS('Saldos Iniciales'!$D:$D,'Saldos Iniciales'!$A:$A,"3628 Thomas Ave")+SUMIFS(Movimientos!$K$1:$K$1048575,Movimientos!$C$1:$C$1048575,"3628 Thomas Ave",Movimientos!$B$1:$B$1048575,"&lt;="&amp;$B22)</f>
        <v>29206.27</v>
      </c>
      <c r="T22" s="26">
        <f>SUMIFS('Saldos Iniciales'!$D:$D,'Saldos Iniciales'!$A:$A,"Green Harbor Trust")+SUMIFS(Movimientos!$K$1:$K$1048575,Movimientos!$C$1:$C$1048575,"Green Harbor Trust",Movimientos!$B$1:$B$1048575,"&lt;="&amp;$B22)</f>
        <v>345</v>
      </c>
      <c r="U22" s="26">
        <f>SUMIFS('Saldos Iniciales'!$D:$D,'Saldos Iniciales'!$A:$A,"Go Blue")+SUMIFS(Movimientos!$K$1:$K$1048575,Movimientos!$C$1:$C$1048575,"Go Blue",Movimientos!$B$1:$B$1048575,"&lt;="&amp;$B22)</f>
        <v>8168.0700000000006</v>
      </c>
      <c r="V22" s="27">
        <f t="shared" si="0"/>
        <v>2555165.5699999998</v>
      </c>
    </row>
    <row r="23" spans="1:22" hidden="1" outlineLevel="1" x14ac:dyDescent="0.3">
      <c r="A23" s="24">
        <f t="shared" si="1"/>
        <v>22</v>
      </c>
      <c r="B23" s="25">
        <v>46164</v>
      </c>
      <c r="C23" s="26">
        <f>SUMIFS('Saldos Iniciales'!$D:$D,'Saldos Iniciales'!$A:$A,"CFT Group")+SUMIFS(Movimientos!$K$1:$K$1048575,Movimientos!$C$1:$C$1048575,"CFT Group",Movimientos!$B$1:$B$1048575,"&lt;="&amp;$B23)</f>
        <v>142321.80000000013</v>
      </c>
      <c r="D23" s="26">
        <f>SUMIFS('Saldos Iniciales'!$D:$D,'Saldos Iniciales'!$A:$A,"M1B")+SUMIFS(Movimientos!$K$1:$K$1048575,Movimientos!$C$1:$C$1048575,"M1B",Movimientos!$B$1:$B$1048575,"&lt;="&amp;$B23)</f>
        <v>659760.15999999992</v>
      </c>
      <c r="E23" s="26">
        <f>SUMIFS('Saldos Iniciales'!$D:$D,'Saldos Iniciales'!$A:$A,"Durand")+SUMIFS(Movimientos!$K$1:$K$1048575,Movimientos!$C$1:$C$1048575,"Durand",Movimientos!$B$1:$B$1048575,"&lt;="&amp;$B23)</f>
        <v>1669.89</v>
      </c>
      <c r="F23" s="26">
        <f>SUMIFS('Saldos Iniciales'!$D:$D,'Saldos Iniciales'!$A:$A,"A&amp;M Imports")+SUMIFS(Movimientos!$K$1:$K$1048575,Movimientos!$C$1:$C$1048575,"A&amp;M Imports",Movimientos!$B$1:$B$1048575,"&lt;="&amp;$B23)</f>
        <v>497076.20999999985</v>
      </c>
      <c r="G23" s="26">
        <f>SUMIFS('Saldos Iniciales'!$D:$D,'Saldos Iniciales'!$A:$A,"SSP Capital")+SUMIFS(Movimientos!$K$1:$K$1048575,Movimientos!$C$1:$C$1048575,"SSP Capital",Movimientos!$B$1:$B$1048575,"&lt;="&amp;$B23)</f>
        <v>980426.88999999932</v>
      </c>
      <c r="H23" s="26">
        <f>SUMIFS('Saldos Iniciales'!$D:$D,'Saldos Iniciales'!$A:$A,"Cross Family Trust")+SUMIFS(Movimientos!$K$1:$K$1048575,Movimientos!$C$1:$C$1048575,"Cross Family Trust",Movimientos!$B$1:$B$1048575,"&lt;="&amp;$B23)</f>
        <v>104209.49</v>
      </c>
      <c r="I23" s="26">
        <f>SUMIFS('Saldos Iniciales'!$D:$D,'Saldos Iniciales'!$A:$A,"Cross Security Trust")+SUMIFS(Movimientos!$K$1:$K$1048575,Movimientos!$C$1:$C$1048575,"Cross Security Trust",Movimientos!$B$1:$B$1048575,"&lt;="&amp;$B23)</f>
        <v>88090.37</v>
      </c>
      <c r="J23" s="26">
        <f>SUMIFS('Saldos Iniciales'!$D:$D,'Saldos Iniciales'!$A:$A,"Electrama")+SUMIFS(Movimientos!$K$1:$K$1048575,Movimientos!$C$1:$C$1048575,"Electrama",Movimientos!$B$1:$B$1048575,"&lt;="&amp;$B23)</f>
        <v>2498.3999999999996</v>
      </c>
      <c r="K23" s="26">
        <f>SUMIFS('Saldos Iniciales'!$D:$D,'Saldos Iniciales'!$A:$A,"Sacred Valley Capital")+SUMIFS(Movimientos!$K$1:$K$1048575,Movimientos!$C$1:$C$1048575,"Sacred Valley Capital",Movimientos!$B$1:$B$1048575,"&lt;="&amp;$B23)</f>
        <v>114.3</v>
      </c>
      <c r="L23" s="26">
        <f>SUMIFS('Saldos Iniciales'!$D:$D,'Saldos Iniciales'!$A:$A,"YWC Capital")+SUMIFS(Movimientos!$K$1:$K$1048575,Movimientos!$C$1:$C$1048575,"YWC Capital",Movimientos!$B$1:$B$1048575,"&lt;="&amp;$B23)</f>
        <v>2267.7200000000003</v>
      </c>
      <c r="M23" s="26">
        <f>SUMIFS('Saldos Iniciales'!$D:$D,'Saldos Iniciales'!$A:$A,"Soweto")+SUMIFS(Movimientos!$K$1:$K$1048575,Movimientos!$C$1:$C$1048575,"Soweto",Movimientos!$B$1:$B$1048575,"&lt;="&amp;$B23)</f>
        <v>3349.94</v>
      </c>
      <c r="N23" s="26">
        <f>SUMIFS('Saldos Iniciales'!$D:$D,'Saldos Iniciales'!$A:$A,"Green Stone Trust")+SUMIFS(Movimientos!$K$1:$K$1048575,Movimientos!$C$1:$C$1048575,"Green Stone Trust",Movimientos!$B$1:$B$1048575,"&lt;="&amp;$B23)</f>
        <v>1968.99</v>
      </c>
      <c r="O23" s="26">
        <f>SUMIFS('Saldos Iniciales'!$D:$D,'Saldos Iniciales'!$A:$A,"EC Auto")+SUMIFS(Movimientos!$K$1:$K$1048575,Movimientos!$C$1:$C$1048575,"EC Auto",Movimientos!$B$1:$B$1048575,"&lt;="&amp;$B23)</f>
        <v>901.34</v>
      </c>
      <c r="P23" s="26">
        <f>SUMIFS('Saldos Iniciales'!$D:$D,'Saldos Iniciales'!$A:$A,"Arbor Capital Properties")+SUMIFS(Movimientos!$K$1:$K$1048575,Movimientos!$C$1:$C$1048575,"Arbor Capital Properties",Movimientos!$B$1:$B$1048575,"&lt;="&amp;$B23)</f>
        <v>1444.08</v>
      </c>
      <c r="Q23" s="26">
        <f>SUMIFS('Saldos Iniciales'!$D:$D,'Saldos Iniciales'!$A:$A,"2515 Overbrook")+SUMIFS(Movimientos!$K$1:$K$1048575,Movimientos!$C$1:$C$1048575,"2515 Overbrook",Movimientos!$B$1:$B$1048575,"&lt;="&amp;$B23)</f>
        <v>15463.59999999996</v>
      </c>
      <c r="R23" s="26">
        <f>SUMIFS('Saldos Iniciales'!$D:$D,'Saldos Iniciales'!$A:$A,"112 Florida Ave")+SUMIFS(Movimientos!$K$1:$K$1048575,Movimientos!$C$1:$C$1048575,"112 Florida Ave",Movimientos!$B$1:$B$1048575,"&lt;="&amp;$B23)</f>
        <v>15120.060000000001</v>
      </c>
      <c r="S23" s="26">
        <f>SUMIFS('Saldos Iniciales'!$D:$D,'Saldos Iniciales'!$A:$A,"3628 Thomas Ave")+SUMIFS(Movimientos!$K$1:$K$1048575,Movimientos!$C$1:$C$1048575,"3628 Thomas Ave",Movimientos!$B$1:$B$1048575,"&lt;="&amp;$B23)</f>
        <v>29206.27</v>
      </c>
      <c r="T23" s="26">
        <f>SUMIFS('Saldos Iniciales'!$D:$D,'Saldos Iniciales'!$A:$A,"Green Harbor Trust")+SUMIFS(Movimientos!$K$1:$K$1048575,Movimientos!$C$1:$C$1048575,"Green Harbor Trust",Movimientos!$B$1:$B$1048575,"&lt;="&amp;$B23)</f>
        <v>345</v>
      </c>
      <c r="U23" s="26">
        <f>SUMIFS('Saldos Iniciales'!$D:$D,'Saldos Iniciales'!$A:$A,"Go Blue")+SUMIFS(Movimientos!$K$1:$K$1048575,Movimientos!$C$1:$C$1048575,"Go Blue",Movimientos!$B$1:$B$1048575,"&lt;="&amp;$B23)</f>
        <v>8168.0700000000006</v>
      </c>
      <c r="V23" s="27">
        <f t="shared" si="0"/>
        <v>2554402.5799999996</v>
      </c>
    </row>
    <row r="24" spans="1:22" hidden="1" outlineLevel="1" x14ac:dyDescent="0.3">
      <c r="A24" s="24">
        <f t="shared" si="1"/>
        <v>23</v>
      </c>
      <c r="B24" s="25">
        <v>46165</v>
      </c>
      <c r="C24" s="26">
        <f>SUMIFS('Saldos Iniciales'!$D:$D,'Saldos Iniciales'!$A:$A,"CFT Group")+SUMIFS(Movimientos!$K$1:$K$1048575,Movimientos!$C$1:$C$1048575,"CFT Group",Movimientos!$B$1:$B$1048575,"&lt;="&amp;$B24)</f>
        <v>142321.80000000013</v>
      </c>
      <c r="D24" s="26">
        <f>SUMIFS('Saldos Iniciales'!$D:$D,'Saldos Iniciales'!$A:$A,"M1B")+SUMIFS(Movimientos!$K$1:$K$1048575,Movimientos!$C$1:$C$1048575,"M1B",Movimientos!$B$1:$B$1048575,"&lt;="&amp;$B24)</f>
        <v>659760.15999999992</v>
      </c>
      <c r="E24" s="26">
        <f>SUMIFS('Saldos Iniciales'!$D:$D,'Saldos Iniciales'!$A:$A,"Durand")+SUMIFS(Movimientos!$K$1:$K$1048575,Movimientos!$C$1:$C$1048575,"Durand",Movimientos!$B$1:$B$1048575,"&lt;="&amp;$B24)</f>
        <v>1669.89</v>
      </c>
      <c r="F24" s="26">
        <f>SUMIFS('Saldos Iniciales'!$D:$D,'Saldos Iniciales'!$A:$A,"A&amp;M Imports")+SUMIFS(Movimientos!$K$1:$K$1048575,Movimientos!$C$1:$C$1048575,"A&amp;M Imports",Movimientos!$B$1:$B$1048575,"&lt;="&amp;$B24)</f>
        <v>497076.20999999985</v>
      </c>
      <c r="G24" s="26">
        <f>SUMIFS('Saldos Iniciales'!$D:$D,'Saldos Iniciales'!$A:$A,"SSP Capital")+SUMIFS(Movimientos!$K$1:$K$1048575,Movimientos!$C$1:$C$1048575,"SSP Capital",Movimientos!$B$1:$B$1048575,"&lt;="&amp;$B24)</f>
        <v>980426.88999999932</v>
      </c>
      <c r="H24" s="26">
        <f>SUMIFS('Saldos Iniciales'!$D:$D,'Saldos Iniciales'!$A:$A,"Cross Family Trust")+SUMIFS(Movimientos!$K$1:$K$1048575,Movimientos!$C$1:$C$1048575,"Cross Family Trust",Movimientos!$B$1:$B$1048575,"&lt;="&amp;$B24)</f>
        <v>104209.49</v>
      </c>
      <c r="I24" s="26">
        <f>SUMIFS('Saldos Iniciales'!$D:$D,'Saldos Iniciales'!$A:$A,"Cross Security Trust")+SUMIFS(Movimientos!$K$1:$K$1048575,Movimientos!$C$1:$C$1048575,"Cross Security Trust",Movimientos!$B$1:$B$1048575,"&lt;="&amp;$B24)</f>
        <v>88090.37</v>
      </c>
      <c r="J24" s="26">
        <f>SUMIFS('Saldos Iniciales'!$D:$D,'Saldos Iniciales'!$A:$A,"Electrama")+SUMIFS(Movimientos!$K$1:$K$1048575,Movimientos!$C$1:$C$1048575,"Electrama",Movimientos!$B$1:$B$1048575,"&lt;="&amp;$B24)</f>
        <v>2498.3999999999996</v>
      </c>
      <c r="K24" s="26">
        <f>SUMIFS('Saldos Iniciales'!$D:$D,'Saldos Iniciales'!$A:$A,"Sacred Valley Capital")+SUMIFS(Movimientos!$K$1:$K$1048575,Movimientos!$C$1:$C$1048575,"Sacred Valley Capital",Movimientos!$B$1:$B$1048575,"&lt;="&amp;$B24)</f>
        <v>114.3</v>
      </c>
      <c r="L24" s="26">
        <f>SUMIFS('Saldos Iniciales'!$D:$D,'Saldos Iniciales'!$A:$A,"YWC Capital")+SUMIFS(Movimientos!$K$1:$K$1048575,Movimientos!$C$1:$C$1048575,"YWC Capital",Movimientos!$B$1:$B$1048575,"&lt;="&amp;$B24)</f>
        <v>2267.7200000000003</v>
      </c>
      <c r="M24" s="26">
        <f>SUMIFS('Saldos Iniciales'!$D:$D,'Saldos Iniciales'!$A:$A,"Soweto")+SUMIFS(Movimientos!$K$1:$K$1048575,Movimientos!$C$1:$C$1048575,"Soweto",Movimientos!$B$1:$B$1048575,"&lt;="&amp;$B24)</f>
        <v>3349.94</v>
      </c>
      <c r="N24" s="26">
        <f>SUMIFS('Saldos Iniciales'!$D:$D,'Saldos Iniciales'!$A:$A,"Green Stone Trust")+SUMIFS(Movimientos!$K$1:$K$1048575,Movimientos!$C$1:$C$1048575,"Green Stone Trust",Movimientos!$B$1:$B$1048575,"&lt;="&amp;$B24)</f>
        <v>1968.99</v>
      </c>
      <c r="O24" s="26">
        <f>SUMIFS('Saldos Iniciales'!$D:$D,'Saldos Iniciales'!$A:$A,"EC Auto")+SUMIFS(Movimientos!$K$1:$K$1048575,Movimientos!$C$1:$C$1048575,"EC Auto",Movimientos!$B$1:$B$1048575,"&lt;="&amp;$B24)</f>
        <v>901.34</v>
      </c>
      <c r="P24" s="26">
        <f>SUMIFS('Saldos Iniciales'!$D:$D,'Saldos Iniciales'!$A:$A,"Arbor Capital Properties")+SUMIFS(Movimientos!$K$1:$K$1048575,Movimientos!$C$1:$C$1048575,"Arbor Capital Properties",Movimientos!$B$1:$B$1048575,"&lt;="&amp;$B24)</f>
        <v>1444.08</v>
      </c>
      <c r="Q24" s="26">
        <f>SUMIFS('Saldos Iniciales'!$D:$D,'Saldos Iniciales'!$A:$A,"2515 Overbrook")+SUMIFS(Movimientos!$K$1:$K$1048575,Movimientos!$C$1:$C$1048575,"2515 Overbrook",Movimientos!$B$1:$B$1048575,"&lt;="&amp;$B24)</f>
        <v>15463.59999999996</v>
      </c>
      <c r="R24" s="26">
        <f>SUMIFS('Saldos Iniciales'!$D:$D,'Saldos Iniciales'!$A:$A,"112 Florida Ave")+SUMIFS(Movimientos!$K$1:$K$1048575,Movimientos!$C$1:$C$1048575,"112 Florida Ave",Movimientos!$B$1:$B$1048575,"&lt;="&amp;$B24)</f>
        <v>15120.060000000001</v>
      </c>
      <c r="S24" s="26">
        <f>SUMIFS('Saldos Iniciales'!$D:$D,'Saldos Iniciales'!$A:$A,"3628 Thomas Ave")+SUMIFS(Movimientos!$K$1:$K$1048575,Movimientos!$C$1:$C$1048575,"3628 Thomas Ave",Movimientos!$B$1:$B$1048575,"&lt;="&amp;$B24)</f>
        <v>29206.27</v>
      </c>
      <c r="T24" s="26">
        <f>SUMIFS('Saldos Iniciales'!$D:$D,'Saldos Iniciales'!$A:$A,"Green Harbor Trust")+SUMIFS(Movimientos!$K$1:$K$1048575,Movimientos!$C$1:$C$1048575,"Green Harbor Trust",Movimientos!$B$1:$B$1048575,"&lt;="&amp;$B24)</f>
        <v>345</v>
      </c>
      <c r="U24" s="26">
        <f>SUMIFS('Saldos Iniciales'!$D:$D,'Saldos Iniciales'!$A:$A,"Go Blue")+SUMIFS(Movimientos!$K$1:$K$1048575,Movimientos!$C$1:$C$1048575,"Go Blue",Movimientos!$B$1:$B$1048575,"&lt;="&amp;$B24)</f>
        <v>8168.0700000000006</v>
      </c>
      <c r="V24" s="27">
        <f t="shared" si="0"/>
        <v>2554402.5799999996</v>
      </c>
    </row>
    <row r="25" spans="1:22" hidden="1" outlineLevel="1" x14ac:dyDescent="0.3">
      <c r="A25" s="24">
        <f t="shared" si="1"/>
        <v>24</v>
      </c>
      <c r="B25" s="25">
        <v>46166</v>
      </c>
      <c r="C25" s="26">
        <f>SUMIFS('Saldos Iniciales'!$D:$D,'Saldos Iniciales'!$A:$A,"CFT Group")+SUMIFS(Movimientos!$K$1:$K$1048575,Movimientos!$C$1:$C$1048575,"CFT Group",Movimientos!$B$1:$B$1048575,"&lt;="&amp;$B25)</f>
        <v>142321.80000000013</v>
      </c>
      <c r="D25" s="26">
        <f>SUMIFS('Saldos Iniciales'!$D:$D,'Saldos Iniciales'!$A:$A,"M1B")+SUMIFS(Movimientos!$K$1:$K$1048575,Movimientos!$C$1:$C$1048575,"M1B",Movimientos!$B$1:$B$1048575,"&lt;="&amp;$B25)</f>
        <v>659760.15999999992</v>
      </c>
      <c r="E25" s="26">
        <f>SUMIFS('Saldos Iniciales'!$D:$D,'Saldos Iniciales'!$A:$A,"Durand")+SUMIFS(Movimientos!$K$1:$K$1048575,Movimientos!$C$1:$C$1048575,"Durand",Movimientos!$B$1:$B$1048575,"&lt;="&amp;$B25)</f>
        <v>1669.89</v>
      </c>
      <c r="F25" s="26">
        <f>SUMIFS('Saldos Iniciales'!$D:$D,'Saldos Iniciales'!$A:$A,"A&amp;M Imports")+SUMIFS(Movimientos!$K$1:$K$1048575,Movimientos!$C$1:$C$1048575,"A&amp;M Imports",Movimientos!$B$1:$B$1048575,"&lt;="&amp;$B25)</f>
        <v>497076.20999999985</v>
      </c>
      <c r="G25" s="26">
        <f>SUMIFS('Saldos Iniciales'!$D:$D,'Saldos Iniciales'!$A:$A,"SSP Capital")+SUMIFS(Movimientos!$K$1:$K$1048575,Movimientos!$C$1:$C$1048575,"SSP Capital",Movimientos!$B$1:$B$1048575,"&lt;="&amp;$B25)</f>
        <v>980426.88999999932</v>
      </c>
      <c r="H25" s="26">
        <f>SUMIFS('Saldos Iniciales'!$D:$D,'Saldos Iniciales'!$A:$A,"Cross Family Trust")+SUMIFS(Movimientos!$K$1:$K$1048575,Movimientos!$C$1:$C$1048575,"Cross Family Trust",Movimientos!$B$1:$B$1048575,"&lt;="&amp;$B25)</f>
        <v>104209.49</v>
      </c>
      <c r="I25" s="26">
        <f>SUMIFS('Saldos Iniciales'!$D:$D,'Saldos Iniciales'!$A:$A,"Cross Security Trust")+SUMIFS(Movimientos!$K$1:$K$1048575,Movimientos!$C$1:$C$1048575,"Cross Security Trust",Movimientos!$B$1:$B$1048575,"&lt;="&amp;$B25)</f>
        <v>88090.37</v>
      </c>
      <c r="J25" s="26">
        <f>SUMIFS('Saldos Iniciales'!$D:$D,'Saldos Iniciales'!$A:$A,"Electrama")+SUMIFS(Movimientos!$K$1:$K$1048575,Movimientos!$C$1:$C$1048575,"Electrama",Movimientos!$B$1:$B$1048575,"&lt;="&amp;$B25)</f>
        <v>2498.3999999999996</v>
      </c>
      <c r="K25" s="26">
        <f>SUMIFS('Saldos Iniciales'!$D:$D,'Saldos Iniciales'!$A:$A,"Sacred Valley Capital")+SUMIFS(Movimientos!$K$1:$K$1048575,Movimientos!$C$1:$C$1048575,"Sacred Valley Capital",Movimientos!$B$1:$B$1048575,"&lt;="&amp;$B25)</f>
        <v>114.3</v>
      </c>
      <c r="L25" s="26">
        <f>SUMIFS('Saldos Iniciales'!$D:$D,'Saldos Iniciales'!$A:$A,"YWC Capital")+SUMIFS(Movimientos!$K$1:$K$1048575,Movimientos!$C$1:$C$1048575,"YWC Capital",Movimientos!$B$1:$B$1048575,"&lt;="&amp;$B25)</f>
        <v>2267.7200000000003</v>
      </c>
      <c r="M25" s="26">
        <f>SUMIFS('Saldos Iniciales'!$D:$D,'Saldos Iniciales'!$A:$A,"Soweto")+SUMIFS(Movimientos!$K$1:$K$1048575,Movimientos!$C$1:$C$1048575,"Soweto",Movimientos!$B$1:$B$1048575,"&lt;="&amp;$B25)</f>
        <v>3349.94</v>
      </c>
      <c r="N25" s="26">
        <f>SUMIFS('Saldos Iniciales'!$D:$D,'Saldos Iniciales'!$A:$A,"Green Stone Trust")+SUMIFS(Movimientos!$K$1:$K$1048575,Movimientos!$C$1:$C$1048575,"Green Stone Trust",Movimientos!$B$1:$B$1048575,"&lt;="&amp;$B25)</f>
        <v>1968.99</v>
      </c>
      <c r="O25" s="26">
        <f>SUMIFS('Saldos Iniciales'!$D:$D,'Saldos Iniciales'!$A:$A,"EC Auto")+SUMIFS(Movimientos!$K$1:$K$1048575,Movimientos!$C$1:$C$1048575,"EC Auto",Movimientos!$B$1:$B$1048575,"&lt;="&amp;$B25)</f>
        <v>901.34</v>
      </c>
      <c r="P25" s="26">
        <f>SUMIFS('Saldos Iniciales'!$D:$D,'Saldos Iniciales'!$A:$A,"Arbor Capital Properties")+SUMIFS(Movimientos!$K$1:$K$1048575,Movimientos!$C$1:$C$1048575,"Arbor Capital Properties",Movimientos!$B$1:$B$1048575,"&lt;="&amp;$B25)</f>
        <v>1444.08</v>
      </c>
      <c r="Q25" s="26">
        <f>SUMIFS('Saldos Iniciales'!$D:$D,'Saldos Iniciales'!$A:$A,"2515 Overbrook")+SUMIFS(Movimientos!$K$1:$K$1048575,Movimientos!$C$1:$C$1048575,"2515 Overbrook",Movimientos!$B$1:$B$1048575,"&lt;="&amp;$B25)</f>
        <v>15463.59999999996</v>
      </c>
      <c r="R25" s="26">
        <f>SUMIFS('Saldos Iniciales'!$D:$D,'Saldos Iniciales'!$A:$A,"112 Florida Ave")+SUMIFS(Movimientos!$K$1:$K$1048575,Movimientos!$C$1:$C$1048575,"112 Florida Ave",Movimientos!$B$1:$B$1048575,"&lt;="&amp;$B25)</f>
        <v>15120.060000000001</v>
      </c>
      <c r="S25" s="26">
        <f>SUMIFS('Saldos Iniciales'!$D:$D,'Saldos Iniciales'!$A:$A,"3628 Thomas Ave")+SUMIFS(Movimientos!$K$1:$K$1048575,Movimientos!$C$1:$C$1048575,"3628 Thomas Ave",Movimientos!$B$1:$B$1048575,"&lt;="&amp;$B25)</f>
        <v>29206.27</v>
      </c>
      <c r="T25" s="26">
        <f>SUMIFS('Saldos Iniciales'!$D:$D,'Saldos Iniciales'!$A:$A,"Green Harbor Trust")+SUMIFS(Movimientos!$K$1:$K$1048575,Movimientos!$C$1:$C$1048575,"Green Harbor Trust",Movimientos!$B$1:$B$1048575,"&lt;="&amp;$B25)</f>
        <v>345</v>
      </c>
      <c r="U25" s="26">
        <f>SUMIFS('Saldos Iniciales'!$D:$D,'Saldos Iniciales'!$A:$A,"Go Blue")+SUMIFS(Movimientos!$K$1:$K$1048575,Movimientos!$C$1:$C$1048575,"Go Blue",Movimientos!$B$1:$B$1048575,"&lt;="&amp;$B25)</f>
        <v>8168.0700000000006</v>
      </c>
      <c r="V25" s="27">
        <f t="shared" si="0"/>
        <v>2554402.5799999996</v>
      </c>
    </row>
    <row r="26" spans="1:22" hidden="1" outlineLevel="1" x14ac:dyDescent="0.3">
      <c r="A26" s="24">
        <f t="shared" si="1"/>
        <v>25</v>
      </c>
      <c r="B26" s="25">
        <v>46167</v>
      </c>
      <c r="C26" s="26">
        <f>SUMIFS('Saldos Iniciales'!$D:$D,'Saldos Iniciales'!$A:$A,"CFT Group")+SUMIFS(Movimientos!$K$1:$K$1048575,Movimientos!$C$1:$C$1048575,"CFT Group",Movimientos!$B$1:$B$1048575,"&lt;="&amp;$B26)</f>
        <v>142321.80000000013</v>
      </c>
      <c r="D26" s="26">
        <f>SUMIFS('Saldos Iniciales'!$D:$D,'Saldos Iniciales'!$A:$A,"M1B")+SUMIFS(Movimientos!$K$1:$K$1048575,Movimientos!$C$1:$C$1048575,"M1B",Movimientos!$B$1:$B$1048575,"&lt;="&amp;$B26)</f>
        <v>659760.15999999992</v>
      </c>
      <c r="E26" s="26">
        <f>SUMIFS('Saldos Iniciales'!$D:$D,'Saldos Iniciales'!$A:$A,"Durand")+SUMIFS(Movimientos!$K$1:$K$1048575,Movimientos!$C$1:$C$1048575,"Durand",Movimientos!$B$1:$B$1048575,"&lt;="&amp;$B26)</f>
        <v>1669.89</v>
      </c>
      <c r="F26" s="26">
        <f>SUMIFS('Saldos Iniciales'!$D:$D,'Saldos Iniciales'!$A:$A,"A&amp;M Imports")+SUMIFS(Movimientos!$K$1:$K$1048575,Movimientos!$C$1:$C$1048575,"A&amp;M Imports",Movimientos!$B$1:$B$1048575,"&lt;="&amp;$B26)</f>
        <v>497076.20999999985</v>
      </c>
      <c r="G26" s="26">
        <f>SUMIFS('Saldos Iniciales'!$D:$D,'Saldos Iniciales'!$A:$A,"SSP Capital")+SUMIFS(Movimientos!$K$1:$K$1048575,Movimientos!$C$1:$C$1048575,"SSP Capital",Movimientos!$B$1:$B$1048575,"&lt;="&amp;$B26)</f>
        <v>980426.88999999932</v>
      </c>
      <c r="H26" s="26">
        <f>SUMIFS('Saldos Iniciales'!$D:$D,'Saldos Iniciales'!$A:$A,"Cross Family Trust")+SUMIFS(Movimientos!$K$1:$K$1048575,Movimientos!$C$1:$C$1048575,"Cross Family Trust",Movimientos!$B$1:$B$1048575,"&lt;="&amp;$B26)</f>
        <v>104209.49</v>
      </c>
      <c r="I26" s="26">
        <f>SUMIFS('Saldos Iniciales'!$D:$D,'Saldos Iniciales'!$A:$A,"Cross Security Trust")+SUMIFS(Movimientos!$K$1:$K$1048575,Movimientos!$C$1:$C$1048575,"Cross Security Trust",Movimientos!$B$1:$B$1048575,"&lt;="&amp;$B26)</f>
        <v>88090.37</v>
      </c>
      <c r="J26" s="26">
        <f>SUMIFS('Saldos Iniciales'!$D:$D,'Saldos Iniciales'!$A:$A,"Electrama")+SUMIFS(Movimientos!$K$1:$K$1048575,Movimientos!$C$1:$C$1048575,"Electrama",Movimientos!$B$1:$B$1048575,"&lt;="&amp;$B26)</f>
        <v>2498.3999999999996</v>
      </c>
      <c r="K26" s="26">
        <f>SUMIFS('Saldos Iniciales'!$D:$D,'Saldos Iniciales'!$A:$A,"Sacred Valley Capital")+SUMIFS(Movimientos!$K$1:$K$1048575,Movimientos!$C$1:$C$1048575,"Sacred Valley Capital",Movimientos!$B$1:$B$1048575,"&lt;="&amp;$B26)</f>
        <v>114.3</v>
      </c>
      <c r="L26" s="26">
        <f>SUMIFS('Saldos Iniciales'!$D:$D,'Saldos Iniciales'!$A:$A,"YWC Capital")+SUMIFS(Movimientos!$K$1:$K$1048575,Movimientos!$C$1:$C$1048575,"YWC Capital",Movimientos!$B$1:$B$1048575,"&lt;="&amp;$B26)</f>
        <v>2267.7200000000003</v>
      </c>
      <c r="M26" s="26">
        <f>SUMIFS('Saldos Iniciales'!$D:$D,'Saldos Iniciales'!$A:$A,"Soweto")+SUMIFS(Movimientos!$K$1:$K$1048575,Movimientos!$C$1:$C$1048575,"Soweto",Movimientos!$B$1:$B$1048575,"&lt;="&amp;$B26)</f>
        <v>3349.94</v>
      </c>
      <c r="N26" s="26">
        <f>SUMIFS('Saldos Iniciales'!$D:$D,'Saldos Iniciales'!$A:$A,"Green Stone Trust")+SUMIFS(Movimientos!$K$1:$K$1048575,Movimientos!$C$1:$C$1048575,"Green Stone Trust",Movimientos!$B$1:$B$1048575,"&lt;="&amp;$B26)</f>
        <v>1968.99</v>
      </c>
      <c r="O26" s="26">
        <f>SUMIFS('Saldos Iniciales'!$D:$D,'Saldos Iniciales'!$A:$A,"EC Auto")+SUMIFS(Movimientos!$K$1:$K$1048575,Movimientos!$C$1:$C$1048575,"EC Auto",Movimientos!$B$1:$B$1048575,"&lt;="&amp;$B26)</f>
        <v>901.34</v>
      </c>
      <c r="P26" s="26">
        <f>SUMIFS('Saldos Iniciales'!$D:$D,'Saldos Iniciales'!$A:$A,"Arbor Capital Properties")+SUMIFS(Movimientos!$K$1:$K$1048575,Movimientos!$C$1:$C$1048575,"Arbor Capital Properties",Movimientos!$B$1:$B$1048575,"&lt;="&amp;$B26)</f>
        <v>1444.08</v>
      </c>
      <c r="Q26" s="26">
        <f>SUMIFS('Saldos Iniciales'!$D:$D,'Saldos Iniciales'!$A:$A,"2515 Overbrook")+SUMIFS(Movimientos!$K$1:$K$1048575,Movimientos!$C$1:$C$1048575,"2515 Overbrook",Movimientos!$B$1:$B$1048575,"&lt;="&amp;$B26)</f>
        <v>15463.59999999996</v>
      </c>
      <c r="R26" s="26">
        <f>SUMIFS('Saldos Iniciales'!$D:$D,'Saldos Iniciales'!$A:$A,"112 Florida Ave")+SUMIFS(Movimientos!$K$1:$K$1048575,Movimientos!$C$1:$C$1048575,"112 Florida Ave",Movimientos!$B$1:$B$1048575,"&lt;="&amp;$B26)</f>
        <v>15120.060000000001</v>
      </c>
      <c r="S26" s="26">
        <f>SUMIFS('Saldos Iniciales'!$D:$D,'Saldos Iniciales'!$A:$A,"3628 Thomas Ave")+SUMIFS(Movimientos!$K$1:$K$1048575,Movimientos!$C$1:$C$1048575,"3628 Thomas Ave",Movimientos!$B$1:$B$1048575,"&lt;="&amp;$B26)</f>
        <v>29206.27</v>
      </c>
      <c r="T26" s="26">
        <f>SUMIFS('Saldos Iniciales'!$D:$D,'Saldos Iniciales'!$A:$A,"Green Harbor Trust")+SUMIFS(Movimientos!$K$1:$K$1048575,Movimientos!$C$1:$C$1048575,"Green Harbor Trust",Movimientos!$B$1:$B$1048575,"&lt;="&amp;$B26)</f>
        <v>345</v>
      </c>
      <c r="U26" s="26">
        <f>SUMIFS('Saldos Iniciales'!$D:$D,'Saldos Iniciales'!$A:$A,"Go Blue")+SUMIFS(Movimientos!$K$1:$K$1048575,Movimientos!$C$1:$C$1048575,"Go Blue",Movimientos!$B$1:$B$1048575,"&lt;="&amp;$B26)</f>
        <v>8168.0700000000006</v>
      </c>
      <c r="V26" s="27">
        <f t="shared" si="0"/>
        <v>2554402.5799999996</v>
      </c>
    </row>
    <row r="27" spans="1:22" hidden="1" outlineLevel="1" x14ac:dyDescent="0.3">
      <c r="A27" s="24">
        <f t="shared" si="1"/>
        <v>26</v>
      </c>
      <c r="B27" s="25">
        <v>46168</v>
      </c>
      <c r="C27" s="26">
        <f>SUMIFS('Saldos Iniciales'!$D:$D,'Saldos Iniciales'!$A:$A,"CFT Group")+SUMIFS(Movimientos!$K$1:$K$1048575,Movimientos!$C$1:$C$1048575,"CFT Group",Movimientos!$B$1:$B$1048575,"&lt;="&amp;$B27)</f>
        <v>253154.33000000013</v>
      </c>
      <c r="D27" s="26">
        <f>SUMIFS('Saldos Iniciales'!$D:$D,'Saldos Iniciales'!$A:$A,"M1B")+SUMIFS(Movimientos!$K$1:$K$1048575,Movimientos!$C$1:$C$1048575,"M1B",Movimientos!$B$1:$B$1048575,"&lt;="&amp;$B27)</f>
        <v>1259760.1600000001</v>
      </c>
      <c r="E27" s="26">
        <f>SUMIFS('Saldos Iniciales'!$D:$D,'Saldos Iniciales'!$A:$A,"Durand")+SUMIFS(Movimientos!$K$1:$K$1048575,Movimientos!$C$1:$C$1048575,"Durand",Movimientos!$B$1:$B$1048575,"&lt;="&amp;$B27)</f>
        <v>1669.89</v>
      </c>
      <c r="F27" s="26">
        <f>SUMIFS('Saldos Iniciales'!$D:$D,'Saldos Iniciales'!$A:$A,"A&amp;M Imports")+SUMIFS(Movimientos!$K$1:$K$1048575,Movimientos!$C$1:$C$1048575,"A&amp;M Imports",Movimientos!$B$1:$B$1048575,"&lt;="&amp;$B27)</f>
        <v>497076.20999999985</v>
      </c>
      <c r="G27" s="26">
        <f>SUMIFS('Saldos Iniciales'!$D:$D,'Saldos Iniciales'!$A:$A,"SSP Capital")+SUMIFS(Movimientos!$K$1:$K$1048575,Movimientos!$C$1:$C$1048575,"SSP Capital",Movimientos!$B$1:$B$1048575,"&lt;="&amp;$B27)</f>
        <v>980426.88999999932</v>
      </c>
      <c r="H27" s="26">
        <f>SUMIFS('Saldos Iniciales'!$D:$D,'Saldos Iniciales'!$A:$A,"Cross Family Trust")+SUMIFS(Movimientos!$K$1:$K$1048575,Movimientos!$C$1:$C$1048575,"Cross Family Trust",Movimientos!$B$1:$B$1048575,"&lt;="&amp;$B27)</f>
        <v>104209.49</v>
      </c>
      <c r="I27" s="26">
        <f>SUMIFS('Saldos Iniciales'!$D:$D,'Saldos Iniciales'!$A:$A,"Cross Security Trust")+SUMIFS(Movimientos!$K$1:$K$1048575,Movimientos!$C$1:$C$1048575,"Cross Security Trust",Movimientos!$B$1:$B$1048575,"&lt;="&amp;$B27)</f>
        <v>88090.37</v>
      </c>
      <c r="J27" s="26">
        <f>SUMIFS('Saldos Iniciales'!$D:$D,'Saldos Iniciales'!$A:$A,"Electrama")+SUMIFS(Movimientos!$K$1:$K$1048575,Movimientos!$C$1:$C$1048575,"Electrama",Movimientos!$B$1:$B$1048575,"&lt;="&amp;$B27)</f>
        <v>2498.3999999999996</v>
      </c>
      <c r="K27" s="26">
        <f>SUMIFS('Saldos Iniciales'!$D:$D,'Saldos Iniciales'!$A:$A,"Sacred Valley Capital")+SUMIFS(Movimientos!$K$1:$K$1048575,Movimientos!$C$1:$C$1048575,"Sacred Valley Capital",Movimientos!$B$1:$B$1048575,"&lt;="&amp;$B27)</f>
        <v>114.3</v>
      </c>
      <c r="L27" s="26">
        <f>SUMIFS('Saldos Iniciales'!$D:$D,'Saldos Iniciales'!$A:$A,"YWC Capital")+SUMIFS(Movimientos!$K$1:$K$1048575,Movimientos!$C$1:$C$1048575,"YWC Capital",Movimientos!$B$1:$B$1048575,"&lt;="&amp;$B27)</f>
        <v>2267.7200000000003</v>
      </c>
      <c r="M27" s="26">
        <f>SUMIFS('Saldos Iniciales'!$D:$D,'Saldos Iniciales'!$A:$A,"Soweto")+SUMIFS(Movimientos!$K$1:$K$1048575,Movimientos!$C$1:$C$1048575,"Soweto",Movimientos!$B$1:$B$1048575,"&lt;="&amp;$B27)</f>
        <v>3349.94</v>
      </c>
      <c r="N27" s="26">
        <f>SUMIFS('Saldos Iniciales'!$D:$D,'Saldos Iniciales'!$A:$A,"Green Stone Trust")+SUMIFS(Movimientos!$K$1:$K$1048575,Movimientos!$C$1:$C$1048575,"Green Stone Trust",Movimientos!$B$1:$B$1048575,"&lt;="&amp;$B27)</f>
        <v>1968.99</v>
      </c>
      <c r="O27" s="26">
        <f>SUMIFS('Saldos Iniciales'!$D:$D,'Saldos Iniciales'!$A:$A,"EC Auto")+SUMIFS(Movimientos!$K$1:$K$1048575,Movimientos!$C$1:$C$1048575,"EC Auto",Movimientos!$B$1:$B$1048575,"&lt;="&amp;$B27)</f>
        <v>901.34</v>
      </c>
      <c r="P27" s="26">
        <f>SUMIFS('Saldos Iniciales'!$D:$D,'Saldos Iniciales'!$A:$A,"Arbor Capital Properties")+SUMIFS(Movimientos!$K$1:$K$1048575,Movimientos!$C$1:$C$1048575,"Arbor Capital Properties",Movimientos!$B$1:$B$1048575,"&lt;="&amp;$B27)</f>
        <v>1444.08</v>
      </c>
      <c r="Q27" s="26">
        <f>SUMIFS('Saldos Iniciales'!$D:$D,'Saldos Iniciales'!$A:$A,"2515 Overbrook")+SUMIFS(Movimientos!$K$1:$K$1048575,Movimientos!$C$1:$C$1048575,"2515 Overbrook",Movimientos!$B$1:$B$1048575,"&lt;="&amp;$B27)</f>
        <v>15463.59999999996</v>
      </c>
      <c r="R27" s="26">
        <f>SUMIFS('Saldos Iniciales'!$D:$D,'Saldos Iniciales'!$A:$A,"112 Florida Ave")+SUMIFS(Movimientos!$K$1:$K$1048575,Movimientos!$C$1:$C$1048575,"112 Florida Ave",Movimientos!$B$1:$B$1048575,"&lt;="&amp;$B27)</f>
        <v>15120.060000000001</v>
      </c>
      <c r="S27" s="26">
        <f>SUMIFS('Saldos Iniciales'!$D:$D,'Saldos Iniciales'!$A:$A,"3628 Thomas Ave")+SUMIFS(Movimientos!$K$1:$K$1048575,Movimientos!$C$1:$C$1048575,"3628 Thomas Ave",Movimientos!$B$1:$B$1048575,"&lt;="&amp;$B27)</f>
        <v>29206.27</v>
      </c>
      <c r="T27" s="26">
        <f>SUMIFS('Saldos Iniciales'!$D:$D,'Saldos Iniciales'!$A:$A,"Green Harbor Trust")+SUMIFS(Movimientos!$K$1:$K$1048575,Movimientos!$C$1:$C$1048575,"Green Harbor Trust",Movimientos!$B$1:$B$1048575,"&lt;="&amp;$B27)</f>
        <v>345</v>
      </c>
      <c r="U27" s="26">
        <f>SUMIFS('Saldos Iniciales'!$D:$D,'Saldos Iniciales'!$A:$A,"Go Blue")+SUMIFS(Movimientos!$K$1:$K$1048575,Movimientos!$C$1:$C$1048575,"Go Blue",Movimientos!$B$1:$B$1048575,"&lt;="&amp;$B27)</f>
        <v>8168.0700000000006</v>
      </c>
      <c r="V27" s="27">
        <f t="shared" si="0"/>
        <v>3265235.1099999994</v>
      </c>
    </row>
    <row r="28" spans="1:22" hidden="1" outlineLevel="1" x14ac:dyDescent="0.3">
      <c r="A28" s="24">
        <f t="shared" si="1"/>
        <v>27</v>
      </c>
      <c r="B28" s="25">
        <v>46169</v>
      </c>
      <c r="C28" s="26">
        <f>SUMIFS('Saldos Iniciales'!$D:$D,'Saldos Iniciales'!$A:$A,"CFT Group")+SUMIFS(Movimientos!$K$1:$K$1048575,Movimientos!$C$1:$C$1048575,"CFT Group",Movimientos!$B$1:$B$1048575,"&lt;="&amp;$B28)</f>
        <v>259371.70000000013</v>
      </c>
      <c r="D28" s="26">
        <f>SUMIFS('Saldos Iniciales'!$D:$D,'Saldos Iniciales'!$A:$A,"M1B")+SUMIFS(Movimientos!$K$1:$K$1048575,Movimientos!$C$1:$C$1048575,"M1B",Movimientos!$B$1:$B$1048575,"&lt;="&amp;$B28)</f>
        <v>1259760.1600000001</v>
      </c>
      <c r="E28" s="26">
        <f>SUMIFS('Saldos Iniciales'!$D:$D,'Saldos Iniciales'!$A:$A,"Durand")+SUMIFS(Movimientos!$K$1:$K$1048575,Movimientos!$C$1:$C$1048575,"Durand",Movimientos!$B$1:$B$1048575,"&lt;="&amp;$B28)</f>
        <v>1669.89</v>
      </c>
      <c r="F28" s="26">
        <f>SUMIFS('Saldos Iniciales'!$D:$D,'Saldos Iniciales'!$A:$A,"A&amp;M Imports")+SUMIFS(Movimientos!$K$1:$K$1048575,Movimientos!$C$1:$C$1048575,"A&amp;M Imports",Movimientos!$B$1:$B$1048575,"&lt;="&amp;$B28)</f>
        <v>514616.73999999987</v>
      </c>
      <c r="G28" s="26">
        <f>SUMIFS('Saldos Iniciales'!$D:$D,'Saldos Iniciales'!$A:$A,"SSP Capital")+SUMIFS(Movimientos!$K$1:$K$1048575,Movimientos!$C$1:$C$1048575,"SSP Capital",Movimientos!$B$1:$B$1048575,"&lt;="&amp;$B28)</f>
        <v>980426.88999999932</v>
      </c>
      <c r="H28" s="26">
        <f>SUMIFS('Saldos Iniciales'!$D:$D,'Saldos Iniciales'!$A:$A,"Cross Family Trust")+SUMIFS(Movimientos!$K$1:$K$1048575,Movimientos!$C$1:$C$1048575,"Cross Family Trust",Movimientos!$B$1:$B$1048575,"&lt;="&amp;$B28)</f>
        <v>94209.49</v>
      </c>
      <c r="I28" s="26">
        <f>SUMIFS('Saldos Iniciales'!$D:$D,'Saldos Iniciales'!$A:$A,"Cross Security Trust")+SUMIFS(Movimientos!$K$1:$K$1048575,Movimientos!$C$1:$C$1048575,"Cross Security Trust",Movimientos!$B$1:$B$1048575,"&lt;="&amp;$B28)</f>
        <v>88090.37</v>
      </c>
      <c r="J28" s="26">
        <f>SUMIFS('Saldos Iniciales'!$D:$D,'Saldos Iniciales'!$A:$A,"Electrama")+SUMIFS(Movimientos!$K$1:$K$1048575,Movimientos!$C$1:$C$1048575,"Electrama",Movimientos!$B$1:$B$1048575,"&lt;="&amp;$B28)</f>
        <v>2498.3999999999996</v>
      </c>
      <c r="K28" s="26">
        <f>SUMIFS('Saldos Iniciales'!$D:$D,'Saldos Iniciales'!$A:$A,"Sacred Valley Capital")+SUMIFS(Movimientos!$K$1:$K$1048575,Movimientos!$C$1:$C$1048575,"Sacred Valley Capital",Movimientos!$B$1:$B$1048575,"&lt;="&amp;$B28)</f>
        <v>114.3</v>
      </c>
      <c r="L28" s="26">
        <f>SUMIFS('Saldos Iniciales'!$D:$D,'Saldos Iniciales'!$A:$A,"YWC Capital")+SUMIFS(Movimientos!$K$1:$K$1048575,Movimientos!$C$1:$C$1048575,"YWC Capital",Movimientos!$B$1:$B$1048575,"&lt;="&amp;$B28)</f>
        <v>2267.7200000000003</v>
      </c>
      <c r="M28" s="26">
        <f>SUMIFS('Saldos Iniciales'!$D:$D,'Saldos Iniciales'!$A:$A,"Soweto")+SUMIFS(Movimientos!$K$1:$K$1048575,Movimientos!$C$1:$C$1048575,"Soweto",Movimientos!$B$1:$B$1048575,"&lt;="&amp;$B28)</f>
        <v>3349.94</v>
      </c>
      <c r="N28" s="26">
        <f>SUMIFS('Saldos Iniciales'!$D:$D,'Saldos Iniciales'!$A:$A,"Green Stone Trust")+SUMIFS(Movimientos!$K$1:$K$1048575,Movimientos!$C$1:$C$1048575,"Green Stone Trust",Movimientos!$B$1:$B$1048575,"&lt;="&amp;$B28)</f>
        <v>1968.99</v>
      </c>
      <c r="O28" s="26">
        <f>SUMIFS('Saldos Iniciales'!$D:$D,'Saldos Iniciales'!$A:$A,"EC Auto")+SUMIFS(Movimientos!$K$1:$K$1048575,Movimientos!$C$1:$C$1048575,"EC Auto",Movimientos!$B$1:$B$1048575,"&lt;="&amp;$B28)</f>
        <v>901.34</v>
      </c>
      <c r="P28" s="26">
        <f>SUMIFS('Saldos Iniciales'!$D:$D,'Saldos Iniciales'!$A:$A,"Arbor Capital Properties")+SUMIFS(Movimientos!$K$1:$K$1048575,Movimientos!$C$1:$C$1048575,"Arbor Capital Properties",Movimientos!$B$1:$B$1048575,"&lt;="&amp;$B28)</f>
        <v>1444.08</v>
      </c>
      <c r="Q28" s="26">
        <f>SUMIFS('Saldos Iniciales'!$D:$D,'Saldos Iniciales'!$A:$A,"2515 Overbrook")+SUMIFS(Movimientos!$K$1:$K$1048575,Movimientos!$C$1:$C$1048575,"2515 Overbrook",Movimientos!$B$1:$B$1048575,"&lt;="&amp;$B28)</f>
        <v>15463.59999999996</v>
      </c>
      <c r="R28" s="26">
        <f>SUMIFS('Saldos Iniciales'!$D:$D,'Saldos Iniciales'!$A:$A,"112 Florida Ave")+SUMIFS(Movimientos!$K$1:$K$1048575,Movimientos!$C$1:$C$1048575,"112 Florida Ave",Movimientos!$B$1:$B$1048575,"&lt;="&amp;$B28)</f>
        <v>15120.060000000001</v>
      </c>
      <c r="S28" s="26">
        <f>SUMIFS('Saldos Iniciales'!$D:$D,'Saldos Iniciales'!$A:$A,"3628 Thomas Ave")+SUMIFS(Movimientos!$K$1:$K$1048575,Movimientos!$C$1:$C$1048575,"3628 Thomas Ave",Movimientos!$B$1:$B$1048575,"&lt;="&amp;$B28)</f>
        <v>33606.270000000004</v>
      </c>
      <c r="T28" s="26">
        <f>SUMIFS('Saldos Iniciales'!$D:$D,'Saldos Iniciales'!$A:$A,"Green Harbor Trust")+SUMIFS(Movimientos!$K$1:$K$1048575,Movimientos!$C$1:$C$1048575,"Green Harbor Trust",Movimientos!$B$1:$B$1048575,"&lt;="&amp;$B28)</f>
        <v>345</v>
      </c>
      <c r="U28" s="26">
        <f>SUMIFS('Saldos Iniciales'!$D:$D,'Saldos Iniciales'!$A:$A,"Go Blue")+SUMIFS(Movimientos!$K$1:$K$1048575,Movimientos!$C$1:$C$1048575,"Go Blue",Movimientos!$B$1:$B$1048575,"&lt;="&amp;$B28)</f>
        <v>17588.03</v>
      </c>
      <c r="V28" s="27">
        <f t="shared" si="0"/>
        <v>3292812.9699999997</v>
      </c>
    </row>
    <row r="29" spans="1:22" hidden="1" outlineLevel="1" x14ac:dyDescent="0.3">
      <c r="A29" s="24">
        <f t="shared" si="1"/>
        <v>28</v>
      </c>
      <c r="B29" s="25">
        <v>46170</v>
      </c>
      <c r="C29" s="26">
        <f>SUMIFS('Saldos Iniciales'!$D:$D,'Saldos Iniciales'!$A:$A,"CFT Group")+SUMIFS(Movimientos!$K$1:$K$1048575,Movimientos!$C$1:$C$1048575,"CFT Group",Movimientos!$B$1:$B$1048575,"&lt;="&amp;$B29)</f>
        <v>986983.19000000006</v>
      </c>
      <c r="D29" s="26">
        <f>SUMIFS('Saldos Iniciales'!$D:$D,'Saldos Iniciales'!$A:$A,"M1B")+SUMIFS(Movimientos!$K$1:$K$1048575,Movimientos!$C$1:$C$1048575,"M1B",Movimientos!$B$1:$B$1048575,"&lt;="&amp;$B29)</f>
        <v>62397.280000000173</v>
      </c>
      <c r="E29" s="26">
        <f>SUMIFS('Saldos Iniciales'!$D:$D,'Saldos Iniciales'!$A:$A,"Durand")+SUMIFS(Movimientos!$K$1:$K$1048575,Movimientos!$C$1:$C$1048575,"Durand",Movimientos!$B$1:$B$1048575,"&lt;="&amp;$B29)</f>
        <v>1669.89</v>
      </c>
      <c r="F29" s="26">
        <f>SUMIFS('Saldos Iniciales'!$D:$D,'Saldos Iniciales'!$A:$A,"A&amp;M Imports")+SUMIFS(Movimientos!$K$1:$K$1048575,Movimientos!$C$1:$C$1048575,"A&amp;M Imports",Movimientos!$B$1:$B$1048575,"&lt;="&amp;$B29)</f>
        <v>376595.84999999986</v>
      </c>
      <c r="G29" s="26">
        <f>SUMIFS('Saldos Iniciales'!$D:$D,'Saldos Iniciales'!$A:$A,"SSP Capital")+SUMIFS(Movimientos!$K$1:$K$1048575,Movimientos!$C$1:$C$1048575,"SSP Capital",Movimientos!$B$1:$B$1048575,"&lt;="&amp;$B29)</f>
        <v>1090396.4799999993</v>
      </c>
      <c r="H29" s="26">
        <f>SUMIFS('Saldos Iniciales'!$D:$D,'Saldos Iniciales'!$A:$A,"Cross Family Trust")+SUMIFS(Movimientos!$K$1:$K$1048575,Movimientos!$C$1:$C$1048575,"Cross Family Trust",Movimientos!$B$1:$B$1048575,"&lt;="&amp;$B29)</f>
        <v>94209.49</v>
      </c>
      <c r="I29" s="26">
        <f>SUMIFS('Saldos Iniciales'!$D:$D,'Saldos Iniciales'!$A:$A,"Cross Security Trust")+SUMIFS(Movimientos!$K$1:$K$1048575,Movimientos!$C$1:$C$1048575,"Cross Security Trust",Movimientos!$B$1:$B$1048575,"&lt;="&amp;$B29)</f>
        <v>88090.37</v>
      </c>
      <c r="J29" s="26">
        <f>SUMIFS('Saldos Iniciales'!$D:$D,'Saldos Iniciales'!$A:$A,"Electrama")+SUMIFS(Movimientos!$K$1:$K$1048575,Movimientos!$C$1:$C$1048575,"Electrama",Movimientos!$B$1:$B$1048575,"&lt;="&amp;$B29)</f>
        <v>2498.3999999999996</v>
      </c>
      <c r="K29" s="26">
        <f>SUMIFS('Saldos Iniciales'!$D:$D,'Saldos Iniciales'!$A:$A,"Sacred Valley Capital")+SUMIFS(Movimientos!$K$1:$K$1048575,Movimientos!$C$1:$C$1048575,"Sacred Valley Capital",Movimientos!$B$1:$B$1048575,"&lt;="&amp;$B29)</f>
        <v>114.3</v>
      </c>
      <c r="L29" s="26">
        <f>SUMIFS('Saldos Iniciales'!$D:$D,'Saldos Iniciales'!$A:$A,"YWC Capital")+SUMIFS(Movimientos!$K$1:$K$1048575,Movimientos!$C$1:$C$1048575,"YWC Capital",Movimientos!$B$1:$B$1048575,"&lt;="&amp;$B29)</f>
        <v>2267.7200000000003</v>
      </c>
      <c r="M29" s="26">
        <f>SUMIFS('Saldos Iniciales'!$D:$D,'Saldos Iniciales'!$A:$A,"Soweto")+SUMIFS(Movimientos!$K$1:$K$1048575,Movimientos!$C$1:$C$1048575,"Soweto",Movimientos!$B$1:$B$1048575,"&lt;="&amp;$B29)</f>
        <v>3349.94</v>
      </c>
      <c r="N29" s="26">
        <f>SUMIFS('Saldos Iniciales'!$D:$D,'Saldos Iniciales'!$A:$A,"Green Stone Trust")+SUMIFS(Movimientos!$K$1:$K$1048575,Movimientos!$C$1:$C$1048575,"Green Stone Trust",Movimientos!$B$1:$B$1048575,"&lt;="&amp;$B29)</f>
        <v>1968.99</v>
      </c>
      <c r="O29" s="26">
        <f>SUMIFS('Saldos Iniciales'!$D:$D,'Saldos Iniciales'!$A:$A,"EC Auto")+SUMIFS(Movimientos!$K$1:$K$1048575,Movimientos!$C$1:$C$1048575,"EC Auto",Movimientos!$B$1:$B$1048575,"&lt;="&amp;$B29)</f>
        <v>901.34</v>
      </c>
      <c r="P29" s="26">
        <f>SUMIFS('Saldos Iniciales'!$D:$D,'Saldos Iniciales'!$A:$A,"Arbor Capital Properties")+SUMIFS(Movimientos!$K$1:$K$1048575,Movimientos!$C$1:$C$1048575,"Arbor Capital Properties",Movimientos!$B$1:$B$1048575,"&lt;="&amp;$B29)</f>
        <v>1444.08</v>
      </c>
      <c r="Q29" s="26">
        <f>SUMIFS('Saldos Iniciales'!$D:$D,'Saldos Iniciales'!$A:$A,"2515 Overbrook")+SUMIFS(Movimientos!$K$1:$K$1048575,Movimientos!$C$1:$C$1048575,"2515 Overbrook",Movimientos!$B$1:$B$1048575,"&lt;="&amp;$B29)</f>
        <v>35463.599999999962</v>
      </c>
      <c r="R29" s="26">
        <f>SUMIFS('Saldos Iniciales'!$D:$D,'Saldos Iniciales'!$A:$A,"112 Florida Ave")+SUMIFS(Movimientos!$K$1:$K$1048575,Movimientos!$C$1:$C$1048575,"112 Florida Ave",Movimientos!$B$1:$B$1048575,"&lt;="&amp;$B29)</f>
        <v>15120.060000000001</v>
      </c>
      <c r="S29" s="26">
        <f>SUMIFS('Saldos Iniciales'!$D:$D,'Saldos Iniciales'!$A:$A,"3628 Thomas Ave")+SUMIFS(Movimientos!$K$1:$K$1048575,Movimientos!$C$1:$C$1048575,"3628 Thomas Ave",Movimientos!$B$1:$B$1048575,"&lt;="&amp;$B29)</f>
        <v>33606.270000000004</v>
      </c>
      <c r="T29" s="26">
        <f>SUMIFS('Saldos Iniciales'!$D:$D,'Saldos Iniciales'!$A:$A,"Green Harbor Trust")+SUMIFS(Movimientos!$K$1:$K$1048575,Movimientos!$C$1:$C$1048575,"Green Harbor Trust",Movimientos!$B$1:$B$1048575,"&lt;="&amp;$B29)</f>
        <v>345</v>
      </c>
      <c r="U29" s="26">
        <f>SUMIFS('Saldos Iniciales'!$D:$D,'Saldos Iniciales'!$A:$A,"Go Blue")+SUMIFS(Movimientos!$K$1:$K$1048575,Movimientos!$C$1:$C$1048575,"Go Blue",Movimientos!$B$1:$B$1048575,"&lt;="&amp;$B29)</f>
        <v>9076.2400000000016</v>
      </c>
      <c r="V29" s="27">
        <f t="shared" si="0"/>
        <v>2806498.49</v>
      </c>
    </row>
    <row r="30" spans="1:22" hidden="1" outlineLevel="1" x14ac:dyDescent="0.3">
      <c r="A30" s="24">
        <f t="shared" si="1"/>
        <v>29</v>
      </c>
      <c r="B30" s="25">
        <v>46171</v>
      </c>
      <c r="C30" s="26">
        <f>SUMIFS('Saldos Iniciales'!$D:$D,'Saldos Iniciales'!$A:$A,"CFT Group")+SUMIFS(Movimientos!$K$1:$K$1048575,Movimientos!$C$1:$C$1048575,"CFT Group",Movimientos!$B$1:$B$1048575,"&lt;="&amp;$B30)</f>
        <v>983394.14000000013</v>
      </c>
      <c r="D30" s="26">
        <f>SUMIFS('Saldos Iniciales'!$D:$D,'Saldos Iniciales'!$A:$A,"M1B")+SUMIFS(Movimientos!$K$1:$K$1048575,Movimientos!$C$1:$C$1048575,"M1B",Movimientos!$B$1:$B$1048575,"&lt;="&amp;$B30)</f>
        <v>62397.280000000173</v>
      </c>
      <c r="E30" s="26">
        <f>SUMIFS('Saldos Iniciales'!$D:$D,'Saldos Iniciales'!$A:$A,"Durand")+SUMIFS(Movimientos!$K$1:$K$1048575,Movimientos!$C$1:$C$1048575,"Durand",Movimientos!$B$1:$B$1048575,"&lt;="&amp;$B30)</f>
        <v>1669.89</v>
      </c>
      <c r="F30" s="26">
        <f>SUMIFS('Saldos Iniciales'!$D:$D,'Saldos Iniciales'!$A:$A,"A&amp;M Imports")+SUMIFS(Movimientos!$K$1:$K$1048575,Movimientos!$C$1:$C$1048575,"A&amp;M Imports",Movimientos!$B$1:$B$1048575,"&lt;="&amp;$B30)</f>
        <v>424853.11999999988</v>
      </c>
      <c r="G30" s="26">
        <f>SUMIFS('Saldos Iniciales'!$D:$D,'Saldos Iniciales'!$A:$A,"SSP Capital")+SUMIFS(Movimientos!$K$1:$K$1048575,Movimientos!$C$1:$C$1048575,"SSP Capital",Movimientos!$B$1:$B$1048575,"&lt;="&amp;$B30)</f>
        <v>1015901.6699999992</v>
      </c>
      <c r="H30" s="26">
        <f>SUMIFS('Saldos Iniciales'!$D:$D,'Saldos Iniciales'!$A:$A,"Cross Family Trust")+SUMIFS(Movimientos!$K$1:$K$1048575,Movimientos!$C$1:$C$1048575,"Cross Family Trust",Movimientos!$B$1:$B$1048575,"&lt;="&amp;$B30)</f>
        <v>94209.49</v>
      </c>
      <c r="I30" s="26">
        <f>SUMIFS('Saldos Iniciales'!$D:$D,'Saldos Iniciales'!$A:$A,"Cross Security Trust")+SUMIFS(Movimientos!$K$1:$K$1048575,Movimientos!$C$1:$C$1048575,"Cross Security Trust",Movimientos!$B$1:$B$1048575,"&lt;="&amp;$B30)</f>
        <v>88090.37</v>
      </c>
      <c r="J30" s="26">
        <f>SUMIFS('Saldos Iniciales'!$D:$D,'Saldos Iniciales'!$A:$A,"Electrama")+SUMIFS(Movimientos!$K$1:$K$1048575,Movimientos!$C$1:$C$1048575,"Electrama",Movimientos!$B$1:$B$1048575,"&lt;="&amp;$B30)</f>
        <v>1227.9699999999998</v>
      </c>
      <c r="K30" s="26">
        <f>SUMIFS('Saldos Iniciales'!$D:$D,'Saldos Iniciales'!$A:$A,"Sacred Valley Capital")+SUMIFS(Movimientos!$K$1:$K$1048575,Movimientos!$C$1:$C$1048575,"Sacred Valley Capital",Movimientos!$B$1:$B$1048575,"&lt;="&amp;$B30)</f>
        <v>114.3</v>
      </c>
      <c r="L30" s="26">
        <f>SUMIFS('Saldos Iniciales'!$D:$D,'Saldos Iniciales'!$A:$A,"YWC Capital")+SUMIFS(Movimientos!$K$1:$K$1048575,Movimientos!$C$1:$C$1048575,"YWC Capital",Movimientos!$B$1:$B$1048575,"&lt;="&amp;$B30)</f>
        <v>2267.7200000000003</v>
      </c>
      <c r="M30" s="26">
        <f>SUMIFS('Saldos Iniciales'!$D:$D,'Saldos Iniciales'!$A:$A,"Soweto")+SUMIFS(Movimientos!$K$1:$K$1048575,Movimientos!$C$1:$C$1048575,"Soweto",Movimientos!$B$1:$B$1048575,"&lt;="&amp;$B30)</f>
        <v>3349.94</v>
      </c>
      <c r="N30" s="26">
        <f>SUMIFS('Saldos Iniciales'!$D:$D,'Saldos Iniciales'!$A:$A,"Green Stone Trust")+SUMIFS(Movimientos!$K$1:$K$1048575,Movimientos!$C$1:$C$1048575,"Green Stone Trust",Movimientos!$B$1:$B$1048575,"&lt;="&amp;$B30)</f>
        <v>1968.99</v>
      </c>
      <c r="O30" s="26">
        <f>SUMIFS('Saldos Iniciales'!$D:$D,'Saldos Iniciales'!$A:$A,"EC Auto")+SUMIFS(Movimientos!$K$1:$K$1048575,Movimientos!$C$1:$C$1048575,"EC Auto",Movimientos!$B$1:$B$1048575,"&lt;="&amp;$B30)</f>
        <v>901.34</v>
      </c>
      <c r="P30" s="26">
        <f>SUMIFS('Saldos Iniciales'!$D:$D,'Saldos Iniciales'!$A:$A,"Arbor Capital Properties")+SUMIFS(Movimientos!$K$1:$K$1048575,Movimientos!$C$1:$C$1048575,"Arbor Capital Properties",Movimientos!$B$1:$B$1048575,"&lt;="&amp;$B30)</f>
        <v>1444.08</v>
      </c>
      <c r="Q30" s="26">
        <f>SUMIFS('Saldos Iniciales'!$D:$D,'Saldos Iniciales'!$A:$A,"2515 Overbrook")+SUMIFS(Movimientos!$K$1:$K$1048575,Movimientos!$C$1:$C$1048575,"2515 Overbrook",Movimientos!$B$1:$B$1048575,"&lt;="&amp;$B30)</f>
        <v>35448.599999999962</v>
      </c>
      <c r="R30" s="26">
        <f>SUMIFS('Saldos Iniciales'!$D:$D,'Saldos Iniciales'!$A:$A,"112 Florida Ave")+SUMIFS(Movimientos!$K$1:$K$1048575,Movimientos!$C$1:$C$1048575,"112 Florida Ave",Movimientos!$B$1:$B$1048575,"&lt;="&amp;$B30)</f>
        <v>15120.060000000001</v>
      </c>
      <c r="S30" s="26">
        <f>SUMIFS('Saldos Iniciales'!$D:$D,'Saldos Iniciales'!$A:$A,"3628 Thomas Ave")+SUMIFS(Movimientos!$K$1:$K$1048575,Movimientos!$C$1:$C$1048575,"3628 Thomas Ave",Movimientos!$B$1:$B$1048575,"&lt;="&amp;$B30)</f>
        <v>33606.270000000004</v>
      </c>
      <c r="T30" s="26">
        <f>SUMIFS('Saldos Iniciales'!$D:$D,'Saldos Iniciales'!$A:$A,"Green Harbor Trust")+SUMIFS(Movimientos!$K$1:$K$1048575,Movimientos!$C$1:$C$1048575,"Green Harbor Trust",Movimientos!$B$1:$B$1048575,"&lt;="&amp;$B30)</f>
        <v>345</v>
      </c>
      <c r="U30" s="26">
        <f>SUMIFS('Saldos Iniciales'!$D:$D,'Saldos Iniciales'!$A:$A,"Go Blue")+SUMIFS(Movimientos!$K$1:$K$1048575,Movimientos!$C$1:$C$1048575,"Go Blue",Movimientos!$B$1:$B$1048575,"&lt;="&amp;$B30)</f>
        <v>9076.2400000000016</v>
      </c>
      <c r="V30" s="27">
        <f t="shared" si="0"/>
        <v>2775386.4700000007</v>
      </c>
    </row>
    <row r="31" spans="1:22" hidden="1" outlineLevel="1" x14ac:dyDescent="0.3">
      <c r="A31" s="24">
        <f t="shared" si="1"/>
        <v>30</v>
      </c>
      <c r="B31" s="25">
        <v>46172</v>
      </c>
      <c r="C31" s="26">
        <f>SUMIFS('Saldos Iniciales'!$D:$D,'Saldos Iniciales'!$A:$A,"CFT Group")+SUMIFS(Movimientos!$K$1:$K$1048575,Movimientos!$C$1:$C$1048575,"CFT Group",Movimientos!$B$1:$B$1048575,"&lt;="&amp;$B31)</f>
        <v>983394.14000000013</v>
      </c>
      <c r="D31" s="26">
        <f>SUMIFS('Saldos Iniciales'!$D:$D,'Saldos Iniciales'!$A:$A,"M1B")+SUMIFS(Movimientos!$K$1:$K$1048575,Movimientos!$C$1:$C$1048575,"M1B",Movimientos!$B$1:$B$1048575,"&lt;="&amp;$B31)</f>
        <v>62397.280000000173</v>
      </c>
      <c r="E31" s="26">
        <f>SUMIFS('Saldos Iniciales'!$D:$D,'Saldos Iniciales'!$A:$A,"Durand")+SUMIFS(Movimientos!$K$1:$K$1048575,Movimientos!$C$1:$C$1048575,"Durand",Movimientos!$B$1:$B$1048575,"&lt;="&amp;$B31)</f>
        <v>1669.89</v>
      </c>
      <c r="F31" s="26">
        <f>SUMIFS('Saldos Iniciales'!$D:$D,'Saldos Iniciales'!$A:$A,"A&amp;M Imports")+SUMIFS(Movimientos!$K$1:$K$1048575,Movimientos!$C$1:$C$1048575,"A&amp;M Imports",Movimientos!$B$1:$B$1048575,"&lt;="&amp;$B31)</f>
        <v>424853.11999999988</v>
      </c>
      <c r="G31" s="26">
        <f>SUMIFS('Saldos Iniciales'!$D:$D,'Saldos Iniciales'!$A:$A,"SSP Capital")+SUMIFS(Movimientos!$K$1:$K$1048575,Movimientos!$C$1:$C$1048575,"SSP Capital",Movimientos!$B$1:$B$1048575,"&lt;="&amp;$B31)</f>
        <v>1015901.6699999992</v>
      </c>
      <c r="H31" s="26">
        <f>SUMIFS('Saldos Iniciales'!$D:$D,'Saldos Iniciales'!$A:$A,"Cross Family Trust")+SUMIFS(Movimientos!$K$1:$K$1048575,Movimientos!$C$1:$C$1048575,"Cross Family Trust",Movimientos!$B$1:$B$1048575,"&lt;="&amp;$B31)</f>
        <v>94209.49</v>
      </c>
      <c r="I31" s="26">
        <f>SUMIFS('Saldos Iniciales'!$D:$D,'Saldos Iniciales'!$A:$A,"Cross Security Trust")+SUMIFS(Movimientos!$K$1:$K$1048575,Movimientos!$C$1:$C$1048575,"Cross Security Trust",Movimientos!$B$1:$B$1048575,"&lt;="&amp;$B31)</f>
        <v>88090.37</v>
      </c>
      <c r="J31" s="26">
        <f>SUMIFS('Saldos Iniciales'!$D:$D,'Saldos Iniciales'!$A:$A,"Electrama")+SUMIFS(Movimientos!$K$1:$K$1048575,Movimientos!$C$1:$C$1048575,"Electrama",Movimientos!$B$1:$B$1048575,"&lt;="&amp;$B31)</f>
        <v>1227.9699999999998</v>
      </c>
      <c r="K31" s="26">
        <f>SUMIFS('Saldos Iniciales'!$D:$D,'Saldos Iniciales'!$A:$A,"Sacred Valley Capital")+SUMIFS(Movimientos!$K$1:$K$1048575,Movimientos!$C$1:$C$1048575,"Sacred Valley Capital",Movimientos!$B$1:$B$1048575,"&lt;="&amp;$B31)</f>
        <v>114.3</v>
      </c>
      <c r="L31" s="26">
        <f>SUMIFS('Saldos Iniciales'!$D:$D,'Saldos Iniciales'!$A:$A,"YWC Capital")+SUMIFS(Movimientos!$K$1:$K$1048575,Movimientos!$C$1:$C$1048575,"YWC Capital",Movimientos!$B$1:$B$1048575,"&lt;="&amp;$B31)</f>
        <v>2267.7200000000003</v>
      </c>
      <c r="M31" s="26">
        <f>SUMIFS('Saldos Iniciales'!$D:$D,'Saldos Iniciales'!$A:$A,"Soweto")+SUMIFS(Movimientos!$K$1:$K$1048575,Movimientos!$C$1:$C$1048575,"Soweto",Movimientos!$B$1:$B$1048575,"&lt;="&amp;$B31)</f>
        <v>3349.94</v>
      </c>
      <c r="N31" s="26">
        <f>SUMIFS('Saldos Iniciales'!$D:$D,'Saldos Iniciales'!$A:$A,"Green Stone Trust")+SUMIFS(Movimientos!$K$1:$K$1048575,Movimientos!$C$1:$C$1048575,"Green Stone Trust",Movimientos!$B$1:$B$1048575,"&lt;="&amp;$B31)</f>
        <v>1968.99</v>
      </c>
      <c r="O31" s="26">
        <f>SUMIFS('Saldos Iniciales'!$D:$D,'Saldos Iniciales'!$A:$A,"EC Auto")+SUMIFS(Movimientos!$K$1:$K$1048575,Movimientos!$C$1:$C$1048575,"EC Auto",Movimientos!$B$1:$B$1048575,"&lt;="&amp;$B31)</f>
        <v>901.34</v>
      </c>
      <c r="P31" s="26">
        <f>SUMIFS('Saldos Iniciales'!$D:$D,'Saldos Iniciales'!$A:$A,"Arbor Capital Properties")+SUMIFS(Movimientos!$K$1:$K$1048575,Movimientos!$C$1:$C$1048575,"Arbor Capital Properties",Movimientos!$B$1:$B$1048575,"&lt;="&amp;$B31)</f>
        <v>1444.08</v>
      </c>
      <c r="Q31" s="26">
        <f>SUMIFS('Saldos Iniciales'!$D:$D,'Saldos Iniciales'!$A:$A,"2515 Overbrook")+SUMIFS(Movimientos!$K$1:$K$1048575,Movimientos!$C$1:$C$1048575,"2515 Overbrook",Movimientos!$B$1:$B$1048575,"&lt;="&amp;$B31)</f>
        <v>35448.599999999962</v>
      </c>
      <c r="R31" s="26">
        <f>SUMIFS('Saldos Iniciales'!$D:$D,'Saldos Iniciales'!$A:$A,"112 Florida Ave")+SUMIFS(Movimientos!$K$1:$K$1048575,Movimientos!$C$1:$C$1048575,"112 Florida Ave",Movimientos!$B$1:$B$1048575,"&lt;="&amp;$B31)</f>
        <v>15120.060000000001</v>
      </c>
      <c r="S31" s="26">
        <f>SUMIFS('Saldos Iniciales'!$D:$D,'Saldos Iniciales'!$A:$A,"3628 Thomas Ave")+SUMIFS(Movimientos!$K$1:$K$1048575,Movimientos!$C$1:$C$1048575,"3628 Thomas Ave",Movimientos!$B$1:$B$1048575,"&lt;="&amp;$B31)</f>
        <v>33606.270000000004</v>
      </c>
      <c r="T31" s="26">
        <f>SUMIFS('Saldos Iniciales'!$D:$D,'Saldos Iniciales'!$A:$A,"Green Harbor Trust")+SUMIFS(Movimientos!$K$1:$K$1048575,Movimientos!$C$1:$C$1048575,"Green Harbor Trust",Movimientos!$B$1:$B$1048575,"&lt;="&amp;$B31)</f>
        <v>345</v>
      </c>
      <c r="U31" s="26">
        <f>SUMIFS('Saldos Iniciales'!$D:$D,'Saldos Iniciales'!$A:$A,"Go Blue")+SUMIFS(Movimientos!$K$1:$K$1048575,Movimientos!$C$1:$C$1048575,"Go Blue",Movimientos!$B$1:$B$1048575,"&lt;="&amp;$B31)</f>
        <v>9076.2400000000016</v>
      </c>
      <c r="V31" s="27">
        <f t="shared" si="0"/>
        <v>2775386.4700000007</v>
      </c>
    </row>
    <row r="32" spans="1:22" collapsed="1" x14ac:dyDescent="0.3">
      <c r="A32" s="24">
        <f t="shared" si="1"/>
        <v>31</v>
      </c>
      <c r="B32" s="25">
        <v>46173</v>
      </c>
      <c r="C32" s="26">
        <f>SUMIFS('Saldos Iniciales'!$D:$D,'Saldos Iniciales'!$A:$A,"CFT Group")+SUMIFS(Movimientos!$K$1:$K$1048575,Movimientos!$C$1:$C$1048575,"CFT Group",Movimientos!$B$1:$B$1048575,"&lt;="&amp;$B32)</f>
        <v>983394.14000000013</v>
      </c>
      <c r="D32" s="26">
        <f>SUMIFS('Saldos Iniciales'!$D:$D,'Saldos Iniciales'!$A:$A,"M1B")+SUMIFS(Movimientos!$K$1:$K$1048575,Movimientos!$C$1:$C$1048575,"M1B",Movimientos!$B$1:$B$1048575,"&lt;="&amp;$B32)</f>
        <v>62397.280000000173</v>
      </c>
      <c r="E32" s="26">
        <f>SUMIFS('Saldos Iniciales'!$D:$D,'Saldos Iniciales'!$A:$A,"Durand")+SUMIFS(Movimientos!$K$1:$K$1048575,Movimientos!$C$1:$C$1048575,"Durand",Movimientos!$B$1:$B$1048575,"&lt;="&amp;$B32)</f>
        <v>1669.89</v>
      </c>
      <c r="F32" s="26">
        <f>SUMIFS('Saldos Iniciales'!$D:$D,'Saldos Iniciales'!$A:$A,"A&amp;M Imports")+SUMIFS(Movimientos!$K$1:$K$1048575,Movimientos!$C$1:$C$1048575,"A&amp;M Imports",Movimientos!$B$1:$B$1048575,"&lt;="&amp;$B32)</f>
        <v>424853.11999999988</v>
      </c>
      <c r="G32" s="26">
        <f>SUMIFS('Saldos Iniciales'!$D:$D,'Saldos Iniciales'!$A:$A,"SSP Capital")+SUMIFS(Movimientos!$K$1:$K$1048575,Movimientos!$C$1:$C$1048575,"SSP Capital",Movimientos!$B$1:$B$1048575,"&lt;="&amp;$B32)</f>
        <v>1015901.6699999992</v>
      </c>
      <c r="H32" s="26">
        <f>SUMIFS('Saldos Iniciales'!$D:$D,'Saldos Iniciales'!$A:$A,"Cross Family Trust")+SUMIFS(Movimientos!$K$1:$K$1048575,Movimientos!$C$1:$C$1048575,"Cross Family Trust",Movimientos!$B$1:$B$1048575,"&lt;="&amp;$B32)</f>
        <v>94209.49</v>
      </c>
      <c r="I32" s="26">
        <f>SUMIFS('Saldos Iniciales'!$D:$D,'Saldos Iniciales'!$A:$A,"Cross Security Trust")+SUMIFS(Movimientos!$K$1:$K$1048575,Movimientos!$C$1:$C$1048575,"Cross Security Trust",Movimientos!$B$1:$B$1048575,"&lt;="&amp;$B32)</f>
        <v>88090.37</v>
      </c>
      <c r="J32" s="26">
        <f>SUMIFS('Saldos Iniciales'!$D:$D,'Saldos Iniciales'!$A:$A,"Electrama")+SUMIFS(Movimientos!$K$1:$K$1048575,Movimientos!$C$1:$C$1048575,"Electrama",Movimientos!$B$1:$B$1048575,"&lt;="&amp;$B32)</f>
        <v>1227.9699999999998</v>
      </c>
      <c r="K32" s="26">
        <f>SUMIFS('Saldos Iniciales'!$D:$D,'Saldos Iniciales'!$A:$A,"Sacred Valley Capital")+SUMIFS(Movimientos!$K$1:$K$1048575,Movimientos!$C$1:$C$1048575,"Sacred Valley Capital",Movimientos!$B$1:$B$1048575,"&lt;="&amp;$B32)</f>
        <v>114.3</v>
      </c>
      <c r="L32" s="26">
        <f>SUMIFS('Saldos Iniciales'!$D:$D,'Saldos Iniciales'!$A:$A,"YWC Capital")+SUMIFS(Movimientos!$K$1:$K$1048575,Movimientos!$C$1:$C$1048575,"YWC Capital",Movimientos!$B$1:$B$1048575,"&lt;="&amp;$B32)</f>
        <v>2267.7200000000003</v>
      </c>
      <c r="M32" s="26">
        <f>SUMIFS('Saldos Iniciales'!$D:$D,'Saldos Iniciales'!$A:$A,"Soweto")+SUMIFS(Movimientos!$K$1:$K$1048575,Movimientos!$C$1:$C$1048575,"Soweto",Movimientos!$B$1:$B$1048575,"&lt;="&amp;$B32)</f>
        <v>3349.94</v>
      </c>
      <c r="N32" s="26">
        <f>SUMIFS('Saldos Iniciales'!$D:$D,'Saldos Iniciales'!$A:$A,"Green Stone Trust")+SUMIFS(Movimientos!$K$1:$K$1048575,Movimientos!$C$1:$C$1048575,"Green Stone Trust",Movimientos!$B$1:$B$1048575,"&lt;="&amp;$B32)</f>
        <v>1968.99</v>
      </c>
      <c r="O32" s="26">
        <f>SUMIFS('Saldos Iniciales'!$D:$D,'Saldos Iniciales'!$A:$A,"EC Auto")+SUMIFS(Movimientos!$K$1:$K$1048575,Movimientos!$C$1:$C$1048575,"EC Auto",Movimientos!$B$1:$B$1048575,"&lt;="&amp;$B32)</f>
        <v>901.34</v>
      </c>
      <c r="P32" s="26">
        <f>SUMIFS('Saldos Iniciales'!$D:$D,'Saldos Iniciales'!$A:$A,"Arbor Capital Properties")+SUMIFS(Movimientos!$K$1:$K$1048575,Movimientos!$C$1:$C$1048575,"Arbor Capital Properties",Movimientos!$B$1:$B$1048575,"&lt;="&amp;$B32)</f>
        <v>1444.08</v>
      </c>
      <c r="Q32" s="26">
        <f>SUMIFS('Saldos Iniciales'!$D:$D,'Saldos Iniciales'!$A:$A,"2515 Overbrook")+SUMIFS(Movimientos!$K$1:$K$1048575,Movimientos!$C$1:$C$1048575,"2515 Overbrook",Movimientos!$B$1:$B$1048575,"&lt;="&amp;$B32)</f>
        <v>35448.599999999962</v>
      </c>
      <c r="R32" s="26">
        <f>SUMIFS('Saldos Iniciales'!$D:$D,'Saldos Iniciales'!$A:$A,"112 Florida Ave")+SUMIFS(Movimientos!$K$1:$K$1048575,Movimientos!$C$1:$C$1048575,"112 Florida Ave",Movimientos!$B$1:$B$1048575,"&lt;="&amp;$B32)</f>
        <v>15120.060000000001</v>
      </c>
      <c r="S32" s="26">
        <f>SUMIFS('Saldos Iniciales'!$D:$D,'Saldos Iniciales'!$A:$A,"3628 Thomas Ave")+SUMIFS(Movimientos!$K$1:$K$1048575,Movimientos!$C$1:$C$1048575,"3628 Thomas Ave",Movimientos!$B$1:$B$1048575,"&lt;="&amp;$B32)</f>
        <v>33606.270000000004</v>
      </c>
      <c r="T32" s="26">
        <f>SUMIFS('Saldos Iniciales'!$D:$D,'Saldos Iniciales'!$A:$A,"Green Harbor Trust")+SUMIFS(Movimientos!$K$1:$K$1048575,Movimientos!$C$1:$C$1048575,"Green Harbor Trust",Movimientos!$B$1:$B$1048575,"&lt;="&amp;$B32)</f>
        <v>345</v>
      </c>
      <c r="U32" s="26">
        <f>SUMIFS('Saldos Iniciales'!$D:$D,'Saldos Iniciales'!$A:$A,"Go Blue")+SUMIFS(Movimientos!$K$1:$K$1048575,Movimientos!$C$1:$C$1048575,"Go Blue",Movimientos!$B$1:$B$1048575,"&lt;="&amp;$B32)</f>
        <v>9076.2400000000016</v>
      </c>
      <c r="V32" s="27">
        <f t="shared" si="0"/>
        <v>2775386.4700000007</v>
      </c>
    </row>
    <row r="33" spans="1:22" x14ac:dyDescent="0.3">
      <c r="A33" s="24">
        <f t="shared" si="1"/>
        <v>32</v>
      </c>
      <c r="B33" s="25">
        <v>46174</v>
      </c>
      <c r="C33" s="26">
        <f>SUMIFS('Saldos Iniciales'!$D:$D,'Saldos Iniciales'!$A:$A,"CFT Group")+SUMIFS(Movimientos!$K$1:$K$1048575,Movimientos!$C$1:$C$1048575,"CFT Group",Movimientos!$B$1:$B$1048575,"&lt;="&amp;$B33)</f>
        <v>983394.14000000013</v>
      </c>
      <c r="D33" s="26">
        <f>SUMIFS('Saldos Iniciales'!$D:$D,'Saldos Iniciales'!$A:$A,"M1B")+SUMIFS(Movimientos!$K$1:$K$1048575,Movimientos!$C$1:$C$1048575,"M1B",Movimientos!$B$1:$B$1048575,"&lt;="&amp;$B33)</f>
        <v>69376.390000000174</v>
      </c>
      <c r="E33" s="26">
        <f>SUMIFS('Saldos Iniciales'!$D:$D,'Saldos Iniciales'!$A:$A,"Durand")+SUMIFS(Movimientos!$K$1:$K$1048575,Movimientos!$C$1:$C$1048575,"Durand",Movimientos!$B$1:$B$1048575,"&lt;="&amp;$B33)</f>
        <v>1669.89</v>
      </c>
      <c r="F33" s="26">
        <f>SUMIFS('Saldos Iniciales'!$D:$D,'Saldos Iniciales'!$A:$A,"A&amp;M Imports")+SUMIFS(Movimientos!$K$1:$K$1048575,Movimientos!$C$1:$C$1048575,"A&amp;M Imports",Movimientos!$B$1:$B$1048575,"&lt;="&amp;$B33)</f>
        <v>804853.11999999988</v>
      </c>
      <c r="G33" s="26">
        <f>SUMIFS('Saldos Iniciales'!$D:$D,'Saldos Iniciales'!$A:$A,"SSP Capital")+SUMIFS(Movimientos!$K$1:$K$1048575,Movimientos!$C$1:$C$1048575,"SSP Capital",Movimientos!$B$1:$B$1048575,"&lt;="&amp;$B33)</f>
        <v>1015901.6699999992</v>
      </c>
      <c r="H33" s="26">
        <f>SUMIFS('Saldos Iniciales'!$D:$D,'Saldos Iniciales'!$A:$A,"Cross Family Trust")+SUMIFS(Movimientos!$K$1:$K$1048575,Movimientos!$C$1:$C$1048575,"Cross Family Trust",Movimientos!$B$1:$B$1048575,"&lt;="&amp;$B33)</f>
        <v>94209.49</v>
      </c>
      <c r="I33" s="26">
        <f>SUMIFS('Saldos Iniciales'!$D:$D,'Saldos Iniciales'!$A:$A,"Cross Security Trust")+SUMIFS(Movimientos!$K$1:$K$1048575,Movimientos!$C$1:$C$1048575,"Cross Security Trust",Movimientos!$B$1:$B$1048575,"&lt;="&amp;$B33)</f>
        <v>88090.37</v>
      </c>
      <c r="J33" s="26">
        <f>SUMIFS('Saldos Iniciales'!$D:$D,'Saldos Iniciales'!$A:$A,"Electrama")+SUMIFS(Movimientos!$K$1:$K$1048575,Movimientos!$C$1:$C$1048575,"Electrama",Movimientos!$B$1:$B$1048575,"&lt;="&amp;$B33)</f>
        <v>1227.9699999999998</v>
      </c>
      <c r="K33" s="26">
        <f>SUMIFS('Saldos Iniciales'!$D:$D,'Saldos Iniciales'!$A:$A,"Sacred Valley Capital")+SUMIFS(Movimientos!$K$1:$K$1048575,Movimientos!$C$1:$C$1048575,"Sacred Valley Capital",Movimientos!$B$1:$B$1048575,"&lt;="&amp;$B33)</f>
        <v>84.35</v>
      </c>
      <c r="L33" s="26">
        <f>SUMIFS('Saldos Iniciales'!$D:$D,'Saldos Iniciales'!$A:$A,"YWC Capital")+SUMIFS(Movimientos!$K$1:$K$1048575,Movimientos!$C$1:$C$1048575,"YWC Capital",Movimientos!$B$1:$B$1048575,"&lt;="&amp;$B33)</f>
        <v>2237.77</v>
      </c>
      <c r="M33" s="26">
        <f>SUMIFS('Saldos Iniciales'!$D:$D,'Saldos Iniciales'!$A:$A,"Soweto")+SUMIFS(Movimientos!$K$1:$K$1048575,Movimientos!$C$1:$C$1048575,"Soweto",Movimientos!$B$1:$B$1048575,"&lt;="&amp;$B33)</f>
        <v>3349.94</v>
      </c>
      <c r="N33" s="26">
        <f>SUMIFS('Saldos Iniciales'!$D:$D,'Saldos Iniciales'!$A:$A,"Green Stone Trust")+SUMIFS(Movimientos!$K$1:$K$1048575,Movimientos!$C$1:$C$1048575,"Green Stone Trust",Movimientos!$B$1:$B$1048575,"&lt;="&amp;$B33)</f>
        <v>1968.99</v>
      </c>
      <c r="O33" s="26">
        <f>SUMIFS('Saldos Iniciales'!$D:$D,'Saldos Iniciales'!$A:$A,"EC Auto")+SUMIFS(Movimientos!$K$1:$K$1048575,Movimientos!$C$1:$C$1048575,"EC Auto",Movimientos!$B$1:$B$1048575,"&lt;="&amp;$B33)</f>
        <v>901.34</v>
      </c>
      <c r="P33" s="26">
        <f>SUMIFS('Saldos Iniciales'!$D:$D,'Saldos Iniciales'!$A:$A,"Arbor Capital Properties")+SUMIFS(Movimientos!$K$1:$K$1048575,Movimientos!$C$1:$C$1048575,"Arbor Capital Properties",Movimientos!$B$1:$B$1048575,"&lt;="&amp;$B33)</f>
        <v>1428.08</v>
      </c>
      <c r="Q33" s="26">
        <f>SUMIFS('Saldos Iniciales'!$D:$D,'Saldos Iniciales'!$A:$A,"2515 Overbrook")+SUMIFS(Movimientos!$K$1:$K$1048575,Movimientos!$C$1:$C$1048575,"2515 Overbrook",Movimientos!$B$1:$B$1048575,"&lt;="&amp;$B33)</f>
        <v>26416.26999999996</v>
      </c>
      <c r="R33" s="26">
        <f>SUMIFS('Saldos Iniciales'!$D:$D,'Saldos Iniciales'!$A:$A,"112 Florida Ave")+SUMIFS(Movimientos!$K$1:$K$1048575,Movimientos!$C$1:$C$1048575,"112 Florida Ave",Movimientos!$B$1:$B$1048575,"&lt;="&amp;$B33)</f>
        <v>5321.4300000000021</v>
      </c>
      <c r="S33" s="26">
        <f>SUMIFS('Saldos Iniciales'!$D:$D,'Saldos Iniciales'!$A:$A,"3628 Thomas Ave")+SUMIFS(Movimientos!$K$1:$K$1048575,Movimientos!$C$1:$C$1048575,"3628 Thomas Ave",Movimientos!$B$1:$B$1048575,"&lt;="&amp;$B33)</f>
        <v>24833.23</v>
      </c>
      <c r="T33" s="26">
        <f>SUMIFS('Saldos Iniciales'!$D:$D,'Saldos Iniciales'!$A:$A,"Green Harbor Trust")+SUMIFS(Movimientos!$K$1:$K$1048575,Movimientos!$C$1:$C$1048575,"Green Harbor Trust",Movimientos!$B$1:$B$1048575,"&lt;="&amp;$B33)</f>
        <v>345</v>
      </c>
      <c r="U33" s="26">
        <f>SUMIFS('Saldos Iniciales'!$D:$D,'Saldos Iniciales'!$A:$A,"Go Blue")+SUMIFS(Movimientos!$K$1:$K$1048575,Movimientos!$C$1:$C$1048575,"Go Blue",Movimientos!$B$1:$B$1048575,"&lt;="&amp;$B33)</f>
        <v>6824.47</v>
      </c>
      <c r="V33" s="27">
        <f t="shared" si="0"/>
        <v>3132433.91</v>
      </c>
    </row>
    <row r="34" spans="1:22" outlineLevel="1" x14ac:dyDescent="0.3">
      <c r="A34" s="24">
        <f t="shared" si="1"/>
        <v>33</v>
      </c>
      <c r="B34" s="25">
        <v>46175</v>
      </c>
      <c r="C34" s="26">
        <f>SUMIFS('Saldos Iniciales'!$D:$D,'Saldos Iniciales'!$A:$A,"CFT Group")+SUMIFS(Movimientos!$K$1:$K$1048575,Movimientos!$C$1:$C$1048575,"CFT Group",Movimientos!$B$1:$B$1048575,"&lt;="&amp;$B34)</f>
        <v>983394.14000000013</v>
      </c>
      <c r="D34" s="26">
        <f>SUMIFS('Saldos Iniciales'!$D:$D,'Saldos Iniciales'!$A:$A,"M1B")+SUMIFS(Movimientos!$K$1:$K$1048575,Movimientos!$C$1:$C$1048575,"M1B",Movimientos!$B$1:$B$1048575,"&lt;="&amp;$B34)</f>
        <v>69376.390000000174</v>
      </c>
      <c r="E34" s="26">
        <f>SUMIFS('Saldos Iniciales'!$D:$D,'Saldos Iniciales'!$A:$A,"Durand")+SUMIFS(Movimientos!$K$1:$K$1048575,Movimientos!$C$1:$C$1048575,"Durand",Movimientos!$B$1:$B$1048575,"&lt;="&amp;$B34)</f>
        <v>1669.89</v>
      </c>
      <c r="F34" s="26">
        <f>SUMIFS('Saldos Iniciales'!$D:$D,'Saldos Iniciales'!$A:$A,"A&amp;M Imports")+SUMIFS(Movimientos!$K$1:$K$1048575,Movimientos!$C$1:$C$1048575,"A&amp;M Imports",Movimientos!$B$1:$B$1048575,"&lt;="&amp;$B34)</f>
        <v>804853.11999999988</v>
      </c>
      <c r="G34" s="26">
        <f>SUMIFS('Saldos Iniciales'!$D:$D,'Saldos Iniciales'!$A:$A,"SSP Capital")+SUMIFS(Movimientos!$K$1:$K$1048575,Movimientos!$C$1:$C$1048575,"SSP Capital",Movimientos!$B$1:$B$1048575,"&lt;="&amp;$B34)</f>
        <v>1015901.6699999992</v>
      </c>
      <c r="H34" s="26">
        <f>SUMIFS('Saldos Iniciales'!$D:$D,'Saldos Iniciales'!$A:$A,"Cross Family Trust")+SUMIFS(Movimientos!$K$1:$K$1048575,Movimientos!$C$1:$C$1048575,"Cross Family Trust",Movimientos!$B$1:$B$1048575,"&lt;="&amp;$B34)</f>
        <v>94209.49</v>
      </c>
      <c r="I34" s="26">
        <f>SUMIFS('Saldos Iniciales'!$D:$D,'Saldos Iniciales'!$A:$A,"Cross Security Trust")+SUMIFS(Movimientos!$K$1:$K$1048575,Movimientos!$C$1:$C$1048575,"Cross Security Trust",Movimientos!$B$1:$B$1048575,"&lt;="&amp;$B34)</f>
        <v>88090.37</v>
      </c>
      <c r="J34" s="26">
        <f>SUMIFS('Saldos Iniciales'!$D:$D,'Saldos Iniciales'!$A:$A,"Electrama")+SUMIFS(Movimientos!$K$1:$K$1048575,Movimientos!$C$1:$C$1048575,"Electrama",Movimientos!$B$1:$B$1048575,"&lt;="&amp;$B34)</f>
        <v>1227.9699999999998</v>
      </c>
      <c r="K34" s="26">
        <f>SUMIFS('Saldos Iniciales'!$D:$D,'Saldos Iniciales'!$A:$A,"Sacred Valley Capital")+SUMIFS(Movimientos!$K$1:$K$1048575,Movimientos!$C$1:$C$1048575,"Sacred Valley Capital",Movimientos!$B$1:$B$1048575,"&lt;="&amp;$B34)</f>
        <v>84.35</v>
      </c>
      <c r="L34" s="26">
        <f>SUMIFS('Saldos Iniciales'!$D:$D,'Saldos Iniciales'!$A:$A,"YWC Capital")+SUMIFS(Movimientos!$K$1:$K$1048575,Movimientos!$C$1:$C$1048575,"YWC Capital",Movimientos!$B$1:$B$1048575,"&lt;="&amp;$B34)</f>
        <v>2237.77</v>
      </c>
      <c r="M34" s="26">
        <f>SUMIFS('Saldos Iniciales'!$D:$D,'Saldos Iniciales'!$A:$A,"Soweto")+SUMIFS(Movimientos!$K$1:$K$1048575,Movimientos!$C$1:$C$1048575,"Soweto",Movimientos!$B$1:$B$1048575,"&lt;="&amp;$B34)</f>
        <v>3349.94</v>
      </c>
      <c r="N34" s="26">
        <f>SUMIFS('Saldos Iniciales'!$D:$D,'Saldos Iniciales'!$A:$A,"Green Stone Trust")+SUMIFS(Movimientos!$K$1:$K$1048575,Movimientos!$C$1:$C$1048575,"Green Stone Trust",Movimientos!$B$1:$B$1048575,"&lt;="&amp;$B34)</f>
        <v>1968.99</v>
      </c>
      <c r="O34" s="26">
        <f>SUMIFS('Saldos Iniciales'!$D:$D,'Saldos Iniciales'!$A:$A,"EC Auto")+SUMIFS(Movimientos!$K$1:$K$1048575,Movimientos!$C$1:$C$1048575,"EC Auto",Movimientos!$B$1:$B$1048575,"&lt;="&amp;$B34)</f>
        <v>901.34</v>
      </c>
      <c r="P34" s="26">
        <f>SUMIFS('Saldos Iniciales'!$D:$D,'Saldos Iniciales'!$A:$A,"Arbor Capital Properties")+SUMIFS(Movimientos!$K$1:$K$1048575,Movimientos!$C$1:$C$1048575,"Arbor Capital Properties",Movimientos!$B$1:$B$1048575,"&lt;="&amp;$B34)</f>
        <v>1428.08</v>
      </c>
      <c r="Q34" s="26">
        <f>SUMIFS('Saldos Iniciales'!$D:$D,'Saldos Iniciales'!$A:$A,"2515 Overbrook")+SUMIFS(Movimientos!$K$1:$K$1048575,Movimientos!$C$1:$C$1048575,"2515 Overbrook",Movimientos!$B$1:$B$1048575,"&lt;="&amp;$B34)</f>
        <v>25789.969999999961</v>
      </c>
      <c r="R34" s="26">
        <f>SUMIFS('Saldos Iniciales'!$D:$D,'Saldos Iniciales'!$A:$A,"112 Florida Ave")+SUMIFS(Movimientos!$K$1:$K$1048575,Movimientos!$C$1:$C$1048575,"112 Florida Ave",Movimientos!$B$1:$B$1048575,"&lt;="&amp;$B34)</f>
        <v>5321.4300000000021</v>
      </c>
      <c r="S34" s="26">
        <f>SUMIFS('Saldos Iniciales'!$D:$D,'Saldos Iniciales'!$A:$A,"3628 Thomas Ave")+SUMIFS(Movimientos!$K$1:$K$1048575,Movimientos!$C$1:$C$1048575,"3628 Thomas Ave",Movimientos!$B$1:$B$1048575,"&lt;="&amp;$B34)</f>
        <v>24833.23</v>
      </c>
      <c r="T34" s="26">
        <f>SUMIFS('Saldos Iniciales'!$D:$D,'Saldos Iniciales'!$A:$A,"Green Harbor Trust")+SUMIFS(Movimientos!$K$1:$K$1048575,Movimientos!$C$1:$C$1048575,"Green Harbor Trust",Movimientos!$B$1:$B$1048575,"&lt;="&amp;$B34)</f>
        <v>345</v>
      </c>
      <c r="U34" s="26">
        <f>SUMIFS('Saldos Iniciales'!$D:$D,'Saldos Iniciales'!$A:$A,"Go Blue")+SUMIFS(Movimientos!$K$1:$K$1048575,Movimientos!$C$1:$C$1048575,"Go Blue",Movimientos!$B$1:$B$1048575,"&lt;="&amp;$B34)</f>
        <v>3514.8900000000012</v>
      </c>
      <c r="V34" s="27">
        <f t="shared" si="0"/>
        <v>3128498.03</v>
      </c>
    </row>
    <row r="35" spans="1:22" outlineLevel="1" x14ac:dyDescent="0.3">
      <c r="A35" s="24">
        <f t="shared" si="1"/>
        <v>34</v>
      </c>
      <c r="B35" s="25">
        <v>46176</v>
      </c>
      <c r="C35" s="26">
        <f>SUMIFS('Saldos Iniciales'!$D:$D,'Saldos Iniciales'!$A:$A,"CFT Group")+SUMIFS(Movimientos!$K$1:$K$1048575,Movimientos!$C$1:$C$1048575,"CFT Group",Movimientos!$B$1:$B$1048575,"&lt;="&amp;$B35)</f>
        <v>983394.14000000013</v>
      </c>
      <c r="D35" s="26">
        <f>SUMIFS('Saldos Iniciales'!$D:$D,'Saldos Iniciales'!$A:$A,"M1B")+SUMIFS(Movimientos!$K$1:$K$1048575,Movimientos!$C$1:$C$1048575,"M1B",Movimientos!$B$1:$B$1048575,"&lt;="&amp;$B35)</f>
        <v>69376.390000000174</v>
      </c>
      <c r="E35" s="26">
        <f>SUMIFS('Saldos Iniciales'!$D:$D,'Saldos Iniciales'!$A:$A,"Durand")+SUMIFS(Movimientos!$K$1:$K$1048575,Movimientos!$C$1:$C$1048575,"Durand",Movimientos!$B$1:$B$1048575,"&lt;="&amp;$B35)</f>
        <v>1669.89</v>
      </c>
      <c r="F35" s="26">
        <f>SUMIFS('Saldos Iniciales'!$D:$D,'Saldos Iniciales'!$A:$A,"A&amp;M Imports")+SUMIFS(Movimientos!$K$1:$K$1048575,Movimientos!$C$1:$C$1048575,"A&amp;M Imports",Movimientos!$B$1:$B$1048575,"&lt;="&amp;$B35)</f>
        <v>804853.11999999988</v>
      </c>
      <c r="G35" s="26">
        <f>SUMIFS('Saldos Iniciales'!$D:$D,'Saldos Iniciales'!$A:$A,"SSP Capital")+SUMIFS(Movimientos!$K$1:$K$1048575,Movimientos!$C$1:$C$1048575,"SSP Capital",Movimientos!$B$1:$B$1048575,"&lt;="&amp;$B35)</f>
        <v>1015611.6599999993</v>
      </c>
      <c r="H35" s="26">
        <f>SUMIFS('Saldos Iniciales'!$D:$D,'Saldos Iniciales'!$A:$A,"Cross Family Trust")+SUMIFS(Movimientos!$K$1:$K$1048575,Movimientos!$C$1:$C$1048575,"Cross Family Trust",Movimientos!$B$1:$B$1048575,"&lt;="&amp;$B35)</f>
        <v>88209.49</v>
      </c>
      <c r="I35" s="26">
        <f>SUMIFS('Saldos Iniciales'!$D:$D,'Saldos Iniciales'!$A:$A,"Cross Security Trust")+SUMIFS(Movimientos!$K$1:$K$1048575,Movimientos!$C$1:$C$1048575,"Cross Security Trust",Movimientos!$B$1:$B$1048575,"&lt;="&amp;$B35)</f>
        <v>88090.37</v>
      </c>
      <c r="J35" s="26">
        <f>SUMIFS('Saldos Iniciales'!$D:$D,'Saldos Iniciales'!$A:$A,"Electrama")+SUMIFS(Movimientos!$K$1:$K$1048575,Movimientos!$C$1:$C$1048575,"Electrama",Movimientos!$B$1:$B$1048575,"&lt;="&amp;$B35)</f>
        <v>1227.9699999999998</v>
      </c>
      <c r="K35" s="26">
        <f>SUMIFS('Saldos Iniciales'!$D:$D,'Saldos Iniciales'!$A:$A,"Sacred Valley Capital")+SUMIFS(Movimientos!$K$1:$K$1048575,Movimientos!$C$1:$C$1048575,"Sacred Valley Capital",Movimientos!$B$1:$B$1048575,"&lt;="&amp;$B35)</f>
        <v>84.35</v>
      </c>
      <c r="L35" s="26">
        <f>SUMIFS('Saldos Iniciales'!$D:$D,'Saldos Iniciales'!$A:$A,"YWC Capital")+SUMIFS(Movimientos!$K$1:$K$1048575,Movimientos!$C$1:$C$1048575,"YWC Capital",Movimientos!$B$1:$B$1048575,"&lt;="&amp;$B35)</f>
        <v>2237.77</v>
      </c>
      <c r="M35" s="26">
        <f>SUMIFS('Saldos Iniciales'!$D:$D,'Saldos Iniciales'!$A:$A,"Soweto")+SUMIFS(Movimientos!$K$1:$K$1048575,Movimientos!$C$1:$C$1048575,"Soweto",Movimientos!$B$1:$B$1048575,"&lt;="&amp;$B35)</f>
        <v>3349.94</v>
      </c>
      <c r="N35" s="26">
        <f>SUMIFS('Saldos Iniciales'!$D:$D,'Saldos Iniciales'!$A:$A,"Green Stone Trust")+SUMIFS(Movimientos!$K$1:$K$1048575,Movimientos!$C$1:$C$1048575,"Green Stone Trust",Movimientos!$B$1:$B$1048575,"&lt;="&amp;$B35)</f>
        <v>1968.99</v>
      </c>
      <c r="O35" s="26">
        <f>SUMIFS('Saldos Iniciales'!$D:$D,'Saldos Iniciales'!$A:$A,"EC Auto")+SUMIFS(Movimientos!$K$1:$K$1048575,Movimientos!$C$1:$C$1048575,"EC Auto",Movimientos!$B$1:$B$1048575,"&lt;="&amp;$B35)</f>
        <v>901.34</v>
      </c>
      <c r="P35" s="26">
        <f>SUMIFS('Saldos Iniciales'!$D:$D,'Saldos Iniciales'!$A:$A,"Arbor Capital Properties")+SUMIFS(Movimientos!$K$1:$K$1048575,Movimientos!$C$1:$C$1048575,"Arbor Capital Properties",Movimientos!$B$1:$B$1048575,"&lt;="&amp;$B35)</f>
        <v>1428.08</v>
      </c>
      <c r="Q35" s="26">
        <f>SUMIFS('Saldos Iniciales'!$D:$D,'Saldos Iniciales'!$A:$A,"2515 Overbrook")+SUMIFS(Movimientos!$K$1:$K$1048575,Movimientos!$C$1:$C$1048575,"2515 Overbrook",Movimientos!$B$1:$B$1048575,"&lt;="&amp;$B35)</f>
        <v>25789.969999999961</v>
      </c>
      <c r="R35" s="26">
        <f>SUMIFS('Saldos Iniciales'!$D:$D,'Saldos Iniciales'!$A:$A,"112 Florida Ave")+SUMIFS(Movimientos!$K$1:$K$1048575,Movimientos!$C$1:$C$1048575,"112 Florida Ave",Movimientos!$B$1:$B$1048575,"&lt;="&amp;$B35)</f>
        <v>5321.4300000000021</v>
      </c>
      <c r="S35" s="26">
        <f>SUMIFS('Saldos Iniciales'!$D:$D,'Saldos Iniciales'!$A:$A,"3628 Thomas Ave")+SUMIFS(Movimientos!$K$1:$K$1048575,Movimientos!$C$1:$C$1048575,"3628 Thomas Ave",Movimientos!$B$1:$B$1048575,"&lt;="&amp;$B35)</f>
        <v>24833.23</v>
      </c>
      <c r="T35" s="26">
        <f>SUMIFS('Saldos Iniciales'!$D:$D,'Saldos Iniciales'!$A:$A,"Green Harbor Trust")+SUMIFS(Movimientos!$K$1:$K$1048575,Movimientos!$C$1:$C$1048575,"Green Harbor Trust",Movimientos!$B$1:$B$1048575,"&lt;="&amp;$B35)</f>
        <v>345</v>
      </c>
      <c r="U35" s="26">
        <f>SUMIFS('Saldos Iniciales'!$D:$D,'Saldos Iniciales'!$A:$A,"Go Blue")+SUMIFS(Movimientos!$K$1:$K$1048575,Movimientos!$C$1:$C$1048575,"Go Blue",Movimientos!$B$1:$B$1048575,"&lt;="&amp;$B35)</f>
        <v>3514.8900000000012</v>
      </c>
      <c r="V35" s="27">
        <f t="shared" si="0"/>
        <v>3122208.02</v>
      </c>
    </row>
    <row r="36" spans="1:22" outlineLevel="1" x14ac:dyDescent="0.3">
      <c r="A36" s="24">
        <f t="shared" si="1"/>
        <v>35</v>
      </c>
      <c r="B36" s="25">
        <v>46177</v>
      </c>
      <c r="C36" s="26">
        <f>SUMIFS('Saldos Iniciales'!$D:$D,'Saldos Iniciales'!$A:$A,"CFT Group")+SUMIFS(Movimientos!$K$1:$K$1048575,Movimientos!$C$1:$C$1048575,"CFT Group",Movimientos!$B$1:$B$1048575,"&lt;="&amp;$B36)</f>
        <v>733394.14000000013</v>
      </c>
      <c r="D36" s="26">
        <f>SUMIFS('Saldos Iniciales'!$D:$D,'Saldos Iniciales'!$A:$A,"M1B")+SUMIFS(Movimientos!$K$1:$K$1048575,Movimientos!$C$1:$C$1048575,"M1B",Movimientos!$B$1:$B$1048575,"&lt;="&amp;$B36)</f>
        <v>69376.390000000174</v>
      </c>
      <c r="E36" s="26">
        <f>SUMIFS('Saldos Iniciales'!$D:$D,'Saldos Iniciales'!$A:$A,"Durand")+SUMIFS(Movimientos!$K$1:$K$1048575,Movimientos!$C$1:$C$1048575,"Durand",Movimientos!$B$1:$B$1048575,"&lt;="&amp;$B36)</f>
        <v>1669.89</v>
      </c>
      <c r="F36" s="26">
        <f>SUMIFS('Saldos Iniciales'!$D:$D,'Saldos Iniciales'!$A:$A,"A&amp;M Imports")+SUMIFS(Movimientos!$K$1:$K$1048575,Movimientos!$C$1:$C$1048575,"A&amp;M Imports",Movimientos!$B$1:$B$1048575,"&lt;="&amp;$B36)</f>
        <v>729545.23999999987</v>
      </c>
      <c r="G36" s="26">
        <f>SUMIFS('Saldos Iniciales'!$D:$D,'Saldos Iniciales'!$A:$A,"SSP Capital")+SUMIFS(Movimientos!$K$1:$K$1048575,Movimientos!$C$1:$C$1048575,"SSP Capital",Movimientos!$B$1:$B$1048575,"&lt;="&amp;$B36)</f>
        <v>1171714.4499999993</v>
      </c>
      <c r="H36" s="26">
        <f>SUMIFS('Saldos Iniciales'!$D:$D,'Saldos Iniciales'!$A:$A,"Cross Family Trust")+SUMIFS(Movimientos!$K$1:$K$1048575,Movimientos!$C$1:$C$1048575,"Cross Family Trust",Movimientos!$B$1:$B$1048575,"&lt;="&amp;$B36)</f>
        <v>79209.490000000005</v>
      </c>
      <c r="I36" s="26">
        <f>SUMIFS('Saldos Iniciales'!$D:$D,'Saldos Iniciales'!$A:$A,"Cross Security Trust")+SUMIFS(Movimientos!$K$1:$K$1048575,Movimientos!$C$1:$C$1048575,"Cross Security Trust",Movimientos!$B$1:$B$1048575,"&lt;="&amp;$B36)</f>
        <v>88090.37</v>
      </c>
      <c r="J36" s="26">
        <f>SUMIFS('Saldos Iniciales'!$D:$D,'Saldos Iniciales'!$A:$A,"Electrama")+SUMIFS(Movimientos!$K$1:$K$1048575,Movimientos!$C$1:$C$1048575,"Electrama",Movimientos!$B$1:$B$1048575,"&lt;="&amp;$B36)</f>
        <v>1227.9699999999998</v>
      </c>
      <c r="K36" s="26">
        <f>SUMIFS('Saldos Iniciales'!$D:$D,'Saldos Iniciales'!$A:$A,"Sacred Valley Capital")+SUMIFS(Movimientos!$K$1:$K$1048575,Movimientos!$C$1:$C$1048575,"Sacred Valley Capital",Movimientos!$B$1:$B$1048575,"&lt;="&amp;$B36)</f>
        <v>84.35</v>
      </c>
      <c r="L36" s="26">
        <f>SUMIFS('Saldos Iniciales'!$D:$D,'Saldos Iniciales'!$A:$A,"YWC Capital")+SUMIFS(Movimientos!$K$1:$K$1048575,Movimientos!$C$1:$C$1048575,"YWC Capital",Movimientos!$B$1:$B$1048575,"&lt;="&amp;$B36)</f>
        <v>2237.77</v>
      </c>
      <c r="M36" s="26">
        <f>SUMIFS('Saldos Iniciales'!$D:$D,'Saldos Iniciales'!$A:$A,"Soweto")+SUMIFS(Movimientos!$K$1:$K$1048575,Movimientos!$C$1:$C$1048575,"Soweto",Movimientos!$B$1:$B$1048575,"&lt;="&amp;$B36)</f>
        <v>3349.94</v>
      </c>
      <c r="N36" s="26">
        <f>SUMIFS('Saldos Iniciales'!$D:$D,'Saldos Iniciales'!$A:$A,"Green Stone Trust")+SUMIFS(Movimientos!$K$1:$K$1048575,Movimientos!$C$1:$C$1048575,"Green Stone Trust",Movimientos!$B$1:$B$1048575,"&lt;="&amp;$B36)</f>
        <v>1968.99</v>
      </c>
      <c r="O36" s="26">
        <f>SUMIFS('Saldos Iniciales'!$D:$D,'Saldos Iniciales'!$A:$A,"EC Auto")+SUMIFS(Movimientos!$K$1:$K$1048575,Movimientos!$C$1:$C$1048575,"EC Auto",Movimientos!$B$1:$B$1048575,"&lt;="&amp;$B36)</f>
        <v>382.69000000000005</v>
      </c>
      <c r="P36" s="26">
        <f>SUMIFS('Saldos Iniciales'!$D:$D,'Saldos Iniciales'!$A:$A,"Arbor Capital Properties")+SUMIFS(Movimientos!$K$1:$K$1048575,Movimientos!$C$1:$C$1048575,"Arbor Capital Properties",Movimientos!$B$1:$B$1048575,"&lt;="&amp;$B36)</f>
        <v>1428.08</v>
      </c>
      <c r="Q36" s="26">
        <f>SUMIFS('Saldos Iniciales'!$D:$D,'Saldos Iniciales'!$A:$A,"2515 Overbrook")+SUMIFS(Movimientos!$K$1:$K$1048575,Movimientos!$C$1:$C$1048575,"2515 Overbrook",Movimientos!$B$1:$B$1048575,"&lt;="&amp;$B36)</f>
        <v>25789.969999999961</v>
      </c>
      <c r="R36" s="26">
        <f>SUMIFS('Saldos Iniciales'!$D:$D,'Saldos Iniciales'!$A:$A,"112 Florida Ave")+SUMIFS(Movimientos!$K$1:$K$1048575,Movimientos!$C$1:$C$1048575,"112 Florida Ave",Movimientos!$B$1:$B$1048575,"&lt;="&amp;$B36)</f>
        <v>5321.4300000000021</v>
      </c>
      <c r="S36" s="26">
        <f>SUMIFS('Saldos Iniciales'!$D:$D,'Saldos Iniciales'!$A:$A,"3628 Thomas Ave")+SUMIFS(Movimientos!$K$1:$K$1048575,Movimientos!$C$1:$C$1048575,"3628 Thomas Ave",Movimientos!$B$1:$B$1048575,"&lt;="&amp;$B36)</f>
        <v>24833.23</v>
      </c>
      <c r="T36" s="26">
        <f>SUMIFS('Saldos Iniciales'!$D:$D,'Saldos Iniciales'!$A:$A,"Green Harbor Trust")+SUMIFS(Movimientos!$K$1:$K$1048575,Movimientos!$C$1:$C$1048575,"Green Harbor Trust",Movimientos!$B$1:$B$1048575,"&lt;="&amp;$B36)</f>
        <v>345</v>
      </c>
      <c r="U36" s="26">
        <f>SUMIFS('Saldos Iniciales'!$D:$D,'Saldos Iniciales'!$A:$A,"Go Blue")+SUMIFS(Movimientos!$K$1:$K$1048575,Movimientos!$C$1:$C$1048575,"Go Blue",Movimientos!$B$1:$B$1048575,"&lt;="&amp;$B36)</f>
        <v>2422.7400000000016</v>
      </c>
      <c r="V36" s="27">
        <f t="shared" si="0"/>
        <v>2942392.1300000004</v>
      </c>
    </row>
    <row r="37" spans="1:22" outlineLevel="1" x14ac:dyDescent="0.3">
      <c r="A37" s="24">
        <f t="shared" si="1"/>
        <v>36</v>
      </c>
      <c r="B37" s="25">
        <v>46178</v>
      </c>
      <c r="C37" s="26">
        <f>SUMIFS('Saldos Iniciales'!$D:$D,'Saldos Iniciales'!$A:$A,"CFT Group")+SUMIFS(Movimientos!$K$1:$K$1048575,Movimientos!$C$1:$C$1048575,"CFT Group",Movimientos!$B$1:$B$1048575,"&lt;="&amp;$B37)</f>
        <v>733394.14000000013</v>
      </c>
      <c r="D37" s="26">
        <f>SUMIFS('Saldos Iniciales'!$D:$D,'Saldos Iniciales'!$A:$A,"M1B")+SUMIFS(Movimientos!$K$1:$K$1048575,Movimientos!$C$1:$C$1048575,"M1B",Movimientos!$B$1:$B$1048575,"&lt;="&amp;$B37)</f>
        <v>69376.390000000174</v>
      </c>
      <c r="E37" s="26">
        <f>SUMIFS('Saldos Iniciales'!$D:$D,'Saldos Iniciales'!$A:$A,"Durand")+SUMIFS(Movimientos!$K$1:$K$1048575,Movimientos!$C$1:$C$1048575,"Durand",Movimientos!$B$1:$B$1048575,"&lt;="&amp;$B37)</f>
        <v>1669.89</v>
      </c>
      <c r="F37" s="26">
        <f>SUMIFS('Saldos Iniciales'!$D:$D,'Saldos Iniciales'!$A:$A,"A&amp;M Imports")+SUMIFS(Movimientos!$K$1:$K$1048575,Movimientos!$C$1:$C$1048575,"A&amp;M Imports",Movimientos!$B$1:$B$1048575,"&lt;="&amp;$B37)</f>
        <v>729545.23999999987</v>
      </c>
      <c r="G37" s="26">
        <f>SUMIFS('Saldos Iniciales'!$D:$D,'Saldos Iniciales'!$A:$A,"SSP Capital")+SUMIFS(Movimientos!$K$1:$K$1048575,Movimientos!$C$1:$C$1048575,"SSP Capital",Movimientos!$B$1:$B$1048575,"&lt;="&amp;$B37)</f>
        <v>1164028.3199999994</v>
      </c>
      <c r="H37" s="26">
        <f>SUMIFS('Saldos Iniciales'!$D:$D,'Saldos Iniciales'!$A:$A,"Cross Family Trust")+SUMIFS(Movimientos!$K$1:$K$1048575,Movimientos!$C$1:$C$1048575,"Cross Family Trust",Movimientos!$B$1:$B$1048575,"&lt;="&amp;$B37)</f>
        <v>79209.490000000005</v>
      </c>
      <c r="I37" s="26">
        <f>SUMIFS('Saldos Iniciales'!$D:$D,'Saldos Iniciales'!$A:$A,"Cross Security Trust")+SUMIFS(Movimientos!$K$1:$K$1048575,Movimientos!$C$1:$C$1048575,"Cross Security Trust",Movimientos!$B$1:$B$1048575,"&lt;="&amp;$B37)</f>
        <v>88090.37</v>
      </c>
      <c r="J37" s="26">
        <f>SUMIFS('Saldos Iniciales'!$D:$D,'Saldos Iniciales'!$A:$A,"Electrama")+SUMIFS(Movimientos!$K$1:$K$1048575,Movimientos!$C$1:$C$1048575,"Electrama",Movimientos!$B$1:$B$1048575,"&lt;="&amp;$B37)</f>
        <v>1227.9699999999998</v>
      </c>
      <c r="K37" s="26">
        <f>SUMIFS('Saldos Iniciales'!$D:$D,'Saldos Iniciales'!$A:$A,"Sacred Valley Capital")+SUMIFS(Movimientos!$K$1:$K$1048575,Movimientos!$C$1:$C$1048575,"Sacred Valley Capital",Movimientos!$B$1:$B$1048575,"&lt;="&amp;$B37)</f>
        <v>84.35</v>
      </c>
      <c r="L37" s="26">
        <f>SUMIFS('Saldos Iniciales'!$D:$D,'Saldos Iniciales'!$A:$A,"YWC Capital")+SUMIFS(Movimientos!$K$1:$K$1048575,Movimientos!$C$1:$C$1048575,"YWC Capital",Movimientos!$B$1:$B$1048575,"&lt;="&amp;$B37)</f>
        <v>2237.77</v>
      </c>
      <c r="M37" s="26">
        <f>SUMIFS('Saldos Iniciales'!$D:$D,'Saldos Iniciales'!$A:$A,"Soweto")+SUMIFS(Movimientos!$K$1:$K$1048575,Movimientos!$C$1:$C$1048575,"Soweto",Movimientos!$B$1:$B$1048575,"&lt;="&amp;$B37)</f>
        <v>3349.94</v>
      </c>
      <c r="N37" s="26">
        <f>SUMIFS('Saldos Iniciales'!$D:$D,'Saldos Iniciales'!$A:$A,"Green Stone Trust")+SUMIFS(Movimientos!$K$1:$K$1048575,Movimientos!$C$1:$C$1048575,"Green Stone Trust",Movimientos!$B$1:$B$1048575,"&lt;="&amp;$B37)</f>
        <v>1968.99</v>
      </c>
      <c r="O37" s="26">
        <f>SUMIFS('Saldos Iniciales'!$D:$D,'Saldos Iniciales'!$A:$A,"EC Auto")+SUMIFS(Movimientos!$K$1:$K$1048575,Movimientos!$C$1:$C$1048575,"EC Auto",Movimientos!$B$1:$B$1048575,"&lt;="&amp;$B37)</f>
        <v>382.69000000000005</v>
      </c>
      <c r="P37" s="26">
        <f>SUMIFS('Saldos Iniciales'!$D:$D,'Saldos Iniciales'!$A:$A,"Arbor Capital Properties")+SUMIFS(Movimientos!$K$1:$K$1048575,Movimientos!$C$1:$C$1048575,"Arbor Capital Properties",Movimientos!$B$1:$B$1048575,"&lt;="&amp;$B37)</f>
        <v>1428.08</v>
      </c>
      <c r="Q37" s="26">
        <f>SUMIFS('Saldos Iniciales'!$D:$D,'Saldos Iniciales'!$A:$A,"2515 Overbrook")+SUMIFS(Movimientos!$K$1:$K$1048575,Movimientos!$C$1:$C$1048575,"2515 Overbrook",Movimientos!$B$1:$B$1048575,"&lt;="&amp;$B37)</f>
        <v>25789.969999999961</v>
      </c>
      <c r="R37" s="26">
        <f>SUMIFS('Saldos Iniciales'!$D:$D,'Saldos Iniciales'!$A:$A,"112 Florida Ave")+SUMIFS(Movimientos!$K$1:$K$1048575,Movimientos!$C$1:$C$1048575,"112 Florida Ave",Movimientos!$B$1:$B$1048575,"&lt;="&amp;$B37)</f>
        <v>5321.4300000000021</v>
      </c>
      <c r="S37" s="26">
        <f>SUMIFS('Saldos Iniciales'!$D:$D,'Saldos Iniciales'!$A:$A,"3628 Thomas Ave")+SUMIFS(Movimientos!$K$1:$K$1048575,Movimientos!$C$1:$C$1048575,"3628 Thomas Ave",Movimientos!$B$1:$B$1048575,"&lt;="&amp;$B37)</f>
        <v>24833.23</v>
      </c>
      <c r="T37" s="26">
        <f>SUMIFS('Saldos Iniciales'!$D:$D,'Saldos Iniciales'!$A:$A,"Green Harbor Trust")+SUMIFS(Movimientos!$K$1:$K$1048575,Movimientos!$C$1:$C$1048575,"Green Harbor Trust",Movimientos!$B$1:$B$1048575,"&lt;="&amp;$B37)</f>
        <v>345</v>
      </c>
      <c r="U37" s="26">
        <f>SUMIFS('Saldos Iniciales'!$D:$D,'Saldos Iniciales'!$A:$A,"Go Blue")+SUMIFS(Movimientos!$K$1:$K$1048575,Movimientos!$C$1:$C$1048575,"Go Blue",Movimientos!$B$1:$B$1048575,"&lt;="&amp;$B37)</f>
        <v>2422.7400000000016</v>
      </c>
      <c r="V37" s="27">
        <f t="shared" si="0"/>
        <v>2934706.0000000005</v>
      </c>
    </row>
    <row r="38" spans="1:22" outlineLevel="1" x14ac:dyDescent="0.3">
      <c r="A38" s="24">
        <f t="shared" si="1"/>
        <v>37</v>
      </c>
      <c r="B38" s="25">
        <v>46179</v>
      </c>
      <c r="C38" s="26">
        <f>SUMIFS('Saldos Iniciales'!$D:$D,'Saldos Iniciales'!$A:$A,"CFT Group")+SUMIFS(Movimientos!$K$1:$K$1048575,Movimientos!$C$1:$C$1048575,"CFT Group",Movimientos!$B$1:$B$1048575,"&lt;="&amp;$B38)</f>
        <v>733394.14000000013</v>
      </c>
      <c r="D38" s="26">
        <f>SUMIFS('Saldos Iniciales'!$D:$D,'Saldos Iniciales'!$A:$A,"M1B")+SUMIFS(Movimientos!$K$1:$K$1048575,Movimientos!$C$1:$C$1048575,"M1B",Movimientos!$B$1:$B$1048575,"&lt;="&amp;$B38)</f>
        <v>69376.390000000174</v>
      </c>
      <c r="E38" s="26">
        <f>SUMIFS('Saldos Iniciales'!$D:$D,'Saldos Iniciales'!$A:$A,"Durand")+SUMIFS(Movimientos!$K$1:$K$1048575,Movimientos!$C$1:$C$1048575,"Durand",Movimientos!$B$1:$B$1048575,"&lt;="&amp;$B38)</f>
        <v>1669.89</v>
      </c>
      <c r="F38" s="26">
        <f>SUMIFS('Saldos Iniciales'!$D:$D,'Saldos Iniciales'!$A:$A,"A&amp;M Imports")+SUMIFS(Movimientos!$K$1:$K$1048575,Movimientos!$C$1:$C$1048575,"A&amp;M Imports",Movimientos!$B$1:$B$1048575,"&lt;="&amp;$B38)</f>
        <v>729545.23999999987</v>
      </c>
      <c r="G38" s="26">
        <f>SUMIFS('Saldos Iniciales'!$D:$D,'Saldos Iniciales'!$A:$A,"SSP Capital")+SUMIFS(Movimientos!$K$1:$K$1048575,Movimientos!$C$1:$C$1048575,"SSP Capital",Movimientos!$B$1:$B$1048575,"&lt;="&amp;$B38)</f>
        <v>1164028.3199999994</v>
      </c>
      <c r="H38" s="26">
        <f>SUMIFS('Saldos Iniciales'!$D:$D,'Saldos Iniciales'!$A:$A,"Cross Family Trust")+SUMIFS(Movimientos!$K$1:$K$1048575,Movimientos!$C$1:$C$1048575,"Cross Family Trust",Movimientos!$B$1:$B$1048575,"&lt;="&amp;$B38)</f>
        <v>79209.490000000005</v>
      </c>
      <c r="I38" s="26">
        <f>SUMIFS('Saldos Iniciales'!$D:$D,'Saldos Iniciales'!$A:$A,"Cross Security Trust")+SUMIFS(Movimientos!$K$1:$K$1048575,Movimientos!$C$1:$C$1048575,"Cross Security Trust",Movimientos!$B$1:$B$1048575,"&lt;="&amp;$B38)</f>
        <v>88090.37</v>
      </c>
      <c r="J38" s="26">
        <f>SUMIFS('Saldos Iniciales'!$D:$D,'Saldos Iniciales'!$A:$A,"Electrama")+SUMIFS(Movimientos!$K$1:$K$1048575,Movimientos!$C$1:$C$1048575,"Electrama",Movimientos!$B$1:$B$1048575,"&lt;="&amp;$B38)</f>
        <v>1227.9699999999998</v>
      </c>
      <c r="K38" s="26">
        <f>SUMIFS('Saldos Iniciales'!$D:$D,'Saldos Iniciales'!$A:$A,"Sacred Valley Capital")+SUMIFS(Movimientos!$K$1:$K$1048575,Movimientos!$C$1:$C$1048575,"Sacred Valley Capital",Movimientos!$B$1:$B$1048575,"&lt;="&amp;$B38)</f>
        <v>84.35</v>
      </c>
      <c r="L38" s="26">
        <f>SUMIFS('Saldos Iniciales'!$D:$D,'Saldos Iniciales'!$A:$A,"YWC Capital")+SUMIFS(Movimientos!$K$1:$K$1048575,Movimientos!$C$1:$C$1048575,"YWC Capital",Movimientos!$B$1:$B$1048575,"&lt;="&amp;$B38)</f>
        <v>2237.77</v>
      </c>
      <c r="M38" s="26">
        <f>SUMIFS('Saldos Iniciales'!$D:$D,'Saldos Iniciales'!$A:$A,"Soweto")+SUMIFS(Movimientos!$K$1:$K$1048575,Movimientos!$C$1:$C$1048575,"Soweto",Movimientos!$B$1:$B$1048575,"&lt;="&amp;$B38)</f>
        <v>3349.94</v>
      </c>
      <c r="N38" s="26">
        <f>SUMIFS('Saldos Iniciales'!$D:$D,'Saldos Iniciales'!$A:$A,"Green Stone Trust")+SUMIFS(Movimientos!$K$1:$K$1048575,Movimientos!$C$1:$C$1048575,"Green Stone Trust",Movimientos!$B$1:$B$1048575,"&lt;="&amp;$B38)</f>
        <v>1968.99</v>
      </c>
      <c r="O38" s="26">
        <f>SUMIFS('Saldos Iniciales'!$D:$D,'Saldos Iniciales'!$A:$A,"EC Auto")+SUMIFS(Movimientos!$K$1:$K$1048575,Movimientos!$C$1:$C$1048575,"EC Auto",Movimientos!$B$1:$B$1048575,"&lt;="&amp;$B38)</f>
        <v>382.69000000000005</v>
      </c>
      <c r="P38" s="26">
        <f>SUMIFS('Saldos Iniciales'!$D:$D,'Saldos Iniciales'!$A:$A,"Arbor Capital Properties")+SUMIFS(Movimientos!$K$1:$K$1048575,Movimientos!$C$1:$C$1048575,"Arbor Capital Properties",Movimientos!$B$1:$B$1048575,"&lt;="&amp;$B38)</f>
        <v>1428.08</v>
      </c>
      <c r="Q38" s="26">
        <f>SUMIFS('Saldos Iniciales'!$D:$D,'Saldos Iniciales'!$A:$A,"2515 Overbrook")+SUMIFS(Movimientos!$K$1:$K$1048575,Movimientos!$C$1:$C$1048575,"2515 Overbrook",Movimientos!$B$1:$B$1048575,"&lt;="&amp;$B38)</f>
        <v>25789.969999999961</v>
      </c>
      <c r="R38" s="26">
        <f>SUMIFS('Saldos Iniciales'!$D:$D,'Saldos Iniciales'!$A:$A,"112 Florida Ave")+SUMIFS(Movimientos!$K$1:$K$1048575,Movimientos!$C$1:$C$1048575,"112 Florida Ave",Movimientos!$B$1:$B$1048575,"&lt;="&amp;$B38)</f>
        <v>5321.4300000000021</v>
      </c>
      <c r="S38" s="26">
        <f>SUMIFS('Saldos Iniciales'!$D:$D,'Saldos Iniciales'!$A:$A,"3628 Thomas Ave")+SUMIFS(Movimientos!$K$1:$K$1048575,Movimientos!$C$1:$C$1048575,"3628 Thomas Ave",Movimientos!$B$1:$B$1048575,"&lt;="&amp;$B38)</f>
        <v>24833.23</v>
      </c>
      <c r="T38" s="26">
        <f>SUMIFS('Saldos Iniciales'!$D:$D,'Saldos Iniciales'!$A:$A,"Green Harbor Trust")+SUMIFS(Movimientos!$K$1:$K$1048575,Movimientos!$C$1:$C$1048575,"Green Harbor Trust",Movimientos!$B$1:$B$1048575,"&lt;="&amp;$B38)</f>
        <v>345</v>
      </c>
      <c r="U38" s="26">
        <f>SUMIFS('Saldos Iniciales'!$D:$D,'Saldos Iniciales'!$A:$A,"Go Blue")+SUMIFS(Movimientos!$K$1:$K$1048575,Movimientos!$C$1:$C$1048575,"Go Blue",Movimientos!$B$1:$B$1048575,"&lt;="&amp;$B38)</f>
        <v>2422.7400000000016</v>
      </c>
      <c r="V38" s="27">
        <f t="shared" si="0"/>
        <v>2934706.0000000005</v>
      </c>
    </row>
    <row r="39" spans="1:22" outlineLevel="1" x14ac:dyDescent="0.3">
      <c r="A39" s="24">
        <f t="shared" si="1"/>
        <v>38</v>
      </c>
      <c r="B39" s="25">
        <v>46180</v>
      </c>
      <c r="C39" s="26">
        <f>SUMIFS('Saldos Iniciales'!$D:$D,'Saldos Iniciales'!$A:$A,"CFT Group")+SUMIFS(Movimientos!$K$1:$K$1048575,Movimientos!$C$1:$C$1048575,"CFT Group",Movimientos!$B$1:$B$1048575,"&lt;="&amp;$B39)</f>
        <v>733394.14000000013</v>
      </c>
      <c r="D39" s="26">
        <f>SUMIFS('Saldos Iniciales'!$D:$D,'Saldos Iniciales'!$A:$A,"M1B")+SUMIFS(Movimientos!$K$1:$K$1048575,Movimientos!$C$1:$C$1048575,"M1B",Movimientos!$B$1:$B$1048575,"&lt;="&amp;$B39)</f>
        <v>69376.390000000174</v>
      </c>
      <c r="E39" s="26">
        <f>SUMIFS('Saldos Iniciales'!$D:$D,'Saldos Iniciales'!$A:$A,"Durand")+SUMIFS(Movimientos!$K$1:$K$1048575,Movimientos!$C$1:$C$1048575,"Durand",Movimientos!$B$1:$B$1048575,"&lt;="&amp;$B39)</f>
        <v>1669.89</v>
      </c>
      <c r="F39" s="26">
        <f>SUMIFS('Saldos Iniciales'!$D:$D,'Saldos Iniciales'!$A:$A,"A&amp;M Imports")+SUMIFS(Movimientos!$K$1:$K$1048575,Movimientos!$C$1:$C$1048575,"A&amp;M Imports",Movimientos!$B$1:$B$1048575,"&lt;="&amp;$B39)</f>
        <v>729545.23999999987</v>
      </c>
      <c r="G39" s="26">
        <f>SUMIFS('Saldos Iniciales'!$D:$D,'Saldos Iniciales'!$A:$A,"SSP Capital")+SUMIFS(Movimientos!$K$1:$K$1048575,Movimientos!$C$1:$C$1048575,"SSP Capital",Movimientos!$B$1:$B$1048575,"&lt;="&amp;$B39)</f>
        <v>1164028.3199999994</v>
      </c>
      <c r="H39" s="26">
        <f>SUMIFS('Saldos Iniciales'!$D:$D,'Saldos Iniciales'!$A:$A,"Cross Family Trust")+SUMIFS(Movimientos!$K$1:$K$1048575,Movimientos!$C$1:$C$1048575,"Cross Family Trust",Movimientos!$B$1:$B$1048575,"&lt;="&amp;$B39)</f>
        <v>79209.490000000005</v>
      </c>
      <c r="I39" s="26">
        <f>SUMIFS('Saldos Iniciales'!$D:$D,'Saldos Iniciales'!$A:$A,"Cross Security Trust")+SUMIFS(Movimientos!$K$1:$K$1048575,Movimientos!$C$1:$C$1048575,"Cross Security Trust",Movimientos!$B$1:$B$1048575,"&lt;="&amp;$B39)</f>
        <v>88090.37</v>
      </c>
      <c r="J39" s="26">
        <f>SUMIFS('Saldos Iniciales'!$D:$D,'Saldos Iniciales'!$A:$A,"Electrama")+SUMIFS(Movimientos!$K$1:$K$1048575,Movimientos!$C$1:$C$1048575,"Electrama",Movimientos!$B$1:$B$1048575,"&lt;="&amp;$B39)</f>
        <v>1227.9699999999998</v>
      </c>
      <c r="K39" s="26">
        <f>SUMIFS('Saldos Iniciales'!$D:$D,'Saldos Iniciales'!$A:$A,"Sacred Valley Capital")+SUMIFS(Movimientos!$K$1:$K$1048575,Movimientos!$C$1:$C$1048575,"Sacred Valley Capital",Movimientos!$B$1:$B$1048575,"&lt;="&amp;$B39)</f>
        <v>84.35</v>
      </c>
      <c r="L39" s="26">
        <f>SUMIFS('Saldos Iniciales'!$D:$D,'Saldos Iniciales'!$A:$A,"YWC Capital")+SUMIFS(Movimientos!$K$1:$K$1048575,Movimientos!$C$1:$C$1048575,"YWC Capital",Movimientos!$B$1:$B$1048575,"&lt;="&amp;$B39)</f>
        <v>2237.77</v>
      </c>
      <c r="M39" s="26">
        <f>SUMIFS('Saldos Iniciales'!$D:$D,'Saldos Iniciales'!$A:$A,"Soweto")+SUMIFS(Movimientos!$K$1:$K$1048575,Movimientos!$C$1:$C$1048575,"Soweto",Movimientos!$B$1:$B$1048575,"&lt;="&amp;$B39)</f>
        <v>3349.94</v>
      </c>
      <c r="N39" s="26">
        <f>SUMIFS('Saldos Iniciales'!$D:$D,'Saldos Iniciales'!$A:$A,"Green Stone Trust")+SUMIFS(Movimientos!$K$1:$K$1048575,Movimientos!$C$1:$C$1048575,"Green Stone Trust",Movimientos!$B$1:$B$1048575,"&lt;="&amp;$B39)</f>
        <v>1968.99</v>
      </c>
      <c r="O39" s="26">
        <f>SUMIFS('Saldos Iniciales'!$D:$D,'Saldos Iniciales'!$A:$A,"EC Auto")+SUMIFS(Movimientos!$K$1:$K$1048575,Movimientos!$C$1:$C$1048575,"EC Auto",Movimientos!$B$1:$B$1048575,"&lt;="&amp;$B39)</f>
        <v>382.69000000000005</v>
      </c>
      <c r="P39" s="26">
        <f>SUMIFS('Saldos Iniciales'!$D:$D,'Saldos Iniciales'!$A:$A,"Arbor Capital Properties")+SUMIFS(Movimientos!$K$1:$K$1048575,Movimientos!$C$1:$C$1048575,"Arbor Capital Properties",Movimientos!$B$1:$B$1048575,"&lt;="&amp;$B39)</f>
        <v>1428.08</v>
      </c>
      <c r="Q39" s="26">
        <f>SUMIFS('Saldos Iniciales'!$D:$D,'Saldos Iniciales'!$A:$A,"2515 Overbrook")+SUMIFS(Movimientos!$K$1:$K$1048575,Movimientos!$C$1:$C$1048575,"2515 Overbrook",Movimientos!$B$1:$B$1048575,"&lt;="&amp;$B39)</f>
        <v>25789.969999999961</v>
      </c>
      <c r="R39" s="26">
        <f>SUMIFS('Saldos Iniciales'!$D:$D,'Saldos Iniciales'!$A:$A,"112 Florida Ave")+SUMIFS(Movimientos!$K$1:$K$1048575,Movimientos!$C$1:$C$1048575,"112 Florida Ave",Movimientos!$B$1:$B$1048575,"&lt;="&amp;$B39)</f>
        <v>5321.4300000000021</v>
      </c>
      <c r="S39" s="26">
        <f>SUMIFS('Saldos Iniciales'!$D:$D,'Saldos Iniciales'!$A:$A,"3628 Thomas Ave")+SUMIFS(Movimientos!$K$1:$K$1048575,Movimientos!$C$1:$C$1048575,"3628 Thomas Ave",Movimientos!$B$1:$B$1048575,"&lt;="&amp;$B39)</f>
        <v>24833.23</v>
      </c>
      <c r="T39" s="26">
        <f>SUMIFS('Saldos Iniciales'!$D:$D,'Saldos Iniciales'!$A:$A,"Green Harbor Trust")+SUMIFS(Movimientos!$K$1:$K$1048575,Movimientos!$C$1:$C$1048575,"Green Harbor Trust",Movimientos!$B$1:$B$1048575,"&lt;="&amp;$B39)</f>
        <v>345</v>
      </c>
      <c r="U39" s="26">
        <f>SUMIFS('Saldos Iniciales'!$D:$D,'Saldos Iniciales'!$A:$A,"Go Blue")+SUMIFS(Movimientos!$K$1:$K$1048575,Movimientos!$C$1:$C$1048575,"Go Blue",Movimientos!$B$1:$B$1048575,"&lt;="&amp;$B39)</f>
        <v>2422.7400000000016</v>
      </c>
      <c r="V39" s="27">
        <f t="shared" si="0"/>
        <v>2934706.0000000005</v>
      </c>
    </row>
    <row r="40" spans="1:22" outlineLevel="1" x14ac:dyDescent="0.3">
      <c r="A40" s="24">
        <f t="shared" si="1"/>
        <v>39</v>
      </c>
      <c r="B40" s="25">
        <v>46181</v>
      </c>
      <c r="C40" s="26">
        <f>SUMIFS('Saldos Iniciales'!$D:$D,'Saldos Iniciales'!$A:$A,"CFT Group")+SUMIFS(Movimientos!$K$1:$K$1048575,Movimientos!$C$1:$C$1048575,"CFT Group",Movimientos!$B$1:$B$1048575,"&lt;="&amp;$B40)</f>
        <v>733394.14000000013</v>
      </c>
      <c r="D40" s="26">
        <f>SUMIFS('Saldos Iniciales'!$D:$D,'Saldos Iniciales'!$A:$A,"M1B")+SUMIFS(Movimientos!$K$1:$K$1048575,Movimientos!$C$1:$C$1048575,"M1B",Movimientos!$B$1:$B$1048575,"&lt;="&amp;$B40)</f>
        <v>69376.390000000174</v>
      </c>
      <c r="E40" s="26">
        <f>SUMIFS('Saldos Iniciales'!$D:$D,'Saldos Iniciales'!$A:$A,"Durand")+SUMIFS(Movimientos!$K$1:$K$1048575,Movimientos!$C$1:$C$1048575,"Durand",Movimientos!$B$1:$B$1048575,"&lt;="&amp;$B40)</f>
        <v>1669.89</v>
      </c>
      <c r="F40" s="26">
        <f>SUMIFS('Saldos Iniciales'!$D:$D,'Saldos Iniciales'!$A:$A,"A&amp;M Imports")+SUMIFS(Movimientos!$K$1:$K$1048575,Movimientos!$C$1:$C$1048575,"A&amp;M Imports",Movimientos!$B$1:$B$1048575,"&lt;="&amp;$B40)</f>
        <v>729545.23999999987</v>
      </c>
      <c r="G40" s="26">
        <f>SUMIFS('Saldos Iniciales'!$D:$D,'Saldos Iniciales'!$A:$A,"SSP Capital")+SUMIFS(Movimientos!$K$1:$K$1048575,Movimientos!$C$1:$C$1048575,"SSP Capital",Movimientos!$B$1:$B$1048575,"&lt;="&amp;$B40)</f>
        <v>1164028.3199999994</v>
      </c>
      <c r="H40" s="26">
        <f>SUMIFS('Saldos Iniciales'!$D:$D,'Saldos Iniciales'!$A:$A,"Cross Family Trust")+SUMIFS(Movimientos!$K$1:$K$1048575,Movimientos!$C$1:$C$1048575,"Cross Family Trust",Movimientos!$B$1:$B$1048575,"&lt;="&amp;$B40)</f>
        <v>79209.490000000005</v>
      </c>
      <c r="I40" s="26">
        <f>SUMIFS('Saldos Iniciales'!$D:$D,'Saldos Iniciales'!$A:$A,"Cross Security Trust")+SUMIFS(Movimientos!$K$1:$K$1048575,Movimientos!$C$1:$C$1048575,"Cross Security Trust",Movimientos!$B$1:$B$1048575,"&lt;="&amp;$B40)</f>
        <v>88090.37</v>
      </c>
      <c r="J40" s="26">
        <f>SUMIFS('Saldos Iniciales'!$D:$D,'Saldos Iniciales'!$A:$A,"Electrama")+SUMIFS(Movimientos!$K$1:$K$1048575,Movimientos!$C$1:$C$1048575,"Electrama",Movimientos!$B$1:$B$1048575,"&lt;="&amp;$B40)</f>
        <v>1227.9699999999998</v>
      </c>
      <c r="K40" s="26">
        <f>SUMIFS('Saldos Iniciales'!$D:$D,'Saldos Iniciales'!$A:$A,"Sacred Valley Capital")+SUMIFS(Movimientos!$K$1:$K$1048575,Movimientos!$C$1:$C$1048575,"Sacred Valley Capital",Movimientos!$B$1:$B$1048575,"&lt;="&amp;$B40)</f>
        <v>84.35</v>
      </c>
      <c r="L40" s="26">
        <f>SUMIFS('Saldos Iniciales'!$D:$D,'Saldos Iniciales'!$A:$A,"YWC Capital")+SUMIFS(Movimientos!$K$1:$K$1048575,Movimientos!$C$1:$C$1048575,"YWC Capital",Movimientos!$B$1:$B$1048575,"&lt;="&amp;$B40)</f>
        <v>2237.77</v>
      </c>
      <c r="M40" s="26">
        <f>SUMIFS('Saldos Iniciales'!$D:$D,'Saldos Iniciales'!$A:$A,"Soweto")+SUMIFS(Movimientos!$K$1:$K$1048575,Movimientos!$C$1:$C$1048575,"Soweto",Movimientos!$B$1:$B$1048575,"&lt;="&amp;$B40)</f>
        <v>3349.94</v>
      </c>
      <c r="N40" s="26">
        <f>SUMIFS('Saldos Iniciales'!$D:$D,'Saldos Iniciales'!$A:$A,"Green Stone Trust")+SUMIFS(Movimientos!$K$1:$K$1048575,Movimientos!$C$1:$C$1048575,"Green Stone Trust",Movimientos!$B$1:$B$1048575,"&lt;="&amp;$B40)</f>
        <v>1968.99</v>
      </c>
      <c r="O40" s="26">
        <f>SUMIFS('Saldos Iniciales'!$D:$D,'Saldos Iniciales'!$A:$A,"EC Auto")+SUMIFS(Movimientos!$K$1:$K$1048575,Movimientos!$C$1:$C$1048575,"EC Auto",Movimientos!$B$1:$B$1048575,"&lt;="&amp;$B40)</f>
        <v>382.69000000000005</v>
      </c>
      <c r="P40" s="26">
        <f>SUMIFS('Saldos Iniciales'!$D:$D,'Saldos Iniciales'!$A:$A,"Arbor Capital Properties")+SUMIFS(Movimientos!$K$1:$K$1048575,Movimientos!$C$1:$C$1048575,"Arbor Capital Properties",Movimientos!$B$1:$B$1048575,"&lt;="&amp;$B40)</f>
        <v>1428.08</v>
      </c>
      <c r="Q40" s="26">
        <f>SUMIFS('Saldos Iniciales'!$D:$D,'Saldos Iniciales'!$A:$A,"2515 Overbrook")+SUMIFS(Movimientos!$K$1:$K$1048575,Movimientos!$C$1:$C$1048575,"2515 Overbrook",Movimientos!$B$1:$B$1048575,"&lt;="&amp;$B40)</f>
        <v>25789.969999999961</v>
      </c>
      <c r="R40" s="26">
        <f>SUMIFS('Saldos Iniciales'!$D:$D,'Saldos Iniciales'!$A:$A,"112 Florida Ave")+SUMIFS(Movimientos!$K$1:$K$1048575,Movimientos!$C$1:$C$1048575,"112 Florida Ave",Movimientos!$B$1:$B$1048575,"&lt;="&amp;$B40)</f>
        <v>5321.4300000000021</v>
      </c>
      <c r="S40" s="26">
        <f>SUMIFS('Saldos Iniciales'!$D:$D,'Saldos Iniciales'!$A:$A,"3628 Thomas Ave")+SUMIFS(Movimientos!$K$1:$K$1048575,Movimientos!$C$1:$C$1048575,"3628 Thomas Ave",Movimientos!$B$1:$B$1048575,"&lt;="&amp;$B40)</f>
        <v>24833.23</v>
      </c>
      <c r="T40" s="26">
        <f>SUMIFS('Saldos Iniciales'!$D:$D,'Saldos Iniciales'!$A:$A,"Green Harbor Trust")+SUMIFS(Movimientos!$K$1:$K$1048575,Movimientos!$C$1:$C$1048575,"Green Harbor Trust",Movimientos!$B$1:$B$1048575,"&lt;="&amp;$B40)</f>
        <v>345</v>
      </c>
      <c r="U40" s="26">
        <f>SUMIFS('Saldos Iniciales'!$D:$D,'Saldos Iniciales'!$A:$A,"Go Blue")+SUMIFS(Movimientos!$K$1:$K$1048575,Movimientos!$C$1:$C$1048575,"Go Blue",Movimientos!$B$1:$B$1048575,"&lt;="&amp;$B40)</f>
        <v>1451.1500000000015</v>
      </c>
      <c r="V40" s="27">
        <f t="shared" ref="V40:V42" si="2">SUM(C40:U40)</f>
        <v>2933734.41</v>
      </c>
    </row>
    <row r="41" spans="1:22" outlineLevel="1" x14ac:dyDescent="0.3">
      <c r="A41" s="24">
        <f t="shared" si="1"/>
        <v>40</v>
      </c>
      <c r="B41" s="25">
        <v>46182</v>
      </c>
      <c r="C41" s="26">
        <f>SUMIFS('Saldos Iniciales'!$D:$D,'Saldos Iniciales'!$A:$A,"CFT Group")+SUMIFS(Movimientos!$K$1:$K$1048575,Movimientos!$C$1:$C$1048575,"CFT Group",Movimientos!$B$1:$B$1048575,"&lt;="&amp;$B41)</f>
        <v>847381.29000000015</v>
      </c>
      <c r="D41" s="26">
        <f>SUMIFS('Saldos Iniciales'!$D:$D,'Saldos Iniciales'!$A:$A,"M1B")+SUMIFS(Movimientos!$K$1:$K$1048575,Movimientos!$C$1:$C$1048575,"M1B",Movimientos!$B$1:$B$1048575,"&lt;="&amp;$B41)</f>
        <v>69376.390000000174</v>
      </c>
      <c r="E41" s="26">
        <f>SUMIFS('Saldos Iniciales'!$D:$D,'Saldos Iniciales'!$A:$A,"Durand")+SUMIFS(Movimientos!$K$1:$K$1048575,Movimientos!$C$1:$C$1048575,"Durand",Movimientos!$B$1:$B$1048575,"&lt;="&amp;$B41)</f>
        <v>1669.89</v>
      </c>
      <c r="F41" s="26">
        <f>SUMIFS('Saldos Iniciales'!$D:$D,'Saldos Iniciales'!$A:$A,"A&amp;M Imports")+SUMIFS(Movimientos!$K$1:$K$1048575,Movimientos!$C$1:$C$1048575,"A&amp;M Imports",Movimientos!$B$1:$B$1048575,"&lt;="&amp;$B41)</f>
        <v>729545.23999999987</v>
      </c>
      <c r="G41" s="26">
        <f>SUMIFS('Saldos Iniciales'!$D:$D,'Saldos Iniciales'!$A:$A,"SSP Capital")+SUMIFS(Movimientos!$K$1:$K$1048575,Movimientos!$C$1:$C$1048575,"SSP Capital",Movimientos!$B$1:$B$1048575,"&lt;="&amp;$B41)</f>
        <v>1160274.0499999993</v>
      </c>
      <c r="H41" s="26">
        <f>SUMIFS('Saldos Iniciales'!$D:$D,'Saldos Iniciales'!$A:$A,"Cross Family Trust")+SUMIFS(Movimientos!$K$1:$K$1048575,Movimientos!$C$1:$C$1048575,"Cross Family Trust",Movimientos!$B$1:$B$1048575,"&lt;="&amp;$B41)</f>
        <v>79209.490000000005</v>
      </c>
      <c r="I41" s="26">
        <f>SUMIFS('Saldos Iniciales'!$D:$D,'Saldos Iniciales'!$A:$A,"Cross Security Trust")+SUMIFS(Movimientos!$K$1:$K$1048575,Movimientos!$C$1:$C$1048575,"Cross Security Trust",Movimientos!$B$1:$B$1048575,"&lt;="&amp;$B41)</f>
        <v>88090.37</v>
      </c>
      <c r="J41" s="26">
        <f>SUMIFS('Saldos Iniciales'!$D:$D,'Saldos Iniciales'!$A:$A,"Electrama")+SUMIFS(Movimientos!$K$1:$K$1048575,Movimientos!$C$1:$C$1048575,"Electrama",Movimientos!$B$1:$B$1048575,"&lt;="&amp;$B41)</f>
        <v>1227.9699999999998</v>
      </c>
      <c r="K41" s="26">
        <f>SUMIFS('Saldos Iniciales'!$D:$D,'Saldos Iniciales'!$A:$A,"Sacred Valley Capital")+SUMIFS(Movimientos!$K$1:$K$1048575,Movimientos!$C$1:$C$1048575,"Sacred Valley Capital",Movimientos!$B$1:$B$1048575,"&lt;="&amp;$B41)</f>
        <v>84.35</v>
      </c>
      <c r="L41" s="26">
        <f>SUMIFS('Saldos Iniciales'!$D:$D,'Saldos Iniciales'!$A:$A,"YWC Capital")+SUMIFS(Movimientos!$K$1:$K$1048575,Movimientos!$C$1:$C$1048575,"YWC Capital",Movimientos!$B$1:$B$1048575,"&lt;="&amp;$B41)</f>
        <v>2237.77</v>
      </c>
      <c r="M41" s="26">
        <f>SUMIFS('Saldos Iniciales'!$D:$D,'Saldos Iniciales'!$A:$A,"Soweto")+SUMIFS(Movimientos!$K$1:$K$1048575,Movimientos!$C$1:$C$1048575,"Soweto",Movimientos!$B$1:$B$1048575,"&lt;="&amp;$B41)</f>
        <v>3349.94</v>
      </c>
      <c r="N41" s="26">
        <f>SUMIFS('Saldos Iniciales'!$D:$D,'Saldos Iniciales'!$A:$A,"Green Stone Trust")+SUMIFS(Movimientos!$K$1:$K$1048575,Movimientos!$C$1:$C$1048575,"Green Stone Trust",Movimientos!$B$1:$B$1048575,"&lt;="&amp;$B41)</f>
        <v>1968.99</v>
      </c>
      <c r="O41" s="26">
        <f>SUMIFS('Saldos Iniciales'!$D:$D,'Saldos Iniciales'!$A:$A,"EC Auto")+SUMIFS(Movimientos!$K$1:$K$1048575,Movimientos!$C$1:$C$1048575,"EC Auto",Movimientos!$B$1:$B$1048575,"&lt;="&amp;$B41)</f>
        <v>382.69000000000005</v>
      </c>
      <c r="P41" s="26">
        <f>SUMIFS('Saldos Iniciales'!$D:$D,'Saldos Iniciales'!$A:$A,"Arbor Capital Properties")+SUMIFS(Movimientos!$K$1:$K$1048575,Movimientos!$C$1:$C$1048575,"Arbor Capital Properties",Movimientos!$B$1:$B$1048575,"&lt;="&amp;$B41)</f>
        <v>1428.08</v>
      </c>
      <c r="Q41" s="26">
        <f>SUMIFS('Saldos Iniciales'!$D:$D,'Saldos Iniciales'!$A:$A,"2515 Overbrook")+SUMIFS(Movimientos!$K$1:$K$1048575,Movimientos!$C$1:$C$1048575,"2515 Overbrook",Movimientos!$B$1:$B$1048575,"&lt;="&amp;$B41)</f>
        <v>25789.969999999961</v>
      </c>
      <c r="R41" s="26">
        <f>SUMIFS('Saldos Iniciales'!$D:$D,'Saldos Iniciales'!$A:$A,"112 Florida Ave")+SUMIFS(Movimientos!$K$1:$K$1048575,Movimientos!$C$1:$C$1048575,"112 Florida Ave",Movimientos!$B$1:$B$1048575,"&lt;="&amp;$B41)</f>
        <v>5321.4300000000021</v>
      </c>
      <c r="S41" s="26">
        <f>SUMIFS('Saldos Iniciales'!$D:$D,'Saldos Iniciales'!$A:$A,"3628 Thomas Ave")+SUMIFS(Movimientos!$K$1:$K$1048575,Movimientos!$C$1:$C$1048575,"3628 Thomas Ave",Movimientos!$B$1:$B$1048575,"&lt;="&amp;$B41)</f>
        <v>24833.23</v>
      </c>
      <c r="T41" s="26">
        <f>SUMIFS('Saldos Iniciales'!$D:$D,'Saldos Iniciales'!$A:$A,"Green Harbor Trust")+SUMIFS(Movimientos!$K$1:$K$1048575,Movimientos!$C$1:$C$1048575,"Green Harbor Trust",Movimientos!$B$1:$B$1048575,"&lt;="&amp;$B41)</f>
        <v>345</v>
      </c>
      <c r="U41" s="26">
        <f>SUMIFS('Saldos Iniciales'!$D:$D,'Saldos Iniciales'!$A:$A,"Go Blue")+SUMIFS(Movimientos!$K$1:$K$1048575,Movimientos!$C$1:$C$1048575,"Go Blue",Movimientos!$B$1:$B$1048575,"&lt;="&amp;$B41)</f>
        <v>1289.7300000000014</v>
      </c>
      <c r="V41" s="27">
        <f t="shared" si="2"/>
        <v>3043805.87</v>
      </c>
    </row>
    <row r="42" spans="1:22" outlineLevel="1" x14ac:dyDescent="0.3">
      <c r="A42" s="24">
        <f t="shared" si="1"/>
        <v>41</v>
      </c>
      <c r="B42" s="25">
        <v>46183</v>
      </c>
      <c r="C42" s="26">
        <f>SUMIFS('Saldos Iniciales'!$D:$D,'Saldos Iniciales'!$A:$A,"CFT Group")+SUMIFS(Movimientos!$K$1:$K$1048575,Movimientos!$C$1:$C$1048575,"CFT Group",Movimientos!$B$1:$B$1048575,"&lt;="&amp;$B42)</f>
        <v>2288745.9500000002</v>
      </c>
      <c r="D42" s="26">
        <f>SUMIFS('Saldos Iniciales'!$D:$D,'Saldos Iniciales'!$A:$A,"M1B")+SUMIFS(Movimientos!$K$1:$K$1048575,Movimientos!$C$1:$C$1048575,"M1B",Movimientos!$B$1:$B$1048575,"&lt;="&amp;$B42)</f>
        <v>69376.390000000174</v>
      </c>
      <c r="E42" s="26">
        <f>SUMIFS('Saldos Iniciales'!$D:$D,'Saldos Iniciales'!$A:$A,"Durand")+SUMIFS(Movimientos!$K$1:$K$1048575,Movimientos!$C$1:$C$1048575,"Durand",Movimientos!$B$1:$B$1048575,"&lt;="&amp;$B42)</f>
        <v>1669.89</v>
      </c>
      <c r="F42" s="26">
        <f>SUMIFS('Saldos Iniciales'!$D:$D,'Saldos Iniciales'!$A:$A,"A&amp;M Imports")+SUMIFS(Movimientos!$K$1:$K$1048575,Movimientos!$C$1:$C$1048575,"A&amp;M Imports",Movimientos!$B$1:$B$1048575,"&lt;="&amp;$B42)</f>
        <v>744306.80999999982</v>
      </c>
      <c r="G42" s="26">
        <f>SUMIFS('Saldos Iniciales'!$D:$D,'Saldos Iniciales'!$A:$A,"SSP Capital")+SUMIFS(Movimientos!$K$1:$K$1048575,Movimientos!$C$1:$C$1048575,"SSP Capital",Movimientos!$B$1:$B$1048575,"&lt;="&amp;$B42)</f>
        <v>1160274.0499999993</v>
      </c>
      <c r="H42" s="26">
        <f>SUMIFS('Saldos Iniciales'!$D:$D,'Saldos Iniciales'!$A:$A,"Cross Family Trust")+SUMIFS(Movimientos!$K$1:$K$1048575,Movimientos!$C$1:$C$1048575,"Cross Family Trust",Movimientos!$B$1:$B$1048575,"&lt;="&amp;$B42)</f>
        <v>79209.490000000005</v>
      </c>
      <c r="I42" s="26">
        <f>SUMIFS('Saldos Iniciales'!$D:$D,'Saldos Iniciales'!$A:$A,"Cross Security Trust")+SUMIFS(Movimientos!$K$1:$K$1048575,Movimientos!$C$1:$C$1048575,"Cross Security Trust",Movimientos!$B$1:$B$1048575,"&lt;="&amp;$B42)</f>
        <v>88090.37</v>
      </c>
      <c r="J42" s="26">
        <f>SUMIFS('Saldos Iniciales'!$D:$D,'Saldos Iniciales'!$A:$A,"Electrama")+SUMIFS(Movimientos!$K$1:$K$1048575,Movimientos!$C$1:$C$1048575,"Electrama",Movimientos!$B$1:$B$1048575,"&lt;="&amp;$B42)</f>
        <v>1227.9699999999998</v>
      </c>
      <c r="K42" s="26">
        <f>SUMIFS('Saldos Iniciales'!$D:$D,'Saldos Iniciales'!$A:$A,"Sacred Valley Capital")+SUMIFS(Movimientos!$K$1:$K$1048575,Movimientos!$C$1:$C$1048575,"Sacred Valley Capital",Movimientos!$B$1:$B$1048575,"&lt;="&amp;$B42)</f>
        <v>84.35</v>
      </c>
      <c r="L42" s="26">
        <f>SUMIFS('Saldos Iniciales'!$D:$D,'Saldos Iniciales'!$A:$A,"YWC Capital")+SUMIFS(Movimientos!$K$1:$K$1048575,Movimientos!$C$1:$C$1048575,"YWC Capital",Movimientos!$B$1:$B$1048575,"&lt;="&amp;$B42)</f>
        <v>2237.77</v>
      </c>
      <c r="M42" s="26">
        <f>SUMIFS('Saldos Iniciales'!$D:$D,'Saldos Iniciales'!$A:$A,"Soweto")+SUMIFS(Movimientos!$K$1:$K$1048575,Movimientos!$C$1:$C$1048575,"Soweto",Movimientos!$B$1:$B$1048575,"&lt;="&amp;$B42)</f>
        <v>3349.94</v>
      </c>
      <c r="N42" s="26">
        <f>SUMIFS('Saldos Iniciales'!$D:$D,'Saldos Iniciales'!$A:$A,"Green Stone Trust")+SUMIFS(Movimientos!$K$1:$K$1048575,Movimientos!$C$1:$C$1048575,"Green Stone Trust",Movimientos!$B$1:$B$1048575,"&lt;="&amp;$B42)</f>
        <v>1968.99</v>
      </c>
      <c r="O42" s="26">
        <f>SUMIFS('Saldos Iniciales'!$D:$D,'Saldos Iniciales'!$A:$A,"EC Auto")+SUMIFS(Movimientos!$K$1:$K$1048575,Movimientos!$C$1:$C$1048575,"EC Auto",Movimientos!$B$1:$B$1048575,"&lt;="&amp;$B42)</f>
        <v>382.69000000000005</v>
      </c>
      <c r="P42" s="26">
        <f>SUMIFS('Saldos Iniciales'!$D:$D,'Saldos Iniciales'!$A:$A,"Arbor Capital Properties")+SUMIFS(Movimientos!$K$1:$K$1048575,Movimientos!$C$1:$C$1048575,"Arbor Capital Properties",Movimientos!$B$1:$B$1048575,"&lt;="&amp;$B42)</f>
        <v>1428.08</v>
      </c>
      <c r="Q42" s="26">
        <f>SUMIFS('Saldos Iniciales'!$D:$D,'Saldos Iniciales'!$A:$A,"2515 Overbrook")+SUMIFS(Movimientos!$K$1:$K$1048575,Movimientos!$C$1:$C$1048575,"2515 Overbrook",Movimientos!$B$1:$B$1048575,"&lt;="&amp;$B42)</f>
        <v>25789.969999999961</v>
      </c>
      <c r="R42" s="26">
        <f>SUMIFS('Saldos Iniciales'!$D:$D,'Saldos Iniciales'!$A:$A,"112 Florida Ave")+SUMIFS(Movimientos!$K$1:$K$1048575,Movimientos!$C$1:$C$1048575,"112 Florida Ave",Movimientos!$B$1:$B$1048575,"&lt;="&amp;$B42)</f>
        <v>5321.4300000000021</v>
      </c>
      <c r="S42" s="26">
        <f>SUMIFS('Saldos Iniciales'!$D:$D,'Saldos Iniciales'!$A:$A,"3628 Thomas Ave")+SUMIFS(Movimientos!$K$1:$K$1048575,Movimientos!$C$1:$C$1048575,"3628 Thomas Ave",Movimientos!$B$1:$B$1048575,"&lt;="&amp;$B42)</f>
        <v>24743.98</v>
      </c>
      <c r="T42" s="26">
        <f>SUMIFS('Saldos Iniciales'!$D:$D,'Saldos Iniciales'!$A:$A,"Green Harbor Trust")+SUMIFS(Movimientos!$K$1:$K$1048575,Movimientos!$C$1:$C$1048575,"Green Harbor Trust",Movimientos!$B$1:$B$1048575,"&lt;="&amp;$B42)</f>
        <v>345</v>
      </c>
      <c r="U42" s="26">
        <f>SUMIFS('Saldos Iniciales'!$D:$D,'Saldos Iniciales'!$A:$A,"Go Blue")+SUMIFS(Movimientos!$K$1:$K$1048575,Movimientos!$C$1:$C$1048575,"Go Blue",Movimientos!$B$1:$B$1048575,"&lt;="&amp;$B42)</f>
        <v>1289.7300000000014</v>
      </c>
      <c r="V42" s="27">
        <f t="shared" si="2"/>
        <v>4499842.8500000006</v>
      </c>
    </row>
    <row r="43" spans="1:22" outlineLevel="1" x14ac:dyDescent="0.3">
      <c r="A43" s="24">
        <f t="shared" si="1"/>
        <v>42</v>
      </c>
      <c r="B43" s="25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7"/>
    </row>
    <row r="44" spans="1:22" outlineLevel="1" x14ac:dyDescent="0.3">
      <c r="A44" s="24">
        <f t="shared" si="1"/>
        <v>43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7"/>
    </row>
    <row r="45" spans="1:22" outlineLevel="1" x14ac:dyDescent="0.3">
      <c r="A45" s="24">
        <f t="shared" si="1"/>
        <v>44</v>
      </c>
      <c r="B45" s="25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7"/>
    </row>
    <row r="46" spans="1:22" outlineLevel="1" x14ac:dyDescent="0.3">
      <c r="A46" s="24">
        <f t="shared" si="1"/>
        <v>45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7"/>
    </row>
    <row r="47" spans="1:22" outlineLevel="1" x14ac:dyDescent="0.3">
      <c r="A47" s="24">
        <f t="shared" si="1"/>
        <v>46</v>
      </c>
      <c r="B47" s="25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7"/>
    </row>
    <row r="48" spans="1:22" outlineLevel="1" x14ac:dyDescent="0.3">
      <c r="A48" s="24">
        <f t="shared" si="1"/>
        <v>47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7"/>
    </row>
    <row r="49" spans="1:22" outlineLevel="1" x14ac:dyDescent="0.3">
      <c r="A49" s="24">
        <f t="shared" si="1"/>
        <v>48</v>
      </c>
      <c r="B49" s="25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7"/>
    </row>
    <row r="50" spans="1:22" outlineLevel="1" x14ac:dyDescent="0.3">
      <c r="A50" s="24">
        <f t="shared" si="1"/>
        <v>49</v>
      </c>
      <c r="B50" s="25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7"/>
    </row>
    <row r="51" spans="1:22" outlineLevel="1" x14ac:dyDescent="0.3">
      <c r="A51" s="24">
        <f t="shared" si="1"/>
        <v>50</v>
      </c>
      <c r="B51" s="25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7"/>
    </row>
    <row r="52" spans="1:22" outlineLevel="1" x14ac:dyDescent="0.3">
      <c r="A52" s="24">
        <f t="shared" si="1"/>
        <v>51</v>
      </c>
      <c r="B52" s="25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7"/>
    </row>
    <row r="53" spans="1:22" outlineLevel="1" x14ac:dyDescent="0.3">
      <c r="A53" s="24">
        <f t="shared" si="1"/>
        <v>52</v>
      </c>
      <c r="B53" s="25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7"/>
    </row>
    <row r="54" spans="1:22" outlineLevel="1" x14ac:dyDescent="0.3">
      <c r="A54" s="24">
        <f t="shared" si="1"/>
        <v>53</v>
      </c>
      <c r="B54" s="25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7"/>
    </row>
    <row r="55" spans="1:22" outlineLevel="1" x14ac:dyDescent="0.3">
      <c r="A55" s="24">
        <f t="shared" si="1"/>
        <v>54</v>
      </c>
      <c r="B55" s="25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7"/>
    </row>
    <row r="56" spans="1:22" outlineLevel="1" x14ac:dyDescent="0.3">
      <c r="A56" s="24">
        <f t="shared" si="1"/>
        <v>55</v>
      </c>
      <c r="B56" s="25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7"/>
    </row>
    <row r="57" spans="1:22" outlineLevel="1" x14ac:dyDescent="0.3">
      <c r="A57" s="24">
        <f t="shared" si="1"/>
        <v>56</v>
      </c>
      <c r="B57" s="25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7"/>
    </row>
    <row r="58" spans="1:22" outlineLevel="1" x14ac:dyDescent="0.3">
      <c r="A58" s="24">
        <f t="shared" si="1"/>
        <v>57</v>
      </c>
      <c r="B58" s="25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7"/>
    </row>
    <row r="59" spans="1:22" outlineLevel="1" x14ac:dyDescent="0.3">
      <c r="A59" s="24">
        <f t="shared" si="1"/>
        <v>58</v>
      </c>
      <c r="B59" s="25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7"/>
    </row>
    <row r="60" spans="1:22" outlineLevel="1" x14ac:dyDescent="0.3">
      <c r="A60" s="24">
        <f t="shared" si="1"/>
        <v>59</v>
      </c>
      <c r="B60" s="25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7"/>
    </row>
    <row r="61" spans="1:22" outlineLevel="1" x14ac:dyDescent="0.3">
      <c r="A61" s="24">
        <f t="shared" si="1"/>
        <v>60</v>
      </c>
      <c r="B61" s="25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7"/>
    </row>
    <row r="62" spans="1:22" x14ac:dyDescent="0.3">
      <c r="A62" s="24">
        <f t="shared" si="1"/>
        <v>61</v>
      </c>
      <c r="B62" s="25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7"/>
    </row>
  </sheetData>
  <conditionalFormatting sqref="C2:V62">
    <cfRule type="cellIs" dxfId="2" priority="1" operator="lessThan">
      <formula>0</formula>
    </cfRule>
  </conditionalFormatting>
  <conditionalFormatting sqref="V2:V62">
    <cfRule type="cellIs" dxfId="1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D780"/>
  <sheetViews>
    <sheetView tabSelected="1" topLeftCell="A755" workbookViewId="0">
      <selection activeCell="D762" sqref="D762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0.5546875" style="18" bestFit="1" customWidth="1"/>
    <col min="4" max="4" width="11" bestFit="1" customWidth="1"/>
  </cols>
  <sheetData>
    <row r="1" spans="1:4" x14ac:dyDescent="0.3">
      <c r="A1" t="s">
        <v>131</v>
      </c>
      <c r="B1" t="s">
        <v>130</v>
      </c>
      <c r="C1" s="18" t="s">
        <v>1</v>
      </c>
      <c r="D1" t="s">
        <v>132</v>
      </c>
    </row>
    <row r="2" spans="1:4" x14ac:dyDescent="0.3">
      <c r="A2" t="s">
        <v>17</v>
      </c>
      <c r="C2" s="18">
        <v>46143</v>
      </c>
      <c r="D2">
        <v>200763.43000000025</v>
      </c>
    </row>
    <row r="3" spans="1:4" x14ac:dyDescent="0.3">
      <c r="A3" t="s">
        <v>18</v>
      </c>
      <c r="C3" s="18">
        <v>46143</v>
      </c>
      <c r="D3">
        <v>51288.029999999948</v>
      </c>
    </row>
    <row r="4" spans="1:4" x14ac:dyDescent="0.3">
      <c r="A4" t="s">
        <v>19</v>
      </c>
      <c r="C4" s="18">
        <v>46143</v>
      </c>
      <c r="D4">
        <v>1669.89</v>
      </c>
    </row>
    <row r="5" spans="1:4" x14ac:dyDescent="0.3">
      <c r="A5" t="s">
        <v>20</v>
      </c>
      <c r="C5" s="18">
        <v>46143</v>
      </c>
      <c r="D5">
        <v>589990.30000000005</v>
      </c>
    </row>
    <row r="6" spans="1:4" x14ac:dyDescent="0.3">
      <c r="A6" t="s">
        <v>21</v>
      </c>
      <c r="C6" s="18">
        <v>46143</v>
      </c>
      <c r="D6">
        <v>990387.37999999931</v>
      </c>
    </row>
    <row r="7" spans="1:4" x14ac:dyDescent="0.3">
      <c r="A7" t="s">
        <v>22</v>
      </c>
      <c r="C7" s="18">
        <v>46143</v>
      </c>
      <c r="D7">
        <v>105224.49</v>
      </c>
    </row>
    <row r="8" spans="1:4" x14ac:dyDescent="0.3">
      <c r="A8" t="s">
        <v>23</v>
      </c>
      <c r="C8" s="18">
        <v>46143</v>
      </c>
      <c r="D8">
        <v>13088.589999999997</v>
      </c>
    </row>
    <row r="9" spans="1:4" x14ac:dyDescent="0.3">
      <c r="A9" t="s">
        <v>24</v>
      </c>
      <c r="C9" s="18">
        <v>46143</v>
      </c>
      <c r="D9">
        <v>808.82999999999993</v>
      </c>
    </row>
    <row r="10" spans="1:4" x14ac:dyDescent="0.3">
      <c r="A10" t="s">
        <v>25</v>
      </c>
      <c r="C10" s="18">
        <v>46143</v>
      </c>
      <c r="D10">
        <v>114.3</v>
      </c>
    </row>
    <row r="11" spans="1:4" x14ac:dyDescent="0.3">
      <c r="A11" t="s">
        <v>26</v>
      </c>
      <c r="C11" s="18">
        <v>46143</v>
      </c>
      <c r="D11">
        <v>2267.7200000000003</v>
      </c>
    </row>
    <row r="12" spans="1:4" x14ac:dyDescent="0.3">
      <c r="A12" t="s">
        <v>27</v>
      </c>
      <c r="C12" s="18">
        <v>46143</v>
      </c>
      <c r="D12">
        <v>3364.94</v>
      </c>
    </row>
    <row r="13" spans="1:4" x14ac:dyDescent="0.3">
      <c r="A13" t="s">
        <v>28</v>
      </c>
      <c r="C13" s="18">
        <v>46143</v>
      </c>
      <c r="D13">
        <v>1968.99</v>
      </c>
    </row>
    <row r="14" spans="1:4" x14ac:dyDescent="0.3">
      <c r="A14" t="s">
        <v>29</v>
      </c>
      <c r="C14" s="18">
        <v>46143</v>
      </c>
      <c r="D14">
        <v>901.34</v>
      </c>
    </row>
    <row r="15" spans="1:4" x14ac:dyDescent="0.3">
      <c r="A15" t="s">
        <v>30</v>
      </c>
      <c r="C15" s="18">
        <v>46143</v>
      </c>
      <c r="D15">
        <v>1444.08</v>
      </c>
    </row>
    <row r="16" spans="1:4" x14ac:dyDescent="0.3">
      <c r="A16" t="s">
        <v>31</v>
      </c>
      <c r="C16" s="18">
        <v>46143</v>
      </c>
      <c r="D16">
        <v>23262.599999999962</v>
      </c>
    </row>
    <row r="17" spans="1:4" x14ac:dyDescent="0.3">
      <c r="A17" t="s">
        <v>32</v>
      </c>
      <c r="C17" s="18">
        <v>46143</v>
      </c>
      <c r="D17">
        <v>6853.9100000000017</v>
      </c>
    </row>
    <row r="18" spans="1:4" x14ac:dyDescent="0.3">
      <c r="A18" t="s">
        <v>33</v>
      </c>
      <c r="C18" s="18">
        <v>46143</v>
      </c>
      <c r="D18">
        <v>21338.39</v>
      </c>
    </row>
    <row r="19" spans="1:4" x14ac:dyDescent="0.3">
      <c r="A19" t="s">
        <v>34</v>
      </c>
      <c r="C19" s="18">
        <v>46143</v>
      </c>
      <c r="D19">
        <v>345</v>
      </c>
    </row>
    <row r="20" spans="1:4" x14ac:dyDescent="0.3">
      <c r="A20" t="s">
        <v>35</v>
      </c>
      <c r="C20" s="18">
        <v>46143</v>
      </c>
      <c r="D20">
        <v>13491.26</v>
      </c>
    </row>
    <row r="21" spans="1:4" x14ac:dyDescent="0.3">
      <c r="A21" t="s">
        <v>17</v>
      </c>
      <c r="C21" s="18">
        <v>46144</v>
      </c>
      <c r="D21">
        <v>200763.43000000025</v>
      </c>
    </row>
    <row r="22" spans="1:4" x14ac:dyDescent="0.3">
      <c r="A22" t="s">
        <v>18</v>
      </c>
      <c r="C22" s="18">
        <v>46144</v>
      </c>
      <c r="D22">
        <v>51288.029999999948</v>
      </c>
    </row>
    <row r="23" spans="1:4" x14ac:dyDescent="0.3">
      <c r="A23" t="s">
        <v>19</v>
      </c>
      <c r="C23" s="18">
        <v>46144</v>
      </c>
      <c r="D23">
        <v>1669.89</v>
      </c>
    </row>
    <row r="24" spans="1:4" x14ac:dyDescent="0.3">
      <c r="A24" t="s">
        <v>20</v>
      </c>
      <c r="C24" s="18">
        <v>46144</v>
      </c>
      <c r="D24">
        <v>589990.30000000005</v>
      </c>
    </row>
    <row r="25" spans="1:4" x14ac:dyDescent="0.3">
      <c r="A25" t="s">
        <v>21</v>
      </c>
      <c r="C25" s="18">
        <v>46144</v>
      </c>
      <c r="D25">
        <v>990387.37999999931</v>
      </c>
    </row>
    <row r="26" spans="1:4" x14ac:dyDescent="0.3">
      <c r="A26" t="s">
        <v>22</v>
      </c>
      <c r="C26" s="18">
        <v>46144</v>
      </c>
      <c r="D26">
        <v>105224.49</v>
      </c>
    </row>
    <row r="27" spans="1:4" x14ac:dyDescent="0.3">
      <c r="A27" t="s">
        <v>23</v>
      </c>
      <c r="C27" s="18">
        <v>46144</v>
      </c>
      <c r="D27">
        <v>13088.589999999997</v>
      </c>
    </row>
    <row r="28" spans="1:4" x14ac:dyDescent="0.3">
      <c r="A28" t="s">
        <v>24</v>
      </c>
      <c r="C28" s="18">
        <v>46144</v>
      </c>
      <c r="D28">
        <v>808.82999999999993</v>
      </c>
    </row>
    <row r="29" spans="1:4" x14ac:dyDescent="0.3">
      <c r="A29" t="s">
        <v>25</v>
      </c>
      <c r="C29" s="18">
        <v>46144</v>
      </c>
      <c r="D29">
        <v>114.3</v>
      </c>
    </row>
    <row r="30" spans="1:4" x14ac:dyDescent="0.3">
      <c r="A30" t="s">
        <v>26</v>
      </c>
      <c r="C30" s="18">
        <v>46144</v>
      </c>
      <c r="D30">
        <v>2267.7200000000003</v>
      </c>
    </row>
    <row r="31" spans="1:4" x14ac:dyDescent="0.3">
      <c r="A31" t="s">
        <v>27</v>
      </c>
      <c r="C31" s="18">
        <v>46144</v>
      </c>
      <c r="D31">
        <v>3364.94</v>
      </c>
    </row>
    <row r="32" spans="1:4" x14ac:dyDescent="0.3">
      <c r="A32" t="s">
        <v>28</v>
      </c>
      <c r="C32" s="18">
        <v>46144</v>
      </c>
      <c r="D32">
        <v>1968.99</v>
      </c>
    </row>
    <row r="33" spans="1:4" x14ac:dyDescent="0.3">
      <c r="A33" t="s">
        <v>29</v>
      </c>
      <c r="C33" s="18">
        <v>46144</v>
      </c>
      <c r="D33">
        <v>901.34</v>
      </c>
    </row>
    <row r="34" spans="1:4" x14ac:dyDescent="0.3">
      <c r="A34" t="s">
        <v>30</v>
      </c>
      <c r="C34" s="18">
        <v>46144</v>
      </c>
      <c r="D34">
        <v>1444.08</v>
      </c>
    </row>
    <row r="35" spans="1:4" x14ac:dyDescent="0.3">
      <c r="A35" t="s">
        <v>31</v>
      </c>
      <c r="C35" s="18">
        <v>46144</v>
      </c>
      <c r="D35">
        <v>23262.599999999962</v>
      </c>
    </row>
    <row r="36" spans="1:4" x14ac:dyDescent="0.3">
      <c r="A36" t="s">
        <v>32</v>
      </c>
      <c r="C36" s="18">
        <v>46144</v>
      </c>
      <c r="D36">
        <v>6853.9100000000017</v>
      </c>
    </row>
    <row r="37" spans="1:4" x14ac:dyDescent="0.3">
      <c r="A37" t="s">
        <v>33</v>
      </c>
      <c r="C37" s="18">
        <v>46144</v>
      </c>
      <c r="D37">
        <v>21338.39</v>
      </c>
    </row>
    <row r="38" spans="1:4" x14ac:dyDescent="0.3">
      <c r="A38" t="s">
        <v>34</v>
      </c>
      <c r="C38" s="18">
        <v>46144</v>
      </c>
      <c r="D38">
        <v>345</v>
      </c>
    </row>
    <row r="39" spans="1:4" x14ac:dyDescent="0.3">
      <c r="A39" t="s">
        <v>35</v>
      </c>
      <c r="C39" s="18">
        <v>46144</v>
      </c>
      <c r="D39">
        <v>13491.26</v>
      </c>
    </row>
    <row r="40" spans="1:4" x14ac:dyDescent="0.3">
      <c r="A40" t="s">
        <v>17</v>
      </c>
      <c r="C40" s="18">
        <v>46145</v>
      </c>
      <c r="D40">
        <v>200763.43000000025</v>
      </c>
    </row>
    <row r="41" spans="1:4" x14ac:dyDescent="0.3">
      <c r="A41" t="s">
        <v>18</v>
      </c>
      <c r="C41" s="18">
        <v>46145</v>
      </c>
      <c r="D41">
        <v>51288.029999999948</v>
      </c>
    </row>
    <row r="42" spans="1:4" x14ac:dyDescent="0.3">
      <c r="A42" t="s">
        <v>19</v>
      </c>
      <c r="C42" s="18">
        <v>46145</v>
      </c>
      <c r="D42">
        <v>1669.89</v>
      </c>
    </row>
    <row r="43" spans="1:4" x14ac:dyDescent="0.3">
      <c r="A43" t="s">
        <v>20</v>
      </c>
      <c r="C43" s="18">
        <v>46145</v>
      </c>
      <c r="D43">
        <v>589990.30000000005</v>
      </c>
    </row>
    <row r="44" spans="1:4" x14ac:dyDescent="0.3">
      <c r="A44" t="s">
        <v>21</v>
      </c>
      <c r="C44" s="18">
        <v>46145</v>
      </c>
      <c r="D44">
        <v>990387.37999999931</v>
      </c>
    </row>
    <row r="45" spans="1:4" x14ac:dyDescent="0.3">
      <c r="A45" t="s">
        <v>22</v>
      </c>
      <c r="C45" s="18">
        <v>46145</v>
      </c>
      <c r="D45">
        <v>105224.49</v>
      </c>
    </row>
    <row r="46" spans="1:4" x14ac:dyDescent="0.3">
      <c r="A46" t="s">
        <v>23</v>
      </c>
      <c r="C46" s="18">
        <v>46145</v>
      </c>
      <c r="D46">
        <v>13088.589999999997</v>
      </c>
    </row>
    <row r="47" spans="1:4" x14ac:dyDescent="0.3">
      <c r="A47" t="s">
        <v>24</v>
      </c>
      <c r="C47" s="18">
        <v>46145</v>
      </c>
      <c r="D47">
        <v>808.82999999999993</v>
      </c>
    </row>
    <row r="48" spans="1:4" x14ac:dyDescent="0.3">
      <c r="A48" t="s">
        <v>25</v>
      </c>
      <c r="C48" s="18">
        <v>46145</v>
      </c>
      <c r="D48">
        <v>114.3</v>
      </c>
    </row>
    <row r="49" spans="1:4" x14ac:dyDescent="0.3">
      <c r="A49" t="s">
        <v>26</v>
      </c>
      <c r="C49" s="18">
        <v>46145</v>
      </c>
      <c r="D49">
        <v>2267.7200000000003</v>
      </c>
    </row>
    <row r="50" spans="1:4" x14ac:dyDescent="0.3">
      <c r="A50" t="s">
        <v>27</v>
      </c>
      <c r="C50" s="18">
        <v>46145</v>
      </c>
      <c r="D50">
        <v>3364.94</v>
      </c>
    </row>
    <row r="51" spans="1:4" x14ac:dyDescent="0.3">
      <c r="A51" t="s">
        <v>28</v>
      </c>
      <c r="C51" s="18">
        <v>46145</v>
      </c>
      <c r="D51">
        <v>1968.99</v>
      </c>
    </row>
    <row r="52" spans="1:4" x14ac:dyDescent="0.3">
      <c r="A52" t="s">
        <v>29</v>
      </c>
      <c r="C52" s="18">
        <v>46145</v>
      </c>
      <c r="D52">
        <v>901.34</v>
      </c>
    </row>
    <row r="53" spans="1:4" x14ac:dyDescent="0.3">
      <c r="A53" t="s">
        <v>30</v>
      </c>
      <c r="C53" s="18">
        <v>46145</v>
      </c>
      <c r="D53">
        <v>1444.08</v>
      </c>
    </row>
    <row r="54" spans="1:4" x14ac:dyDescent="0.3">
      <c r="A54" t="s">
        <v>31</v>
      </c>
      <c r="C54" s="18">
        <v>46145</v>
      </c>
      <c r="D54">
        <v>23262.599999999962</v>
      </c>
    </row>
    <row r="55" spans="1:4" x14ac:dyDescent="0.3">
      <c r="A55" t="s">
        <v>32</v>
      </c>
      <c r="C55" s="18">
        <v>46145</v>
      </c>
      <c r="D55">
        <v>6853.9100000000017</v>
      </c>
    </row>
    <row r="56" spans="1:4" x14ac:dyDescent="0.3">
      <c r="A56" t="s">
        <v>33</v>
      </c>
      <c r="C56" s="18">
        <v>46145</v>
      </c>
      <c r="D56">
        <v>21338.39</v>
      </c>
    </row>
    <row r="57" spans="1:4" x14ac:dyDescent="0.3">
      <c r="A57" t="s">
        <v>34</v>
      </c>
      <c r="C57" s="18">
        <v>46145</v>
      </c>
      <c r="D57">
        <v>345</v>
      </c>
    </row>
    <row r="58" spans="1:4" x14ac:dyDescent="0.3">
      <c r="A58" t="s">
        <v>35</v>
      </c>
      <c r="C58" s="18">
        <v>46145</v>
      </c>
      <c r="D58">
        <v>13491.26</v>
      </c>
    </row>
    <row r="59" spans="1:4" x14ac:dyDescent="0.3">
      <c r="A59" t="s">
        <v>17</v>
      </c>
      <c r="C59" s="18">
        <v>46146</v>
      </c>
      <c r="D59">
        <v>200763.43000000025</v>
      </c>
    </row>
    <row r="60" spans="1:4" x14ac:dyDescent="0.3">
      <c r="A60" t="s">
        <v>18</v>
      </c>
      <c r="C60" s="18">
        <v>46146</v>
      </c>
      <c r="D60">
        <v>51288.029999999948</v>
      </c>
    </row>
    <row r="61" spans="1:4" x14ac:dyDescent="0.3">
      <c r="A61" t="s">
        <v>19</v>
      </c>
      <c r="C61" s="18">
        <v>46146</v>
      </c>
      <c r="D61">
        <v>1669.89</v>
      </c>
    </row>
    <row r="62" spans="1:4" x14ac:dyDescent="0.3">
      <c r="A62" t="s">
        <v>20</v>
      </c>
      <c r="C62" s="18">
        <v>46146</v>
      </c>
      <c r="D62">
        <v>589990.30000000005</v>
      </c>
    </row>
    <row r="63" spans="1:4" x14ac:dyDescent="0.3">
      <c r="A63" t="s">
        <v>21</v>
      </c>
      <c r="C63" s="18">
        <v>46146</v>
      </c>
      <c r="D63">
        <v>1790387.3799999994</v>
      </c>
    </row>
    <row r="64" spans="1:4" x14ac:dyDescent="0.3">
      <c r="A64" t="s">
        <v>22</v>
      </c>
      <c r="C64" s="18">
        <v>46146</v>
      </c>
      <c r="D64">
        <v>99224.49</v>
      </c>
    </row>
    <row r="65" spans="1:4" x14ac:dyDescent="0.3">
      <c r="A65" t="s">
        <v>23</v>
      </c>
      <c r="C65" s="18">
        <v>46146</v>
      </c>
      <c r="D65">
        <v>13088.589999999997</v>
      </c>
    </row>
    <row r="66" spans="1:4" x14ac:dyDescent="0.3">
      <c r="A66" t="s">
        <v>24</v>
      </c>
      <c r="C66" s="18">
        <v>46146</v>
      </c>
      <c r="D66">
        <v>808.82999999999993</v>
      </c>
    </row>
    <row r="67" spans="1:4" x14ac:dyDescent="0.3">
      <c r="A67" t="s">
        <v>25</v>
      </c>
      <c r="C67" s="18">
        <v>46146</v>
      </c>
      <c r="D67">
        <v>114.3</v>
      </c>
    </row>
    <row r="68" spans="1:4" x14ac:dyDescent="0.3">
      <c r="A68" t="s">
        <v>26</v>
      </c>
      <c r="C68" s="18">
        <v>46146</v>
      </c>
      <c r="D68">
        <v>2267.7200000000003</v>
      </c>
    </row>
    <row r="69" spans="1:4" x14ac:dyDescent="0.3">
      <c r="A69" t="s">
        <v>27</v>
      </c>
      <c r="C69" s="18">
        <v>46146</v>
      </c>
      <c r="D69">
        <v>3364.94</v>
      </c>
    </row>
    <row r="70" spans="1:4" x14ac:dyDescent="0.3">
      <c r="A70" t="s">
        <v>28</v>
      </c>
      <c r="C70" s="18">
        <v>46146</v>
      </c>
      <c r="D70">
        <v>1968.99</v>
      </c>
    </row>
    <row r="71" spans="1:4" x14ac:dyDescent="0.3">
      <c r="A71" t="s">
        <v>29</v>
      </c>
      <c r="C71" s="18">
        <v>46146</v>
      </c>
      <c r="D71">
        <v>901.34</v>
      </c>
    </row>
    <row r="72" spans="1:4" x14ac:dyDescent="0.3">
      <c r="A72" t="s">
        <v>30</v>
      </c>
      <c r="C72" s="18">
        <v>46146</v>
      </c>
      <c r="D72">
        <v>1444.08</v>
      </c>
    </row>
    <row r="73" spans="1:4" x14ac:dyDescent="0.3">
      <c r="A73" t="s">
        <v>31</v>
      </c>
      <c r="C73" s="18">
        <v>46146</v>
      </c>
      <c r="D73">
        <v>23247.599999999962</v>
      </c>
    </row>
    <row r="74" spans="1:4" x14ac:dyDescent="0.3">
      <c r="A74" t="s">
        <v>32</v>
      </c>
      <c r="C74" s="18">
        <v>46146</v>
      </c>
      <c r="D74">
        <v>6853.9100000000017</v>
      </c>
    </row>
    <row r="75" spans="1:4" x14ac:dyDescent="0.3">
      <c r="A75" t="s">
        <v>33</v>
      </c>
      <c r="C75" s="18">
        <v>46146</v>
      </c>
      <c r="D75">
        <v>21338.39</v>
      </c>
    </row>
    <row r="76" spans="1:4" x14ac:dyDescent="0.3">
      <c r="A76" t="s">
        <v>34</v>
      </c>
      <c r="C76" s="18">
        <v>46146</v>
      </c>
      <c r="D76">
        <v>345</v>
      </c>
    </row>
    <row r="77" spans="1:4" x14ac:dyDescent="0.3">
      <c r="A77" t="s">
        <v>35</v>
      </c>
      <c r="C77" s="18">
        <v>46146</v>
      </c>
      <c r="D77">
        <v>8782.25</v>
      </c>
    </row>
    <row r="78" spans="1:4" x14ac:dyDescent="0.3">
      <c r="A78" t="s">
        <v>17</v>
      </c>
      <c r="C78" s="18">
        <v>46147</v>
      </c>
      <c r="D78">
        <v>197763.43000000025</v>
      </c>
    </row>
    <row r="79" spans="1:4" x14ac:dyDescent="0.3">
      <c r="A79" t="s">
        <v>18</v>
      </c>
      <c r="C79" s="18">
        <v>46147</v>
      </c>
      <c r="D79">
        <v>51288.029999999948</v>
      </c>
    </row>
    <row r="80" spans="1:4" x14ac:dyDescent="0.3">
      <c r="A80" t="s">
        <v>19</v>
      </c>
      <c r="C80" s="18">
        <v>46147</v>
      </c>
      <c r="D80">
        <v>1669.89</v>
      </c>
    </row>
    <row r="81" spans="1:4" x14ac:dyDescent="0.3">
      <c r="A81" t="s">
        <v>20</v>
      </c>
      <c r="C81" s="18">
        <v>46147</v>
      </c>
      <c r="D81">
        <v>989990.29999999993</v>
      </c>
    </row>
    <row r="82" spans="1:4" x14ac:dyDescent="0.3">
      <c r="A82" t="s">
        <v>21</v>
      </c>
      <c r="C82" s="18">
        <v>46147</v>
      </c>
      <c r="D82">
        <v>1088892.0899999994</v>
      </c>
    </row>
    <row r="83" spans="1:4" x14ac:dyDescent="0.3">
      <c r="A83" t="s">
        <v>22</v>
      </c>
      <c r="C83" s="18">
        <v>46147</v>
      </c>
      <c r="D83">
        <v>84224.49</v>
      </c>
    </row>
    <row r="84" spans="1:4" x14ac:dyDescent="0.3">
      <c r="A84" t="s">
        <v>23</v>
      </c>
      <c r="C84" s="18">
        <v>46147</v>
      </c>
      <c r="D84">
        <v>813088.59</v>
      </c>
    </row>
    <row r="85" spans="1:4" x14ac:dyDescent="0.3">
      <c r="A85" t="s">
        <v>24</v>
      </c>
      <c r="C85" s="18">
        <v>46147</v>
      </c>
      <c r="D85">
        <v>3768.83</v>
      </c>
    </row>
    <row r="86" spans="1:4" x14ac:dyDescent="0.3">
      <c r="A86" t="s">
        <v>25</v>
      </c>
      <c r="C86" s="18">
        <v>46147</v>
      </c>
      <c r="D86">
        <v>114.3</v>
      </c>
    </row>
    <row r="87" spans="1:4" x14ac:dyDescent="0.3">
      <c r="A87" t="s">
        <v>26</v>
      </c>
      <c r="C87" s="18">
        <v>46147</v>
      </c>
      <c r="D87">
        <v>2267.7200000000003</v>
      </c>
    </row>
    <row r="88" spans="1:4" x14ac:dyDescent="0.3">
      <c r="A88" t="s">
        <v>27</v>
      </c>
      <c r="C88" s="18">
        <v>46147</v>
      </c>
      <c r="D88">
        <v>3364.94</v>
      </c>
    </row>
    <row r="89" spans="1:4" x14ac:dyDescent="0.3">
      <c r="A89" t="s">
        <v>28</v>
      </c>
      <c r="C89" s="18">
        <v>46147</v>
      </c>
      <c r="D89">
        <v>1968.99</v>
      </c>
    </row>
    <row r="90" spans="1:4" x14ac:dyDescent="0.3">
      <c r="A90" t="s">
        <v>29</v>
      </c>
      <c r="C90" s="18">
        <v>46147</v>
      </c>
      <c r="D90">
        <v>901.34</v>
      </c>
    </row>
    <row r="91" spans="1:4" x14ac:dyDescent="0.3">
      <c r="A91" t="s">
        <v>30</v>
      </c>
      <c r="C91" s="18">
        <v>46147</v>
      </c>
      <c r="D91">
        <v>1444.08</v>
      </c>
    </row>
    <row r="92" spans="1:4" x14ac:dyDescent="0.3">
      <c r="A92" t="s">
        <v>31</v>
      </c>
      <c r="C92" s="18">
        <v>46147</v>
      </c>
      <c r="D92">
        <v>23247.599999999962</v>
      </c>
    </row>
    <row r="93" spans="1:4" x14ac:dyDescent="0.3">
      <c r="A93" t="s">
        <v>32</v>
      </c>
      <c r="C93" s="18">
        <v>46147</v>
      </c>
      <c r="D93">
        <v>6853.9100000000017</v>
      </c>
    </row>
    <row r="94" spans="1:4" x14ac:dyDescent="0.3">
      <c r="A94" t="s">
        <v>33</v>
      </c>
      <c r="C94" s="18">
        <v>46147</v>
      </c>
      <c r="D94">
        <v>21338.39</v>
      </c>
    </row>
    <row r="95" spans="1:4" x14ac:dyDescent="0.3">
      <c r="A95" t="s">
        <v>34</v>
      </c>
      <c r="C95" s="18">
        <v>46147</v>
      </c>
      <c r="D95">
        <v>345</v>
      </c>
    </row>
    <row r="96" spans="1:4" x14ac:dyDescent="0.3">
      <c r="A96" t="s">
        <v>35</v>
      </c>
      <c r="C96" s="18">
        <v>46147</v>
      </c>
      <c r="D96">
        <v>8782.25</v>
      </c>
    </row>
    <row r="97" spans="1:4" x14ac:dyDescent="0.3">
      <c r="A97" t="s">
        <v>17</v>
      </c>
      <c r="C97" s="18">
        <v>46148</v>
      </c>
      <c r="D97">
        <v>197763.43000000025</v>
      </c>
    </row>
    <row r="98" spans="1:4" x14ac:dyDescent="0.3">
      <c r="A98" t="s">
        <v>18</v>
      </c>
      <c r="C98" s="18">
        <v>46148</v>
      </c>
      <c r="D98">
        <v>626288.02999999991</v>
      </c>
    </row>
    <row r="99" spans="1:4" x14ac:dyDescent="0.3">
      <c r="A99" t="s">
        <v>19</v>
      </c>
      <c r="C99" s="18">
        <v>46148</v>
      </c>
      <c r="D99">
        <v>1669.89</v>
      </c>
    </row>
    <row r="100" spans="1:4" x14ac:dyDescent="0.3">
      <c r="A100" t="s">
        <v>20</v>
      </c>
      <c r="C100" s="18">
        <v>46148</v>
      </c>
      <c r="D100">
        <v>989990.29999999993</v>
      </c>
    </row>
    <row r="101" spans="1:4" x14ac:dyDescent="0.3">
      <c r="A101" t="s">
        <v>21</v>
      </c>
      <c r="C101" s="18">
        <v>46148</v>
      </c>
      <c r="D101">
        <v>961212.30999999924</v>
      </c>
    </row>
    <row r="102" spans="1:4" x14ac:dyDescent="0.3">
      <c r="A102" t="s">
        <v>22</v>
      </c>
      <c r="C102" s="18">
        <v>46148</v>
      </c>
      <c r="D102">
        <v>84224.49</v>
      </c>
    </row>
    <row r="103" spans="1:4" x14ac:dyDescent="0.3">
      <c r="A103" t="s">
        <v>23</v>
      </c>
      <c r="C103" s="18">
        <v>46148</v>
      </c>
      <c r="D103">
        <v>813088.59</v>
      </c>
    </row>
    <row r="104" spans="1:4" x14ac:dyDescent="0.3">
      <c r="A104" t="s">
        <v>24</v>
      </c>
      <c r="C104" s="18">
        <v>46148</v>
      </c>
      <c r="D104">
        <v>3768.83</v>
      </c>
    </row>
    <row r="105" spans="1:4" x14ac:dyDescent="0.3">
      <c r="A105" t="s">
        <v>25</v>
      </c>
      <c r="C105" s="18">
        <v>46148</v>
      </c>
      <c r="D105">
        <v>114.3</v>
      </c>
    </row>
    <row r="106" spans="1:4" x14ac:dyDescent="0.3">
      <c r="A106" t="s">
        <v>26</v>
      </c>
      <c r="C106" s="18">
        <v>46148</v>
      </c>
      <c r="D106">
        <v>2267.7200000000003</v>
      </c>
    </row>
    <row r="107" spans="1:4" x14ac:dyDescent="0.3">
      <c r="A107" t="s">
        <v>27</v>
      </c>
      <c r="C107" s="18">
        <v>46148</v>
      </c>
      <c r="D107">
        <v>3364.94</v>
      </c>
    </row>
    <row r="108" spans="1:4" x14ac:dyDescent="0.3">
      <c r="A108" t="s">
        <v>28</v>
      </c>
      <c r="C108" s="18">
        <v>46148</v>
      </c>
      <c r="D108">
        <v>1968.99</v>
      </c>
    </row>
    <row r="109" spans="1:4" x14ac:dyDescent="0.3">
      <c r="A109" t="s">
        <v>29</v>
      </c>
      <c r="C109" s="18">
        <v>46148</v>
      </c>
      <c r="D109">
        <v>901.34</v>
      </c>
    </row>
    <row r="110" spans="1:4" x14ac:dyDescent="0.3">
      <c r="A110" t="s">
        <v>30</v>
      </c>
      <c r="C110" s="18">
        <v>46148</v>
      </c>
      <c r="D110">
        <v>1444.08</v>
      </c>
    </row>
    <row r="111" spans="1:4" x14ac:dyDescent="0.3">
      <c r="A111" t="s">
        <v>31</v>
      </c>
      <c r="C111" s="18">
        <v>46148</v>
      </c>
      <c r="D111">
        <v>23247.599999999962</v>
      </c>
    </row>
    <row r="112" spans="1:4" x14ac:dyDescent="0.3">
      <c r="A112" t="s">
        <v>32</v>
      </c>
      <c r="C112" s="18">
        <v>46148</v>
      </c>
      <c r="D112">
        <v>5135.0600000000013</v>
      </c>
    </row>
    <row r="113" spans="1:4" x14ac:dyDescent="0.3">
      <c r="A113" t="s">
        <v>33</v>
      </c>
      <c r="C113" s="18">
        <v>46148</v>
      </c>
      <c r="D113">
        <v>21338.39</v>
      </c>
    </row>
    <row r="114" spans="1:4" x14ac:dyDescent="0.3">
      <c r="A114" t="s">
        <v>34</v>
      </c>
      <c r="C114" s="18">
        <v>46148</v>
      </c>
      <c r="D114">
        <v>345</v>
      </c>
    </row>
    <row r="115" spans="1:4" x14ac:dyDescent="0.3">
      <c r="A115" t="s">
        <v>35</v>
      </c>
      <c r="C115" s="18">
        <v>46148</v>
      </c>
      <c r="D115">
        <v>8782.25</v>
      </c>
    </row>
    <row r="116" spans="1:4" x14ac:dyDescent="0.3">
      <c r="A116" t="s">
        <v>17</v>
      </c>
      <c r="C116" s="18">
        <v>46149</v>
      </c>
      <c r="D116">
        <v>447763.43000000028</v>
      </c>
    </row>
    <row r="117" spans="1:4" x14ac:dyDescent="0.3">
      <c r="A117" t="s">
        <v>18</v>
      </c>
      <c r="C117" s="18">
        <v>46149</v>
      </c>
      <c r="D117">
        <v>56288.029999999941</v>
      </c>
    </row>
    <row r="118" spans="1:4" x14ac:dyDescent="0.3">
      <c r="A118" t="s">
        <v>19</v>
      </c>
      <c r="C118" s="18">
        <v>46149</v>
      </c>
      <c r="D118">
        <v>1669.89</v>
      </c>
    </row>
    <row r="119" spans="1:4" x14ac:dyDescent="0.3">
      <c r="A119" t="s">
        <v>20</v>
      </c>
      <c r="C119" s="18">
        <v>46149</v>
      </c>
      <c r="D119">
        <v>274668.55999999994</v>
      </c>
    </row>
    <row r="120" spans="1:4" x14ac:dyDescent="0.3">
      <c r="A120" t="s">
        <v>21</v>
      </c>
      <c r="C120" s="18">
        <v>46149</v>
      </c>
      <c r="D120">
        <v>926213.13999999932</v>
      </c>
    </row>
    <row r="121" spans="1:4" x14ac:dyDescent="0.3">
      <c r="A121" t="s">
        <v>22</v>
      </c>
      <c r="C121" s="18">
        <v>46149</v>
      </c>
      <c r="D121">
        <v>84224.49</v>
      </c>
    </row>
    <row r="122" spans="1:4" x14ac:dyDescent="0.3">
      <c r="A122" t="s">
        <v>23</v>
      </c>
      <c r="C122" s="18">
        <v>46149</v>
      </c>
      <c r="D122">
        <v>1513088.59</v>
      </c>
    </row>
    <row r="123" spans="1:4" x14ac:dyDescent="0.3">
      <c r="A123" t="s">
        <v>24</v>
      </c>
      <c r="C123" s="18">
        <v>46149</v>
      </c>
      <c r="D123">
        <v>3768.83</v>
      </c>
    </row>
    <row r="124" spans="1:4" x14ac:dyDescent="0.3">
      <c r="A124" t="s">
        <v>25</v>
      </c>
      <c r="C124" s="18">
        <v>46149</v>
      </c>
      <c r="D124">
        <v>114.3</v>
      </c>
    </row>
    <row r="125" spans="1:4" x14ac:dyDescent="0.3">
      <c r="A125" t="s">
        <v>26</v>
      </c>
      <c r="C125" s="18">
        <v>46149</v>
      </c>
      <c r="D125">
        <v>2267.7200000000003</v>
      </c>
    </row>
    <row r="126" spans="1:4" x14ac:dyDescent="0.3">
      <c r="A126" t="s">
        <v>27</v>
      </c>
      <c r="C126" s="18">
        <v>46149</v>
      </c>
      <c r="D126">
        <v>3364.94</v>
      </c>
    </row>
    <row r="127" spans="1:4" x14ac:dyDescent="0.3">
      <c r="A127" t="s">
        <v>28</v>
      </c>
      <c r="C127" s="18">
        <v>46149</v>
      </c>
      <c r="D127">
        <v>1968.99</v>
      </c>
    </row>
    <row r="128" spans="1:4" x14ac:dyDescent="0.3">
      <c r="A128" t="s">
        <v>29</v>
      </c>
      <c r="C128" s="18">
        <v>46149</v>
      </c>
      <c r="D128">
        <v>901.34</v>
      </c>
    </row>
    <row r="129" spans="1:4" x14ac:dyDescent="0.3">
      <c r="A129" t="s">
        <v>30</v>
      </c>
      <c r="C129" s="18">
        <v>46149</v>
      </c>
      <c r="D129">
        <v>1444.08</v>
      </c>
    </row>
    <row r="130" spans="1:4" x14ac:dyDescent="0.3">
      <c r="A130" t="s">
        <v>31</v>
      </c>
      <c r="C130" s="18">
        <v>46149</v>
      </c>
      <c r="D130">
        <v>23247.599999999962</v>
      </c>
    </row>
    <row r="131" spans="1:4" x14ac:dyDescent="0.3">
      <c r="A131" t="s">
        <v>32</v>
      </c>
      <c r="C131" s="18">
        <v>46149</v>
      </c>
      <c r="D131">
        <v>15135.060000000001</v>
      </c>
    </row>
    <row r="132" spans="1:4" x14ac:dyDescent="0.3">
      <c r="A132" t="s">
        <v>33</v>
      </c>
      <c r="C132" s="18">
        <v>46149</v>
      </c>
      <c r="D132">
        <v>31338.39</v>
      </c>
    </row>
    <row r="133" spans="1:4" x14ac:dyDescent="0.3">
      <c r="A133" t="s">
        <v>34</v>
      </c>
      <c r="C133" s="18">
        <v>46149</v>
      </c>
      <c r="D133">
        <v>345</v>
      </c>
    </row>
    <row r="134" spans="1:4" x14ac:dyDescent="0.3">
      <c r="A134" t="s">
        <v>35</v>
      </c>
      <c r="C134" s="18">
        <v>46149</v>
      </c>
      <c r="D134">
        <v>8782.25</v>
      </c>
    </row>
    <row r="135" spans="1:4" x14ac:dyDescent="0.3">
      <c r="A135" t="s">
        <v>17</v>
      </c>
      <c r="C135" s="18">
        <v>46150</v>
      </c>
      <c r="D135">
        <v>512927.75000000023</v>
      </c>
    </row>
    <row r="136" spans="1:4" x14ac:dyDescent="0.3">
      <c r="A136" t="s">
        <v>18</v>
      </c>
      <c r="C136" s="18">
        <v>46150</v>
      </c>
      <c r="D136">
        <v>58840.089999999938</v>
      </c>
    </row>
    <row r="137" spans="1:4" x14ac:dyDescent="0.3">
      <c r="A137" t="s">
        <v>19</v>
      </c>
      <c r="C137" s="18">
        <v>46150</v>
      </c>
      <c r="D137">
        <v>1669.89</v>
      </c>
    </row>
    <row r="138" spans="1:4" x14ac:dyDescent="0.3">
      <c r="A138" t="s">
        <v>20</v>
      </c>
      <c r="C138" s="18">
        <v>46150</v>
      </c>
      <c r="D138">
        <v>792366.49999999988</v>
      </c>
    </row>
    <row r="139" spans="1:4" x14ac:dyDescent="0.3">
      <c r="A139" t="s">
        <v>21</v>
      </c>
      <c r="C139" s="18">
        <v>46150</v>
      </c>
      <c r="D139">
        <v>923830.41999999923</v>
      </c>
    </row>
    <row r="140" spans="1:4" x14ac:dyDescent="0.3">
      <c r="A140" t="s">
        <v>22</v>
      </c>
      <c r="C140" s="18">
        <v>46150</v>
      </c>
      <c r="D140">
        <v>84224.49</v>
      </c>
    </row>
    <row r="141" spans="1:4" x14ac:dyDescent="0.3">
      <c r="A141" t="s">
        <v>23</v>
      </c>
      <c r="C141" s="18">
        <v>46150</v>
      </c>
      <c r="D141">
        <v>13088.589999999997</v>
      </c>
    </row>
    <row r="142" spans="1:4" x14ac:dyDescent="0.3">
      <c r="A142" t="s">
        <v>24</v>
      </c>
      <c r="C142" s="18">
        <v>46150</v>
      </c>
      <c r="D142">
        <v>3768.83</v>
      </c>
    </row>
    <row r="143" spans="1:4" x14ac:dyDescent="0.3">
      <c r="A143" t="s">
        <v>25</v>
      </c>
      <c r="C143" s="18">
        <v>46150</v>
      </c>
      <c r="D143">
        <v>114.3</v>
      </c>
    </row>
    <row r="144" spans="1:4" x14ac:dyDescent="0.3">
      <c r="A144" t="s">
        <v>26</v>
      </c>
      <c r="C144" s="18">
        <v>46150</v>
      </c>
      <c r="D144">
        <v>2267.7200000000003</v>
      </c>
    </row>
    <row r="145" spans="1:4" x14ac:dyDescent="0.3">
      <c r="A145" t="s">
        <v>27</v>
      </c>
      <c r="C145" s="18">
        <v>46150</v>
      </c>
      <c r="D145">
        <v>3349.94</v>
      </c>
    </row>
    <row r="146" spans="1:4" x14ac:dyDescent="0.3">
      <c r="A146" t="s">
        <v>28</v>
      </c>
      <c r="C146" s="18">
        <v>46150</v>
      </c>
      <c r="D146">
        <v>1968.99</v>
      </c>
    </row>
    <row r="147" spans="1:4" x14ac:dyDescent="0.3">
      <c r="A147" t="s">
        <v>29</v>
      </c>
      <c r="C147" s="18">
        <v>46150</v>
      </c>
      <c r="D147">
        <v>901.34</v>
      </c>
    </row>
    <row r="148" spans="1:4" x14ac:dyDescent="0.3">
      <c r="A148" t="s">
        <v>30</v>
      </c>
      <c r="C148" s="18">
        <v>46150</v>
      </c>
      <c r="D148">
        <v>1444.08</v>
      </c>
    </row>
    <row r="149" spans="1:4" x14ac:dyDescent="0.3">
      <c r="A149" t="s">
        <v>31</v>
      </c>
      <c r="C149" s="18">
        <v>46150</v>
      </c>
      <c r="D149">
        <v>20592.599999999962</v>
      </c>
    </row>
    <row r="150" spans="1:4" x14ac:dyDescent="0.3">
      <c r="A150" t="s">
        <v>32</v>
      </c>
      <c r="C150" s="18">
        <v>46150</v>
      </c>
      <c r="D150">
        <v>15120.060000000001</v>
      </c>
    </row>
    <row r="151" spans="1:4" x14ac:dyDescent="0.3">
      <c r="A151" t="s">
        <v>33</v>
      </c>
      <c r="C151" s="18">
        <v>46150</v>
      </c>
      <c r="D151">
        <v>31323.39</v>
      </c>
    </row>
    <row r="152" spans="1:4" x14ac:dyDescent="0.3">
      <c r="A152" t="s">
        <v>34</v>
      </c>
      <c r="C152" s="18">
        <v>46150</v>
      </c>
      <c r="D152">
        <v>345</v>
      </c>
    </row>
    <row r="153" spans="1:4" x14ac:dyDescent="0.3">
      <c r="A153" t="s">
        <v>35</v>
      </c>
      <c r="C153" s="18">
        <v>46150</v>
      </c>
      <c r="D153">
        <v>23782.25</v>
      </c>
    </row>
    <row r="154" spans="1:4" x14ac:dyDescent="0.3">
      <c r="A154" t="s">
        <v>17</v>
      </c>
      <c r="C154" s="18">
        <v>46151</v>
      </c>
      <c r="D154">
        <v>512927.75000000023</v>
      </c>
    </row>
    <row r="155" spans="1:4" x14ac:dyDescent="0.3">
      <c r="A155" t="s">
        <v>18</v>
      </c>
      <c r="C155" s="18">
        <v>46151</v>
      </c>
      <c r="D155">
        <v>58840.089999999938</v>
      </c>
    </row>
    <row r="156" spans="1:4" x14ac:dyDescent="0.3">
      <c r="A156" t="s">
        <v>19</v>
      </c>
      <c r="C156" s="18">
        <v>46151</v>
      </c>
      <c r="D156">
        <v>1669.89</v>
      </c>
    </row>
    <row r="157" spans="1:4" x14ac:dyDescent="0.3">
      <c r="A157" t="s">
        <v>20</v>
      </c>
      <c r="C157" s="18">
        <v>46151</v>
      </c>
      <c r="D157">
        <v>792366.49999999988</v>
      </c>
    </row>
    <row r="158" spans="1:4" x14ac:dyDescent="0.3">
      <c r="A158" t="s">
        <v>21</v>
      </c>
      <c r="C158" s="18">
        <v>46151</v>
      </c>
      <c r="D158">
        <v>923830.41999999923</v>
      </c>
    </row>
    <row r="159" spans="1:4" x14ac:dyDescent="0.3">
      <c r="A159" t="s">
        <v>22</v>
      </c>
      <c r="C159" s="18">
        <v>46151</v>
      </c>
      <c r="D159">
        <v>84224.49</v>
      </c>
    </row>
    <row r="160" spans="1:4" x14ac:dyDescent="0.3">
      <c r="A160" t="s">
        <v>23</v>
      </c>
      <c r="C160" s="18">
        <v>46151</v>
      </c>
      <c r="D160">
        <v>13088.589999999997</v>
      </c>
    </row>
    <row r="161" spans="1:4" x14ac:dyDescent="0.3">
      <c r="A161" t="s">
        <v>24</v>
      </c>
      <c r="C161" s="18">
        <v>46151</v>
      </c>
      <c r="D161">
        <v>3768.83</v>
      </c>
    </row>
    <row r="162" spans="1:4" x14ac:dyDescent="0.3">
      <c r="A162" t="s">
        <v>25</v>
      </c>
      <c r="C162" s="18">
        <v>46151</v>
      </c>
      <c r="D162">
        <v>114.3</v>
      </c>
    </row>
    <row r="163" spans="1:4" x14ac:dyDescent="0.3">
      <c r="A163" t="s">
        <v>26</v>
      </c>
      <c r="C163" s="18">
        <v>46151</v>
      </c>
      <c r="D163">
        <v>2267.7200000000003</v>
      </c>
    </row>
    <row r="164" spans="1:4" x14ac:dyDescent="0.3">
      <c r="A164" t="s">
        <v>27</v>
      </c>
      <c r="C164" s="18">
        <v>46151</v>
      </c>
      <c r="D164">
        <v>3349.94</v>
      </c>
    </row>
    <row r="165" spans="1:4" x14ac:dyDescent="0.3">
      <c r="A165" t="s">
        <v>28</v>
      </c>
      <c r="C165" s="18">
        <v>46151</v>
      </c>
      <c r="D165">
        <v>1968.99</v>
      </c>
    </row>
    <row r="166" spans="1:4" x14ac:dyDescent="0.3">
      <c r="A166" t="s">
        <v>29</v>
      </c>
      <c r="C166" s="18">
        <v>46151</v>
      </c>
      <c r="D166">
        <v>901.34</v>
      </c>
    </row>
    <row r="167" spans="1:4" x14ac:dyDescent="0.3">
      <c r="A167" t="s">
        <v>30</v>
      </c>
      <c r="C167" s="18">
        <v>46151</v>
      </c>
      <c r="D167">
        <v>1444.08</v>
      </c>
    </row>
    <row r="168" spans="1:4" x14ac:dyDescent="0.3">
      <c r="A168" t="s">
        <v>31</v>
      </c>
      <c r="C168" s="18">
        <v>46151</v>
      </c>
      <c r="D168">
        <v>20592.599999999962</v>
      </c>
    </row>
    <row r="169" spans="1:4" x14ac:dyDescent="0.3">
      <c r="A169" t="s">
        <v>32</v>
      </c>
      <c r="C169" s="18">
        <v>46151</v>
      </c>
      <c r="D169">
        <v>15120.060000000001</v>
      </c>
    </row>
    <row r="170" spans="1:4" x14ac:dyDescent="0.3">
      <c r="A170" t="s">
        <v>33</v>
      </c>
      <c r="C170" s="18">
        <v>46151</v>
      </c>
      <c r="D170">
        <v>31323.39</v>
      </c>
    </row>
    <row r="171" spans="1:4" x14ac:dyDescent="0.3">
      <c r="A171" t="s">
        <v>34</v>
      </c>
      <c r="C171" s="18">
        <v>46151</v>
      </c>
      <c r="D171">
        <v>345</v>
      </c>
    </row>
    <row r="172" spans="1:4" x14ac:dyDescent="0.3">
      <c r="A172" t="s">
        <v>35</v>
      </c>
      <c r="C172" s="18">
        <v>46151</v>
      </c>
      <c r="D172">
        <v>23782.25</v>
      </c>
    </row>
    <row r="173" spans="1:4" x14ac:dyDescent="0.3">
      <c r="A173" t="s">
        <v>17</v>
      </c>
      <c r="C173" s="18">
        <v>46152</v>
      </c>
      <c r="D173">
        <v>512927.75000000023</v>
      </c>
    </row>
    <row r="174" spans="1:4" x14ac:dyDescent="0.3">
      <c r="A174" t="s">
        <v>18</v>
      </c>
      <c r="C174" s="18">
        <v>46152</v>
      </c>
      <c r="D174">
        <v>58840.089999999938</v>
      </c>
    </row>
    <row r="175" spans="1:4" x14ac:dyDescent="0.3">
      <c r="A175" t="s">
        <v>19</v>
      </c>
      <c r="C175" s="18">
        <v>46152</v>
      </c>
      <c r="D175">
        <v>1669.89</v>
      </c>
    </row>
    <row r="176" spans="1:4" x14ac:dyDescent="0.3">
      <c r="A176" t="s">
        <v>20</v>
      </c>
      <c r="C176" s="18">
        <v>46152</v>
      </c>
      <c r="D176">
        <v>792366.49999999988</v>
      </c>
    </row>
    <row r="177" spans="1:4" x14ac:dyDescent="0.3">
      <c r="A177" t="s">
        <v>21</v>
      </c>
      <c r="C177" s="18">
        <v>46152</v>
      </c>
      <c r="D177">
        <v>923830.41999999923</v>
      </c>
    </row>
    <row r="178" spans="1:4" x14ac:dyDescent="0.3">
      <c r="A178" t="s">
        <v>22</v>
      </c>
      <c r="C178" s="18">
        <v>46152</v>
      </c>
      <c r="D178">
        <v>84224.49</v>
      </c>
    </row>
    <row r="179" spans="1:4" x14ac:dyDescent="0.3">
      <c r="A179" t="s">
        <v>23</v>
      </c>
      <c r="C179" s="18">
        <v>46152</v>
      </c>
      <c r="D179">
        <v>13088.589999999997</v>
      </c>
    </row>
    <row r="180" spans="1:4" x14ac:dyDescent="0.3">
      <c r="A180" t="s">
        <v>24</v>
      </c>
      <c r="C180" s="18">
        <v>46152</v>
      </c>
      <c r="D180">
        <v>3768.83</v>
      </c>
    </row>
    <row r="181" spans="1:4" x14ac:dyDescent="0.3">
      <c r="A181" t="s">
        <v>25</v>
      </c>
      <c r="C181" s="18">
        <v>46152</v>
      </c>
      <c r="D181">
        <v>114.3</v>
      </c>
    </row>
    <row r="182" spans="1:4" x14ac:dyDescent="0.3">
      <c r="A182" t="s">
        <v>26</v>
      </c>
      <c r="C182" s="18">
        <v>46152</v>
      </c>
      <c r="D182">
        <v>2267.7200000000003</v>
      </c>
    </row>
    <row r="183" spans="1:4" x14ac:dyDescent="0.3">
      <c r="A183" t="s">
        <v>27</v>
      </c>
      <c r="C183" s="18">
        <v>46152</v>
      </c>
      <c r="D183">
        <v>3349.94</v>
      </c>
    </row>
    <row r="184" spans="1:4" x14ac:dyDescent="0.3">
      <c r="A184" t="s">
        <v>28</v>
      </c>
      <c r="C184" s="18">
        <v>46152</v>
      </c>
      <c r="D184">
        <v>1968.99</v>
      </c>
    </row>
    <row r="185" spans="1:4" x14ac:dyDescent="0.3">
      <c r="A185" t="s">
        <v>29</v>
      </c>
      <c r="C185" s="18">
        <v>46152</v>
      </c>
      <c r="D185">
        <v>901.34</v>
      </c>
    </row>
    <row r="186" spans="1:4" x14ac:dyDescent="0.3">
      <c r="A186" t="s">
        <v>30</v>
      </c>
      <c r="C186" s="18">
        <v>46152</v>
      </c>
      <c r="D186">
        <v>1444.08</v>
      </c>
    </row>
    <row r="187" spans="1:4" x14ac:dyDescent="0.3">
      <c r="A187" t="s">
        <v>31</v>
      </c>
      <c r="C187" s="18">
        <v>46152</v>
      </c>
      <c r="D187">
        <v>20592.599999999962</v>
      </c>
    </row>
    <row r="188" spans="1:4" x14ac:dyDescent="0.3">
      <c r="A188" t="s">
        <v>32</v>
      </c>
      <c r="C188" s="18">
        <v>46152</v>
      </c>
      <c r="D188">
        <v>15120.060000000001</v>
      </c>
    </row>
    <row r="189" spans="1:4" x14ac:dyDescent="0.3">
      <c r="A189" t="s">
        <v>33</v>
      </c>
      <c r="C189" s="18">
        <v>46152</v>
      </c>
      <c r="D189">
        <v>31323.39</v>
      </c>
    </row>
    <row r="190" spans="1:4" x14ac:dyDescent="0.3">
      <c r="A190" t="s">
        <v>34</v>
      </c>
      <c r="C190" s="18">
        <v>46152</v>
      </c>
      <c r="D190">
        <v>345</v>
      </c>
    </row>
    <row r="191" spans="1:4" x14ac:dyDescent="0.3">
      <c r="A191" t="s">
        <v>35</v>
      </c>
      <c r="C191" s="18">
        <v>46152</v>
      </c>
      <c r="D191">
        <v>23782.25</v>
      </c>
    </row>
    <row r="192" spans="1:4" x14ac:dyDescent="0.3">
      <c r="A192" t="s">
        <v>17</v>
      </c>
      <c r="C192" s="18">
        <v>46153</v>
      </c>
      <c r="D192">
        <v>512927.75000000023</v>
      </c>
    </row>
    <row r="193" spans="1:4" x14ac:dyDescent="0.3">
      <c r="A193" t="s">
        <v>18</v>
      </c>
      <c r="C193" s="18">
        <v>46153</v>
      </c>
      <c r="D193">
        <v>58840.089999999938</v>
      </c>
    </row>
    <row r="194" spans="1:4" x14ac:dyDescent="0.3">
      <c r="A194" t="s">
        <v>19</v>
      </c>
      <c r="C194" s="18">
        <v>46153</v>
      </c>
      <c r="D194">
        <v>1669.89</v>
      </c>
    </row>
    <row r="195" spans="1:4" x14ac:dyDescent="0.3">
      <c r="A195" t="s">
        <v>20</v>
      </c>
      <c r="C195" s="18">
        <v>46153</v>
      </c>
      <c r="D195">
        <v>1368366.5</v>
      </c>
    </row>
    <row r="196" spans="1:4" x14ac:dyDescent="0.3">
      <c r="A196" t="s">
        <v>21</v>
      </c>
      <c r="C196" s="18">
        <v>46153</v>
      </c>
      <c r="D196">
        <v>1162513.7699999993</v>
      </c>
    </row>
    <row r="197" spans="1:4" x14ac:dyDescent="0.3">
      <c r="A197" t="s">
        <v>22</v>
      </c>
      <c r="C197" s="18">
        <v>46153</v>
      </c>
      <c r="D197">
        <v>84224.49</v>
      </c>
    </row>
    <row r="198" spans="1:4" x14ac:dyDescent="0.3">
      <c r="A198" t="s">
        <v>23</v>
      </c>
      <c r="C198" s="18">
        <v>46153</v>
      </c>
      <c r="D198">
        <v>13088.589999999997</v>
      </c>
    </row>
    <row r="199" spans="1:4" x14ac:dyDescent="0.3">
      <c r="A199" t="s">
        <v>24</v>
      </c>
      <c r="C199" s="18">
        <v>46153</v>
      </c>
      <c r="D199">
        <v>3768.83</v>
      </c>
    </row>
    <row r="200" spans="1:4" x14ac:dyDescent="0.3">
      <c r="A200" t="s">
        <v>25</v>
      </c>
      <c r="C200" s="18">
        <v>46153</v>
      </c>
      <c r="D200">
        <v>114.3</v>
      </c>
    </row>
    <row r="201" spans="1:4" x14ac:dyDescent="0.3">
      <c r="A201" t="s">
        <v>26</v>
      </c>
      <c r="C201" s="18">
        <v>46153</v>
      </c>
      <c r="D201">
        <v>2267.7200000000003</v>
      </c>
    </row>
    <row r="202" spans="1:4" x14ac:dyDescent="0.3">
      <c r="A202" t="s">
        <v>27</v>
      </c>
      <c r="C202" s="18">
        <v>46153</v>
      </c>
      <c r="D202">
        <v>3349.94</v>
      </c>
    </row>
    <row r="203" spans="1:4" x14ac:dyDescent="0.3">
      <c r="A203" t="s">
        <v>28</v>
      </c>
      <c r="C203" s="18">
        <v>46153</v>
      </c>
      <c r="D203">
        <v>1968.99</v>
      </c>
    </row>
    <row r="204" spans="1:4" x14ac:dyDescent="0.3">
      <c r="A204" t="s">
        <v>29</v>
      </c>
      <c r="C204" s="18">
        <v>46153</v>
      </c>
      <c r="D204">
        <v>901.34</v>
      </c>
    </row>
    <row r="205" spans="1:4" x14ac:dyDescent="0.3">
      <c r="A205" t="s">
        <v>30</v>
      </c>
      <c r="C205" s="18">
        <v>46153</v>
      </c>
      <c r="D205">
        <v>1444.08</v>
      </c>
    </row>
    <row r="206" spans="1:4" x14ac:dyDescent="0.3">
      <c r="A206" t="s">
        <v>31</v>
      </c>
      <c r="C206" s="18">
        <v>46153</v>
      </c>
      <c r="D206">
        <v>19092.599999999962</v>
      </c>
    </row>
    <row r="207" spans="1:4" x14ac:dyDescent="0.3">
      <c r="A207" t="s">
        <v>32</v>
      </c>
      <c r="C207" s="18">
        <v>46153</v>
      </c>
      <c r="D207">
        <v>15120.060000000001</v>
      </c>
    </row>
    <row r="208" spans="1:4" x14ac:dyDescent="0.3">
      <c r="A208" t="s">
        <v>33</v>
      </c>
      <c r="C208" s="18">
        <v>46153</v>
      </c>
      <c r="D208">
        <v>31323.39</v>
      </c>
    </row>
    <row r="209" spans="1:4" x14ac:dyDescent="0.3">
      <c r="A209" t="s">
        <v>34</v>
      </c>
      <c r="C209" s="18">
        <v>46153</v>
      </c>
      <c r="D209">
        <v>345</v>
      </c>
    </row>
    <row r="210" spans="1:4" x14ac:dyDescent="0.3">
      <c r="A210" t="s">
        <v>35</v>
      </c>
      <c r="C210" s="18">
        <v>46153</v>
      </c>
      <c r="D210">
        <v>16956.59</v>
      </c>
    </row>
    <row r="211" spans="1:4" x14ac:dyDescent="0.3">
      <c r="A211" t="s">
        <v>17</v>
      </c>
      <c r="C211" s="18">
        <v>46154</v>
      </c>
      <c r="D211">
        <v>606714.4700000002</v>
      </c>
    </row>
    <row r="212" spans="1:4" x14ac:dyDescent="0.3">
      <c r="A212" t="s">
        <v>18</v>
      </c>
      <c r="C212" s="18">
        <v>46154</v>
      </c>
      <c r="D212">
        <v>58840.089999999938</v>
      </c>
    </row>
    <row r="213" spans="1:4" x14ac:dyDescent="0.3">
      <c r="A213" t="s">
        <v>19</v>
      </c>
      <c r="C213" s="18">
        <v>46154</v>
      </c>
      <c r="D213">
        <v>1669.89</v>
      </c>
    </row>
    <row r="214" spans="1:4" x14ac:dyDescent="0.3">
      <c r="A214" t="s">
        <v>20</v>
      </c>
      <c r="C214" s="18">
        <v>46154</v>
      </c>
      <c r="D214">
        <v>1226185.8999999999</v>
      </c>
    </row>
    <row r="215" spans="1:4" x14ac:dyDescent="0.3">
      <c r="A215" t="s">
        <v>21</v>
      </c>
      <c r="C215" s="18">
        <v>46154</v>
      </c>
      <c r="D215">
        <v>1162404.8599999992</v>
      </c>
    </row>
    <row r="216" spans="1:4" x14ac:dyDescent="0.3">
      <c r="A216" t="s">
        <v>22</v>
      </c>
      <c r="C216" s="18">
        <v>46154</v>
      </c>
      <c r="D216">
        <v>84224.49</v>
      </c>
    </row>
    <row r="217" spans="1:4" x14ac:dyDescent="0.3">
      <c r="A217" t="s">
        <v>23</v>
      </c>
      <c r="C217" s="18">
        <v>46154</v>
      </c>
      <c r="D217">
        <v>13088.589999999997</v>
      </c>
    </row>
    <row r="218" spans="1:4" x14ac:dyDescent="0.3">
      <c r="A218" t="s">
        <v>24</v>
      </c>
      <c r="C218" s="18">
        <v>46154</v>
      </c>
      <c r="D218">
        <v>3768.83</v>
      </c>
    </row>
    <row r="219" spans="1:4" x14ac:dyDescent="0.3">
      <c r="A219" t="s">
        <v>25</v>
      </c>
      <c r="C219" s="18">
        <v>46154</v>
      </c>
      <c r="D219">
        <v>114.3</v>
      </c>
    </row>
    <row r="220" spans="1:4" x14ac:dyDescent="0.3">
      <c r="A220" t="s">
        <v>26</v>
      </c>
      <c r="C220" s="18">
        <v>46154</v>
      </c>
      <c r="D220">
        <v>2267.7200000000003</v>
      </c>
    </row>
    <row r="221" spans="1:4" x14ac:dyDescent="0.3">
      <c r="A221" t="s">
        <v>27</v>
      </c>
      <c r="C221" s="18">
        <v>46154</v>
      </c>
      <c r="D221">
        <v>3349.94</v>
      </c>
    </row>
    <row r="222" spans="1:4" x14ac:dyDescent="0.3">
      <c r="A222" t="s">
        <v>28</v>
      </c>
      <c r="C222" s="18">
        <v>46154</v>
      </c>
      <c r="D222">
        <v>1968.99</v>
      </c>
    </row>
    <row r="223" spans="1:4" x14ac:dyDescent="0.3">
      <c r="A223" t="s">
        <v>29</v>
      </c>
      <c r="C223" s="18">
        <v>46154</v>
      </c>
      <c r="D223">
        <v>901.34</v>
      </c>
    </row>
    <row r="224" spans="1:4" x14ac:dyDescent="0.3">
      <c r="A224" t="s">
        <v>30</v>
      </c>
      <c r="C224" s="18">
        <v>46154</v>
      </c>
      <c r="D224">
        <v>1444.08</v>
      </c>
    </row>
    <row r="225" spans="1:4" x14ac:dyDescent="0.3">
      <c r="A225" t="s">
        <v>31</v>
      </c>
      <c r="C225" s="18">
        <v>46154</v>
      </c>
      <c r="D225">
        <v>19092.599999999962</v>
      </c>
    </row>
    <row r="226" spans="1:4" x14ac:dyDescent="0.3">
      <c r="A226" t="s">
        <v>32</v>
      </c>
      <c r="C226" s="18">
        <v>46154</v>
      </c>
      <c r="D226">
        <v>15120.060000000001</v>
      </c>
    </row>
    <row r="227" spans="1:4" x14ac:dyDescent="0.3">
      <c r="A227" t="s">
        <v>33</v>
      </c>
      <c r="C227" s="18">
        <v>46154</v>
      </c>
      <c r="D227">
        <v>31323.39</v>
      </c>
    </row>
    <row r="228" spans="1:4" x14ac:dyDescent="0.3">
      <c r="A228" t="s">
        <v>34</v>
      </c>
      <c r="C228" s="18">
        <v>46154</v>
      </c>
      <c r="D228">
        <v>345</v>
      </c>
    </row>
    <row r="229" spans="1:4" x14ac:dyDescent="0.3">
      <c r="A229" t="s">
        <v>35</v>
      </c>
      <c r="C229" s="18">
        <v>46154</v>
      </c>
      <c r="D229">
        <v>16741.59</v>
      </c>
    </row>
    <row r="230" spans="1:4" x14ac:dyDescent="0.3">
      <c r="A230" t="s">
        <v>17</v>
      </c>
      <c r="C230" s="18">
        <v>46155</v>
      </c>
      <c r="D230">
        <v>606714.4700000002</v>
      </c>
    </row>
    <row r="231" spans="1:4" x14ac:dyDescent="0.3">
      <c r="A231" t="s">
        <v>18</v>
      </c>
      <c r="C231" s="18">
        <v>46155</v>
      </c>
      <c r="D231">
        <v>58840.089999999938</v>
      </c>
    </row>
    <row r="232" spans="1:4" x14ac:dyDescent="0.3">
      <c r="A232" t="s">
        <v>19</v>
      </c>
      <c r="C232" s="18">
        <v>46155</v>
      </c>
      <c r="D232">
        <v>1669.89</v>
      </c>
    </row>
    <row r="233" spans="1:4" x14ac:dyDescent="0.3">
      <c r="A233" t="s">
        <v>20</v>
      </c>
      <c r="C233" s="18">
        <v>46155</v>
      </c>
      <c r="D233">
        <v>1242679.67</v>
      </c>
    </row>
    <row r="234" spans="1:4" x14ac:dyDescent="0.3">
      <c r="A234" t="s">
        <v>21</v>
      </c>
      <c r="C234" s="18">
        <v>46155</v>
      </c>
      <c r="D234">
        <v>1162404.8599999992</v>
      </c>
    </row>
    <row r="235" spans="1:4" x14ac:dyDescent="0.3">
      <c r="A235" t="s">
        <v>22</v>
      </c>
      <c r="C235" s="18">
        <v>46155</v>
      </c>
      <c r="D235">
        <v>84224.49</v>
      </c>
    </row>
    <row r="236" spans="1:4" x14ac:dyDescent="0.3">
      <c r="A236" t="s">
        <v>23</v>
      </c>
      <c r="C236" s="18">
        <v>46155</v>
      </c>
      <c r="D236">
        <v>13090.369999999997</v>
      </c>
    </row>
    <row r="237" spans="1:4" x14ac:dyDescent="0.3">
      <c r="A237" t="s">
        <v>24</v>
      </c>
      <c r="C237" s="18">
        <v>46155</v>
      </c>
      <c r="D237">
        <v>2498.3999999999996</v>
      </c>
    </row>
    <row r="238" spans="1:4" x14ac:dyDescent="0.3">
      <c r="A238" t="s">
        <v>25</v>
      </c>
      <c r="C238" s="18">
        <v>46155</v>
      </c>
      <c r="D238">
        <v>114.3</v>
      </c>
    </row>
    <row r="239" spans="1:4" x14ac:dyDescent="0.3">
      <c r="A239" t="s">
        <v>26</v>
      </c>
      <c r="C239" s="18">
        <v>46155</v>
      </c>
      <c r="D239">
        <v>2267.7200000000003</v>
      </c>
    </row>
    <row r="240" spans="1:4" x14ac:dyDescent="0.3">
      <c r="A240" t="s">
        <v>27</v>
      </c>
      <c r="C240" s="18">
        <v>46155</v>
      </c>
      <c r="D240">
        <v>3349.94</v>
      </c>
    </row>
    <row r="241" spans="1:4" x14ac:dyDescent="0.3">
      <c r="A241" t="s">
        <v>28</v>
      </c>
      <c r="C241" s="18">
        <v>46155</v>
      </c>
      <c r="D241">
        <v>1968.99</v>
      </c>
    </row>
    <row r="242" spans="1:4" x14ac:dyDescent="0.3">
      <c r="A242" t="s">
        <v>29</v>
      </c>
      <c r="C242" s="18">
        <v>46155</v>
      </c>
      <c r="D242">
        <v>901.34</v>
      </c>
    </row>
    <row r="243" spans="1:4" x14ac:dyDescent="0.3">
      <c r="A243" t="s">
        <v>30</v>
      </c>
      <c r="C243" s="18">
        <v>46155</v>
      </c>
      <c r="D243">
        <v>1444.08</v>
      </c>
    </row>
    <row r="244" spans="1:4" x14ac:dyDescent="0.3">
      <c r="A244" t="s">
        <v>31</v>
      </c>
      <c r="C244" s="18">
        <v>46155</v>
      </c>
      <c r="D244">
        <v>18242.599999999962</v>
      </c>
    </row>
    <row r="245" spans="1:4" x14ac:dyDescent="0.3">
      <c r="A245" t="s">
        <v>32</v>
      </c>
      <c r="C245" s="18">
        <v>46155</v>
      </c>
      <c r="D245">
        <v>15120.060000000001</v>
      </c>
    </row>
    <row r="246" spans="1:4" x14ac:dyDescent="0.3">
      <c r="A246" t="s">
        <v>33</v>
      </c>
      <c r="C246" s="18">
        <v>46155</v>
      </c>
      <c r="D246">
        <v>31323.39</v>
      </c>
    </row>
    <row r="247" spans="1:4" x14ac:dyDescent="0.3">
      <c r="A247" t="s">
        <v>34</v>
      </c>
      <c r="C247" s="18">
        <v>46155</v>
      </c>
      <c r="D247">
        <v>345</v>
      </c>
    </row>
    <row r="248" spans="1:4" x14ac:dyDescent="0.3">
      <c r="A248" t="s">
        <v>35</v>
      </c>
      <c r="C248" s="18">
        <v>46155</v>
      </c>
      <c r="D248">
        <v>16741.59</v>
      </c>
    </row>
    <row r="249" spans="1:4" x14ac:dyDescent="0.3">
      <c r="A249" t="s">
        <v>17</v>
      </c>
      <c r="C249" s="18">
        <v>46156</v>
      </c>
      <c r="D249">
        <v>165752.81000000023</v>
      </c>
    </row>
    <row r="250" spans="1:4" x14ac:dyDescent="0.3">
      <c r="A250" t="s">
        <v>18</v>
      </c>
      <c r="C250" s="18">
        <v>46156</v>
      </c>
      <c r="D250">
        <v>59760.159999999938</v>
      </c>
    </row>
    <row r="251" spans="1:4" x14ac:dyDescent="0.3">
      <c r="A251" t="s">
        <v>19</v>
      </c>
      <c r="C251" s="18">
        <v>46156</v>
      </c>
      <c r="D251">
        <v>1669.89</v>
      </c>
    </row>
    <row r="252" spans="1:4" x14ac:dyDescent="0.3">
      <c r="A252" t="s">
        <v>20</v>
      </c>
      <c r="C252" s="18">
        <v>46156</v>
      </c>
      <c r="D252">
        <v>832679.66999999981</v>
      </c>
    </row>
    <row r="253" spans="1:4" x14ac:dyDescent="0.3">
      <c r="A253" t="s">
        <v>21</v>
      </c>
      <c r="C253" s="18">
        <v>46156</v>
      </c>
      <c r="D253">
        <v>952193.18999999925</v>
      </c>
    </row>
    <row r="254" spans="1:4" x14ac:dyDescent="0.3">
      <c r="A254" t="s">
        <v>22</v>
      </c>
      <c r="C254" s="18">
        <v>46156</v>
      </c>
      <c r="D254">
        <v>84224.49</v>
      </c>
    </row>
    <row r="255" spans="1:4" x14ac:dyDescent="0.3">
      <c r="A255" t="s">
        <v>23</v>
      </c>
      <c r="C255" s="18">
        <v>46156</v>
      </c>
      <c r="D255">
        <v>13090.369999999997</v>
      </c>
    </row>
    <row r="256" spans="1:4" x14ac:dyDescent="0.3">
      <c r="A256" t="s">
        <v>24</v>
      </c>
      <c r="C256" s="18">
        <v>46156</v>
      </c>
      <c r="D256">
        <v>2498.3999999999996</v>
      </c>
    </row>
    <row r="257" spans="1:4" x14ac:dyDescent="0.3">
      <c r="A257" t="s">
        <v>25</v>
      </c>
      <c r="C257" s="18">
        <v>46156</v>
      </c>
      <c r="D257">
        <v>114.3</v>
      </c>
    </row>
    <row r="258" spans="1:4" x14ac:dyDescent="0.3">
      <c r="A258" t="s">
        <v>26</v>
      </c>
      <c r="C258" s="18">
        <v>46156</v>
      </c>
      <c r="D258">
        <v>2267.7200000000003</v>
      </c>
    </row>
    <row r="259" spans="1:4" x14ac:dyDescent="0.3">
      <c r="A259" t="s">
        <v>27</v>
      </c>
      <c r="C259" s="18">
        <v>46156</v>
      </c>
      <c r="D259">
        <v>3349.94</v>
      </c>
    </row>
    <row r="260" spans="1:4" x14ac:dyDescent="0.3">
      <c r="A260" t="s">
        <v>28</v>
      </c>
      <c r="C260" s="18">
        <v>46156</v>
      </c>
      <c r="D260">
        <v>1968.99</v>
      </c>
    </row>
    <row r="261" spans="1:4" x14ac:dyDescent="0.3">
      <c r="A261" t="s">
        <v>29</v>
      </c>
      <c r="C261" s="18">
        <v>46156</v>
      </c>
      <c r="D261">
        <v>901.34</v>
      </c>
    </row>
    <row r="262" spans="1:4" x14ac:dyDescent="0.3">
      <c r="A262" t="s">
        <v>30</v>
      </c>
      <c r="C262" s="18">
        <v>46156</v>
      </c>
      <c r="D262">
        <v>1444.08</v>
      </c>
    </row>
    <row r="263" spans="1:4" x14ac:dyDescent="0.3">
      <c r="A263" t="s">
        <v>31</v>
      </c>
      <c r="C263" s="18">
        <v>46156</v>
      </c>
      <c r="D263">
        <v>18242.599999999962</v>
      </c>
    </row>
    <row r="264" spans="1:4" x14ac:dyDescent="0.3">
      <c r="A264" t="s">
        <v>32</v>
      </c>
      <c r="C264" s="18">
        <v>46156</v>
      </c>
      <c r="D264">
        <v>15120.060000000001</v>
      </c>
    </row>
    <row r="265" spans="1:4" x14ac:dyDescent="0.3">
      <c r="A265" t="s">
        <v>33</v>
      </c>
      <c r="C265" s="18">
        <v>46156</v>
      </c>
      <c r="D265">
        <v>31323.39</v>
      </c>
    </row>
    <row r="266" spans="1:4" x14ac:dyDescent="0.3">
      <c r="A266" t="s">
        <v>34</v>
      </c>
      <c r="C266" s="18">
        <v>46156</v>
      </c>
      <c r="D266">
        <v>345</v>
      </c>
    </row>
    <row r="267" spans="1:4" x14ac:dyDescent="0.3">
      <c r="A267" t="s">
        <v>35</v>
      </c>
      <c r="C267" s="18">
        <v>46156</v>
      </c>
      <c r="D267">
        <v>14226.59</v>
      </c>
    </row>
    <row r="268" spans="1:4" x14ac:dyDescent="0.3">
      <c r="A268" t="s">
        <v>17</v>
      </c>
      <c r="C268" s="18">
        <v>46157</v>
      </c>
      <c r="D268">
        <v>165752.81000000023</v>
      </c>
    </row>
    <row r="269" spans="1:4" x14ac:dyDescent="0.3">
      <c r="A269" t="s">
        <v>18</v>
      </c>
      <c r="C269" s="18">
        <v>46157</v>
      </c>
      <c r="D269">
        <v>59760.159999999938</v>
      </c>
    </row>
    <row r="270" spans="1:4" x14ac:dyDescent="0.3">
      <c r="A270" t="s">
        <v>19</v>
      </c>
      <c r="C270" s="18">
        <v>46157</v>
      </c>
      <c r="D270">
        <v>1669.89</v>
      </c>
    </row>
    <row r="271" spans="1:4" x14ac:dyDescent="0.3">
      <c r="A271" t="s">
        <v>20</v>
      </c>
      <c r="C271" s="18">
        <v>46157</v>
      </c>
      <c r="D271">
        <v>832076.20999999985</v>
      </c>
    </row>
    <row r="272" spans="1:4" x14ac:dyDescent="0.3">
      <c r="A272" t="s">
        <v>21</v>
      </c>
      <c r="C272" s="18">
        <v>46157</v>
      </c>
      <c r="D272">
        <v>952163.77999999933</v>
      </c>
    </row>
    <row r="273" spans="1:4" x14ac:dyDescent="0.3">
      <c r="A273" t="s">
        <v>22</v>
      </c>
      <c r="C273" s="18">
        <v>46157</v>
      </c>
      <c r="D273">
        <v>84224.49</v>
      </c>
    </row>
    <row r="274" spans="1:4" x14ac:dyDescent="0.3">
      <c r="A274" t="s">
        <v>23</v>
      </c>
      <c r="C274" s="18">
        <v>46157</v>
      </c>
      <c r="D274">
        <v>13090.369999999997</v>
      </c>
    </row>
    <row r="275" spans="1:4" x14ac:dyDescent="0.3">
      <c r="A275" t="s">
        <v>24</v>
      </c>
      <c r="C275" s="18">
        <v>46157</v>
      </c>
      <c r="D275">
        <v>2498.3999999999996</v>
      </c>
    </row>
    <row r="276" spans="1:4" x14ac:dyDescent="0.3">
      <c r="A276" t="s">
        <v>25</v>
      </c>
      <c r="C276" s="18">
        <v>46157</v>
      </c>
      <c r="D276">
        <v>114.3</v>
      </c>
    </row>
    <row r="277" spans="1:4" x14ac:dyDescent="0.3">
      <c r="A277" t="s">
        <v>26</v>
      </c>
      <c r="C277" s="18">
        <v>46157</v>
      </c>
      <c r="D277">
        <v>2267.7200000000003</v>
      </c>
    </row>
    <row r="278" spans="1:4" x14ac:dyDescent="0.3">
      <c r="A278" t="s">
        <v>27</v>
      </c>
      <c r="C278" s="18">
        <v>46157</v>
      </c>
      <c r="D278">
        <v>3349.94</v>
      </c>
    </row>
    <row r="279" spans="1:4" x14ac:dyDescent="0.3">
      <c r="A279" t="s">
        <v>28</v>
      </c>
      <c r="C279" s="18">
        <v>46157</v>
      </c>
      <c r="D279">
        <v>1968.99</v>
      </c>
    </row>
    <row r="280" spans="1:4" x14ac:dyDescent="0.3">
      <c r="A280" t="s">
        <v>29</v>
      </c>
      <c r="C280" s="18">
        <v>46157</v>
      </c>
      <c r="D280">
        <v>901.34</v>
      </c>
    </row>
    <row r="281" spans="1:4" x14ac:dyDescent="0.3">
      <c r="A281" t="s">
        <v>30</v>
      </c>
      <c r="C281" s="18">
        <v>46157</v>
      </c>
      <c r="D281">
        <v>1444.08</v>
      </c>
    </row>
    <row r="282" spans="1:4" x14ac:dyDescent="0.3">
      <c r="A282" t="s">
        <v>31</v>
      </c>
      <c r="C282" s="18">
        <v>46157</v>
      </c>
      <c r="D282">
        <v>18242.599999999962</v>
      </c>
    </row>
    <row r="283" spans="1:4" x14ac:dyDescent="0.3">
      <c r="A283" t="s">
        <v>32</v>
      </c>
      <c r="C283" s="18">
        <v>46157</v>
      </c>
      <c r="D283">
        <v>15120.060000000001</v>
      </c>
    </row>
    <row r="284" spans="1:4" x14ac:dyDescent="0.3">
      <c r="A284" t="s">
        <v>33</v>
      </c>
      <c r="C284" s="18">
        <v>46157</v>
      </c>
      <c r="D284">
        <v>27011.27</v>
      </c>
    </row>
    <row r="285" spans="1:4" x14ac:dyDescent="0.3">
      <c r="A285" t="s">
        <v>34</v>
      </c>
      <c r="C285" s="18">
        <v>46157</v>
      </c>
      <c r="D285">
        <v>345</v>
      </c>
    </row>
    <row r="286" spans="1:4" x14ac:dyDescent="0.3">
      <c r="A286" t="s">
        <v>35</v>
      </c>
      <c r="C286" s="18">
        <v>46157</v>
      </c>
      <c r="D286">
        <v>14176.59</v>
      </c>
    </row>
    <row r="287" spans="1:4" x14ac:dyDescent="0.3">
      <c r="A287" t="s">
        <v>17</v>
      </c>
      <c r="C287" s="18">
        <v>46158</v>
      </c>
      <c r="D287">
        <v>165752.81000000023</v>
      </c>
    </row>
    <row r="288" spans="1:4" x14ac:dyDescent="0.3">
      <c r="A288" t="s">
        <v>18</v>
      </c>
      <c r="C288" s="18">
        <v>46158</v>
      </c>
      <c r="D288">
        <v>59760.159999999938</v>
      </c>
    </row>
    <row r="289" spans="1:4" x14ac:dyDescent="0.3">
      <c r="A289" t="s">
        <v>19</v>
      </c>
      <c r="C289" s="18">
        <v>46158</v>
      </c>
      <c r="D289">
        <v>1669.89</v>
      </c>
    </row>
    <row r="290" spans="1:4" x14ac:dyDescent="0.3">
      <c r="A290" t="s">
        <v>20</v>
      </c>
      <c r="C290" s="18">
        <v>46158</v>
      </c>
      <c r="D290">
        <v>832076.20999999985</v>
      </c>
    </row>
    <row r="291" spans="1:4" x14ac:dyDescent="0.3">
      <c r="A291" t="s">
        <v>21</v>
      </c>
      <c r="C291" s="18">
        <v>46158</v>
      </c>
      <c r="D291">
        <v>952163.77999999933</v>
      </c>
    </row>
    <row r="292" spans="1:4" x14ac:dyDescent="0.3">
      <c r="A292" t="s">
        <v>22</v>
      </c>
      <c r="C292" s="18">
        <v>46158</v>
      </c>
      <c r="D292">
        <v>84224.49</v>
      </c>
    </row>
    <row r="293" spans="1:4" x14ac:dyDescent="0.3">
      <c r="A293" t="s">
        <v>23</v>
      </c>
      <c r="C293" s="18">
        <v>46158</v>
      </c>
      <c r="D293">
        <v>13090.369999999997</v>
      </c>
    </row>
    <row r="294" spans="1:4" x14ac:dyDescent="0.3">
      <c r="A294" t="s">
        <v>24</v>
      </c>
      <c r="C294" s="18">
        <v>46158</v>
      </c>
      <c r="D294">
        <v>2498.3999999999996</v>
      </c>
    </row>
    <row r="295" spans="1:4" x14ac:dyDescent="0.3">
      <c r="A295" t="s">
        <v>25</v>
      </c>
      <c r="C295" s="18">
        <v>46158</v>
      </c>
      <c r="D295">
        <v>114.3</v>
      </c>
    </row>
    <row r="296" spans="1:4" x14ac:dyDescent="0.3">
      <c r="A296" t="s">
        <v>26</v>
      </c>
      <c r="C296" s="18">
        <v>46158</v>
      </c>
      <c r="D296">
        <v>2267.7200000000003</v>
      </c>
    </row>
    <row r="297" spans="1:4" x14ac:dyDescent="0.3">
      <c r="A297" t="s">
        <v>27</v>
      </c>
      <c r="C297" s="18">
        <v>46158</v>
      </c>
      <c r="D297">
        <v>3349.94</v>
      </c>
    </row>
    <row r="298" spans="1:4" x14ac:dyDescent="0.3">
      <c r="A298" t="s">
        <v>28</v>
      </c>
      <c r="C298" s="18">
        <v>46158</v>
      </c>
      <c r="D298">
        <v>1968.99</v>
      </c>
    </row>
    <row r="299" spans="1:4" x14ac:dyDescent="0.3">
      <c r="A299" t="s">
        <v>29</v>
      </c>
      <c r="C299" s="18">
        <v>46158</v>
      </c>
      <c r="D299">
        <v>901.34</v>
      </c>
    </row>
    <row r="300" spans="1:4" x14ac:dyDescent="0.3">
      <c r="A300" t="s">
        <v>30</v>
      </c>
      <c r="C300" s="18">
        <v>46158</v>
      </c>
      <c r="D300">
        <v>1444.08</v>
      </c>
    </row>
    <row r="301" spans="1:4" x14ac:dyDescent="0.3">
      <c r="A301" t="s">
        <v>31</v>
      </c>
      <c r="C301" s="18">
        <v>46158</v>
      </c>
      <c r="D301">
        <v>18242.599999999962</v>
      </c>
    </row>
    <row r="302" spans="1:4" x14ac:dyDescent="0.3">
      <c r="A302" t="s">
        <v>32</v>
      </c>
      <c r="C302" s="18">
        <v>46158</v>
      </c>
      <c r="D302">
        <v>15120.060000000001</v>
      </c>
    </row>
    <row r="303" spans="1:4" x14ac:dyDescent="0.3">
      <c r="A303" t="s">
        <v>33</v>
      </c>
      <c r="C303" s="18">
        <v>46158</v>
      </c>
      <c r="D303">
        <v>27011.27</v>
      </c>
    </row>
    <row r="304" spans="1:4" x14ac:dyDescent="0.3">
      <c r="A304" t="s">
        <v>34</v>
      </c>
      <c r="C304" s="18">
        <v>46158</v>
      </c>
      <c r="D304">
        <v>345</v>
      </c>
    </row>
    <row r="305" spans="1:4" x14ac:dyDescent="0.3">
      <c r="A305" t="s">
        <v>35</v>
      </c>
      <c r="C305" s="18">
        <v>46158</v>
      </c>
      <c r="D305">
        <v>14176.59</v>
      </c>
    </row>
    <row r="306" spans="1:4" x14ac:dyDescent="0.3">
      <c r="A306" t="s">
        <v>17</v>
      </c>
      <c r="C306" s="18">
        <v>46159</v>
      </c>
      <c r="D306">
        <v>165752.81000000023</v>
      </c>
    </row>
    <row r="307" spans="1:4" x14ac:dyDescent="0.3">
      <c r="A307" t="s">
        <v>18</v>
      </c>
      <c r="C307" s="18">
        <v>46159</v>
      </c>
      <c r="D307">
        <v>59760.159999999938</v>
      </c>
    </row>
    <row r="308" spans="1:4" x14ac:dyDescent="0.3">
      <c r="A308" t="s">
        <v>19</v>
      </c>
      <c r="C308" s="18">
        <v>46159</v>
      </c>
      <c r="D308">
        <v>1669.89</v>
      </c>
    </row>
    <row r="309" spans="1:4" x14ac:dyDescent="0.3">
      <c r="A309" t="s">
        <v>20</v>
      </c>
      <c r="C309" s="18">
        <v>46159</v>
      </c>
      <c r="D309">
        <v>832076.20999999985</v>
      </c>
    </row>
    <row r="310" spans="1:4" x14ac:dyDescent="0.3">
      <c r="A310" t="s">
        <v>21</v>
      </c>
      <c r="C310" s="18">
        <v>46159</v>
      </c>
      <c r="D310">
        <v>952163.77999999933</v>
      </c>
    </row>
    <row r="311" spans="1:4" x14ac:dyDescent="0.3">
      <c r="A311" t="s">
        <v>22</v>
      </c>
      <c r="C311" s="18">
        <v>46159</v>
      </c>
      <c r="D311">
        <v>84224.49</v>
      </c>
    </row>
    <row r="312" spans="1:4" x14ac:dyDescent="0.3">
      <c r="A312" t="s">
        <v>23</v>
      </c>
      <c r="C312" s="18">
        <v>46159</v>
      </c>
      <c r="D312">
        <v>13090.369999999997</v>
      </c>
    </row>
    <row r="313" spans="1:4" x14ac:dyDescent="0.3">
      <c r="A313" t="s">
        <v>24</v>
      </c>
      <c r="C313" s="18">
        <v>46159</v>
      </c>
      <c r="D313">
        <v>2498.3999999999996</v>
      </c>
    </row>
    <row r="314" spans="1:4" x14ac:dyDescent="0.3">
      <c r="A314" t="s">
        <v>25</v>
      </c>
      <c r="C314" s="18">
        <v>46159</v>
      </c>
      <c r="D314">
        <v>114.3</v>
      </c>
    </row>
    <row r="315" spans="1:4" x14ac:dyDescent="0.3">
      <c r="A315" t="s">
        <v>26</v>
      </c>
      <c r="C315" s="18">
        <v>46159</v>
      </c>
      <c r="D315">
        <v>2267.7200000000003</v>
      </c>
    </row>
    <row r="316" spans="1:4" x14ac:dyDescent="0.3">
      <c r="A316" t="s">
        <v>27</v>
      </c>
      <c r="C316" s="18">
        <v>46159</v>
      </c>
      <c r="D316">
        <v>3349.94</v>
      </c>
    </row>
    <row r="317" spans="1:4" x14ac:dyDescent="0.3">
      <c r="A317" t="s">
        <v>28</v>
      </c>
      <c r="C317" s="18">
        <v>46159</v>
      </c>
      <c r="D317">
        <v>1968.99</v>
      </c>
    </row>
    <row r="318" spans="1:4" x14ac:dyDescent="0.3">
      <c r="A318" t="s">
        <v>29</v>
      </c>
      <c r="C318" s="18">
        <v>46159</v>
      </c>
      <c r="D318">
        <v>901.34</v>
      </c>
    </row>
    <row r="319" spans="1:4" x14ac:dyDescent="0.3">
      <c r="A319" t="s">
        <v>30</v>
      </c>
      <c r="C319" s="18">
        <v>46159</v>
      </c>
      <c r="D319">
        <v>1444.08</v>
      </c>
    </row>
    <row r="320" spans="1:4" x14ac:dyDescent="0.3">
      <c r="A320" t="s">
        <v>31</v>
      </c>
      <c r="C320" s="18">
        <v>46159</v>
      </c>
      <c r="D320">
        <v>18242.599999999962</v>
      </c>
    </row>
    <row r="321" spans="1:4" x14ac:dyDescent="0.3">
      <c r="A321" t="s">
        <v>32</v>
      </c>
      <c r="C321" s="18">
        <v>46159</v>
      </c>
      <c r="D321">
        <v>15120.060000000001</v>
      </c>
    </row>
    <row r="322" spans="1:4" x14ac:dyDescent="0.3">
      <c r="A322" t="s">
        <v>33</v>
      </c>
      <c r="C322" s="18">
        <v>46159</v>
      </c>
      <c r="D322">
        <v>27011.27</v>
      </c>
    </row>
    <row r="323" spans="1:4" x14ac:dyDescent="0.3">
      <c r="A323" t="s">
        <v>34</v>
      </c>
      <c r="C323" s="18">
        <v>46159</v>
      </c>
      <c r="D323">
        <v>345</v>
      </c>
    </row>
    <row r="324" spans="1:4" x14ac:dyDescent="0.3">
      <c r="A324" t="s">
        <v>35</v>
      </c>
      <c r="C324" s="18">
        <v>46159</v>
      </c>
      <c r="D324">
        <v>14176.59</v>
      </c>
    </row>
    <row r="325" spans="1:4" x14ac:dyDescent="0.3">
      <c r="A325" t="s">
        <v>17</v>
      </c>
      <c r="C325" s="18">
        <v>46160</v>
      </c>
      <c r="D325">
        <v>165752.81000000023</v>
      </c>
    </row>
    <row r="326" spans="1:4" x14ac:dyDescent="0.3">
      <c r="A326" t="s">
        <v>18</v>
      </c>
      <c r="C326" s="18">
        <v>46160</v>
      </c>
      <c r="D326">
        <v>59760.159999999938</v>
      </c>
    </row>
    <row r="327" spans="1:4" x14ac:dyDescent="0.3">
      <c r="A327" t="s">
        <v>19</v>
      </c>
      <c r="C327" s="18">
        <v>46160</v>
      </c>
      <c r="D327">
        <v>1669.89</v>
      </c>
    </row>
    <row r="328" spans="1:4" x14ac:dyDescent="0.3">
      <c r="A328" t="s">
        <v>20</v>
      </c>
      <c r="C328" s="18">
        <v>46160</v>
      </c>
      <c r="D328">
        <v>832076.20999999985</v>
      </c>
    </row>
    <row r="329" spans="1:4" x14ac:dyDescent="0.3">
      <c r="A329" t="s">
        <v>21</v>
      </c>
      <c r="C329" s="18">
        <v>46160</v>
      </c>
      <c r="D329">
        <v>928713.30999999924</v>
      </c>
    </row>
    <row r="330" spans="1:4" x14ac:dyDescent="0.3">
      <c r="A330" t="s">
        <v>22</v>
      </c>
      <c r="C330" s="18">
        <v>46160</v>
      </c>
      <c r="D330">
        <v>84224.49</v>
      </c>
    </row>
    <row r="331" spans="1:4" x14ac:dyDescent="0.3">
      <c r="A331" t="s">
        <v>23</v>
      </c>
      <c r="C331" s="18">
        <v>46160</v>
      </c>
      <c r="D331">
        <v>13090.369999999997</v>
      </c>
    </row>
    <row r="332" spans="1:4" x14ac:dyDescent="0.3">
      <c r="A332" t="s">
        <v>24</v>
      </c>
      <c r="C332" s="18">
        <v>46160</v>
      </c>
      <c r="D332">
        <v>2498.3999999999996</v>
      </c>
    </row>
    <row r="333" spans="1:4" x14ac:dyDescent="0.3">
      <c r="A333" t="s">
        <v>25</v>
      </c>
      <c r="C333" s="18">
        <v>46160</v>
      </c>
      <c r="D333">
        <v>114.3</v>
      </c>
    </row>
    <row r="334" spans="1:4" x14ac:dyDescent="0.3">
      <c r="A334" t="s">
        <v>26</v>
      </c>
      <c r="C334" s="18">
        <v>46160</v>
      </c>
      <c r="D334">
        <v>2267.7200000000003</v>
      </c>
    </row>
    <row r="335" spans="1:4" x14ac:dyDescent="0.3">
      <c r="A335" t="s">
        <v>27</v>
      </c>
      <c r="C335" s="18">
        <v>46160</v>
      </c>
      <c r="D335">
        <v>3349.94</v>
      </c>
    </row>
    <row r="336" spans="1:4" x14ac:dyDescent="0.3">
      <c r="A336" t="s">
        <v>28</v>
      </c>
      <c r="C336" s="18">
        <v>46160</v>
      </c>
      <c r="D336">
        <v>1968.99</v>
      </c>
    </row>
    <row r="337" spans="1:4" x14ac:dyDescent="0.3">
      <c r="A337" t="s">
        <v>29</v>
      </c>
      <c r="C337" s="18">
        <v>46160</v>
      </c>
      <c r="D337">
        <v>901.34</v>
      </c>
    </row>
    <row r="338" spans="1:4" x14ac:dyDescent="0.3">
      <c r="A338" t="s">
        <v>30</v>
      </c>
      <c r="C338" s="18">
        <v>46160</v>
      </c>
      <c r="D338">
        <v>1444.08</v>
      </c>
    </row>
    <row r="339" spans="1:4" x14ac:dyDescent="0.3">
      <c r="A339" t="s">
        <v>31</v>
      </c>
      <c r="C339" s="18">
        <v>46160</v>
      </c>
      <c r="D339">
        <v>15463.59999999996</v>
      </c>
    </row>
    <row r="340" spans="1:4" x14ac:dyDescent="0.3">
      <c r="A340" t="s">
        <v>32</v>
      </c>
      <c r="C340" s="18">
        <v>46160</v>
      </c>
      <c r="D340">
        <v>15120.060000000001</v>
      </c>
    </row>
    <row r="341" spans="1:4" x14ac:dyDescent="0.3">
      <c r="A341" t="s">
        <v>33</v>
      </c>
      <c r="C341" s="18">
        <v>46160</v>
      </c>
      <c r="D341">
        <v>27006.27</v>
      </c>
    </row>
    <row r="342" spans="1:4" x14ac:dyDescent="0.3">
      <c r="A342" t="s">
        <v>34</v>
      </c>
      <c r="C342" s="18">
        <v>46160</v>
      </c>
      <c r="D342">
        <v>345</v>
      </c>
    </row>
    <row r="343" spans="1:4" x14ac:dyDescent="0.3">
      <c r="A343" t="s">
        <v>35</v>
      </c>
      <c r="C343" s="18">
        <v>46160</v>
      </c>
      <c r="D343">
        <v>13941.210000000001</v>
      </c>
    </row>
    <row r="344" spans="1:4" x14ac:dyDescent="0.3">
      <c r="A344" t="s">
        <v>17</v>
      </c>
      <c r="C344" s="18">
        <v>46161</v>
      </c>
      <c r="D344">
        <v>815752.81000000029</v>
      </c>
    </row>
    <row r="345" spans="1:4" x14ac:dyDescent="0.3">
      <c r="A345" t="s">
        <v>18</v>
      </c>
      <c r="C345" s="18">
        <v>46161</v>
      </c>
      <c r="D345">
        <v>59760.159999999938</v>
      </c>
    </row>
    <row r="346" spans="1:4" x14ac:dyDescent="0.3">
      <c r="A346" t="s">
        <v>19</v>
      </c>
      <c r="C346" s="18">
        <v>46161</v>
      </c>
      <c r="D346">
        <v>1669.89</v>
      </c>
    </row>
    <row r="347" spans="1:4" x14ac:dyDescent="0.3">
      <c r="A347" t="s">
        <v>20</v>
      </c>
      <c r="C347" s="18">
        <v>46161</v>
      </c>
      <c r="D347">
        <v>832076.20999999985</v>
      </c>
    </row>
    <row r="348" spans="1:4" x14ac:dyDescent="0.3">
      <c r="A348" t="s">
        <v>21</v>
      </c>
      <c r="C348" s="18">
        <v>46161</v>
      </c>
      <c r="D348">
        <v>925592.77999999933</v>
      </c>
    </row>
    <row r="349" spans="1:4" x14ac:dyDescent="0.3">
      <c r="A349" t="s">
        <v>22</v>
      </c>
      <c r="C349" s="18">
        <v>46161</v>
      </c>
      <c r="D349">
        <v>54224.490000000005</v>
      </c>
    </row>
    <row r="350" spans="1:4" x14ac:dyDescent="0.3">
      <c r="A350" t="s">
        <v>23</v>
      </c>
      <c r="C350" s="18">
        <v>46161</v>
      </c>
      <c r="D350">
        <v>13090.369999999997</v>
      </c>
    </row>
    <row r="351" spans="1:4" x14ac:dyDescent="0.3">
      <c r="A351" t="s">
        <v>24</v>
      </c>
      <c r="C351" s="18">
        <v>46161</v>
      </c>
      <c r="D351">
        <v>2498.3999999999996</v>
      </c>
    </row>
    <row r="352" spans="1:4" x14ac:dyDescent="0.3">
      <c r="A352" t="s">
        <v>25</v>
      </c>
      <c r="C352" s="18">
        <v>46161</v>
      </c>
      <c r="D352">
        <v>114.3</v>
      </c>
    </row>
    <row r="353" spans="1:4" x14ac:dyDescent="0.3">
      <c r="A353" t="s">
        <v>26</v>
      </c>
      <c r="C353" s="18">
        <v>46161</v>
      </c>
      <c r="D353">
        <v>2267.7200000000003</v>
      </c>
    </row>
    <row r="354" spans="1:4" x14ac:dyDescent="0.3">
      <c r="A354" t="s">
        <v>27</v>
      </c>
      <c r="C354" s="18">
        <v>46161</v>
      </c>
      <c r="D354">
        <v>3349.94</v>
      </c>
    </row>
    <row r="355" spans="1:4" x14ac:dyDescent="0.3">
      <c r="A355" t="s">
        <v>28</v>
      </c>
      <c r="C355" s="18">
        <v>46161</v>
      </c>
      <c r="D355">
        <v>1968.99</v>
      </c>
    </row>
    <row r="356" spans="1:4" x14ac:dyDescent="0.3">
      <c r="A356" t="s">
        <v>29</v>
      </c>
      <c r="C356" s="18">
        <v>46161</v>
      </c>
      <c r="D356">
        <v>901.34</v>
      </c>
    </row>
    <row r="357" spans="1:4" x14ac:dyDescent="0.3">
      <c r="A357" t="s">
        <v>30</v>
      </c>
      <c r="C357" s="18">
        <v>46161</v>
      </c>
      <c r="D357">
        <v>1444.08</v>
      </c>
    </row>
    <row r="358" spans="1:4" x14ac:dyDescent="0.3">
      <c r="A358" t="s">
        <v>31</v>
      </c>
      <c r="C358" s="18">
        <v>46161</v>
      </c>
      <c r="D358">
        <v>15463.59999999996</v>
      </c>
    </row>
    <row r="359" spans="1:4" x14ac:dyDescent="0.3">
      <c r="A359" t="s">
        <v>32</v>
      </c>
      <c r="C359" s="18">
        <v>46161</v>
      </c>
      <c r="D359">
        <v>15120.060000000001</v>
      </c>
    </row>
    <row r="360" spans="1:4" x14ac:dyDescent="0.3">
      <c r="A360" t="s">
        <v>33</v>
      </c>
      <c r="C360" s="18">
        <v>46161</v>
      </c>
      <c r="D360">
        <v>27006.27</v>
      </c>
    </row>
    <row r="361" spans="1:4" x14ac:dyDescent="0.3">
      <c r="A361" t="s">
        <v>34</v>
      </c>
      <c r="C361" s="18">
        <v>46161</v>
      </c>
      <c r="D361">
        <v>345</v>
      </c>
    </row>
    <row r="362" spans="1:4" x14ac:dyDescent="0.3">
      <c r="A362" t="s">
        <v>35</v>
      </c>
      <c r="C362" s="18">
        <v>46161</v>
      </c>
      <c r="D362">
        <v>18941.21</v>
      </c>
    </row>
    <row r="363" spans="1:4" x14ac:dyDescent="0.3">
      <c r="A363" t="s">
        <v>17</v>
      </c>
      <c r="C363" s="18">
        <v>46162</v>
      </c>
      <c r="D363">
        <v>142321.80000000013</v>
      </c>
    </row>
    <row r="364" spans="1:4" x14ac:dyDescent="0.3">
      <c r="A364" t="s">
        <v>18</v>
      </c>
      <c r="C364" s="18">
        <v>46162</v>
      </c>
      <c r="D364">
        <v>59760.159999999938</v>
      </c>
    </row>
    <row r="365" spans="1:4" x14ac:dyDescent="0.3">
      <c r="A365" t="s">
        <v>19</v>
      </c>
      <c r="C365" s="18">
        <v>46162</v>
      </c>
      <c r="D365">
        <v>1669.89</v>
      </c>
    </row>
    <row r="366" spans="1:4" x14ac:dyDescent="0.3">
      <c r="A366" t="s">
        <v>20</v>
      </c>
      <c r="C366" s="18">
        <v>46162</v>
      </c>
      <c r="D366">
        <v>832076.20999999985</v>
      </c>
    </row>
    <row r="367" spans="1:4" x14ac:dyDescent="0.3">
      <c r="A367" t="s">
        <v>21</v>
      </c>
      <c r="C367" s="18">
        <v>46162</v>
      </c>
      <c r="D367">
        <v>981189.87999999931</v>
      </c>
    </row>
    <row r="368" spans="1:4" x14ac:dyDescent="0.3">
      <c r="A368" t="s">
        <v>22</v>
      </c>
      <c r="C368" s="18">
        <v>46162</v>
      </c>
      <c r="D368">
        <v>104209.49</v>
      </c>
    </row>
    <row r="369" spans="1:4" x14ac:dyDescent="0.3">
      <c r="A369" t="s">
        <v>23</v>
      </c>
      <c r="C369" s="18">
        <v>46162</v>
      </c>
      <c r="D369">
        <v>13090.369999999997</v>
      </c>
    </row>
    <row r="370" spans="1:4" x14ac:dyDescent="0.3">
      <c r="A370" t="s">
        <v>24</v>
      </c>
      <c r="C370" s="18">
        <v>46162</v>
      </c>
      <c r="D370">
        <v>2498.3999999999996</v>
      </c>
    </row>
    <row r="371" spans="1:4" x14ac:dyDescent="0.3">
      <c r="A371" t="s">
        <v>25</v>
      </c>
      <c r="C371" s="18">
        <v>46162</v>
      </c>
      <c r="D371">
        <v>114.3</v>
      </c>
    </row>
    <row r="372" spans="1:4" x14ac:dyDescent="0.3">
      <c r="A372" t="s">
        <v>26</v>
      </c>
      <c r="C372" s="18">
        <v>46162</v>
      </c>
      <c r="D372">
        <v>2267.7200000000003</v>
      </c>
    </row>
    <row r="373" spans="1:4" x14ac:dyDescent="0.3">
      <c r="A373" t="s">
        <v>27</v>
      </c>
      <c r="C373" s="18">
        <v>46162</v>
      </c>
      <c r="D373">
        <v>3349.94</v>
      </c>
    </row>
    <row r="374" spans="1:4" x14ac:dyDescent="0.3">
      <c r="A374" t="s">
        <v>28</v>
      </c>
      <c r="C374" s="18">
        <v>46162</v>
      </c>
      <c r="D374">
        <v>1968.99</v>
      </c>
    </row>
    <row r="375" spans="1:4" x14ac:dyDescent="0.3">
      <c r="A375" t="s">
        <v>29</v>
      </c>
      <c r="C375" s="18">
        <v>46162</v>
      </c>
      <c r="D375">
        <v>901.34</v>
      </c>
    </row>
    <row r="376" spans="1:4" x14ac:dyDescent="0.3">
      <c r="A376" t="s">
        <v>30</v>
      </c>
      <c r="C376" s="18">
        <v>46162</v>
      </c>
      <c r="D376">
        <v>1444.08</v>
      </c>
    </row>
    <row r="377" spans="1:4" x14ac:dyDescent="0.3">
      <c r="A377" t="s">
        <v>31</v>
      </c>
      <c r="C377" s="18">
        <v>46162</v>
      </c>
      <c r="D377">
        <v>15463.59999999996</v>
      </c>
    </row>
    <row r="378" spans="1:4" x14ac:dyDescent="0.3">
      <c r="A378" t="s">
        <v>32</v>
      </c>
      <c r="C378" s="18">
        <v>46162</v>
      </c>
      <c r="D378">
        <v>15120.060000000001</v>
      </c>
    </row>
    <row r="379" spans="1:4" x14ac:dyDescent="0.3">
      <c r="A379" t="s">
        <v>33</v>
      </c>
      <c r="C379" s="18">
        <v>46162</v>
      </c>
      <c r="D379">
        <v>29206.27</v>
      </c>
    </row>
    <row r="380" spans="1:4" x14ac:dyDescent="0.3">
      <c r="A380" t="s">
        <v>34</v>
      </c>
      <c r="C380" s="18">
        <v>46162</v>
      </c>
      <c r="D380">
        <v>345</v>
      </c>
    </row>
    <row r="381" spans="1:4" x14ac:dyDescent="0.3">
      <c r="A381" t="s">
        <v>35</v>
      </c>
      <c r="C381" s="18">
        <v>46162</v>
      </c>
      <c r="D381">
        <v>8168.0700000000006</v>
      </c>
    </row>
    <row r="382" spans="1:4" x14ac:dyDescent="0.3">
      <c r="A382" t="s">
        <v>17</v>
      </c>
      <c r="C382" s="18">
        <v>46163</v>
      </c>
      <c r="D382">
        <v>142321.80000000013</v>
      </c>
    </row>
    <row r="383" spans="1:4" x14ac:dyDescent="0.3">
      <c r="A383" t="s">
        <v>18</v>
      </c>
      <c r="C383" s="18">
        <v>46163</v>
      </c>
      <c r="D383">
        <v>659760.15999999992</v>
      </c>
    </row>
    <row r="384" spans="1:4" x14ac:dyDescent="0.3">
      <c r="A384" t="s">
        <v>19</v>
      </c>
      <c r="C384" s="18">
        <v>46163</v>
      </c>
      <c r="D384">
        <v>1669.89</v>
      </c>
    </row>
    <row r="385" spans="1:4" x14ac:dyDescent="0.3">
      <c r="A385" t="s">
        <v>20</v>
      </c>
      <c r="C385" s="18">
        <v>46163</v>
      </c>
      <c r="D385">
        <v>497076.20999999985</v>
      </c>
    </row>
    <row r="386" spans="1:4" x14ac:dyDescent="0.3">
      <c r="A386" t="s">
        <v>21</v>
      </c>
      <c r="C386" s="18">
        <v>46163</v>
      </c>
      <c r="D386">
        <v>981189.87999999931</v>
      </c>
    </row>
    <row r="387" spans="1:4" x14ac:dyDescent="0.3">
      <c r="A387" t="s">
        <v>22</v>
      </c>
      <c r="C387" s="18">
        <v>46163</v>
      </c>
      <c r="D387">
        <v>104209.49</v>
      </c>
    </row>
    <row r="388" spans="1:4" x14ac:dyDescent="0.3">
      <c r="A388" t="s">
        <v>23</v>
      </c>
      <c r="C388" s="18">
        <v>46163</v>
      </c>
      <c r="D388">
        <v>88090.37</v>
      </c>
    </row>
    <row r="389" spans="1:4" x14ac:dyDescent="0.3">
      <c r="A389" t="s">
        <v>24</v>
      </c>
      <c r="C389" s="18">
        <v>46163</v>
      </c>
      <c r="D389">
        <v>2498.3999999999996</v>
      </c>
    </row>
    <row r="390" spans="1:4" x14ac:dyDescent="0.3">
      <c r="A390" t="s">
        <v>25</v>
      </c>
      <c r="C390" s="18">
        <v>46163</v>
      </c>
      <c r="D390">
        <v>114.3</v>
      </c>
    </row>
    <row r="391" spans="1:4" x14ac:dyDescent="0.3">
      <c r="A391" t="s">
        <v>26</v>
      </c>
      <c r="C391" s="18">
        <v>46163</v>
      </c>
      <c r="D391">
        <v>2267.7200000000003</v>
      </c>
    </row>
    <row r="392" spans="1:4" x14ac:dyDescent="0.3">
      <c r="A392" t="s">
        <v>27</v>
      </c>
      <c r="C392" s="18">
        <v>46163</v>
      </c>
      <c r="D392">
        <v>3349.94</v>
      </c>
    </row>
    <row r="393" spans="1:4" x14ac:dyDescent="0.3">
      <c r="A393" t="s">
        <v>28</v>
      </c>
      <c r="C393" s="18">
        <v>46163</v>
      </c>
      <c r="D393">
        <v>1968.99</v>
      </c>
    </row>
    <row r="394" spans="1:4" x14ac:dyDescent="0.3">
      <c r="A394" t="s">
        <v>29</v>
      </c>
      <c r="C394" s="18">
        <v>46163</v>
      </c>
      <c r="D394">
        <v>901.34</v>
      </c>
    </row>
    <row r="395" spans="1:4" x14ac:dyDescent="0.3">
      <c r="A395" t="s">
        <v>30</v>
      </c>
      <c r="C395" s="18">
        <v>46163</v>
      </c>
      <c r="D395">
        <v>1444.08</v>
      </c>
    </row>
    <row r="396" spans="1:4" x14ac:dyDescent="0.3">
      <c r="A396" t="s">
        <v>31</v>
      </c>
      <c r="C396" s="18">
        <v>46163</v>
      </c>
      <c r="D396">
        <v>15463.59999999996</v>
      </c>
    </row>
    <row r="397" spans="1:4" x14ac:dyDescent="0.3">
      <c r="A397" t="s">
        <v>32</v>
      </c>
      <c r="C397" s="18">
        <v>46163</v>
      </c>
      <c r="D397">
        <v>15120.060000000001</v>
      </c>
    </row>
    <row r="398" spans="1:4" x14ac:dyDescent="0.3">
      <c r="A398" t="s">
        <v>33</v>
      </c>
      <c r="C398" s="18">
        <v>46163</v>
      </c>
      <c r="D398">
        <v>29206.27</v>
      </c>
    </row>
    <row r="399" spans="1:4" x14ac:dyDescent="0.3">
      <c r="A399" t="s">
        <v>34</v>
      </c>
      <c r="C399" s="18">
        <v>46163</v>
      </c>
      <c r="D399">
        <v>345</v>
      </c>
    </row>
    <row r="400" spans="1:4" x14ac:dyDescent="0.3">
      <c r="A400" t="s">
        <v>35</v>
      </c>
      <c r="C400" s="18">
        <v>46163</v>
      </c>
      <c r="D400">
        <v>8168.0700000000006</v>
      </c>
    </row>
    <row r="401" spans="1:4" x14ac:dyDescent="0.3">
      <c r="A401" t="s">
        <v>17</v>
      </c>
      <c r="C401" s="18">
        <v>46164</v>
      </c>
      <c r="D401">
        <v>142321.80000000013</v>
      </c>
    </row>
    <row r="402" spans="1:4" x14ac:dyDescent="0.3">
      <c r="A402" t="s">
        <v>18</v>
      </c>
      <c r="C402" s="18">
        <v>46164</v>
      </c>
      <c r="D402">
        <v>659760.15999999992</v>
      </c>
    </row>
    <row r="403" spans="1:4" x14ac:dyDescent="0.3">
      <c r="A403" t="s">
        <v>19</v>
      </c>
      <c r="C403" s="18">
        <v>46164</v>
      </c>
      <c r="D403">
        <v>1669.89</v>
      </c>
    </row>
    <row r="404" spans="1:4" x14ac:dyDescent="0.3">
      <c r="A404" t="s">
        <v>20</v>
      </c>
      <c r="C404" s="18">
        <v>46164</v>
      </c>
      <c r="D404">
        <v>497076.20999999985</v>
      </c>
    </row>
    <row r="405" spans="1:4" x14ac:dyDescent="0.3">
      <c r="A405" t="s">
        <v>21</v>
      </c>
      <c r="C405" s="18">
        <v>46164</v>
      </c>
      <c r="D405">
        <v>980426.88999999932</v>
      </c>
    </row>
    <row r="406" spans="1:4" x14ac:dyDescent="0.3">
      <c r="A406" t="s">
        <v>22</v>
      </c>
      <c r="C406" s="18">
        <v>46164</v>
      </c>
      <c r="D406">
        <v>104209.49</v>
      </c>
    </row>
    <row r="407" spans="1:4" x14ac:dyDescent="0.3">
      <c r="A407" t="s">
        <v>23</v>
      </c>
      <c r="C407" s="18">
        <v>46164</v>
      </c>
      <c r="D407">
        <v>88090.37</v>
      </c>
    </row>
    <row r="408" spans="1:4" x14ac:dyDescent="0.3">
      <c r="A408" t="s">
        <v>24</v>
      </c>
      <c r="C408" s="18">
        <v>46164</v>
      </c>
      <c r="D408">
        <v>2498.3999999999996</v>
      </c>
    </row>
    <row r="409" spans="1:4" x14ac:dyDescent="0.3">
      <c r="A409" t="s">
        <v>25</v>
      </c>
      <c r="C409" s="18">
        <v>46164</v>
      </c>
      <c r="D409">
        <v>114.3</v>
      </c>
    </row>
    <row r="410" spans="1:4" x14ac:dyDescent="0.3">
      <c r="A410" t="s">
        <v>26</v>
      </c>
      <c r="C410" s="18">
        <v>46164</v>
      </c>
      <c r="D410">
        <v>2267.7200000000003</v>
      </c>
    </row>
    <row r="411" spans="1:4" x14ac:dyDescent="0.3">
      <c r="A411" t="s">
        <v>27</v>
      </c>
      <c r="C411" s="18">
        <v>46164</v>
      </c>
      <c r="D411">
        <v>3349.94</v>
      </c>
    </row>
    <row r="412" spans="1:4" x14ac:dyDescent="0.3">
      <c r="A412" t="s">
        <v>28</v>
      </c>
      <c r="C412" s="18">
        <v>46164</v>
      </c>
      <c r="D412">
        <v>1968.99</v>
      </c>
    </row>
    <row r="413" spans="1:4" x14ac:dyDescent="0.3">
      <c r="A413" t="s">
        <v>29</v>
      </c>
      <c r="C413" s="18">
        <v>46164</v>
      </c>
      <c r="D413">
        <v>901.34</v>
      </c>
    </row>
    <row r="414" spans="1:4" x14ac:dyDescent="0.3">
      <c r="A414" t="s">
        <v>30</v>
      </c>
      <c r="C414" s="18">
        <v>46164</v>
      </c>
      <c r="D414">
        <v>1444.08</v>
      </c>
    </row>
    <row r="415" spans="1:4" x14ac:dyDescent="0.3">
      <c r="A415" t="s">
        <v>31</v>
      </c>
      <c r="C415" s="18">
        <v>46164</v>
      </c>
      <c r="D415">
        <v>15463.59999999996</v>
      </c>
    </row>
    <row r="416" spans="1:4" x14ac:dyDescent="0.3">
      <c r="A416" t="s">
        <v>32</v>
      </c>
      <c r="C416" s="18">
        <v>46164</v>
      </c>
      <c r="D416">
        <v>15120.060000000001</v>
      </c>
    </row>
    <row r="417" spans="1:4" x14ac:dyDescent="0.3">
      <c r="A417" t="s">
        <v>33</v>
      </c>
      <c r="C417" s="18">
        <v>46164</v>
      </c>
      <c r="D417">
        <v>29206.27</v>
      </c>
    </row>
    <row r="418" spans="1:4" x14ac:dyDescent="0.3">
      <c r="A418" t="s">
        <v>34</v>
      </c>
      <c r="C418" s="18">
        <v>46164</v>
      </c>
      <c r="D418">
        <v>345</v>
      </c>
    </row>
    <row r="419" spans="1:4" x14ac:dyDescent="0.3">
      <c r="A419" t="s">
        <v>35</v>
      </c>
      <c r="C419" s="18">
        <v>46164</v>
      </c>
      <c r="D419">
        <v>8168.0700000000006</v>
      </c>
    </row>
    <row r="420" spans="1:4" x14ac:dyDescent="0.3">
      <c r="A420" t="s">
        <v>17</v>
      </c>
      <c r="C420" s="18">
        <v>46165</v>
      </c>
      <c r="D420">
        <v>142321.80000000013</v>
      </c>
    </row>
    <row r="421" spans="1:4" x14ac:dyDescent="0.3">
      <c r="A421" t="s">
        <v>18</v>
      </c>
      <c r="C421" s="18">
        <v>46165</v>
      </c>
      <c r="D421">
        <v>659760.15999999992</v>
      </c>
    </row>
    <row r="422" spans="1:4" x14ac:dyDescent="0.3">
      <c r="A422" t="s">
        <v>19</v>
      </c>
      <c r="C422" s="18">
        <v>46165</v>
      </c>
      <c r="D422">
        <v>1669.89</v>
      </c>
    </row>
    <row r="423" spans="1:4" x14ac:dyDescent="0.3">
      <c r="A423" t="s">
        <v>20</v>
      </c>
      <c r="C423" s="18">
        <v>46165</v>
      </c>
      <c r="D423">
        <v>497076.20999999985</v>
      </c>
    </row>
    <row r="424" spans="1:4" x14ac:dyDescent="0.3">
      <c r="A424" t="s">
        <v>21</v>
      </c>
      <c r="C424" s="18">
        <v>46165</v>
      </c>
      <c r="D424">
        <v>980426.88999999932</v>
      </c>
    </row>
    <row r="425" spans="1:4" x14ac:dyDescent="0.3">
      <c r="A425" t="s">
        <v>22</v>
      </c>
      <c r="C425" s="18">
        <v>46165</v>
      </c>
      <c r="D425">
        <v>104209.49</v>
      </c>
    </row>
    <row r="426" spans="1:4" x14ac:dyDescent="0.3">
      <c r="A426" t="s">
        <v>23</v>
      </c>
      <c r="C426" s="18">
        <v>46165</v>
      </c>
      <c r="D426">
        <v>88090.37</v>
      </c>
    </row>
    <row r="427" spans="1:4" x14ac:dyDescent="0.3">
      <c r="A427" t="s">
        <v>24</v>
      </c>
      <c r="C427" s="18">
        <v>46165</v>
      </c>
      <c r="D427">
        <v>2498.3999999999996</v>
      </c>
    </row>
    <row r="428" spans="1:4" x14ac:dyDescent="0.3">
      <c r="A428" t="s">
        <v>25</v>
      </c>
      <c r="C428" s="18">
        <v>46165</v>
      </c>
      <c r="D428">
        <v>114.3</v>
      </c>
    </row>
    <row r="429" spans="1:4" x14ac:dyDescent="0.3">
      <c r="A429" t="s">
        <v>26</v>
      </c>
      <c r="C429" s="18">
        <v>46165</v>
      </c>
      <c r="D429">
        <v>2267.7200000000003</v>
      </c>
    </row>
    <row r="430" spans="1:4" x14ac:dyDescent="0.3">
      <c r="A430" t="s">
        <v>27</v>
      </c>
      <c r="C430" s="18">
        <v>46165</v>
      </c>
      <c r="D430">
        <v>3349.94</v>
      </c>
    </row>
    <row r="431" spans="1:4" x14ac:dyDescent="0.3">
      <c r="A431" t="s">
        <v>28</v>
      </c>
      <c r="C431" s="18">
        <v>46165</v>
      </c>
      <c r="D431">
        <v>1968.99</v>
      </c>
    </row>
    <row r="432" spans="1:4" x14ac:dyDescent="0.3">
      <c r="A432" t="s">
        <v>29</v>
      </c>
      <c r="C432" s="18">
        <v>46165</v>
      </c>
      <c r="D432">
        <v>901.34</v>
      </c>
    </row>
    <row r="433" spans="1:4" x14ac:dyDescent="0.3">
      <c r="A433" t="s">
        <v>30</v>
      </c>
      <c r="C433" s="18">
        <v>46165</v>
      </c>
      <c r="D433">
        <v>1444.08</v>
      </c>
    </row>
    <row r="434" spans="1:4" x14ac:dyDescent="0.3">
      <c r="A434" t="s">
        <v>31</v>
      </c>
      <c r="C434" s="18">
        <v>46165</v>
      </c>
      <c r="D434">
        <v>15463.59999999996</v>
      </c>
    </row>
    <row r="435" spans="1:4" x14ac:dyDescent="0.3">
      <c r="A435" t="s">
        <v>32</v>
      </c>
      <c r="C435" s="18">
        <v>46165</v>
      </c>
      <c r="D435">
        <v>15120.060000000001</v>
      </c>
    </row>
    <row r="436" spans="1:4" x14ac:dyDescent="0.3">
      <c r="A436" t="s">
        <v>33</v>
      </c>
      <c r="C436" s="18">
        <v>46165</v>
      </c>
      <c r="D436">
        <v>29206.27</v>
      </c>
    </row>
    <row r="437" spans="1:4" x14ac:dyDescent="0.3">
      <c r="A437" t="s">
        <v>34</v>
      </c>
      <c r="C437" s="18">
        <v>46165</v>
      </c>
      <c r="D437">
        <v>345</v>
      </c>
    </row>
    <row r="438" spans="1:4" x14ac:dyDescent="0.3">
      <c r="A438" t="s">
        <v>35</v>
      </c>
      <c r="C438" s="18">
        <v>46165</v>
      </c>
      <c r="D438">
        <v>8168.0700000000006</v>
      </c>
    </row>
    <row r="439" spans="1:4" x14ac:dyDescent="0.3">
      <c r="A439" t="s">
        <v>17</v>
      </c>
      <c r="C439" s="18">
        <v>46166</v>
      </c>
      <c r="D439">
        <v>142321.80000000013</v>
      </c>
    </row>
    <row r="440" spans="1:4" x14ac:dyDescent="0.3">
      <c r="A440" t="s">
        <v>18</v>
      </c>
      <c r="C440" s="18">
        <v>46166</v>
      </c>
      <c r="D440">
        <v>659760.15999999992</v>
      </c>
    </row>
    <row r="441" spans="1:4" x14ac:dyDescent="0.3">
      <c r="A441" t="s">
        <v>19</v>
      </c>
      <c r="C441" s="18">
        <v>46166</v>
      </c>
      <c r="D441">
        <v>1669.89</v>
      </c>
    </row>
    <row r="442" spans="1:4" x14ac:dyDescent="0.3">
      <c r="A442" t="s">
        <v>20</v>
      </c>
      <c r="C442" s="18">
        <v>46166</v>
      </c>
      <c r="D442">
        <v>497076.20999999985</v>
      </c>
    </row>
    <row r="443" spans="1:4" x14ac:dyDescent="0.3">
      <c r="A443" t="s">
        <v>21</v>
      </c>
      <c r="C443" s="18">
        <v>46166</v>
      </c>
      <c r="D443">
        <v>980426.88999999932</v>
      </c>
    </row>
    <row r="444" spans="1:4" x14ac:dyDescent="0.3">
      <c r="A444" t="s">
        <v>22</v>
      </c>
      <c r="C444" s="18">
        <v>46166</v>
      </c>
      <c r="D444">
        <v>104209.49</v>
      </c>
    </row>
    <row r="445" spans="1:4" x14ac:dyDescent="0.3">
      <c r="A445" t="s">
        <v>23</v>
      </c>
      <c r="C445" s="18">
        <v>46166</v>
      </c>
      <c r="D445">
        <v>88090.37</v>
      </c>
    </row>
    <row r="446" spans="1:4" x14ac:dyDescent="0.3">
      <c r="A446" t="s">
        <v>24</v>
      </c>
      <c r="C446" s="18">
        <v>46166</v>
      </c>
      <c r="D446">
        <v>2498.3999999999996</v>
      </c>
    </row>
    <row r="447" spans="1:4" x14ac:dyDescent="0.3">
      <c r="A447" t="s">
        <v>25</v>
      </c>
      <c r="C447" s="18">
        <v>46166</v>
      </c>
      <c r="D447">
        <v>114.3</v>
      </c>
    </row>
    <row r="448" spans="1:4" x14ac:dyDescent="0.3">
      <c r="A448" t="s">
        <v>26</v>
      </c>
      <c r="C448" s="18">
        <v>46166</v>
      </c>
      <c r="D448">
        <v>2267.7200000000003</v>
      </c>
    </row>
    <row r="449" spans="1:4" x14ac:dyDescent="0.3">
      <c r="A449" t="s">
        <v>27</v>
      </c>
      <c r="C449" s="18">
        <v>46166</v>
      </c>
      <c r="D449">
        <v>3349.94</v>
      </c>
    </row>
    <row r="450" spans="1:4" x14ac:dyDescent="0.3">
      <c r="A450" t="s">
        <v>28</v>
      </c>
      <c r="C450" s="18">
        <v>46166</v>
      </c>
      <c r="D450">
        <v>1968.99</v>
      </c>
    </row>
    <row r="451" spans="1:4" x14ac:dyDescent="0.3">
      <c r="A451" t="s">
        <v>29</v>
      </c>
      <c r="C451" s="18">
        <v>46166</v>
      </c>
      <c r="D451">
        <v>901.34</v>
      </c>
    </row>
    <row r="452" spans="1:4" x14ac:dyDescent="0.3">
      <c r="A452" t="s">
        <v>30</v>
      </c>
      <c r="C452" s="18">
        <v>46166</v>
      </c>
      <c r="D452">
        <v>1444.08</v>
      </c>
    </row>
    <row r="453" spans="1:4" x14ac:dyDescent="0.3">
      <c r="A453" t="s">
        <v>31</v>
      </c>
      <c r="C453" s="18">
        <v>46166</v>
      </c>
      <c r="D453">
        <v>15463.59999999996</v>
      </c>
    </row>
    <row r="454" spans="1:4" x14ac:dyDescent="0.3">
      <c r="A454" t="s">
        <v>32</v>
      </c>
      <c r="C454" s="18">
        <v>46166</v>
      </c>
      <c r="D454">
        <v>15120.060000000001</v>
      </c>
    </row>
    <row r="455" spans="1:4" x14ac:dyDescent="0.3">
      <c r="A455" t="s">
        <v>33</v>
      </c>
      <c r="C455" s="18">
        <v>46166</v>
      </c>
      <c r="D455">
        <v>29206.27</v>
      </c>
    </row>
    <row r="456" spans="1:4" x14ac:dyDescent="0.3">
      <c r="A456" t="s">
        <v>34</v>
      </c>
      <c r="C456" s="18">
        <v>46166</v>
      </c>
      <c r="D456">
        <v>345</v>
      </c>
    </row>
    <row r="457" spans="1:4" x14ac:dyDescent="0.3">
      <c r="A457" t="s">
        <v>35</v>
      </c>
      <c r="C457" s="18">
        <v>46166</v>
      </c>
      <c r="D457">
        <v>8168.0700000000006</v>
      </c>
    </row>
    <row r="458" spans="1:4" x14ac:dyDescent="0.3">
      <c r="A458" t="s">
        <v>17</v>
      </c>
      <c r="C458" s="18">
        <v>46167</v>
      </c>
      <c r="D458">
        <v>142321.80000000013</v>
      </c>
    </row>
    <row r="459" spans="1:4" x14ac:dyDescent="0.3">
      <c r="A459" t="s">
        <v>18</v>
      </c>
      <c r="C459" s="18">
        <v>46167</v>
      </c>
      <c r="D459">
        <v>659760.15999999992</v>
      </c>
    </row>
    <row r="460" spans="1:4" x14ac:dyDescent="0.3">
      <c r="A460" t="s">
        <v>19</v>
      </c>
      <c r="C460" s="18">
        <v>46167</v>
      </c>
      <c r="D460">
        <v>1669.89</v>
      </c>
    </row>
    <row r="461" spans="1:4" x14ac:dyDescent="0.3">
      <c r="A461" t="s">
        <v>20</v>
      </c>
      <c r="C461" s="18">
        <v>46167</v>
      </c>
      <c r="D461">
        <v>497076.20999999985</v>
      </c>
    </row>
    <row r="462" spans="1:4" x14ac:dyDescent="0.3">
      <c r="A462" t="s">
        <v>21</v>
      </c>
      <c r="C462" s="18">
        <v>46167</v>
      </c>
      <c r="D462">
        <v>980426.88999999932</v>
      </c>
    </row>
    <row r="463" spans="1:4" x14ac:dyDescent="0.3">
      <c r="A463" t="s">
        <v>22</v>
      </c>
      <c r="C463" s="18">
        <v>46167</v>
      </c>
      <c r="D463">
        <v>104209.49</v>
      </c>
    </row>
    <row r="464" spans="1:4" x14ac:dyDescent="0.3">
      <c r="A464" t="s">
        <v>23</v>
      </c>
      <c r="C464" s="18">
        <v>46167</v>
      </c>
      <c r="D464">
        <v>88090.37</v>
      </c>
    </row>
    <row r="465" spans="1:4" x14ac:dyDescent="0.3">
      <c r="A465" t="s">
        <v>24</v>
      </c>
      <c r="C465" s="18">
        <v>46167</v>
      </c>
      <c r="D465">
        <v>2498.3999999999996</v>
      </c>
    </row>
    <row r="466" spans="1:4" x14ac:dyDescent="0.3">
      <c r="A466" t="s">
        <v>25</v>
      </c>
      <c r="C466" s="18">
        <v>46167</v>
      </c>
      <c r="D466">
        <v>114.3</v>
      </c>
    </row>
    <row r="467" spans="1:4" x14ac:dyDescent="0.3">
      <c r="A467" t="s">
        <v>26</v>
      </c>
      <c r="C467" s="18">
        <v>46167</v>
      </c>
      <c r="D467">
        <v>2267.7200000000003</v>
      </c>
    </row>
    <row r="468" spans="1:4" x14ac:dyDescent="0.3">
      <c r="A468" t="s">
        <v>27</v>
      </c>
      <c r="C468" s="18">
        <v>46167</v>
      </c>
      <c r="D468">
        <v>3349.94</v>
      </c>
    </row>
    <row r="469" spans="1:4" x14ac:dyDescent="0.3">
      <c r="A469" t="s">
        <v>28</v>
      </c>
      <c r="C469" s="18">
        <v>46167</v>
      </c>
      <c r="D469">
        <v>1968.99</v>
      </c>
    </row>
    <row r="470" spans="1:4" x14ac:dyDescent="0.3">
      <c r="A470" t="s">
        <v>29</v>
      </c>
      <c r="C470" s="18">
        <v>46167</v>
      </c>
      <c r="D470">
        <v>901.34</v>
      </c>
    </row>
    <row r="471" spans="1:4" x14ac:dyDescent="0.3">
      <c r="A471" t="s">
        <v>30</v>
      </c>
      <c r="C471" s="18">
        <v>46167</v>
      </c>
      <c r="D471">
        <v>1444.08</v>
      </c>
    </row>
    <row r="472" spans="1:4" x14ac:dyDescent="0.3">
      <c r="A472" t="s">
        <v>31</v>
      </c>
      <c r="C472" s="18">
        <v>46167</v>
      </c>
      <c r="D472">
        <v>15463.59999999996</v>
      </c>
    </row>
    <row r="473" spans="1:4" x14ac:dyDescent="0.3">
      <c r="A473" t="s">
        <v>32</v>
      </c>
      <c r="C473" s="18">
        <v>46167</v>
      </c>
      <c r="D473">
        <v>15120.060000000001</v>
      </c>
    </row>
    <row r="474" spans="1:4" x14ac:dyDescent="0.3">
      <c r="A474" t="s">
        <v>33</v>
      </c>
      <c r="C474" s="18">
        <v>46167</v>
      </c>
      <c r="D474">
        <v>29206.27</v>
      </c>
    </row>
    <row r="475" spans="1:4" x14ac:dyDescent="0.3">
      <c r="A475" t="s">
        <v>34</v>
      </c>
      <c r="C475" s="18">
        <v>46167</v>
      </c>
      <c r="D475">
        <v>345</v>
      </c>
    </row>
    <row r="476" spans="1:4" x14ac:dyDescent="0.3">
      <c r="A476" t="s">
        <v>35</v>
      </c>
      <c r="C476" s="18">
        <v>46167</v>
      </c>
      <c r="D476">
        <v>8168.0700000000006</v>
      </c>
    </row>
    <row r="477" spans="1:4" x14ac:dyDescent="0.3">
      <c r="A477" t="s">
        <v>17</v>
      </c>
      <c r="C477" s="18">
        <v>46168</v>
      </c>
      <c r="D477">
        <v>253154.33000000013</v>
      </c>
    </row>
    <row r="478" spans="1:4" x14ac:dyDescent="0.3">
      <c r="A478" t="s">
        <v>18</v>
      </c>
      <c r="C478" s="18">
        <v>46168</v>
      </c>
      <c r="D478">
        <v>1259760.1600000001</v>
      </c>
    </row>
    <row r="479" spans="1:4" x14ac:dyDescent="0.3">
      <c r="A479" t="s">
        <v>19</v>
      </c>
      <c r="C479" s="18">
        <v>46168</v>
      </c>
      <c r="D479">
        <v>1669.89</v>
      </c>
    </row>
    <row r="480" spans="1:4" x14ac:dyDescent="0.3">
      <c r="A480" t="s">
        <v>20</v>
      </c>
      <c r="C480" s="18">
        <v>46168</v>
      </c>
      <c r="D480">
        <v>497076.20999999985</v>
      </c>
    </row>
    <row r="481" spans="1:4" x14ac:dyDescent="0.3">
      <c r="A481" t="s">
        <v>21</v>
      </c>
      <c r="C481" s="18">
        <v>46168</v>
      </c>
      <c r="D481">
        <v>980426.88999999932</v>
      </c>
    </row>
    <row r="482" spans="1:4" x14ac:dyDescent="0.3">
      <c r="A482" t="s">
        <v>22</v>
      </c>
      <c r="C482" s="18">
        <v>46168</v>
      </c>
      <c r="D482">
        <v>104209.49</v>
      </c>
    </row>
    <row r="483" spans="1:4" x14ac:dyDescent="0.3">
      <c r="A483" t="s">
        <v>23</v>
      </c>
      <c r="C483" s="18">
        <v>46168</v>
      </c>
      <c r="D483">
        <v>88090.37</v>
      </c>
    </row>
    <row r="484" spans="1:4" x14ac:dyDescent="0.3">
      <c r="A484" t="s">
        <v>24</v>
      </c>
      <c r="C484" s="18">
        <v>46168</v>
      </c>
      <c r="D484">
        <v>2498.3999999999996</v>
      </c>
    </row>
    <row r="485" spans="1:4" x14ac:dyDescent="0.3">
      <c r="A485" t="s">
        <v>25</v>
      </c>
      <c r="C485" s="18">
        <v>46168</v>
      </c>
      <c r="D485">
        <v>114.3</v>
      </c>
    </row>
    <row r="486" spans="1:4" x14ac:dyDescent="0.3">
      <c r="A486" t="s">
        <v>26</v>
      </c>
      <c r="C486" s="18">
        <v>46168</v>
      </c>
      <c r="D486">
        <v>2267.7200000000003</v>
      </c>
    </row>
    <row r="487" spans="1:4" x14ac:dyDescent="0.3">
      <c r="A487" t="s">
        <v>27</v>
      </c>
      <c r="C487" s="18">
        <v>46168</v>
      </c>
      <c r="D487">
        <v>3349.94</v>
      </c>
    </row>
    <row r="488" spans="1:4" x14ac:dyDescent="0.3">
      <c r="A488" t="s">
        <v>28</v>
      </c>
      <c r="C488" s="18">
        <v>46168</v>
      </c>
      <c r="D488">
        <v>1968.99</v>
      </c>
    </row>
    <row r="489" spans="1:4" x14ac:dyDescent="0.3">
      <c r="A489" t="s">
        <v>29</v>
      </c>
      <c r="C489" s="18">
        <v>46168</v>
      </c>
      <c r="D489">
        <v>901.34</v>
      </c>
    </row>
    <row r="490" spans="1:4" x14ac:dyDescent="0.3">
      <c r="A490" t="s">
        <v>30</v>
      </c>
      <c r="C490" s="18">
        <v>46168</v>
      </c>
      <c r="D490">
        <v>1444.08</v>
      </c>
    </row>
    <row r="491" spans="1:4" x14ac:dyDescent="0.3">
      <c r="A491" t="s">
        <v>31</v>
      </c>
      <c r="C491" s="18">
        <v>46168</v>
      </c>
      <c r="D491">
        <v>15463.59999999996</v>
      </c>
    </row>
    <row r="492" spans="1:4" x14ac:dyDescent="0.3">
      <c r="A492" t="s">
        <v>32</v>
      </c>
      <c r="C492" s="18">
        <v>46168</v>
      </c>
      <c r="D492">
        <v>15120.060000000001</v>
      </c>
    </row>
    <row r="493" spans="1:4" x14ac:dyDescent="0.3">
      <c r="A493" t="s">
        <v>33</v>
      </c>
      <c r="C493" s="18">
        <v>46168</v>
      </c>
      <c r="D493">
        <v>29206.27</v>
      </c>
    </row>
    <row r="494" spans="1:4" x14ac:dyDescent="0.3">
      <c r="A494" t="s">
        <v>34</v>
      </c>
      <c r="C494" s="18">
        <v>46168</v>
      </c>
      <c r="D494">
        <v>345</v>
      </c>
    </row>
    <row r="495" spans="1:4" x14ac:dyDescent="0.3">
      <c r="A495" t="s">
        <v>35</v>
      </c>
      <c r="C495" s="18">
        <v>46168</v>
      </c>
      <c r="D495">
        <v>8168.0700000000006</v>
      </c>
    </row>
    <row r="496" spans="1:4" x14ac:dyDescent="0.3">
      <c r="A496" t="s">
        <v>17</v>
      </c>
      <c r="C496" s="18">
        <v>46169</v>
      </c>
      <c r="D496">
        <v>259371.70000000013</v>
      </c>
    </row>
    <row r="497" spans="1:4" x14ac:dyDescent="0.3">
      <c r="A497" t="s">
        <v>18</v>
      </c>
      <c r="C497" s="18">
        <v>46169</v>
      </c>
      <c r="D497">
        <v>1259760.1600000001</v>
      </c>
    </row>
    <row r="498" spans="1:4" x14ac:dyDescent="0.3">
      <c r="A498" t="s">
        <v>19</v>
      </c>
      <c r="C498" s="18">
        <v>46169</v>
      </c>
      <c r="D498">
        <v>1669.89</v>
      </c>
    </row>
    <row r="499" spans="1:4" x14ac:dyDescent="0.3">
      <c r="A499" t="s">
        <v>20</v>
      </c>
      <c r="C499" s="18">
        <v>46169</v>
      </c>
      <c r="D499">
        <v>514616.73999999987</v>
      </c>
    </row>
    <row r="500" spans="1:4" x14ac:dyDescent="0.3">
      <c r="A500" t="s">
        <v>21</v>
      </c>
      <c r="C500" s="18">
        <v>46169</v>
      </c>
      <c r="D500">
        <v>980426.88999999932</v>
      </c>
    </row>
    <row r="501" spans="1:4" x14ac:dyDescent="0.3">
      <c r="A501" t="s">
        <v>22</v>
      </c>
      <c r="C501" s="18">
        <v>46169</v>
      </c>
      <c r="D501">
        <v>94209.49</v>
      </c>
    </row>
    <row r="502" spans="1:4" x14ac:dyDescent="0.3">
      <c r="A502" t="s">
        <v>23</v>
      </c>
      <c r="C502" s="18">
        <v>46169</v>
      </c>
      <c r="D502">
        <v>88090.37</v>
      </c>
    </row>
    <row r="503" spans="1:4" x14ac:dyDescent="0.3">
      <c r="A503" t="s">
        <v>24</v>
      </c>
      <c r="C503" s="18">
        <v>46169</v>
      </c>
      <c r="D503">
        <v>2498.3999999999996</v>
      </c>
    </row>
    <row r="504" spans="1:4" x14ac:dyDescent="0.3">
      <c r="A504" t="s">
        <v>25</v>
      </c>
      <c r="C504" s="18">
        <v>46169</v>
      </c>
      <c r="D504">
        <v>114.3</v>
      </c>
    </row>
    <row r="505" spans="1:4" x14ac:dyDescent="0.3">
      <c r="A505" t="s">
        <v>26</v>
      </c>
      <c r="C505" s="18">
        <v>46169</v>
      </c>
      <c r="D505">
        <v>2267.7200000000003</v>
      </c>
    </row>
    <row r="506" spans="1:4" x14ac:dyDescent="0.3">
      <c r="A506" t="s">
        <v>27</v>
      </c>
      <c r="C506" s="18">
        <v>46169</v>
      </c>
      <c r="D506">
        <v>3349.94</v>
      </c>
    </row>
    <row r="507" spans="1:4" x14ac:dyDescent="0.3">
      <c r="A507" t="s">
        <v>28</v>
      </c>
      <c r="C507" s="18">
        <v>46169</v>
      </c>
      <c r="D507">
        <v>1968.99</v>
      </c>
    </row>
    <row r="508" spans="1:4" x14ac:dyDescent="0.3">
      <c r="A508" t="s">
        <v>29</v>
      </c>
      <c r="C508" s="18">
        <v>46169</v>
      </c>
      <c r="D508">
        <v>901.34</v>
      </c>
    </row>
    <row r="509" spans="1:4" x14ac:dyDescent="0.3">
      <c r="A509" t="s">
        <v>30</v>
      </c>
      <c r="C509" s="18">
        <v>46169</v>
      </c>
      <c r="D509">
        <v>1444.08</v>
      </c>
    </row>
    <row r="510" spans="1:4" x14ac:dyDescent="0.3">
      <c r="A510" t="s">
        <v>31</v>
      </c>
      <c r="C510" s="18">
        <v>46169</v>
      </c>
      <c r="D510">
        <v>15463.59999999996</v>
      </c>
    </row>
    <row r="511" spans="1:4" x14ac:dyDescent="0.3">
      <c r="A511" t="s">
        <v>32</v>
      </c>
      <c r="C511" s="18">
        <v>46169</v>
      </c>
      <c r="D511">
        <v>15120.060000000001</v>
      </c>
    </row>
    <row r="512" spans="1:4" x14ac:dyDescent="0.3">
      <c r="A512" t="s">
        <v>33</v>
      </c>
      <c r="C512" s="18">
        <v>46169</v>
      </c>
      <c r="D512">
        <v>33606.270000000004</v>
      </c>
    </row>
    <row r="513" spans="1:4" x14ac:dyDescent="0.3">
      <c r="A513" t="s">
        <v>34</v>
      </c>
      <c r="C513" s="18">
        <v>46169</v>
      </c>
      <c r="D513">
        <v>345</v>
      </c>
    </row>
    <row r="514" spans="1:4" x14ac:dyDescent="0.3">
      <c r="A514" t="s">
        <v>35</v>
      </c>
      <c r="C514" s="18">
        <v>46169</v>
      </c>
      <c r="D514">
        <v>17588.03</v>
      </c>
    </row>
    <row r="515" spans="1:4" x14ac:dyDescent="0.3">
      <c r="A515" t="s">
        <v>17</v>
      </c>
      <c r="C515" s="18">
        <v>46170</v>
      </c>
      <c r="D515">
        <v>986983.19000000006</v>
      </c>
    </row>
    <row r="516" spans="1:4" x14ac:dyDescent="0.3">
      <c r="A516" t="s">
        <v>18</v>
      </c>
      <c r="C516" s="18">
        <v>46170</v>
      </c>
      <c r="D516">
        <v>62397.280000000173</v>
      </c>
    </row>
    <row r="517" spans="1:4" x14ac:dyDescent="0.3">
      <c r="A517" t="s">
        <v>19</v>
      </c>
      <c r="C517" s="18">
        <v>46170</v>
      </c>
      <c r="D517">
        <v>1669.89</v>
      </c>
    </row>
    <row r="518" spans="1:4" x14ac:dyDescent="0.3">
      <c r="A518" t="s">
        <v>20</v>
      </c>
      <c r="C518" s="18">
        <v>46170</v>
      </c>
      <c r="D518">
        <v>376595.84999999986</v>
      </c>
    </row>
    <row r="519" spans="1:4" x14ac:dyDescent="0.3">
      <c r="A519" t="s">
        <v>21</v>
      </c>
      <c r="C519" s="18">
        <v>46170</v>
      </c>
      <c r="D519">
        <v>1090396.4799999993</v>
      </c>
    </row>
    <row r="520" spans="1:4" x14ac:dyDescent="0.3">
      <c r="A520" t="s">
        <v>22</v>
      </c>
      <c r="C520" s="18">
        <v>46170</v>
      </c>
      <c r="D520">
        <v>94209.49</v>
      </c>
    </row>
    <row r="521" spans="1:4" x14ac:dyDescent="0.3">
      <c r="A521" t="s">
        <v>23</v>
      </c>
      <c r="C521" s="18">
        <v>46170</v>
      </c>
      <c r="D521">
        <v>88090.37</v>
      </c>
    </row>
    <row r="522" spans="1:4" x14ac:dyDescent="0.3">
      <c r="A522" t="s">
        <v>24</v>
      </c>
      <c r="C522" s="18">
        <v>46170</v>
      </c>
      <c r="D522">
        <v>2498.3999999999996</v>
      </c>
    </row>
    <row r="523" spans="1:4" x14ac:dyDescent="0.3">
      <c r="A523" t="s">
        <v>25</v>
      </c>
      <c r="C523" s="18">
        <v>46170</v>
      </c>
      <c r="D523">
        <v>114.3</v>
      </c>
    </row>
    <row r="524" spans="1:4" x14ac:dyDescent="0.3">
      <c r="A524" t="s">
        <v>26</v>
      </c>
      <c r="C524" s="18">
        <v>46170</v>
      </c>
      <c r="D524">
        <v>2267.7200000000003</v>
      </c>
    </row>
    <row r="525" spans="1:4" x14ac:dyDescent="0.3">
      <c r="A525" t="s">
        <v>27</v>
      </c>
      <c r="C525" s="18">
        <v>46170</v>
      </c>
      <c r="D525">
        <v>3349.94</v>
      </c>
    </row>
    <row r="526" spans="1:4" x14ac:dyDescent="0.3">
      <c r="A526" t="s">
        <v>28</v>
      </c>
      <c r="C526" s="18">
        <v>46170</v>
      </c>
      <c r="D526">
        <v>1968.99</v>
      </c>
    </row>
    <row r="527" spans="1:4" x14ac:dyDescent="0.3">
      <c r="A527" t="s">
        <v>29</v>
      </c>
      <c r="C527" s="18">
        <v>46170</v>
      </c>
      <c r="D527">
        <v>901.34</v>
      </c>
    </row>
    <row r="528" spans="1:4" x14ac:dyDescent="0.3">
      <c r="A528" t="s">
        <v>30</v>
      </c>
      <c r="C528" s="18">
        <v>46170</v>
      </c>
      <c r="D528">
        <v>1444.08</v>
      </c>
    </row>
    <row r="529" spans="1:4" x14ac:dyDescent="0.3">
      <c r="A529" t="s">
        <v>31</v>
      </c>
      <c r="C529" s="18">
        <v>46170</v>
      </c>
      <c r="D529">
        <v>35463.599999999962</v>
      </c>
    </row>
    <row r="530" spans="1:4" x14ac:dyDescent="0.3">
      <c r="A530" t="s">
        <v>32</v>
      </c>
      <c r="C530" s="18">
        <v>46170</v>
      </c>
      <c r="D530">
        <v>15120.060000000001</v>
      </c>
    </row>
    <row r="531" spans="1:4" x14ac:dyDescent="0.3">
      <c r="A531" t="s">
        <v>33</v>
      </c>
      <c r="C531" s="18">
        <v>46170</v>
      </c>
      <c r="D531">
        <v>33606.270000000004</v>
      </c>
    </row>
    <row r="532" spans="1:4" x14ac:dyDescent="0.3">
      <c r="A532" t="s">
        <v>34</v>
      </c>
      <c r="C532" s="18">
        <v>46170</v>
      </c>
      <c r="D532">
        <v>345</v>
      </c>
    </row>
    <row r="533" spans="1:4" x14ac:dyDescent="0.3">
      <c r="A533" t="s">
        <v>35</v>
      </c>
      <c r="C533" s="18">
        <v>46170</v>
      </c>
      <c r="D533">
        <v>9076.2400000000016</v>
      </c>
    </row>
    <row r="534" spans="1:4" x14ac:dyDescent="0.3">
      <c r="A534" t="s">
        <v>17</v>
      </c>
      <c r="C534" s="18">
        <v>46171</v>
      </c>
      <c r="D534">
        <v>983394.14000000013</v>
      </c>
    </row>
    <row r="535" spans="1:4" x14ac:dyDescent="0.3">
      <c r="A535" t="s">
        <v>18</v>
      </c>
      <c r="C535" s="18">
        <v>46171</v>
      </c>
      <c r="D535">
        <v>62397.280000000173</v>
      </c>
    </row>
    <row r="536" spans="1:4" x14ac:dyDescent="0.3">
      <c r="A536" t="s">
        <v>19</v>
      </c>
      <c r="C536" s="18">
        <v>46171</v>
      </c>
      <c r="D536">
        <v>1669.89</v>
      </c>
    </row>
    <row r="537" spans="1:4" x14ac:dyDescent="0.3">
      <c r="A537" t="s">
        <v>20</v>
      </c>
      <c r="C537" s="18">
        <v>46171</v>
      </c>
      <c r="D537">
        <v>424853.11999999988</v>
      </c>
    </row>
    <row r="538" spans="1:4" x14ac:dyDescent="0.3">
      <c r="A538" t="s">
        <v>21</v>
      </c>
      <c r="C538" s="18">
        <v>46171</v>
      </c>
      <c r="D538">
        <v>1015901.6699999992</v>
      </c>
    </row>
    <row r="539" spans="1:4" x14ac:dyDescent="0.3">
      <c r="A539" t="s">
        <v>22</v>
      </c>
      <c r="C539" s="18">
        <v>46171</v>
      </c>
      <c r="D539">
        <v>94209.49</v>
      </c>
    </row>
    <row r="540" spans="1:4" x14ac:dyDescent="0.3">
      <c r="A540" t="s">
        <v>23</v>
      </c>
      <c r="C540" s="18">
        <v>46171</v>
      </c>
      <c r="D540">
        <v>88090.37</v>
      </c>
    </row>
    <row r="541" spans="1:4" x14ac:dyDescent="0.3">
      <c r="A541" t="s">
        <v>24</v>
      </c>
      <c r="C541" s="18">
        <v>46171</v>
      </c>
      <c r="D541">
        <v>1227.9699999999998</v>
      </c>
    </row>
    <row r="542" spans="1:4" x14ac:dyDescent="0.3">
      <c r="A542" t="s">
        <v>25</v>
      </c>
      <c r="C542" s="18">
        <v>46171</v>
      </c>
      <c r="D542">
        <v>114.3</v>
      </c>
    </row>
    <row r="543" spans="1:4" x14ac:dyDescent="0.3">
      <c r="A543" t="s">
        <v>26</v>
      </c>
      <c r="C543" s="18">
        <v>46171</v>
      </c>
      <c r="D543">
        <v>2267.7200000000003</v>
      </c>
    </row>
    <row r="544" spans="1:4" x14ac:dyDescent="0.3">
      <c r="A544" t="s">
        <v>27</v>
      </c>
      <c r="C544" s="18">
        <v>46171</v>
      </c>
      <c r="D544">
        <v>3349.94</v>
      </c>
    </row>
    <row r="545" spans="1:4" x14ac:dyDescent="0.3">
      <c r="A545" t="s">
        <v>28</v>
      </c>
      <c r="C545" s="18">
        <v>46171</v>
      </c>
      <c r="D545">
        <v>1968.99</v>
      </c>
    </row>
    <row r="546" spans="1:4" x14ac:dyDescent="0.3">
      <c r="A546" t="s">
        <v>29</v>
      </c>
      <c r="C546" s="18">
        <v>46171</v>
      </c>
      <c r="D546">
        <v>901.34</v>
      </c>
    </row>
    <row r="547" spans="1:4" x14ac:dyDescent="0.3">
      <c r="A547" t="s">
        <v>30</v>
      </c>
      <c r="C547" s="18">
        <v>46171</v>
      </c>
      <c r="D547">
        <v>1444.08</v>
      </c>
    </row>
    <row r="548" spans="1:4" x14ac:dyDescent="0.3">
      <c r="A548" t="s">
        <v>31</v>
      </c>
      <c r="C548" s="18">
        <v>46171</v>
      </c>
      <c r="D548">
        <v>35448.599999999962</v>
      </c>
    </row>
    <row r="549" spans="1:4" x14ac:dyDescent="0.3">
      <c r="A549" t="s">
        <v>32</v>
      </c>
      <c r="C549" s="18">
        <v>46171</v>
      </c>
      <c r="D549">
        <v>15120.060000000001</v>
      </c>
    </row>
    <row r="550" spans="1:4" x14ac:dyDescent="0.3">
      <c r="A550" t="s">
        <v>33</v>
      </c>
      <c r="C550" s="18">
        <v>46171</v>
      </c>
      <c r="D550">
        <v>33606.270000000004</v>
      </c>
    </row>
    <row r="551" spans="1:4" x14ac:dyDescent="0.3">
      <c r="A551" t="s">
        <v>34</v>
      </c>
      <c r="C551" s="18">
        <v>46171</v>
      </c>
      <c r="D551">
        <v>345</v>
      </c>
    </row>
    <row r="552" spans="1:4" x14ac:dyDescent="0.3">
      <c r="A552" t="s">
        <v>35</v>
      </c>
      <c r="C552" s="18">
        <v>46171</v>
      </c>
      <c r="D552">
        <v>9076.2400000000016</v>
      </c>
    </row>
    <row r="553" spans="1:4" x14ac:dyDescent="0.3">
      <c r="A553" t="s">
        <v>17</v>
      </c>
      <c r="C553" s="18">
        <v>46172</v>
      </c>
      <c r="D553">
        <v>983394.14000000013</v>
      </c>
    </row>
    <row r="554" spans="1:4" x14ac:dyDescent="0.3">
      <c r="A554" t="s">
        <v>18</v>
      </c>
      <c r="C554" s="18">
        <v>46172</v>
      </c>
      <c r="D554">
        <v>62397.280000000173</v>
      </c>
    </row>
    <row r="555" spans="1:4" x14ac:dyDescent="0.3">
      <c r="A555" t="s">
        <v>19</v>
      </c>
      <c r="C555" s="18">
        <v>46172</v>
      </c>
      <c r="D555">
        <v>1669.89</v>
      </c>
    </row>
    <row r="556" spans="1:4" x14ac:dyDescent="0.3">
      <c r="A556" t="s">
        <v>20</v>
      </c>
      <c r="C556" s="18">
        <v>46172</v>
      </c>
      <c r="D556">
        <v>424853.11999999988</v>
      </c>
    </row>
    <row r="557" spans="1:4" x14ac:dyDescent="0.3">
      <c r="A557" t="s">
        <v>21</v>
      </c>
      <c r="C557" s="18">
        <v>46172</v>
      </c>
      <c r="D557">
        <v>1015901.6699999992</v>
      </c>
    </row>
    <row r="558" spans="1:4" x14ac:dyDescent="0.3">
      <c r="A558" t="s">
        <v>22</v>
      </c>
      <c r="C558" s="18">
        <v>46172</v>
      </c>
      <c r="D558">
        <v>94209.49</v>
      </c>
    </row>
    <row r="559" spans="1:4" x14ac:dyDescent="0.3">
      <c r="A559" t="s">
        <v>23</v>
      </c>
      <c r="C559" s="18">
        <v>46172</v>
      </c>
      <c r="D559">
        <v>88090.37</v>
      </c>
    </row>
    <row r="560" spans="1:4" x14ac:dyDescent="0.3">
      <c r="A560" t="s">
        <v>24</v>
      </c>
      <c r="C560" s="18">
        <v>46172</v>
      </c>
      <c r="D560">
        <v>1227.9699999999998</v>
      </c>
    </row>
    <row r="561" spans="1:4" x14ac:dyDescent="0.3">
      <c r="A561" t="s">
        <v>25</v>
      </c>
      <c r="C561" s="18">
        <v>46172</v>
      </c>
      <c r="D561">
        <v>114.3</v>
      </c>
    </row>
    <row r="562" spans="1:4" x14ac:dyDescent="0.3">
      <c r="A562" t="s">
        <v>26</v>
      </c>
      <c r="C562" s="18">
        <v>46172</v>
      </c>
      <c r="D562">
        <v>2267.7200000000003</v>
      </c>
    </row>
    <row r="563" spans="1:4" x14ac:dyDescent="0.3">
      <c r="A563" t="s">
        <v>27</v>
      </c>
      <c r="C563" s="18">
        <v>46172</v>
      </c>
      <c r="D563">
        <v>3349.94</v>
      </c>
    </row>
    <row r="564" spans="1:4" x14ac:dyDescent="0.3">
      <c r="A564" t="s">
        <v>28</v>
      </c>
      <c r="C564" s="18">
        <v>46172</v>
      </c>
      <c r="D564">
        <v>1968.99</v>
      </c>
    </row>
    <row r="565" spans="1:4" x14ac:dyDescent="0.3">
      <c r="A565" t="s">
        <v>29</v>
      </c>
      <c r="C565" s="18">
        <v>46172</v>
      </c>
      <c r="D565">
        <v>901.34</v>
      </c>
    </row>
    <row r="566" spans="1:4" x14ac:dyDescent="0.3">
      <c r="A566" t="s">
        <v>30</v>
      </c>
      <c r="C566" s="18">
        <v>46172</v>
      </c>
      <c r="D566">
        <v>1444.08</v>
      </c>
    </row>
    <row r="567" spans="1:4" x14ac:dyDescent="0.3">
      <c r="A567" t="s">
        <v>31</v>
      </c>
      <c r="C567" s="18">
        <v>46172</v>
      </c>
      <c r="D567">
        <v>35448.599999999962</v>
      </c>
    </row>
    <row r="568" spans="1:4" x14ac:dyDescent="0.3">
      <c r="A568" t="s">
        <v>32</v>
      </c>
      <c r="C568" s="18">
        <v>46172</v>
      </c>
      <c r="D568">
        <v>15120.060000000001</v>
      </c>
    </row>
    <row r="569" spans="1:4" x14ac:dyDescent="0.3">
      <c r="A569" t="s">
        <v>33</v>
      </c>
      <c r="C569" s="18">
        <v>46172</v>
      </c>
      <c r="D569">
        <v>33606.270000000004</v>
      </c>
    </row>
    <row r="570" spans="1:4" x14ac:dyDescent="0.3">
      <c r="A570" t="s">
        <v>34</v>
      </c>
      <c r="C570" s="18">
        <v>46172</v>
      </c>
      <c r="D570">
        <v>345</v>
      </c>
    </row>
    <row r="571" spans="1:4" x14ac:dyDescent="0.3">
      <c r="A571" t="s">
        <v>35</v>
      </c>
      <c r="C571" s="18">
        <v>46172</v>
      </c>
      <c r="D571">
        <v>9076.2400000000016</v>
      </c>
    </row>
    <row r="572" spans="1:4" x14ac:dyDescent="0.3">
      <c r="A572" t="s">
        <v>17</v>
      </c>
      <c r="C572" s="18">
        <v>46173</v>
      </c>
      <c r="D572">
        <v>983394.14000000013</v>
      </c>
    </row>
    <row r="573" spans="1:4" x14ac:dyDescent="0.3">
      <c r="A573" t="s">
        <v>18</v>
      </c>
      <c r="C573" s="18">
        <v>46173</v>
      </c>
      <c r="D573">
        <v>62397.280000000173</v>
      </c>
    </row>
    <row r="574" spans="1:4" x14ac:dyDescent="0.3">
      <c r="A574" t="s">
        <v>19</v>
      </c>
      <c r="C574" s="18">
        <v>46173</v>
      </c>
      <c r="D574">
        <v>1669.89</v>
      </c>
    </row>
    <row r="575" spans="1:4" x14ac:dyDescent="0.3">
      <c r="A575" t="s">
        <v>20</v>
      </c>
      <c r="C575" s="18">
        <v>46173</v>
      </c>
      <c r="D575">
        <v>424853.11999999988</v>
      </c>
    </row>
    <row r="576" spans="1:4" x14ac:dyDescent="0.3">
      <c r="A576" t="s">
        <v>21</v>
      </c>
      <c r="C576" s="18">
        <v>46173</v>
      </c>
      <c r="D576">
        <v>1015901.6699999992</v>
      </c>
    </row>
    <row r="577" spans="1:4" x14ac:dyDescent="0.3">
      <c r="A577" t="s">
        <v>22</v>
      </c>
      <c r="C577" s="18">
        <v>46173</v>
      </c>
      <c r="D577">
        <v>94209.49</v>
      </c>
    </row>
    <row r="578" spans="1:4" x14ac:dyDescent="0.3">
      <c r="A578" t="s">
        <v>23</v>
      </c>
      <c r="C578" s="18">
        <v>46173</v>
      </c>
      <c r="D578">
        <v>88090.37</v>
      </c>
    </row>
    <row r="579" spans="1:4" x14ac:dyDescent="0.3">
      <c r="A579" t="s">
        <v>24</v>
      </c>
      <c r="C579" s="18">
        <v>46173</v>
      </c>
      <c r="D579">
        <v>1227.9699999999998</v>
      </c>
    </row>
    <row r="580" spans="1:4" x14ac:dyDescent="0.3">
      <c r="A580" t="s">
        <v>25</v>
      </c>
      <c r="C580" s="18">
        <v>46173</v>
      </c>
      <c r="D580">
        <v>114.3</v>
      </c>
    </row>
    <row r="581" spans="1:4" x14ac:dyDescent="0.3">
      <c r="A581" t="s">
        <v>26</v>
      </c>
      <c r="C581" s="18">
        <v>46173</v>
      </c>
      <c r="D581">
        <v>2267.7200000000003</v>
      </c>
    </row>
    <row r="582" spans="1:4" x14ac:dyDescent="0.3">
      <c r="A582" t="s">
        <v>27</v>
      </c>
      <c r="C582" s="18">
        <v>46173</v>
      </c>
      <c r="D582">
        <v>3349.94</v>
      </c>
    </row>
    <row r="583" spans="1:4" x14ac:dyDescent="0.3">
      <c r="A583" t="s">
        <v>28</v>
      </c>
      <c r="C583" s="18">
        <v>46173</v>
      </c>
      <c r="D583">
        <v>1968.99</v>
      </c>
    </row>
    <row r="584" spans="1:4" x14ac:dyDescent="0.3">
      <c r="A584" t="s">
        <v>29</v>
      </c>
      <c r="C584" s="18">
        <v>46173</v>
      </c>
      <c r="D584">
        <v>901.34</v>
      </c>
    </row>
    <row r="585" spans="1:4" x14ac:dyDescent="0.3">
      <c r="A585" t="s">
        <v>30</v>
      </c>
      <c r="C585" s="18">
        <v>46173</v>
      </c>
      <c r="D585">
        <v>1444.08</v>
      </c>
    </row>
    <row r="586" spans="1:4" x14ac:dyDescent="0.3">
      <c r="A586" t="s">
        <v>31</v>
      </c>
      <c r="C586" s="18">
        <v>46173</v>
      </c>
      <c r="D586">
        <v>35448.599999999962</v>
      </c>
    </row>
    <row r="587" spans="1:4" x14ac:dyDescent="0.3">
      <c r="A587" t="s">
        <v>32</v>
      </c>
      <c r="C587" s="18">
        <v>46173</v>
      </c>
      <c r="D587">
        <v>15120.060000000001</v>
      </c>
    </row>
    <row r="588" spans="1:4" x14ac:dyDescent="0.3">
      <c r="A588" t="s">
        <v>33</v>
      </c>
      <c r="C588" s="18">
        <v>46173</v>
      </c>
      <c r="D588">
        <v>33606.270000000004</v>
      </c>
    </row>
    <row r="589" spans="1:4" x14ac:dyDescent="0.3">
      <c r="A589" t="s">
        <v>34</v>
      </c>
      <c r="C589" s="18">
        <v>46173</v>
      </c>
      <c r="D589">
        <v>345</v>
      </c>
    </row>
    <row r="590" spans="1:4" x14ac:dyDescent="0.3">
      <c r="A590" t="s">
        <v>35</v>
      </c>
      <c r="C590" s="18">
        <v>46173</v>
      </c>
      <c r="D590">
        <v>9076.2400000000016</v>
      </c>
    </row>
    <row r="591" spans="1:4" x14ac:dyDescent="0.3">
      <c r="A591" t="s">
        <v>17</v>
      </c>
      <c r="C591" s="18">
        <v>46174</v>
      </c>
      <c r="D591">
        <v>983394.14000000013</v>
      </c>
    </row>
    <row r="592" spans="1:4" x14ac:dyDescent="0.3">
      <c r="A592" t="s">
        <v>18</v>
      </c>
      <c r="C592" s="18">
        <v>46174</v>
      </c>
      <c r="D592">
        <v>69376.390000000174</v>
      </c>
    </row>
    <row r="593" spans="1:4" x14ac:dyDescent="0.3">
      <c r="A593" t="s">
        <v>19</v>
      </c>
      <c r="C593" s="18">
        <v>46174</v>
      </c>
      <c r="D593">
        <v>1669.89</v>
      </c>
    </row>
    <row r="594" spans="1:4" x14ac:dyDescent="0.3">
      <c r="A594" t="s">
        <v>20</v>
      </c>
      <c r="C594" s="18">
        <v>46174</v>
      </c>
      <c r="D594">
        <v>804853.11999999988</v>
      </c>
    </row>
    <row r="595" spans="1:4" x14ac:dyDescent="0.3">
      <c r="A595" t="s">
        <v>21</v>
      </c>
      <c r="C595" s="18">
        <v>46174</v>
      </c>
      <c r="D595">
        <v>1015901.6699999992</v>
      </c>
    </row>
    <row r="596" spans="1:4" x14ac:dyDescent="0.3">
      <c r="A596" t="s">
        <v>22</v>
      </c>
      <c r="C596" s="18">
        <v>46174</v>
      </c>
      <c r="D596">
        <v>94209.49</v>
      </c>
    </row>
    <row r="597" spans="1:4" x14ac:dyDescent="0.3">
      <c r="A597" t="s">
        <v>23</v>
      </c>
      <c r="C597" s="18">
        <v>46174</v>
      </c>
      <c r="D597">
        <v>88090.37</v>
      </c>
    </row>
    <row r="598" spans="1:4" x14ac:dyDescent="0.3">
      <c r="A598" t="s">
        <v>24</v>
      </c>
      <c r="C598" s="18">
        <v>46174</v>
      </c>
      <c r="D598">
        <v>1227.9699999999998</v>
      </c>
    </row>
    <row r="599" spans="1:4" x14ac:dyDescent="0.3">
      <c r="A599" t="s">
        <v>25</v>
      </c>
      <c r="C599" s="18">
        <v>46174</v>
      </c>
      <c r="D599">
        <v>84.35</v>
      </c>
    </row>
    <row r="600" spans="1:4" x14ac:dyDescent="0.3">
      <c r="A600" t="s">
        <v>26</v>
      </c>
      <c r="C600" s="18">
        <v>46174</v>
      </c>
      <c r="D600">
        <v>2237.77</v>
      </c>
    </row>
    <row r="601" spans="1:4" x14ac:dyDescent="0.3">
      <c r="A601" t="s">
        <v>27</v>
      </c>
      <c r="C601" s="18">
        <v>46174</v>
      </c>
      <c r="D601">
        <v>3349.94</v>
      </c>
    </row>
    <row r="602" spans="1:4" x14ac:dyDescent="0.3">
      <c r="A602" t="s">
        <v>28</v>
      </c>
      <c r="C602" s="18">
        <v>46174</v>
      </c>
      <c r="D602">
        <v>1968.99</v>
      </c>
    </row>
    <row r="603" spans="1:4" x14ac:dyDescent="0.3">
      <c r="A603" t="s">
        <v>29</v>
      </c>
      <c r="C603" s="18">
        <v>46174</v>
      </c>
      <c r="D603">
        <v>901.34</v>
      </c>
    </row>
    <row r="604" spans="1:4" x14ac:dyDescent="0.3">
      <c r="A604" t="s">
        <v>30</v>
      </c>
      <c r="C604" s="18">
        <v>46174</v>
      </c>
      <c r="D604">
        <v>1428.08</v>
      </c>
    </row>
    <row r="605" spans="1:4" x14ac:dyDescent="0.3">
      <c r="A605" t="s">
        <v>31</v>
      </c>
      <c r="C605" s="18">
        <v>46174</v>
      </c>
      <c r="D605">
        <v>26416.26999999996</v>
      </c>
    </row>
    <row r="606" spans="1:4" x14ac:dyDescent="0.3">
      <c r="A606" t="s">
        <v>32</v>
      </c>
      <c r="C606" s="18">
        <v>46174</v>
      </c>
      <c r="D606">
        <v>5321.4300000000021</v>
      </c>
    </row>
    <row r="607" spans="1:4" x14ac:dyDescent="0.3">
      <c r="A607" t="s">
        <v>33</v>
      </c>
      <c r="C607" s="18">
        <v>46174</v>
      </c>
      <c r="D607">
        <v>24833.23</v>
      </c>
    </row>
    <row r="608" spans="1:4" x14ac:dyDescent="0.3">
      <c r="A608" t="s">
        <v>34</v>
      </c>
      <c r="C608" s="18">
        <v>46174</v>
      </c>
      <c r="D608">
        <v>345</v>
      </c>
    </row>
    <row r="609" spans="1:4" x14ac:dyDescent="0.3">
      <c r="A609" t="s">
        <v>35</v>
      </c>
      <c r="C609" s="18">
        <v>46174</v>
      </c>
      <c r="D609">
        <v>6824.47</v>
      </c>
    </row>
    <row r="610" spans="1:4" x14ac:dyDescent="0.3">
      <c r="A610" t="s">
        <v>17</v>
      </c>
      <c r="C610" s="18">
        <v>46175</v>
      </c>
      <c r="D610">
        <v>983394.14000000013</v>
      </c>
    </row>
    <row r="611" spans="1:4" x14ac:dyDescent="0.3">
      <c r="A611" t="s">
        <v>18</v>
      </c>
      <c r="C611" s="18">
        <v>46175</v>
      </c>
      <c r="D611">
        <v>69376.390000000174</v>
      </c>
    </row>
    <row r="612" spans="1:4" x14ac:dyDescent="0.3">
      <c r="A612" t="s">
        <v>19</v>
      </c>
      <c r="C612" s="18">
        <v>46175</v>
      </c>
      <c r="D612">
        <v>1669.89</v>
      </c>
    </row>
    <row r="613" spans="1:4" x14ac:dyDescent="0.3">
      <c r="A613" t="s">
        <v>20</v>
      </c>
      <c r="C613" s="18">
        <v>46175</v>
      </c>
      <c r="D613">
        <v>804853.11999999988</v>
      </c>
    </row>
    <row r="614" spans="1:4" x14ac:dyDescent="0.3">
      <c r="A614" t="s">
        <v>21</v>
      </c>
      <c r="C614" s="18">
        <v>46175</v>
      </c>
      <c r="D614">
        <v>1015901.6699999992</v>
      </c>
    </row>
    <row r="615" spans="1:4" x14ac:dyDescent="0.3">
      <c r="A615" t="s">
        <v>22</v>
      </c>
      <c r="C615" s="18">
        <v>46175</v>
      </c>
      <c r="D615">
        <v>94209.49</v>
      </c>
    </row>
    <row r="616" spans="1:4" x14ac:dyDescent="0.3">
      <c r="A616" t="s">
        <v>23</v>
      </c>
      <c r="C616" s="18">
        <v>46175</v>
      </c>
      <c r="D616">
        <v>88090.37</v>
      </c>
    </row>
    <row r="617" spans="1:4" x14ac:dyDescent="0.3">
      <c r="A617" t="s">
        <v>24</v>
      </c>
      <c r="C617" s="18">
        <v>46175</v>
      </c>
      <c r="D617">
        <v>1227.9699999999998</v>
      </c>
    </row>
    <row r="618" spans="1:4" x14ac:dyDescent="0.3">
      <c r="A618" t="s">
        <v>25</v>
      </c>
      <c r="C618" s="18">
        <v>46175</v>
      </c>
      <c r="D618">
        <v>84.35</v>
      </c>
    </row>
    <row r="619" spans="1:4" x14ac:dyDescent="0.3">
      <c r="A619" t="s">
        <v>26</v>
      </c>
      <c r="C619" s="18">
        <v>46175</v>
      </c>
      <c r="D619">
        <v>2237.77</v>
      </c>
    </row>
    <row r="620" spans="1:4" x14ac:dyDescent="0.3">
      <c r="A620" t="s">
        <v>27</v>
      </c>
      <c r="C620" s="18">
        <v>46175</v>
      </c>
      <c r="D620">
        <v>3349.94</v>
      </c>
    </row>
    <row r="621" spans="1:4" x14ac:dyDescent="0.3">
      <c r="A621" t="s">
        <v>28</v>
      </c>
      <c r="C621" s="18">
        <v>46175</v>
      </c>
      <c r="D621">
        <v>1968.99</v>
      </c>
    </row>
    <row r="622" spans="1:4" x14ac:dyDescent="0.3">
      <c r="A622" t="s">
        <v>29</v>
      </c>
      <c r="C622" s="18">
        <v>46175</v>
      </c>
      <c r="D622">
        <v>901.34</v>
      </c>
    </row>
    <row r="623" spans="1:4" x14ac:dyDescent="0.3">
      <c r="A623" t="s">
        <v>30</v>
      </c>
      <c r="C623" s="18">
        <v>46175</v>
      </c>
      <c r="D623">
        <v>1428.08</v>
      </c>
    </row>
    <row r="624" spans="1:4" x14ac:dyDescent="0.3">
      <c r="A624" t="s">
        <v>31</v>
      </c>
      <c r="C624" s="18">
        <v>46175</v>
      </c>
      <c r="D624">
        <v>25789.969999999961</v>
      </c>
    </row>
    <row r="625" spans="1:4" x14ac:dyDescent="0.3">
      <c r="A625" t="s">
        <v>32</v>
      </c>
      <c r="C625" s="18">
        <v>46175</v>
      </c>
      <c r="D625">
        <v>5321.4300000000021</v>
      </c>
    </row>
    <row r="626" spans="1:4" x14ac:dyDescent="0.3">
      <c r="A626" t="s">
        <v>33</v>
      </c>
      <c r="C626" s="18">
        <v>46175</v>
      </c>
      <c r="D626">
        <v>24833.23</v>
      </c>
    </row>
    <row r="627" spans="1:4" x14ac:dyDescent="0.3">
      <c r="A627" t="s">
        <v>34</v>
      </c>
      <c r="C627" s="18">
        <v>46175</v>
      </c>
      <c r="D627">
        <v>345</v>
      </c>
    </row>
    <row r="628" spans="1:4" x14ac:dyDescent="0.3">
      <c r="A628" t="s">
        <v>35</v>
      </c>
      <c r="C628" s="18">
        <v>46175</v>
      </c>
      <c r="D628">
        <v>3514.8900000000012</v>
      </c>
    </row>
    <row r="629" spans="1:4" x14ac:dyDescent="0.3">
      <c r="A629" t="s">
        <v>17</v>
      </c>
      <c r="C629" s="18">
        <v>46176</v>
      </c>
      <c r="D629">
        <v>983394.14000000013</v>
      </c>
    </row>
    <row r="630" spans="1:4" x14ac:dyDescent="0.3">
      <c r="A630" t="s">
        <v>18</v>
      </c>
      <c r="C630" s="18">
        <v>46176</v>
      </c>
      <c r="D630">
        <v>69376.390000000174</v>
      </c>
    </row>
    <row r="631" spans="1:4" x14ac:dyDescent="0.3">
      <c r="A631" t="s">
        <v>19</v>
      </c>
      <c r="C631" s="18">
        <v>46176</v>
      </c>
      <c r="D631">
        <v>1669.89</v>
      </c>
    </row>
    <row r="632" spans="1:4" x14ac:dyDescent="0.3">
      <c r="A632" t="s">
        <v>20</v>
      </c>
      <c r="C632" s="18">
        <v>46176</v>
      </c>
      <c r="D632">
        <v>804853.11999999988</v>
      </c>
    </row>
    <row r="633" spans="1:4" x14ac:dyDescent="0.3">
      <c r="A633" t="s">
        <v>21</v>
      </c>
      <c r="C633" s="18">
        <v>46176</v>
      </c>
      <c r="D633">
        <v>1015611.6599999993</v>
      </c>
    </row>
    <row r="634" spans="1:4" x14ac:dyDescent="0.3">
      <c r="A634" t="s">
        <v>22</v>
      </c>
      <c r="C634" s="18">
        <v>46176</v>
      </c>
      <c r="D634">
        <v>88209.49</v>
      </c>
    </row>
    <row r="635" spans="1:4" x14ac:dyDescent="0.3">
      <c r="A635" t="s">
        <v>23</v>
      </c>
      <c r="C635" s="18">
        <v>46176</v>
      </c>
      <c r="D635">
        <v>88090.37</v>
      </c>
    </row>
    <row r="636" spans="1:4" x14ac:dyDescent="0.3">
      <c r="A636" t="s">
        <v>24</v>
      </c>
      <c r="C636" s="18">
        <v>46176</v>
      </c>
      <c r="D636">
        <v>1227.9699999999998</v>
      </c>
    </row>
    <row r="637" spans="1:4" x14ac:dyDescent="0.3">
      <c r="A637" t="s">
        <v>25</v>
      </c>
      <c r="C637" s="18">
        <v>46176</v>
      </c>
      <c r="D637">
        <v>84.35</v>
      </c>
    </row>
    <row r="638" spans="1:4" x14ac:dyDescent="0.3">
      <c r="A638" t="s">
        <v>26</v>
      </c>
      <c r="C638" s="18">
        <v>46176</v>
      </c>
      <c r="D638">
        <v>2237.77</v>
      </c>
    </row>
    <row r="639" spans="1:4" x14ac:dyDescent="0.3">
      <c r="A639" t="s">
        <v>27</v>
      </c>
      <c r="C639" s="18">
        <v>46176</v>
      </c>
      <c r="D639">
        <v>3349.94</v>
      </c>
    </row>
    <row r="640" spans="1:4" x14ac:dyDescent="0.3">
      <c r="A640" t="s">
        <v>28</v>
      </c>
      <c r="C640" s="18">
        <v>46176</v>
      </c>
      <c r="D640">
        <v>1968.99</v>
      </c>
    </row>
    <row r="641" spans="1:4" x14ac:dyDescent="0.3">
      <c r="A641" t="s">
        <v>29</v>
      </c>
      <c r="C641" s="18">
        <v>46176</v>
      </c>
      <c r="D641">
        <v>901.34</v>
      </c>
    </row>
    <row r="642" spans="1:4" x14ac:dyDescent="0.3">
      <c r="A642" t="s">
        <v>30</v>
      </c>
      <c r="C642" s="18">
        <v>46176</v>
      </c>
      <c r="D642">
        <v>1428.08</v>
      </c>
    </row>
    <row r="643" spans="1:4" x14ac:dyDescent="0.3">
      <c r="A643" t="s">
        <v>31</v>
      </c>
      <c r="C643" s="18">
        <v>46176</v>
      </c>
      <c r="D643">
        <v>25789.969999999961</v>
      </c>
    </row>
    <row r="644" spans="1:4" x14ac:dyDescent="0.3">
      <c r="A644" t="s">
        <v>32</v>
      </c>
      <c r="C644" s="18">
        <v>46176</v>
      </c>
      <c r="D644">
        <v>5321.4300000000021</v>
      </c>
    </row>
    <row r="645" spans="1:4" x14ac:dyDescent="0.3">
      <c r="A645" t="s">
        <v>33</v>
      </c>
      <c r="C645" s="18">
        <v>46176</v>
      </c>
      <c r="D645">
        <v>24833.23</v>
      </c>
    </row>
    <row r="646" spans="1:4" x14ac:dyDescent="0.3">
      <c r="A646" t="s">
        <v>34</v>
      </c>
      <c r="C646" s="18">
        <v>46176</v>
      </c>
      <c r="D646">
        <v>345</v>
      </c>
    </row>
    <row r="647" spans="1:4" x14ac:dyDescent="0.3">
      <c r="A647" t="s">
        <v>35</v>
      </c>
      <c r="C647" s="18">
        <v>46176</v>
      </c>
      <c r="D647">
        <v>3514.8900000000012</v>
      </c>
    </row>
    <row r="648" spans="1:4" x14ac:dyDescent="0.3">
      <c r="A648" t="s">
        <v>17</v>
      </c>
      <c r="C648" s="18">
        <v>46177</v>
      </c>
      <c r="D648">
        <v>733394.14000000013</v>
      </c>
    </row>
    <row r="649" spans="1:4" x14ac:dyDescent="0.3">
      <c r="A649" t="s">
        <v>18</v>
      </c>
      <c r="C649" s="18">
        <v>46177</v>
      </c>
      <c r="D649">
        <v>69376.390000000174</v>
      </c>
    </row>
    <row r="650" spans="1:4" x14ac:dyDescent="0.3">
      <c r="A650" t="s">
        <v>19</v>
      </c>
      <c r="C650" s="18">
        <v>46177</v>
      </c>
      <c r="D650">
        <v>1669.89</v>
      </c>
    </row>
    <row r="651" spans="1:4" x14ac:dyDescent="0.3">
      <c r="A651" t="s">
        <v>20</v>
      </c>
      <c r="C651" s="18">
        <v>46177</v>
      </c>
      <c r="D651">
        <v>729545.23999999987</v>
      </c>
    </row>
    <row r="652" spans="1:4" x14ac:dyDescent="0.3">
      <c r="A652" t="s">
        <v>21</v>
      </c>
      <c r="C652" s="18">
        <v>46177</v>
      </c>
      <c r="D652">
        <v>1171714.4499999993</v>
      </c>
    </row>
    <row r="653" spans="1:4" x14ac:dyDescent="0.3">
      <c r="A653" t="s">
        <v>22</v>
      </c>
      <c r="C653" s="18">
        <v>46177</v>
      </c>
      <c r="D653">
        <v>79209.490000000005</v>
      </c>
    </row>
    <row r="654" spans="1:4" x14ac:dyDescent="0.3">
      <c r="A654" t="s">
        <v>23</v>
      </c>
      <c r="C654" s="18">
        <v>46177</v>
      </c>
      <c r="D654">
        <v>88090.37</v>
      </c>
    </row>
    <row r="655" spans="1:4" x14ac:dyDescent="0.3">
      <c r="A655" t="s">
        <v>24</v>
      </c>
      <c r="C655" s="18">
        <v>46177</v>
      </c>
      <c r="D655">
        <v>1227.9699999999998</v>
      </c>
    </row>
    <row r="656" spans="1:4" x14ac:dyDescent="0.3">
      <c r="A656" t="s">
        <v>25</v>
      </c>
      <c r="C656" s="18">
        <v>46177</v>
      </c>
      <c r="D656">
        <v>84.35</v>
      </c>
    </row>
    <row r="657" spans="1:4" x14ac:dyDescent="0.3">
      <c r="A657" t="s">
        <v>26</v>
      </c>
      <c r="C657" s="18">
        <v>46177</v>
      </c>
      <c r="D657">
        <v>2237.77</v>
      </c>
    </row>
    <row r="658" spans="1:4" x14ac:dyDescent="0.3">
      <c r="A658" t="s">
        <v>27</v>
      </c>
      <c r="C658" s="18">
        <v>46177</v>
      </c>
      <c r="D658">
        <v>3349.94</v>
      </c>
    </row>
    <row r="659" spans="1:4" x14ac:dyDescent="0.3">
      <c r="A659" t="s">
        <v>28</v>
      </c>
      <c r="C659" s="18">
        <v>46177</v>
      </c>
      <c r="D659">
        <v>1968.99</v>
      </c>
    </row>
    <row r="660" spans="1:4" x14ac:dyDescent="0.3">
      <c r="A660" t="s">
        <v>29</v>
      </c>
      <c r="C660" s="18">
        <v>46177</v>
      </c>
      <c r="D660">
        <v>382.69000000000005</v>
      </c>
    </row>
    <row r="661" spans="1:4" x14ac:dyDescent="0.3">
      <c r="A661" t="s">
        <v>30</v>
      </c>
      <c r="C661" s="18">
        <v>46177</v>
      </c>
      <c r="D661">
        <v>1428.08</v>
      </c>
    </row>
    <row r="662" spans="1:4" x14ac:dyDescent="0.3">
      <c r="A662" t="s">
        <v>31</v>
      </c>
      <c r="C662" s="18">
        <v>46177</v>
      </c>
      <c r="D662">
        <v>25789.969999999961</v>
      </c>
    </row>
    <row r="663" spans="1:4" x14ac:dyDescent="0.3">
      <c r="A663" t="s">
        <v>32</v>
      </c>
      <c r="C663" s="18">
        <v>46177</v>
      </c>
      <c r="D663">
        <v>5321.4300000000021</v>
      </c>
    </row>
    <row r="664" spans="1:4" x14ac:dyDescent="0.3">
      <c r="A664" t="s">
        <v>33</v>
      </c>
      <c r="C664" s="18">
        <v>46177</v>
      </c>
      <c r="D664">
        <v>24833.23</v>
      </c>
    </row>
    <row r="665" spans="1:4" x14ac:dyDescent="0.3">
      <c r="A665" t="s">
        <v>34</v>
      </c>
      <c r="C665" s="18">
        <v>46177</v>
      </c>
      <c r="D665">
        <v>345</v>
      </c>
    </row>
    <row r="666" spans="1:4" x14ac:dyDescent="0.3">
      <c r="A666" t="s">
        <v>35</v>
      </c>
      <c r="C666" s="18">
        <v>46177</v>
      </c>
      <c r="D666">
        <v>2422.7400000000016</v>
      </c>
    </row>
    <row r="667" spans="1:4" x14ac:dyDescent="0.3">
      <c r="A667" t="s">
        <v>17</v>
      </c>
      <c r="C667" s="18">
        <v>46178</v>
      </c>
      <c r="D667">
        <v>733394.14000000013</v>
      </c>
    </row>
    <row r="668" spans="1:4" x14ac:dyDescent="0.3">
      <c r="A668" t="s">
        <v>18</v>
      </c>
      <c r="C668" s="18">
        <v>46178</v>
      </c>
      <c r="D668">
        <v>69376.390000000174</v>
      </c>
    </row>
    <row r="669" spans="1:4" x14ac:dyDescent="0.3">
      <c r="A669" t="s">
        <v>19</v>
      </c>
      <c r="C669" s="18">
        <v>46178</v>
      </c>
      <c r="D669">
        <v>1669.89</v>
      </c>
    </row>
    <row r="670" spans="1:4" x14ac:dyDescent="0.3">
      <c r="A670" t="s">
        <v>20</v>
      </c>
      <c r="C670" s="18">
        <v>46178</v>
      </c>
      <c r="D670">
        <v>729545.23999999987</v>
      </c>
    </row>
    <row r="671" spans="1:4" x14ac:dyDescent="0.3">
      <c r="A671" t="s">
        <v>21</v>
      </c>
      <c r="C671" s="18">
        <v>46178</v>
      </c>
      <c r="D671">
        <v>1164028.3199999994</v>
      </c>
    </row>
    <row r="672" spans="1:4" x14ac:dyDescent="0.3">
      <c r="A672" t="s">
        <v>22</v>
      </c>
      <c r="C672" s="18">
        <v>46178</v>
      </c>
      <c r="D672">
        <v>79209.490000000005</v>
      </c>
    </row>
    <row r="673" spans="1:4" x14ac:dyDescent="0.3">
      <c r="A673" t="s">
        <v>23</v>
      </c>
      <c r="C673" s="18">
        <v>46178</v>
      </c>
      <c r="D673">
        <v>88090.37</v>
      </c>
    </row>
    <row r="674" spans="1:4" x14ac:dyDescent="0.3">
      <c r="A674" t="s">
        <v>24</v>
      </c>
      <c r="C674" s="18">
        <v>46178</v>
      </c>
      <c r="D674">
        <v>1227.9699999999998</v>
      </c>
    </row>
    <row r="675" spans="1:4" x14ac:dyDescent="0.3">
      <c r="A675" t="s">
        <v>25</v>
      </c>
      <c r="C675" s="18">
        <v>46178</v>
      </c>
      <c r="D675">
        <v>84.35</v>
      </c>
    </row>
    <row r="676" spans="1:4" x14ac:dyDescent="0.3">
      <c r="A676" t="s">
        <v>26</v>
      </c>
      <c r="C676" s="18">
        <v>46178</v>
      </c>
      <c r="D676">
        <v>2237.77</v>
      </c>
    </row>
    <row r="677" spans="1:4" x14ac:dyDescent="0.3">
      <c r="A677" t="s">
        <v>27</v>
      </c>
      <c r="C677" s="18">
        <v>46178</v>
      </c>
      <c r="D677">
        <v>3349.94</v>
      </c>
    </row>
    <row r="678" spans="1:4" x14ac:dyDescent="0.3">
      <c r="A678" t="s">
        <v>28</v>
      </c>
      <c r="C678" s="18">
        <v>46178</v>
      </c>
      <c r="D678">
        <v>1968.99</v>
      </c>
    </row>
    <row r="679" spans="1:4" x14ac:dyDescent="0.3">
      <c r="A679" t="s">
        <v>29</v>
      </c>
      <c r="C679" s="18">
        <v>46178</v>
      </c>
      <c r="D679">
        <v>382.69000000000005</v>
      </c>
    </row>
    <row r="680" spans="1:4" x14ac:dyDescent="0.3">
      <c r="A680" t="s">
        <v>30</v>
      </c>
      <c r="C680" s="18">
        <v>46178</v>
      </c>
      <c r="D680">
        <v>1428.08</v>
      </c>
    </row>
    <row r="681" spans="1:4" x14ac:dyDescent="0.3">
      <c r="A681" t="s">
        <v>31</v>
      </c>
      <c r="C681" s="18">
        <v>46178</v>
      </c>
      <c r="D681">
        <v>25789.969999999961</v>
      </c>
    </row>
    <row r="682" spans="1:4" x14ac:dyDescent="0.3">
      <c r="A682" t="s">
        <v>32</v>
      </c>
      <c r="C682" s="18">
        <v>46178</v>
      </c>
      <c r="D682">
        <v>5321.4300000000021</v>
      </c>
    </row>
    <row r="683" spans="1:4" x14ac:dyDescent="0.3">
      <c r="A683" t="s">
        <v>33</v>
      </c>
      <c r="C683" s="18">
        <v>46178</v>
      </c>
      <c r="D683">
        <v>24833.23</v>
      </c>
    </row>
    <row r="684" spans="1:4" x14ac:dyDescent="0.3">
      <c r="A684" t="s">
        <v>34</v>
      </c>
      <c r="C684" s="18">
        <v>46178</v>
      </c>
      <c r="D684">
        <v>345</v>
      </c>
    </row>
    <row r="685" spans="1:4" x14ac:dyDescent="0.3">
      <c r="A685" t="s">
        <v>35</v>
      </c>
      <c r="C685" s="18">
        <v>46178</v>
      </c>
      <c r="D685">
        <v>2422.7400000000016</v>
      </c>
    </row>
    <row r="686" spans="1:4" x14ac:dyDescent="0.3">
      <c r="A686" t="s">
        <v>17</v>
      </c>
      <c r="C686" s="18">
        <v>46179</v>
      </c>
      <c r="D686">
        <v>733394.14000000013</v>
      </c>
    </row>
    <row r="687" spans="1:4" x14ac:dyDescent="0.3">
      <c r="A687" t="s">
        <v>18</v>
      </c>
      <c r="C687" s="18">
        <v>46179</v>
      </c>
      <c r="D687">
        <v>69376.390000000174</v>
      </c>
    </row>
    <row r="688" spans="1:4" x14ac:dyDescent="0.3">
      <c r="A688" t="s">
        <v>19</v>
      </c>
      <c r="C688" s="18">
        <v>46179</v>
      </c>
      <c r="D688">
        <v>1669.89</v>
      </c>
    </row>
    <row r="689" spans="1:4" x14ac:dyDescent="0.3">
      <c r="A689" t="s">
        <v>20</v>
      </c>
      <c r="C689" s="18">
        <v>46179</v>
      </c>
      <c r="D689">
        <v>729545.23999999987</v>
      </c>
    </row>
    <row r="690" spans="1:4" x14ac:dyDescent="0.3">
      <c r="A690" t="s">
        <v>21</v>
      </c>
      <c r="C690" s="18">
        <v>46179</v>
      </c>
      <c r="D690">
        <v>1164028.3199999994</v>
      </c>
    </row>
    <row r="691" spans="1:4" x14ac:dyDescent="0.3">
      <c r="A691" t="s">
        <v>22</v>
      </c>
      <c r="C691" s="18">
        <v>46179</v>
      </c>
      <c r="D691">
        <v>79209.490000000005</v>
      </c>
    </row>
    <row r="692" spans="1:4" x14ac:dyDescent="0.3">
      <c r="A692" t="s">
        <v>23</v>
      </c>
      <c r="C692" s="18">
        <v>46179</v>
      </c>
      <c r="D692">
        <v>88090.37</v>
      </c>
    </row>
    <row r="693" spans="1:4" x14ac:dyDescent="0.3">
      <c r="A693" t="s">
        <v>24</v>
      </c>
      <c r="C693" s="18">
        <v>46179</v>
      </c>
      <c r="D693">
        <v>1227.9699999999998</v>
      </c>
    </row>
    <row r="694" spans="1:4" x14ac:dyDescent="0.3">
      <c r="A694" t="s">
        <v>25</v>
      </c>
      <c r="C694" s="18">
        <v>46179</v>
      </c>
      <c r="D694">
        <v>84.35</v>
      </c>
    </row>
    <row r="695" spans="1:4" x14ac:dyDescent="0.3">
      <c r="A695" t="s">
        <v>26</v>
      </c>
      <c r="C695" s="18">
        <v>46179</v>
      </c>
      <c r="D695">
        <v>2237.77</v>
      </c>
    </row>
    <row r="696" spans="1:4" x14ac:dyDescent="0.3">
      <c r="A696" t="s">
        <v>27</v>
      </c>
      <c r="C696" s="18">
        <v>46179</v>
      </c>
      <c r="D696">
        <v>3349.94</v>
      </c>
    </row>
    <row r="697" spans="1:4" x14ac:dyDescent="0.3">
      <c r="A697" t="s">
        <v>28</v>
      </c>
      <c r="C697" s="18">
        <v>46179</v>
      </c>
      <c r="D697">
        <v>1968.99</v>
      </c>
    </row>
    <row r="698" spans="1:4" x14ac:dyDescent="0.3">
      <c r="A698" t="s">
        <v>29</v>
      </c>
      <c r="C698" s="18">
        <v>46179</v>
      </c>
      <c r="D698">
        <v>382.69000000000005</v>
      </c>
    </row>
    <row r="699" spans="1:4" x14ac:dyDescent="0.3">
      <c r="A699" t="s">
        <v>30</v>
      </c>
      <c r="C699" s="18">
        <v>46179</v>
      </c>
      <c r="D699">
        <v>1428.08</v>
      </c>
    </row>
    <row r="700" spans="1:4" x14ac:dyDescent="0.3">
      <c r="A700" t="s">
        <v>31</v>
      </c>
      <c r="C700" s="18">
        <v>46179</v>
      </c>
      <c r="D700">
        <v>25789.969999999961</v>
      </c>
    </row>
    <row r="701" spans="1:4" x14ac:dyDescent="0.3">
      <c r="A701" t="s">
        <v>32</v>
      </c>
      <c r="C701" s="18">
        <v>46179</v>
      </c>
      <c r="D701">
        <v>5321.4300000000021</v>
      </c>
    </row>
    <row r="702" spans="1:4" x14ac:dyDescent="0.3">
      <c r="A702" t="s">
        <v>33</v>
      </c>
      <c r="C702" s="18">
        <v>46179</v>
      </c>
      <c r="D702">
        <v>24833.23</v>
      </c>
    </row>
    <row r="703" spans="1:4" x14ac:dyDescent="0.3">
      <c r="A703" t="s">
        <v>34</v>
      </c>
      <c r="C703" s="18">
        <v>46179</v>
      </c>
      <c r="D703">
        <v>345</v>
      </c>
    </row>
    <row r="704" spans="1:4" x14ac:dyDescent="0.3">
      <c r="A704" t="s">
        <v>35</v>
      </c>
      <c r="C704" s="18">
        <v>46179</v>
      </c>
      <c r="D704">
        <v>2422.7400000000016</v>
      </c>
    </row>
    <row r="705" spans="1:4" x14ac:dyDescent="0.3">
      <c r="A705" t="s">
        <v>17</v>
      </c>
      <c r="C705" s="18">
        <v>46180</v>
      </c>
      <c r="D705">
        <v>733394.14000000013</v>
      </c>
    </row>
    <row r="706" spans="1:4" x14ac:dyDescent="0.3">
      <c r="A706" t="s">
        <v>18</v>
      </c>
      <c r="C706" s="18">
        <v>46180</v>
      </c>
      <c r="D706">
        <v>69376.390000000174</v>
      </c>
    </row>
    <row r="707" spans="1:4" x14ac:dyDescent="0.3">
      <c r="A707" t="s">
        <v>19</v>
      </c>
      <c r="C707" s="18">
        <v>46180</v>
      </c>
      <c r="D707">
        <v>1669.89</v>
      </c>
    </row>
    <row r="708" spans="1:4" x14ac:dyDescent="0.3">
      <c r="A708" t="s">
        <v>20</v>
      </c>
      <c r="C708" s="18">
        <v>46180</v>
      </c>
      <c r="D708">
        <v>729545.23999999987</v>
      </c>
    </row>
    <row r="709" spans="1:4" x14ac:dyDescent="0.3">
      <c r="A709" t="s">
        <v>21</v>
      </c>
      <c r="C709" s="18">
        <v>46180</v>
      </c>
      <c r="D709">
        <v>1164028.3199999994</v>
      </c>
    </row>
    <row r="710" spans="1:4" x14ac:dyDescent="0.3">
      <c r="A710" t="s">
        <v>22</v>
      </c>
      <c r="C710" s="18">
        <v>46180</v>
      </c>
      <c r="D710">
        <v>79209.490000000005</v>
      </c>
    </row>
    <row r="711" spans="1:4" x14ac:dyDescent="0.3">
      <c r="A711" t="s">
        <v>23</v>
      </c>
      <c r="C711" s="18">
        <v>46180</v>
      </c>
      <c r="D711">
        <v>88090.37</v>
      </c>
    </row>
    <row r="712" spans="1:4" x14ac:dyDescent="0.3">
      <c r="A712" t="s">
        <v>24</v>
      </c>
      <c r="C712" s="18">
        <v>46180</v>
      </c>
      <c r="D712">
        <v>1227.9699999999998</v>
      </c>
    </row>
    <row r="713" spans="1:4" x14ac:dyDescent="0.3">
      <c r="A713" t="s">
        <v>25</v>
      </c>
      <c r="C713" s="18">
        <v>46180</v>
      </c>
      <c r="D713">
        <v>84.35</v>
      </c>
    </row>
    <row r="714" spans="1:4" x14ac:dyDescent="0.3">
      <c r="A714" t="s">
        <v>26</v>
      </c>
      <c r="C714" s="18">
        <v>46180</v>
      </c>
      <c r="D714">
        <v>2237.77</v>
      </c>
    </row>
    <row r="715" spans="1:4" x14ac:dyDescent="0.3">
      <c r="A715" t="s">
        <v>27</v>
      </c>
      <c r="C715" s="18">
        <v>46180</v>
      </c>
      <c r="D715">
        <v>3349.94</v>
      </c>
    </row>
    <row r="716" spans="1:4" x14ac:dyDescent="0.3">
      <c r="A716" t="s">
        <v>28</v>
      </c>
      <c r="C716" s="18">
        <v>46180</v>
      </c>
      <c r="D716">
        <v>1968.99</v>
      </c>
    </row>
    <row r="717" spans="1:4" x14ac:dyDescent="0.3">
      <c r="A717" t="s">
        <v>29</v>
      </c>
      <c r="C717" s="18">
        <v>46180</v>
      </c>
      <c r="D717">
        <v>382.69000000000005</v>
      </c>
    </row>
    <row r="718" spans="1:4" x14ac:dyDescent="0.3">
      <c r="A718" t="s">
        <v>30</v>
      </c>
      <c r="C718" s="18">
        <v>46180</v>
      </c>
      <c r="D718">
        <v>1428.08</v>
      </c>
    </row>
    <row r="719" spans="1:4" x14ac:dyDescent="0.3">
      <c r="A719" t="s">
        <v>31</v>
      </c>
      <c r="C719" s="18">
        <v>46180</v>
      </c>
      <c r="D719">
        <v>25789.969999999961</v>
      </c>
    </row>
    <row r="720" spans="1:4" x14ac:dyDescent="0.3">
      <c r="A720" t="s">
        <v>32</v>
      </c>
      <c r="C720" s="18">
        <v>46180</v>
      </c>
      <c r="D720">
        <v>5321.4300000000021</v>
      </c>
    </row>
    <row r="721" spans="1:4" x14ac:dyDescent="0.3">
      <c r="A721" t="s">
        <v>33</v>
      </c>
      <c r="C721" s="18">
        <v>46180</v>
      </c>
      <c r="D721">
        <v>24833.23</v>
      </c>
    </row>
    <row r="722" spans="1:4" x14ac:dyDescent="0.3">
      <c r="A722" t="s">
        <v>34</v>
      </c>
      <c r="C722" s="18">
        <v>46180</v>
      </c>
      <c r="D722">
        <v>345</v>
      </c>
    </row>
    <row r="723" spans="1:4" x14ac:dyDescent="0.3">
      <c r="A723" t="s">
        <v>35</v>
      </c>
      <c r="C723" s="18">
        <v>46180</v>
      </c>
      <c r="D723">
        <v>2422.7400000000016</v>
      </c>
    </row>
    <row r="724" spans="1:4" x14ac:dyDescent="0.3">
      <c r="A724" t="s">
        <v>17</v>
      </c>
      <c r="C724" s="18">
        <v>46181</v>
      </c>
      <c r="D724">
        <v>733394.14000000013</v>
      </c>
    </row>
    <row r="725" spans="1:4" x14ac:dyDescent="0.3">
      <c r="A725" t="s">
        <v>18</v>
      </c>
      <c r="C725" s="18">
        <v>46181</v>
      </c>
      <c r="D725">
        <v>69376.390000000174</v>
      </c>
    </row>
    <row r="726" spans="1:4" x14ac:dyDescent="0.3">
      <c r="A726" t="s">
        <v>19</v>
      </c>
      <c r="C726" s="18">
        <v>46181</v>
      </c>
      <c r="D726">
        <v>1669.89</v>
      </c>
    </row>
    <row r="727" spans="1:4" x14ac:dyDescent="0.3">
      <c r="A727" t="s">
        <v>20</v>
      </c>
      <c r="C727" s="18">
        <v>46181</v>
      </c>
      <c r="D727">
        <v>729545.23999999987</v>
      </c>
    </row>
    <row r="728" spans="1:4" x14ac:dyDescent="0.3">
      <c r="A728" t="s">
        <v>21</v>
      </c>
      <c r="C728" s="18">
        <v>46181</v>
      </c>
      <c r="D728">
        <v>1164028.3199999994</v>
      </c>
    </row>
    <row r="729" spans="1:4" x14ac:dyDescent="0.3">
      <c r="A729" t="s">
        <v>22</v>
      </c>
      <c r="C729" s="18">
        <v>46181</v>
      </c>
      <c r="D729">
        <v>79209.490000000005</v>
      </c>
    </row>
    <row r="730" spans="1:4" x14ac:dyDescent="0.3">
      <c r="A730" t="s">
        <v>23</v>
      </c>
      <c r="C730" s="18">
        <v>46181</v>
      </c>
      <c r="D730">
        <v>88090.37</v>
      </c>
    </row>
    <row r="731" spans="1:4" x14ac:dyDescent="0.3">
      <c r="A731" t="s">
        <v>24</v>
      </c>
      <c r="C731" s="18">
        <v>46181</v>
      </c>
      <c r="D731">
        <v>1227.9699999999998</v>
      </c>
    </row>
    <row r="732" spans="1:4" x14ac:dyDescent="0.3">
      <c r="A732" t="s">
        <v>25</v>
      </c>
      <c r="C732" s="18">
        <v>46181</v>
      </c>
      <c r="D732">
        <v>84.35</v>
      </c>
    </row>
    <row r="733" spans="1:4" x14ac:dyDescent="0.3">
      <c r="A733" t="s">
        <v>26</v>
      </c>
      <c r="C733" s="18">
        <v>46181</v>
      </c>
      <c r="D733">
        <v>2237.77</v>
      </c>
    </row>
    <row r="734" spans="1:4" x14ac:dyDescent="0.3">
      <c r="A734" t="s">
        <v>27</v>
      </c>
      <c r="C734" s="18">
        <v>46181</v>
      </c>
      <c r="D734">
        <v>3349.94</v>
      </c>
    </row>
    <row r="735" spans="1:4" x14ac:dyDescent="0.3">
      <c r="A735" t="s">
        <v>28</v>
      </c>
      <c r="C735" s="18">
        <v>46181</v>
      </c>
      <c r="D735">
        <v>1968.99</v>
      </c>
    </row>
    <row r="736" spans="1:4" x14ac:dyDescent="0.3">
      <c r="A736" t="s">
        <v>29</v>
      </c>
      <c r="C736" s="18">
        <v>46181</v>
      </c>
      <c r="D736">
        <v>382.69000000000005</v>
      </c>
    </row>
    <row r="737" spans="1:4" x14ac:dyDescent="0.3">
      <c r="A737" t="s">
        <v>30</v>
      </c>
      <c r="C737" s="18">
        <v>46181</v>
      </c>
      <c r="D737">
        <v>1428.08</v>
      </c>
    </row>
    <row r="738" spans="1:4" x14ac:dyDescent="0.3">
      <c r="A738" t="s">
        <v>31</v>
      </c>
      <c r="C738" s="18">
        <v>46181</v>
      </c>
      <c r="D738">
        <v>25789.969999999961</v>
      </c>
    </row>
    <row r="739" spans="1:4" x14ac:dyDescent="0.3">
      <c r="A739" t="s">
        <v>32</v>
      </c>
      <c r="C739" s="18">
        <v>46181</v>
      </c>
      <c r="D739">
        <v>5321.4300000000021</v>
      </c>
    </row>
    <row r="740" spans="1:4" x14ac:dyDescent="0.3">
      <c r="A740" t="s">
        <v>33</v>
      </c>
      <c r="C740" s="18">
        <v>46181</v>
      </c>
      <c r="D740">
        <v>24833.23</v>
      </c>
    </row>
    <row r="741" spans="1:4" x14ac:dyDescent="0.3">
      <c r="A741" t="s">
        <v>34</v>
      </c>
      <c r="C741" s="18">
        <v>46181</v>
      </c>
      <c r="D741">
        <v>345</v>
      </c>
    </row>
    <row r="742" spans="1:4" x14ac:dyDescent="0.3">
      <c r="A742" t="s">
        <v>35</v>
      </c>
      <c r="C742" s="18">
        <v>46181</v>
      </c>
      <c r="D742">
        <v>1451.1500000000015</v>
      </c>
    </row>
    <row r="743" spans="1:4" x14ac:dyDescent="0.3">
      <c r="A743" t="s">
        <v>17</v>
      </c>
      <c r="C743" s="18">
        <v>46182</v>
      </c>
      <c r="D743">
        <v>847381.29000000015</v>
      </c>
    </row>
    <row r="744" spans="1:4" x14ac:dyDescent="0.3">
      <c r="A744" t="s">
        <v>18</v>
      </c>
      <c r="C744" s="18">
        <v>46182</v>
      </c>
      <c r="D744">
        <v>69376.390000000174</v>
      </c>
    </row>
    <row r="745" spans="1:4" x14ac:dyDescent="0.3">
      <c r="A745" t="s">
        <v>19</v>
      </c>
      <c r="C745" s="18">
        <v>46182</v>
      </c>
      <c r="D745">
        <v>1669.89</v>
      </c>
    </row>
    <row r="746" spans="1:4" x14ac:dyDescent="0.3">
      <c r="A746" t="s">
        <v>20</v>
      </c>
      <c r="C746" s="18">
        <v>46182</v>
      </c>
      <c r="D746">
        <v>729545.23999999987</v>
      </c>
    </row>
    <row r="747" spans="1:4" x14ac:dyDescent="0.3">
      <c r="A747" t="s">
        <v>21</v>
      </c>
      <c r="C747" s="18">
        <v>46182</v>
      </c>
      <c r="D747">
        <v>1160274.0499999993</v>
      </c>
    </row>
    <row r="748" spans="1:4" x14ac:dyDescent="0.3">
      <c r="A748" t="s">
        <v>22</v>
      </c>
      <c r="C748" s="18">
        <v>46182</v>
      </c>
      <c r="D748">
        <v>79209.490000000005</v>
      </c>
    </row>
    <row r="749" spans="1:4" x14ac:dyDescent="0.3">
      <c r="A749" t="s">
        <v>23</v>
      </c>
      <c r="C749" s="18">
        <v>46182</v>
      </c>
      <c r="D749">
        <v>88090.37</v>
      </c>
    </row>
    <row r="750" spans="1:4" x14ac:dyDescent="0.3">
      <c r="A750" t="s">
        <v>24</v>
      </c>
      <c r="C750" s="18">
        <v>46182</v>
      </c>
      <c r="D750">
        <v>1227.9699999999998</v>
      </c>
    </row>
    <row r="751" spans="1:4" x14ac:dyDescent="0.3">
      <c r="A751" t="s">
        <v>25</v>
      </c>
      <c r="C751" s="18">
        <v>46182</v>
      </c>
      <c r="D751">
        <v>84.35</v>
      </c>
    </row>
    <row r="752" spans="1:4" x14ac:dyDescent="0.3">
      <c r="A752" t="s">
        <v>26</v>
      </c>
      <c r="C752" s="18">
        <v>46182</v>
      </c>
      <c r="D752">
        <v>2237.77</v>
      </c>
    </row>
    <row r="753" spans="1:4" x14ac:dyDescent="0.3">
      <c r="A753" t="s">
        <v>27</v>
      </c>
      <c r="C753" s="18">
        <v>46182</v>
      </c>
      <c r="D753">
        <v>3349.94</v>
      </c>
    </row>
    <row r="754" spans="1:4" x14ac:dyDescent="0.3">
      <c r="A754" t="s">
        <v>28</v>
      </c>
      <c r="C754" s="18">
        <v>46182</v>
      </c>
      <c r="D754">
        <v>1968.99</v>
      </c>
    </row>
    <row r="755" spans="1:4" x14ac:dyDescent="0.3">
      <c r="A755" t="s">
        <v>29</v>
      </c>
      <c r="C755" s="18">
        <v>46182</v>
      </c>
      <c r="D755">
        <v>382.69000000000005</v>
      </c>
    </row>
    <row r="756" spans="1:4" x14ac:dyDescent="0.3">
      <c r="A756" t="s">
        <v>30</v>
      </c>
      <c r="C756" s="18">
        <v>46182</v>
      </c>
      <c r="D756">
        <v>1428.08</v>
      </c>
    </row>
    <row r="757" spans="1:4" x14ac:dyDescent="0.3">
      <c r="A757" t="s">
        <v>31</v>
      </c>
      <c r="C757" s="18">
        <v>46182</v>
      </c>
      <c r="D757">
        <v>25789.969999999961</v>
      </c>
    </row>
    <row r="758" spans="1:4" x14ac:dyDescent="0.3">
      <c r="A758" t="s">
        <v>32</v>
      </c>
      <c r="C758" s="18">
        <v>46182</v>
      </c>
      <c r="D758">
        <v>5321.4300000000021</v>
      </c>
    </row>
    <row r="759" spans="1:4" x14ac:dyDescent="0.3">
      <c r="A759" t="s">
        <v>33</v>
      </c>
      <c r="C759" s="18">
        <v>46182</v>
      </c>
      <c r="D759">
        <v>24833.23</v>
      </c>
    </row>
    <row r="760" spans="1:4" x14ac:dyDescent="0.3">
      <c r="A760" t="s">
        <v>34</v>
      </c>
      <c r="C760" s="18">
        <v>46182</v>
      </c>
      <c r="D760">
        <v>345</v>
      </c>
    </row>
    <row r="761" spans="1:4" x14ac:dyDescent="0.3">
      <c r="A761" t="s">
        <v>35</v>
      </c>
      <c r="C761" s="18">
        <v>46182</v>
      </c>
      <c r="D761">
        <v>1289.7300000000014</v>
      </c>
    </row>
    <row r="762" spans="1:4" x14ac:dyDescent="0.3">
      <c r="A762" t="s">
        <v>17</v>
      </c>
      <c r="C762" s="18">
        <v>46183</v>
      </c>
      <c r="D762">
        <v>2288745.9500000002</v>
      </c>
    </row>
    <row r="763" spans="1:4" x14ac:dyDescent="0.3">
      <c r="A763" t="s">
        <v>18</v>
      </c>
      <c r="C763" s="18">
        <v>46183</v>
      </c>
      <c r="D763">
        <v>69376.390000000174</v>
      </c>
    </row>
    <row r="764" spans="1:4" x14ac:dyDescent="0.3">
      <c r="A764" t="s">
        <v>19</v>
      </c>
      <c r="C764" s="18">
        <v>46183</v>
      </c>
      <c r="D764">
        <v>1669.89</v>
      </c>
    </row>
    <row r="765" spans="1:4" x14ac:dyDescent="0.3">
      <c r="A765" t="s">
        <v>20</v>
      </c>
      <c r="C765" s="18">
        <v>46183</v>
      </c>
      <c r="D765">
        <v>744306.80999999982</v>
      </c>
    </row>
    <row r="766" spans="1:4" x14ac:dyDescent="0.3">
      <c r="A766" t="s">
        <v>21</v>
      </c>
      <c r="C766" s="18">
        <v>46183</v>
      </c>
      <c r="D766">
        <v>1160274.0499999993</v>
      </c>
    </row>
    <row r="767" spans="1:4" x14ac:dyDescent="0.3">
      <c r="A767" t="s">
        <v>22</v>
      </c>
      <c r="C767" s="18">
        <v>46183</v>
      </c>
      <c r="D767">
        <v>79209.490000000005</v>
      </c>
    </row>
    <row r="768" spans="1:4" x14ac:dyDescent="0.3">
      <c r="A768" t="s">
        <v>23</v>
      </c>
      <c r="C768" s="18">
        <v>46183</v>
      </c>
      <c r="D768">
        <v>88090.37</v>
      </c>
    </row>
    <row r="769" spans="1:4" x14ac:dyDescent="0.3">
      <c r="A769" t="s">
        <v>24</v>
      </c>
      <c r="C769" s="18">
        <v>46183</v>
      </c>
      <c r="D769">
        <v>1227.9699999999998</v>
      </c>
    </row>
    <row r="770" spans="1:4" x14ac:dyDescent="0.3">
      <c r="A770" t="s">
        <v>25</v>
      </c>
      <c r="C770" s="18">
        <v>46183</v>
      </c>
      <c r="D770">
        <v>84.35</v>
      </c>
    </row>
    <row r="771" spans="1:4" x14ac:dyDescent="0.3">
      <c r="A771" t="s">
        <v>26</v>
      </c>
      <c r="C771" s="18">
        <v>46183</v>
      </c>
      <c r="D771">
        <v>2237.77</v>
      </c>
    </row>
    <row r="772" spans="1:4" x14ac:dyDescent="0.3">
      <c r="A772" t="s">
        <v>27</v>
      </c>
      <c r="C772" s="18">
        <v>46183</v>
      </c>
      <c r="D772">
        <v>3349.94</v>
      </c>
    </row>
    <row r="773" spans="1:4" x14ac:dyDescent="0.3">
      <c r="A773" t="s">
        <v>28</v>
      </c>
      <c r="C773" s="18">
        <v>46183</v>
      </c>
      <c r="D773">
        <v>1968.99</v>
      </c>
    </row>
    <row r="774" spans="1:4" x14ac:dyDescent="0.3">
      <c r="A774" t="s">
        <v>29</v>
      </c>
      <c r="C774" s="18">
        <v>46183</v>
      </c>
      <c r="D774">
        <v>382.69000000000005</v>
      </c>
    </row>
    <row r="775" spans="1:4" x14ac:dyDescent="0.3">
      <c r="A775" t="s">
        <v>30</v>
      </c>
      <c r="C775" s="18">
        <v>46183</v>
      </c>
      <c r="D775">
        <v>1428.08</v>
      </c>
    </row>
    <row r="776" spans="1:4" x14ac:dyDescent="0.3">
      <c r="A776" t="s">
        <v>31</v>
      </c>
      <c r="C776" s="18">
        <v>46183</v>
      </c>
      <c r="D776">
        <v>25789.969999999961</v>
      </c>
    </row>
    <row r="777" spans="1:4" x14ac:dyDescent="0.3">
      <c r="A777" t="s">
        <v>32</v>
      </c>
      <c r="C777" s="18">
        <v>46183</v>
      </c>
      <c r="D777">
        <v>5321.4300000000021</v>
      </c>
    </row>
    <row r="778" spans="1:4" x14ac:dyDescent="0.3">
      <c r="A778" t="s">
        <v>33</v>
      </c>
      <c r="C778" s="18">
        <v>46183</v>
      </c>
      <c r="D778">
        <v>24743.98</v>
      </c>
    </row>
    <row r="779" spans="1:4" x14ac:dyDescent="0.3">
      <c r="A779" t="s">
        <v>34</v>
      </c>
      <c r="C779" s="18">
        <v>46183</v>
      </c>
      <c r="D779">
        <v>345</v>
      </c>
    </row>
    <row r="780" spans="1:4" x14ac:dyDescent="0.3">
      <c r="A780" t="s">
        <v>35</v>
      </c>
      <c r="C780" s="18">
        <v>46183</v>
      </c>
      <c r="D780">
        <v>1289.7300000000014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2026-06-12T20:57:01Z</dcterms:modified>
  <dc:language>en-US</dc:language>
</cp:coreProperties>
</file>