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47" documentId="8_{BBC9EA4E-7F3B-475F-B61B-890F681C3A1C}" xr6:coauthVersionLast="47" xr6:coauthVersionMax="47" xr10:uidLastSave="{7D4F3560-8FE2-4858-B22F-37310F088A7E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96" i="1" l="1"/>
  <c r="M696" i="1"/>
  <c r="N696" i="1"/>
  <c r="O696" i="1"/>
  <c r="P696" i="1"/>
  <c r="K697" i="1"/>
  <c r="M697" i="1"/>
  <c r="N697" i="1"/>
  <c r="P697" i="1" s="1"/>
  <c r="O697" i="1"/>
  <c r="K698" i="1"/>
  <c r="N698" i="1"/>
  <c r="O698" i="1"/>
  <c r="P698" i="1"/>
  <c r="K699" i="1"/>
  <c r="M699" i="1" s="1"/>
  <c r="N699" i="1"/>
  <c r="O699" i="1"/>
  <c r="P699" i="1"/>
  <c r="K700" i="1"/>
  <c r="N700" i="1"/>
  <c r="O700" i="1"/>
  <c r="P700" i="1" s="1"/>
  <c r="K701" i="1"/>
  <c r="M701" i="1" s="1"/>
  <c r="N701" i="1"/>
  <c r="O701" i="1"/>
  <c r="P701" i="1"/>
  <c r="K702" i="1"/>
  <c r="M707" i="1" s="1"/>
  <c r="M702" i="1"/>
  <c r="N702" i="1"/>
  <c r="O702" i="1"/>
  <c r="P702" i="1" s="1"/>
  <c r="K703" i="1"/>
  <c r="N703" i="1"/>
  <c r="O703" i="1"/>
  <c r="P703" i="1"/>
  <c r="K704" i="1"/>
  <c r="N704" i="1"/>
  <c r="O704" i="1"/>
  <c r="P704" i="1"/>
  <c r="K705" i="1"/>
  <c r="N705" i="1"/>
  <c r="O705" i="1"/>
  <c r="P705" i="1"/>
  <c r="K706" i="1"/>
  <c r="N706" i="1"/>
  <c r="O706" i="1"/>
  <c r="P706" i="1"/>
  <c r="K707" i="1"/>
  <c r="M763" i="1" s="1"/>
  <c r="N707" i="1"/>
  <c r="O707" i="1"/>
  <c r="P707" i="1"/>
  <c r="K708" i="1"/>
  <c r="N708" i="1"/>
  <c r="O708" i="1"/>
  <c r="P708" i="1" s="1"/>
  <c r="K709" i="1"/>
  <c r="N709" i="1"/>
  <c r="O709" i="1"/>
  <c r="P709" i="1"/>
  <c r="K710" i="1"/>
  <c r="M710" i="1"/>
  <c r="N710" i="1"/>
  <c r="O710" i="1"/>
  <c r="P710" i="1"/>
  <c r="K711" i="1"/>
  <c r="M711" i="1" s="1"/>
  <c r="N711" i="1"/>
  <c r="O711" i="1"/>
  <c r="P711" i="1"/>
  <c r="K712" i="1"/>
  <c r="N712" i="1"/>
  <c r="P712" i="1" s="1"/>
  <c r="O712" i="1"/>
  <c r="K713" i="1"/>
  <c r="N713" i="1"/>
  <c r="O713" i="1"/>
  <c r="P713" i="1"/>
  <c r="K714" i="1"/>
  <c r="N714" i="1"/>
  <c r="O714" i="1"/>
  <c r="P714" i="1"/>
  <c r="K715" i="1"/>
  <c r="M715" i="1" s="1"/>
  <c r="N715" i="1"/>
  <c r="O715" i="1"/>
  <c r="P715" i="1"/>
  <c r="K716" i="1"/>
  <c r="N716" i="1"/>
  <c r="O716" i="1"/>
  <c r="P716" i="1" s="1"/>
  <c r="K717" i="1"/>
  <c r="M717" i="1" s="1"/>
  <c r="N717" i="1"/>
  <c r="O717" i="1"/>
  <c r="P717" i="1"/>
  <c r="K718" i="1"/>
  <c r="M784" i="1" s="1"/>
  <c r="M718" i="1"/>
  <c r="N718" i="1"/>
  <c r="O718" i="1"/>
  <c r="P718" i="1" s="1"/>
  <c r="K719" i="1"/>
  <c r="M719" i="1" s="1"/>
  <c r="N719" i="1"/>
  <c r="O719" i="1"/>
  <c r="P719" i="1"/>
  <c r="K720" i="1"/>
  <c r="M720" i="1" s="1"/>
  <c r="N720" i="1"/>
  <c r="O720" i="1"/>
  <c r="P720" i="1" s="1"/>
  <c r="K721" i="1"/>
  <c r="N721" i="1"/>
  <c r="O721" i="1"/>
  <c r="P721" i="1" s="1"/>
  <c r="K722" i="1"/>
  <c r="N722" i="1"/>
  <c r="O722" i="1"/>
  <c r="P722" i="1"/>
  <c r="K723" i="1"/>
  <c r="M723" i="1" s="1"/>
  <c r="N723" i="1"/>
  <c r="O723" i="1"/>
  <c r="P723" i="1"/>
  <c r="K724" i="1"/>
  <c r="N724" i="1"/>
  <c r="O724" i="1"/>
  <c r="P724" i="1" s="1"/>
  <c r="K725" i="1"/>
  <c r="M725" i="1" s="1"/>
  <c r="N725" i="1"/>
  <c r="O725" i="1"/>
  <c r="P725" i="1"/>
  <c r="K726" i="1"/>
  <c r="M726" i="1"/>
  <c r="N726" i="1"/>
  <c r="O726" i="1"/>
  <c r="P726" i="1" s="1"/>
  <c r="K727" i="1"/>
  <c r="M727" i="1" s="1"/>
  <c r="N727" i="1"/>
  <c r="O727" i="1"/>
  <c r="P727" i="1"/>
  <c r="K728" i="1"/>
  <c r="M728" i="1" s="1"/>
  <c r="N728" i="1"/>
  <c r="P728" i="1" s="1"/>
  <c r="O728" i="1"/>
  <c r="K729" i="1"/>
  <c r="M729" i="1"/>
  <c r="N729" i="1"/>
  <c r="O729" i="1"/>
  <c r="P729" i="1" s="1"/>
  <c r="K730" i="1"/>
  <c r="N730" i="1"/>
  <c r="O730" i="1"/>
  <c r="P730" i="1"/>
  <c r="K731" i="1"/>
  <c r="M731" i="1" s="1"/>
  <c r="N731" i="1"/>
  <c r="P731" i="1" s="1"/>
  <c r="O731" i="1"/>
  <c r="K732" i="1"/>
  <c r="M732" i="1"/>
  <c r="N732" i="1"/>
  <c r="O732" i="1"/>
  <c r="P732" i="1" s="1"/>
  <c r="K733" i="1"/>
  <c r="M733" i="1" s="1"/>
  <c r="N733" i="1"/>
  <c r="O733" i="1"/>
  <c r="P733" i="1"/>
  <c r="K734" i="1"/>
  <c r="M734" i="1"/>
  <c r="N734" i="1"/>
  <c r="O734" i="1"/>
  <c r="P734" i="1" s="1"/>
  <c r="K735" i="1"/>
  <c r="N735" i="1"/>
  <c r="O735" i="1"/>
  <c r="P735" i="1"/>
  <c r="K736" i="1"/>
  <c r="N736" i="1"/>
  <c r="O736" i="1"/>
  <c r="P736" i="1" s="1"/>
  <c r="K737" i="1"/>
  <c r="M737" i="1"/>
  <c r="N737" i="1"/>
  <c r="O737" i="1"/>
  <c r="P737" i="1" s="1"/>
  <c r="K738" i="1"/>
  <c r="N738" i="1"/>
  <c r="O738" i="1"/>
  <c r="P738" i="1"/>
  <c r="K739" i="1"/>
  <c r="M803" i="1" s="1"/>
  <c r="N739" i="1"/>
  <c r="O739" i="1"/>
  <c r="P739" i="1"/>
  <c r="K740" i="1"/>
  <c r="N740" i="1"/>
  <c r="O740" i="1"/>
  <c r="P740" i="1" s="1"/>
  <c r="K741" i="1"/>
  <c r="N741" i="1"/>
  <c r="O741" i="1"/>
  <c r="P741" i="1"/>
  <c r="K742" i="1"/>
  <c r="M742" i="1"/>
  <c r="N742" i="1"/>
  <c r="O742" i="1"/>
  <c r="P742" i="1" s="1"/>
  <c r="K743" i="1"/>
  <c r="N743" i="1"/>
  <c r="O743" i="1"/>
  <c r="P743" i="1"/>
  <c r="K744" i="1"/>
  <c r="N744" i="1"/>
  <c r="O744" i="1"/>
  <c r="P744" i="1" s="1"/>
  <c r="K745" i="1"/>
  <c r="N745" i="1"/>
  <c r="O745" i="1"/>
  <c r="P745" i="1" s="1"/>
  <c r="K746" i="1"/>
  <c r="M746" i="1"/>
  <c r="N746" i="1"/>
  <c r="O746" i="1"/>
  <c r="P746" i="1"/>
  <c r="K747" i="1"/>
  <c r="M747" i="1" s="1"/>
  <c r="N747" i="1"/>
  <c r="P747" i="1" s="1"/>
  <c r="O747" i="1"/>
  <c r="K748" i="1"/>
  <c r="N748" i="1"/>
  <c r="O748" i="1"/>
  <c r="P748" i="1" s="1"/>
  <c r="K749" i="1"/>
  <c r="M749" i="1" s="1"/>
  <c r="N749" i="1"/>
  <c r="O749" i="1"/>
  <c r="P749" i="1"/>
  <c r="K750" i="1"/>
  <c r="M755" i="1" s="1"/>
  <c r="M750" i="1"/>
  <c r="N750" i="1"/>
  <c r="O750" i="1"/>
  <c r="P750" i="1" s="1"/>
  <c r="K751" i="1"/>
  <c r="M751" i="1" s="1"/>
  <c r="N751" i="1"/>
  <c r="O751" i="1"/>
  <c r="P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/>
  <c r="K755" i="1"/>
  <c r="M753" i="1" s="1"/>
  <c r="N755" i="1"/>
  <c r="O755" i="1"/>
  <c r="P755" i="1" s="1"/>
  <c r="K756" i="1"/>
  <c r="N756" i="1"/>
  <c r="O756" i="1"/>
  <c r="P756" i="1" s="1"/>
  <c r="K757" i="1"/>
  <c r="N757" i="1"/>
  <c r="O757" i="1"/>
  <c r="P757" i="1"/>
  <c r="K758" i="1"/>
  <c r="M800" i="1" s="1"/>
  <c r="M758" i="1"/>
  <c r="N758" i="1"/>
  <c r="O758" i="1"/>
  <c r="P758" i="1"/>
  <c r="K759" i="1"/>
  <c r="N759" i="1"/>
  <c r="O759" i="1"/>
  <c r="P759" i="1"/>
  <c r="K760" i="1"/>
  <c r="N760" i="1"/>
  <c r="P760" i="1" s="1"/>
  <c r="O760" i="1"/>
  <c r="K761" i="1"/>
  <c r="N761" i="1"/>
  <c r="P761" i="1" s="1"/>
  <c r="O761" i="1"/>
  <c r="K762" i="1"/>
  <c r="N762" i="1"/>
  <c r="O762" i="1"/>
  <c r="P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/>
  <c r="K766" i="1"/>
  <c r="M766" i="1"/>
  <c r="N766" i="1"/>
  <c r="O766" i="1"/>
  <c r="P766" i="1"/>
  <c r="K767" i="1"/>
  <c r="N767" i="1"/>
  <c r="O767" i="1"/>
  <c r="P767" i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/>
  <c r="K774" i="1"/>
  <c r="M774" i="1"/>
  <c r="N774" i="1"/>
  <c r="O774" i="1"/>
  <c r="P774" i="1"/>
  <c r="K775" i="1"/>
  <c r="N775" i="1"/>
  <c r="O775" i="1"/>
  <c r="P775" i="1"/>
  <c r="K776" i="1"/>
  <c r="N776" i="1"/>
  <c r="O776" i="1"/>
  <c r="P776" i="1"/>
  <c r="K777" i="1"/>
  <c r="N777" i="1"/>
  <c r="O777" i="1"/>
  <c r="P777" i="1" s="1"/>
  <c r="K778" i="1"/>
  <c r="N778" i="1"/>
  <c r="O778" i="1"/>
  <c r="P778" i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/>
  <c r="K782" i="1"/>
  <c r="M782" i="1"/>
  <c r="N782" i="1"/>
  <c r="O782" i="1"/>
  <c r="P782" i="1"/>
  <c r="K783" i="1"/>
  <c r="N783" i="1"/>
  <c r="O783" i="1"/>
  <c r="P783" i="1"/>
  <c r="K784" i="1"/>
  <c r="N784" i="1"/>
  <c r="O784" i="1"/>
  <c r="P784" i="1"/>
  <c r="K785" i="1"/>
  <c r="N785" i="1"/>
  <c r="P785" i="1" s="1"/>
  <c r="O785" i="1"/>
  <c r="K786" i="1"/>
  <c r="N786" i="1"/>
  <c r="O786" i="1"/>
  <c r="P786" i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/>
  <c r="K790" i="1"/>
  <c r="M790" i="1"/>
  <c r="N790" i="1"/>
  <c r="O790" i="1"/>
  <c r="P790" i="1"/>
  <c r="K791" i="1"/>
  <c r="M791" i="1" s="1"/>
  <c r="N791" i="1"/>
  <c r="O791" i="1"/>
  <c r="P791" i="1"/>
  <c r="K792" i="1"/>
  <c r="N792" i="1"/>
  <c r="O792" i="1"/>
  <c r="P792" i="1" s="1"/>
  <c r="K793" i="1"/>
  <c r="N793" i="1"/>
  <c r="O793" i="1"/>
  <c r="P793" i="1" s="1"/>
  <c r="K794" i="1"/>
  <c r="M794" i="1" s="1"/>
  <c r="N794" i="1"/>
  <c r="O794" i="1"/>
  <c r="P794" i="1"/>
  <c r="K795" i="1"/>
  <c r="M795" i="1" s="1"/>
  <c r="N795" i="1"/>
  <c r="O795" i="1"/>
  <c r="P795" i="1" s="1"/>
  <c r="K796" i="1"/>
  <c r="N796" i="1"/>
  <c r="O796" i="1"/>
  <c r="P796" i="1" s="1"/>
  <c r="K797" i="1"/>
  <c r="N797" i="1"/>
  <c r="O797" i="1"/>
  <c r="P797" i="1"/>
  <c r="K798" i="1"/>
  <c r="M798" i="1"/>
  <c r="N798" i="1"/>
  <c r="O798" i="1"/>
  <c r="P798" i="1"/>
  <c r="K799" i="1"/>
  <c r="M799" i="1"/>
  <c r="N799" i="1"/>
  <c r="O799" i="1"/>
  <c r="P799" i="1"/>
  <c r="K800" i="1"/>
  <c r="M881" i="1" s="1"/>
  <c r="N800" i="1"/>
  <c r="P800" i="1" s="1"/>
  <c r="O800" i="1"/>
  <c r="K801" i="1"/>
  <c r="M818" i="1" s="1"/>
  <c r="M801" i="1"/>
  <c r="N801" i="1"/>
  <c r="O801" i="1"/>
  <c r="P801" i="1" s="1"/>
  <c r="K802" i="1"/>
  <c r="N802" i="1"/>
  <c r="O802" i="1"/>
  <c r="P802" i="1"/>
  <c r="K803" i="1"/>
  <c r="M811" i="1" s="1"/>
  <c r="N803" i="1"/>
  <c r="P803" i="1" s="1"/>
  <c r="O803" i="1"/>
  <c r="K804" i="1"/>
  <c r="N804" i="1"/>
  <c r="O804" i="1"/>
  <c r="P804" i="1" s="1"/>
  <c r="K805" i="1"/>
  <c r="N805" i="1"/>
  <c r="O805" i="1"/>
  <c r="P805" i="1"/>
  <c r="K806" i="1"/>
  <c r="M806" i="1"/>
  <c r="N806" i="1"/>
  <c r="O806" i="1"/>
  <c r="P806" i="1"/>
  <c r="K807" i="1"/>
  <c r="N807" i="1"/>
  <c r="O807" i="1"/>
  <c r="P807" i="1"/>
  <c r="K808" i="1"/>
  <c r="N808" i="1"/>
  <c r="O808" i="1"/>
  <c r="P808" i="1"/>
  <c r="K809" i="1"/>
  <c r="N809" i="1"/>
  <c r="O809" i="1"/>
  <c r="P809" i="1" s="1"/>
  <c r="K810" i="1"/>
  <c r="N810" i="1"/>
  <c r="O810" i="1"/>
  <c r="P810" i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/>
  <c r="K814" i="1"/>
  <c r="M814" i="1"/>
  <c r="N814" i="1"/>
  <c r="O814" i="1"/>
  <c r="P814" i="1"/>
  <c r="K815" i="1"/>
  <c r="N815" i="1"/>
  <c r="O815" i="1"/>
  <c r="P815" i="1"/>
  <c r="K816" i="1"/>
  <c r="N816" i="1"/>
  <c r="O816" i="1"/>
  <c r="P816" i="1"/>
  <c r="K817" i="1"/>
  <c r="M821" i="1" s="1"/>
  <c r="M817" i="1"/>
  <c r="N817" i="1"/>
  <c r="O817" i="1"/>
  <c r="P817" i="1" s="1"/>
  <c r="K818" i="1"/>
  <c r="N818" i="1"/>
  <c r="O818" i="1"/>
  <c r="P818" i="1"/>
  <c r="K819" i="1"/>
  <c r="M819" i="1" s="1"/>
  <c r="N819" i="1"/>
  <c r="P819" i="1" s="1"/>
  <c r="O819" i="1"/>
  <c r="K820" i="1"/>
  <c r="M820" i="1"/>
  <c r="N820" i="1"/>
  <c r="O820" i="1"/>
  <c r="P820" i="1"/>
  <c r="K821" i="1"/>
  <c r="N821" i="1"/>
  <c r="O821" i="1"/>
  <c r="P821" i="1"/>
  <c r="K822" i="1"/>
  <c r="M822" i="1"/>
  <c r="N822" i="1"/>
  <c r="O822" i="1"/>
  <c r="P822" i="1"/>
  <c r="K823" i="1"/>
  <c r="N823" i="1"/>
  <c r="O823" i="1"/>
  <c r="P823" i="1"/>
  <c r="K824" i="1"/>
  <c r="N824" i="1"/>
  <c r="O824" i="1"/>
  <c r="P824" i="1"/>
  <c r="K825" i="1"/>
  <c r="N825" i="1"/>
  <c r="P825" i="1" s="1"/>
  <c r="O825" i="1"/>
  <c r="K826" i="1"/>
  <c r="N826" i="1"/>
  <c r="O826" i="1"/>
  <c r="P826" i="1"/>
  <c r="K827" i="1"/>
  <c r="M827" i="1"/>
  <c r="N827" i="1"/>
  <c r="P827" i="1" s="1"/>
  <c r="O827" i="1"/>
  <c r="K828" i="1"/>
  <c r="M828" i="1"/>
  <c r="N828" i="1"/>
  <c r="O828" i="1"/>
  <c r="P828" i="1"/>
  <c r="K829" i="1"/>
  <c r="N829" i="1"/>
  <c r="O829" i="1"/>
  <c r="P829" i="1"/>
  <c r="K830" i="1"/>
  <c r="M830" i="1"/>
  <c r="N830" i="1"/>
  <c r="O830" i="1"/>
  <c r="P830" i="1"/>
  <c r="K831" i="1"/>
  <c r="N831" i="1"/>
  <c r="O831" i="1"/>
  <c r="P831" i="1"/>
  <c r="K832" i="1"/>
  <c r="N832" i="1"/>
  <c r="P832" i="1" s="1"/>
  <c r="O832" i="1"/>
  <c r="K833" i="1"/>
  <c r="N833" i="1"/>
  <c r="O833" i="1"/>
  <c r="P833" i="1" s="1"/>
  <c r="K834" i="1"/>
  <c r="N834" i="1"/>
  <c r="O834" i="1"/>
  <c r="P834" i="1"/>
  <c r="K835" i="1"/>
  <c r="M835" i="1"/>
  <c r="N835" i="1"/>
  <c r="O835" i="1"/>
  <c r="P835" i="1" s="1"/>
  <c r="K836" i="1"/>
  <c r="N836" i="1"/>
  <c r="O836" i="1"/>
  <c r="P836" i="1"/>
  <c r="K837" i="1"/>
  <c r="M837" i="1"/>
  <c r="N837" i="1"/>
  <c r="O837" i="1"/>
  <c r="P837" i="1"/>
  <c r="K838" i="1"/>
  <c r="M838" i="1"/>
  <c r="N838" i="1"/>
  <c r="P838" i="1" s="1"/>
  <c r="O838" i="1"/>
  <c r="K839" i="1"/>
  <c r="M839" i="1"/>
  <c r="N839" i="1"/>
  <c r="O839" i="1"/>
  <c r="P839" i="1"/>
  <c r="K840" i="1"/>
  <c r="N840" i="1"/>
  <c r="O840" i="1"/>
  <c r="P840" i="1"/>
  <c r="K841" i="1"/>
  <c r="N841" i="1"/>
  <c r="O841" i="1"/>
  <c r="P841" i="1" s="1"/>
  <c r="K842" i="1"/>
  <c r="N842" i="1"/>
  <c r="O842" i="1"/>
  <c r="P842" i="1"/>
  <c r="K843" i="1"/>
  <c r="M843" i="1"/>
  <c r="N843" i="1"/>
  <c r="O843" i="1"/>
  <c r="P843" i="1" s="1"/>
  <c r="K844" i="1"/>
  <c r="N844" i="1"/>
  <c r="O844" i="1"/>
  <c r="P844" i="1"/>
  <c r="K845" i="1"/>
  <c r="N845" i="1"/>
  <c r="O845" i="1"/>
  <c r="P845" i="1"/>
  <c r="K846" i="1"/>
  <c r="N846" i="1"/>
  <c r="O846" i="1"/>
  <c r="P846" i="1"/>
  <c r="K847" i="1"/>
  <c r="N847" i="1"/>
  <c r="O847" i="1"/>
  <c r="P847" i="1"/>
  <c r="K848" i="1"/>
  <c r="M846" i="1" s="1"/>
  <c r="N848" i="1"/>
  <c r="O848" i="1"/>
  <c r="P848" i="1"/>
  <c r="K849" i="1"/>
  <c r="N849" i="1"/>
  <c r="O849" i="1"/>
  <c r="P849" i="1" s="1"/>
  <c r="K850" i="1"/>
  <c r="N850" i="1"/>
  <c r="O850" i="1"/>
  <c r="P850" i="1"/>
  <c r="K851" i="1"/>
  <c r="M851" i="1"/>
  <c r="N851" i="1"/>
  <c r="O851" i="1"/>
  <c r="P851" i="1" s="1"/>
  <c r="K852" i="1"/>
  <c r="N852" i="1"/>
  <c r="O852" i="1"/>
  <c r="P852" i="1"/>
  <c r="K853" i="1"/>
  <c r="N853" i="1"/>
  <c r="O853" i="1"/>
  <c r="P853" i="1"/>
  <c r="K854" i="1"/>
  <c r="M854" i="1"/>
  <c r="N854" i="1"/>
  <c r="O854" i="1"/>
  <c r="P854" i="1"/>
  <c r="K855" i="1"/>
  <c r="M855" i="1"/>
  <c r="N855" i="1"/>
  <c r="O855" i="1"/>
  <c r="P855" i="1"/>
  <c r="K856" i="1"/>
  <c r="N856" i="1"/>
  <c r="O856" i="1"/>
  <c r="P856" i="1"/>
  <c r="K857" i="1"/>
  <c r="M857" i="1"/>
  <c r="N857" i="1"/>
  <c r="P857" i="1" s="1"/>
  <c r="O857" i="1"/>
  <c r="K858" i="1"/>
  <c r="N858" i="1"/>
  <c r="O858" i="1"/>
  <c r="P858" i="1"/>
  <c r="K859" i="1"/>
  <c r="M859" i="1"/>
  <c r="N859" i="1"/>
  <c r="P859" i="1" s="1"/>
  <c r="O859" i="1"/>
  <c r="K860" i="1"/>
  <c r="M860" i="1"/>
  <c r="N860" i="1"/>
  <c r="O860" i="1"/>
  <c r="P860" i="1"/>
  <c r="K861" i="1"/>
  <c r="M861" i="1"/>
  <c r="N861" i="1"/>
  <c r="O861" i="1"/>
  <c r="P861" i="1"/>
  <c r="K862" i="1"/>
  <c r="M862" i="1"/>
  <c r="N862" i="1"/>
  <c r="P862" i="1" s="1"/>
  <c r="O862" i="1"/>
  <c r="K863" i="1"/>
  <c r="N863" i="1"/>
  <c r="O863" i="1"/>
  <c r="P863" i="1"/>
  <c r="K864" i="1"/>
  <c r="N864" i="1"/>
  <c r="O864" i="1"/>
  <c r="P864" i="1"/>
  <c r="K865" i="1"/>
  <c r="M866" i="1" s="1"/>
  <c r="M865" i="1"/>
  <c r="N865" i="1"/>
  <c r="O865" i="1"/>
  <c r="P865" i="1" s="1"/>
  <c r="K866" i="1"/>
  <c r="N866" i="1"/>
  <c r="O866" i="1"/>
  <c r="P866" i="1"/>
  <c r="K867" i="1"/>
  <c r="M867" i="1"/>
  <c r="N867" i="1"/>
  <c r="P867" i="1" s="1"/>
  <c r="O867" i="1"/>
  <c r="K868" i="1"/>
  <c r="M868" i="1"/>
  <c r="N868" i="1"/>
  <c r="O868" i="1"/>
  <c r="P868" i="1"/>
  <c r="K869" i="1"/>
  <c r="N869" i="1"/>
  <c r="O869" i="1"/>
  <c r="P869" i="1"/>
  <c r="K870" i="1"/>
  <c r="M870" i="1"/>
  <c r="N870" i="1"/>
  <c r="O870" i="1"/>
  <c r="P870" i="1"/>
  <c r="K871" i="1"/>
  <c r="M871" i="1"/>
  <c r="N871" i="1"/>
  <c r="O871" i="1"/>
  <c r="P871" i="1"/>
  <c r="K872" i="1"/>
  <c r="M872" i="1" s="1"/>
  <c r="N872" i="1"/>
  <c r="O872" i="1"/>
  <c r="P872" i="1"/>
  <c r="K873" i="1"/>
  <c r="M873" i="1"/>
  <c r="N873" i="1"/>
  <c r="O873" i="1"/>
  <c r="P873" i="1" s="1"/>
  <c r="K874" i="1"/>
  <c r="N874" i="1"/>
  <c r="O874" i="1"/>
  <c r="P874" i="1"/>
  <c r="K875" i="1"/>
  <c r="M875" i="1"/>
  <c r="N875" i="1"/>
  <c r="O875" i="1"/>
  <c r="P875" i="1" s="1"/>
  <c r="K876" i="1"/>
  <c r="M876" i="1"/>
  <c r="N876" i="1"/>
  <c r="O876" i="1"/>
  <c r="P876" i="1"/>
  <c r="K877" i="1"/>
  <c r="N877" i="1"/>
  <c r="O877" i="1"/>
  <c r="P877" i="1"/>
  <c r="K878" i="1"/>
  <c r="M878" i="1"/>
  <c r="N878" i="1"/>
  <c r="P878" i="1" s="1"/>
  <c r="O878" i="1"/>
  <c r="K879" i="1"/>
  <c r="N879" i="1"/>
  <c r="O879" i="1"/>
  <c r="P879" i="1"/>
  <c r="K880" i="1"/>
  <c r="N880" i="1"/>
  <c r="O880" i="1"/>
  <c r="P880" i="1"/>
  <c r="K881" i="1"/>
  <c r="N881" i="1"/>
  <c r="P881" i="1" s="1"/>
  <c r="O881" i="1"/>
  <c r="K882" i="1"/>
  <c r="N882" i="1"/>
  <c r="O882" i="1"/>
  <c r="P882" i="1"/>
  <c r="K883" i="1"/>
  <c r="M883" i="1"/>
  <c r="N883" i="1"/>
  <c r="O883" i="1"/>
  <c r="P883" i="1" s="1"/>
  <c r="K884" i="1"/>
  <c r="N884" i="1"/>
  <c r="O884" i="1"/>
  <c r="P884" i="1"/>
  <c r="K885" i="1"/>
  <c r="N885" i="1"/>
  <c r="O885" i="1"/>
  <c r="P885" i="1"/>
  <c r="K886" i="1"/>
  <c r="M886" i="1"/>
  <c r="N886" i="1"/>
  <c r="P886" i="1" s="1"/>
  <c r="O886" i="1"/>
  <c r="K887" i="1"/>
  <c r="N887" i="1"/>
  <c r="O887" i="1"/>
  <c r="P887" i="1"/>
  <c r="K888" i="1"/>
  <c r="N888" i="1"/>
  <c r="O888" i="1"/>
  <c r="P888" i="1"/>
  <c r="K889" i="1"/>
  <c r="N889" i="1"/>
  <c r="O889" i="1"/>
  <c r="P889" i="1" s="1"/>
  <c r="K890" i="1"/>
  <c r="N890" i="1"/>
  <c r="O890" i="1"/>
  <c r="P890" i="1"/>
  <c r="K891" i="1"/>
  <c r="M891" i="1"/>
  <c r="N891" i="1"/>
  <c r="O891" i="1"/>
  <c r="P891" i="1" s="1"/>
  <c r="K892" i="1"/>
  <c r="N892" i="1"/>
  <c r="O892" i="1"/>
  <c r="P892" i="1"/>
  <c r="K671" i="1"/>
  <c r="M671" i="1"/>
  <c r="N671" i="1"/>
  <c r="O671" i="1"/>
  <c r="P671" i="1"/>
  <c r="K672" i="1"/>
  <c r="M672" i="1"/>
  <c r="N672" i="1"/>
  <c r="O672" i="1"/>
  <c r="P672" i="1"/>
  <c r="K673" i="1"/>
  <c r="M673" i="1"/>
  <c r="N673" i="1"/>
  <c r="O673" i="1"/>
  <c r="P673" i="1"/>
  <c r="K674" i="1"/>
  <c r="M674" i="1"/>
  <c r="N674" i="1"/>
  <c r="O674" i="1"/>
  <c r="P674" i="1"/>
  <c r="K675" i="1"/>
  <c r="N675" i="1"/>
  <c r="O675" i="1"/>
  <c r="P675" i="1"/>
  <c r="K676" i="1"/>
  <c r="M676" i="1" s="1"/>
  <c r="N676" i="1"/>
  <c r="O676" i="1"/>
  <c r="P676" i="1"/>
  <c r="K677" i="1"/>
  <c r="M679" i="1" s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M680" i="1"/>
  <c r="N680" i="1"/>
  <c r="O680" i="1"/>
  <c r="P680" i="1"/>
  <c r="K681" i="1"/>
  <c r="N681" i="1"/>
  <c r="O681" i="1"/>
  <c r="P681" i="1"/>
  <c r="K682" i="1"/>
  <c r="M682" i="1"/>
  <c r="N682" i="1"/>
  <c r="O682" i="1"/>
  <c r="P682" i="1"/>
  <c r="K683" i="1"/>
  <c r="N683" i="1"/>
  <c r="O683" i="1"/>
  <c r="P683" i="1"/>
  <c r="K684" i="1"/>
  <c r="N684" i="1"/>
  <c r="O684" i="1"/>
  <c r="P684" i="1"/>
  <c r="K685" i="1"/>
  <c r="M684" i="1" s="1"/>
  <c r="N685" i="1"/>
  <c r="O685" i="1"/>
  <c r="P685" i="1"/>
  <c r="K686" i="1"/>
  <c r="N686" i="1"/>
  <c r="O686" i="1"/>
  <c r="P686" i="1" s="1"/>
  <c r="K687" i="1"/>
  <c r="M687" i="1" s="1"/>
  <c r="N687" i="1"/>
  <c r="O687" i="1"/>
  <c r="P687" i="1"/>
  <c r="K688" i="1"/>
  <c r="M688" i="1"/>
  <c r="N688" i="1"/>
  <c r="O688" i="1"/>
  <c r="P688" i="1" s="1"/>
  <c r="K689" i="1"/>
  <c r="M689" i="1"/>
  <c r="N689" i="1"/>
  <c r="O689" i="1"/>
  <c r="P689" i="1"/>
  <c r="K690" i="1"/>
  <c r="M690" i="1"/>
  <c r="N690" i="1"/>
  <c r="O690" i="1"/>
  <c r="P690" i="1"/>
  <c r="K691" i="1"/>
  <c r="M691" i="1"/>
  <c r="N691" i="1"/>
  <c r="O691" i="1"/>
  <c r="P691" i="1"/>
  <c r="K692" i="1"/>
  <c r="M692" i="1"/>
  <c r="N692" i="1"/>
  <c r="O692" i="1"/>
  <c r="P692" i="1"/>
  <c r="K693" i="1"/>
  <c r="M694" i="1" s="1"/>
  <c r="N693" i="1"/>
  <c r="O693" i="1"/>
  <c r="P693" i="1"/>
  <c r="K694" i="1"/>
  <c r="N694" i="1"/>
  <c r="O694" i="1"/>
  <c r="P694" i="1" s="1"/>
  <c r="K695" i="1"/>
  <c r="M695" i="1" s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849" i="1" l="1"/>
  <c r="M809" i="1"/>
  <c r="M761" i="1"/>
  <c r="M705" i="1"/>
  <c r="M884" i="1"/>
  <c r="M852" i="1"/>
  <c r="M836" i="1"/>
  <c r="M812" i="1"/>
  <c r="M804" i="1"/>
  <c r="M796" i="1"/>
  <c r="M788" i="1"/>
  <c r="M780" i="1"/>
  <c r="M772" i="1"/>
  <c r="M764" i="1"/>
  <c r="M756" i="1"/>
  <c r="M748" i="1"/>
  <c r="M740" i="1"/>
  <c r="M724" i="1"/>
  <c r="M716" i="1"/>
  <c r="M708" i="1"/>
  <c r="M700" i="1"/>
  <c r="M785" i="1"/>
  <c r="M713" i="1"/>
  <c r="M887" i="1"/>
  <c r="M879" i="1"/>
  <c r="M863" i="1"/>
  <c r="M847" i="1"/>
  <c r="M831" i="1"/>
  <c r="M823" i="1"/>
  <c r="M815" i="1"/>
  <c r="M807" i="1"/>
  <c r="M783" i="1"/>
  <c r="M775" i="1"/>
  <c r="M767" i="1"/>
  <c r="M759" i="1"/>
  <c r="M743" i="1"/>
  <c r="M735" i="1"/>
  <c r="M703" i="1"/>
  <c r="M841" i="1"/>
  <c r="M769" i="1"/>
  <c r="M745" i="1"/>
  <c r="M721" i="1"/>
  <c r="M892" i="1"/>
  <c r="M844" i="1"/>
  <c r="M890" i="1"/>
  <c r="M882" i="1"/>
  <c r="M874" i="1"/>
  <c r="M858" i="1"/>
  <c r="M850" i="1"/>
  <c r="M842" i="1"/>
  <c r="M834" i="1"/>
  <c r="M826" i="1"/>
  <c r="M810" i="1"/>
  <c r="M802" i="1"/>
  <c r="M786" i="1"/>
  <c r="M778" i="1"/>
  <c r="M770" i="1"/>
  <c r="M762" i="1"/>
  <c r="M754" i="1"/>
  <c r="M738" i="1"/>
  <c r="M730" i="1"/>
  <c r="M722" i="1"/>
  <c r="M714" i="1"/>
  <c r="M706" i="1"/>
  <c r="M698" i="1"/>
  <c r="M825" i="1"/>
  <c r="M777" i="1"/>
  <c r="M885" i="1"/>
  <c r="M877" i="1"/>
  <c r="M869" i="1"/>
  <c r="M853" i="1"/>
  <c r="M845" i="1"/>
  <c r="M829" i="1"/>
  <c r="M813" i="1"/>
  <c r="M805" i="1"/>
  <c r="M797" i="1"/>
  <c r="M789" i="1"/>
  <c r="M781" i="1"/>
  <c r="M773" i="1"/>
  <c r="M765" i="1"/>
  <c r="M757" i="1"/>
  <c r="M741" i="1"/>
  <c r="M709" i="1"/>
  <c r="M889" i="1"/>
  <c r="M833" i="1"/>
  <c r="M793" i="1"/>
  <c r="M888" i="1"/>
  <c r="M880" i="1"/>
  <c r="M864" i="1"/>
  <c r="M856" i="1"/>
  <c r="M848" i="1"/>
  <c r="M840" i="1"/>
  <c r="M832" i="1"/>
  <c r="M824" i="1"/>
  <c r="M816" i="1"/>
  <c r="M808" i="1"/>
  <c r="M792" i="1"/>
  <c r="M776" i="1"/>
  <c r="M768" i="1"/>
  <c r="M760" i="1"/>
  <c r="M752" i="1"/>
  <c r="M744" i="1"/>
  <c r="M736" i="1"/>
  <c r="M712" i="1"/>
  <c r="M704" i="1"/>
  <c r="M787" i="1"/>
  <c r="M779" i="1"/>
  <c r="M771" i="1"/>
  <c r="M739" i="1"/>
  <c r="M693" i="1"/>
  <c r="M685" i="1"/>
  <c r="M677" i="1"/>
  <c r="M683" i="1"/>
  <c r="M675" i="1"/>
  <c r="M686" i="1"/>
  <c r="M678" i="1"/>
  <c r="M681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P27" i="3" l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73" i="1" l="1"/>
  <c r="M444" i="1"/>
  <c r="M494" i="1"/>
  <c r="M483" i="1"/>
  <c r="M485" i="1"/>
  <c r="M479" i="1"/>
  <c r="M475" i="1"/>
  <c r="M480" i="1"/>
  <c r="M473" i="1"/>
  <c r="M474" i="1"/>
  <c r="M588" i="1"/>
  <c r="M627" i="1"/>
  <c r="M533" i="1"/>
  <c r="M583" i="1"/>
  <c r="M572" i="1"/>
  <c r="M587" i="1"/>
  <c r="M620" i="1"/>
  <c r="M534" i="1"/>
  <c r="M535" i="1"/>
  <c r="M617" i="1"/>
  <c r="M626" i="1"/>
  <c r="M628" i="1"/>
  <c r="M621" i="1"/>
  <c r="M553" i="1"/>
  <c r="M625" i="1"/>
  <c r="M531" i="1"/>
  <c r="M651" i="1"/>
  <c r="M614" i="1"/>
  <c r="M615" i="1"/>
  <c r="M616" i="1"/>
  <c r="M659" i="1"/>
  <c r="M550" i="1"/>
  <c r="P35" i="3"/>
  <c r="M582" i="1"/>
  <c r="M624" i="1"/>
  <c r="M641" i="1"/>
  <c r="M574" i="1"/>
  <c r="M650" i="1"/>
  <c r="M551" i="1"/>
  <c r="M623" i="1"/>
  <c r="M649" i="1"/>
  <c r="M520" i="1"/>
  <c r="M658" i="1"/>
  <c r="M589" i="1"/>
  <c r="M660" i="1"/>
  <c r="M552" i="1"/>
  <c r="M622" i="1"/>
  <c r="M640" i="1"/>
  <c r="M493" i="1"/>
  <c r="P2" i="3"/>
  <c r="M619" i="1"/>
  <c r="M532" i="1"/>
  <c r="M661" i="1"/>
  <c r="M581" i="1"/>
  <c r="M648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O27" i="3" s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3" i="1" l="1"/>
  <c r="O34" i="3"/>
  <c r="P32" i="3"/>
  <c r="O8" i="3"/>
  <c r="O31" i="3"/>
  <c r="O2" i="3"/>
  <c r="O20" i="3"/>
  <c r="O9" i="3"/>
  <c r="O32" i="3"/>
  <c r="O19" i="3"/>
  <c r="O21" i="3"/>
  <c r="P31" i="3"/>
  <c r="O26" i="3"/>
  <c r="P12" i="3"/>
  <c r="P8" i="3"/>
  <c r="P21" i="3"/>
  <c r="P19" i="3"/>
  <c r="P29" i="3"/>
  <c r="P24" i="3"/>
  <c r="P34" i="3"/>
  <c r="P4" i="3"/>
  <c r="P3" i="3"/>
  <c r="M462" i="1"/>
  <c r="M630" i="1"/>
  <c r="M631" i="1"/>
  <c r="M441" i="1"/>
  <c r="K30" i="3"/>
  <c r="T30" i="3"/>
  <c r="M511" i="1"/>
  <c r="O29" i="3"/>
  <c r="O12" i="3"/>
  <c r="M439" i="1"/>
  <c r="O28" i="3"/>
  <c r="U28" i="3"/>
  <c r="M438" i="1"/>
  <c r="P23" i="3"/>
  <c r="O23" i="3"/>
  <c r="M670" i="1"/>
  <c r="P9" i="3"/>
  <c r="M437" i="1"/>
  <c r="J22" i="3"/>
  <c r="P22" i="3"/>
  <c r="O22" i="3"/>
  <c r="T22" i="3"/>
  <c r="M669" i="1"/>
  <c r="U22" i="3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9" i="1" l="1"/>
  <c r="M422" i="1"/>
  <c r="M388" i="1"/>
  <c r="M386" i="1"/>
  <c r="J19" i="3"/>
  <c r="M629" i="1"/>
  <c r="M504" i="1"/>
  <c r="M415" i="1"/>
  <c r="J32" i="3"/>
  <c r="M458" i="1"/>
  <c r="M433" i="1"/>
  <c r="U18" i="3"/>
  <c r="O18" i="3"/>
  <c r="T18" i="3"/>
  <c r="M389" i="1"/>
  <c r="P18" i="3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J5" i="3"/>
  <c r="M639" i="1"/>
  <c r="M647" i="1"/>
  <c r="M638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" i="3" l="1"/>
  <c r="U8" i="3"/>
  <c r="U12" i="3"/>
  <c r="T27" i="3"/>
  <c r="J21" i="3"/>
  <c r="U5" i="3"/>
  <c r="U29" i="3"/>
  <c r="M529" i="1"/>
  <c r="K27" i="3"/>
  <c r="M482" i="1"/>
  <c r="U3" i="3"/>
  <c r="U34" i="3"/>
  <c r="M516" i="1"/>
  <c r="T31" i="3"/>
  <c r="M515" i="1"/>
  <c r="U9" i="3"/>
  <c r="U31" i="3"/>
  <c r="M489" i="1"/>
  <c r="O3" i="3"/>
  <c r="U11" i="3"/>
  <c r="T3" i="3"/>
  <c r="U32" i="3"/>
  <c r="U24" i="3"/>
  <c r="M476" i="1"/>
  <c r="U19" i="3"/>
  <c r="U35" i="3"/>
  <c r="M481" i="1"/>
  <c r="T21" i="3"/>
  <c r="M530" i="1"/>
  <c r="K24" i="3"/>
  <c r="M536" i="1"/>
  <c r="U21" i="3"/>
  <c r="U26" i="3"/>
  <c r="J24" i="3"/>
  <c r="T26" i="3"/>
  <c r="T13" i="3"/>
  <c r="O4" i="3"/>
  <c r="K35" i="3"/>
  <c r="J26" i="3"/>
  <c r="J11" i="3"/>
  <c r="T11" i="3"/>
  <c r="J13" i="3"/>
  <c r="K20" i="3"/>
  <c r="U20" i="3"/>
  <c r="T33" i="3"/>
  <c r="T29" i="3"/>
  <c r="U2" i="3"/>
  <c r="T8" i="3"/>
  <c r="T32" i="3"/>
  <c r="T12" i="3"/>
  <c r="T34" i="3"/>
  <c r="P30" i="3"/>
  <c r="T28" i="3"/>
  <c r="P5" i="3"/>
  <c r="T25" i="3"/>
  <c r="J4" i="3"/>
  <c r="U13" i="3"/>
  <c r="P13" i="3"/>
  <c r="L42" i="6"/>
  <c r="S36" i="6"/>
  <c r="E41" i="6"/>
  <c r="P39" i="6"/>
  <c r="H33" i="6"/>
  <c r="C42" i="6"/>
  <c r="J23" i="3"/>
  <c r="K26" i="3"/>
  <c r="F39" i="6"/>
  <c r="F36" i="6"/>
  <c r="R40" i="6"/>
  <c r="M41" i="6"/>
  <c r="D35" i="6"/>
  <c r="M42" i="6"/>
  <c r="I36" i="6"/>
  <c r="N38" i="6"/>
  <c r="J40" i="6"/>
  <c r="G41" i="6"/>
  <c r="R37" i="6"/>
  <c r="F42" i="6"/>
  <c r="C34" i="6"/>
  <c r="G35" i="6"/>
  <c r="P42" i="6"/>
  <c r="T37" i="6"/>
  <c r="N36" i="6"/>
  <c r="E36" i="6"/>
  <c r="G34" i="6"/>
  <c r="T24" i="3"/>
  <c r="U23" i="3"/>
  <c r="U30" i="3"/>
  <c r="O5" i="3"/>
  <c r="O25" i="3"/>
  <c r="I35" i="6"/>
  <c r="H39" i="6"/>
  <c r="C39" i="6"/>
  <c r="T40" i="6"/>
  <c r="C38" i="6"/>
  <c r="E40" i="6"/>
  <c r="H38" i="6"/>
  <c r="I38" i="6"/>
  <c r="P40" i="6"/>
  <c r="K13" i="3"/>
  <c r="T42" i="6"/>
  <c r="K36" i="6"/>
  <c r="K28" i="3"/>
  <c r="K11" i="3"/>
  <c r="S38" i="6"/>
  <c r="H42" i="6"/>
  <c r="P33" i="6"/>
  <c r="O40" i="6"/>
  <c r="K39" i="6"/>
  <c r="Q35" i="6"/>
  <c r="E34" i="6"/>
  <c r="G38" i="6"/>
  <c r="T34" i="6"/>
  <c r="N42" i="6"/>
  <c r="O37" i="6"/>
  <c r="M36" i="6"/>
  <c r="U27" i="3"/>
  <c r="U33" i="3"/>
  <c r="O24" i="3"/>
  <c r="T23" i="3"/>
  <c r="K22" i="3"/>
  <c r="G39" i="6"/>
  <c r="O38" i="6"/>
  <c r="D39" i="6"/>
  <c r="J41" i="6"/>
  <c r="R36" i="6"/>
  <c r="U36" i="6"/>
  <c r="Q42" i="6"/>
  <c r="N40" i="6"/>
  <c r="K19" i="3"/>
  <c r="F34" i="6"/>
  <c r="K18" i="3"/>
  <c r="U35" i="6"/>
  <c r="G40" i="6"/>
  <c r="P11" i="3"/>
  <c r="T19" i="3"/>
  <c r="J18" i="3"/>
  <c r="K5" i="3"/>
  <c r="T4" i="3"/>
  <c r="O13" i="3"/>
  <c r="J35" i="3"/>
  <c r="U7" i="3"/>
  <c r="O33" i="3"/>
  <c r="G37" i="6"/>
  <c r="T41" i="6"/>
  <c r="O42" i="6"/>
  <c r="K25" i="3"/>
  <c r="E38" i="6"/>
  <c r="H37" i="6"/>
  <c r="J20" i="3"/>
  <c r="S41" i="6"/>
  <c r="T39" i="6"/>
  <c r="J36" i="6"/>
  <c r="I34" i="6"/>
  <c r="J38" i="6"/>
  <c r="D34" i="6"/>
  <c r="Q38" i="6"/>
  <c r="K23" i="3"/>
  <c r="K4" i="3"/>
  <c r="K35" i="6"/>
  <c r="F40" i="6"/>
  <c r="I42" i="6"/>
  <c r="P34" i="6"/>
  <c r="H35" i="6"/>
  <c r="D33" i="6"/>
  <c r="J39" i="6"/>
  <c r="L34" i="6"/>
  <c r="R35" i="6"/>
  <c r="R38" i="6"/>
  <c r="M40" i="6"/>
  <c r="O35" i="3"/>
  <c r="J27" i="3"/>
  <c r="K21" i="3"/>
  <c r="J28" i="3"/>
  <c r="T20" i="3"/>
  <c r="K33" i="3"/>
  <c r="O11" i="3"/>
  <c r="K15" i="3"/>
  <c r="L41" i="6"/>
  <c r="U42" i="6"/>
  <c r="O33" i="6"/>
  <c r="O36" i="6"/>
  <c r="U41" i="6"/>
  <c r="J33" i="6"/>
  <c r="D42" i="6"/>
  <c r="L36" i="6"/>
  <c r="S39" i="6"/>
  <c r="K37" i="6"/>
  <c r="P36" i="6"/>
  <c r="T35" i="6"/>
  <c r="D38" i="6"/>
  <c r="U34" i="6"/>
  <c r="M234" i="1"/>
  <c r="U37" i="6"/>
  <c r="C40" i="6"/>
  <c r="I37" i="6"/>
  <c r="K6" i="3"/>
  <c r="E33" i="6"/>
  <c r="M37" i="6"/>
  <c r="G36" i="6"/>
  <c r="Q33" i="6"/>
  <c r="P41" i="6"/>
  <c r="G33" i="6"/>
  <c r="N33" i="6"/>
  <c r="L40" i="6"/>
  <c r="P33" i="3"/>
  <c r="P28" i="3"/>
  <c r="T5" i="3"/>
  <c r="U25" i="3"/>
  <c r="P20" i="3"/>
  <c r="U4" i="3"/>
  <c r="P26" i="3"/>
  <c r="J34" i="6"/>
  <c r="D41" i="6"/>
  <c r="E42" i="6"/>
  <c r="F33" i="6"/>
  <c r="I41" i="6"/>
  <c r="K42" i="6"/>
  <c r="N35" i="6"/>
  <c r="D40" i="6"/>
  <c r="C36" i="6"/>
  <c r="L37" i="6"/>
  <c r="R39" i="6"/>
  <c r="K38" i="6"/>
  <c r="I39" i="6"/>
  <c r="Q40" i="6"/>
  <c r="M33" i="6"/>
  <c r="L33" i="6"/>
  <c r="O41" i="6"/>
  <c r="P6" i="3"/>
  <c r="F37" i="6"/>
  <c r="E37" i="6"/>
  <c r="K40" i="6"/>
  <c r="M34" i="6"/>
  <c r="F38" i="6"/>
  <c r="S40" i="6"/>
  <c r="U40" i="6"/>
  <c r="D37" i="6"/>
  <c r="R42" i="6"/>
  <c r="Q36" i="6"/>
  <c r="I40" i="6"/>
  <c r="C33" i="6"/>
  <c r="J35" i="6"/>
  <c r="H36" i="6"/>
  <c r="U33" i="6"/>
  <c r="T38" i="6"/>
  <c r="Q41" i="6"/>
  <c r="O34" i="6"/>
  <c r="K34" i="6"/>
  <c r="F41" i="6"/>
  <c r="H41" i="6"/>
  <c r="S42" i="6"/>
  <c r="O39" i="6"/>
  <c r="Q34" i="6"/>
  <c r="P35" i="6"/>
  <c r="E35" i="6"/>
  <c r="Q37" i="6"/>
  <c r="N34" i="6"/>
  <c r="M39" i="6"/>
  <c r="F35" i="6"/>
  <c r="U39" i="6"/>
  <c r="L35" i="6"/>
  <c r="N41" i="6"/>
  <c r="N39" i="6"/>
  <c r="J37" i="6"/>
  <c r="K41" i="6"/>
  <c r="L38" i="6"/>
  <c r="S35" i="6"/>
  <c r="O35" i="6"/>
  <c r="R34" i="6"/>
  <c r="P37" i="6"/>
  <c r="T33" i="6"/>
  <c r="S34" i="6"/>
  <c r="C41" i="6"/>
  <c r="C37" i="6"/>
  <c r="P38" i="6"/>
  <c r="M38" i="6"/>
  <c r="E39" i="6"/>
  <c r="D36" i="6"/>
  <c r="T36" i="6"/>
  <c r="R33" i="6"/>
  <c r="L39" i="6"/>
  <c r="U38" i="6"/>
  <c r="C35" i="6"/>
  <c r="M35" i="6"/>
  <c r="I33" i="6"/>
  <c r="R41" i="6"/>
  <c r="G42" i="6"/>
  <c r="H40" i="6"/>
  <c r="J42" i="6"/>
  <c r="H34" i="6"/>
  <c r="S33" i="6"/>
  <c r="Q39" i="6"/>
  <c r="N37" i="6"/>
  <c r="K33" i="6"/>
  <c r="S37" i="6"/>
  <c r="T6" i="3"/>
  <c r="J6" i="3"/>
  <c r="U6" i="3"/>
  <c r="O6" i="3"/>
  <c r="M236" i="1"/>
  <c r="K16" i="3"/>
  <c r="J16" i="3"/>
  <c r="T16" i="3"/>
  <c r="O16" i="3"/>
  <c r="U16" i="3"/>
  <c r="P16" i="3"/>
  <c r="M235" i="1"/>
  <c r="J15" i="3"/>
  <c r="U15" i="3"/>
  <c r="T15" i="3"/>
  <c r="O15" i="3"/>
  <c r="P15" i="3"/>
  <c r="M238" i="1"/>
  <c r="P7" i="3"/>
  <c r="K7" i="3"/>
  <c r="O7" i="3"/>
  <c r="J7" i="3"/>
  <c r="T7" i="3"/>
  <c r="M237" i="1"/>
  <c r="K17" i="3"/>
  <c r="P17" i="3"/>
  <c r="O17" i="3"/>
  <c r="T17" i="3"/>
  <c r="U1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M341" i="1" s="1"/>
  <c r="C342" i="1"/>
  <c r="C332" i="1"/>
  <c r="C333" i="1"/>
  <c r="C334" i="1"/>
  <c r="C335" i="1"/>
  <c r="M354" i="1" s="1"/>
  <c r="C336" i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53" i="1" s="1"/>
  <c r="C309" i="1"/>
  <c r="C310" i="1"/>
  <c r="C311" i="1"/>
  <c r="C307" i="1"/>
  <c r="C306" i="1"/>
  <c r="C283" i="1"/>
  <c r="M325" i="1" l="1"/>
  <c r="M317" i="1"/>
  <c r="M339" i="1"/>
  <c r="D76" i="6"/>
  <c r="M306" i="1"/>
  <c r="M336" i="1"/>
  <c r="T35" i="3"/>
  <c r="V35" i="3" s="1"/>
  <c r="T9" i="3"/>
  <c r="M334" i="1"/>
  <c r="M328" i="1"/>
  <c r="C45" i="6"/>
  <c r="N110" i="6"/>
  <c r="N43" i="6"/>
  <c r="M337" i="1"/>
  <c r="R44" i="6"/>
  <c r="J80" i="6"/>
  <c r="M329" i="1"/>
  <c r="M321" i="1"/>
  <c r="J3" i="3"/>
  <c r="M313" i="1"/>
  <c r="M564" i="1"/>
  <c r="M560" i="1"/>
  <c r="M567" i="1"/>
  <c r="M597" i="1"/>
  <c r="M565" i="1"/>
  <c r="M556" i="1"/>
  <c r="M559" i="1"/>
  <c r="M566" i="1"/>
  <c r="M557" i="1"/>
  <c r="M592" i="1"/>
  <c r="M558" i="1"/>
  <c r="M593" i="1"/>
  <c r="M594" i="1"/>
  <c r="M562" i="1"/>
  <c r="M561" i="1"/>
  <c r="M542" i="1"/>
  <c r="M595" i="1"/>
  <c r="M563" i="1"/>
  <c r="M554" i="1"/>
  <c r="M596" i="1"/>
  <c r="M555" i="1"/>
  <c r="M591" i="1"/>
  <c r="M590" i="1"/>
  <c r="M368" i="1"/>
  <c r="M498" i="1"/>
  <c r="M522" i="1"/>
  <c r="M503" i="1"/>
  <c r="M502" i="1"/>
  <c r="M500" i="1"/>
  <c r="M524" i="1"/>
  <c r="M495" i="1"/>
  <c r="M497" i="1"/>
  <c r="M521" i="1"/>
  <c r="M523" i="1"/>
  <c r="M501" i="1"/>
  <c r="M499" i="1"/>
  <c r="M496" i="1"/>
  <c r="M451" i="1"/>
  <c r="M456" i="1"/>
  <c r="M454" i="1"/>
  <c r="M453" i="1"/>
  <c r="M457" i="1"/>
  <c r="M452" i="1"/>
  <c r="M450" i="1"/>
  <c r="M455" i="1"/>
  <c r="M414" i="1"/>
  <c r="M379" i="1"/>
  <c r="M385" i="1"/>
  <c r="M380" i="1"/>
  <c r="M384" i="1"/>
  <c r="M382" i="1"/>
  <c r="M381" i="1"/>
  <c r="M383" i="1"/>
  <c r="M362" i="1"/>
  <c r="M363" i="1"/>
  <c r="M351" i="1"/>
  <c r="J2" i="3"/>
  <c r="M344" i="1"/>
  <c r="M90" i="6"/>
  <c r="S117" i="6"/>
  <c r="C66" i="6"/>
  <c r="T85" i="6"/>
  <c r="L49" i="6"/>
  <c r="R121" i="6"/>
  <c r="I59" i="6"/>
  <c r="D95" i="6"/>
  <c r="G63" i="6"/>
  <c r="F111" i="6"/>
  <c r="F78" i="6"/>
  <c r="Q85" i="6"/>
  <c r="T53" i="6"/>
  <c r="T98" i="6"/>
  <c r="C107" i="6"/>
  <c r="C50" i="6"/>
  <c r="H75" i="6"/>
  <c r="D58" i="6"/>
  <c r="P47" i="6"/>
  <c r="G100" i="6"/>
  <c r="D70" i="6"/>
  <c r="F76" i="6"/>
  <c r="S81" i="6"/>
  <c r="S70" i="6"/>
  <c r="N87" i="6"/>
  <c r="G118" i="6"/>
  <c r="F43" i="6"/>
  <c r="O107" i="6"/>
  <c r="K53" i="6"/>
  <c r="E123" i="6"/>
  <c r="R61" i="6"/>
  <c r="L74" i="6"/>
  <c r="N48" i="6"/>
  <c r="J117" i="6"/>
  <c r="J122" i="6"/>
  <c r="Q78" i="6"/>
  <c r="I49" i="6"/>
  <c r="S50" i="6"/>
  <c r="M51" i="6"/>
  <c r="E85" i="6"/>
  <c r="R51" i="6"/>
  <c r="S99" i="6"/>
  <c r="N53" i="6"/>
  <c r="M52" i="6"/>
  <c r="S101" i="6"/>
  <c r="I105" i="6"/>
  <c r="F91" i="6"/>
  <c r="K97" i="6"/>
  <c r="L108" i="6"/>
  <c r="S53" i="6"/>
  <c r="P64" i="6"/>
  <c r="E107" i="6"/>
  <c r="M320" i="1"/>
  <c r="M350" i="1"/>
  <c r="M343" i="1"/>
  <c r="U100" i="6"/>
  <c r="I98" i="6"/>
  <c r="H52" i="6"/>
  <c r="K91" i="6"/>
  <c r="L107" i="6"/>
  <c r="N113" i="6"/>
  <c r="Q66" i="6"/>
  <c r="C92" i="6"/>
  <c r="N46" i="6"/>
  <c r="I48" i="6"/>
  <c r="C62" i="6"/>
  <c r="I93" i="6"/>
  <c r="K46" i="6"/>
  <c r="P72" i="6"/>
  <c r="I68" i="6"/>
  <c r="F110" i="6"/>
  <c r="Q67" i="6"/>
  <c r="G114" i="6"/>
  <c r="H92" i="6"/>
  <c r="T109" i="6"/>
  <c r="H111" i="6"/>
  <c r="M68" i="6"/>
  <c r="D94" i="6"/>
  <c r="O116" i="6"/>
  <c r="P75" i="6"/>
  <c r="N93" i="6"/>
  <c r="M59" i="6"/>
  <c r="T93" i="6"/>
  <c r="M92" i="6"/>
  <c r="F77" i="6"/>
  <c r="D102" i="6"/>
  <c r="G121" i="6"/>
  <c r="H58" i="6"/>
  <c r="R69" i="6"/>
  <c r="G92" i="6"/>
  <c r="H49" i="6"/>
  <c r="F96" i="6"/>
  <c r="C121" i="6"/>
  <c r="T80" i="6"/>
  <c r="E109" i="6"/>
  <c r="Q114" i="6"/>
  <c r="Q112" i="6"/>
  <c r="T115" i="6"/>
  <c r="T77" i="6"/>
  <c r="R56" i="6"/>
  <c r="N62" i="6"/>
  <c r="T117" i="6"/>
  <c r="E114" i="6"/>
  <c r="E72" i="6"/>
  <c r="U61" i="6"/>
  <c r="T103" i="6"/>
  <c r="D60" i="6"/>
  <c r="O118" i="6"/>
  <c r="M311" i="1"/>
  <c r="J12" i="3"/>
  <c r="M668" i="1"/>
  <c r="M600" i="1"/>
  <c r="M601" i="1"/>
  <c r="M602" i="1"/>
  <c r="M570" i="1"/>
  <c r="M569" i="1"/>
  <c r="M575" i="1"/>
  <c r="M642" i="1"/>
  <c r="M603" i="1"/>
  <c r="M604" i="1"/>
  <c r="M599" i="1"/>
  <c r="M598" i="1"/>
  <c r="M543" i="1"/>
  <c r="M568" i="1"/>
  <c r="M605" i="1"/>
  <c r="M525" i="1"/>
  <c r="M509" i="1"/>
  <c r="M507" i="1"/>
  <c r="M488" i="1"/>
  <c r="M526" i="1"/>
  <c r="M508" i="1"/>
  <c r="M506" i="1"/>
  <c r="M505" i="1"/>
  <c r="M527" i="1"/>
  <c r="M461" i="1"/>
  <c r="M460" i="1"/>
  <c r="M401" i="1"/>
  <c r="M396" i="1"/>
  <c r="M394" i="1"/>
  <c r="M393" i="1"/>
  <c r="M400" i="1"/>
  <c r="M392" i="1"/>
  <c r="M398" i="1"/>
  <c r="M397" i="1"/>
  <c r="M428" i="1"/>
  <c r="M423" i="1"/>
  <c r="M390" i="1"/>
  <c r="M391" i="1"/>
  <c r="M399" i="1"/>
  <c r="M395" i="1"/>
  <c r="K32" i="3"/>
  <c r="M471" i="1"/>
  <c r="M310" i="1"/>
  <c r="M449" i="1"/>
  <c r="M443" i="1"/>
  <c r="M413" i="1"/>
  <c r="M378" i="1"/>
  <c r="M377" i="1"/>
  <c r="M356" i="1"/>
  <c r="M355" i="1"/>
  <c r="K8" i="3"/>
  <c r="M333" i="1"/>
  <c r="M653" i="1"/>
  <c r="M548" i="1"/>
  <c r="M540" i="1"/>
  <c r="M584" i="1"/>
  <c r="M637" i="1"/>
  <c r="M644" i="1"/>
  <c r="M611" i="1"/>
  <c r="M585" i="1"/>
  <c r="M636" i="1"/>
  <c r="M643" i="1"/>
  <c r="M618" i="1"/>
  <c r="M545" i="1"/>
  <c r="M491" i="1"/>
  <c r="M518" i="1"/>
  <c r="M436" i="1"/>
  <c r="M447" i="1"/>
  <c r="M435" i="1"/>
  <c r="M448" i="1"/>
  <c r="M446" i="1"/>
  <c r="M419" i="1"/>
  <c r="M374" i="1"/>
  <c r="M370" i="1"/>
  <c r="M369" i="1"/>
  <c r="M309" i="1"/>
  <c r="K29" i="3"/>
  <c r="J29" i="3"/>
  <c r="M541" i="1"/>
  <c r="M440" i="1"/>
  <c r="M361" i="1"/>
  <c r="K10" i="3"/>
  <c r="U10" i="3"/>
  <c r="J10" i="3"/>
  <c r="T10" i="3"/>
  <c r="M332" i="1"/>
  <c r="P10" i="3"/>
  <c r="O10" i="3"/>
  <c r="M544" i="1"/>
  <c r="M664" i="1"/>
  <c r="M580" i="1"/>
  <c r="M358" i="1"/>
  <c r="M327" i="1"/>
  <c r="M319" i="1"/>
  <c r="M349" i="1"/>
  <c r="M111" i="6"/>
  <c r="L62" i="6"/>
  <c r="M70" i="6"/>
  <c r="Q98" i="6"/>
  <c r="D118" i="6"/>
  <c r="N117" i="6"/>
  <c r="H63" i="6"/>
  <c r="H80" i="6"/>
  <c r="R53" i="6"/>
  <c r="R68" i="6"/>
  <c r="S112" i="6"/>
  <c r="S58" i="6"/>
  <c r="M120" i="6"/>
  <c r="R77" i="6"/>
  <c r="C122" i="6"/>
  <c r="H113" i="6"/>
  <c r="R111" i="6"/>
  <c r="K100" i="6"/>
  <c r="P76" i="6"/>
  <c r="C51" i="6"/>
  <c r="D67" i="6"/>
  <c r="D87" i="6"/>
  <c r="K51" i="6"/>
  <c r="S122" i="6"/>
  <c r="U80" i="6"/>
  <c r="K50" i="6"/>
  <c r="U83" i="6"/>
  <c r="J96" i="6"/>
  <c r="T86" i="6"/>
  <c r="J78" i="6"/>
  <c r="C76" i="6"/>
  <c r="O46" i="6"/>
  <c r="I107" i="6"/>
  <c r="S44" i="6"/>
  <c r="Q61" i="6"/>
  <c r="Q100" i="6"/>
  <c r="H51" i="6"/>
  <c r="D93" i="6"/>
  <c r="S69" i="6"/>
  <c r="L85" i="6"/>
  <c r="Q47" i="6"/>
  <c r="P69" i="6"/>
  <c r="O117" i="6"/>
  <c r="S116" i="6"/>
  <c r="H114" i="6"/>
  <c r="O56" i="6"/>
  <c r="F73" i="6"/>
  <c r="S113" i="6"/>
  <c r="C63" i="6"/>
  <c r="Q99" i="6"/>
  <c r="C87" i="6"/>
  <c r="I94" i="6"/>
  <c r="K67" i="6"/>
  <c r="M308" i="1"/>
  <c r="K9" i="3"/>
  <c r="M547" i="1"/>
  <c r="M579" i="1"/>
  <c r="M652" i="1"/>
  <c r="M578" i="1"/>
  <c r="M634" i="1"/>
  <c r="M663" i="1"/>
  <c r="M577" i="1"/>
  <c r="M635" i="1"/>
  <c r="M517" i="1"/>
  <c r="M490" i="1"/>
  <c r="M486" i="1"/>
  <c r="M477" i="1"/>
  <c r="M445" i="1"/>
  <c r="M429" i="1"/>
  <c r="M410" i="1"/>
  <c r="M430" i="1"/>
  <c r="M359" i="1"/>
  <c r="M360" i="1"/>
  <c r="M342" i="1"/>
  <c r="M326" i="1"/>
  <c r="K12" i="3"/>
  <c r="M318" i="1"/>
  <c r="M348" i="1"/>
  <c r="K96" i="6"/>
  <c r="Q91" i="6"/>
  <c r="Q80" i="6"/>
  <c r="E80" i="6"/>
  <c r="J63" i="6"/>
  <c r="H47" i="6"/>
  <c r="T55" i="6"/>
  <c r="N76" i="6"/>
  <c r="R91" i="6"/>
  <c r="G108" i="6"/>
  <c r="J51" i="6"/>
  <c r="L90" i="6"/>
  <c r="U116" i="6"/>
  <c r="G57" i="6"/>
  <c r="G71" i="6"/>
  <c r="I72" i="6"/>
  <c r="G102" i="6"/>
  <c r="K92" i="6"/>
  <c r="U64" i="6"/>
  <c r="I95" i="6"/>
  <c r="H54" i="6"/>
  <c r="D79" i="6"/>
  <c r="D77" i="6"/>
  <c r="O62" i="6"/>
  <c r="S59" i="6"/>
  <c r="J105" i="6"/>
  <c r="O99" i="6"/>
  <c r="H56" i="6"/>
  <c r="H46" i="6"/>
  <c r="U50" i="6"/>
  <c r="G52" i="6"/>
  <c r="U65" i="6"/>
  <c r="R74" i="6"/>
  <c r="L44" i="6"/>
  <c r="U103" i="6"/>
  <c r="O66" i="6"/>
  <c r="J99" i="6"/>
  <c r="E97" i="6"/>
  <c r="D99" i="6"/>
  <c r="U95" i="6"/>
  <c r="I82" i="6"/>
  <c r="O114" i="6"/>
  <c r="S96" i="6"/>
  <c r="S107" i="6"/>
  <c r="J123" i="6"/>
  <c r="K108" i="6"/>
  <c r="D121" i="6"/>
  <c r="N71" i="6"/>
  <c r="Q94" i="6"/>
  <c r="R80" i="6"/>
  <c r="Q51" i="6"/>
  <c r="L60" i="6"/>
  <c r="O51" i="6"/>
  <c r="M74" i="6"/>
  <c r="C52" i="6"/>
  <c r="P61" i="6"/>
  <c r="E64" i="6"/>
  <c r="N84" i="6"/>
  <c r="S109" i="6"/>
  <c r="P123" i="6"/>
  <c r="L110" i="6"/>
  <c r="H95" i="6"/>
  <c r="C99" i="6"/>
  <c r="U97" i="6"/>
  <c r="E45" i="6"/>
  <c r="C55" i="6"/>
  <c r="S63" i="6"/>
  <c r="Q65" i="6"/>
  <c r="S102" i="6"/>
  <c r="I117" i="6"/>
  <c r="D50" i="6"/>
  <c r="P56" i="6"/>
  <c r="O96" i="6"/>
  <c r="D91" i="6"/>
  <c r="F84" i="6"/>
  <c r="I87" i="6"/>
  <c r="M110" i="6"/>
  <c r="O74" i="6"/>
  <c r="I56" i="6"/>
  <c r="F65" i="6"/>
  <c r="F104" i="6"/>
  <c r="L71" i="6"/>
  <c r="H103" i="6"/>
  <c r="F83" i="6"/>
  <c r="J79" i="6"/>
  <c r="C106" i="6"/>
  <c r="D55" i="6"/>
  <c r="N112" i="6"/>
  <c r="L95" i="6"/>
  <c r="C80" i="6"/>
  <c r="I53" i="6"/>
  <c r="G101" i="6"/>
  <c r="D100" i="6"/>
  <c r="T70" i="6"/>
  <c r="C79" i="6"/>
  <c r="I80" i="6"/>
  <c r="K34" i="3"/>
  <c r="M283" i="1"/>
  <c r="M608" i="1"/>
  <c r="M609" i="1"/>
  <c r="M538" i="1"/>
  <c r="M610" i="1"/>
  <c r="M632" i="1"/>
  <c r="M537" i="1"/>
  <c r="M539" i="1"/>
  <c r="M633" i="1"/>
  <c r="M662" i="1"/>
  <c r="M576" i="1"/>
  <c r="M571" i="1"/>
  <c r="M607" i="1"/>
  <c r="M606" i="1"/>
  <c r="M546" i="1"/>
  <c r="M512" i="1"/>
  <c r="M528" i="1"/>
  <c r="M484" i="1"/>
  <c r="M514" i="1"/>
  <c r="M513" i="1"/>
  <c r="M464" i="1"/>
  <c r="M478" i="1"/>
  <c r="M466" i="1"/>
  <c r="M434" i="1"/>
  <c r="M468" i="1"/>
  <c r="M467" i="1"/>
  <c r="M470" i="1"/>
  <c r="M465" i="1"/>
  <c r="M472" i="1"/>
  <c r="M469" i="1"/>
  <c r="M404" i="1"/>
  <c r="M402" i="1"/>
  <c r="M418" i="1"/>
  <c r="M406" i="1"/>
  <c r="M405" i="1"/>
  <c r="M407" i="1"/>
  <c r="M425" i="1"/>
  <c r="M424" i="1"/>
  <c r="M403" i="1"/>
  <c r="M409" i="1"/>
  <c r="M408" i="1"/>
  <c r="M417" i="1"/>
  <c r="M416" i="1"/>
  <c r="M365" i="1"/>
  <c r="M364" i="1"/>
  <c r="M367" i="1"/>
  <c r="M366" i="1"/>
  <c r="K62" i="6"/>
  <c r="M82" i="6"/>
  <c r="U123" i="6"/>
  <c r="E126" i="6"/>
  <c r="G67" i="6"/>
  <c r="R105" i="6"/>
  <c r="E99" i="6"/>
  <c r="J87" i="6"/>
  <c r="N58" i="6"/>
  <c r="U122" i="6"/>
  <c r="F97" i="6"/>
  <c r="D65" i="6"/>
  <c r="Q107" i="6"/>
  <c r="N98" i="6"/>
  <c r="N82" i="6"/>
  <c r="Q108" i="6"/>
  <c r="T52" i="6"/>
  <c r="D66" i="6"/>
  <c r="I57" i="6"/>
  <c r="P99" i="6"/>
  <c r="N111" i="6"/>
  <c r="M124" i="6"/>
  <c r="E111" i="6"/>
  <c r="U75" i="6"/>
  <c r="D96" i="6"/>
  <c r="E103" i="6"/>
  <c r="P100" i="6"/>
  <c r="D124" i="6"/>
  <c r="F45" i="6"/>
  <c r="U120" i="6"/>
  <c r="I120" i="6"/>
  <c r="Q76" i="6"/>
  <c r="O77" i="6"/>
  <c r="P116" i="6"/>
  <c r="C124" i="6"/>
  <c r="H104" i="6"/>
  <c r="F119" i="6"/>
  <c r="N124" i="6"/>
  <c r="R70" i="6"/>
  <c r="D123" i="6"/>
  <c r="L121" i="6"/>
  <c r="S104" i="6"/>
  <c r="O92" i="6"/>
  <c r="L58" i="6"/>
  <c r="T54" i="6"/>
  <c r="H90" i="6"/>
  <c r="S118" i="6"/>
  <c r="P79" i="6"/>
  <c r="Q118" i="6"/>
  <c r="F124" i="6"/>
  <c r="E56" i="6"/>
  <c r="D46" i="6"/>
  <c r="D88" i="6"/>
  <c r="Q87" i="6"/>
  <c r="F79" i="6"/>
  <c r="P80" i="6"/>
  <c r="R98" i="6"/>
  <c r="O49" i="6"/>
  <c r="E122" i="6"/>
  <c r="D72" i="6"/>
  <c r="D120" i="6"/>
  <c r="R76" i="6"/>
  <c r="U76" i="6"/>
  <c r="F118" i="6"/>
  <c r="H94" i="6"/>
  <c r="F125" i="6"/>
  <c r="S76" i="6"/>
  <c r="M126" i="6"/>
  <c r="U87" i="6"/>
  <c r="T57" i="6"/>
  <c r="C73" i="6"/>
  <c r="E55" i="6"/>
  <c r="K69" i="6"/>
  <c r="O105" i="6"/>
  <c r="S46" i="6"/>
  <c r="H71" i="6"/>
  <c r="P77" i="6"/>
  <c r="O70" i="6"/>
  <c r="U55" i="6"/>
  <c r="I124" i="6"/>
  <c r="P49" i="6"/>
  <c r="F66" i="6"/>
  <c r="E79" i="6"/>
  <c r="G68" i="6"/>
  <c r="H48" i="6"/>
  <c r="O64" i="6"/>
  <c r="S93" i="6"/>
  <c r="K118" i="6"/>
  <c r="E110" i="6"/>
  <c r="F121" i="6"/>
  <c r="L91" i="6"/>
  <c r="S82" i="6"/>
  <c r="D112" i="6"/>
  <c r="C67" i="6"/>
  <c r="F57" i="6"/>
  <c r="G117" i="6"/>
  <c r="N94" i="6"/>
  <c r="T116" i="6"/>
  <c r="N60" i="6"/>
  <c r="Q46" i="6"/>
  <c r="H101" i="6"/>
  <c r="M63" i="6"/>
  <c r="K81" i="6"/>
  <c r="M99" i="6"/>
  <c r="R50" i="6"/>
  <c r="K82" i="6"/>
  <c r="O68" i="6"/>
  <c r="S88" i="6"/>
  <c r="S106" i="6"/>
  <c r="J120" i="6"/>
  <c r="D97" i="6"/>
  <c r="T82" i="6"/>
  <c r="H122" i="6"/>
  <c r="T122" i="6"/>
  <c r="T59" i="6"/>
  <c r="F61" i="6"/>
  <c r="M62" i="6"/>
  <c r="E59" i="6"/>
  <c r="D73" i="6"/>
  <c r="D113" i="6"/>
  <c r="S114" i="6"/>
  <c r="M113" i="6"/>
  <c r="D119" i="6"/>
  <c r="H96" i="6"/>
  <c r="C61" i="6"/>
  <c r="J89" i="6"/>
  <c r="O50" i="6"/>
  <c r="U112" i="6"/>
  <c r="P62" i="6"/>
  <c r="G65" i="6"/>
  <c r="M119" i="6"/>
  <c r="K63" i="6"/>
  <c r="U98" i="6"/>
  <c r="I121" i="6"/>
  <c r="J93" i="6"/>
  <c r="K101" i="6"/>
  <c r="D53" i="6"/>
  <c r="S47" i="6"/>
  <c r="J97" i="6"/>
  <c r="D106" i="6"/>
  <c r="D125" i="6"/>
  <c r="E125" i="6"/>
  <c r="N125" i="6"/>
  <c r="L50" i="6"/>
  <c r="I46" i="6"/>
  <c r="U126" i="6"/>
  <c r="C94" i="6"/>
  <c r="L93" i="6"/>
  <c r="L109" i="6"/>
  <c r="Q109" i="6"/>
  <c r="S57" i="6"/>
  <c r="M44" i="6"/>
  <c r="Q121" i="6"/>
  <c r="O73" i="6"/>
  <c r="T126" i="6"/>
  <c r="D108" i="6"/>
  <c r="U51" i="6"/>
  <c r="L119" i="6"/>
  <c r="G89" i="6"/>
  <c r="G44" i="6"/>
  <c r="P111" i="6"/>
  <c r="D51" i="6"/>
  <c r="G109" i="6"/>
  <c r="P60" i="6"/>
  <c r="N89" i="6"/>
  <c r="I119" i="6"/>
  <c r="P74" i="6"/>
  <c r="S94" i="6"/>
  <c r="I103" i="6"/>
  <c r="G113" i="6"/>
  <c r="C103" i="6"/>
  <c r="E66" i="6"/>
  <c r="Q96" i="6"/>
  <c r="M106" i="6"/>
  <c r="K102" i="6"/>
  <c r="G62" i="6"/>
  <c r="C75" i="6"/>
  <c r="S85" i="6"/>
  <c r="C120" i="6"/>
  <c r="L94" i="6"/>
  <c r="M60" i="6"/>
  <c r="N88" i="6"/>
  <c r="K58" i="6"/>
  <c r="C90" i="6"/>
  <c r="T123" i="6"/>
  <c r="Q48" i="6"/>
  <c r="J58" i="6"/>
  <c r="O111" i="6"/>
  <c r="S124" i="6"/>
  <c r="O71" i="6"/>
  <c r="P85" i="6"/>
  <c r="F113" i="6"/>
  <c r="P104" i="6"/>
  <c r="E58" i="6"/>
  <c r="G98" i="6"/>
  <c r="Q93" i="6"/>
  <c r="T79" i="6"/>
  <c r="Q52" i="6"/>
  <c r="F60" i="6"/>
  <c r="H45" i="6"/>
  <c r="E43" i="6"/>
  <c r="G95" i="6"/>
  <c r="O76" i="6"/>
  <c r="I84" i="6"/>
  <c r="T56" i="6"/>
  <c r="M71" i="6"/>
  <c r="K47" i="6"/>
  <c r="D90" i="6"/>
  <c r="O84" i="6"/>
  <c r="M101" i="6"/>
  <c r="G78" i="6"/>
  <c r="H77" i="6"/>
  <c r="T84" i="6"/>
  <c r="L114" i="6"/>
  <c r="H112" i="6"/>
  <c r="P46" i="6"/>
  <c r="S110" i="6"/>
  <c r="F106" i="6"/>
  <c r="F56" i="6"/>
  <c r="S80" i="6"/>
  <c r="F100" i="6"/>
  <c r="M45" i="6"/>
  <c r="P114" i="6"/>
  <c r="C108" i="6"/>
  <c r="C125" i="6"/>
  <c r="U81" i="6"/>
  <c r="L125" i="6"/>
  <c r="M125" i="6"/>
  <c r="C126" i="6"/>
  <c r="U78" i="6"/>
  <c r="G125" i="6"/>
  <c r="J125" i="6"/>
  <c r="J55" i="6"/>
  <c r="I92" i="6"/>
  <c r="E124" i="6"/>
  <c r="R124" i="6"/>
  <c r="E70" i="6"/>
  <c r="J43" i="6"/>
  <c r="S103" i="6"/>
  <c r="L118" i="6"/>
  <c r="S73" i="6"/>
  <c r="U119" i="6"/>
  <c r="L57" i="6"/>
  <c r="J94" i="6"/>
  <c r="D71" i="6"/>
  <c r="K70" i="6"/>
  <c r="M107" i="6"/>
  <c r="P102" i="6"/>
  <c r="R62" i="6"/>
  <c r="L89" i="6"/>
  <c r="K125" i="6"/>
  <c r="T96" i="6"/>
  <c r="T125" i="6"/>
  <c r="U125" i="6"/>
  <c r="K126" i="6"/>
  <c r="M83" i="6"/>
  <c r="O125" i="6"/>
  <c r="I125" i="6"/>
  <c r="R125" i="6"/>
  <c r="I102" i="6"/>
  <c r="O89" i="6"/>
  <c r="M89" i="6"/>
  <c r="L124" i="6"/>
  <c r="G86" i="6"/>
  <c r="G46" i="6"/>
  <c r="I123" i="6"/>
  <c r="R114" i="6"/>
  <c r="H88" i="6"/>
  <c r="K124" i="6"/>
  <c r="T97" i="6"/>
  <c r="E47" i="6"/>
  <c r="R48" i="6"/>
  <c r="U53" i="6"/>
  <c r="T89" i="6"/>
  <c r="P97" i="6"/>
  <c r="H73" i="6"/>
  <c r="I110" i="6"/>
  <c r="P94" i="6"/>
  <c r="F117" i="6"/>
  <c r="J77" i="6"/>
  <c r="Q115" i="6"/>
  <c r="L112" i="6"/>
  <c r="S66" i="6"/>
  <c r="U63" i="6"/>
  <c r="O112" i="6"/>
  <c r="U48" i="6"/>
  <c r="M76" i="6"/>
  <c r="R115" i="6"/>
  <c r="L75" i="6"/>
  <c r="C111" i="6"/>
  <c r="J49" i="6"/>
  <c r="G107" i="6"/>
  <c r="L81" i="6"/>
  <c r="Q45" i="6"/>
  <c r="S71" i="6"/>
  <c r="M86" i="6"/>
  <c r="D48" i="6"/>
  <c r="G69" i="6"/>
  <c r="M103" i="6"/>
  <c r="R46" i="6"/>
  <c r="K89" i="6"/>
  <c r="D49" i="6"/>
  <c r="C69" i="6"/>
  <c r="C104" i="6"/>
  <c r="U62" i="6"/>
  <c r="M114" i="6"/>
  <c r="L106" i="6"/>
  <c r="O43" i="6"/>
  <c r="M112" i="6"/>
  <c r="L113" i="6"/>
  <c r="K48" i="6"/>
  <c r="S83" i="6"/>
  <c r="D89" i="6"/>
  <c r="Q44" i="6"/>
  <c r="D59" i="6"/>
  <c r="K94" i="6"/>
  <c r="N80" i="6"/>
  <c r="G90" i="6"/>
  <c r="R47" i="6"/>
  <c r="R71" i="6"/>
  <c r="C64" i="6"/>
  <c r="C100" i="6"/>
  <c r="D110" i="6"/>
  <c r="D83" i="6"/>
  <c r="J44" i="6"/>
  <c r="E105" i="6"/>
  <c r="P90" i="6"/>
  <c r="U58" i="6"/>
  <c r="J100" i="6"/>
  <c r="I101" i="6"/>
  <c r="L47" i="6"/>
  <c r="S125" i="6"/>
  <c r="T83" i="6"/>
  <c r="I126" i="6"/>
  <c r="J126" i="6"/>
  <c r="S126" i="6"/>
  <c r="Q81" i="6"/>
  <c r="D126" i="6"/>
  <c r="Q125" i="6"/>
  <c r="G126" i="6"/>
  <c r="R94" i="6"/>
  <c r="F120" i="6"/>
  <c r="S51" i="6"/>
  <c r="R83" i="6"/>
  <c r="P103" i="6"/>
  <c r="M100" i="6"/>
  <c r="P68" i="6"/>
  <c r="C81" i="6"/>
  <c r="J113" i="6"/>
  <c r="L102" i="6"/>
  <c r="T69" i="6"/>
  <c r="N86" i="6"/>
  <c r="C109" i="6"/>
  <c r="G84" i="6"/>
  <c r="E104" i="6"/>
  <c r="J92" i="6"/>
  <c r="J54" i="6"/>
  <c r="C72" i="6"/>
  <c r="K121" i="6"/>
  <c r="G79" i="6"/>
  <c r="J67" i="6"/>
  <c r="P113" i="6"/>
  <c r="L76" i="6"/>
  <c r="Q124" i="6"/>
  <c r="M69" i="6"/>
  <c r="O47" i="6"/>
  <c r="F70" i="6"/>
  <c r="E96" i="6"/>
  <c r="T102" i="6"/>
  <c r="J111" i="6"/>
  <c r="J91" i="6"/>
  <c r="S97" i="6"/>
  <c r="H119" i="6"/>
  <c r="J62" i="6"/>
  <c r="U105" i="6"/>
  <c r="H43" i="6"/>
  <c r="P78" i="6"/>
  <c r="N103" i="6"/>
  <c r="F51" i="6"/>
  <c r="H123" i="6"/>
  <c r="J73" i="6"/>
  <c r="E77" i="6"/>
  <c r="M50" i="6"/>
  <c r="M88" i="6"/>
  <c r="M93" i="6"/>
  <c r="Q104" i="6"/>
  <c r="H108" i="6"/>
  <c r="N51" i="6"/>
  <c r="G77" i="6"/>
  <c r="D64" i="6"/>
  <c r="E83" i="6"/>
  <c r="I115" i="6"/>
  <c r="R66" i="6"/>
  <c r="R67" i="6"/>
  <c r="I114" i="6"/>
  <c r="C70" i="6"/>
  <c r="G96" i="6"/>
  <c r="I106" i="6"/>
  <c r="M121" i="6"/>
  <c r="P105" i="6"/>
  <c r="U94" i="6"/>
  <c r="E100" i="6"/>
  <c r="N68" i="6"/>
  <c r="I116" i="6"/>
  <c r="F89" i="6"/>
  <c r="P120" i="6"/>
  <c r="U86" i="6"/>
  <c r="K116" i="6"/>
  <c r="M123" i="6"/>
  <c r="T72" i="6"/>
  <c r="Q75" i="6"/>
  <c r="D47" i="6"/>
  <c r="H109" i="6"/>
  <c r="E50" i="6"/>
  <c r="Q59" i="6"/>
  <c r="L56" i="6"/>
  <c r="H126" i="6"/>
  <c r="E115" i="6"/>
  <c r="Q126" i="6"/>
  <c r="O113" i="6"/>
  <c r="R126" i="6"/>
  <c r="S78" i="6"/>
  <c r="H125" i="6"/>
  <c r="F126" i="6"/>
  <c r="O126" i="6"/>
  <c r="O79" i="6"/>
  <c r="R122" i="6"/>
  <c r="T108" i="6"/>
  <c r="D81" i="6"/>
  <c r="M97" i="6"/>
  <c r="T67" i="6"/>
  <c r="O67" i="6"/>
  <c r="M67" i="6"/>
  <c r="C48" i="6"/>
  <c r="K49" i="6"/>
  <c r="P124" i="6"/>
  <c r="N72" i="6"/>
  <c r="C44" i="6"/>
  <c r="Q97" i="6"/>
  <c r="Q116" i="6"/>
  <c r="C115" i="6"/>
  <c r="H115" i="6"/>
  <c r="K110" i="6"/>
  <c r="E94" i="6"/>
  <c r="K117" i="6"/>
  <c r="O75" i="6"/>
  <c r="Q110" i="6"/>
  <c r="O72" i="6"/>
  <c r="K112" i="6"/>
  <c r="I73" i="6"/>
  <c r="D78" i="6"/>
  <c r="C68" i="6"/>
  <c r="E63" i="6"/>
  <c r="R60" i="6"/>
  <c r="I75" i="6"/>
  <c r="O88" i="6"/>
  <c r="P106" i="6"/>
  <c r="M80" i="6"/>
  <c r="G59" i="6"/>
  <c r="P126" i="6"/>
  <c r="M57" i="6"/>
  <c r="N90" i="6"/>
  <c r="U69" i="6"/>
  <c r="P125" i="6"/>
  <c r="N126" i="6"/>
  <c r="L126" i="6"/>
  <c r="N114" i="6"/>
  <c r="O91" i="6"/>
  <c r="R65" i="6"/>
  <c r="N45" i="6"/>
  <c r="J66" i="6"/>
  <c r="R117" i="6"/>
  <c r="K103" i="6"/>
  <c r="D116" i="6"/>
  <c r="O120" i="6"/>
  <c r="H124" i="6"/>
  <c r="I47" i="6"/>
  <c r="Q60" i="6"/>
  <c r="N57" i="6"/>
  <c r="J57" i="6"/>
  <c r="R90" i="6"/>
  <c r="P59" i="6"/>
  <c r="K61" i="6"/>
  <c r="F115" i="6"/>
  <c r="P57" i="6"/>
  <c r="O82" i="6"/>
  <c r="G122" i="6"/>
  <c r="C47" i="6"/>
  <c r="Q122" i="6"/>
  <c r="U115" i="6"/>
  <c r="H86" i="6"/>
  <c r="T71" i="6"/>
  <c r="F46" i="6"/>
  <c r="D85" i="6"/>
  <c r="E101" i="6"/>
  <c r="G74" i="6"/>
  <c r="L80" i="6"/>
  <c r="E57" i="6"/>
  <c r="M73" i="6"/>
  <c r="L65" i="6"/>
  <c r="Q92" i="6"/>
  <c r="E88" i="6"/>
  <c r="P89" i="6"/>
  <c r="E106" i="6"/>
  <c r="G105" i="6"/>
  <c r="J115" i="6"/>
  <c r="F69" i="6"/>
  <c r="G45" i="6"/>
  <c r="U70" i="6"/>
  <c r="R43" i="6"/>
  <c r="E91" i="6"/>
  <c r="K73" i="6"/>
  <c r="O87" i="6"/>
  <c r="G70" i="6"/>
  <c r="G119" i="6"/>
  <c r="P71" i="6"/>
  <c r="H121" i="6"/>
  <c r="Q79" i="6"/>
  <c r="T107" i="6"/>
  <c r="R113" i="6"/>
  <c r="J114" i="6"/>
  <c r="G91" i="6"/>
  <c r="K68" i="6"/>
  <c r="C77" i="6"/>
  <c r="Q113" i="6"/>
  <c r="C119" i="6"/>
  <c r="T74" i="6"/>
  <c r="R95" i="6"/>
  <c r="E81" i="6"/>
  <c r="U113" i="6"/>
  <c r="F67" i="6"/>
  <c r="T75" i="6"/>
  <c r="L79" i="6"/>
  <c r="I111" i="6"/>
  <c r="G94" i="6"/>
  <c r="U92" i="6"/>
  <c r="R101" i="6"/>
  <c r="E117" i="6"/>
  <c r="T44" i="6"/>
  <c r="O54" i="6"/>
  <c r="L92" i="6"/>
  <c r="C117" i="6"/>
  <c r="R81" i="6"/>
  <c r="L83" i="6"/>
  <c r="U74" i="6"/>
  <c r="R112" i="6"/>
  <c r="Q84" i="6"/>
  <c r="P98" i="6"/>
  <c r="L123" i="6"/>
  <c r="C82" i="6"/>
  <c r="U79" i="6"/>
  <c r="H78" i="6"/>
  <c r="K86" i="6"/>
  <c r="E52" i="6"/>
  <c r="E74" i="6"/>
  <c r="P86" i="6"/>
  <c r="T62" i="6"/>
  <c r="I89" i="6"/>
  <c r="F112" i="6"/>
  <c r="T91" i="6"/>
  <c r="P88" i="6"/>
  <c r="T49" i="6"/>
  <c r="T46" i="6"/>
  <c r="T121" i="6"/>
  <c r="E112" i="6"/>
  <c r="F53" i="6"/>
  <c r="R55" i="6"/>
  <c r="K122" i="6"/>
  <c r="S52" i="6"/>
  <c r="N73" i="6"/>
  <c r="J60" i="6"/>
  <c r="R82" i="6"/>
  <c r="H60" i="6"/>
  <c r="U52" i="6"/>
  <c r="E68" i="6"/>
  <c r="N91" i="6"/>
  <c r="R75" i="6"/>
  <c r="M94" i="6"/>
  <c r="I104" i="6"/>
  <c r="O52" i="6"/>
  <c r="T58" i="6"/>
  <c r="N97" i="6"/>
  <c r="I81" i="6"/>
  <c r="K77" i="6"/>
  <c r="N74" i="6"/>
  <c r="N101" i="6"/>
  <c r="N59" i="6"/>
  <c r="I83" i="6"/>
  <c r="C89" i="6"/>
  <c r="F72" i="6"/>
  <c r="P50" i="6"/>
  <c r="T68" i="6"/>
  <c r="H120" i="6"/>
  <c r="J83" i="6"/>
  <c r="O101" i="6"/>
  <c r="O85" i="6"/>
  <c r="R64" i="6"/>
  <c r="P63" i="6"/>
  <c r="L78" i="6"/>
  <c r="N44" i="6"/>
  <c r="N120" i="6"/>
  <c r="E76" i="6"/>
  <c r="N122" i="6"/>
  <c r="L66" i="6"/>
  <c r="U73" i="6"/>
  <c r="P53" i="6"/>
  <c r="N55" i="6"/>
  <c r="T92" i="6"/>
  <c r="C102" i="6"/>
  <c r="P81" i="6"/>
  <c r="N118" i="6"/>
  <c r="F82" i="6"/>
  <c r="N52" i="6"/>
  <c r="O110" i="6"/>
  <c r="F44" i="6"/>
  <c r="O44" i="6"/>
  <c r="I86" i="6"/>
  <c r="P91" i="6"/>
  <c r="F98" i="6"/>
  <c r="L68" i="6"/>
  <c r="K107" i="6"/>
  <c r="F64" i="6"/>
  <c r="D114" i="6"/>
  <c r="L115" i="6"/>
  <c r="F88" i="6"/>
  <c r="M122" i="6"/>
  <c r="U124" i="6"/>
  <c r="I90" i="6"/>
  <c r="G55" i="6"/>
  <c r="M79" i="6"/>
  <c r="C118" i="6"/>
  <c r="C43" i="6"/>
  <c r="T111" i="6"/>
  <c r="O60" i="6"/>
  <c r="F47" i="6"/>
  <c r="M102" i="6"/>
  <c r="G123" i="6"/>
  <c r="K66" i="6"/>
  <c r="L100" i="6"/>
  <c r="R89" i="6"/>
  <c r="J47" i="6"/>
  <c r="T76" i="6"/>
  <c r="N69" i="6"/>
  <c r="M98" i="6"/>
  <c r="D74" i="6"/>
  <c r="K75" i="6"/>
  <c r="Q57" i="6"/>
  <c r="K55" i="6"/>
  <c r="J53" i="6"/>
  <c r="P110" i="6"/>
  <c r="T50" i="6"/>
  <c r="G43" i="6"/>
  <c r="I118" i="6"/>
  <c r="Q117" i="6"/>
  <c r="G103" i="6"/>
  <c r="E90" i="6"/>
  <c r="N95" i="6"/>
  <c r="J48" i="6"/>
  <c r="E102" i="6"/>
  <c r="F108" i="6"/>
  <c r="T51" i="6"/>
  <c r="L53" i="6"/>
  <c r="E118" i="6"/>
  <c r="K78" i="6"/>
  <c r="S123" i="6"/>
  <c r="C116" i="6"/>
  <c r="L70" i="6"/>
  <c r="F102" i="6"/>
  <c r="I43" i="6"/>
  <c r="O97" i="6"/>
  <c r="L117" i="6"/>
  <c r="E95" i="6"/>
  <c r="I58" i="6"/>
  <c r="C91" i="6"/>
  <c r="U93" i="6"/>
  <c r="S74" i="6"/>
  <c r="I52" i="6"/>
  <c r="M64" i="6"/>
  <c r="H102" i="6"/>
  <c r="G72" i="6"/>
  <c r="I51" i="6"/>
  <c r="G75" i="6"/>
  <c r="R93" i="6"/>
  <c r="G48" i="6"/>
  <c r="I55" i="6"/>
  <c r="F93" i="6"/>
  <c r="F94" i="6"/>
  <c r="J56" i="6"/>
  <c r="S45" i="6"/>
  <c r="L96" i="6"/>
  <c r="J110" i="6"/>
  <c r="I108" i="6"/>
  <c r="N107" i="6"/>
  <c r="P73" i="6"/>
  <c r="E89" i="6"/>
  <c r="R97" i="6"/>
  <c r="Q64" i="6"/>
  <c r="O122" i="6"/>
  <c r="D80" i="6"/>
  <c r="M84" i="6"/>
  <c r="K99" i="6"/>
  <c r="T124" i="6"/>
  <c r="T120" i="6"/>
  <c r="L48" i="6"/>
  <c r="M115" i="6"/>
  <c r="G115" i="6"/>
  <c r="K93" i="6"/>
  <c r="F74" i="6"/>
  <c r="U88" i="6"/>
  <c r="H117" i="6"/>
  <c r="Q123" i="6"/>
  <c r="R72" i="6"/>
  <c r="Q102" i="6"/>
  <c r="G104" i="6"/>
  <c r="L43" i="6"/>
  <c r="P109" i="6"/>
  <c r="R79" i="6"/>
  <c r="J98" i="6"/>
  <c r="I63" i="6"/>
  <c r="K90" i="6"/>
  <c r="F87" i="6"/>
  <c r="G83" i="6"/>
  <c r="N123" i="6"/>
  <c r="R102" i="6"/>
  <c r="F81" i="6"/>
  <c r="H84" i="6"/>
  <c r="U47" i="6"/>
  <c r="D122" i="6"/>
  <c r="O108" i="6"/>
  <c r="N64" i="6"/>
  <c r="U99" i="6"/>
  <c r="R104" i="6"/>
  <c r="N104" i="6"/>
  <c r="U89" i="6"/>
  <c r="Q62" i="6"/>
  <c r="S79" i="6"/>
  <c r="T114" i="6"/>
  <c r="T99" i="6"/>
  <c r="C71" i="6"/>
  <c r="M61" i="6"/>
  <c r="I77" i="6"/>
  <c r="N116" i="6"/>
  <c r="N99" i="6"/>
  <c r="G66" i="6"/>
  <c r="R45" i="6"/>
  <c r="R120" i="6"/>
  <c r="C105" i="6"/>
  <c r="D84" i="6"/>
  <c r="C83" i="6"/>
  <c r="O55" i="6"/>
  <c r="H74" i="6"/>
  <c r="R103" i="6"/>
  <c r="S105" i="6"/>
  <c r="N85" i="6"/>
  <c r="J101" i="6"/>
  <c r="D43" i="6"/>
  <c r="O93" i="6"/>
  <c r="G51" i="6"/>
  <c r="H65" i="6"/>
  <c r="G99" i="6"/>
  <c r="J109" i="6"/>
  <c r="T60" i="6"/>
  <c r="S108" i="6"/>
  <c r="U117" i="6"/>
  <c r="C53" i="6"/>
  <c r="H116" i="6"/>
  <c r="E87" i="6"/>
  <c r="C97" i="6"/>
  <c r="K85" i="6"/>
  <c r="D115" i="6"/>
  <c r="T105" i="6"/>
  <c r="H50" i="6"/>
  <c r="L63" i="6"/>
  <c r="Q95" i="6"/>
  <c r="K60" i="6"/>
  <c r="E49" i="6"/>
  <c r="I71" i="6"/>
  <c r="J104" i="6"/>
  <c r="P43" i="6"/>
  <c r="O121" i="6"/>
  <c r="H70" i="6"/>
  <c r="C114" i="6"/>
  <c r="J119" i="6"/>
  <c r="U96" i="6"/>
  <c r="E44" i="6"/>
  <c r="L101" i="6"/>
  <c r="U54" i="6"/>
  <c r="Q55" i="6"/>
  <c r="E98" i="6"/>
  <c r="U90" i="6"/>
  <c r="T110" i="6"/>
  <c r="P93" i="6"/>
  <c r="U121" i="6"/>
  <c r="Q82" i="6"/>
  <c r="E78" i="6"/>
  <c r="J107" i="6"/>
  <c r="I74" i="6"/>
  <c r="M53" i="6"/>
  <c r="Q63" i="6"/>
  <c r="M105" i="6"/>
  <c r="I79" i="6"/>
  <c r="N75" i="6"/>
  <c r="T66" i="6"/>
  <c r="K65" i="6"/>
  <c r="J45" i="6"/>
  <c r="E75" i="6"/>
  <c r="N47" i="6"/>
  <c r="T113" i="6"/>
  <c r="U110" i="6"/>
  <c r="H61" i="6"/>
  <c r="I70" i="6"/>
  <c r="N108" i="6"/>
  <c r="O98" i="6"/>
  <c r="O104" i="6"/>
  <c r="K57" i="6"/>
  <c r="H81" i="6"/>
  <c r="T101" i="6"/>
  <c r="U102" i="6"/>
  <c r="O109" i="6"/>
  <c r="S119" i="6"/>
  <c r="U104" i="6"/>
  <c r="M48" i="6"/>
  <c r="U68" i="6"/>
  <c r="D103" i="6"/>
  <c r="R123" i="6"/>
  <c r="F63" i="6"/>
  <c r="N119" i="6"/>
  <c r="I60" i="6"/>
  <c r="F123" i="6"/>
  <c r="K98" i="6"/>
  <c r="M58" i="6"/>
  <c r="H62" i="6"/>
  <c r="R110" i="6"/>
  <c r="S67" i="6"/>
  <c r="T64" i="6"/>
  <c r="Q43" i="6"/>
  <c r="P52" i="6"/>
  <c r="L86" i="6"/>
  <c r="S75" i="6"/>
  <c r="O80" i="6"/>
  <c r="K119" i="6"/>
  <c r="S77" i="6"/>
  <c r="S49" i="6"/>
  <c r="Q58" i="6"/>
  <c r="J68" i="6"/>
  <c r="K71" i="6"/>
  <c r="R96" i="6"/>
  <c r="J69" i="6"/>
  <c r="J72" i="6"/>
  <c r="S100" i="6"/>
  <c r="O45" i="6"/>
  <c r="I122" i="6"/>
  <c r="F54" i="6"/>
  <c r="G58" i="6"/>
  <c r="I112" i="6"/>
  <c r="J108" i="6"/>
  <c r="C95" i="6"/>
  <c r="J90" i="6"/>
  <c r="Q72" i="6"/>
  <c r="J112" i="6"/>
  <c r="E73" i="6"/>
  <c r="O57" i="6"/>
  <c r="U109" i="6"/>
  <c r="D62" i="6"/>
  <c r="J85" i="6"/>
  <c r="R88" i="6"/>
  <c r="T43" i="6"/>
  <c r="N63" i="6"/>
  <c r="U71" i="6"/>
  <c r="Q89" i="6"/>
  <c r="L84" i="6"/>
  <c r="H53" i="6"/>
  <c r="I50" i="6"/>
  <c r="F99" i="6"/>
  <c r="K44" i="6"/>
  <c r="C84" i="6"/>
  <c r="N66" i="6"/>
  <c r="K79" i="6"/>
  <c r="L120" i="6"/>
  <c r="G81" i="6"/>
  <c r="L51" i="6"/>
  <c r="S115" i="6"/>
  <c r="N109" i="6"/>
  <c r="F109" i="6"/>
  <c r="G50" i="6"/>
  <c r="L77" i="6"/>
  <c r="Q69" i="6"/>
  <c r="C88" i="6"/>
  <c r="C60" i="6"/>
  <c r="Q90" i="6"/>
  <c r="C96" i="6"/>
  <c r="G64" i="6"/>
  <c r="C58" i="6"/>
  <c r="P65" i="6"/>
  <c r="Q88" i="6"/>
  <c r="C65" i="6"/>
  <c r="E53" i="6"/>
  <c r="E120" i="6"/>
  <c r="C46" i="6"/>
  <c r="R116" i="6"/>
  <c r="O94" i="6"/>
  <c r="Q101" i="6"/>
  <c r="M91" i="6"/>
  <c r="I44" i="6"/>
  <c r="J50" i="6"/>
  <c r="L59" i="6"/>
  <c r="H82" i="6"/>
  <c r="U111" i="6"/>
  <c r="D63" i="6"/>
  <c r="P115" i="6"/>
  <c r="P84" i="6"/>
  <c r="J71" i="6"/>
  <c r="H93" i="6"/>
  <c r="U85" i="6"/>
  <c r="T106" i="6"/>
  <c r="K56" i="6"/>
  <c r="S98" i="6"/>
  <c r="F50" i="6"/>
  <c r="E116" i="6"/>
  <c r="J76" i="6"/>
  <c r="R85" i="6"/>
  <c r="U106" i="6"/>
  <c r="T81" i="6"/>
  <c r="S65" i="6"/>
  <c r="T119" i="6"/>
  <c r="M49" i="6"/>
  <c r="F86" i="6"/>
  <c r="Q105" i="6"/>
  <c r="O81" i="6"/>
  <c r="R118" i="6"/>
  <c r="R86" i="6"/>
  <c r="C110" i="6"/>
  <c r="P83" i="6"/>
  <c r="C86" i="6"/>
  <c r="S87" i="6"/>
  <c r="H69" i="6"/>
  <c r="J65" i="6"/>
  <c r="H85" i="6"/>
  <c r="I76" i="6"/>
  <c r="H68" i="6"/>
  <c r="U60" i="6"/>
  <c r="K45" i="6"/>
  <c r="J75" i="6"/>
  <c r="M87" i="6"/>
  <c r="L88" i="6"/>
  <c r="E51" i="6"/>
  <c r="O123" i="6"/>
  <c r="P119" i="6"/>
  <c r="N121" i="6"/>
  <c r="G93" i="6"/>
  <c r="O103" i="6"/>
  <c r="I88" i="6"/>
  <c r="R92" i="6"/>
  <c r="D68" i="6"/>
  <c r="R87" i="6"/>
  <c r="D54" i="6"/>
  <c r="G97" i="6"/>
  <c r="C101" i="6"/>
  <c r="S54" i="6"/>
  <c r="T78" i="6"/>
  <c r="G82" i="6"/>
  <c r="N79" i="6"/>
  <c r="O95" i="6"/>
  <c r="G73" i="6"/>
  <c r="H99" i="6"/>
  <c r="I99" i="6"/>
  <c r="D107" i="6"/>
  <c r="P95" i="6"/>
  <c r="K104" i="6"/>
  <c r="O102" i="6"/>
  <c r="I45" i="6"/>
  <c r="O83" i="6"/>
  <c r="T88" i="6"/>
  <c r="E113" i="6"/>
  <c r="L98" i="6"/>
  <c r="D57" i="6"/>
  <c r="M43" i="6"/>
  <c r="R119" i="6"/>
  <c r="E54" i="6"/>
  <c r="K87" i="6"/>
  <c r="H44" i="6"/>
  <c r="O124" i="6"/>
  <c r="U45" i="6"/>
  <c r="P45" i="6"/>
  <c r="I85" i="6"/>
  <c r="S64" i="6"/>
  <c r="O61" i="6"/>
  <c r="O48" i="6"/>
  <c r="L67" i="6"/>
  <c r="G60" i="6"/>
  <c r="K111" i="6"/>
  <c r="N102" i="6"/>
  <c r="T104" i="6"/>
  <c r="O119" i="6"/>
  <c r="H91" i="6"/>
  <c r="P122" i="6"/>
  <c r="E119" i="6"/>
  <c r="O65" i="6"/>
  <c r="H89" i="6"/>
  <c r="L72" i="6"/>
  <c r="D69" i="6"/>
  <c r="F49" i="6"/>
  <c r="J121" i="6"/>
  <c r="R78" i="6"/>
  <c r="H72" i="6"/>
  <c r="J106" i="6"/>
  <c r="P82" i="6"/>
  <c r="L122" i="6"/>
  <c r="D92" i="6"/>
  <c r="H110" i="6"/>
  <c r="C57" i="6"/>
  <c r="J124" i="6"/>
  <c r="Q83" i="6"/>
  <c r="E60" i="6"/>
  <c r="S120" i="6"/>
  <c r="I69" i="6"/>
  <c r="D117" i="6"/>
  <c r="U56" i="6"/>
  <c r="M116" i="6"/>
  <c r="L82" i="6"/>
  <c r="H107" i="6"/>
  <c r="Q68" i="6"/>
  <c r="H100" i="6"/>
  <c r="M109" i="6"/>
  <c r="U114" i="6"/>
  <c r="S56" i="6"/>
  <c r="R84" i="6"/>
  <c r="K95" i="6"/>
  <c r="T112" i="6"/>
  <c r="S61" i="6"/>
  <c r="P66" i="6"/>
  <c r="C85" i="6"/>
  <c r="J74" i="6"/>
  <c r="D44" i="6"/>
  <c r="P48" i="6"/>
  <c r="E86" i="6"/>
  <c r="L73" i="6"/>
  <c r="N49" i="6"/>
  <c r="H106" i="6"/>
  <c r="N115" i="6"/>
  <c r="T87" i="6"/>
  <c r="I61" i="6"/>
  <c r="F90" i="6"/>
  <c r="S86" i="6"/>
  <c r="I113" i="6"/>
  <c r="D56" i="6"/>
  <c r="K88" i="6"/>
  <c r="R57" i="6"/>
  <c r="L87" i="6"/>
  <c r="D105" i="6"/>
  <c r="U43" i="6"/>
  <c r="F68" i="6"/>
  <c r="S84" i="6"/>
  <c r="G76" i="6"/>
  <c r="C56" i="6"/>
  <c r="L54" i="6"/>
  <c r="D86" i="6"/>
  <c r="M78" i="6"/>
  <c r="F105" i="6"/>
  <c r="J103" i="6"/>
  <c r="M118" i="6"/>
  <c r="R108" i="6"/>
  <c r="S111" i="6"/>
  <c r="G111" i="6"/>
  <c r="H67" i="6"/>
  <c r="S62" i="6"/>
  <c r="F107" i="6"/>
  <c r="L111" i="6"/>
  <c r="C123" i="6"/>
  <c r="G88" i="6"/>
  <c r="U82" i="6"/>
  <c r="N61" i="6"/>
  <c r="N105" i="6"/>
  <c r="M46" i="6"/>
  <c r="T100" i="6"/>
  <c r="N56" i="6"/>
  <c r="K74" i="6"/>
  <c r="J46" i="6"/>
  <c r="K114" i="6"/>
  <c r="H79" i="6"/>
  <c r="P58" i="6"/>
  <c r="G53" i="6"/>
  <c r="N92" i="6"/>
  <c r="M108" i="6"/>
  <c r="F48" i="6"/>
  <c r="Q56" i="6"/>
  <c r="S92" i="6"/>
  <c r="S95" i="6"/>
  <c r="O90" i="6"/>
  <c r="R63" i="6"/>
  <c r="K120" i="6"/>
  <c r="J86" i="6"/>
  <c r="T47" i="6"/>
  <c r="E48" i="6"/>
  <c r="G61" i="6"/>
  <c r="R58" i="6"/>
  <c r="H118" i="6"/>
  <c r="J52" i="6"/>
  <c r="T73" i="6"/>
  <c r="F92" i="6"/>
  <c r="F58" i="6"/>
  <c r="K123" i="6"/>
  <c r="S89" i="6"/>
  <c r="C54" i="6"/>
  <c r="R99" i="6"/>
  <c r="I67" i="6"/>
  <c r="P112" i="6"/>
  <c r="Q120" i="6"/>
  <c r="J116" i="6"/>
  <c r="L97" i="6"/>
  <c r="I62" i="6"/>
  <c r="P108" i="6"/>
  <c r="J82" i="6"/>
  <c r="T90" i="6"/>
  <c r="S121" i="6"/>
  <c r="D101" i="6"/>
  <c r="C78" i="6"/>
  <c r="G49" i="6"/>
  <c r="P92" i="6"/>
  <c r="K109" i="6"/>
  <c r="E61" i="6"/>
  <c r="H59" i="6"/>
  <c r="N50" i="6"/>
  <c r="K76" i="6"/>
  <c r="U44" i="6"/>
  <c r="H55" i="6"/>
  <c r="R52" i="6"/>
  <c r="C49" i="6"/>
  <c r="K83" i="6"/>
  <c r="D52" i="6"/>
  <c r="F62" i="6"/>
  <c r="U107" i="6"/>
  <c r="M117" i="6"/>
  <c r="O115" i="6"/>
  <c r="O69" i="6"/>
  <c r="G47" i="6"/>
  <c r="D75" i="6"/>
  <c r="M66" i="6"/>
  <c r="H105" i="6"/>
  <c r="Q86" i="6"/>
  <c r="T45" i="6"/>
  <c r="M104" i="6"/>
  <c r="D104" i="6"/>
  <c r="L64" i="6"/>
  <c r="F85" i="6"/>
  <c r="C98" i="6"/>
  <c r="Q106" i="6"/>
  <c r="Q54" i="6"/>
  <c r="J88" i="6"/>
  <c r="Q119" i="6"/>
  <c r="Q53" i="6"/>
  <c r="I64" i="6"/>
  <c r="G56" i="6"/>
  <c r="U46" i="6"/>
  <c r="K54" i="6"/>
  <c r="T61" i="6"/>
  <c r="J84" i="6"/>
  <c r="F52" i="6"/>
  <c r="F103" i="6"/>
  <c r="G87" i="6"/>
  <c r="J64" i="6"/>
  <c r="G120" i="6"/>
  <c r="Q74" i="6"/>
  <c r="K64" i="6"/>
  <c r="E108" i="6"/>
  <c r="L116" i="6"/>
  <c r="P54" i="6"/>
  <c r="Q103" i="6"/>
  <c r="U59" i="6"/>
  <c r="M95" i="6"/>
  <c r="F122" i="6"/>
  <c r="K72" i="6"/>
  <c r="I100" i="6"/>
  <c r="R54" i="6"/>
  <c r="M47" i="6"/>
  <c r="P101" i="6"/>
  <c r="M312" i="1"/>
  <c r="M324" i="1"/>
  <c r="M316" i="1"/>
  <c r="M347" i="1"/>
  <c r="K31" i="3"/>
  <c r="J31" i="3"/>
  <c r="M549" i="1"/>
  <c r="M613" i="1"/>
  <c r="M487" i="1"/>
  <c r="M442" i="1"/>
  <c r="Q71" i="6"/>
  <c r="H98" i="6"/>
  <c r="R49" i="6"/>
  <c r="M81" i="6"/>
  <c r="J61" i="6"/>
  <c r="S43" i="6"/>
  <c r="L61" i="6"/>
  <c r="F114" i="6"/>
  <c r="T94" i="6"/>
  <c r="O63" i="6"/>
  <c r="K52" i="6"/>
  <c r="N65" i="6"/>
  <c r="F116" i="6"/>
  <c r="E46" i="6"/>
  <c r="K115" i="6"/>
  <c r="K80" i="6"/>
  <c r="I109" i="6"/>
  <c r="J59" i="6"/>
  <c r="S48" i="6"/>
  <c r="U108" i="6"/>
  <c r="R100" i="6"/>
  <c r="G106" i="6"/>
  <c r="S55" i="6"/>
  <c r="E92" i="6"/>
  <c r="L52" i="6"/>
  <c r="C59" i="6"/>
  <c r="H57" i="6"/>
  <c r="S91" i="6"/>
  <c r="P96" i="6"/>
  <c r="U66" i="6"/>
  <c r="U84" i="6"/>
  <c r="L103" i="6"/>
  <c r="P117" i="6"/>
  <c r="U57" i="6"/>
  <c r="L45" i="6"/>
  <c r="N78" i="6"/>
  <c r="K84" i="6"/>
  <c r="L104" i="6"/>
  <c r="P107" i="6"/>
  <c r="N77" i="6"/>
  <c r="T118" i="6"/>
  <c r="I97" i="6"/>
  <c r="L99" i="6"/>
  <c r="O78" i="6"/>
  <c r="N70" i="6"/>
  <c r="Q70" i="6"/>
  <c r="H83" i="6"/>
  <c r="M85" i="6"/>
  <c r="F71" i="6"/>
  <c r="H87" i="6"/>
  <c r="H66" i="6"/>
  <c r="D61" i="6"/>
  <c r="F95" i="6"/>
  <c r="M323" i="1"/>
  <c r="M346" i="1"/>
  <c r="M357" i="1"/>
  <c r="L46" i="6"/>
  <c r="C112" i="6"/>
  <c r="T65" i="6"/>
  <c r="S72" i="6"/>
  <c r="K105" i="6"/>
  <c r="J81" i="6"/>
  <c r="U91" i="6"/>
  <c r="K59" i="6"/>
  <c r="N67" i="6"/>
  <c r="S60" i="6"/>
  <c r="U77" i="6"/>
  <c r="F75" i="6"/>
  <c r="I91" i="6"/>
  <c r="T63" i="6"/>
  <c r="P70" i="6"/>
  <c r="P51" i="6"/>
  <c r="G116" i="6"/>
  <c r="N83" i="6"/>
  <c r="F55" i="6"/>
  <c r="T48" i="6"/>
  <c r="C93" i="6"/>
  <c r="M65" i="6"/>
  <c r="P121" i="6"/>
  <c r="U72" i="6"/>
  <c r="J95" i="6"/>
  <c r="D98" i="6"/>
  <c r="H97" i="6"/>
  <c r="O100" i="6"/>
  <c r="S68" i="6"/>
  <c r="P87" i="6"/>
  <c r="E67" i="6"/>
  <c r="R106" i="6"/>
  <c r="K106" i="6"/>
  <c r="M56" i="6"/>
  <c r="Q73" i="6"/>
  <c r="Q49" i="6"/>
  <c r="P67" i="6"/>
  <c r="U49" i="6"/>
  <c r="U67" i="6"/>
  <c r="F80" i="6"/>
  <c r="L105" i="6"/>
  <c r="E84" i="6"/>
  <c r="D109" i="6"/>
  <c r="M96" i="6"/>
  <c r="Q77" i="6"/>
  <c r="U118" i="6"/>
  <c r="R109" i="6"/>
  <c r="I65" i="6"/>
  <c r="Q50" i="6"/>
  <c r="O106" i="6"/>
  <c r="K43" i="6"/>
  <c r="I54" i="6"/>
  <c r="G110" i="6"/>
  <c r="U101" i="6"/>
  <c r="M331" i="1"/>
  <c r="M315" i="1"/>
  <c r="O30" i="3"/>
  <c r="J25" i="3"/>
  <c r="J9" i="3"/>
  <c r="J30" i="3"/>
  <c r="J17" i="3"/>
  <c r="J33" i="3"/>
  <c r="M307" i="1"/>
  <c r="J34" i="3"/>
  <c r="K2" i="3"/>
  <c r="M335" i="1"/>
  <c r="M665" i="1"/>
  <c r="M666" i="1"/>
  <c r="M657" i="1"/>
  <c r="M645" i="1"/>
  <c r="M612" i="1"/>
  <c r="M586" i="1"/>
  <c r="M654" i="1"/>
  <c r="M655" i="1"/>
  <c r="M646" i="1"/>
  <c r="M656" i="1"/>
  <c r="M519" i="1"/>
  <c r="M375" i="1"/>
  <c r="M420" i="1"/>
  <c r="M431" i="1"/>
  <c r="M432" i="1"/>
  <c r="M421" i="1"/>
  <c r="M376" i="1"/>
  <c r="M411" i="1"/>
  <c r="M412" i="1"/>
  <c r="M371" i="1"/>
  <c r="M330" i="1"/>
  <c r="M322" i="1"/>
  <c r="K3" i="3"/>
  <c r="M314" i="1"/>
  <c r="O14" i="3"/>
  <c r="M340" i="1"/>
  <c r="J14" i="3"/>
  <c r="K14" i="3"/>
  <c r="P14" i="3"/>
  <c r="T14" i="3"/>
  <c r="U14" i="3"/>
  <c r="M667" i="1"/>
  <c r="M427" i="1"/>
  <c r="M345" i="1"/>
  <c r="M352" i="1"/>
  <c r="J102" i="6"/>
  <c r="M77" i="6"/>
  <c r="R59" i="6"/>
  <c r="H64" i="6"/>
  <c r="E82" i="6"/>
  <c r="I66" i="6"/>
  <c r="D111" i="6"/>
  <c r="J118" i="6"/>
  <c r="N81" i="6"/>
  <c r="H76" i="6"/>
  <c r="N106" i="6"/>
  <c r="I96" i="6"/>
  <c r="M54" i="6"/>
  <c r="L55" i="6"/>
  <c r="N96" i="6"/>
  <c r="E71" i="6"/>
  <c r="Q111" i="6"/>
  <c r="O53" i="6"/>
  <c r="D82" i="6"/>
  <c r="E93" i="6"/>
  <c r="M55" i="6"/>
  <c r="I78" i="6"/>
  <c r="J70" i="6"/>
  <c r="E65" i="6"/>
  <c r="G54" i="6"/>
  <c r="G80" i="6"/>
  <c r="E69" i="6"/>
  <c r="G112" i="6"/>
  <c r="R73" i="6"/>
  <c r="P118" i="6"/>
  <c r="M72" i="6"/>
  <c r="F101" i="6"/>
  <c r="G85" i="6"/>
  <c r="L69" i="6"/>
  <c r="N100" i="6"/>
  <c r="C74" i="6"/>
  <c r="O59" i="6"/>
  <c r="T95" i="6"/>
  <c r="S90" i="6"/>
  <c r="F59" i="6"/>
  <c r="G124" i="6"/>
  <c r="P55" i="6"/>
  <c r="N54" i="6"/>
  <c r="K113" i="6"/>
  <c r="E62" i="6"/>
  <c r="O58" i="6"/>
  <c r="D45" i="6"/>
  <c r="E121" i="6"/>
  <c r="R107" i="6"/>
  <c r="C113" i="6"/>
  <c r="P44" i="6"/>
  <c r="O86" i="6"/>
  <c r="M75" i="6"/>
  <c r="V3" i="3"/>
  <c r="V7" i="3"/>
  <c r="V33" i="3"/>
  <c r="V25" i="3"/>
  <c r="V28" i="3"/>
  <c r="V23" i="3"/>
  <c r="V13" i="3"/>
  <c r="V32" i="3"/>
  <c r="V26" i="3"/>
  <c r="V19" i="3"/>
  <c r="V27" i="3"/>
  <c r="V18" i="3"/>
  <c r="V5" i="3"/>
  <c r="V16" i="3"/>
  <c r="V4" i="3"/>
  <c r="V6" i="3"/>
  <c r="V15" i="3"/>
  <c r="V24" i="3"/>
  <c r="V21" i="3"/>
  <c r="V20" i="3"/>
  <c r="V17" i="3"/>
  <c r="V12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26" i="6" l="1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I10" i="3"/>
  <c r="I9" i="3"/>
  <c r="M9" i="3" s="1"/>
  <c r="N9" i="3" s="1"/>
  <c r="R9" i="3" s="1"/>
  <c r="S9" i="3" s="1"/>
  <c r="W9" i="3" s="1"/>
  <c r="I27" i="3"/>
  <c r="M27" i="3" s="1"/>
  <c r="N27" i="3" s="1"/>
  <c r="R27" i="3" s="1"/>
  <c r="S27" i="3" s="1"/>
  <c r="W27" i="3" s="1"/>
  <c r="I7" i="3"/>
  <c r="M7" i="3" s="1"/>
  <c r="N7" i="3" s="1"/>
  <c r="R7" i="3" s="1"/>
  <c r="S7" i="3" s="1"/>
  <c r="W7" i="3" s="1"/>
  <c r="M22" i="3"/>
  <c r="N22" i="3" s="1"/>
  <c r="R22" i="3" s="1"/>
  <c r="S22" i="3" s="1"/>
  <c r="W22" i="3" s="1"/>
  <c r="I22" i="3"/>
  <c r="M29" i="3"/>
  <c r="N29" i="3" s="1"/>
  <c r="R29" i="3" s="1"/>
  <c r="S29" i="3" s="1"/>
  <c r="W29" i="3" s="1"/>
  <c r="I29" i="3"/>
  <c r="I15" i="3"/>
  <c r="M15" i="3" s="1"/>
  <c r="N15" i="3" s="1"/>
  <c r="R15" i="3" s="1"/>
  <c r="S15" i="3" s="1"/>
  <c r="W15" i="3" s="1"/>
  <c r="I20" i="3"/>
  <c r="M20" i="3" s="1"/>
  <c r="N20" i="3" s="1"/>
  <c r="R20" i="3" s="1"/>
  <c r="S20" i="3" s="1"/>
  <c r="W20" i="3" s="1"/>
  <c r="M18" i="3"/>
  <c r="N18" i="3" s="1"/>
  <c r="R18" i="3" s="1"/>
  <c r="S18" i="3" s="1"/>
  <c r="W18" i="3" s="1"/>
  <c r="I18" i="3"/>
  <c r="M19" i="3"/>
  <c r="N19" i="3" s="1"/>
  <c r="R19" i="3" s="1"/>
  <c r="S19" i="3" s="1"/>
  <c r="W19" i="3" s="1"/>
  <c r="I19" i="3"/>
  <c r="I33" i="3"/>
  <c r="M33" i="3" s="1"/>
  <c r="N33" i="3" s="1"/>
  <c r="R33" i="3" s="1"/>
  <c r="S33" i="3" s="1"/>
  <c r="W33" i="3" s="1"/>
  <c r="I24" i="3"/>
  <c r="M24" i="3" s="1"/>
  <c r="N24" i="3" s="1"/>
  <c r="R24" i="3" s="1"/>
  <c r="S24" i="3" s="1"/>
  <c r="W24" i="3" s="1"/>
  <c r="M17" i="3"/>
  <c r="N17" i="3" s="1"/>
  <c r="R17" i="3" s="1"/>
  <c r="S17" i="3" s="1"/>
  <c r="W17" i="3" s="1"/>
  <c r="I17" i="3"/>
  <c r="M2" i="3"/>
  <c r="I2" i="3"/>
  <c r="I14" i="3"/>
  <c r="M14" i="3" s="1"/>
  <c r="N14" i="3" s="1"/>
  <c r="R14" i="3" s="1"/>
  <c r="S14" i="3" s="1"/>
  <c r="W14" i="3" s="1"/>
  <c r="I6" i="3"/>
  <c r="M6" i="3" s="1"/>
  <c r="N6" i="3" s="1"/>
  <c r="R6" i="3" s="1"/>
  <c r="S6" i="3" s="1"/>
  <c r="W6" i="3" s="1"/>
  <c r="M12" i="3"/>
  <c r="N12" i="3" s="1"/>
  <c r="R12" i="3" s="1"/>
  <c r="S12" i="3" s="1"/>
  <c r="W12" i="3" s="1"/>
  <c r="I12" i="3"/>
  <c r="M8" i="3"/>
  <c r="N8" i="3" s="1"/>
  <c r="R8" i="3" s="1"/>
  <c r="S8" i="3" s="1"/>
  <c r="W8" i="3" s="1"/>
  <c r="I8" i="3"/>
  <c r="I26" i="3"/>
  <c r="M26" i="3" s="1"/>
  <c r="N26" i="3" s="1"/>
  <c r="R26" i="3" s="1"/>
  <c r="S26" i="3" s="1"/>
  <c r="W26" i="3" s="1"/>
  <c r="I21" i="3"/>
  <c r="M21" i="3" s="1"/>
  <c r="N21" i="3" s="1"/>
  <c r="R21" i="3" s="1"/>
  <c r="S21" i="3" s="1"/>
  <c r="W21" i="3" s="1"/>
  <c r="M5" i="3"/>
  <c r="N5" i="3" s="1"/>
  <c r="R5" i="3" s="1"/>
  <c r="S5" i="3" s="1"/>
  <c r="W5" i="3" s="1"/>
  <c r="I5" i="3"/>
  <c r="M30" i="3"/>
  <c r="N30" i="3" s="1"/>
  <c r="R30" i="3" s="1"/>
  <c r="S30" i="3" s="1"/>
  <c r="W30" i="3" s="1"/>
  <c r="I30" i="3"/>
  <c r="I32" i="3"/>
  <c r="M32" i="3" s="1"/>
  <c r="N32" i="3" s="1"/>
  <c r="R32" i="3" s="1"/>
  <c r="S32" i="3" s="1"/>
  <c r="W32" i="3" s="1"/>
  <c r="I31" i="3"/>
  <c r="M31" i="3" s="1"/>
  <c r="N31" i="3" s="1"/>
  <c r="R31" i="3" s="1"/>
  <c r="S31" i="3" s="1"/>
  <c r="W31" i="3" s="1"/>
  <c r="M11" i="3"/>
  <c r="N11" i="3" s="1"/>
  <c r="R11" i="3" s="1"/>
  <c r="S11" i="3" s="1"/>
  <c r="W11" i="3" s="1"/>
  <c r="I11" i="3"/>
  <c r="M34" i="3"/>
  <c r="N34" i="3" s="1"/>
  <c r="R34" i="3" s="1"/>
  <c r="S34" i="3" s="1"/>
  <c r="W34" i="3" s="1"/>
  <c r="I34" i="3"/>
  <c r="I28" i="3"/>
  <c r="M28" i="3" s="1"/>
  <c r="N28" i="3" s="1"/>
  <c r="R28" i="3" s="1"/>
  <c r="S28" i="3" s="1"/>
  <c r="W28" i="3" s="1"/>
  <c r="I25" i="3"/>
  <c r="M25" i="3" s="1"/>
  <c r="N25" i="3" s="1"/>
  <c r="R25" i="3" s="1"/>
  <c r="S25" i="3" s="1"/>
  <c r="W25" i="3" s="1"/>
  <c r="M13" i="3"/>
  <c r="N13" i="3" s="1"/>
  <c r="R13" i="3" s="1"/>
  <c r="S13" i="3" s="1"/>
  <c r="W13" i="3" s="1"/>
  <c r="I13" i="3"/>
  <c r="M23" i="3"/>
  <c r="N23" i="3" s="1"/>
  <c r="R23" i="3" s="1"/>
  <c r="S23" i="3" s="1"/>
  <c r="W23" i="3" s="1"/>
  <c r="I23" i="3"/>
  <c r="I16" i="3"/>
  <c r="M16" i="3" s="1"/>
  <c r="N16" i="3" s="1"/>
  <c r="R16" i="3" s="1"/>
  <c r="S16" i="3" s="1"/>
  <c r="W16" i="3" s="1"/>
  <c r="M4" i="3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<sst xmlns="http://schemas.openxmlformats.org/spreadsheetml/2006/main" count="7116" uniqueCount="182">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</sst>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0" fontId="3" fillId="0" borderId="14" xfId="0" applyNumberFormat="1" applyFont="1" applyBorder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92" totalsRowShown="0" headerRowDxfId="40">
  <autoFilter ref="A1:P892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39"/>
    <tableColumn id="3" xr3:uid="{00000000-0010-0000-0000-000003000000}" name="Empresa"/>
    <tableColumn id="4" xr3:uid="{00000000-0010-0000-0000-000004000000}" name="Cuenta Bancaria" dataDxfId="38"/>
    <tableColumn id="12" xr3:uid="{4E4C6484-6819-4411-A0F3-4017EFF8C28C}" name="Banco" dataDxfId="37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6"/>
    <tableColumn id="6" xr3:uid="{00000000-0010-0000-0000-000006000000}" name="Categoria / Concepto" dataDxfId="35"/>
    <tableColumn id="7" xr3:uid="{00000000-0010-0000-0000-000007000000}" name="Descripcion" dataDxfId="34">
      <calculatedColumnFormula>IFERROR(_xlfn.XLOOKUP(G2,Listas!E:E,Listas!F:F,""),"")</calculatedColumnFormula>
    </tableColumn>
    <tableColumn id="13" xr3:uid="{44ABE6CE-2513-45FC-BD14-32E930AFDBBD}" name="Ext/Int" dataDxfId="33"/>
    <tableColumn id="8" xr3:uid="{00000000-0010-0000-0000-000008000000}" name="Monto (S/)" dataDxfId="32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1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0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9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8" dataDxfId="26" headerRowBorderDxfId="27" tableBorderDxfId="25">
  <autoFilter ref="A1:V500" xr:uid="{F415436C-AC07-4BC7-AF63-CF4210A06BB4}"/>
  <tableColumns count="22">
    <tableColumn id="1" xr3:uid="{63FFD75C-E666-43DD-8029-F430E7835BEE}" name="Día" dataDxfId="24"/>
    <tableColumn id="2" xr3:uid="{3C0A637E-5BCF-4DAA-A47B-1062D26CE0FC}" name="Fecha" dataDxfId="23"/>
    <tableColumn id="3" xr3:uid="{AA52C2CE-0BC6-4D55-8E20-0938296D1C23}" name="CFT Group" dataDxfId="22"/>
    <tableColumn id="4" xr3:uid="{EE7D0652-E6C8-4122-A765-D1B09096A21E}" name="M1B" dataDxfId="21"/>
    <tableColumn id="5" xr3:uid="{B4646433-2F6C-4447-A177-6AD7A4B88B6F}" name="Durand" dataDxfId="20"/>
    <tableColumn id="6" xr3:uid="{DCA1C6D9-C3E1-43F4-A721-4008460687C7}" name="A&amp;M Imports" dataDxfId="19"/>
    <tableColumn id="7" xr3:uid="{D4A7DE77-6043-4E65-8D3F-445DF17D93F1}" name="SSP Capital" dataDxfId="18"/>
    <tableColumn id="8" xr3:uid="{64A897BF-46B4-411E-BA9D-FE799CF2FEFB}" name="Cross Family Trust" dataDxfId="17"/>
    <tableColumn id="9" xr3:uid="{22730D08-F998-46A3-A6B6-4BF23E38D8F9}" name="Cross Security Trust" dataDxfId="16"/>
    <tableColumn id="10" xr3:uid="{BB5B9930-003E-4DC5-8E5D-067C1CF1A456}" name="Electrama" dataDxfId="15"/>
    <tableColumn id="11" xr3:uid="{72B1FF5A-A2B1-4F18-A8C8-32EEB09E3A17}" name="Sacred Valley Capital" dataDxfId="14"/>
    <tableColumn id="12" xr3:uid="{8285724C-9042-463F-8339-13C60DCBF2F4}" name="YWC Capital" dataDxfId="13"/>
    <tableColumn id="13" xr3:uid="{A6BA6873-5C5A-44C1-A199-00F91718164E}" name="Soweto" dataDxfId="12"/>
    <tableColumn id="14" xr3:uid="{50FB5920-A571-4DC5-9E26-0EF4F33A880F}" name="Green Stone Trust" dataDxfId="11"/>
    <tableColumn id="15" xr3:uid="{F3DE628D-3663-4B8C-88C3-8ED6C47CDAD0}" name="EC Auto" dataDxfId="10"/>
    <tableColumn id="16" xr3:uid="{63079263-2DC8-47D4-869E-EF7FF8CC83E2}" name="Arbor Capital Properties" dataDxfId="9"/>
    <tableColumn id="17" xr3:uid="{F0CCDB07-528A-4A91-A40E-B313EA61AC5A}" name="2515 Overbrook" dataDxfId="8"/>
    <tableColumn id="18" xr3:uid="{A92B8B5E-42D0-409B-819B-93575E6B5338}" name="112 Florida Ave" dataDxfId="7"/>
    <tableColumn id="19" xr3:uid="{E8590E2C-955F-4887-9F19-BD4E50391F39}" name="3628 Thomas Ave" dataDxfId="6"/>
    <tableColumn id="20" xr3:uid="{C99311AE-E772-4C28-A5BF-F01473FDC99C}" name="Green Harbor Trust" dataDxfId="5"/>
    <tableColumn id="21" xr3:uid="{531291F0-F871-4ED7-85FB-D95349130FEE}" name="Go Blue" dataDxfId="4"/>
    <tableColumn id="22" xr3:uid="{9970DF30-CB1E-4EE7-A51A-8EEDF7EFDE4C}" name="TOTAL CONSOLIDADO" dataDxfId="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376" tableType="queryTable" totalsRowShown="0" headerRowDxfId="44" headerRowBorderDxfId="43">
  <autoFilter ref="A1:D2376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92"/>
  <sheetViews>
    <sheetView zoomScale="70" zoomScaleNormal="70" workbookViewId="0">
      <pane ySplit="1" topLeftCell="A693" activePane="bottomLeft" state="frozen"/>
      <selection pane="bottomLeft" activeCell="M684" sqref="M68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Iniciales'!$B$2:$B$38,D234)+SUMIFS($K$1:$K$892,$C$1:$C$892,C234,$D$1:$D$892,D234,$B$1:$B$892,"&lt;="&amp;B234)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Iniciales'!$B$2:$B$38,D235)+SUMIFS($K$1:$K$892,$C$1:$C$892,C235,$D$1:$D$892,D235,$B$1:$B$892,"&lt;="&amp;B235)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Iniciales'!$B$2:$B$38,D236)+SUMIFS($K$1:$K$892,$C$1:$C$892,C236,$D$1:$D$892,D236,$B$1:$B$892,"&lt;="&amp;B236)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Iniciales'!$B$2:$B$38,D237)+SUMIFS($K$1:$K$892,$C$1:$C$892,C237,$D$1:$D$892,D237,$B$1:$B$892,"&lt;="&amp;B237)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Iniciales'!$B$2:$B$38,D238)+SUMIFS($K$1:$K$892,$C$1:$C$892,C238,$D$1:$D$892,D238,$B$1:$B$892,"&lt;="&amp;B238)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Iniciales'!$B$2:$B$38,D239)+SUMIFS($K$1:$K$892,$C$1:$C$892,C239,$D$1:$D$892,D239,$B$1:$B$892,"&lt;="&amp;B239)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Iniciales'!$B$2:$B$38,D283)+SUMIFS($K$1:$K$892,$C$1:$C$892,C283,$D$1:$D$892,D283,$B$1:$B$892,"&lt;="&amp;B283)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Iniciales'!$B$2:$B$38,D306)+SUMIFS($K$1:$K$892,$C$1:$C$892,C306,$D$1:$D$892,D306,$B$1:$B$892,"&lt;="&amp;B306)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Iniciales'!$B$2:$B$38,D307)+SUMIFS($K$1:$K$892,$C$1:$C$892,C307,$D$1:$D$892,D307,$B$1:$B$892,"&lt;="&amp;B307)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Iniciales'!$B$2:$B$38,D308)+SUMIFS($K$1:$K$892,$C$1:$C$892,C308,$D$1:$D$892,D308,$B$1:$B$892,"&lt;="&amp;B308)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Iniciales'!$B$2:$B$38,D309)+SUMIFS($K$1:$K$892,$C$1:$C$892,C309,$D$1:$D$892,D309,$B$1:$B$892,"&lt;="&amp;B309)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Iniciales'!$B$2:$B$38,D310)+SUMIFS($K$1:$K$892,$C$1:$C$892,C310,$D$1:$D$892,D310,$B$1:$B$892,"&lt;="&amp;B310)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Iniciales'!$B$2:$B$38,D311)+SUMIFS($K$1:$K$892,$C$1:$C$892,C311,$D$1:$D$892,D311,$B$1:$B$892,"&lt;="&amp;B311)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Iniciales'!$B$2:$B$38,D312)+SUMIFS($K$1:$K$892,$C$1:$C$892,C312,$D$1:$D$892,D312,$B$1:$B$892,"&lt;="&amp;B312)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Iniciales'!$B$2:$B$38,D313)+SUMIFS($K$1:$K$892,$C$1:$C$892,C313,$D$1:$D$892,D313,$B$1:$B$892,"&lt;="&amp;B313)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Iniciales'!$B$2:$B$38,D314)+SUMIFS($K$1:$K$892,$C$1:$C$892,C314,$D$1:$D$892,D314,$B$1:$B$892,"&lt;="&amp;B314)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Iniciales'!$B$2:$B$38,D315)+SUMIFS($K$1:$K$892,$C$1:$C$892,C315,$D$1:$D$892,D315,$B$1:$B$892,"&lt;="&amp;B315)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Iniciales'!$B$2:$B$38,D316)+SUMIFS($K$1:$K$892,$C$1:$C$892,C316,$D$1:$D$892,D316,$B$1:$B$892,"&lt;="&amp;B316)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Iniciales'!$B$2:$B$38,D317)+SUMIFS($K$1:$K$892,$C$1:$C$892,C317,$D$1:$D$892,D317,$B$1:$B$892,"&lt;="&amp;B317)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Iniciales'!$B$2:$B$38,D318)+SUMIFS($K$1:$K$892,$C$1:$C$892,C318,$D$1:$D$892,D318,$B$1:$B$892,"&lt;="&amp;B318)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Iniciales'!$B$2:$B$38,D319)+SUMIFS($K$1:$K$892,$C$1:$C$892,C319,$D$1:$D$892,D319,$B$1:$B$892,"&lt;="&amp;B319)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Iniciales'!$B$2:$B$38,D320)+SUMIFS($K$1:$K$892,$C$1:$C$892,C320,$D$1:$D$892,D320,$B$1:$B$892,"&lt;="&amp;B320)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Iniciales'!$B$2:$B$38,D321)+SUMIFS($K$1:$K$892,$C$1:$C$892,C321,$D$1:$D$892,D321,$B$1:$B$892,"&lt;="&amp;B321)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Iniciales'!$B$2:$B$38,D322)+SUMIFS($K$1:$K$892,$C$1:$C$892,C322,$D$1:$D$892,D322,$B$1:$B$892,"&lt;="&amp;B322)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Iniciales'!$B$2:$B$38,D323)+SUMIFS($K$1:$K$892,$C$1:$C$892,C323,$D$1:$D$892,D323,$B$1:$B$892,"&lt;="&amp;B323)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Iniciales'!$B$2:$B$38,D324)+SUMIFS($K$1:$K$892,$C$1:$C$892,C324,$D$1:$D$892,D324,$B$1:$B$892,"&lt;="&amp;B324)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Iniciales'!$B$2:$B$38,D325)+SUMIFS($K$1:$K$892,$C$1:$C$892,C325,$D$1:$D$892,D325,$B$1:$B$892,"&lt;="&amp;B325)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Iniciales'!$B$2:$B$38,D326)+SUMIFS($K$1:$K$892,$C$1:$C$892,C326,$D$1:$D$892,D326,$B$1:$B$892,"&lt;="&amp;B326)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Iniciales'!$B$2:$B$38,D327)+SUMIFS($K$1:$K$892,$C$1:$C$892,C327,$D$1:$D$892,D327,$B$1:$B$892,"&lt;="&amp;B327)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Iniciales'!$B$2:$B$38,D328)+SUMIFS($K$1:$K$892,$C$1:$C$892,C328,$D$1:$D$892,D328,$B$1:$B$892,"&lt;="&amp;B328)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Iniciales'!$B$2:$B$38,D329)+SUMIFS($K$1:$K$892,$C$1:$C$892,C329,$D$1:$D$892,D329,$B$1:$B$892,"&lt;="&amp;B329)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Iniciales'!$B$2:$B$38,D330)+SUMIFS($K$1:$K$892,$C$1:$C$892,C330,$D$1:$D$892,D330,$B$1:$B$892,"&lt;="&amp;B330)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Iniciales'!$B$2:$B$38,D331)+SUMIFS($K$1:$K$892,$C$1:$C$892,C331,$D$1:$D$892,D331,$B$1:$B$892,"&lt;="&amp;B331)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Iniciales'!$B$2:$B$38,D332)+SUMIFS($K$1:$K$892,$C$1:$C$892,C332,$D$1:$D$892,D332,$B$1:$B$892,"&lt;="&amp;B332)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Iniciales'!$B$2:$B$38,D333)+SUMIFS($K$1:$K$892,$C$1:$C$892,C333,$D$1:$D$892,D333,$B$1:$B$892,"&lt;="&amp;B333)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Iniciales'!$B$2:$B$38,D334)+SUMIFS($K$1:$K$892,$C$1:$C$892,C334,$D$1:$D$892,D334,$B$1:$B$892,"&lt;="&amp;B334)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Iniciales'!$B$2:$B$38,D335)+SUMIFS($K$1:$K$892,$C$1:$C$892,C335,$D$1:$D$892,D335,$B$1:$B$892,"&lt;="&amp;B335)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Iniciales'!$B$2:$B$38,D336)+SUMIFS($K$1:$K$892,$C$1:$C$892,C336,$D$1:$D$892,D336,$B$1:$B$892,"&lt;="&amp;B336)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Iniciales'!$B$2:$B$38,D337)+SUMIFS($K$1:$K$892,$C$1:$C$892,C337,$D$1:$D$892,D337,$B$1:$B$892,"&lt;="&amp;B337)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Iniciales'!$B$2:$B$38,D338)+SUMIFS($K$1:$K$892,$C$1:$C$892,C338,$D$1:$D$892,D338,$B$1:$B$892,"&lt;="&amp;B338)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Iniciales'!$B$2:$B$38,D339)+SUMIFS($K$1:$K$892,$C$1:$C$892,C339,$D$1:$D$892,D339,$B$1:$B$892,"&lt;="&amp;B339)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Iniciales'!$B$2:$B$38,D340)+SUMIFS($K$1:$K$892,$C$1:$C$892,C340,$D$1:$D$892,D340,$B$1:$B$892,"&lt;="&amp;B340)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Iniciales'!$B$2:$B$38,D341)+SUMIFS($K$1:$K$892,$C$1:$C$892,C341,$D$1:$D$892,D341,$B$1:$B$892,"&lt;="&amp;B341)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Iniciales'!$B$2:$B$38,D342)+SUMIFS($K$1:$K$892,$C$1:$C$892,C342,$D$1:$D$892,D342,$B$1:$B$892,"&lt;="&amp;B342)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Iniciales'!$B$2:$B$38,D343)+SUMIFS($K$1:$K$892,$C$1:$C$892,C343,$D$1:$D$892,D343,$B$1:$B$892,"&lt;="&amp;B343)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Iniciales'!$B$2:$B$38,D344)+SUMIFS($K$1:$K$892,$C$1:$C$892,C344,$D$1:$D$892,D344,$B$1:$B$892,"&lt;="&amp;B344)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Iniciales'!$B$2:$B$38,D345)+SUMIFS($K$1:$K$892,$C$1:$C$892,C345,$D$1:$D$892,D345,$B$1:$B$892,"&lt;="&amp;B345)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Iniciales'!$B$2:$B$38,D346)+SUMIFS($K$1:$K$892,$C$1:$C$892,C346,$D$1:$D$892,D346,$B$1:$B$892,"&lt;="&amp;B346)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Iniciales'!$B$2:$B$38,D347)+SUMIFS($K$1:$K$892,$C$1:$C$892,C347,$D$1:$D$892,D347,$B$1:$B$892,"&lt;="&amp;B347)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Iniciales'!$B$2:$B$38,D348)+SUMIFS($K$1:$K$892,$C$1:$C$892,C348,$D$1:$D$892,D348,$B$1:$B$892,"&lt;="&amp;B348)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Iniciales'!$B$2:$B$38,D349)+SUMIFS($K$1:$K$892,$C$1:$C$892,C349,$D$1:$D$892,D349,$B$1:$B$892,"&lt;="&amp;B349)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Iniciales'!$B$2:$B$38,D350)+SUMIFS($K$1:$K$892,$C$1:$C$892,C350,$D$1:$D$892,D350,$B$1:$B$892,"&lt;="&amp;B350)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Iniciales'!$B$2:$B$38,D351)+SUMIFS($K$1:$K$892,$C$1:$C$892,C351,$D$1:$D$892,D351,$B$1:$B$892,"&lt;="&amp;B351)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Iniciales'!$B$2:$B$38,D352)+SUMIFS($K$1:$K$892,$C$1:$C$892,C352,$D$1:$D$892,D352,$B$1:$B$892,"&lt;="&amp;B352)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Iniciales'!$B$2:$B$38,D353)+SUMIFS($K$1:$K$892,$C$1:$C$892,C353,$D$1:$D$892,D353,$B$1:$B$892,"&lt;="&amp;B353)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Iniciales'!$B$2:$B$38,D354)+SUMIFS($K$1:$K$892,$C$1:$C$892,C354,$D$1:$D$892,D354,$B$1:$B$892,"&lt;="&amp;B354)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Iniciales'!$B$2:$B$38,D355)+SUMIFS($K$1:$K$892,$C$1:$C$892,C355,$D$1:$D$892,D355,$B$1:$B$892,"&lt;="&amp;B355)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Iniciales'!$B$2:$B$38,D356)+SUMIFS($K$1:$K$892,$C$1:$C$892,C356,$D$1:$D$892,D356,$B$1:$B$892,"&lt;="&amp;B356)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Iniciales'!$B$2:$B$38,D357)+SUMIFS($K$1:$K$892,$C$1:$C$892,C357,$D$1:$D$892,D357,$B$1:$B$892,"&lt;="&amp;B357)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Iniciales'!$B$2:$B$38,D358)+SUMIFS($K$1:$K$892,$C$1:$C$892,C358,$D$1:$D$892,D358,$B$1:$B$892,"&lt;="&amp;B358)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Iniciales'!$B$2:$B$38,D359)+SUMIFS($K$1:$K$892,$C$1:$C$892,C359,$D$1:$D$892,D359,$B$1:$B$892,"&lt;="&amp;B359)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Iniciales'!$B$2:$B$38,D360)+SUMIFS($K$1:$K$892,$C$1:$C$892,C360,$D$1:$D$892,D360,$B$1:$B$892,"&lt;="&amp;B360)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Iniciales'!$B$2:$B$38,D361)+SUMIFS($K$1:$K$892,$C$1:$C$892,C361,$D$1:$D$892,D361,$B$1:$B$892,"&lt;="&amp;B361)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Iniciales'!$B$2:$B$38,D362)+SUMIFS($K$1:$K$892,$C$1:$C$892,C362,$D$1:$D$892,D362,$B$1:$B$892,"&lt;="&amp;B362)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Iniciales'!$B$2:$B$38,D363)+SUMIFS($K$1:$K$892,$C$1:$C$892,C363,$D$1:$D$892,D363,$B$1:$B$892,"&lt;="&amp;B363)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Iniciales'!$B$2:$B$38,D364)+SUMIFS($K$1:$K$892,$C$1:$C$892,C364,$D$1:$D$892,D364,$B$1:$B$892,"&lt;="&amp;B364)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Iniciales'!$B$2:$B$38,D365)+SUMIFS($K$1:$K$892,$C$1:$C$892,C365,$D$1:$D$892,D365,$B$1:$B$892,"&lt;="&amp;B365)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Iniciales'!$B$2:$B$38,D366)+SUMIFS($K$1:$K$892,$C$1:$C$892,C366,$D$1:$D$892,D366,$B$1:$B$892,"&lt;="&amp;B366)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Iniciales'!$B$2:$B$38,D367)+SUMIFS($K$1:$K$892,$C$1:$C$892,C367,$D$1:$D$892,D367,$B$1:$B$892,"&lt;="&amp;B367)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Iniciales'!$B$2:$B$38,D368)+SUMIFS($K$1:$K$892,$C$1:$C$892,C368,$D$1:$D$892,D368,$B$1:$B$892,"&lt;="&amp;B368)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Iniciales'!$B$2:$B$38,D369)+SUMIFS($K$1:$K$892,$C$1:$C$892,C369,$D$1:$D$892,D369,$B$1:$B$892,"&lt;="&amp;B369)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Iniciales'!$B$2:$B$38,D370)+SUMIFS($K$1:$K$892,$C$1:$C$892,C370,$D$1:$D$892,D370,$B$1:$B$892,"&lt;="&amp;B370)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Iniciales'!$B$2:$B$38,D371)+SUMIFS($K$1:$K$892,$C$1:$C$892,C371,$D$1:$D$892,D371,$B$1:$B$892,"&lt;="&amp;B371)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Iniciales'!$B$2:$B$38,D372)+SUMIFS($K$1:$K$892,$C$1:$C$892,C372,$D$1:$D$892,D372,$B$1:$B$892,"&lt;="&amp;B372)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Iniciales'!$B$2:$B$38,D373)+SUMIFS($K$1:$K$892,$C$1:$C$892,C373,$D$1:$D$892,D373,$B$1:$B$892,"&lt;="&amp;B373)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Iniciales'!$B$2:$B$38,D374)+SUMIFS($K$1:$K$892,$C$1:$C$892,C374,$D$1:$D$892,D374,$B$1:$B$892,"&lt;="&amp;B374)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Iniciales'!$B$2:$B$38,D375)+SUMIFS($K$1:$K$892,$C$1:$C$892,C375,$D$1:$D$892,D375,$B$1:$B$892,"&lt;="&amp;B375)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Iniciales'!$B$2:$B$38,D376)+SUMIFS($K$1:$K$892,$C$1:$C$892,C376,$D$1:$D$892,D376,$B$1:$B$892,"&lt;="&amp;B376)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Iniciales'!$B$2:$B$38,D377)+SUMIFS($K$1:$K$892,$C$1:$C$892,C377,$D$1:$D$892,D377,$B$1:$B$892,"&lt;="&amp;B377)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Iniciales'!$B$2:$B$38,D378)+SUMIFS($K$1:$K$892,$C$1:$C$892,C378,$D$1:$D$892,D378,$B$1:$B$892,"&lt;="&amp;B378)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Iniciales'!$B$2:$B$38,D379)+SUMIFS($K$1:$K$892,$C$1:$C$892,C379,$D$1:$D$892,D379,$B$1:$B$892,"&lt;="&amp;B379)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Iniciales'!$B$2:$B$38,D380)+SUMIFS($K$1:$K$892,$C$1:$C$892,C380,$D$1:$D$892,D380,$B$1:$B$892,"&lt;="&amp;B380)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Iniciales'!$B$2:$B$38,D381)+SUMIFS($K$1:$K$892,$C$1:$C$892,C381,$D$1:$D$892,D381,$B$1:$B$892,"&lt;="&amp;B381)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Iniciales'!$B$2:$B$38,D382)+SUMIFS($K$1:$K$892,$C$1:$C$892,C382,$D$1:$D$892,D382,$B$1:$B$892,"&lt;="&amp;B382)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Iniciales'!$B$2:$B$38,D383)+SUMIFS($K$1:$K$892,$C$1:$C$892,C383,$D$1:$D$892,D383,$B$1:$B$892,"&lt;="&amp;B383)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Iniciales'!$B$2:$B$38,D384)+SUMIFS($K$1:$K$892,$C$1:$C$892,C384,$D$1:$D$892,D384,$B$1:$B$892,"&lt;="&amp;B384)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Iniciales'!$B$2:$B$38,D385)+SUMIFS($K$1:$K$892,$C$1:$C$892,C385,$D$1:$D$892,D385,$B$1:$B$892,"&lt;="&amp;B385)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Iniciales'!$B$2:$B$38,D386)+SUMIFS($K$1:$K$892,$C$1:$C$892,C386,$D$1:$D$892,D386,$B$1:$B$892,"&lt;="&amp;B386)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Iniciales'!$B$2:$B$38,D387)+SUMIFS($K$1:$K$892,$C$1:$C$892,C387,$D$1:$D$892,D387,$B$1:$B$892,"&lt;="&amp;B387)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Iniciales'!$B$2:$B$38,D388)+SUMIFS($K$1:$K$892,$C$1:$C$892,C388,$D$1:$D$892,D388,$B$1:$B$892,"&lt;="&amp;B388)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Iniciales'!$B$2:$B$38,D389)+SUMIFS($K$1:$K$892,$C$1:$C$892,C389,$D$1:$D$892,D389,$B$1:$B$892,"&lt;="&amp;B389)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Iniciales'!$B$2:$B$38,D390)+SUMIFS($K$1:$K$892,$C$1:$C$892,C390,$D$1:$D$892,D390,$B$1:$B$892,"&lt;="&amp;B390)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Iniciales'!$B$2:$B$38,D391)+SUMIFS($K$1:$K$892,$C$1:$C$892,C391,$D$1:$D$892,D391,$B$1:$B$892,"&lt;="&amp;B391)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Iniciales'!$B$2:$B$38,D392)+SUMIFS($K$1:$K$892,$C$1:$C$892,C392,$D$1:$D$892,D392,$B$1:$B$892,"&lt;="&amp;B392)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Iniciales'!$B$2:$B$38,D393)+SUMIFS($K$1:$K$892,$C$1:$C$892,C393,$D$1:$D$892,D393,$B$1:$B$892,"&lt;="&amp;B393)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Iniciales'!$B$2:$B$38,D394)+SUMIFS($K$1:$K$892,$C$1:$C$892,C394,$D$1:$D$892,D394,$B$1:$B$892,"&lt;="&amp;B394)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Iniciales'!$B$2:$B$38,D395)+SUMIFS($K$1:$K$892,$C$1:$C$892,C395,$D$1:$D$892,D395,$B$1:$B$892,"&lt;="&amp;B395)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Iniciales'!$B$2:$B$38,D396)+SUMIFS($K$1:$K$892,$C$1:$C$892,C396,$D$1:$D$892,D396,$B$1:$B$892,"&lt;="&amp;B396)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Iniciales'!$B$2:$B$38,D397)+SUMIFS($K$1:$K$892,$C$1:$C$892,C397,$D$1:$D$892,D397,$B$1:$B$892,"&lt;="&amp;B397)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Iniciales'!$B$2:$B$38,D398)+SUMIFS($K$1:$K$892,$C$1:$C$892,C398,$D$1:$D$892,D398,$B$1:$B$892,"&lt;="&amp;B398)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Iniciales'!$B$2:$B$38,D399)+SUMIFS($K$1:$K$892,$C$1:$C$892,C399,$D$1:$D$892,D399,$B$1:$B$892,"&lt;="&amp;B399)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Iniciales'!$B$2:$B$38,D400)+SUMIFS($K$1:$K$892,$C$1:$C$892,C400,$D$1:$D$892,D400,$B$1:$B$892,"&lt;="&amp;B400)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Iniciales'!$B$2:$B$38,D401)+SUMIFS($K$1:$K$892,$C$1:$C$892,C401,$D$1:$D$892,D401,$B$1:$B$892,"&lt;="&amp;B401)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Iniciales'!$B$2:$B$38,D402)+SUMIFS($K$1:$K$892,$C$1:$C$892,C402,$D$1:$D$892,D402,$B$1:$B$892,"&lt;="&amp;B402)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Iniciales'!$B$2:$B$38,D403)+SUMIFS($K$1:$K$892,$C$1:$C$892,C403,$D$1:$D$892,D403,$B$1:$B$892,"&lt;="&amp;B403)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Iniciales'!$B$2:$B$38,D404)+SUMIFS($K$1:$K$892,$C$1:$C$892,C404,$D$1:$D$892,D404,$B$1:$B$892,"&lt;="&amp;B404)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Iniciales'!$B$2:$B$38,D405)+SUMIFS($K$1:$K$892,$C$1:$C$892,C405,$D$1:$D$892,D405,$B$1:$B$892,"&lt;="&amp;B405)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Iniciales'!$B$2:$B$38,D406)+SUMIFS($K$1:$K$892,$C$1:$C$892,C406,$D$1:$D$892,D406,$B$1:$B$892,"&lt;="&amp;B406)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Iniciales'!$B$2:$B$38,D407)+SUMIFS($K$1:$K$892,$C$1:$C$892,C407,$D$1:$D$892,D407,$B$1:$B$892,"&lt;="&amp;B407)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Iniciales'!$B$2:$B$38,D408)+SUMIFS($K$1:$K$892,$C$1:$C$892,C408,$D$1:$D$892,D408,$B$1:$B$892,"&lt;="&amp;B408)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Iniciales'!$B$2:$B$38,D409)+SUMIFS($K$1:$K$892,$C$1:$C$892,C409,$D$1:$D$892,D409,$B$1:$B$892,"&lt;="&amp;B409)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Iniciales'!$B$2:$B$38,D410)+SUMIFS($K$1:$K$892,$C$1:$C$892,C410,$D$1:$D$892,D410,$B$1:$B$892,"&lt;="&amp;B410)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Iniciales'!$B$2:$B$38,D411)+SUMIFS($K$1:$K$892,$C$1:$C$892,C411,$D$1:$D$892,D411,$B$1:$B$892,"&lt;="&amp;B411)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Iniciales'!$B$2:$B$38,D412)+SUMIFS($K$1:$K$892,$C$1:$C$892,C412,$D$1:$D$892,D412,$B$1:$B$892,"&lt;="&amp;B412)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Iniciales'!$B$2:$B$38,D413)+SUMIFS($K$1:$K$892,$C$1:$C$892,C413,$D$1:$D$892,D413,$B$1:$B$892,"&lt;="&amp;B413)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Iniciales'!$B$2:$B$38,D414)+SUMIFS($K$1:$K$892,$C$1:$C$892,C414,$D$1:$D$892,D414,$B$1:$B$892,"&lt;="&amp;B414)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Iniciales'!$B$2:$B$38,D415)+SUMIFS($K$1:$K$892,$C$1:$C$892,C415,$D$1:$D$892,D415,$B$1:$B$892,"&lt;="&amp;B415)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Iniciales'!$B$2:$B$38,D416)+SUMIFS($K$1:$K$892,$C$1:$C$892,C416,$D$1:$D$892,D416,$B$1:$B$892,"&lt;="&amp;B416)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Iniciales'!$B$2:$B$38,D417)+SUMIFS($K$1:$K$892,$C$1:$C$892,C417,$D$1:$D$892,D417,$B$1:$B$892,"&lt;="&amp;B417)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Iniciales'!$B$2:$B$38,D418)+SUMIFS($K$1:$K$892,$C$1:$C$892,C418,$D$1:$D$892,D418,$B$1:$B$892,"&lt;="&amp;B418)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Iniciales'!$B$2:$B$38,D419)+SUMIFS($K$1:$K$892,$C$1:$C$892,C419,$D$1:$D$892,D419,$B$1:$B$892,"&lt;="&amp;B419)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Iniciales'!$B$2:$B$38,D420)+SUMIFS($K$1:$K$892,$C$1:$C$892,C420,$D$1:$D$892,D420,$B$1:$B$892,"&lt;="&amp;B420)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Iniciales'!$B$2:$B$38,D421)+SUMIFS($K$1:$K$892,$C$1:$C$892,C421,$D$1:$D$892,D421,$B$1:$B$892,"&lt;="&amp;B421)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Iniciales'!$B$2:$B$38,D422)+SUMIFS($K$1:$K$892,$C$1:$C$892,C422,$D$1:$D$892,D422,$B$1:$B$892,"&lt;="&amp;B422)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Iniciales'!$B$2:$B$38,D423)+SUMIFS($K$1:$K$892,$C$1:$C$892,C423,$D$1:$D$892,D423,$B$1:$B$892,"&lt;="&amp;B423)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Iniciales'!$B$2:$B$38,D424)+SUMIFS($K$1:$K$892,$C$1:$C$892,C424,$D$1:$D$892,D424,$B$1:$B$892,"&lt;="&amp;B424)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Iniciales'!$B$2:$B$38,D425)+SUMIFS($K$1:$K$892,$C$1:$C$892,C425,$D$1:$D$892,D425,$B$1:$B$892,"&lt;="&amp;B425)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Iniciales'!$B$2:$B$38,D426)+SUMIFS($K$1:$K$892,$C$1:$C$892,C426,$D$1:$D$892,D426,$B$1:$B$892,"&lt;="&amp;B426)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Iniciales'!$B$2:$B$38,D427)+SUMIFS($K$1:$K$892,$C$1:$C$892,C427,$D$1:$D$892,D427,$B$1:$B$892,"&lt;="&amp;B427)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Iniciales'!$B$2:$B$38,D428)+SUMIFS($K$1:$K$892,$C$1:$C$892,C428,$D$1:$D$892,D428,$B$1:$B$892,"&lt;="&amp;B428)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Iniciales'!$B$2:$B$38,D429)+SUMIFS($K$1:$K$892,$C$1:$C$892,C429,$D$1:$D$892,D429,$B$1:$B$892,"&lt;="&amp;B429)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Iniciales'!$B$2:$B$38,D430)+SUMIFS($K$1:$K$892,$C$1:$C$892,C430,$D$1:$D$892,D430,$B$1:$B$892,"&lt;="&amp;B430)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Iniciales'!$B$2:$B$38,D431)+SUMIFS($K$1:$K$892,$C$1:$C$892,C431,$D$1:$D$892,D431,$B$1:$B$892,"&lt;="&amp;B431)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Iniciales'!$B$2:$B$38,D432)+SUMIFS($K$1:$K$892,$C$1:$C$892,C432,$D$1:$D$892,D432,$B$1:$B$892,"&lt;="&amp;B432)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Iniciales'!$B$2:$B$38,D433)+SUMIFS($K$1:$K$892,$C$1:$C$892,C433,$D$1:$D$892,D433,$B$1:$B$892,"&lt;="&amp;B433)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Iniciales'!$B$2:$B$38,D434)+SUMIFS($K$1:$K$892,$C$1:$C$892,C434,$D$1:$D$892,D434,$B$1:$B$892,"&lt;="&amp;B434)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Iniciales'!$B$2:$B$38,D435)+SUMIFS($K$1:$K$892,$C$1:$C$892,C435,$D$1:$D$892,D435,$B$1:$B$892,"&lt;="&amp;B435)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Iniciales'!$D$2:$D$38,'Saldos Iniciales'!$A$2:$A$38,C436,'Saldos Iniciales'!$B$2:$B$38,D436)+SUMIFS($K$1:$K$892,$C$1:$C$892,C436,$D$1:$D$892,D436,$B$1:$B$892,"&lt;="&amp;B436)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Iniciales'!$D$2:$D$38,'Saldos Iniciales'!$A$2:$A$38,C437,'Saldos Iniciales'!$B$2:$B$38,D437)+SUMIFS($K$1:$K$892,$C$1:$C$892,C437,$D$1:$D$892,D437,$B$1:$B$892,"&lt;="&amp;B437)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Iniciales'!$D$2:$D$38,'Saldos Iniciales'!$A$2:$A$38,C438,'Saldos Iniciales'!$B$2:$B$38,D438)+SUMIFS($K$1:$K$892,$C$1:$C$892,C438,$D$1:$D$892,D438,$B$1:$B$892,"&lt;="&amp;B438)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Iniciales'!$D$2:$D$38,'Saldos Iniciales'!$A$2:$A$38,C439,'Saldos Iniciales'!$B$2:$B$38,D439)+SUMIFS($K$1:$K$892,$C$1:$C$892,C439,$D$1:$D$892,D439,$B$1:$B$892,"&lt;="&amp;B439)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Iniciales'!$D$2:$D$38,'Saldos Iniciales'!$A$2:$A$38,C440,'Saldos Iniciales'!$B$2:$B$38,D440)+SUMIFS($K$1:$K$892,$C$1:$C$892,C440,$D$1:$D$892,D440,$B$1:$B$892,"&lt;="&amp;B440)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Iniciales'!$D$2:$D$38,'Saldos Iniciales'!$A$2:$A$38,C441,'Saldos Iniciales'!$B$2:$B$38,D441)+SUMIFS($K$1:$K$892,$C$1:$C$892,C441,$D$1:$D$892,D441,$B$1:$B$892,"&lt;="&amp;B441)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Iniciales'!$D$2:$D$38,'Saldos Iniciales'!$A$2:$A$38,C442,'Saldos Iniciales'!$B$2:$B$38,D442)+SUMIFS($K$1:$K$892,$C$1:$C$892,C442,$D$1:$D$892,D442,$B$1:$B$892,"&lt;="&amp;B442)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Iniciales'!$D$2:$D$38,'Saldos Iniciales'!$A$2:$A$38,C443,'Saldos Iniciales'!$B$2:$B$38,D443)+SUMIFS($K$1:$K$892,$C$1:$C$892,C443,$D$1:$D$892,D443,$B$1:$B$892,"&lt;="&amp;B443)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Iniciales'!$D$2:$D$38,'Saldos Iniciales'!$A$2:$A$38,C444,'Saldos Iniciales'!$B$2:$B$38,D444)+SUMIFS($K$1:$K$892,$C$1:$C$892,C444,$D$1:$D$892,D444,$B$1:$B$892,"&lt;="&amp;B444)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Iniciales'!$D$2:$D$38,'Saldos Iniciales'!$A$2:$A$38,C445,'Saldos Iniciales'!$B$2:$B$38,D445)+SUMIFS($K$1:$K$892,$C$1:$C$892,C445,$D$1:$D$892,D445,$B$1:$B$892,"&lt;="&amp;B445)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Iniciales'!$D$2:$D$38,'Saldos Iniciales'!$A$2:$A$38,C446,'Saldos Iniciales'!$B$2:$B$38,D446)+SUMIFS($K$1:$K$892,$C$1:$C$892,C446,$D$1:$D$892,D446,$B$1:$B$892,"&lt;="&amp;B446)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Iniciales'!$D$2:$D$38,'Saldos Iniciales'!$A$2:$A$38,C447,'Saldos Iniciales'!$B$2:$B$38,D447)+SUMIFS($K$1:$K$892,$C$1:$C$892,C447,$D$1:$D$892,D447,$B$1:$B$892,"&lt;="&amp;B447)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Iniciales'!$D$2:$D$38,'Saldos Iniciales'!$A$2:$A$38,C448,'Saldos Iniciales'!$B$2:$B$38,D448)+SUMIFS($K$1:$K$892,$C$1:$C$892,C448,$D$1:$D$892,D448,$B$1:$B$892,"&lt;="&amp;B448)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Iniciales'!$D$2:$D$38,'Saldos Iniciales'!$A$2:$A$38,C449,'Saldos Iniciales'!$B$2:$B$38,D449)+SUMIFS($K$1:$K$892,$C$1:$C$892,C449,$D$1:$D$892,D449,$B$1:$B$892,"&lt;="&amp;B449)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Iniciales'!$D$2:$D$38,'Saldos Iniciales'!$A$2:$A$38,C450,'Saldos Iniciales'!$B$2:$B$38,D450)+SUMIFS($K$1:$K$892,$C$1:$C$892,C450,$D$1:$D$892,D450,$B$1:$B$892,"&lt;="&amp;B450)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Iniciales'!$D$2:$D$38,'Saldos Iniciales'!$A$2:$A$38,C451,'Saldos Iniciales'!$B$2:$B$38,D451)+SUMIFS($K$1:$K$892,$C$1:$C$892,C451,$D$1:$D$892,D451,$B$1:$B$892,"&lt;="&amp;B451)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Iniciales'!$D$2:$D$38,'Saldos Iniciales'!$A$2:$A$38,C452,'Saldos Iniciales'!$B$2:$B$38,D452)+SUMIFS($K$1:$K$892,$C$1:$C$892,C452,$D$1:$D$892,D452,$B$1:$B$892,"&lt;="&amp;B452)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Iniciales'!$D$2:$D$38,'Saldos Iniciales'!$A$2:$A$38,C453,'Saldos Iniciales'!$B$2:$B$38,D453)+SUMIFS($K$1:$K$892,$C$1:$C$892,C453,$D$1:$D$892,D453,$B$1:$B$892,"&lt;="&amp;B453)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Iniciales'!$D$2:$D$38,'Saldos Iniciales'!$A$2:$A$38,C454,'Saldos Iniciales'!$B$2:$B$38,D454)+SUMIFS($K$1:$K$892,$C$1:$C$892,C454,$D$1:$D$892,D454,$B$1:$B$892,"&lt;="&amp;B454)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Iniciales'!$D$2:$D$38,'Saldos Iniciales'!$A$2:$A$38,C455,'Saldos Iniciales'!$B$2:$B$38,D455)+SUMIFS($K$1:$K$892,$C$1:$C$892,C455,$D$1:$D$892,D455,$B$1:$B$892,"&lt;="&amp;B455)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Iniciales'!$D$2:$D$38,'Saldos Iniciales'!$A$2:$A$38,C456,'Saldos Iniciales'!$B$2:$B$38,D456)+SUMIFS($K$1:$K$892,$C$1:$C$892,C456,$D$1:$D$892,D456,$B$1:$B$892,"&lt;="&amp;B456)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Iniciales'!$D$2:$D$38,'Saldos Iniciales'!$A$2:$A$38,C457,'Saldos Iniciales'!$B$2:$B$38,D457)+SUMIFS($K$1:$K$892,$C$1:$C$892,C457,$D$1:$D$892,D457,$B$1:$B$892,"&lt;="&amp;B457)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Iniciales'!$D$2:$D$38,'Saldos Iniciales'!$A$2:$A$38,C458,'Saldos Iniciales'!$B$2:$B$38,D458)+SUMIFS($K$1:$K$892,$C$1:$C$892,C458,$D$1:$D$892,D458,$B$1:$B$892,"&lt;="&amp;B458)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Iniciales'!$D$2:$D$38,'Saldos Iniciales'!$A$2:$A$38,C459,'Saldos Iniciales'!$B$2:$B$38,D459)+SUMIFS($K$1:$K$892,$C$1:$C$892,C459,$D$1:$D$892,D459,$B$1:$B$892,"&lt;="&amp;B459)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Iniciales'!$D$2:$D$38,'Saldos Iniciales'!$A$2:$A$38,C460,'Saldos Iniciales'!$B$2:$B$38,D460)+SUMIFS($K$1:$K$892,$C$1:$C$892,C460,$D$1:$D$892,D460,$B$1:$B$892,"&lt;="&amp;B460)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Iniciales'!$D$2:$D$38,'Saldos Iniciales'!$A$2:$A$38,C461,'Saldos Iniciales'!$B$2:$B$38,D461)+SUMIFS($K$1:$K$892,$C$1:$C$892,C461,$D$1:$D$892,D461,$B$1:$B$892,"&lt;="&amp;B461)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Iniciales'!$D$2:$D$38,'Saldos Iniciales'!$A$2:$A$38,C462,'Saldos Iniciales'!$B$2:$B$38,D462)+SUMIFS($K$1:$K$892,$C$1:$C$892,C462,$D$1:$D$892,D462,$B$1:$B$892,"&lt;="&amp;B462)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Iniciales'!$D$2:$D$38,'Saldos Iniciales'!$A$2:$A$38,C463,'Saldos Iniciales'!$B$2:$B$38,D463)+SUMIFS($K$1:$K$892,$C$1:$C$892,C463,$D$1:$D$892,D463,$B$1:$B$892,"&lt;="&amp;B463)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Iniciales'!$D$2:$D$38,'Saldos Iniciales'!$A$2:$A$38,C464,'Saldos Iniciales'!$B$2:$B$38,D464)+SUMIFS($K$1:$K$892,$C$1:$C$892,C464,$D$1:$D$892,D464,$B$1:$B$892,"&lt;="&amp;B464)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Iniciales'!$D$2:$D$38,'Saldos Iniciales'!$A$2:$A$38,C465,'Saldos Iniciales'!$B$2:$B$38,D465)+SUMIFS($K$1:$K$892,$C$1:$C$892,C465,$D$1:$D$892,D465,$B$1:$B$892,"&lt;="&amp;B465)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Iniciales'!$B$2:$B$38,D466)+SUMIFS($K$1:$K$892,$C$1:$C$892,C466,$D$1:$D$892,D466,$B$1:$B$892,"&lt;="&amp;B466)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Iniciales'!$D$2:$D$38,'Saldos Iniciales'!$A$2:$A$38,C467,'Saldos Iniciales'!$B$2:$B$38,D467)+SUMIFS($K$1:$K$892,$C$1:$C$892,C467,$D$1:$D$892,D467,$B$1:$B$892,"&lt;="&amp;B467)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Iniciales'!$D$2:$D$38,'Saldos Iniciales'!$A$2:$A$38,C468,'Saldos Iniciales'!$B$2:$B$38,D468)+SUMIFS($K$1:$K$892,$C$1:$C$892,C468,$D$1:$D$892,D468,$B$1:$B$892,"&lt;="&amp;B468)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Iniciales'!$D$2:$D$38,'Saldos Iniciales'!$A$2:$A$38,C469,'Saldos Iniciales'!$B$2:$B$38,D469)+SUMIFS($K$1:$K$892,$C$1:$C$892,C469,$D$1:$D$892,D469,$B$1:$B$892,"&lt;="&amp;B469)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Iniciales'!$B$2:$B$38,D470)+SUMIFS($K$1:$K$892,$C$1:$C$892,C470,$D$1:$D$892,D470,$B$1:$B$892,"&lt;="&amp;B470)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>IF(F471="Ingreso",J471,-J471)</f>
        <v>4400</v>
      </c>
      <c r="L471" s="15" t="s">
        <v>129</v>
      </c>
      <c r="M471" s="44">
        <f>SUMIFS('Saldos Iniciales'!$D$2:$D$38,'Saldos Iniciales'!$A$2:$A$38,C471,'Saldos Iniciales'!$B$2:$B$38,D471)+SUMIFS($K$1:$K$892,$C$1:$C$892,C471,$D$1:$D$892,D471,$B$1:$B$892,"&lt;="&amp;B471)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>IF(F472="Ingreso",J472,-J472)</f>
        <v>-2363.85</v>
      </c>
      <c r="L472" s="15" t="s">
        <v>129</v>
      </c>
      <c r="M472" s="44">
        <f>SUMIFS('Saldos Iniciales'!$D$2:$D$38,'Saldos Iniciales'!$A$2:$A$38,C472,'Saldos Iniciales'!$B$2:$B$38,D472)+SUMIFS($K$1:$K$892,$C$1:$C$892,C472,$D$1:$D$892,D472,$B$1:$B$892,"&lt;="&amp;B472)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>IF(F473="Ingreso",J473,-J473)</f>
        <v>-229.15</v>
      </c>
      <c r="L473" s="15" t="s">
        <v>129</v>
      </c>
      <c r="M473" s="44">
        <f>SUMIFS('Saldos Iniciales'!$D$2:$D$38,'Saldos Iniciales'!$A$2:$A$38,C473,'Saldos Iniciales'!$B$2:$B$38,D473)+SUMIFS($K$1:$K$892,$C$1:$C$892,C473,$D$1:$D$892,D473,$B$1:$B$892,"&lt;="&amp;B473)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>IF(F474="Ingreso",J474,-J474)</f>
        <v>-499.22</v>
      </c>
      <c r="L474" s="15" t="s">
        <v>129</v>
      </c>
      <c r="M474" s="44">
        <f>SUMIFS('Saldos Iniciales'!$D$2:$D$38,'Saldos Iniciales'!$A$2:$A$38,C474,'Saldos Iniciales'!$B$2:$B$38,D474)+SUMIFS($K$1:$K$892,$C$1:$C$892,C474,$D$1:$D$892,D474,$B$1:$B$892,"&lt;="&amp;B474)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>IF(F475="Ingreso",J475,-J475)</f>
        <v>-29.96</v>
      </c>
      <c r="L475" s="15" t="s">
        <v>129</v>
      </c>
      <c r="M475" s="44">
        <f>SUMIFS('Saldos Iniciales'!$D$2:$D$38,'Saldos Iniciales'!$A$2:$A$38,C475,'Saldos Iniciales'!$B$2:$B$38,D475)+SUMIFS($K$1:$K$892,$C$1:$C$892,C475,$D$1:$D$892,D475,$B$1:$B$892,"&lt;="&amp;B475)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>IF(F476="Ingreso",J476,-J476)</f>
        <v>-40</v>
      </c>
      <c r="L476" s="15" t="s">
        <v>129</v>
      </c>
      <c r="M476" s="44">
        <f>SUMIFS('Saldos Iniciales'!$D$2:$D$38,'Saldos Iniciales'!$A$2:$A$38,C476,'Saldos Iniciales'!$B$2:$B$38,D476)+SUMIFS($K$1:$K$892,$C$1:$C$892,C476,$D$1:$D$892,D476,$B$1:$B$892,"&lt;="&amp;B476)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>IF(F477="Ingreso",J477,-J477)</f>
        <v>-538.41999999999996</v>
      </c>
      <c r="L477" s="15" t="s">
        <v>129</v>
      </c>
      <c r="M477" s="44">
        <f>SUMIFS('Saldos Iniciales'!$D$2:$D$38,'Saldos Iniciales'!$A$2:$A$38,C477,'Saldos Iniciales'!$B$2:$B$38,D477)+SUMIFS($K$1:$K$892,$C$1:$C$892,C477,$D$1:$D$892,D477,$B$1:$B$892,"&lt;="&amp;B477)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>IF(F478="Ingreso",J478,-J478)</f>
        <v>-17151.490000000002</v>
      </c>
      <c r="L478" s="15" t="s">
        <v>129</v>
      </c>
      <c r="M478" s="44">
        <f>SUMIFS('Saldos Iniciales'!$D$2:$D$38,'Saldos Iniciales'!$A$2:$A$38,C478,'Saldos Iniciales'!$B$2:$B$38,D478)+SUMIFS($K$1:$K$892,$C$1:$C$892,C478,$D$1:$D$892,D478,$B$1:$B$892,"&lt;="&amp;B478)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>IF(F479="Ingreso",J479,-J479)</f>
        <v>-30</v>
      </c>
      <c r="L479" s="15" t="s">
        <v>129</v>
      </c>
      <c r="M479" s="44">
        <f>SUMIFS('Saldos Iniciales'!$D$2:$D$38,'Saldos Iniciales'!$A$2:$A$38,C479,'Saldos Iniciales'!$B$2:$B$38,D479)+SUMIFS($K$1:$K$892,$C$1:$C$892,C479,$D$1:$D$892,D479,$B$1:$B$892,"&lt;="&amp;B479)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>IF(F480="Ingreso",J480,-J480)</f>
        <v>-18</v>
      </c>
      <c r="L480" s="15" t="s">
        <v>129</v>
      </c>
      <c r="M480" s="44">
        <f>SUMIFS('Saldos Iniciales'!$D$2:$D$38,'Saldos Iniciales'!$A$2:$A$38,C480,'Saldos Iniciales'!$B$2:$B$38,D480)+SUMIFS($K$1:$K$892,$C$1:$C$892,C480,$D$1:$D$892,D480,$B$1:$B$892,"&lt;="&amp;B480)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>IF(F481="Ingreso",J481,-J481)</f>
        <v>-458.35</v>
      </c>
      <c r="L481" s="15" t="s">
        <v>129</v>
      </c>
      <c r="M481" s="44">
        <f>SUMIFS('Saldos Iniciales'!$D$2:$D$38,'Saldos Iniciales'!$A$2:$A$38,C481,'Saldos Iniciales'!$B$2:$B$38,D481)+SUMIFS($K$1:$K$892,$C$1:$C$892,C481,$D$1:$D$892,D481,$B$1:$B$892,"&lt;="&amp;B481)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>IF(F482="Ingreso",J482,-J482)</f>
        <v>-24</v>
      </c>
      <c r="L482" s="15" t="s">
        <v>129</v>
      </c>
      <c r="M482" s="44">
        <f>SUMIFS('Saldos Iniciales'!$D$2:$D$38,'Saldos Iniciales'!$A$2:$A$38,C482,'Saldos Iniciales'!$B$2:$B$38,D482)+SUMIFS($K$1:$K$892,$C$1:$C$892,C482,$D$1:$D$892,D482,$B$1:$B$892,"&lt;="&amp;B482)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>IF(F483="Ingreso",J483,-J483)</f>
        <v>-271.86</v>
      </c>
      <c r="L483" s="15" t="s">
        <v>129</v>
      </c>
      <c r="M483" s="44">
        <f>SUMIFS('Saldos Iniciales'!$D$2:$D$38,'Saldos Iniciales'!$A$2:$A$38,C483,'Saldos Iniciales'!$B$2:$B$38,D483)+SUMIFS($K$1:$K$892,$C$1:$C$892,C483,$D$1:$D$892,D483,$B$1:$B$892,"&lt;="&amp;B483)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>IF(F484="Ingreso",J484,-J484)</f>
        <v>-614.75</v>
      </c>
      <c r="L484" s="15" t="s">
        <v>129</v>
      </c>
      <c r="M484" s="44">
        <f>SUMIFS('Saldos Iniciales'!$D$2:$D$38,'Saldos Iniciales'!$A$2:$A$38,C484,'Saldos Iniciales'!$B$2:$B$38,D484)+SUMIFS($K$1:$K$892,$C$1:$C$892,C484,$D$1:$D$892,D484,$B$1:$B$892,"&lt;="&amp;B484)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>IF(F485="Ingreso",J485,-J485)</f>
        <v>-52</v>
      </c>
      <c r="L485" s="15" t="s">
        <v>129</v>
      </c>
      <c r="M485" s="44">
        <f>SUMIFS('Saldos Iniciales'!$D$2:$D$38,'Saldos Iniciales'!$A$2:$A$38,C485,'Saldos Iniciales'!$B$2:$B$38,D485)+SUMIFS($K$1:$K$892,$C$1:$C$892,C485,$D$1:$D$892,D485,$B$1:$B$892,"&lt;="&amp;B485)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>IF(F486="Ingreso",J486,-J486)</f>
        <v>-7679.78</v>
      </c>
      <c r="L486" s="15" t="s">
        <v>129</v>
      </c>
      <c r="M486" s="44">
        <f>SUMIFS('Saldos Iniciales'!$D$2:$D$38,'Saldos Iniciales'!$A$2:$A$38,C486,'Saldos Iniciales'!$B$2:$B$38,D486)+SUMIFS($K$1:$K$892,$C$1:$C$892,C486,$D$1:$D$892,D486,$B$1:$B$892,"&lt;="&amp;B486)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>IF(F487="Ingreso",J487,-J487)</f>
        <v>-4000</v>
      </c>
      <c r="L487" s="15" t="s">
        <v>129</v>
      </c>
      <c r="M487" s="44">
        <f>SUMIFS('Saldos Iniciales'!$D$2:$D$38,'Saldos Iniciales'!$A$2:$A$38,C487,'Saldos Iniciales'!$B$2:$B$38,D487)+SUMIFS($K$1:$K$892,$C$1:$C$892,C487,$D$1:$D$892,D487,$B$1:$B$892,"&lt;="&amp;B487)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>IF(F488="Ingreso",J488,-J488)</f>
        <v>-1650.84</v>
      </c>
      <c r="L488" s="15" t="s">
        <v>129</v>
      </c>
      <c r="M488" s="44">
        <f>SUMIFS('Saldos Iniciales'!$D$2:$D$38,'Saldos Iniciales'!$A$2:$A$38,C488,'Saldos Iniciales'!$B$2:$B$38,D488)+SUMIFS($K$1:$K$892,$C$1:$C$892,C488,$D$1:$D$892,D488,$B$1:$B$892,"&lt;="&amp;B488)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>IF(F489="Ingreso",J489,-J489)</f>
        <v>-15</v>
      </c>
      <c r="L489" s="15" t="s">
        <v>129</v>
      </c>
      <c r="M489" s="44">
        <f>SUMIFS('Saldos Iniciales'!$D$2:$D$38,'Saldos Iniciales'!$A$2:$A$38,C489,'Saldos Iniciales'!$B$2:$B$38,D489)+SUMIFS($K$1:$K$892,$C$1:$C$892,C489,$D$1:$D$892,D489,$B$1:$B$892,"&lt;="&amp;B489)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>IF(F490="Ingreso",J490,-J490)</f>
        <v>-1291.6500000000001</v>
      </c>
      <c r="L490" s="15" t="s">
        <v>129</v>
      </c>
      <c r="M490" s="44">
        <f>SUMIFS('Saldos Iniciales'!$D$2:$D$38,'Saldos Iniciales'!$A$2:$A$38,C490,'Saldos Iniciales'!$B$2:$B$38,D490)+SUMIFS($K$1:$K$892,$C$1:$C$892,C490,$D$1:$D$892,D490,$B$1:$B$892,"&lt;="&amp;B490)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>IF(F491="Ingreso",J491,-J491)</f>
        <v>-60000</v>
      </c>
      <c r="L491" s="15" t="s">
        <v>129</v>
      </c>
      <c r="M491" s="44">
        <f>SUMIFS('Saldos Iniciales'!$D$2:$D$38,'Saldos Iniciales'!$A$2:$A$38,C491,'Saldos Iniciales'!$B$2:$B$38,D491)+SUMIFS($K$1:$K$892,$C$1:$C$892,C491,$D$1:$D$892,D491,$B$1:$B$892,"&lt;="&amp;B491)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>IF(F492="Ingreso",J492,-J492)</f>
        <v>-5982</v>
      </c>
      <c r="L492" s="15" t="s">
        <v>129</v>
      </c>
      <c r="M492" s="44">
        <f>SUMIFS('Saldos Iniciales'!$D$2:$D$38,'Saldos Iniciales'!$A$2:$A$38,C492,'Saldos Iniciales'!$B$2:$B$38,D492)+SUMIFS($K$1:$K$892,$C$1:$C$892,C492,$D$1:$D$892,D492,$B$1:$B$892,"&lt;="&amp;B492)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>IF(F493="Ingreso",J493,-J493)</f>
        <v>-47.47</v>
      </c>
      <c r="L493" s="15" t="s">
        <v>129</v>
      </c>
      <c r="M493" s="44">
        <f>SUMIFS('Saldos Iniciales'!$D$2:$D$38,'Saldos Iniciales'!$A$2:$A$38,C493,'Saldos Iniciales'!$B$2:$B$38,D493)+SUMIFS($K$1:$K$892,$C$1:$C$892,C493,$D$1:$D$892,D493,$B$1:$B$892,"&lt;="&amp;B493)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>IF(F494="Ingreso",J494,-J494)</f>
        <v>-36</v>
      </c>
      <c r="L494" s="15" t="s">
        <v>129</v>
      </c>
      <c r="M494" s="44">
        <f>SUMIFS('Saldos Iniciales'!$D$2:$D$38,'Saldos Iniciales'!$A$2:$A$38,C494,'Saldos Iniciales'!$B$2:$B$38,D494)+SUMIFS($K$1:$K$892,$C$1:$C$892,C494,$D$1:$D$892,D494,$B$1:$B$892,"&lt;="&amp;B494)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>IF(F495="Ingreso",J495,-J495)</f>
        <v>-2975</v>
      </c>
      <c r="L495" s="15" t="s">
        <v>129</v>
      </c>
      <c r="M495" s="44">
        <f>SUMIFS('Saldos Iniciales'!$D$2:$D$38,'Saldos Iniciales'!$A$2:$A$38,C495,'Saldos Iniciales'!$B$2:$B$38,D495)+SUMIFS($K$1:$K$892,$C$1:$C$892,C495,$D$1:$D$892,D495,$B$1:$B$892,"&lt;="&amp;B495)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>IF(F496="Ingreso",J496,-J496)</f>
        <v>-11666.67</v>
      </c>
      <c r="L496" s="15" t="s">
        <v>129</v>
      </c>
      <c r="M496" s="44">
        <f>SUMIFS('Saldos Iniciales'!$D$2:$D$38,'Saldos Iniciales'!$A$2:$A$38,C496,'Saldos Iniciales'!$B$2:$B$38,D496)+SUMIFS($K$1:$K$892,$C$1:$C$892,C496,$D$1:$D$892,D496,$B$1:$B$892,"&lt;="&amp;B496)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>IF(F497="Ingreso",J497,-J497)</f>
        <v>-40000</v>
      </c>
      <c r="L497" s="15" t="s">
        <v>129</v>
      </c>
      <c r="M497" s="44">
        <f>SUMIFS('Saldos Iniciales'!$D$2:$D$38,'Saldos Iniciales'!$A$2:$A$38,C497,'Saldos Iniciales'!$B$2:$B$38,D497)+SUMIFS($K$1:$K$892,$C$1:$C$892,C497,$D$1:$D$892,D497,$B$1:$B$892,"&lt;="&amp;B497)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Iniciales'!$B$2:$B$38,D498)+SUMIFS($K$1:$K$892,$C$1:$C$892,C498,$D$1:$D$892,D498,$B$1:$B$892,"&lt;="&amp;B498)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Iniciales'!$B$2:$B$38,D499)+SUMIFS($K$1:$K$892,$C$1:$C$892,C499,$D$1:$D$892,D499,$B$1:$B$892,"&lt;="&amp;B499)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Iniciales'!$D$2:$D$38,'Saldos Iniciales'!$A$2:$A$38,C500,'Saldos Iniciales'!$B$2:$B$38,D500)+SUMIFS($K$1:$K$892,$C$1:$C$892,C500,$D$1:$D$892,D500,$B$1:$B$892,"&lt;="&amp;B500)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>IF(F501="Ingreso",J501,-J501)</f>
        <v>-100000</v>
      </c>
      <c r="L501" s="15" t="s">
        <v>129</v>
      </c>
      <c r="M501" s="44">
        <f>SUMIFS('Saldos Iniciales'!$D$2:$D$38,'Saldos Iniciales'!$A$2:$A$38,C501,'Saldos Iniciales'!$B$2:$B$38,D501)+SUMIFS($K$1:$K$892,$C$1:$C$892,C501,$D$1:$D$892,D501,$B$1:$B$892,"&lt;="&amp;B501)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>IF(F502="Ingreso",J502,-J502)</f>
        <v>-200000</v>
      </c>
      <c r="L502" s="15" t="s">
        <v>129</v>
      </c>
      <c r="M502" s="44">
        <f>SUMIFS('Saldos Iniciales'!$D$2:$D$38,'Saldos Iniciales'!$A$2:$A$38,C502,'Saldos Iniciales'!$B$2:$B$38,D502)+SUMIFS($K$1:$K$892,$C$1:$C$892,C502,$D$1:$D$892,D502,$B$1:$B$892,"&lt;="&amp;B502)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>IF(F503="Ingreso",J503,-J503)</f>
        <v>-600000</v>
      </c>
      <c r="L503" s="15" t="s">
        <v>129</v>
      </c>
      <c r="M503" s="44">
        <f>SUMIFS('Saldos Iniciales'!$D$2:$D$38,'Saldos Iniciales'!$A$2:$A$38,C503,'Saldos Iniciales'!$B$2:$B$38,D503)+SUMIFS($K$1:$K$892,$C$1:$C$892,C503,$D$1:$D$892,D503,$B$1:$B$892,"&lt;="&amp;B503)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>IF(F504="Ingreso",J504,-J504)</f>
        <v>-20000</v>
      </c>
      <c r="L504" s="15" t="s">
        <v>129</v>
      </c>
      <c r="M504" s="44">
        <f>SUMIFS('Saldos Iniciales'!$D$2:$D$38,'Saldos Iniciales'!$A$2:$A$38,C504,'Saldos Iniciales'!$B$2:$B$38,D504)+SUMIFS($K$1:$K$892,$C$1:$C$892,C504,$D$1:$D$892,D504,$B$1:$B$892,"&lt;="&amp;B504)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>IF(F505="Ingreso",J505,-J505)</f>
        <v>600000</v>
      </c>
      <c r="L505" s="15" t="s">
        <v>129</v>
      </c>
      <c r="M505" s="44">
        <f>SUMIFS('Saldos Iniciales'!$D$2:$D$38,'Saldos Iniciales'!$A$2:$A$38,C505,'Saldos Iniciales'!$B$2:$B$38,D505)+SUMIFS($K$1:$K$892,$C$1:$C$892,C505,$D$1:$D$892,D505,$B$1:$B$892,"&lt;="&amp;B505)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>IF(F506="Ingreso",J506,-J506)</f>
        <v>-295</v>
      </c>
      <c r="L506" s="15" t="s">
        <v>129</v>
      </c>
      <c r="M506" s="44">
        <f>SUMIFS('Saldos Iniciales'!$D$2:$D$38,'Saldos Iniciales'!$A$2:$A$38,C506,'Saldos Iniciales'!$B$2:$B$38,D506)+SUMIFS($K$1:$K$892,$C$1:$C$892,C506,$D$1:$D$892,D506,$B$1:$B$892,"&lt;="&amp;B506)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>IF(F507="Ingreso",J507,-J507)</f>
        <v>-24255</v>
      </c>
      <c r="L507" s="15" t="s">
        <v>129</v>
      </c>
      <c r="M507" s="44">
        <f>SUMIFS('Saldos Iniciales'!$D$2:$D$38,'Saldos Iniciales'!$A$2:$A$38,C507,'Saldos Iniciales'!$B$2:$B$38,D507)+SUMIFS($K$1:$K$892,$C$1:$C$892,C507,$D$1:$D$892,D507,$B$1:$B$892,"&lt;="&amp;B507)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>IF(F508="Ingreso",J508,-J508)</f>
        <v>-66261.25</v>
      </c>
      <c r="L508" s="15" t="s">
        <v>129</v>
      </c>
      <c r="M508" s="44">
        <f>SUMIFS('Saldos Iniciales'!$D$2:$D$38,'Saldos Iniciales'!$A$2:$A$38,C508,'Saldos Iniciales'!$B$2:$B$38,D508)+SUMIFS($K$1:$K$892,$C$1:$C$892,C508,$D$1:$D$892,D508,$B$1:$B$892,"&lt;="&amp;B508)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>IF(F509="Ingreso",J509,-J509)</f>
        <v>-140000</v>
      </c>
      <c r="L509" s="15" t="s">
        <v>129</v>
      </c>
      <c r="M509" s="44">
        <f>SUMIFS('Saldos Iniciales'!$D$2:$D$38,'Saldos Iniciales'!$A$2:$A$38,C509,'Saldos Iniciales'!$B$2:$B$38,D509)+SUMIFS($K$1:$K$892,$C$1:$C$892,C509,$D$1:$D$892,D509,$B$1:$B$892,"&lt;="&amp;B509)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>IF(F510="Ingreso",J510,-J510)</f>
        <v>20000</v>
      </c>
      <c r="L510" s="15" t="s">
        <v>129</v>
      </c>
      <c r="M510" s="44">
        <f>SUMIFS('Saldos Iniciales'!$D$2:$D$38,'Saldos Iniciales'!$A$2:$A$38,C510,'Saldos Iniciales'!$B$2:$B$38,D510)+SUMIFS($K$1:$K$892,$C$1:$C$892,C510,$D$1:$D$892,D510,$B$1:$B$892,"&lt;="&amp;B510)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Iniciales'!$D$2:$D$38,'Saldos Iniciales'!$A$2:$A$38,C511,'Saldos Iniciales'!$B$2:$B$38,D511)+SUMIFS($K$1:$K$892,$C$1:$C$892,C511,$D$1:$D$892,D511,$B$1:$B$892,"&lt;="&amp;B511)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>IF(F512="Ingreso",J512,-J512)</f>
        <v>20000</v>
      </c>
      <c r="L512" s="15" t="s">
        <v>129</v>
      </c>
      <c r="M512" s="44">
        <f>SUMIFS('Saldos Iniciales'!$D$2:$D$38,'Saldos Iniciales'!$A$2:$A$38,C512,'Saldos Iniciales'!$B$2:$B$38,D512)+SUMIFS($K$1:$K$892,$C$1:$C$892,C512,$D$1:$D$892,D512,$B$1:$B$892,"&lt;="&amp;B512)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>IF(F513="Ingreso",J513,-J513)</f>
        <v>-2500</v>
      </c>
      <c r="L513" s="15" t="s">
        <v>129</v>
      </c>
      <c r="M513" s="44">
        <f>SUMIFS('Saldos Iniciales'!$D$2:$D$38,'Saldos Iniciales'!$A$2:$A$38,C513,'Saldos Iniciales'!$B$2:$B$38,D513)+SUMIFS($K$1:$K$892,$C$1:$C$892,C513,$D$1:$D$892,D513,$B$1:$B$892,"&lt;="&amp;B513)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>IF(F514="Ingreso",J514,-J514)</f>
        <v>-15</v>
      </c>
      <c r="L514" s="15" t="s">
        <v>129</v>
      </c>
      <c r="M514" s="44">
        <f>SUMIFS('Saldos Iniciales'!$D$2:$D$38,'Saldos Iniciales'!$A$2:$A$38,C514,'Saldos Iniciales'!$B$2:$B$38,D514)+SUMIFS($K$1:$K$892,$C$1:$C$892,C514,$D$1:$D$892,D514,$B$1:$B$892,"&lt;="&amp;B514)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>IF(F515="Ingreso",J515,-J515)</f>
        <v>14659.29</v>
      </c>
      <c r="L515" s="15" t="s">
        <v>129</v>
      </c>
      <c r="M515" s="44">
        <f>SUMIFS('Saldos Iniciales'!$D$2:$D$38,'Saldos Iniciales'!$A$2:$A$38,C515,'Saldos Iniciales'!$B$2:$B$38,D515)+SUMIFS($K$1:$K$892,$C$1:$C$892,C515,$D$1:$D$892,D515,$B$1:$B$892,"&lt;="&amp;B515)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>IF(F516="Ingreso",J516,-J516)</f>
        <v>1451269.78</v>
      </c>
      <c r="L516" s="15" t="s">
        <v>129</v>
      </c>
      <c r="M516" s="44">
        <f>SUMIFS('Saldos Iniciales'!$D$2:$D$38,'Saldos Iniciales'!$A$2:$A$38,C516,'Saldos Iniciales'!$B$2:$B$38,D516)+SUMIFS($K$1:$K$892,$C$1:$C$892,C516,$D$1:$D$892,D516,$B$1:$B$892,"&lt;="&amp;B516)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>IF(F517="Ingreso",J517,-J517)</f>
        <v>-424</v>
      </c>
      <c r="L517" s="15" t="s">
        <v>129</v>
      </c>
      <c r="M517" s="44">
        <f>SUMIFS('Saldos Iniciales'!$D$2:$D$38,'Saldos Iniciales'!$A$2:$A$38,C517,'Saldos Iniciales'!$B$2:$B$38,D517)+SUMIFS($K$1:$K$892,$C$1:$C$892,C517,$D$1:$D$892,D517,$B$1:$B$892,"&lt;="&amp;B517)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>IF(F518="Ingreso",J518,-J518)</f>
        <v>-334</v>
      </c>
      <c r="L518" s="15" t="s">
        <v>129</v>
      </c>
      <c r="M518" s="44">
        <f>SUMIFS('Saldos Iniciales'!$D$2:$D$38,'Saldos Iniciales'!$A$2:$A$38,C518,'Saldos Iniciales'!$B$2:$B$38,D518)+SUMIFS($K$1:$K$892,$C$1:$C$892,C518,$D$1:$D$892,D518,$B$1:$B$892,"&lt;="&amp;B518)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>IF(F519="Ingreso",J519,-J519)</f>
        <v>-355</v>
      </c>
      <c r="L519" s="15" t="s">
        <v>129</v>
      </c>
      <c r="M519" s="44">
        <f>SUMIFS('Saldos Iniciales'!$D$2:$D$38,'Saldos Iniciales'!$A$2:$A$38,C519,'Saldos Iniciales'!$B$2:$B$38,D519)+SUMIFS($K$1:$K$892,$C$1:$C$892,C519,$D$1:$D$892,D519,$B$1:$B$892,"&lt;="&amp;B519)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>IF(F520="Ingreso",J520,-J520)</f>
        <v>2000</v>
      </c>
      <c r="L520" s="15" t="s">
        <v>129</v>
      </c>
      <c r="M520" s="44">
        <f>SUMIFS('Saldos Iniciales'!$D$2:$D$38,'Saldos Iniciales'!$A$2:$A$38,C520,'Saldos Iniciales'!$B$2:$B$38,D520)+SUMIFS($K$1:$K$892,$C$1:$C$892,C520,$D$1:$D$892,D520,$B$1:$B$892,"&lt;="&amp;B520)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>IF(F521="Ingreso",J521,-J521)</f>
        <v>-5000</v>
      </c>
      <c r="L521" s="15" t="s">
        <v>129</v>
      </c>
      <c r="M521" s="44">
        <f>SUMIFS('Saldos Iniciales'!$D$2:$D$38,'Saldos Iniciales'!$A$2:$A$38,C521,'Saldos Iniciales'!$B$2:$B$38,D521)+SUMIFS($K$1:$K$892,$C$1:$C$892,C521,$D$1:$D$892,D521,$B$1:$B$892,"&lt;="&amp;B521)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>IF(F522="Ingreso",J522,-J522)</f>
        <v>-56000</v>
      </c>
      <c r="L522" s="15" t="s">
        <v>129</v>
      </c>
      <c r="M522" s="44">
        <f>SUMIFS('Saldos Iniciales'!$D$2:$D$38,'Saldos Iniciales'!$A$2:$A$38,C522,'Saldos Iniciales'!$B$2:$B$38,D522)+SUMIFS($K$1:$K$892,$C$1:$C$892,C522,$D$1:$D$892,D522,$B$1:$B$892,"&lt;="&amp;B522)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>IF(F523="Ingreso",J523,-J523)</f>
        <v>-70000</v>
      </c>
      <c r="L523" s="15" t="s">
        <v>129</v>
      </c>
      <c r="M523" s="44">
        <f>SUMIFS('Saldos Iniciales'!$D$2:$D$38,'Saldos Iniciales'!$A$2:$A$38,C523,'Saldos Iniciales'!$B$2:$B$38,D523)+SUMIFS($K$1:$K$892,$C$1:$C$892,C523,$D$1:$D$892,D523,$B$1:$B$892,"&lt;="&amp;B523)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>IF(F524="Ingreso",J524,-J524)</f>
        <v>-82833.33</v>
      </c>
      <c r="L524" s="15" t="s">
        <v>129</v>
      </c>
      <c r="M524" s="44">
        <f>SUMIFS('Saldos Iniciales'!$D$2:$D$38,'Saldos Iniciales'!$A$2:$A$38,C524,'Saldos Iniciales'!$B$2:$B$38,D524)+SUMIFS($K$1:$K$892,$C$1:$C$892,C524,$D$1:$D$892,D524,$B$1:$B$892,"&lt;="&amp;B524)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>IF(F525="Ingreso",J525,-J525)</f>
        <v>-9583.33</v>
      </c>
      <c r="L525" s="15" t="s">
        <v>129</v>
      </c>
      <c r="M525" s="44">
        <f>SUMIFS('Saldos Iniciales'!$D$2:$D$38,'Saldos Iniciales'!$A$2:$A$38,C525,'Saldos Iniciales'!$B$2:$B$38,D525)+SUMIFS($K$1:$K$892,$C$1:$C$892,C525,$D$1:$D$892,D525,$B$1:$B$892,"&lt;="&amp;B525)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>IF(F526="Ingreso",J526,-J526)</f>
        <v>-53666.67</v>
      </c>
      <c r="L526" s="15" t="s">
        <v>129</v>
      </c>
      <c r="M526" s="44">
        <f>SUMIFS('Saldos Iniciales'!$D$2:$D$38,'Saldos Iniciales'!$A$2:$A$38,C526,'Saldos Iniciales'!$B$2:$B$38,D526)+SUMIFS($K$1:$K$892,$C$1:$C$892,C526,$D$1:$D$892,D526,$B$1:$B$892,"&lt;="&amp;B526)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>IF(F527="Ingreso",J527,-J527)</f>
        <v>-134166.67000000001</v>
      </c>
      <c r="L527" s="15" t="s">
        <v>129</v>
      </c>
      <c r="M527" s="44">
        <f>SUMIFS('Saldos Iniciales'!$D$2:$D$38,'Saldos Iniciales'!$A$2:$A$38,C527,'Saldos Iniciales'!$B$2:$B$38,D527)+SUMIFS($K$1:$K$892,$C$1:$C$892,C527,$D$1:$D$892,D527,$B$1:$B$892,"&lt;="&amp;B527)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>IF(F528="Ingreso",J528,-J528)</f>
        <v>-2000</v>
      </c>
      <c r="L528" s="15" t="s">
        <v>129</v>
      </c>
      <c r="M528" s="44">
        <f>SUMIFS('Saldos Iniciales'!$D$2:$D$38,'Saldos Iniciales'!$A$2:$A$38,C528,'Saldos Iniciales'!$B$2:$B$38,D528)+SUMIFS($K$1:$K$892,$C$1:$C$892,C528,$D$1:$D$892,D528,$B$1:$B$892,"&lt;="&amp;B528)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>IF(F529="Ingreso",J529,-J529)</f>
        <v>-550</v>
      </c>
      <c r="L529" s="15" t="s">
        <v>129</v>
      </c>
      <c r="M529" s="44">
        <f>SUMIFS('Saldos Iniciales'!$D$2:$D$38,'Saldos Iniciales'!$A$2:$A$38,C529,'Saldos Iniciales'!$B$2:$B$38,D529)+SUMIFS($K$1:$K$892,$C$1:$C$892,C529,$D$1:$D$892,D529,$B$1:$B$892,"&lt;="&amp;B529)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>IF(F530="Ingreso",J530,-J530)</f>
        <v>-15</v>
      </c>
      <c r="L530" s="15" t="s">
        <v>129</v>
      </c>
      <c r="M530" s="44">
        <f>SUMIFS('Saldos Iniciales'!$D$2:$D$38,'Saldos Iniciales'!$A$2:$A$38,C530,'Saldos Iniciales'!$B$2:$B$38,D530)+SUMIFS($K$1:$K$892,$C$1:$C$892,C530,$D$1:$D$892,D530,$B$1:$B$892,"&lt;="&amp;B530)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>IF(F531="Ingreso",J531,-J531)</f>
        <v>-24</v>
      </c>
      <c r="L531" s="15" t="s">
        <v>129</v>
      </c>
      <c r="M531" s="44">
        <f>SUMIFS('Saldos Iniciales'!$D$2:$D$38,'Saldos Iniciales'!$A$2:$A$38,C531,'Saldos Iniciales'!$B$2:$B$38,D531)+SUMIFS($K$1:$K$892,$C$1:$C$892,C531,$D$1:$D$892,D531,$B$1:$B$892,"&lt;="&amp;B531)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>IF(F532="Ingreso",J532,-J532)</f>
        <v>-764.97</v>
      </c>
      <c r="L532" s="15" t="s">
        <v>129</v>
      </c>
      <c r="M532" s="44">
        <f>SUMIFS('Saldos Iniciales'!$D$2:$D$38,'Saldos Iniciales'!$A$2:$A$38,C532,'Saldos Iniciales'!$B$2:$B$38,D532)+SUMIFS($K$1:$K$892,$C$1:$C$892,C532,$D$1:$D$892,D532,$B$1:$B$892,"&lt;="&amp;B532)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>IF(F533="Ingreso",J533,-J533)</f>
        <v>-24</v>
      </c>
      <c r="L533" s="15" t="s">
        <v>129</v>
      </c>
      <c r="M533" s="44">
        <f>SUMIFS('Saldos Iniciales'!$D$2:$D$38,'Saldos Iniciales'!$A$2:$A$38,C533,'Saldos Iniciales'!$B$2:$B$38,D533)+SUMIFS($K$1:$K$892,$C$1:$C$892,C533,$D$1:$D$892,D533,$B$1:$B$892,"&lt;="&amp;B533)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Iniciales'!$B$2:$B$38,D534)+SUMIFS($K$1:$K$892,$C$1:$C$892,C534,$D$1:$D$892,D534,$B$1:$B$892,"&lt;="&amp;B534)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>IF(F535="Ingreso",J535,-J535)</f>
        <v>-38.4</v>
      </c>
      <c r="L535" s="15" t="s">
        <v>129</v>
      </c>
      <c r="M535" s="44">
        <f>SUMIFS('Saldos Iniciales'!$D$2:$D$38,'Saldos Iniciales'!$A$2:$A$38,C535,'Saldos Iniciales'!$B$2:$B$38,D535)+SUMIFS($K$1:$K$892,$C$1:$C$892,C535,$D$1:$D$892,D535,$B$1:$B$892,"&lt;="&amp;B535)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>IF(F536="Ingreso",J536,-J536)</f>
        <v>518.65</v>
      </c>
      <c r="L536" s="15" t="s">
        <v>129</v>
      </c>
      <c r="M536" s="44">
        <f>SUMIFS('Saldos Iniciales'!$D$2:$D$38,'Saldos Iniciales'!$A$2:$A$38,C536,'Saldos Iniciales'!$B$2:$B$38,D536)+SUMIFS($K$1:$K$892,$C$1:$C$892,C536,$D$1:$D$892,D536,$B$1:$B$892,"&lt;="&amp;B536)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>IF(F537="Ingreso",J537,-J537)</f>
        <v>-1104.78</v>
      </c>
      <c r="L537" s="15" t="s">
        <v>129</v>
      </c>
      <c r="M537" s="44">
        <f>SUMIFS('Saldos Iniciales'!$D$2:$D$38,'Saldos Iniciales'!$A$2:$A$38,C537,'Saldos Iniciales'!$B$2:$B$38,D537)+SUMIFS($K$1:$K$892,$C$1:$C$892,C537,$D$1:$D$892,D537,$B$1:$B$892,"&lt;="&amp;B537)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>IF(F538="Ingreso",J538,-J538)</f>
        <v>-2209.56</v>
      </c>
      <c r="L538" s="15" t="s">
        <v>129</v>
      </c>
      <c r="M538" s="44">
        <f>SUMIFS('Saldos Iniciales'!$D$2:$D$38,'Saldos Iniciales'!$A$2:$A$38,C538,'Saldos Iniciales'!$B$2:$B$38,D538)+SUMIFS($K$1:$K$892,$C$1:$C$892,C538,$D$1:$D$892,D538,$B$1:$B$892,"&lt;="&amp;B538)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>IF(F539="Ingreso",J539,-J539)</f>
        <v>-2506.6999999999998</v>
      </c>
      <c r="L539" s="15" t="s">
        <v>129</v>
      </c>
      <c r="M539" s="44">
        <f>SUMIFS('Saldos Iniciales'!$D$2:$D$38,'Saldos Iniciales'!$A$2:$A$38,C539,'Saldos Iniciales'!$B$2:$B$38,D539)+SUMIFS($K$1:$K$892,$C$1:$C$892,C539,$D$1:$D$892,D539,$B$1:$B$892,"&lt;="&amp;B539)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>IF(F540="Ingreso",J540,-J540)</f>
        <v>800000</v>
      </c>
      <c r="L540" s="15" t="s">
        <v>129</v>
      </c>
      <c r="M540" s="44">
        <f>SUMIFS('Saldos Iniciales'!$D$2:$D$38,'Saldos Iniciales'!$A$2:$A$38,C540,'Saldos Iniciales'!$B$2:$B$38,D540)+SUMIFS($K$1:$K$892,$C$1:$C$892,C540,$D$1:$D$892,D540,$B$1:$B$892,"&lt;="&amp;B540)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>IF(F541="Ingreso",J541,-J541)</f>
        <v>-149.07</v>
      </c>
      <c r="L541" s="15" t="s">
        <v>129</v>
      </c>
      <c r="M541" s="44">
        <f>SUMIFS('Saldos Iniciales'!$D$2:$D$38,'Saldos Iniciales'!$A$2:$A$38,C541,'Saldos Iniciales'!$B$2:$B$38,D541)+SUMIFS($K$1:$K$892,$C$1:$C$892,C541,$D$1:$D$892,D541,$B$1:$B$892,"&lt;="&amp;B541)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>IF(F542="Ingreso",J542,-J542)</f>
        <v>-800000</v>
      </c>
      <c r="L542" s="15" t="s">
        <v>129</v>
      </c>
      <c r="M542" s="44">
        <f>SUMIFS('Saldos Iniciales'!$D$2:$D$38,'Saldos Iniciales'!$A$2:$A$38,C542,'Saldos Iniciales'!$B$2:$B$38,D542)+SUMIFS($K$1:$K$892,$C$1:$C$892,C542,$D$1:$D$892,D542,$B$1:$B$892,"&lt;="&amp;B542)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>IF(F543="Ingreso",J543,-J543)</f>
        <v>-65209.38</v>
      </c>
      <c r="L543" s="15" t="s">
        <v>129</v>
      </c>
      <c r="M543" s="44">
        <f>SUMIFS('Saldos Iniciales'!$D$2:$D$38,'Saldos Iniciales'!$A$2:$A$38,C543,'Saldos Iniciales'!$B$2:$B$38,D543)+SUMIFS($K$1:$K$892,$C$1:$C$892,C543,$D$1:$D$892,D543,$B$1:$B$892,"&lt;="&amp;B543)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>IF(F544="Ingreso",J544,-J544)</f>
        <v>-29.44</v>
      </c>
      <c r="L544" s="15" t="s">
        <v>129</v>
      </c>
      <c r="M544" s="44">
        <f>SUMIFS('Saldos Iniciales'!$D$2:$D$38,'Saldos Iniciales'!$A$2:$A$38,C544,'Saldos Iniciales'!$B$2:$B$38,D544)+SUMIFS($K$1:$K$892,$C$1:$C$892,C544,$D$1:$D$892,D544,$B$1:$B$892,"&lt;="&amp;B544)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>IF(F545="Ingreso",J545,-J545)</f>
        <v>-336.88</v>
      </c>
      <c r="L545" s="15" t="s">
        <v>129</v>
      </c>
      <c r="M545" s="44">
        <f>SUMIFS('Saldos Iniciales'!$D$2:$D$38,'Saldos Iniciales'!$A$2:$A$38,C545,'Saldos Iniciales'!$B$2:$B$38,D545)+SUMIFS($K$1:$K$892,$C$1:$C$892,C545,$D$1:$D$892,D545,$B$1:$B$892,"&lt;="&amp;B545)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>IF(F546="Ingreso",J546,-J546)</f>
        <v>-175</v>
      </c>
      <c r="L546" s="15" t="s">
        <v>129</v>
      </c>
      <c r="M546" s="44">
        <f>SUMIFS('Saldos Iniciales'!$D$2:$D$38,'Saldos Iniciales'!$A$2:$A$38,C546,'Saldos Iniciales'!$B$2:$B$38,D546)+SUMIFS($K$1:$K$892,$C$1:$C$892,C546,$D$1:$D$892,D546,$B$1:$B$892,"&lt;="&amp;B546)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>IF(F547="Ingreso",J547,-J547)</f>
        <v>-2490.36</v>
      </c>
      <c r="L547" s="15" t="s">
        <v>129</v>
      </c>
      <c r="M547" s="44">
        <f>SUMIFS('Saldos Iniciales'!$D$2:$D$38,'Saldos Iniciales'!$A$2:$A$38,C547,'Saldos Iniciales'!$B$2:$B$38,D547)+SUMIFS($K$1:$K$892,$C$1:$C$892,C547,$D$1:$D$892,D547,$B$1:$B$892,"&lt;="&amp;B547)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>IF(F548="Ingreso",J548,-J548)</f>
        <v>-60000</v>
      </c>
      <c r="L548" s="15" t="s">
        <v>129</v>
      </c>
      <c r="M548" s="44">
        <f>SUMIFS('Saldos Iniciales'!$D$2:$D$38,'Saldos Iniciales'!$A$2:$A$38,C548,'Saldos Iniciales'!$B$2:$B$38,D548)+SUMIFS($K$1:$K$892,$C$1:$C$892,C548,$D$1:$D$892,D548,$B$1:$B$892,"&lt;="&amp;B548)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>IF(F549="Ingreso",J549,-J549)</f>
        <v>-3000</v>
      </c>
      <c r="L549" s="15" t="s">
        <v>129</v>
      </c>
      <c r="M549" s="44">
        <f>SUMIFS('Saldos Iniciales'!$D$2:$D$38,'Saldos Iniciales'!$A$2:$A$38,C549,'Saldos Iniciales'!$B$2:$B$38,D549)+SUMIFS($K$1:$K$892,$C$1:$C$892,C549,$D$1:$D$892,D549,$B$1:$B$892,"&lt;="&amp;B549)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>IF(F550="Ingreso",J550,-J550)</f>
        <v>2000</v>
      </c>
      <c r="L550" s="15" t="s">
        <v>129</v>
      </c>
      <c r="M550" s="44">
        <f>SUMIFS('Saldos Iniciales'!$D$2:$D$38,'Saldos Iniciales'!$A$2:$A$38,C550,'Saldos Iniciales'!$B$2:$B$38,D550)+SUMIFS($K$1:$K$892,$C$1:$C$892,C550,$D$1:$D$892,D550,$B$1:$B$892,"&lt;="&amp;B550)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>IF(F551="Ingreso",J551,-J551)</f>
        <v>-938</v>
      </c>
      <c r="L551" s="15" t="s">
        <v>129</v>
      </c>
      <c r="M551" s="44">
        <f>SUMIFS('Saldos Iniciales'!$D$2:$D$38,'Saldos Iniciales'!$A$2:$A$38,C551,'Saldos Iniciales'!$B$2:$B$38,D551)+SUMIFS($K$1:$K$892,$C$1:$C$892,C551,$D$1:$D$892,D551,$B$1:$B$892,"&lt;="&amp;B551)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>IF(F552="Ingreso",J552,-J552)</f>
        <v>-92.41</v>
      </c>
      <c r="L552" s="15" t="s">
        <v>129</v>
      </c>
      <c r="M552" s="44">
        <f>SUMIFS('Saldos Iniciales'!$D$2:$D$38,'Saldos Iniciales'!$A$2:$A$38,C552,'Saldos Iniciales'!$B$2:$B$38,D552)+SUMIFS($K$1:$K$892,$C$1:$C$892,C552,$D$1:$D$892,D552,$B$1:$B$892,"&lt;="&amp;B552)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>IF(F553="Ingreso",J553,-J553)</f>
        <v>-13.98</v>
      </c>
      <c r="L553" s="15" t="s">
        <v>129</v>
      </c>
      <c r="M553" s="44">
        <f>SUMIFS('Saldos Iniciales'!$D$2:$D$38,'Saldos Iniciales'!$A$2:$A$38,C553,'Saldos Iniciales'!$B$2:$B$38,D553)+SUMIFS($K$1:$K$892,$C$1:$C$892,C553,$D$1:$D$892,D553,$B$1:$B$892,"&lt;="&amp;B553)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>IF(F554="Ingreso",J554,-J554)</f>
        <v>250000</v>
      </c>
      <c r="L554" s="15" t="s">
        <v>129</v>
      </c>
      <c r="M554" s="44">
        <f>SUMIFS('Saldos Iniciales'!$D$2:$D$38,'Saldos Iniciales'!$A$2:$A$38,C554,'Saldos Iniciales'!$B$2:$B$38,D554)+SUMIFS($K$1:$K$892,$C$1:$C$892,C554,$D$1:$D$892,D554,$B$1:$B$892,"&lt;="&amp;B554)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>IF(F555="Ingreso",J555,-J555)</f>
        <v>-2366.67</v>
      </c>
      <c r="L555" s="15" t="s">
        <v>129</v>
      </c>
      <c r="M555" s="44">
        <f>SUMIFS('Saldos Iniciales'!$D$2:$D$38,'Saldos Iniciales'!$A$2:$A$38,C555,'Saldos Iniciales'!$B$2:$B$38,D555)+SUMIFS($K$1:$K$892,$C$1:$C$892,C555,$D$1:$D$892,D555,$B$1:$B$892,"&lt;="&amp;B555)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>IF(F556="Ingreso",J556,-J556)</f>
        <v>-2916.67</v>
      </c>
      <c r="L556" s="15" t="s">
        <v>129</v>
      </c>
      <c r="M556" s="44">
        <f>SUMIFS('Saldos Iniciales'!$D$2:$D$38,'Saldos Iniciales'!$A$2:$A$38,C556,'Saldos Iniciales'!$B$2:$B$38,D556)+SUMIFS($K$1:$K$892,$C$1:$C$892,C556,$D$1:$D$892,D556,$B$1:$B$892,"&lt;="&amp;B556)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>IF(F557="Ingreso",J557,-J557)</f>
        <v>-3616.67</v>
      </c>
      <c r="L557" s="15" t="s">
        <v>129</v>
      </c>
      <c r="M557" s="44">
        <f>SUMIFS('Saldos Iniciales'!$D$2:$D$38,'Saldos Iniciales'!$A$2:$A$38,C557,'Saldos Iniciales'!$B$2:$B$38,D557)+SUMIFS($K$1:$K$892,$C$1:$C$892,C557,$D$1:$D$892,D557,$B$1:$B$892,"&lt;="&amp;B557)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>IF(F558="Ingreso",J558,-J558)</f>
        <v>-10266.67</v>
      </c>
      <c r="L558" s="15" t="s">
        <v>129</v>
      </c>
      <c r="M558" s="44">
        <f>SUMIFS('Saldos Iniciales'!$D$2:$D$38,'Saldos Iniciales'!$A$2:$A$38,C558,'Saldos Iniciales'!$B$2:$B$38,D558)+SUMIFS($K$1:$K$892,$C$1:$C$892,C558,$D$1:$D$892,D558,$B$1:$B$892,"&lt;="&amp;B558)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>IF(F559="Ingreso",J559,-J559)</f>
        <v>-11666.67</v>
      </c>
      <c r="L559" s="15" t="s">
        <v>129</v>
      </c>
      <c r="M559" s="44">
        <f>SUMIFS('Saldos Iniciales'!$D$2:$D$38,'Saldos Iniciales'!$A$2:$A$38,C559,'Saldos Iniciales'!$B$2:$B$38,D559)+SUMIFS($K$1:$K$892,$C$1:$C$892,C559,$D$1:$D$892,D559,$B$1:$B$892,"&lt;="&amp;B559)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>IF(F560="Ingreso",J560,-J560)</f>
        <v>-22166.67</v>
      </c>
      <c r="L560" s="15" t="s">
        <v>129</v>
      </c>
      <c r="M560" s="44">
        <f>SUMIFS('Saldos Iniciales'!$D$2:$D$38,'Saldos Iniciales'!$A$2:$A$38,C560,'Saldos Iniciales'!$B$2:$B$38,D560)+SUMIFS($K$1:$K$892,$C$1:$C$892,C560,$D$1:$D$892,D560,$B$1:$B$892,"&lt;="&amp;B560)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>IF(F561="Ingreso",J561,-J561)</f>
        <v>-23333.33</v>
      </c>
      <c r="L561" s="15" t="s">
        <v>129</v>
      </c>
      <c r="M561" s="44">
        <f>SUMIFS('Saldos Iniciales'!$D$2:$D$38,'Saldos Iniciales'!$A$2:$A$38,C561,'Saldos Iniciales'!$B$2:$B$38,D561)+SUMIFS($K$1:$K$892,$C$1:$C$892,C561,$D$1:$D$892,D561,$B$1:$B$892,"&lt;="&amp;B561)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Iniciales'!$B$2:$B$38,D562)+SUMIFS($K$1:$K$892,$C$1:$C$892,C562,$D$1:$D$892,D562,$B$1:$B$892,"&lt;="&amp;B562)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>IF(F563="Ingreso",J563,-J563)</f>
        <v>-30000</v>
      </c>
      <c r="L563" s="15" t="s">
        <v>129</v>
      </c>
      <c r="M563" s="44">
        <f>SUMIFS('Saldos Iniciales'!$D$2:$D$38,'Saldos Iniciales'!$A$2:$A$38,C563,'Saldos Iniciales'!$B$2:$B$38,D563)+SUMIFS($K$1:$K$892,$C$1:$C$892,C563,$D$1:$D$892,D563,$B$1:$B$892,"&lt;="&amp;B563)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>IF(F564="Ingreso",J564,-J564)</f>
        <v>-70000</v>
      </c>
      <c r="L564" s="15" t="s">
        <v>129</v>
      </c>
      <c r="M564" s="44">
        <f>SUMIFS('Saldos Iniciales'!$D$2:$D$38,'Saldos Iniciales'!$A$2:$A$38,C564,'Saldos Iniciales'!$B$2:$B$38,D564)+SUMIFS($K$1:$K$892,$C$1:$C$892,C564,$D$1:$D$892,D564,$B$1:$B$892,"&lt;="&amp;B564)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Iniciales'!$D$2:$D$38,'Saldos Iniciales'!$A$2:$A$38,C565,'Saldos Iniciales'!$B$2:$B$38,D565)+SUMIFS($K$1:$K$892,$C$1:$C$892,C565,$D$1:$D$892,D565,$B$1:$B$892,"&lt;="&amp;B565)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Iniciales'!$D$2:$D$38,'Saldos Iniciales'!$A$2:$A$38,C566,'Saldos Iniciales'!$B$2:$B$38,D566)+SUMIFS($K$1:$K$892,$C$1:$C$892,C566,$D$1:$D$892,D566,$B$1:$B$892,"&lt;="&amp;B566)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>IF(F567="Ingreso",J567,-J567)</f>
        <v>-100000</v>
      </c>
      <c r="L567" s="15" t="s">
        <v>129</v>
      </c>
      <c r="M567" s="44">
        <f>SUMIFS('Saldos Iniciales'!$D$2:$D$38,'Saldos Iniciales'!$A$2:$A$38,C567,'Saldos Iniciales'!$B$2:$B$38,D567)+SUMIFS($K$1:$K$892,$C$1:$C$892,C567,$D$1:$D$892,D567,$B$1:$B$892,"&lt;="&amp;B567)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>IF(F568="Ingreso",J568,-J568)</f>
        <v>-26250</v>
      </c>
      <c r="L568" s="15" t="s">
        <v>129</v>
      </c>
      <c r="M568" s="44">
        <f>SUMIFS('Saldos Iniciales'!$D$2:$D$38,'Saldos Iniciales'!$A$2:$A$38,C568,'Saldos Iniciales'!$B$2:$B$38,D568)+SUMIFS($K$1:$K$892,$C$1:$C$892,C568,$D$1:$D$892,D568,$B$1:$B$892,"&lt;="&amp;B568)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>IF(F569="Ingreso",J569,-J569)</f>
        <v>-49583.34</v>
      </c>
      <c r="L569" s="15" t="s">
        <v>129</v>
      </c>
      <c r="M569" s="44">
        <f>SUMIFS('Saldos Iniciales'!$D$2:$D$38,'Saldos Iniciales'!$A$2:$A$38,C569,'Saldos Iniciales'!$B$2:$B$38,D569)+SUMIFS($K$1:$K$892,$C$1:$C$892,C569,$D$1:$D$892,D569,$B$1:$B$892,"&lt;="&amp;B569)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>IF(F570="Ingreso",J570,-J570)</f>
        <v>-100000</v>
      </c>
      <c r="L570" s="15" t="s">
        <v>129</v>
      </c>
      <c r="M570" s="44">
        <f>SUMIFS('Saldos Iniciales'!$D$2:$D$38,'Saldos Iniciales'!$A$2:$A$38,C570,'Saldos Iniciales'!$B$2:$B$38,D570)+SUMIFS($K$1:$K$892,$C$1:$C$892,C570,$D$1:$D$892,D570,$B$1:$B$892,"&lt;="&amp;B570)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>IF(F571="Ingreso",J571,-J571)</f>
        <v>-2000</v>
      </c>
      <c r="L571" s="15" t="s">
        <v>129</v>
      </c>
      <c r="M571" s="44">
        <f>SUMIFS('Saldos Iniciales'!$D$2:$D$38,'Saldos Iniciales'!$A$2:$A$38,C571,'Saldos Iniciales'!$B$2:$B$38,D571)+SUMIFS($K$1:$K$892,$C$1:$C$892,C571,$D$1:$D$892,D571,$B$1:$B$892,"&lt;="&amp;B571)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>IF(F572="Ingreso",J572,-J572)</f>
        <v>-24</v>
      </c>
      <c r="L572" s="15" t="s">
        <v>129</v>
      </c>
      <c r="M572" s="44">
        <f>SUMIFS('Saldos Iniciales'!$D$2:$D$38,'Saldos Iniciales'!$A$2:$A$38,C572,'Saldos Iniciales'!$B$2:$B$38,D572)+SUMIFS($K$1:$K$892,$C$1:$C$892,C572,$D$1:$D$892,D572,$B$1:$B$892,"&lt;="&amp;B572)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>IF(F573="Ingreso",J573,-J573)</f>
        <v>-2300.0300000000002</v>
      </c>
      <c r="L573" s="15" t="s">
        <v>129</v>
      </c>
      <c r="M573" s="44">
        <f>SUMIFS('Saldos Iniciales'!$D$2:$D$38,'Saldos Iniciales'!$A$2:$A$38,C573,'Saldos Iniciales'!$B$2:$B$38,D573)+SUMIFS($K$1:$K$892,$C$1:$C$892,C573,$D$1:$D$892,D573,$B$1:$B$892,"&lt;="&amp;B573)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>IF(F574="Ingreso",J574,-J574)</f>
        <v>-21.73</v>
      </c>
      <c r="L574" s="15" t="s">
        <v>129</v>
      </c>
      <c r="M574" s="44">
        <f>SUMIFS('Saldos Iniciales'!$D$2:$D$38,'Saldos Iniciales'!$A$2:$A$38,C574,'Saldos Iniciales'!$B$2:$B$38,D574)+SUMIFS($K$1:$K$892,$C$1:$C$892,C574,$D$1:$D$892,D574,$B$1:$B$892,"&lt;="&amp;B574)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>IF(F575="Ingreso",J575,-J575)</f>
        <v>70000</v>
      </c>
      <c r="L575" s="15" t="s">
        <v>129</v>
      </c>
      <c r="M575" s="44">
        <f>SUMIFS('Saldos Iniciales'!$D$2:$D$38,'Saldos Iniciales'!$A$2:$A$38,C575,'Saldos Iniciales'!$B$2:$B$38,D575)+SUMIFS($K$1:$K$892,$C$1:$C$892,C575,$D$1:$D$892,D575,$B$1:$B$892,"&lt;="&amp;B575)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>IF(F576="Ingreso",J576,-J576)</f>
        <v>-5402.47</v>
      </c>
      <c r="L576" s="15" t="s">
        <v>129</v>
      </c>
      <c r="M576" s="44">
        <f>SUMIFS('Saldos Iniciales'!$D$2:$D$38,'Saldos Iniciales'!$A$2:$A$38,C576,'Saldos Iniciales'!$B$2:$B$38,D576)+SUMIFS($K$1:$K$892,$C$1:$C$892,C576,$D$1:$D$892,D576,$B$1:$B$892,"&lt;="&amp;B576)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>IF(F577="Ingreso",J577,-J577)</f>
        <v>-2383.48</v>
      </c>
      <c r="L577" s="15" t="s">
        <v>129</v>
      </c>
      <c r="M577" s="44">
        <f>SUMIFS('Saldos Iniciales'!$D$2:$D$38,'Saldos Iniciales'!$A$2:$A$38,C577,'Saldos Iniciales'!$B$2:$B$38,D577)+SUMIFS($K$1:$K$892,$C$1:$C$892,C577,$D$1:$D$892,D577,$B$1:$B$892,"&lt;="&amp;B577)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>IF(F578="Ingreso",J578,-J578)</f>
        <v>-737.04</v>
      </c>
      <c r="L578" s="15" t="s">
        <v>129</v>
      </c>
      <c r="M578" s="44">
        <f>SUMIFS('Saldos Iniciales'!$D$2:$D$38,'Saldos Iniciales'!$A$2:$A$38,C578,'Saldos Iniciales'!$B$2:$B$38,D578)+SUMIFS($K$1:$K$892,$C$1:$C$892,C578,$D$1:$D$892,D578,$B$1:$B$892,"&lt;="&amp;B578)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>IF(F579="Ingreso",J579,-J579)</f>
        <v>-644.70000000000005</v>
      </c>
      <c r="L579" s="15" t="s">
        <v>129</v>
      </c>
      <c r="M579" s="44">
        <f>SUMIFS('Saldos Iniciales'!$D$2:$D$38,'Saldos Iniciales'!$A$2:$A$38,C579,'Saldos Iniciales'!$B$2:$B$38,D579)+SUMIFS($K$1:$K$892,$C$1:$C$892,C579,$D$1:$D$892,D579,$B$1:$B$892,"&lt;="&amp;B579)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>IF(F580="Ingreso",J580,-J580)</f>
        <v>-166.66</v>
      </c>
      <c r="L580" s="15" t="s">
        <v>129</v>
      </c>
      <c r="M580" s="44">
        <f>SUMIFS('Saldos Iniciales'!$D$2:$D$38,'Saldos Iniciales'!$A$2:$A$38,C580,'Saldos Iniciales'!$B$2:$B$38,D580)+SUMIFS($K$1:$K$892,$C$1:$C$892,C580,$D$1:$D$892,D580,$B$1:$B$892,"&lt;="&amp;B580)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>IF(F581="Ingreso",J581,-J581)</f>
        <v>-2133.14</v>
      </c>
      <c r="L581" s="15" t="s">
        <v>129</v>
      </c>
      <c r="M581" s="44">
        <f>SUMIFS('Saldos Iniciales'!$D$2:$D$38,'Saldos Iniciales'!$A$2:$A$38,C581,'Saldos Iniciales'!$B$2:$B$38,D581)+SUMIFS($K$1:$K$892,$C$1:$C$892,C581,$D$1:$D$892,D581,$B$1:$B$892,"&lt;="&amp;B581)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>IF(F582="Ingreso",J582,-J582)</f>
        <v>-205.5</v>
      </c>
      <c r="L582" s="15" t="s">
        <v>129</v>
      </c>
      <c r="M582" s="44">
        <f>SUMIFS('Saldos Iniciales'!$D$2:$D$38,'Saldos Iniciales'!$A$2:$A$38,C582,'Saldos Iniciales'!$B$2:$B$38,D582)+SUMIFS($K$1:$K$892,$C$1:$C$892,C582,$D$1:$D$892,D582,$B$1:$B$892,"&lt;="&amp;B582)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>IF(F583="Ingreso",J583,-J583)</f>
        <v>-146.13</v>
      </c>
      <c r="L583" s="15" t="s">
        <v>129</v>
      </c>
      <c r="M583" s="44">
        <f>SUMIFS('Saldos Iniciales'!$D$2:$D$38,'Saldos Iniciales'!$A$2:$A$38,C583,'Saldos Iniciales'!$B$2:$B$38,D583)+SUMIFS($K$1:$K$892,$C$1:$C$892,C583,$D$1:$D$892,D583,$B$1:$B$892,"&lt;="&amp;B583)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>IF(F584="Ingreso",J584,-J584)</f>
        <v>32950.239999999998</v>
      </c>
      <c r="L584" s="15" t="s">
        <v>129</v>
      </c>
      <c r="M584" s="44">
        <f>SUMIFS('Saldos Iniciales'!$D$2:$D$38,'Saldos Iniciales'!$A$2:$A$38,C584,'Saldos Iniciales'!$B$2:$B$38,D584)+SUMIFS($K$1:$K$892,$C$1:$C$892,C584,$D$1:$D$892,D584,$B$1:$B$892,"&lt;="&amp;B584)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>IF(F585="Ingreso",J585,-J585)</f>
        <v>-60000</v>
      </c>
      <c r="L585" s="15" t="s">
        <v>129</v>
      </c>
      <c r="M585" s="44">
        <f>SUMIFS('Saldos Iniciales'!$D$2:$D$38,'Saldos Iniciales'!$A$2:$A$38,C585,'Saldos Iniciales'!$B$2:$B$38,D585)+SUMIFS($K$1:$K$892,$C$1:$C$892,C585,$D$1:$D$892,D585,$B$1:$B$892,"&lt;="&amp;B585)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>IF(F586="Ingreso",J586,-J586)</f>
        <v>-15000</v>
      </c>
      <c r="L586" s="15" t="s">
        <v>129</v>
      </c>
      <c r="M586" s="44">
        <f>SUMIFS('Saldos Iniciales'!$D$2:$D$38,'Saldos Iniciales'!$A$2:$A$38,C586,'Saldos Iniciales'!$B$2:$B$38,D586)+SUMIFS($K$1:$K$892,$C$1:$C$892,C586,$D$1:$D$892,D586,$B$1:$B$892,"&lt;="&amp;B586)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>IF(F587="Ingreso",J587,-J587)</f>
        <v>5000</v>
      </c>
      <c r="L587" s="15" t="s">
        <v>129</v>
      </c>
      <c r="M587" s="44">
        <f>SUMIFS('Saldos Iniciales'!$D$2:$D$38,'Saldos Iniciales'!$A$2:$A$38,C587,'Saldos Iniciales'!$B$2:$B$38,D587)+SUMIFS($K$1:$K$892,$C$1:$C$892,C587,$D$1:$D$892,D587,$B$1:$B$892,"&lt;="&amp;B587)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>IF(F588="Ingreso",J588,-J588)</f>
        <v>-205.5</v>
      </c>
      <c r="L588" s="15" t="s">
        <v>129</v>
      </c>
      <c r="M588" s="44">
        <f>SUMIFS('Saldos Iniciales'!$D$2:$D$38,'Saldos Iniciales'!$A$2:$A$38,C588,'Saldos Iniciales'!$B$2:$B$38,D588)+SUMIFS($K$1:$K$892,$C$1:$C$892,C588,$D$1:$D$892,D588,$B$1:$B$892,"&lt;="&amp;B588)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>IF(F589="Ingreso",J589,-J589)</f>
        <v>-84</v>
      </c>
      <c r="L589" s="15" t="s">
        <v>129</v>
      </c>
      <c r="M589" s="44">
        <f>SUMIFS('Saldos Iniciales'!$D$2:$D$38,'Saldos Iniciales'!$A$2:$A$38,C589,'Saldos Iniciales'!$B$2:$B$38,D589)+SUMIFS($K$1:$K$892,$C$1:$C$892,C589,$D$1:$D$892,D589,$B$1:$B$892,"&lt;="&amp;B589)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>IF(F590="Ingreso",J590,-J590)</f>
        <v>-10000</v>
      </c>
      <c r="L590" s="15" t="s">
        <v>129</v>
      </c>
      <c r="M590" s="44">
        <f>SUMIFS('Saldos Iniciales'!$D$2:$D$38,'Saldos Iniciales'!$A$2:$A$38,C590,'Saldos Iniciales'!$B$2:$B$38,D590)+SUMIFS($K$1:$K$892,$C$1:$C$892,C590,$D$1:$D$892,D590,$B$1:$B$892,"&lt;="&amp;B590)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>IF(F591="Ingreso",J591,-J591)</f>
        <v>-10833.33</v>
      </c>
      <c r="L591" s="15" t="s">
        <v>129</v>
      </c>
      <c r="M591" s="44">
        <f>SUMIFS('Saldos Iniciales'!$D$2:$D$38,'Saldos Iniciales'!$A$2:$A$38,C591,'Saldos Iniciales'!$B$2:$B$38,D591)+SUMIFS($K$1:$K$892,$C$1:$C$892,C591,$D$1:$D$892,D591,$B$1:$B$892,"&lt;="&amp;B591)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>IF(F592="Ingreso",J592,-J592)</f>
        <v>-40000</v>
      </c>
      <c r="L592" s="15" t="s">
        <v>129</v>
      </c>
      <c r="M592" s="44">
        <f>SUMIFS('Saldos Iniciales'!$D$2:$D$38,'Saldos Iniciales'!$A$2:$A$38,C592,'Saldos Iniciales'!$B$2:$B$38,D592)+SUMIFS($K$1:$K$892,$C$1:$C$892,C592,$D$1:$D$892,D592,$B$1:$B$892,"&lt;="&amp;B592)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>IF(F593="Ingreso",J593,-J593)</f>
        <v>-50000</v>
      </c>
      <c r="L593" s="15" t="s">
        <v>129</v>
      </c>
      <c r="M593" s="44">
        <f>SUMIFS('Saldos Iniciales'!$D$2:$D$38,'Saldos Iniciales'!$A$2:$A$38,C593,'Saldos Iniciales'!$B$2:$B$38,D593)+SUMIFS($K$1:$K$892,$C$1:$C$892,C593,$D$1:$D$892,D593,$B$1:$B$892,"&lt;="&amp;B593)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>IF(F594="Ingreso",J594,-J594)</f>
        <v>-60000</v>
      </c>
      <c r="L594" s="15" t="s">
        <v>129</v>
      </c>
      <c r="M594" s="44">
        <f>SUMIFS('Saldos Iniciales'!$D$2:$D$38,'Saldos Iniciales'!$A$2:$A$38,C594,'Saldos Iniciales'!$B$2:$B$38,D594)+SUMIFS($K$1:$K$892,$C$1:$C$892,C594,$D$1:$D$892,D594,$B$1:$B$892,"&lt;="&amp;B594)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>IF(F595="Ingreso",J595,-J595)</f>
        <v>-68750</v>
      </c>
      <c r="L595" s="15" t="s">
        <v>129</v>
      </c>
      <c r="M595" s="44">
        <f>SUMIFS('Saldos Iniciales'!$D$2:$D$38,'Saldos Iniciales'!$A$2:$A$38,C595,'Saldos Iniciales'!$B$2:$B$38,D595)+SUMIFS($K$1:$K$892,$C$1:$C$892,C595,$D$1:$D$892,D595,$B$1:$B$892,"&lt;="&amp;B595)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>IF(F596="Ingreso",J596,-J596)</f>
        <v>-100000</v>
      </c>
      <c r="L596" s="15" t="s">
        <v>129</v>
      </c>
      <c r="M596" s="44">
        <f>SUMIFS('Saldos Iniciales'!$D$2:$D$38,'Saldos Iniciales'!$A$2:$A$38,C596,'Saldos Iniciales'!$B$2:$B$38,D596)+SUMIFS($K$1:$K$892,$C$1:$C$892,C596,$D$1:$D$892,D596,$B$1:$B$892,"&lt;="&amp;B596)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-500000</v>
      </c>
      <c r="L597" s="15" t="s">
        <v>129</v>
      </c>
      <c r="M597" s="44">
        <f>SUMIFS('Saldos Iniciales'!$D$2:$D$38,'Saldos Iniciales'!$A$2:$A$38,C597,'Saldos Iniciales'!$B$2:$B$38,D597)+SUMIFS($K$1:$K$892,$C$1:$C$892,C597,$D$1:$D$892,D597,$B$1:$B$892,"&lt;="&amp;B597)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Iniciales'!$B$2:$B$38,D598)+SUMIFS($K$1:$K$892,$C$1:$C$892,C598,$D$1:$D$892,D598,$B$1:$B$892,"&lt;="&amp;B598)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>IF(F599="Ingreso",J599,-J599)</f>
        <v>-4939.9799999999996</v>
      </c>
      <c r="L599" s="15" t="s">
        <v>129</v>
      </c>
      <c r="M599" s="44">
        <f>SUMIFS('Saldos Iniciales'!$D$2:$D$38,'Saldos Iniciales'!$A$2:$A$38,C599,'Saldos Iniciales'!$B$2:$B$38,D599)+SUMIFS($K$1:$K$892,$C$1:$C$892,C599,$D$1:$D$892,D599,$B$1:$B$892,"&lt;="&amp;B599)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>IF(F600="Ingreso",J600,-J600)</f>
        <v>-8666.67</v>
      </c>
      <c r="L600" s="15" t="s">
        <v>129</v>
      </c>
      <c r="M600" s="44">
        <f>SUMIFS('Saldos Iniciales'!$D$2:$D$38,'Saldos Iniciales'!$A$2:$A$38,C600,'Saldos Iniciales'!$B$2:$B$38,D600)+SUMIFS($K$1:$K$892,$C$1:$C$892,C600,$D$1:$D$892,D600,$B$1:$B$892,"&lt;="&amp;B600)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>IF(F601="Ingreso",J601,-J601)</f>
        <v>-10753.2</v>
      </c>
      <c r="L601" s="15" t="s">
        <v>129</v>
      </c>
      <c r="M601" s="44">
        <f>SUMIFS('Saldos Iniciales'!$D$2:$D$38,'Saldos Iniciales'!$A$2:$A$38,C601,'Saldos Iniciales'!$B$2:$B$38,D601)+SUMIFS($K$1:$K$892,$C$1:$C$892,C601,$D$1:$D$892,D601,$B$1:$B$892,"&lt;="&amp;B601)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>IF(F602="Ingreso",J602,-J602)</f>
        <v>-13300.05</v>
      </c>
      <c r="L602" s="15" t="s">
        <v>129</v>
      </c>
      <c r="M602" s="44">
        <f>SUMIFS('Saldos Iniciales'!$D$2:$D$38,'Saldos Iniciales'!$A$2:$A$38,C602,'Saldos Iniciales'!$B$2:$B$38,D602)+SUMIFS($K$1:$K$892,$C$1:$C$892,C602,$D$1:$D$892,D602,$B$1:$B$892,"&lt;="&amp;B602)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>IF(F603="Ingreso",J603,-J603)</f>
        <v>-28686.82</v>
      </c>
      <c r="L603" s="15" t="s">
        <v>129</v>
      </c>
      <c r="M603" s="44">
        <f>SUMIFS('Saldos Iniciales'!$D$2:$D$38,'Saldos Iniciales'!$A$2:$A$38,C603,'Saldos Iniciales'!$B$2:$B$38,D603)+SUMIFS($K$1:$K$892,$C$1:$C$892,C603,$D$1:$D$892,D603,$B$1:$B$892,"&lt;="&amp;B603)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>IF(F604="Ingreso",J604,-J604)</f>
        <v>-45833.33</v>
      </c>
      <c r="L604" s="15" t="s">
        <v>129</v>
      </c>
      <c r="M604" s="44">
        <f>SUMIFS('Saldos Iniciales'!$D$2:$D$38,'Saldos Iniciales'!$A$2:$A$38,C604,'Saldos Iniciales'!$B$2:$B$38,D604)+SUMIFS($K$1:$K$892,$C$1:$C$892,C604,$D$1:$D$892,D604,$B$1:$B$892,"&lt;="&amp;B604)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>IF(F605="Ingreso",J605,-J605)</f>
        <v>-109199.95</v>
      </c>
      <c r="L605" s="15" t="s">
        <v>129</v>
      </c>
      <c r="M605" s="44">
        <f>SUMIFS('Saldos Iniciales'!$D$2:$D$38,'Saldos Iniciales'!$A$2:$A$38,C605,'Saldos Iniciales'!$B$2:$B$38,D605)+SUMIFS($K$1:$K$892,$C$1:$C$892,C605,$D$1:$D$892,D605,$B$1:$B$892,"&lt;="&amp;B605)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>IF(F606="Ingreso",J606,-J606)</f>
        <v>-674.06</v>
      </c>
      <c r="L606" s="15" t="s">
        <v>129</v>
      </c>
      <c r="M606" s="44">
        <f>SUMIFS('Saldos Iniciales'!$D$2:$D$38,'Saldos Iniciales'!$A$2:$A$38,C606,'Saldos Iniciales'!$B$2:$B$38,D606)+SUMIFS($K$1:$K$892,$C$1:$C$892,C606,$D$1:$D$892,D606,$B$1:$B$892,"&lt;="&amp;B606)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>IF(F607="Ingreso",J607,-J607)</f>
        <v>-15</v>
      </c>
      <c r="L607" s="15" t="s">
        <v>129</v>
      </c>
      <c r="M607" s="44">
        <f>SUMIFS('Saldos Iniciales'!$D$2:$D$38,'Saldos Iniciales'!$A$2:$A$38,C607,'Saldos Iniciales'!$B$2:$B$38,D607)+SUMIFS($K$1:$K$892,$C$1:$C$892,C607,$D$1:$D$892,D607,$B$1:$B$892,"&lt;="&amp;B607)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>IF(F608="Ingreso",J608,-J608)</f>
        <v>-2500</v>
      </c>
      <c r="L608" s="15" t="s">
        <v>129</v>
      </c>
      <c r="M608" s="44">
        <f>SUMIFS('Saldos Iniciales'!$D$2:$D$38,'Saldos Iniciales'!$A$2:$A$38,C608,'Saldos Iniciales'!$B$2:$B$38,D608)+SUMIFS($K$1:$K$892,$C$1:$C$892,C608,$D$1:$D$892,D608,$B$1:$B$892,"&lt;="&amp;B608)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>IF(F609="Ingreso",J609,-J609)</f>
        <v>-15</v>
      </c>
      <c r="L609" s="15" t="s">
        <v>129</v>
      </c>
      <c r="M609" s="44">
        <f>SUMIFS('Saldos Iniciales'!$D$2:$D$38,'Saldos Iniciales'!$A$2:$A$38,C609,'Saldos Iniciales'!$B$2:$B$38,D609)+SUMIFS($K$1:$K$892,$C$1:$C$892,C609,$D$1:$D$892,D609,$B$1:$B$892,"&lt;="&amp;B609)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>IF(F610="Ingreso",J610,-J610)</f>
        <v>-5000</v>
      </c>
      <c r="L610" s="15" t="s">
        <v>129</v>
      </c>
      <c r="M610" s="44">
        <f>SUMIFS('Saldos Iniciales'!$D$2:$D$38,'Saldos Iniciales'!$A$2:$A$38,C610,'Saldos Iniciales'!$B$2:$B$38,D610)+SUMIFS($K$1:$K$892,$C$1:$C$892,C610,$D$1:$D$892,D610,$B$1:$B$892,"&lt;="&amp;B610)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>IF(F611="Ingreso",J611,-J611)</f>
        <v>39989.699999999997</v>
      </c>
      <c r="L611" s="15" t="s">
        <v>129</v>
      </c>
      <c r="M611" s="44">
        <f>SUMIFS('Saldos Iniciales'!$D$2:$D$38,'Saldos Iniciales'!$A$2:$A$38,C611,'Saldos Iniciales'!$B$2:$B$38,D611)+SUMIFS($K$1:$K$892,$C$1:$C$892,C611,$D$1:$D$892,D611,$B$1:$B$892,"&lt;="&amp;B611)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>IF(F612="Ingreso",J612,-J612)</f>
        <v>-5</v>
      </c>
      <c r="L612" s="15" t="s">
        <v>129</v>
      </c>
      <c r="M612" s="44">
        <f>SUMIFS('Saldos Iniciales'!$D$2:$D$38,'Saldos Iniciales'!$A$2:$A$38,C612,'Saldos Iniciales'!$B$2:$B$38,D612)+SUMIFS($K$1:$K$892,$C$1:$C$892,C612,$D$1:$D$892,D612,$B$1:$B$892,"&lt;="&amp;B612)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>IF(F613="Ingreso",J613,-J613)</f>
        <v>15000</v>
      </c>
      <c r="L613" s="15" t="s">
        <v>129</v>
      </c>
      <c r="M613" s="44">
        <f>SUMIFS('Saldos Iniciales'!$D$2:$D$38,'Saldos Iniciales'!$A$2:$A$38,C613,'Saldos Iniciales'!$B$2:$B$38,D613)+SUMIFS($K$1:$K$892,$C$1:$C$892,C613,$D$1:$D$892,D613,$B$1:$B$892,"&lt;="&amp;B613)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>IF(F614="Ingreso",J614,-J614)</f>
        <v>-185.5</v>
      </c>
      <c r="L614" s="15" t="s">
        <v>129</v>
      </c>
      <c r="M614" s="44">
        <f>SUMIFS('Saldos Iniciales'!$D$2:$D$38,'Saldos Iniciales'!$A$2:$A$38,C614,'Saldos Iniciales'!$B$2:$B$38,D614)+SUMIFS($K$1:$K$892,$C$1:$C$892,C614,$D$1:$D$892,D614,$B$1:$B$892,"&lt;="&amp;B614)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>IF(F615="Ingreso",J615,-J615)</f>
        <v>-108.08</v>
      </c>
      <c r="L615" s="15" t="s">
        <v>129</v>
      </c>
      <c r="M615" s="44">
        <f>SUMIFS('Saldos Iniciales'!$D$2:$D$38,'Saldos Iniciales'!$A$2:$A$38,C615,'Saldos Iniciales'!$B$2:$B$38,D615)+SUMIFS($K$1:$K$892,$C$1:$C$892,C615,$D$1:$D$892,D615,$B$1:$B$892,"&lt;="&amp;B615)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>IF(F616="Ingreso",J616,-J616)</f>
        <v>-236.32</v>
      </c>
      <c r="L616" s="15" t="s">
        <v>129</v>
      </c>
      <c r="M616" s="44">
        <f>SUMIFS('Saldos Iniciales'!$D$2:$D$38,'Saldos Iniciales'!$A$2:$A$38,C616,'Saldos Iniciales'!$B$2:$B$38,D616)+SUMIFS($K$1:$K$892,$C$1:$C$892,C616,$D$1:$D$892,D616,$B$1:$B$892,"&lt;="&amp;B616)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>IF(F617="Ingreso",J617,-J617)</f>
        <v>-164.76</v>
      </c>
      <c r="L617" s="15" t="s">
        <v>129</v>
      </c>
      <c r="M617" s="44">
        <f>SUMIFS('Saldos Iniciales'!$D$2:$D$38,'Saldos Iniciales'!$A$2:$A$38,C617,'Saldos Iniciales'!$B$2:$B$38,D617)+SUMIFS($K$1:$K$892,$C$1:$C$892,C617,$D$1:$D$892,D617,$B$1:$B$892,"&lt;="&amp;B617)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>IF(F618="Ingreso",J618,-J618)</f>
        <v>350000</v>
      </c>
      <c r="L618" s="15" t="s">
        <v>129</v>
      </c>
      <c r="M618" s="44">
        <f>SUMIFS('Saldos Iniciales'!$D$2:$D$38,'Saldos Iniciales'!$A$2:$A$38,C618,'Saldos Iniciales'!$B$2:$B$38,D618)+SUMIFS($K$1:$K$892,$C$1:$C$892,C618,$D$1:$D$892,D618,$B$1:$B$892,"&lt;="&amp;B618)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>IF(F619="Ingreso",J619,-J619)</f>
        <v>4000</v>
      </c>
      <c r="L619" s="15" t="s">
        <v>129</v>
      </c>
      <c r="M619" s="44">
        <f>SUMIFS('Saldos Iniciales'!$D$2:$D$38,'Saldos Iniciales'!$A$2:$A$38,C619,'Saldos Iniciales'!$B$2:$B$38,D619)+SUMIFS($K$1:$K$892,$C$1:$C$892,C619,$D$1:$D$892,D619,$B$1:$B$892,"&lt;="&amp;B619)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>IF(F620="Ingreso",J620,-J620)</f>
        <v>-1969.07</v>
      </c>
      <c r="L620" s="15" t="s">
        <v>129</v>
      </c>
      <c r="M620" s="44">
        <f>SUMIFS('Saldos Iniciales'!$D$2:$D$38,'Saldos Iniciales'!$A$2:$A$38,C620,'Saldos Iniciales'!$B$2:$B$38,D620)+SUMIFS($K$1:$K$892,$C$1:$C$892,C620,$D$1:$D$892,D620,$B$1:$B$892,"&lt;="&amp;B620)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>IF(F621="Ingreso",J621,-J621)</f>
        <v>-145.56</v>
      </c>
      <c r="L621" s="15" t="s">
        <v>129</v>
      </c>
      <c r="M621" s="44">
        <f>SUMIFS('Saldos Iniciales'!$D$2:$D$38,'Saldos Iniciales'!$A$2:$A$38,C621,'Saldos Iniciales'!$B$2:$B$38,D621)+SUMIFS($K$1:$K$892,$C$1:$C$892,C621,$D$1:$D$892,D621,$B$1:$B$892,"&lt;="&amp;B621)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>IF(F622="Ingreso",J622,-J622)</f>
        <v>-132.26</v>
      </c>
      <c r="L622" s="15" t="s">
        <v>129</v>
      </c>
      <c r="M622" s="44">
        <f>SUMIFS('Saldos Iniciales'!$D$2:$D$38,'Saldos Iniciales'!$A$2:$A$38,C622,'Saldos Iniciales'!$B$2:$B$38,D622)+SUMIFS($K$1:$K$892,$C$1:$C$892,C622,$D$1:$D$892,D622,$B$1:$B$892,"&lt;="&amp;B622)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>IF(F623="Ingreso",J623,-J623)</f>
        <v>-1463.85</v>
      </c>
      <c r="L623" s="15" t="s">
        <v>129</v>
      </c>
      <c r="M623" s="44">
        <f>SUMIFS('Saldos Iniciales'!$D$2:$D$38,'Saldos Iniciales'!$A$2:$A$38,C623,'Saldos Iniciales'!$B$2:$B$38,D623)+SUMIFS($K$1:$K$892,$C$1:$C$892,C623,$D$1:$D$892,D623,$B$1:$B$892,"&lt;="&amp;B623)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>IF(F624="Ingreso",J624,-J624)</f>
        <v>-74.7</v>
      </c>
      <c r="L624" s="15" t="s">
        <v>129</v>
      </c>
      <c r="M624" s="44">
        <f>SUMIFS('Saldos Iniciales'!$D$2:$D$38,'Saldos Iniciales'!$A$2:$A$38,C624,'Saldos Iniciales'!$B$2:$B$38,D624)+SUMIFS($K$1:$K$892,$C$1:$C$892,C624,$D$1:$D$892,D624,$B$1:$B$892,"&lt;="&amp;B624)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>IF(F625="Ingreso",J625,-J625)</f>
        <v>-116.96</v>
      </c>
      <c r="L625" s="15" t="s">
        <v>129</v>
      </c>
      <c r="M625" s="44">
        <f>SUMIFS('Saldos Iniciales'!$D$2:$D$38,'Saldos Iniciales'!$A$2:$A$38,C625,'Saldos Iniciales'!$B$2:$B$38,D625)+SUMIFS($K$1:$K$892,$C$1:$C$892,C625,$D$1:$D$892,D625,$B$1:$B$892,"&lt;="&amp;B625)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Iniciales'!$B$2:$B$38,D626)+SUMIFS($K$1:$K$892,$C$1:$C$892,C626,$D$1:$D$892,D626,$B$1:$B$892,"&lt;="&amp;B626)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>IF(F627="Ingreso",J627,-J627)</f>
        <v>-81.56</v>
      </c>
      <c r="L627" s="15" t="s">
        <v>129</v>
      </c>
      <c r="M627" s="44">
        <f>SUMIFS('Saldos Iniciales'!$D$2:$D$38,'Saldos Iniciales'!$A$2:$A$38,C627,'Saldos Iniciales'!$B$2:$B$38,D627)+SUMIFS($K$1:$K$892,$C$1:$C$892,C627,$D$1:$D$892,D627,$B$1:$B$892,"&lt;="&amp;B627)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>IF(F628="Ingreso",J628,-J628)</f>
        <v>-76.06</v>
      </c>
      <c r="L628" s="15" t="s">
        <v>129</v>
      </c>
      <c r="M628" s="44">
        <f>SUMIFS('Saldos Iniciales'!$D$2:$D$38,'Saldos Iniciales'!$A$2:$A$38,C628,'Saldos Iniciales'!$B$2:$B$38,D628)+SUMIFS($K$1:$K$892,$C$1:$C$892,C628,$D$1:$D$892,D628,$B$1:$B$892,"&lt;="&amp;B628)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-10000</v>
      </c>
      <c r="L629" s="15" t="s">
        <v>129</v>
      </c>
      <c r="M629" s="44">
        <f>SUMIFS('Saldos Iniciales'!$D$2:$D$38,'Saldos Iniciales'!$A$2:$A$38,C629,'Saldos Iniciales'!$B$2:$B$38,D629)+SUMIFS($K$1:$K$892,$C$1:$C$892,C629,$D$1:$D$892,D629,$B$1:$B$892,"&lt;="&amp;B629)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10000</v>
      </c>
      <c r="L630" s="15" t="s">
        <v>129</v>
      </c>
      <c r="M630" s="44">
        <f>SUMIFS('Saldos Iniciales'!$D$2:$D$38,'Saldos Iniciales'!$A$2:$A$38,C630,'Saldos Iniciales'!$B$2:$B$38,D630)+SUMIFS($K$1:$K$892,$C$1:$C$892,C630,$D$1:$D$892,D630,$B$1:$B$892,"&lt;="&amp;B630)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-10000</v>
      </c>
      <c r="L631" s="15" t="s">
        <v>129</v>
      </c>
      <c r="M631" s="44">
        <f>SUMIFS('Saldos Iniciales'!$D$2:$D$38,'Saldos Iniciales'!$A$2:$A$38,C631,'Saldos Iniciales'!$B$2:$B$38,D631)+SUMIFS($K$1:$K$892,$C$1:$C$892,C631,$D$1:$D$892,D631,$B$1:$B$892,"&lt;="&amp;B631)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>IF(F632="Ingreso",J632,-J632)</f>
        <v>10000</v>
      </c>
      <c r="L632" s="15" t="s">
        <v>129</v>
      </c>
      <c r="M632" s="44">
        <f>SUMIFS('Saldos Iniciales'!$D$2:$D$38,'Saldos Iniciales'!$A$2:$A$38,C632,'Saldos Iniciales'!$B$2:$B$38,D632)+SUMIFS($K$1:$K$892,$C$1:$C$892,C632,$D$1:$D$892,D632,$B$1:$B$892,"&lt;="&amp;B632)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>IF(F633="Ingreso",J633,-J633)</f>
        <v>-4000</v>
      </c>
      <c r="L633" s="15" t="s">
        <v>129</v>
      </c>
      <c r="M633" s="44">
        <f>SUMIFS('Saldos Iniciales'!$D$2:$D$38,'Saldos Iniciales'!$A$2:$A$38,C633,'Saldos Iniciales'!$B$2:$B$38,D633)+SUMIFS($K$1:$K$892,$C$1:$C$892,C633,$D$1:$D$892,D633,$B$1:$B$892,"&lt;="&amp;B633)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>IF(F634="Ingreso",J634,-J634)</f>
        <v>-526.75</v>
      </c>
      <c r="L634" s="15" t="s">
        <v>129</v>
      </c>
      <c r="M634" s="44">
        <f>SUMIFS('Saldos Iniciales'!$D$2:$D$38,'Saldos Iniciales'!$A$2:$A$38,C634,'Saldos Iniciales'!$B$2:$B$38,D634)+SUMIFS($K$1:$K$892,$C$1:$C$892,C634,$D$1:$D$892,D634,$B$1:$B$892,"&lt;="&amp;B634)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>IF(F635="Ingreso",J635,-J635)</f>
        <v>-193.19</v>
      </c>
      <c r="L635" s="15" t="s">
        <v>129</v>
      </c>
      <c r="M635" s="44">
        <f>SUMIFS('Saldos Iniciales'!$D$2:$D$38,'Saldos Iniciales'!$A$2:$A$38,C635,'Saldos Iniciales'!$B$2:$B$38,D635)+SUMIFS($K$1:$K$892,$C$1:$C$892,C635,$D$1:$D$892,D635,$B$1:$B$892,"&lt;="&amp;B635)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>IF(F636="Ingreso",J636,-J636)</f>
        <v>17345.61</v>
      </c>
      <c r="L636" s="15" t="s">
        <v>129</v>
      </c>
      <c r="M636" s="44">
        <f>SUMIFS('Saldos Iniciales'!$D$2:$D$38,'Saldos Iniciales'!$A$2:$A$38,C636,'Saldos Iniciales'!$B$2:$B$38,D636)+SUMIFS($K$1:$K$892,$C$1:$C$892,C636,$D$1:$D$892,D636,$B$1:$B$892,"&lt;="&amp;B636)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>IF(F637="Ingreso",J637,-J637)</f>
        <v>5546.44</v>
      </c>
      <c r="L637" s="15" t="s">
        <v>129</v>
      </c>
      <c r="M637" s="44">
        <f>SUMIFS('Saldos Iniciales'!$D$2:$D$38,'Saldos Iniciales'!$A$2:$A$38,C637,'Saldos Iniciales'!$B$2:$B$38,D637)+SUMIFS($K$1:$K$892,$C$1:$C$892,C637,$D$1:$D$892,D637,$B$1:$B$892,"&lt;="&amp;B637)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>IF(F638="Ingreso",J638,-J638)</f>
        <v>442.33</v>
      </c>
      <c r="L638" s="15" t="s">
        <v>129</v>
      </c>
      <c r="M638" s="44">
        <f>SUMIFS('Saldos Iniciales'!$D$2:$D$38,'Saldos Iniciales'!$A$2:$A$38,C638,'Saldos Iniciales'!$B$2:$B$38,D638)+SUMIFS($K$1:$K$892,$C$1:$C$892,C638,$D$1:$D$892,D638,$B$1:$B$892,"&lt;="&amp;B638)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>IF(F639="Ingreso",J639,-J639)</f>
        <v>6974.11</v>
      </c>
      <c r="L639" s="15" t="s">
        <v>129</v>
      </c>
      <c r="M639" s="44">
        <f>SUMIFS('Saldos Iniciales'!$D$2:$D$38,'Saldos Iniciales'!$A$2:$A$38,C639,'Saldos Iniciales'!$B$2:$B$38,D639)+SUMIFS($K$1:$K$892,$C$1:$C$892,C639,$D$1:$D$892,D639,$B$1:$B$892,"&lt;="&amp;B639)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>IF(F640="Ingreso",J640,-J640)</f>
        <v>-237</v>
      </c>
      <c r="L640" s="15" t="s">
        <v>129</v>
      </c>
      <c r="M640" s="44">
        <f>SUMIFS('Saldos Iniciales'!$D$2:$D$38,'Saldos Iniciales'!$A$2:$A$38,C640,'Saldos Iniciales'!$B$2:$B$38,D640)+SUMIFS($K$1:$K$892,$C$1:$C$892,C640,$D$1:$D$892,D640,$B$1:$B$892,"&lt;="&amp;B640)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>IF(F641="Ingreso",J641,-J641)</f>
        <v>-87.09</v>
      </c>
      <c r="L641" s="15" t="s">
        <v>129</v>
      </c>
      <c r="M641" s="44">
        <f>SUMIFS('Saldos Iniciales'!$D$2:$D$38,'Saldos Iniciales'!$A$2:$A$38,C641,'Saldos Iniciales'!$B$2:$B$38,D641)+SUMIFS($K$1:$K$892,$C$1:$C$892,C641,$D$1:$D$892,D641,$B$1:$B$892,"&lt;="&amp;B641)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>IF(F642="Ingreso",J642,-J642)</f>
        <v>-164160.82999999999</v>
      </c>
      <c r="L642" s="15" t="s">
        <v>129</v>
      </c>
      <c r="M642" s="44">
        <f>SUMIFS('Saldos Iniciales'!$D$2:$D$38,'Saldos Iniciales'!$A$2:$A$38,C642,'Saldos Iniciales'!$B$2:$B$38,D642)+SUMIFS($K$1:$K$892,$C$1:$C$892,C642,$D$1:$D$892,D642,$B$1:$B$892,"&lt;="&amp;B642)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>IF(F643="Ingreso",J643,-J643)</f>
        <v>17545.53</v>
      </c>
      <c r="L643" s="15" t="s">
        <v>129</v>
      </c>
      <c r="M643" s="44">
        <f>SUMIFS('Saldos Iniciales'!$D$2:$D$38,'Saldos Iniciales'!$A$2:$A$38,C643,'Saldos Iniciales'!$B$2:$B$38,D643)+SUMIFS($K$1:$K$892,$C$1:$C$892,C643,$D$1:$D$892,D643,$B$1:$B$892,"&lt;="&amp;B643)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>IF(F644="Ingreso",J644,-J644)</f>
        <v>1452.33</v>
      </c>
      <c r="L644" s="15" t="s">
        <v>129</v>
      </c>
      <c r="M644" s="44">
        <f>SUMIFS('Saldos Iniciales'!$D$2:$D$38,'Saldos Iniciales'!$A$2:$A$38,C644,'Saldos Iniciales'!$B$2:$B$38,D644)+SUMIFS($K$1:$K$892,$C$1:$C$892,C644,$D$1:$D$892,D644,$B$1:$B$892,"&lt;="&amp;B644)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>IF(F645="Ingreso",J645,-J645)</f>
        <v>7471.23</v>
      </c>
      <c r="L645" s="15" t="s">
        <v>129</v>
      </c>
      <c r="M645" s="44">
        <f>SUMIFS('Saldos Iniciales'!$D$2:$D$38,'Saldos Iniciales'!$A$2:$A$38,C645,'Saldos Iniciales'!$B$2:$B$38,D645)+SUMIFS($K$1:$K$892,$C$1:$C$892,C645,$D$1:$D$892,D645,$B$1:$B$892,"&lt;="&amp;B645)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>IF(F646="Ingreso",J646,-J646)</f>
        <v>7317.16</v>
      </c>
      <c r="L646" s="15" t="s">
        <v>129</v>
      </c>
      <c r="M646" s="44">
        <f>SUMIFS('Saldos Iniciales'!$D$2:$D$38,'Saldos Iniciales'!$A$2:$A$38,C646,'Saldos Iniciales'!$B$2:$B$38,D646)+SUMIFS($K$1:$K$892,$C$1:$C$892,C646,$D$1:$D$892,D646,$B$1:$B$892,"&lt;="&amp;B646)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>IF(F647="Ingreso",J647,-J647)</f>
        <v>2637.13</v>
      </c>
      <c r="L647" s="15" t="s">
        <v>129</v>
      </c>
      <c r="M647" s="44">
        <f>SUMIFS('Saldos Iniciales'!$D$2:$D$38,'Saldos Iniciales'!$A$2:$A$38,C647,'Saldos Iniciales'!$B$2:$B$38,D647)+SUMIFS($K$1:$K$892,$C$1:$C$892,C647,$D$1:$D$892,D647,$B$1:$B$892,"&lt;="&amp;B647)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>IF(F648="Ingreso",J648,-J648)</f>
        <v>-168.79</v>
      </c>
      <c r="L648" s="15" t="s">
        <v>129</v>
      </c>
      <c r="M648" s="44">
        <f>SUMIFS('Saldos Iniciales'!$D$2:$D$38,'Saldos Iniciales'!$A$2:$A$38,C648,'Saldos Iniciales'!$B$2:$B$38,D648)+SUMIFS($K$1:$K$892,$C$1:$C$892,C648,$D$1:$D$892,D648,$B$1:$B$892,"&lt;="&amp;B648)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>IF(F649="Ingreso",J649,-J649)</f>
        <v>-1300.76</v>
      </c>
      <c r="L649" s="15" t="s">
        <v>129</v>
      </c>
      <c r="M649" s="44">
        <f>SUMIFS('Saldos Iniciales'!$D$2:$D$38,'Saldos Iniciales'!$A$2:$A$38,C649,'Saldos Iniciales'!$B$2:$B$38,D649)+SUMIFS($K$1:$K$892,$C$1:$C$892,C649,$D$1:$D$892,D649,$B$1:$B$892,"&lt;="&amp;B649)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>IF(F650="Ingreso",J650,-J650)</f>
        <v>-132.08000000000001</v>
      </c>
      <c r="L650" s="15" t="s">
        <v>129</v>
      </c>
      <c r="M650" s="44">
        <f>SUMIFS('Saldos Iniciales'!$D$2:$D$38,'Saldos Iniciales'!$A$2:$A$38,C650,'Saldos Iniciales'!$B$2:$B$38,D650)+SUMIFS($K$1:$K$892,$C$1:$C$892,C650,$D$1:$D$892,D650,$B$1:$B$892,"&lt;="&amp;B650)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>IF(F651="Ingreso",J651,-J651)</f>
        <v>-22.68</v>
      </c>
      <c r="L651" s="15" t="s">
        <v>129</v>
      </c>
      <c r="M651" s="44">
        <f>SUMIFS('Saldos Iniciales'!$D$2:$D$38,'Saldos Iniciales'!$A$2:$A$38,C651,'Saldos Iniciales'!$B$2:$B$38,D651)+SUMIFS($K$1:$K$892,$C$1:$C$892,C651,$D$1:$D$892,D651,$B$1:$B$892,"&lt;="&amp;B651)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>IF(F652="Ingreso",J652,-J652)</f>
        <v>-3.25</v>
      </c>
      <c r="L652" s="15" t="s">
        <v>129</v>
      </c>
      <c r="M652" s="44">
        <f>SUMIFS('Saldos Iniciales'!$D$2:$D$38,'Saldos Iniciales'!$A$2:$A$38,C652,'Saldos Iniciales'!$B$2:$B$38,D652)+SUMIFS($K$1:$K$892,$C$1:$C$892,C652,$D$1:$D$892,D652,$B$1:$B$892,"&lt;="&amp;B652)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>IF(F653="Ingreso",J653,-J653)</f>
        <v>23791.439999999999</v>
      </c>
      <c r="L653" s="15" t="s">
        <v>129</v>
      </c>
      <c r="M653" s="44">
        <f>SUMIFS('Saldos Iniciales'!$D$2:$D$38,'Saldos Iniciales'!$A$2:$A$38,C653,'Saldos Iniciales'!$B$2:$B$38,D653)+SUMIFS($K$1:$K$892,$C$1:$C$892,C653,$D$1:$D$892,D653,$B$1:$B$892,"&lt;="&amp;B653)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>IF(F654="Ingreso",J654,-J654)</f>
        <v>129678.6</v>
      </c>
      <c r="L654" s="15" t="s">
        <v>129</v>
      </c>
      <c r="M654" s="44">
        <f>SUMIFS('Saldos Iniciales'!$D$2:$D$38,'Saldos Iniciales'!$A$2:$A$38,C654,'Saldos Iniciales'!$B$2:$B$38,D654)+SUMIFS($K$1:$K$892,$C$1:$C$892,C654,$D$1:$D$892,D654,$B$1:$B$892,"&lt;="&amp;B654)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>IF(F655="Ingreso",J655,-J655)</f>
        <v>71403.73</v>
      </c>
      <c r="L655" s="15" t="s">
        <v>129</v>
      </c>
      <c r="M655" s="44">
        <f>SUMIFS('Saldos Iniciales'!$D$2:$D$38,'Saldos Iniciales'!$A$2:$A$38,C655,'Saldos Iniciales'!$B$2:$B$38,D655)+SUMIFS($K$1:$K$892,$C$1:$C$892,C655,$D$1:$D$892,D655,$B$1:$B$892,"&lt;="&amp;B655)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>IF(F656="Ingreso",J656,-J656)</f>
        <v>-1270.43</v>
      </c>
      <c r="L656" s="15" t="s">
        <v>129</v>
      </c>
      <c r="M656" s="44">
        <f>SUMIFS('Saldos Iniciales'!$D$2:$D$38,'Saldos Iniciales'!$A$2:$A$38,C656,'Saldos Iniciales'!$B$2:$B$38,D656)+SUMIFS($K$1:$K$892,$C$1:$C$892,C656,$D$1:$D$892,D656,$B$1:$B$892,"&lt;="&amp;B656)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>IF(F657="Ingreso",J657,-J657)</f>
        <v>-0.33</v>
      </c>
      <c r="L657" s="15" t="s">
        <v>129</v>
      </c>
      <c r="M657" s="44">
        <f>SUMIFS('Saldos Iniciales'!$D$2:$D$38,'Saldos Iniciales'!$A$2:$A$38,C657,'Saldos Iniciales'!$B$2:$B$38,D657)+SUMIFS($K$1:$K$892,$C$1:$C$892,C657,$D$1:$D$892,D657,$B$1:$B$892,"&lt;="&amp;B657)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>IF(F658="Ingreso",J658,-J658)</f>
        <v>2000</v>
      </c>
      <c r="L658" s="15" t="s">
        <v>129</v>
      </c>
      <c r="M658" s="44">
        <f>SUMIFS('Saldos Iniciales'!$D$2:$D$38,'Saldos Iniciales'!$A$2:$A$38,C658,'Saldos Iniciales'!$B$2:$B$38,D658)+SUMIFS($K$1:$K$892,$C$1:$C$892,C658,$D$1:$D$892,D658,$B$1:$B$892,"&lt;="&amp;B658)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>IF(F659="Ingreso",J659,-J659)</f>
        <v>-694</v>
      </c>
      <c r="L659" s="15" t="s">
        <v>129</v>
      </c>
      <c r="M659" s="44">
        <f>SUMIFS('Saldos Iniciales'!$D$2:$D$38,'Saldos Iniciales'!$A$2:$A$38,C659,'Saldos Iniciales'!$B$2:$B$38,D659)+SUMIFS($K$1:$K$892,$C$1:$C$892,C659,$D$1:$D$892,D659,$B$1:$B$892,"&lt;="&amp;B659)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>IF(F660="Ingreso",J660,-J660)</f>
        <v>-1032.81</v>
      </c>
      <c r="L660" s="15" t="s">
        <v>129</v>
      </c>
      <c r="M660" s="44">
        <f>SUMIFS('Saldos Iniciales'!$D$2:$D$38,'Saldos Iniciales'!$A$2:$A$38,C660,'Saldos Iniciales'!$B$2:$B$38,D660)+SUMIFS($K$1:$K$892,$C$1:$C$892,C660,$D$1:$D$892,D660,$B$1:$B$892,"&lt;="&amp;B660)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>IF(F661="Ingreso",J661,-J661)</f>
        <v>-108.04</v>
      </c>
      <c r="L661" s="15" t="s">
        <v>129</v>
      </c>
      <c r="M661" s="44">
        <f>SUMIFS('Saldos Iniciales'!$D$2:$D$38,'Saldos Iniciales'!$A$2:$A$38,C661,'Saldos Iniciales'!$B$2:$B$38,D661)+SUMIFS($K$1:$K$892,$C$1:$C$892,C661,$D$1:$D$892,D661,$B$1:$B$892,"&lt;="&amp;B661)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Iniciales'!$B$2:$B$38,D662)+SUMIFS($K$1:$K$892,$C$1:$C$892,C662,$D$1:$D$892,D662,$B$1:$B$892,"&lt;="&amp;B662)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-1000</v>
      </c>
      <c r="L663" s="15" t="s">
        <v>129</v>
      </c>
      <c r="M663" s="44">
        <f>SUMIFS('Saldos Iniciales'!$D$2:$D$38,'Saldos Iniciales'!$A$2:$A$38,C663,'Saldos Iniciales'!$B$2:$B$38,D663)+SUMIFS($K$1:$K$892,$C$1:$C$892,C663,$D$1:$D$892,D663,$B$1:$B$892,"&lt;="&amp;B663)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>IF(F664="Ingreso",J664,-J664)</f>
        <v>1000</v>
      </c>
      <c r="L664" s="15" t="s">
        <v>129</v>
      </c>
      <c r="M664" s="44">
        <f>SUMIFS('Saldos Iniciales'!$D$2:$D$38,'Saldos Iniciales'!$A$2:$A$38,C664,'Saldos Iniciales'!$B$2:$B$38,D664)+SUMIFS($K$1:$K$892,$C$1:$C$892,C664,$D$1:$D$892,D664,$B$1:$B$892,"&lt;="&amp;B664)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>IF(F665="Ingreso",J665,-J665)</f>
        <v>-1707.52</v>
      </c>
      <c r="L665" s="15" t="s">
        <v>129</v>
      </c>
      <c r="M665" s="44">
        <f>SUMIFS('Saldos Iniciales'!$D$2:$D$38,'Saldos Iniciales'!$A$2:$A$38,C665,'Saldos Iniciales'!$B$2:$B$38,D665)+SUMIFS($K$1:$K$892,$C$1:$C$892,C665,$D$1:$D$892,D665,$B$1:$B$892,"&lt;="&amp;B665)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>IF(F666="Ingreso",J666,-J666)</f>
        <v>-611.1</v>
      </c>
      <c r="L666" s="15" t="s">
        <v>129</v>
      </c>
      <c r="M666" s="44">
        <f>SUMIFS('Saldos Iniciales'!$D$2:$D$38,'Saldos Iniciales'!$A$2:$A$38,C666,'Saldos Iniciales'!$B$2:$B$38,D666)+SUMIFS($K$1:$K$892,$C$1:$C$892,C666,$D$1:$D$892,D666,$B$1:$B$892,"&lt;="&amp;B666)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>IF(F667="Ingreso",J667,-J667)</f>
        <v>2426.71</v>
      </c>
      <c r="L667" s="15" t="s">
        <v>129</v>
      </c>
      <c r="M667" s="44">
        <f>SUMIFS('Saldos Iniciales'!$D$2:$D$38,'Saldos Iniciales'!$A$2:$A$38,C667,'Saldos Iniciales'!$B$2:$B$38,D667)+SUMIFS($K$1:$K$892,$C$1:$C$892,C667,$D$1:$D$892,D667,$B$1:$B$892,"&lt;="&amp;B667)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>IF(F668="Ingreso",J668,-J668)</f>
        <v>-345943.44</v>
      </c>
      <c r="L668" s="15" t="s">
        <v>129</v>
      </c>
      <c r="M668" s="44">
        <f>SUMIFS('Saldos Iniciales'!$D$2:$D$38,'Saldos Iniciales'!$A$2:$A$38,C668,'Saldos Iniciales'!$B$2:$B$38,D668)+SUMIFS($K$1:$K$892,$C$1:$C$892,C668,$D$1:$D$892,D668,$B$1:$B$892,"&lt;="&amp;B668)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Iniciales'!$B$2:$B$38,D669)+SUMIFS($K$1:$K$892,$C$1:$C$892,C669,$D$1:$D$892,D669,$B$1:$B$892,"&lt;="&amp;B669)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Iniciales'!$D$2:$D$38,'Saldos Iniciales'!$A$2:$A$38,C670,'Saldos Iniciales'!$B$2:$B$38,D670)+SUMIFS($K$1:$K$892,$C$1:$C$892,C670,$D$1:$D$892,D670,$B$1:$B$892,"&lt;="&amp;B670)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6" si="0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Iniciales'!$B$2:$B$38,D671)+SUMIFS($K$1:$K$892,$C$1:$C$892,C671,$D$1:$D$892,D671,$B$1:$B$892,"&lt;="&amp;B671)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0"/>
        <v>-8533.33</v>
      </c>
      <c r="L672" s="15" t="s">
        <v>132</v>
      </c>
      <c r="M672" s="44">
        <f>SUMIFS('Saldos Iniciales'!$D$2:$D$38,'Saldos Iniciales'!$A$2:$A$38,C672,'Saldos Iniciales'!$B$2:$B$38,D672)+SUMIFS($K$1:$K$892,$C$1:$C$892,C672,$D$1:$D$892,D672,$B$1:$B$892,"&lt;="&amp;B672)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0"/>
        <v>-10</v>
      </c>
      <c r="L673" s="15" t="s">
        <v>132</v>
      </c>
      <c r="M673" s="44">
        <f>SUMIFS('Saldos Iniciales'!$D$2:$D$38,'Saldos Iniciales'!$A$2:$A$38,C673,'Saldos Iniciales'!$B$2:$B$38,D673)+SUMIFS($K$1:$K$892,$C$1:$C$892,C673,$D$1:$D$892,D673,$B$1:$B$892,"&lt;="&amp;B673)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0"/>
        <v>-9798.6299999999992</v>
      </c>
      <c r="L674" s="15" t="s">
        <v>132</v>
      </c>
      <c r="M674" s="44">
        <f>SUMIFS('Saldos Iniciales'!$D$2:$D$38,'Saldos Iniciales'!$A$2:$A$38,C674,'Saldos Iniciales'!$B$2:$B$38,D674)+SUMIFS($K$1:$K$892,$C$1:$C$892,C674,$D$1:$D$892,D674,$B$1:$B$892,"&lt;="&amp;B674)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0"/>
        <v>-1900</v>
      </c>
      <c r="L675" s="15" t="s">
        <v>132</v>
      </c>
      <c r="M675" s="44">
        <f>SUMIFS('Saldos Iniciales'!$D$2:$D$38,'Saldos Iniciales'!$A$2:$A$38,C675,'Saldos Iniciales'!$B$2:$B$38,D675)+SUMIFS($K$1:$K$892,$C$1:$C$892,C675,$D$1:$D$892,D675,$B$1:$B$892,"&lt;="&amp;B675)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0"/>
        <v>-240</v>
      </c>
      <c r="L676" s="15" t="s">
        <v>132</v>
      </c>
      <c r="M676" s="44">
        <f>SUMIFS('Saldos Iniciales'!$D$2:$D$38,'Saldos Iniciales'!$A$2:$A$38,C676,'Saldos Iniciales'!$B$2:$B$38,D676)+SUMIFS($K$1:$K$892,$C$1:$C$892,C676,$D$1:$D$892,D676,$B$1:$B$892,"&lt;="&amp;B676)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0"/>
        <v>-100</v>
      </c>
      <c r="L677" s="15" t="s">
        <v>132</v>
      </c>
      <c r="M677" s="44">
        <f>SUMIFS('Saldos Iniciales'!$D$2:$D$38,'Saldos Iniciales'!$A$2:$A$38,C677,'Saldos Iniciales'!$B$2:$B$38,D677)+SUMIFS($K$1:$K$892,$C$1:$C$892,C677,$D$1:$D$892,D677,$B$1:$B$892,"&lt;="&amp;B677)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0"/>
        <v>-220</v>
      </c>
      <c r="L678" s="15" t="s">
        <v>132</v>
      </c>
      <c r="M678" s="44">
        <f>SUMIFS('Saldos Iniciales'!$D$2:$D$38,'Saldos Iniciales'!$A$2:$A$38,C678,'Saldos Iniciales'!$B$2:$B$38,D678)+SUMIFS($K$1:$K$892,$C$1:$C$892,C678,$D$1:$D$892,D678,$B$1:$B$892,"&lt;="&amp;B678)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0"/>
        <v>-220</v>
      </c>
      <c r="L679" s="15" t="s">
        <v>132</v>
      </c>
      <c r="M679" s="44">
        <f>SUMIFS('Saldos Iniciales'!$D$2:$D$38,'Saldos Iniciales'!$A$2:$A$38,C679,'Saldos Iniciales'!$B$2:$B$38,D679)+SUMIFS($K$1:$K$892,$C$1:$C$892,C679,$D$1:$D$892,D679,$B$1:$B$892,"&lt;="&amp;B679)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0"/>
        <v>-150</v>
      </c>
      <c r="L680" s="15" t="s">
        <v>132</v>
      </c>
      <c r="M680" s="44">
        <f>SUMIFS('Saldos Iniciales'!$D$2:$D$38,'Saldos Iniciales'!$A$2:$A$38,C680,'Saldos Iniciales'!$B$2:$B$38,D680)+SUMIFS($K$1:$K$892,$C$1:$C$892,C680,$D$1:$D$892,D680,$B$1:$B$892,"&lt;="&amp;B680)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0"/>
        <v>-295</v>
      </c>
      <c r="L681" s="15" t="s">
        <v>132</v>
      </c>
      <c r="M681" s="44">
        <f>SUMIFS('Saldos Iniciales'!$D$2:$D$38,'Saldos Iniciales'!$A$2:$A$38,C681,'Saldos Iniciales'!$B$2:$B$38,D681)+SUMIFS($K$1:$K$892,$C$1:$C$892,C681,$D$1:$D$892,D681,$B$1:$B$892,"&lt;="&amp;B681)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0"/>
        <v>-395</v>
      </c>
      <c r="L682" s="15" t="s">
        <v>132</v>
      </c>
      <c r="M682" s="44">
        <f>SUMIFS('Saldos Iniciales'!$D$2:$D$38,'Saldos Iniciales'!$A$2:$A$38,C682,'Saldos Iniciales'!$B$2:$B$38,D682)+SUMIFS($K$1:$K$892,$C$1:$C$892,C682,$D$1:$D$892,D682,$B$1:$B$892,"&lt;="&amp;B682)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0"/>
        <v>-1086.42</v>
      </c>
      <c r="L683" s="15" t="s">
        <v>132</v>
      </c>
      <c r="M683" s="44">
        <f>SUMIFS('Saldos Iniciales'!$D$2:$D$38,'Saldos Iniciales'!$A$2:$A$38,C683,'Saldos Iniciales'!$B$2:$B$38,D683)+SUMIFS($K$1:$K$892,$C$1:$C$892,C683,$D$1:$D$892,D683,$B$1:$B$892,"&lt;="&amp;B683)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0"/>
        <v>-55</v>
      </c>
      <c r="L684" s="15" t="s">
        <v>132</v>
      </c>
      <c r="M684" s="44">
        <f>SUMIFS('Saldos Iniciales'!$D$2:$D$38,'Saldos Iniciales'!$A$2:$A$38,C684,'Saldos Iniciales'!$B$2:$B$38,D684)+SUMIFS($K$1:$K$892,$C$1:$C$892,C684,$D$1:$D$892,D684,$B$1:$B$892,"&lt;="&amp;B684)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0"/>
        <v>-3309.58</v>
      </c>
      <c r="L685" s="15" t="s">
        <v>132</v>
      </c>
      <c r="M685" s="44">
        <f>SUMIFS('Saldos Iniciales'!$D$2:$D$38,'Saldos Iniciales'!$A$2:$A$38,C685,'Saldos Iniciales'!$B$2:$B$38,D685)+SUMIFS($K$1:$K$892,$C$1:$C$892,C685,$D$1:$D$892,D685,$B$1:$B$892,"&lt;="&amp;B685)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0"/>
        <v>-8773.0400000000009</v>
      </c>
      <c r="L686" s="15" t="s">
        <v>132</v>
      </c>
      <c r="M686" s="44">
        <f>SUMIFS('Saldos Iniciales'!$D$2:$D$38,'Saldos Iniciales'!$A$2:$A$38,C686,'Saldos Iniciales'!$B$2:$B$38,D686)+SUMIFS($K$1:$K$892,$C$1:$C$892,C686,$D$1:$D$892,D686,$B$1:$B$892,"&lt;="&amp;B686)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0"/>
        <v>-609.70000000000005</v>
      </c>
      <c r="L687" s="15" t="s">
        <v>132</v>
      </c>
      <c r="M687" s="44">
        <f>SUMIFS('Saldos Iniciales'!$D$2:$D$38,'Saldos Iniciales'!$A$2:$A$38,C687,'Saldos Iniciales'!$B$2:$B$38,D687)+SUMIFS($K$1:$K$892,$C$1:$C$892,C687,$D$1:$D$892,D687,$B$1:$B$892,"&lt;="&amp;B687)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0"/>
        <v>-6000</v>
      </c>
      <c r="L688" s="15" t="s">
        <v>132</v>
      </c>
      <c r="M688" s="44">
        <f>SUMIFS('Saldos Iniciales'!$D$2:$D$38,'Saldos Iniciales'!$A$2:$A$38,C688,'Saldos Iniciales'!$B$2:$B$38,D688)+SUMIFS($K$1:$K$892,$C$1:$C$892,C688,$D$1:$D$892,D688,$B$1:$B$892,"&lt;="&amp;B688)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0"/>
        <v>-390.93</v>
      </c>
      <c r="L689" s="15" t="s">
        <v>132</v>
      </c>
      <c r="M689" s="44">
        <f>SUMIFS('Saldos Iniciales'!$D$2:$D$38,'Saldos Iniciales'!$A$2:$A$38,C689,'Saldos Iniciales'!$B$2:$B$38,D689)+SUMIFS($K$1:$K$892,$C$1:$C$892,C689,$D$1:$D$892,D689,$B$1:$B$892,"&lt;="&amp;B689)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0"/>
        <v>4000</v>
      </c>
      <c r="L690" s="15" t="s">
        <v>132</v>
      </c>
      <c r="M690" s="44">
        <f>SUMIFS('Saldos Iniciales'!$D$2:$D$38,'Saldos Iniciales'!$A$2:$A$38,C690,'Saldos Iniciales'!$B$2:$B$38,D690)+SUMIFS($K$1:$K$892,$C$1:$C$892,C690,$D$1:$D$892,D690,$B$1:$B$892,"&lt;="&amp;B690)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0"/>
        <v>2000</v>
      </c>
      <c r="L691" s="15" t="s">
        <v>132</v>
      </c>
      <c r="M691" s="44">
        <f>SUMIFS('Saldos Iniciales'!$D$2:$D$38,'Saldos Iniciales'!$A$2:$A$38,C691,'Saldos Iniciales'!$B$2:$B$38,D691)+SUMIFS($K$1:$K$892,$C$1:$C$892,C691,$D$1:$D$892,D691,$B$1:$B$892,"&lt;="&amp;B691)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0"/>
        <v>-7679.78</v>
      </c>
      <c r="L692" s="15" t="s">
        <v>132</v>
      </c>
      <c r="M692" s="44">
        <f>SUMIFS('Saldos Iniciales'!$D$2:$D$38,'Saldos Iniciales'!$A$2:$A$38,C692,'Saldos Iniciales'!$B$2:$B$38,D692)+SUMIFS($K$1:$K$892,$C$1:$C$892,C692,$D$1:$D$892,D692,$B$1:$B$892,"&lt;="&amp;B692)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0"/>
        <v>-4000</v>
      </c>
      <c r="L693" s="15" t="s">
        <v>132</v>
      </c>
      <c r="M693" s="44">
        <f>SUMIFS('Saldos Iniciales'!$D$2:$D$38,'Saldos Iniciales'!$A$2:$A$38,C693,'Saldos Iniciales'!$B$2:$B$38,D693)+SUMIFS($K$1:$K$892,$C$1:$C$892,C693,$D$1:$D$892,D693,$B$1:$B$892,"&lt;="&amp;B693)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0"/>
        <v>-2000</v>
      </c>
      <c r="L694" s="15" t="s">
        <v>132</v>
      </c>
      <c r="M694" s="44">
        <f>SUMIFS('Saldos Iniciales'!$D$2:$D$38,'Saldos Iniciales'!$A$2:$A$38,C694,'Saldos Iniciales'!$B$2:$B$38,D694)+SUMIFS($K$1:$K$892,$C$1:$C$892,C694,$D$1:$D$892,D694,$B$1:$B$892,"&lt;="&amp;B694)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76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0"/>
        <v>-40</v>
      </c>
      <c r="L695" s="15" t="s">
        <v>132</v>
      </c>
      <c r="M695" s="44">
        <f>SUMIFS('Saldos Iniciales'!$D$2:$D$38,'Saldos Iniciales'!$A$2:$A$38,C695,'Saldos Iniciales'!$B$2:$B$38,D695)+SUMIFS($K$1:$K$892,$C$1:$C$892,C695,$D$1:$D$892,D695,$B$1:$B$892,"&lt;="&amp;B695)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1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Iniciales'!$B$2:$B$38,D696)+SUMIFS($K$1:$K$892,$C$1:$C$892,C696,$D$1:$D$892,D696,$B$1:$B$892,"&lt;="&amp;B696)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1"/>
        <v>9280.15</v>
      </c>
      <c r="L697" s="15" t="s">
        <v>132</v>
      </c>
      <c r="M697" s="44">
        <f>SUMIFS('Saldos Iniciales'!$D$2:$D$38,'Saldos Iniciales'!$A$2:$A$38,C697,'Saldos Iniciales'!$B$2:$B$38,D697)+SUMIFS($K$1:$K$892,$C$1:$C$892,C697,$D$1:$D$892,D697,$B$1:$B$892,"&lt;="&amp;B697)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1"/>
        <v>-60000</v>
      </c>
      <c r="L698" s="15" t="s">
        <v>132</v>
      </c>
      <c r="M698" s="44">
        <f>SUMIFS('Saldos Iniciales'!$D$2:$D$38,'Saldos Iniciales'!$A$2:$A$38,C698,'Saldos Iniciales'!$B$2:$B$38,D698)+SUMIFS($K$1:$K$892,$C$1:$C$892,C698,$D$1:$D$892,D698,$B$1:$B$892,"&lt;="&amp;B698)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1"/>
        <v>-9280.15</v>
      </c>
      <c r="L699" s="15" t="s">
        <v>132</v>
      </c>
      <c r="M699" s="44">
        <f>SUMIFS('Saldos Iniciales'!$D$2:$D$38,'Saldos Iniciales'!$A$2:$A$38,C699,'Saldos Iniciales'!$B$2:$B$38,D699)+SUMIFS($K$1:$K$892,$C$1:$C$892,C699,$D$1:$D$892,D699,$B$1:$B$892,"&lt;="&amp;B699)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1"/>
        <v>-33693.949999999997</v>
      </c>
      <c r="L700" s="15" t="s">
        <v>132</v>
      </c>
      <c r="M700" s="44">
        <f>SUMIFS('Saldos Iniciales'!$D$2:$D$38,'Saldos Iniciales'!$A$2:$A$38,C700,'Saldos Iniciales'!$B$2:$B$38,D700)+SUMIFS($K$1:$K$892,$C$1:$C$892,C700,$D$1:$D$892,D700,$B$1:$B$892,"&lt;="&amp;B700)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1"/>
        <v>-2975</v>
      </c>
      <c r="L701" s="15" t="s">
        <v>132</v>
      </c>
      <c r="M701" s="44">
        <f>SUMIFS('Saldos Iniciales'!$D$2:$D$38,'Saldos Iniciales'!$A$2:$A$38,C701,'Saldos Iniciales'!$B$2:$B$38,D701)+SUMIFS($K$1:$K$892,$C$1:$C$892,C701,$D$1:$D$892,D701,$B$1:$B$892,"&lt;="&amp;B701)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1"/>
        <v>-11666.67</v>
      </c>
      <c r="L702" s="15" t="s">
        <v>132</v>
      </c>
      <c r="M702" s="44">
        <f>SUMIFS('Saldos Iniciales'!$D$2:$D$38,'Saldos Iniciales'!$A$2:$A$38,C702,'Saldos Iniciales'!$B$2:$B$38,D702)+SUMIFS($K$1:$K$892,$C$1:$C$892,C702,$D$1:$D$892,D702,$B$1:$B$892,"&lt;="&amp;B702)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1"/>
        <v>-45000</v>
      </c>
      <c r="L703" s="15" t="s">
        <v>132</v>
      </c>
      <c r="M703" s="44">
        <f>SUMIFS('Saldos Iniciales'!$D$2:$D$38,'Saldos Iniciales'!$A$2:$A$38,C703,'Saldos Iniciales'!$B$2:$B$38,D703)+SUMIFS($K$1:$K$892,$C$1:$C$892,C703,$D$1:$D$892,D703,$B$1:$B$892,"&lt;="&amp;B703)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1"/>
        <v>-75000</v>
      </c>
      <c r="L704" s="15" t="s">
        <v>132</v>
      </c>
      <c r="M704" s="44">
        <f>SUMIFS('Saldos Iniciales'!$D$2:$D$38,'Saldos Iniciales'!$A$2:$A$38,C704,'Saldos Iniciales'!$B$2:$B$38,D704)+SUMIFS($K$1:$K$892,$C$1:$C$892,C704,$D$1:$D$892,D704,$B$1:$B$892,"&lt;="&amp;B704)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1"/>
        <v>-80000</v>
      </c>
      <c r="L705" s="15" t="s">
        <v>132</v>
      </c>
      <c r="M705" s="44">
        <f>SUMIFS('Saldos Iniciales'!$D$2:$D$38,'Saldos Iniciales'!$A$2:$A$38,C705,'Saldos Iniciales'!$B$2:$B$38,D705)+SUMIFS($K$1:$K$892,$C$1:$C$892,C705,$D$1:$D$892,D705,$B$1:$B$892,"&lt;="&amp;B705)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"/>
        <v>-100000</v>
      </c>
      <c r="L706" s="15" t="s">
        <v>132</v>
      </c>
      <c r="M706" s="44">
        <f>SUMIFS('Saldos Iniciales'!$D$2:$D$38,'Saldos Iniciales'!$A$2:$A$38,C706,'Saldos Iniciales'!$B$2:$B$38,D706)+SUMIFS($K$1:$K$892,$C$1:$C$892,C706,$D$1:$D$892,D706,$B$1:$B$892,"&lt;="&amp;B706)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"/>
        <v>-100000</v>
      </c>
      <c r="L707" s="15" t="s">
        <v>132</v>
      </c>
      <c r="M707" s="44">
        <f>SUMIFS('Saldos Iniciales'!$D$2:$D$38,'Saldos Iniciales'!$A$2:$A$38,C707,'Saldos Iniciales'!$B$2:$B$38,D707)+SUMIFS($K$1:$K$892,$C$1:$C$892,C707,$D$1:$D$892,D707,$B$1:$B$892,"&lt;="&amp;B707)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1"/>
        <v>-100000</v>
      </c>
      <c r="L708" s="15" t="s">
        <v>132</v>
      </c>
      <c r="M708" s="44">
        <f>SUMIFS('Saldos Iniciales'!$D$2:$D$38,'Saldos Iniciales'!$A$2:$A$38,C708,'Saldos Iniciales'!$B$2:$B$38,D708)+SUMIFS($K$1:$K$892,$C$1:$C$892,C708,$D$1:$D$892,D708,$B$1:$B$892,"&lt;="&amp;B708)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1"/>
        <v>-200000</v>
      </c>
      <c r="L709" s="15" t="s">
        <v>132</v>
      </c>
      <c r="M709" s="44">
        <f>SUMIFS('Saldos Iniciales'!$D$2:$D$38,'Saldos Iniciales'!$A$2:$A$38,C709,'Saldos Iniciales'!$B$2:$B$38,D709)+SUMIFS($K$1:$K$892,$C$1:$C$892,C709,$D$1:$D$892,D709,$B$1:$B$892,"&lt;="&amp;B709)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1"/>
        <v>-600000</v>
      </c>
      <c r="L710" s="15" t="s">
        <v>132</v>
      </c>
      <c r="M710" s="44">
        <f>SUMIFS('Saldos Iniciales'!$D$2:$D$38,'Saldos Iniciales'!$A$2:$A$38,C710,'Saldos Iniciales'!$B$2:$B$38,D710)+SUMIFS($K$1:$K$892,$C$1:$C$892,C710,$D$1:$D$892,D710,$B$1:$B$892,"&lt;="&amp;B710)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1"/>
        <v>-13000</v>
      </c>
      <c r="L711" s="15" t="s">
        <v>132</v>
      </c>
      <c r="M711" s="44">
        <f>SUMIFS('Saldos Iniciales'!$D$2:$D$38,'Saldos Iniciales'!$A$2:$A$38,C711,'Saldos Iniciales'!$B$2:$B$38,D711)+SUMIFS($K$1:$K$892,$C$1:$C$892,C711,$D$1:$D$892,D711,$B$1:$B$892,"&lt;="&amp;B711)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1"/>
        <v>600000</v>
      </c>
      <c r="L712" s="15" t="s">
        <v>132</v>
      </c>
      <c r="M712" s="44">
        <f>SUMIFS('Saldos Iniciales'!$D$2:$D$38,'Saldos Iniciales'!$A$2:$A$38,C712,'Saldos Iniciales'!$B$2:$B$38,D712)+SUMIFS($K$1:$K$892,$C$1:$C$892,C712,$D$1:$D$892,D712,$B$1:$B$892,"&lt;="&amp;B712)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1"/>
        <v>-385</v>
      </c>
      <c r="L713" s="15" t="s">
        <v>132</v>
      </c>
      <c r="M713" s="44">
        <f>SUMIFS('Saldos Iniciales'!$D$2:$D$38,'Saldos Iniciales'!$A$2:$A$38,C713,'Saldos Iniciales'!$B$2:$B$38,D713)+SUMIFS($K$1:$K$892,$C$1:$C$892,C713,$D$1:$D$892,D713,$B$1:$B$892,"&lt;="&amp;B713)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1"/>
        <v>-4375</v>
      </c>
      <c r="L714" s="15" t="s">
        <v>132</v>
      </c>
      <c r="M714" s="44">
        <f>SUMIFS('Saldos Iniciales'!$D$2:$D$38,'Saldos Iniciales'!$A$2:$A$38,C714,'Saldos Iniciales'!$B$2:$B$38,D714)+SUMIFS($K$1:$K$892,$C$1:$C$892,C714,$D$1:$D$892,D714,$B$1:$B$892,"&lt;="&amp;B714)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1"/>
        <v>-14634</v>
      </c>
      <c r="L715" s="15" t="s">
        <v>132</v>
      </c>
      <c r="M715" s="44">
        <f>SUMIFS('Saldos Iniciales'!$D$2:$D$38,'Saldos Iniciales'!$A$2:$A$38,C715,'Saldos Iniciales'!$B$2:$B$38,D715)+SUMIFS($K$1:$K$892,$C$1:$C$892,C715,$D$1:$D$892,D715,$B$1:$B$892,"&lt;="&amp;B715)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1"/>
        <v>-20000</v>
      </c>
      <c r="L716" s="15" t="s">
        <v>132</v>
      </c>
      <c r="M716" s="44">
        <f>SUMIFS('Saldos Iniciales'!$D$2:$D$38,'Saldos Iniciales'!$A$2:$A$38,C716,'Saldos Iniciales'!$B$2:$B$38,D716)+SUMIFS($K$1:$K$892,$C$1:$C$892,C716,$D$1:$D$892,D716,$B$1:$B$892,"&lt;="&amp;B716)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"/>
        <v>13000</v>
      </c>
      <c r="L717" s="15" t="s">
        <v>132</v>
      </c>
      <c r="M717" s="44">
        <f>SUMIFS('Saldos Iniciales'!$D$2:$D$38,'Saldos Iniciales'!$A$2:$A$38,C717,'Saldos Iniciales'!$B$2:$B$38,D717)+SUMIFS($K$1:$K$892,$C$1:$C$892,C717,$D$1:$D$892,D717,$B$1:$B$892,"&lt;="&amp;B717)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1"/>
        <v>-13000</v>
      </c>
      <c r="L718" s="15" t="s">
        <v>132</v>
      </c>
      <c r="M718" s="44">
        <f>SUMIFS('Saldos Iniciales'!$D$2:$D$38,'Saldos Iniciales'!$A$2:$A$38,C718,'Saldos Iniciales'!$B$2:$B$38,D718)+SUMIFS($K$1:$K$892,$C$1:$C$892,C718,$D$1:$D$892,D718,$B$1:$B$892,"&lt;="&amp;B718)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1"/>
        <v>13000</v>
      </c>
      <c r="L719" s="15" t="s">
        <v>132</v>
      </c>
      <c r="M719" s="44">
        <f>SUMIFS('Saldos Iniciales'!$D$2:$D$38,'Saldos Iniciales'!$A$2:$A$38,C719,'Saldos Iniciales'!$B$2:$B$38,D719)+SUMIFS($K$1:$K$892,$C$1:$C$892,C719,$D$1:$D$892,D719,$B$1:$B$892,"&lt;="&amp;B719)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"/>
        <v>-15</v>
      </c>
      <c r="L720" s="15" t="s">
        <v>132</v>
      </c>
      <c r="M720" s="44">
        <f>SUMIFS('Saldos Iniciales'!$D$2:$D$38,'Saldos Iniciales'!$A$2:$A$38,C720,'Saldos Iniciales'!$B$2:$B$38,D720)+SUMIFS($K$1:$K$892,$C$1:$C$892,C720,$D$1:$D$892,D720,$B$1:$B$892,"&lt;="&amp;B720)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1"/>
        <v>-2413.56</v>
      </c>
      <c r="L721" s="15" t="s">
        <v>132</v>
      </c>
      <c r="M721" s="44">
        <f>SUMIFS('Saldos Iniciales'!$D$2:$D$38,'Saldos Iniciales'!$A$2:$A$38,C721,'Saldos Iniciales'!$B$2:$B$38,D721)+SUMIFS($K$1:$K$892,$C$1:$C$892,C721,$D$1:$D$892,D721,$B$1:$B$892,"&lt;="&amp;B721)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"/>
        <v>-15</v>
      </c>
      <c r="L722" s="15" t="s">
        <v>132</v>
      </c>
      <c r="M722" s="44">
        <f>SUMIFS('Saldos Iniciales'!$D$2:$D$38,'Saldos Iniciales'!$A$2:$A$38,C722,'Saldos Iniciales'!$B$2:$B$38,D722)+SUMIFS($K$1:$K$892,$C$1:$C$892,C722,$D$1:$D$892,D722,$B$1:$B$892,"&lt;="&amp;B722)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1"/>
        <v>-5950.82</v>
      </c>
      <c r="L723" s="15" t="s">
        <v>132</v>
      </c>
      <c r="M723" s="44">
        <f>SUMIFS('Saldos Iniciales'!$D$2:$D$38,'Saldos Iniciales'!$A$2:$A$38,C723,'Saldos Iniciales'!$B$2:$B$38,D723)+SUMIFS($K$1:$K$892,$C$1:$C$892,C723,$D$1:$D$892,D723,$B$1:$B$892,"&lt;="&amp;B723)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1"/>
        <v>-15</v>
      </c>
      <c r="L724" s="15" t="s">
        <v>132</v>
      </c>
      <c r="M724" s="44">
        <f>SUMIFS('Saldos Iniciales'!$D$2:$D$38,'Saldos Iniciales'!$A$2:$A$38,C724,'Saldos Iniciales'!$B$2:$B$38,D724)+SUMIFS($K$1:$K$892,$C$1:$C$892,C724,$D$1:$D$892,D724,$B$1:$B$892,"&lt;="&amp;B724)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76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1"/>
        <v>-22.98</v>
      </c>
      <c r="L725" s="15" t="s">
        <v>132</v>
      </c>
      <c r="M725" s="44">
        <f>SUMIFS('Saldos Iniciales'!$D$2:$D$38,'Saldos Iniciales'!$A$2:$A$38,C725,'Saldos Iniciales'!$B$2:$B$38,D725)+SUMIFS($K$1:$K$892,$C$1:$C$892,C725,$D$1:$D$892,D725,$B$1:$B$892,"&lt;="&amp;B725)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76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1"/>
        <v>-1270.43</v>
      </c>
      <c r="L726" s="15" t="s">
        <v>132</v>
      </c>
      <c r="M726" s="44">
        <f>SUMIFS('Saldos Iniciales'!$D$2:$D$38,'Saldos Iniciales'!$A$2:$A$38,C726,'Saldos Iniciales'!$B$2:$B$38,D726)+SUMIFS($K$1:$K$892,$C$1:$C$892,C726,$D$1:$D$892,D726,$B$1:$B$892,"&lt;="&amp;B726)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1"/>
        <v>62.9</v>
      </c>
      <c r="L727" s="15" t="s">
        <v>132</v>
      </c>
      <c r="M727" s="44">
        <f>SUMIFS('Saldos Iniciales'!$D$2:$D$38,'Saldos Iniciales'!$A$2:$A$38,C727,'Saldos Iniciales'!$B$2:$B$38,D727)+SUMIFS($K$1:$K$892,$C$1:$C$892,C727,$D$1:$D$892,D727,$B$1:$B$892,"&lt;="&amp;B727)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1"/>
        <v>42.5</v>
      </c>
      <c r="L728" s="15" t="s">
        <v>132</v>
      </c>
      <c r="M728" s="44">
        <f>SUMIFS('Saldos Iniciales'!$D$2:$D$38,'Saldos Iniciales'!$A$2:$A$38,C728,'Saldos Iniciales'!$B$2:$B$38,D728)+SUMIFS($K$1:$K$892,$C$1:$C$892,C728,$D$1:$D$892,D728,$B$1:$B$892,"&lt;="&amp;B728)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1"/>
        <v>-205</v>
      </c>
      <c r="L729" s="15" t="s">
        <v>132</v>
      </c>
      <c r="M729" s="44">
        <f>SUMIFS('Saldos Iniciales'!$D$2:$D$38,'Saldos Iniciales'!$A$2:$A$38,C729,'Saldos Iniciales'!$B$2:$B$38,D729)+SUMIFS($K$1:$K$892,$C$1:$C$892,C729,$D$1:$D$892,D729,$B$1:$B$892,"&lt;="&amp;B729)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1"/>
        <v>-2445</v>
      </c>
      <c r="L730" s="15" t="s">
        <v>132</v>
      </c>
      <c r="M730" s="44">
        <f>SUMIFS('Saldos Iniciales'!$D$2:$D$38,'Saldos Iniciales'!$A$2:$A$38,C730,'Saldos Iniciales'!$B$2:$B$38,D730)+SUMIFS($K$1:$K$892,$C$1:$C$892,C730,$D$1:$D$892,D730,$B$1:$B$892,"&lt;="&amp;B730)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1"/>
        <v>5000</v>
      </c>
      <c r="L731" s="15" t="s">
        <v>132</v>
      </c>
      <c r="M731" s="44">
        <f>SUMIFS('Saldos Iniciales'!$D$2:$D$38,'Saldos Iniciales'!$A$2:$A$38,C731,'Saldos Iniciales'!$B$2:$B$38,D731)+SUMIFS($K$1:$K$892,$C$1:$C$892,C731,$D$1:$D$892,D731,$B$1:$B$892,"&lt;="&amp;B731)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1"/>
        <v>-1291.6500000000001</v>
      </c>
      <c r="L732" s="15" t="s">
        <v>132</v>
      </c>
      <c r="M732" s="44">
        <f>SUMIFS('Saldos Iniciales'!$D$2:$D$38,'Saldos Iniciales'!$A$2:$A$38,C732,'Saldos Iniciales'!$B$2:$B$38,D732)+SUMIFS($K$1:$K$892,$C$1:$C$892,C732,$D$1:$D$892,D732,$B$1:$B$892,"&lt;="&amp;B732)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1"/>
        <v>106686.57</v>
      </c>
      <c r="L733" s="15" t="s">
        <v>132</v>
      </c>
      <c r="M733" s="44">
        <f>SUMIFS('Saldos Iniciales'!$D$2:$D$38,'Saldos Iniciales'!$A$2:$A$38,C733,'Saldos Iniciales'!$B$2:$B$38,D733)+SUMIFS($K$1:$K$892,$C$1:$C$892,C733,$D$1:$D$892,D733,$B$1:$B$892,"&lt;="&amp;B733)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1"/>
        <v>-1050</v>
      </c>
      <c r="L734" s="15" t="s">
        <v>132</v>
      </c>
      <c r="M734" s="44">
        <f>SUMIFS('Saldos Iniciales'!$D$2:$D$38,'Saldos Iniciales'!$A$2:$A$38,C734,'Saldos Iniciales'!$B$2:$B$38,D734)+SUMIFS($K$1:$K$892,$C$1:$C$892,C734,$D$1:$D$892,D734,$B$1:$B$892,"&lt;="&amp;B734)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1"/>
        <v>-1971.27</v>
      </c>
      <c r="L735" s="15" t="s">
        <v>132</v>
      </c>
      <c r="M735" s="44">
        <f>SUMIFS('Saldos Iniciales'!$D$2:$D$38,'Saldos Iniciales'!$A$2:$A$38,C735,'Saldos Iniciales'!$B$2:$B$38,D735)+SUMIFS($K$1:$K$892,$C$1:$C$892,C735,$D$1:$D$892,D735,$B$1:$B$892,"&lt;="&amp;B735)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1"/>
        <v>-500</v>
      </c>
      <c r="L736" s="15" t="s">
        <v>132</v>
      </c>
      <c r="M736" s="44">
        <f>SUMIFS('Saldos Iniciales'!$D$2:$D$38,'Saldos Iniciales'!$A$2:$A$38,C736,'Saldos Iniciales'!$B$2:$B$38,D736)+SUMIFS($K$1:$K$892,$C$1:$C$892,C736,$D$1:$D$892,D736,$B$1:$B$892,"&lt;="&amp;B736)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1"/>
        <v>-2625</v>
      </c>
      <c r="L737" s="15" t="s">
        <v>132</v>
      </c>
      <c r="M737" s="44">
        <f>SUMIFS('Saldos Iniciales'!$D$2:$D$38,'Saldos Iniciales'!$A$2:$A$38,C737,'Saldos Iniciales'!$B$2:$B$38,D737)+SUMIFS($K$1:$K$892,$C$1:$C$892,C737,$D$1:$D$892,D737,$B$1:$B$892,"&lt;="&amp;B737)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1"/>
        <v>-1412.66</v>
      </c>
      <c r="L738" s="15" t="s">
        <v>132</v>
      </c>
      <c r="M738" s="44">
        <f>SUMIFS('Saldos Iniciales'!$D$2:$D$38,'Saldos Iniciales'!$A$2:$A$38,C738,'Saldos Iniciales'!$B$2:$B$38,D738)+SUMIFS($K$1:$K$892,$C$1:$C$892,C738,$D$1:$D$892,D738,$B$1:$B$892,"&lt;="&amp;B738)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1"/>
        <v>-1980.24</v>
      </c>
      <c r="L739" s="15" t="s">
        <v>132</v>
      </c>
      <c r="M739" s="44">
        <f>SUMIFS('Saldos Iniciales'!$D$2:$D$38,'Saldos Iniciales'!$A$2:$A$38,C739,'Saldos Iniciales'!$B$2:$B$38,D739)+SUMIFS($K$1:$K$892,$C$1:$C$892,C739,$D$1:$D$892,D739,$B$1:$B$892,"&lt;="&amp;B739)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1"/>
        <v>-25572.5</v>
      </c>
      <c r="L740" s="15" t="s">
        <v>132</v>
      </c>
      <c r="M740" s="44">
        <f>SUMIFS('Saldos Iniciales'!$D$2:$D$38,'Saldos Iniciales'!$A$2:$A$38,C740,'Saldos Iniciales'!$B$2:$B$38,D740)+SUMIFS($K$1:$K$892,$C$1:$C$892,C740,$D$1:$D$892,D740,$B$1:$B$892,"&lt;="&amp;B740)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1"/>
        <v>-29322.5</v>
      </c>
      <c r="L741" s="15" t="s">
        <v>132</v>
      </c>
      <c r="M741" s="44">
        <f>SUMIFS('Saldos Iniciales'!$D$2:$D$38,'Saldos Iniciales'!$A$2:$A$38,C741,'Saldos Iniciales'!$B$2:$B$38,D741)+SUMIFS($K$1:$K$892,$C$1:$C$892,C741,$D$1:$D$892,D741,$B$1:$B$892,"&lt;="&amp;B741)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1"/>
        <v>-92917.72</v>
      </c>
      <c r="L742" s="15" t="s">
        <v>132</v>
      </c>
      <c r="M742" s="44">
        <f>SUMIFS('Saldos Iniciales'!$D$2:$D$38,'Saldos Iniciales'!$A$2:$A$38,C742,'Saldos Iniciales'!$B$2:$B$38,D742)+SUMIFS($K$1:$K$892,$C$1:$C$892,C742,$D$1:$D$892,D742,$B$1:$B$892,"&lt;="&amp;B742)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1"/>
        <v>-97296.25</v>
      </c>
      <c r="L743" s="15" t="s">
        <v>132</v>
      </c>
      <c r="M743" s="44">
        <f>SUMIFS('Saldos Iniciales'!$D$2:$D$38,'Saldos Iniciales'!$A$2:$A$38,C743,'Saldos Iniciales'!$B$2:$B$38,D743)+SUMIFS($K$1:$K$892,$C$1:$C$892,C743,$D$1:$D$892,D743,$B$1:$B$892,"&lt;="&amp;B743)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1"/>
        <v>-230772.11</v>
      </c>
      <c r="L744" s="15" t="s">
        <v>132</v>
      </c>
      <c r="M744" s="44">
        <f>SUMIFS('Saldos Iniciales'!$D$2:$D$38,'Saldos Iniciales'!$A$2:$A$38,C744,'Saldos Iniciales'!$B$2:$B$38,D744)+SUMIFS($K$1:$K$892,$C$1:$C$892,C744,$D$1:$D$892,D744,$B$1:$B$892,"&lt;="&amp;B744)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1"/>
        <v>-663.66</v>
      </c>
      <c r="L745" s="15" t="s">
        <v>132</v>
      </c>
      <c r="M745" s="44">
        <f>SUMIFS('Saldos Iniciales'!$D$2:$D$38,'Saldos Iniciales'!$A$2:$A$38,C745,'Saldos Iniciales'!$B$2:$B$38,D745)+SUMIFS($K$1:$K$892,$C$1:$C$892,C745,$D$1:$D$892,D745,$B$1:$B$892,"&lt;="&amp;B745)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1"/>
        <v>-6</v>
      </c>
      <c r="L746" s="15" t="s">
        <v>132</v>
      </c>
      <c r="M746" s="44">
        <f>SUMIFS('Saldos Iniciales'!$D$2:$D$38,'Saldos Iniciales'!$A$2:$A$38,C746,'Saldos Iniciales'!$B$2:$B$38,D746)+SUMIFS($K$1:$K$892,$C$1:$C$892,C746,$D$1:$D$892,D746,$B$1:$B$892,"&lt;="&amp;B746)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1"/>
        <v>560000</v>
      </c>
      <c r="L747" s="15" t="s">
        <v>132</v>
      </c>
      <c r="M747" s="44">
        <f>SUMIFS('Saldos Iniciales'!$D$2:$D$38,'Saldos Iniciales'!$A$2:$A$38,C747,'Saldos Iniciales'!$B$2:$B$38,D747)+SUMIFS($K$1:$K$892,$C$1:$C$892,C747,$D$1:$D$892,D747,$B$1:$B$892,"&lt;="&amp;B747)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1"/>
        <v>-560000</v>
      </c>
      <c r="L748" s="15" t="s">
        <v>132</v>
      </c>
      <c r="M748" s="44">
        <f>SUMIFS('Saldos Iniciales'!$D$2:$D$38,'Saldos Iniciales'!$A$2:$A$38,C748,'Saldos Iniciales'!$B$2:$B$38,D748)+SUMIFS($K$1:$K$892,$C$1:$C$892,C748,$D$1:$D$892,D748,$B$1:$B$892,"&lt;="&amp;B748)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1"/>
        <v>-70000</v>
      </c>
      <c r="L749" s="15" t="s">
        <v>132</v>
      </c>
      <c r="M749" s="44">
        <f>SUMIFS('Saldos Iniciales'!$D$2:$D$38,'Saldos Iniciales'!$A$2:$A$38,C749,'Saldos Iniciales'!$B$2:$B$38,D749)+SUMIFS($K$1:$K$892,$C$1:$C$892,C749,$D$1:$D$892,D749,$B$1:$B$892,"&lt;="&amp;B749)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1"/>
        <v>-70000</v>
      </c>
      <c r="L750" s="15" t="s">
        <v>132</v>
      </c>
      <c r="M750" s="44">
        <f>SUMIFS('Saldos Iniciales'!$D$2:$D$38,'Saldos Iniciales'!$A$2:$A$38,C750,'Saldos Iniciales'!$B$2:$B$38,D750)+SUMIFS($K$1:$K$892,$C$1:$C$892,C750,$D$1:$D$892,D750,$B$1:$B$892,"&lt;="&amp;B750)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1"/>
        <v>70000</v>
      </c>
      <c r="L751" s="15" t="s">
        <v>132</v>
      </c>
      <c r="M751" s="44">
        <f>SUMIFS('Saldos Iniciales'!$D$2:$D$38,'Saldos Iniciales'!$A$2:$A$38,C751,'Saldos Iniciales'!$B$2:$B$38,D751)+SUMIFS($K$1:$K$892,$C$1:$C$892,C751,$D$1:$D$892,D751,$B$1:$B$892,"&lt;="&amp;B751)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1"/>
        <v>-106.4</v>
      </c>
      <c r="L752" s="15" t="s">
        <v>132</v>
      </c>
      <c r="M752" s="44">
        <f>SUMIFS('Saldos Iniciales'!$D$2:$D$38,'Saldos Iniciales'!$A$2:$A$38,C752,'Saldos Iniciales'!$B$2:$B$38,D752)+SUMIFS($K$1:$K$892,$C$1:$C$892,C752,$D$1:$D$892,D752,$B$1:$B$892,"&lt;="&amp;B752)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76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1"/>
        <v>-55</v>
      </c>
      <c r="L753" s="15" t="s">
        <v>132</v>
      </c>
      <c r="M753" s="44">
        <f>SUMIFS('Saldos Iniciales'!$D$2:$D$38,'Saldos Iniciales'!$A$2:$A$38,C753,'Saldos Iniciales'!$B$2:$B$38,D753)+SUMIFS($K$1:$K$892,$C$1:$C$892,C753,$D$1:$D$892,D753,$B$1:$B$892,"&lt;="&amp;B753)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76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1"/>
        <v>-55</v>
      </c>
      <c r="L754" s="15" t="s">
        <v>132</v>
      </c>
      <c r="M754" s="44">
        <f>SUMIFS('Saldos Iniciales'!$D$2:$D$38,'Saldos Iniciales'!$A$2:$A$38,C754,'Saldos Iniciales'!$B$2:$B$38,D754)+SUMIFS($K$1:$K$892,$C$1:$C$892,C754,$D$1:$D$892,D754,$B$1:$B$892,"&lt;="&amp;B754)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76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1"/>
        <v>-55</v>
      </c>
      <c r="L755" s="15" t="s">
        <v>132</v>
      </c>
      <c r="M755" s="44">
        <f>SUMIFS('Saldos Iniciales'!$D$2:$D$38,'Saldos Iniciales'!$A$2:$A$38,C755,'Saldos Iniciales'!$B$2:$B$38,D755)+SUMIFS($K$1:$K$892,$C$1:$C$892,C755,$D$1:$D$892,D755,$B$1:$B$892,"&lt;="&amp;B755)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1"/>
        <v>-60000</v>
      </c>
      <c r="L756" s="15" t="s">
        <v>132</v>
      </c>
      <c r="M756" s="44">
        <f>SUMIFS('Saldos Iniciales'!$D$2:$D$38,'Saldos Iniciales'!$A$2:$A$38,C756,'Saldos Iniciales'!$B$2:$B$38,D756)+SUMIFS($K$1:$K$892,$C$1:$C$892,C756,$D$1:$D$892,D756,$B$1:$B$892,"&lt;="&amp;B756)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1"/>
        <v>-300000</v>
      </c>
      <c r="L757" s="15" t="s">
        <v>132</v>
      </c>
      <c r="M757" s="44">
        <f>SUMIFS('Saldos Iniciales'!$D$2:$D$38,'Saldos Iniciales'!$A$2:$A$38,C757,'Saldos Iniciales'!$B$2:$B$38,D757)+SUMIFS($K$1:$K$892,$C$1:$C$892,C757,$D$1:$D$892,D757,$B$1:$B$892,"&lt;="&amp;B757)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1"/>
        <v>-10000</v>
      </c>
      <c r="L758" s="15" t="s">
        <v>132</v>
      </c>
      <c r="M758" s="44">
        <f>SUMIFS('Saldos Iniciales'!$D$2:$D$38,'Saldos Iniciales'!$A$2:$A$38,C758,'Saldos Iniciales'!$B$2:$B$38,D758)+SUMIFS($K$1:$K$892,$C$1:$C$892,C758,$D$1:$D$892,D758,$B$1:$B$892,"&lt;="&amp;B758)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1"/>
        <v>10000</v>
      </c>
      <c r="L759" s="15" t="s">
        <v>132</v>
      </c>
      <c r="M759" s="44">
        <f>SUMIFS('Saldos Iniciales'!$D$2:$D$38,'Saldos Iniciales'!$A$2:$A$38,C759,'Saldos Iniciales'!$B$2:$B$38,D759)+SUMIFS($K$1:$K$892,$C$1:$C$892,C759,$D$1:$D$892,D759,$B$1:$B$892,"&lt;="&amp;B759)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2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Iniciales'!$B$2:$B$38,D760)+SUMIFS($K$1:$K$892,$C$1:$C$892,C760,$D$1:$D$892,D760,$B$1:$B$892,"&lt;="&amp;B760)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2"/>
        <v>300000</v>
      </c>
      <c r="L761" s="15" t="s">
        <v>132</v>
      </c>
      <c r="M761" s="44">
        <f>SUMIFS('Saldos Iniciales'!$D$2:$D$38,'Saldos Iniciales'!$A$2:$A$38,C761,'Saldos Iniciales'!$B$2:$B$38,D761)+SUMIFS($K$1:$K$892,$C$1:$C$892,C761,$D$1:$D$892,D761,$B$1:$B$892,"&lt;="&amp;B761)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2"/>
        <v>500000</v>
      </c>
      <c r="L762" s="15" t="s">
        <v>132</v>
      </c>
      <c r="M762" s="44">
        <f>SUMIFS('Saldos Iniciales'!$D$2:$D$38,'Saldos Iniciales'!$A$2:$A$38,C762,'Saldos Iniciales'!$B$2:$B$38,D762)+SUMIFS($K$1:$K$892,$C$1:$C$892,C762,$D$1:$D$892,D762,$B$1:$B$892,"&lt;="&amp;B762)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2"/>
        <v>-2916.67</v>
      </c>
      <c r="L763" s="15" t="s">
        <v>132</v>
      </c>
      <c r="M763" s="44">
        <f>SUMIFS('Saldos Iniciales'!$D$2:$D$38,'Saldos Iniciales'!$A$2:$A$38,C763,'Saldos Iniciales'!$B$2:$B$38,D763)+SUMIFS($K$1:$K$892,$C$1:$C$892,C763,$D$1:$D$892,D763,$B$1:$B$892,"&lt;="&amp;B763)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2"/>
        <v>-3616.67</v>
      </c>
      <c r="L764" s="15" t="s">
        <v>132</v>
      </c>
      <c r="M764" s="44">
        <f>SUMIFS('Saldos Iniciales'!$D$2:$D$38,'Saldos Iniciales'!$A$2:$A$38,C764,'Saldos Iniciales'!$B$2:$B$38,D764)+SUMIFS($K$1:$K$892,$C$1:$C$892,C764,$D$1:$D$892,D764,$B$1:$B$892,"&lt;="&amp;B764)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2"/>
        <v>-5166.67</v>
      </c>
      <c r="L765" s="15" t="s">
        <v>132</v>
      </c>
      <c r="M765" s="44">
        <f>SUMIFS('Saldos Iniciales'!$D$2:$D$38,'Saldos Iniciales'!$A$2:$A$38,C765,'Saldos Iniciales'!$B$2:$B$38,D765)+SUMIFS($K$1:$K$892,$C$1:$C$892,C765,$D$1:$D$892,D765,$B$1:$B$892,"&lt;="&amp;B765)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2"/>
        <v>-12055.56</v>
      </c>
      <c r="L766" s="15" t="s">
        <v>132</v>
      </c>
      <c r="M766" s="44">
        <f>SUMIFS('Saldos Iniciales'!$D$2:$D$38,'Saldos Iniciales'!$A$2:$A$38,C766,'Saldos Iniciales'!$B$2:$B$38,D766)+SUMIFS($K$1:$K$892,$C$1:$C$892,C766,$D$1:$D$892,D766,$B$1:$B$892,"&lt;="&amp;B766)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2"/>
        <v>-14011.67</v>
      </c>
      <c r="L767" s="15" t="s">
        <v>132</v>
      </c>
      <c r="M767" s="44">
        <f>SUMIFS('Saldos Iniciales'!$D$2:$D$38,'Saldos Iniciales'!$A$2:$A$38,C767,'Saldos Iniciales'!$B$2:$B$38,D767)+SUMIFS($K$1:$K$892,$C$1:$C$892,C767,$D$1:$D$892,D767,$B$1:$B$892,"&lt;="&amp;B767)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2"/>
        <v>-22166.67</v>
      </c>
      <c r="L768" s="15" t="s">
        <v>132</v>
      </c>
      <c r="M768" s="44">
        <f>SUMIFS('Saldos Iniciales'!$D$2:$D$38,'Saldos Iniciales'!$A$2:$A$38,C768,'Saldos Iniciales'!$B$2:$B$38,D768)+SUMIFS($K$1:$K$892,$C$1:$C$892,C768,$D$1:$D$892,D768,$B$1:$B$892,"&lt;="&amp;B768)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2"/>
        <v>-24111.11</v>
      </c>
      <c r="L769" s="15" t="s">
        <v>132</v>
      </c>
      <c r="M769" s="44">
        <f>SUMIFS('Saldos Iniciales'!$D$2:$D$38,'Saldos Iniciales'!$A$2:$A$38,C769,'Saldos Iniciales'!$B$2:$B$38,D769)+SUMIFS($K$1:$K$892,$C$1:$C$892,C769,$D$1:$D$892,D769,$B$1:$B$892,"&lt;="&amp;B769)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2"/>
        <v>-27083.33</v>
      </c>
      <c r="L770" s="15" t="s">
        <v>132</v>
      </c>
      <c r="M770" s="44">
        <f>SUMIFS('Saldos Iniciales'!$D$2:$D$38,'Saldos Iniciales'!$A$2:$A$38,C770,'Saldos Iniciales'!$B$2:$B$38,D770)+SUMIFS($K$1:$K$892,$C$1:$C$892,C770,$D$1:$D$892,D770,$B$1:$B$892,"&lt;="&amp;B770)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2"/>
        <v>-40000</v>
      </c>
      <c r="L771" s="15" t="s">
        <v>132</v>
      </c>
      <c r="M771" s="44">
        <f>SUMIFS('Saldos Iniciales'!$D$2:$D$38,'Saldos Iniciales'!$A$2:$A$38,C771,'Saldos Iniciales'!$B$2:$B$38,D771)+SUMIFS($K$1:$K$892,$C$1:$C$892,C771,$D$1:$D$892,D771,$B$1:$B$892,"&lt;="&amp;B771)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2"/>
        <v>-57866.67</v>
      </c>
      <c r="L772" s="15" t="s">
        <v>132</v>
      </c>
      <c r="M772" s="44">
        <f>SUMIFS('Saldos Iniciales'!$D$2:$D$38,'Saldos Iniciales'!$A$2:$A$38,C772,'Saldos Iniciales'!$B$2:$B$38,D772)+SUMIFS($K$1:$K$892,$C$1:$C$892,C772,$D$1:$D$892,D772,$B$1:$B$892,"&lt;="&amp;B772)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2"/>
        <v>-60000</v>
      </c>
      <c r="L773" s="15" t="s">
        <v>132</v>
      </c>
      <c r="M773" s="44">
        <f>SUMIFS('Saldos Iniciales'!$D$2:$D$38,'Saldos Iniciales'!$A$2:$A$38,C773,'Saldos Iniciales'!$B$2:$B$38,D773)+SUMIFS($K$1:$K$892,$C$1:$C$892,C773,$D$1:$D$892,D773,$B$1:$B$892,"&lt;="&amp;B773)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2"/>
        <v>-72333.33</v>
      </c>
      <c r="L774" s="15" t="s">
        <v>132</v>
      </c>
      <c r="M774" s="44">
        <f>SUMIFS('Saldos Iniciales'!$D$2:$D$38,'Saldos Iniciales'!$A$2:$A$38,C774,'Saldos Iniciales'!$B$2:$B$38,D774)+SUMIFS($K$1:$K$892,$C$1:$C$892,C774,$D$1:$D$892,D774,$B$1:$B$892,"&lt;="&amp;B774)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2"/>
        <v>-85594.44</v>
      </c>
      <c r="L775" s="15" t="s">
        <v>132</v>
      </c>
      <c r="M775" s="44">
        <f>SUMIFS('Saldos Iniciales'!$D$2:$D$38,'Saldos Iniciales'!$A$2:$A$38,C775,'Saldos Iniciales'!$B$2:$B$38,D775)+SUMIFS($K$1:$K$892,$C$1:$C$892,C775,$D$1:$D$892,D775,$B$1:$B$892,"&lt;="&amp;B775)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2"/>
        <v>-100000</v>
      </c>
      <c r="L776" s="15" t="s">
        <v>132</v>
      </c>
      <c r="M776" s="44">
        <f>SUMIFS('Saldos Iniciales'!$D$2:$D$38,'Saldos Iniciales'!$A$2:$A$38,C776,'Saldos Iniciales'!$B$2:$B$38,D776)+SUMIFS($K$1:$K$892,$C$1:$C$892,C776,$D$1:$D$892,D776,$B$1:$B$892,"&lt;="&amp;B776)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2"/>
        <v>-200000</v>
      </c>
      <c r="L777" s="15" t="s">
        <v>132</v>
      </c>
      <c r="M777" s="44">
        <f>SUMIFS('Saldos Iniciales'!$D$2:$D$38,'Saldos Iniciales'!$A$2:$A$38,C777,'Saldos Iniciales'!$B$2:$B$38,D777)+SUMIFS($K$1:$K$892,$C$1:$C$892,C777,$D$1:$D$892,D777,$B$1:$B$892,"&lt;="&amp;B777)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2"/>
        <v>-10000</v>
      </c>
      <c r="L778" s="15" t="s">
        <v>132</v>
      </c>
      <c r="M778" s="44">
        <f>SUMIFS('Saldos Iniciales'!$D$2:$D$38,'Saldos Iniciales'!$A$2:$A$38,C778,'Saldos Iniciales'!$B$2:$B$38,D778)+SUMIFS($K$1:$K$892,$C$1:$C$892,C778,$D$1:$D$892,D778,$B$1:$B$892,"&lt;="&amp;B778)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2"/>
        <v>-500000</v>
      </c>
      <c r="L779" s="15" t="s">
        <v>132</v>
      </c>
      <c r="M779" s="44">
        <f>SUMIFS('Saldos Iniciales'!$D$2:$D$38,'Saldos Iniciales'!$A$2:$A$38,C779,'Saldos Iniciales'!$B$2:$B$38,D779)+SUMIFS($K$1:$K$892,$C$1:$C$892,C779,$D$1:$D$892,D779,$B$1:$B$892,"&lt;="&amp;B779)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2"/>
        <v>-9902.7800000000007</v>
      </c>
      <c r="L780" s="15" t="s">
        <v>132</v>
      </c>
      <c r="M780" s="44">
        <f>SUMIFS('Saldos Iniciales'!$D$2:$D$38,'Saldos Iniciales'!$A$2:$A$38,C780,'Saldos Iniciales'!$B$2:$B$38,D780)+SUMIFS($K$1:$K$892,$C$1:$C$892,C780,$D$1:$D$892,D780,$B$1:$B$892,"&lt;="&amp;B780)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2"/>
        <v>-55455.56</v>
      </c>
      <c r="L781" s="15" t="s">
        <v>132</v>
      </c>
      <c r="M781" s="44">
        <f>SUMIFS('Saldos Iniciales'!$D$2:$D$38,'Saldos Iniciales'!$A$2:$A$38,C781,'Saldos Iniciales'!$B$2:$B$38,D781)+SUMIFS($K$1:$K$892,$C$1:$C$892,C781,$D$1:$D$892,D781,$B$1:$B$892,"&lt;="&amp;B781)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2"/>
        <v>-138638.89000000001</v>
      </c>
      <c r="L782" s="15" t="s">
        <v>132</v>
      </c>
      <c r="M782" s="44">
        <f>SUMIFS('Saldos Iniciales'!$D$2:$D$38,'Saldos Iniciales'!$A$2:$A$38,C782,'Saldos Iniciales'!$B$2:$B$38,D782)+SUMIFS($K$1:$K$892,$C$1:$C$892,C782,$D$1:$D$892,D782,$B$1:$B$892,"&lt;="&amp;B782)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2"/>
        <v>10000</v>
      </c>
      <c r="L783" s="15" t="s">
        <v>132</v>
      </c>
      <c r="M783" s="44">
        <f>SUMIFS('Saldos Iniciales'!$D$2:$D$38,'Saldos Iniciales'!$A$2:$A$38,C783,'Saldos Iniciales'!$B$2:$B$38,D783)+SUMIFS($K$1:$K$892,$C$1:$C$892,C783,$D$1:$D$892,D783,$B$1:$B$892,"&lt;="&amp;B783)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2"/>
        <v>-10000</v>
      </c>
      <c r="L784" s="15" t="s">
        <v>132</v>
      </c>
      <c r="M784" s="44">
        <f>SUMIFS('Saldos Iniciales'!$D$2:$D$38,'Saldos Iniciales'!$A$2:$A$38,C784,'Saldos Iniciales'!$B$2:$B$38,D784)+SUMIFS($K$1:$K$892,$C$1:$C$892,C784,$D$1:$D$892,D784,$B$1:$B$892,"&lt;="&amp;B784)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2"/>
        <v>10000</v>
      </c>
      <c r="L785" s="15" t="s">
        <v>132</v>
      </c>
      <c r="M785" s="44">
        <f>SUMIFS('Saldos Iniciales'!$D$2:$D$38,'Saldos Iniciales'!$A$2:$A$38,C785,'Saldos Iniciales'!$B$2:$B$38,D785)+SUMIFS($K$1:$K$892,$C$1:$C$892,C785,$D$1:$D$892,D785,$B$1:$B$892,"&lt;="&amp;B785)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2"/>
        <v>-2500</v>
      </c>
      <c r="L786" s="15" t="s">
        <v>132</v>
      </c>
      <c r="M786" s="44">
        <f>SUMIFS('Saldos Iniciales'!$D$2:$D$38,'Saldos Iniciales'!$A$2:$A$38,C786,'Saldos Iniciales'!$B$2:$B$38,D786)+SUMIFS($K$1:$K$892,$C$1:$C$892,C786,$D$1:$D$892,D786,$B$1:$B$892,"&lt;="&amp;B786)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2"/>
        <v>-15</v>
      </c>
      <c r="L787" s="15" t="s">
        <v>132</v>
      </c>
      <c r="M787" s="44">
        <f>SUMIFS('Saldos Iniciales'!$D$2:$D$38,'Saldos Iniciales'!$A$2:$A$38,C787,'Saldos Iniciales'!$B$2:$B$38,D787)+SUMIFS($K$1:$K$892,$C$1:$C$892,C787,$D$1:$D$892,D787,$B$1:$B$892,"&lt;="&amp;B787)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2"/>
        <v>-5199.1400000000003</v>
      </c>
      <c r="L788" s="15" t="s">
        <v>132</v>
      </c>
      <c r="M788" s="44">
        <f>SUMIFS('Saldos Iniciales'!$D$2:$D$38,'Saldos Iniciales'!$A$2:$A$38,C788,'Saldos Iniciales'!$B$2:$B$38,D788)+SUMIFS($K$1:$K$892,$C$1:$C$892,C788,$D$1:$D$892,D788,$B$1:$B$892,"&lt;="&amp;B788)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2"/>
        <v>-15</v>
      </c>
      <c r="L789" s="15" t="s">
        <v>132</v>
      </c>
      <c r="M789" s="44">
        <f>SUMIFS('Saldos Iniciales'!$D$2:$D$38,'Saldos Iniciales'!$A$2:$A$38,C789,'Saldos Iniciales'!$B$2:$B$38,D789)+SUMIFS($K$1:$K$892,$C$1:$C$892,C789,$D$1:$D$892,D789,$B$1:$B$892,"&lt;="&amp;B789)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77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2"/>
        <v>-18.8</v>
      </c>
      <c r="L790" s="15" t="s">
        <v>132</v>
      </c>
      <c r="M790" s="44">
        <f>SUMIFS('Saldos Iniciales'!$D$2:$D$38,'Saldos Iniciales'!$A$2:$A$38,C790,'Saldos Iniciales'!$B$2:$B$38,D790)+SUMIFS($K$1:$K$892,$C$1:$C$892,C790,$D$1:$D$892,D790,$B$1:$B$892,"&lt;="&amp;B790)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76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2"/>
        <v>-108.95</v>
      </c>
      <c r="L791" s="15" t="s">
        <v>132</v>
      </c>
      <c r="M791" s="44">
        <f>SUMIFS('Saldos Iniciales'!$D$2:$D$38,'Saldos Iniciales'!$A$2:$A$38,C791,'Saldos Iniciales'!$B$2:$B$38,D791)+SUMIFS($K$1:$K$892,$C$1:$C$892,C791,$D$1:$D$892,D791,$B$1:$B$892,"&lt;="&amp;B791)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2"/>
        <v>-15</v>
      </c>
      <c r="L792" s="15" t="s">
        <v>132</v>
      </c>
      <c r="M792" s="44">
        <f>SUMIFS('Saldos Iniciales'!$D$2:$D$38,'Saldos Iniciales'!$A$2:$A$38,C792,'Saldos Iniciales'!$B$2:$B$38,D792)+SUMIFS($K$1:$K$892,$C$1:$C$892,C792,$D$1:$D$892,D792,$B$1:$B$892,"&lt;="&amp;B792)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2"/>
        <v>-100000</v>
      </c>
      <c r="L793" s="15" t="s">
        <v>132</v>
      </c>
      <c r="M793" s="44">
        <f>SUMIFS('Saldos Iniciales'!$D$2:$D$38,'Saldos Iniciales'!$A$2:$A$38,C793,'Saldos Iniciales'!$B$2:$B$38,D793)+SUMIFS($K$1:$K$892,$C$1:$C$892,C793,$D$1:$D$892,D793,$B$1:$B$892,"&lt;="&amp;B793)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76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2"/>
        <v>3.87</v>
      </c>
      <c r="L794" s="15" t="s">
        <v>132</v>
      </c>
      <c r="M794" s="44">
        <f>SUMIFS('Saldos Iniciales'!$D$2:$D$38,'Saldos Iniciales'!$A$2:$A$38,C794,'Saldos Iniciales'!$B$2:$B$38,D794)+SUMIFS($K$1:$K$892,$C$1:$C$892,C794,$D$1:$D$892,D794,$B$1:$B$892,"&lt;="&amp;B794)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2"/>
        <v>-29.75</v>
      </c>
      <c r="L795" s="15" t="s">
        <v>132</v>
      </c>
      <c r="M795" s="44">
        <f>SUMIFS('Saldos Iniciales'!$D$2:$D$38,'Saldos Iniciales'!$A$2:$A$38,C795,'Saldos Iniciales'!$B$2:$B$38,D795)+SUMIFS($K$1:$K$892,$C$1:$C$892,C795,$D$1:$D$892,D795,$B$1:$B$892,"&lt;="&amp;B795)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2"/>
        <v>-420.6</v>
      </c>
      <c r="L796" s="15" t="s">
        <v>132</v>
      </c>
      <c r="M796" s="44">
        <f>SUMIFS('Saldos Iniciales'!$D$2:$D$38,'Saldos Iniciales'!$A$2:$A$38,C796,'Saldos Iniciales'!$B$2:$B$38,D796)+SUMIFS($K$1:$K$892,$C$1:$C$892,C796,$D$1:$D$892,D796,$B$1:$B$892,"&lt;="&amp;B796)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2"/>
        <v>-34801.339999999997</v>
      </c>
      <c r="L797" s="15" t="s">
        <v>132</v>
      </c>
      <c r="M797" s="44">
        <f>SUMIFS('Saldos Iniciales'!$D$2:$D$38,'Saldos Iniciales'!$A$2:$A$38,C797,'Saldos Iniciales'!$B$2:$B$38,D797)+SUMIFS($K$1:$K$892,$C$1:$C$892,C797,$D$1:$D$892,D797,$B$1:$B$892,"&lt;="&amp;B797)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2"/>
        <v>-175</v>
      </c>
      <c r="L798" s="15" t="s">
        <v>132</v>
      </c>
      <c r="M798" s="44">
        <f>SUMIFS('Saldos Iniciales'!$D$2:$D$38,'Saldos Iniciales'!$A$2:$A$38,C798,'Saldos Iniciales'!$B$2:$B$38,D798)+SUMIFS($K$1:$K$892,$C$1:$C$892,C798,$D$1:$D$892,D798,$B$1:$B$892,"&lt;="&amp;B798)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2"/>
        <v>-2490.36</v>
      </c>
      <c r="L799" s="15" t="s">
        <v>132</v>
      </c>
      <c r="M799" s="44">
        <f>SUMIFS('Saldos Iniciales'!$D$2:$D$38,'Saldos Iniciales'!$A$2:$A$38,C799,'Saldos Iniciales'!$B$2:$B$38,D799)+SUMIFS($K$1:$K$892,$C$1:$C$892,C799,$D$1:$D$892,D799,$B$1:$B$892,"&lt;="&amp;B799)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2"/>
        <v>105861.78</v>
      </c>
      <c r="L800" s="15" t="s">
        <v>132</v>
      </c>
      <c r="M800" s="44">
        <f>SUMIFS('Saldos Iniciales'!$D$2:$D$38,'Saldos Iniciales'!$A$2:$A$38,C800,'Saldos Iniciales'!$B$2:$B$38,D800)+SUMIFS($K$1:$K$892,$C$1:$C$892,C800,$D$1:$D$892,D800,$B$1:$B$892,"&lt;="&amp;B800)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2"/>
        <v>-737.04</v>
      </c>
      <c r="L801" s="15" t="s">
        <v>132</v>
      </c>
      <c r="M801" s="44">
        <f>SUMIFS('Saldos Iniciales'!$D$2:$D$38,'Saldos Iniciales'!$A$2:$A$38,C801,'Saldos Iniciales'!$B$2:$B$38,D801)+SUMIFS($K$1:$K$892,$C$1:$C$892,C801,$D$1:$D$892,D801,$B$1:$B$892,"&lt;="&amp;B801)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2"/>
        <v>-166.66</v>
      </c>
      <c r="L802" s="15" t="s">
        <v>132</v>
      </c>
      <c r="M802" s="44">
        <f>SUMIFS('Saldos Iniciales'!$D$2:$D$38,'Saldos Iniciales'!$A$2:$A$38,C802,'Saldos Iniciales'!$B$2:$B$38,D802)+SUMIFS($K$1:$K$892,$C$1:$C$892,C802,$D$1:$D$892,D802,$B$1:$B$892,"&lt;="&amp;B802)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2"/>
        <v>500000</v>
      </c>
      <c r="L803" s="15" t="s">
        <v>132</v>
      </c>
      <c r="M803" s="44">
        <f>SUMIFS('Saldos Iniciales'!$D$2:$D$38,'Saldos Iniciales'!$A$2:$A$38,C803,'Saldos Iniciales'!$B$2:$B$38,D803)+SUMIFS($K$1:$K$892,$C$1:$C$892,C803,$D$1:$D$892,D803,$B$1:$B$892,"&lt;="&amp;B803)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2"/>
        <v>-3833.33</v>
      </c>
      <c r="L804" s="15" t="s">
        <v>132</v>
      </c>
      <c r="M804" s="44">
        <f>SUMIFS('Saldos Iniciales'!$D$2:$D$38,'Saldos Iniciales'!$A$2:$A$38,C804,'Saldos Iniciales'!$B$2:$B$38,D804)+SUMIFS($K$1:$K$892,$C$1:$C$892,C804,$D$1:$D$892,D804,$B$1:$B$892,"&lt;="&amp;B804)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2"/>
        <v>-70000</v>
      </c>
      <c r="L805" s="15" t="s">
        <v>132</v>
      </c>
      <c r="M805" s="44">
        <f>SUMIFS('Saldos Iniciales'!$D$2:$D$38,'Saldos Iniciales'!$A$2:$A$38,C805,'Saldos Iniciales'!$B$2:$B$38,D805)+SUMIFS($K$1:$K$892,$C$1:$C$892,C805,$D$1:$D$892,D805,$B$1:$B$892,"&lt;="&amp;B805)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2"/>
        <v>-71041.67</v>
      </c>
      <c r="L806" s="15" t="s">
        <v>132</v>
      </c>
      <c r="M806" s="44">
        <f>SUMIFS('Saldos Iniciales'!$D$2:$D$38,'Saldos Iniciales'!$A$2:$A$38,C806,'Saldos Iniciales'!$B$2:$B$38,D806)+SUMIFS($K$1:$K$892,$C$1:$C$892,C806,$D$1:$D$892,D806,$B$1:$B$892,"&lt;="&amp;B806)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2"/>
        <v>-100000</v>
      </c>
      <c r="L807" s="15" t="s">
        <v>132</v>
      </c>
      <c r="M807" s="44">
        <f>SUMIFS('Saldos Iniciales'!$D$2:$D$38,'Saldos Iniciales'!$A$2:$A$38,C807,'Saldos Iniciales'!$B$2:$B$38,D807)+SUMIFS($K$1:$K$892,$C$1:$C$892,C807,$D$1:$D$892,D807,$B$1:$B$892,"&lt;="&amp;B807)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2"/>
        <v>-100000</v>
      </c>
      <c r="L808" s="15" t="s">
        <v>132</v>
      </c>
      <c r="M808" s="44">
        <f>SUMIFS('Saldos Iniciales'!$D$2:$D$38,'Saldos Iniciales'!$A$2:$A$38,C808,'Saldos Iniciales'!$B$2:$B$38,D808)+SUMIFS($K$1:$K$892,$C$1:$C$892,C808,$D$1:$D$892,D808,$B$1:$B$892,"&lt;="&amp;B808)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2"/>
        <v>-2555.56</v>
      </c>
      <c r="L809" s="15" t="s">
        <v>132</v>
      </c>
      <c r="M809" s="44">
        <f>SUMIFS('Saldos Iniciales'!$D$2:$D$38,'Saldos Iniciales'!$A$2:$A$38,C809,'Saldos Iniciales'!$B$2:$B$38,D809)+SUMIFS($K$1:$K$892,$C$1:$C$892,C809,$D$1:$D$892,D809,$B$1:$B$892,"&lt;="&amp;B809)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2"/>
        <v>-26250</v>
      </c>
      <c r="L810" s="15" t="s">
        <v>132</v>
      </c>
      <c r="M810" s="44">
        <f>SUMIFS('Saldos Iniciales'!$D$2:$D$38,'Saldos Iniciales'!$A$2:$A$38,C810,'Saldos Iniciales'!$B$2:$B$38,D810)+SUMIFS($K$1:$K$892,$C$1:$C$892,C810,$D$1:$D$892,D810,$B$1:$B$892,"&lt;="&amp;B810)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2"/>
        <v>-47361.11</v>
      </c>
      <c r="L811" s="15" t="s">
        <v>132</v>
      </c>
      <c r="M811" s="44">
        <f>SUMIFS('Saldos Iniciales'!$D$2:$D$38,'Saldos Iniciales'!$A$2:$A$38,C811,'Saldos Iniciales'!$B$2:$B$38,D811)+SUMIFS($K$1:$K$892,$C$1:$C$892,C811,$D$1:$D$892,D811,$B$1:$B$892,"&lt;="&amp;B811)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2"/>
        <v>-59583.34</v>
      </c>
      <c r="L812" s="15" t="s">
        <v>132</v>
      </c>
      <c r="M812" s="44">
        <f>SUMIFS('Saldos Iniciales'!$D$2:$D$38,'Saldos Iniciales'!$A$2:$A$38,C812,'Saldos Iniciales'!$B$2:$B$38,D812)+SUMIFS($K$1:$K$892,$C$1:$C$892,C812,$D$1:$D$892,D812,$B$1:$B$892,"&lt;="&amp;B812)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2"/>
        <v>-1809.12</v>
      </c>
      <c r="L813" s="15" t="s">
        <v>132</v>
      </c>
      <c r="M813" s="44">
        <f>SUMIFS('Saldos Iniciales'!$D$2:$D$38,'Saldos Iniciales'!$A$2:$A$38,C813,'Saldos Iniciales'!$B$2:$B$38,D813)+SUMIFS($K$1:$K$892,$C$1:$C$892,C813,$D$1:$D$892,D813,$B$1:$B$892,"&lt;="&amp;B813)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2"/>
        <v>-15</v>
      </c>
      <c r="L814" s="15" t="s">
        <v>132</v>
      </c>
      <c r="M814" s="44">
        <f>SUMIFS('Saldos Iniciales'!$D$2:$D$38,'Saldos Iniciales'!$A$2:$A$38,C814,'Saldos Iniciales'!$B$2:$B$38,D814)+SUMIFS($K$1:$K$892,$C$1:$C$892,C814,$D$1:$D$892,D814,$B$1:$B$892,"&lt;="&amp;B814)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2"/>
        <v>-780.9</v>
      </c>
      <c r="L815" s="15" t="s">
        <v>132</v>
      </c>
      <c r="M815" s="44">
        <f>SUMIFS('Saldos Iniciales'!$D$2:$D$38,'Saldos Iniciales'!$A$2:$A$38,C815,'Saldos Iniciales'!$B$2:$B$38,D815)+SUMIFS($K$1:$K$892,$C$1:$C$892,C815,$D$1:$D$892,D815,$B$1:$B$892,"&lt;="&amp;B815)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2"/>
        <v>-60000</v>
      </c>
      <c r="L816" s="15" t="s">
        <v>132</v>
      </c>
      <c r="M816" s="44">
        <f>SUMIFS('Saldos Iniciales'!$D$2:$D$38,'Saldos Iniciales'!$A$2:$A$38,C816,'Saldos Iniciales'!$B$2:$B$38,D816)+SUMIFS($K$1:$K$892,$C$1:$C$892,C816,$D$1:$D$892,D816,$B$1:$B$892,"&lt;="&amp;B816)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174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2"/>
        <v>-199.99</v>
      </c>
      <c r="L817" s="15" t="s">
        <v>132</v>
      </c>
      <c r="M817" s="44">
        <f>SUMIFS('Saldos Iniciales'!$D$2:$D$38,'Saldos Iniciales'!$A$2:$A$38,C817,'Saldos Iniciales'!$B$2:$B$38,D817)+SUMIFS($K$1:$K$892,$C$1:$C$892,C817,$D$1:$D$892,D817,$B$1:$B$892,"&lt;="&amp;B817)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2"/>
        <v>-762.99</v>
      </c>
      <c r="L818" s="15" t="s">
        <v>132</v>
      </c>
      <c r="M818" s="44">
        <f>SUMIFS('Saldos Iniciales'!$D$2:$D$38,'Saldos Iniciales'!$A$2:$A$38,C818,'Saldos Iniciales'!$B$2:$B$38,D818)+SUMIFS($K$1:$K$892,$C$1:$C$892,C818,$D$1:$D$892,D818,$B$1:$B$892,"&lt;="&amp;B818)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2"/>
        <v>5731.99</v>
      </c>
      <c r="L819" s="15" t="s">
        <v>132</v>
      </c>
      <c r="M819" s="44">
        <f>SUMIFS('Saldos Iniciales'!$D$2:$D$38,'Saldos Iniciales'!$A$2:$A$38,C819,'Saldos Iniciales'!$B$2:$B$38,D819)+SUMIFS($K$1:$K$892,$C$1:$C$892,C819,$D$1:$D$892,D819,$B$1:$B$892,"&lt;="&amp;B819)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2"/>
        <v>457.74</v>
      </c>
      <c r="L820" s="15" t="s">
        <v>132</v>
      </c>
      <c r="M820" s="44">
        <f>SUMIFS('Saldos Iniciales'!$D$2:$D$38,'Saldos Iniciales'!$A$2:$A$38,C820,'Saldos Iniciales'!$B$2:$B$38,D820)+SUMIFS($K$1:$K$892,$C$1:$C$892,C820,$D$1:$D$892,D820,$B$1:$B$892,"&lt;="&amp;B820)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174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2"/>
        <v>-21.95</v>
      </c>
      <c r="L821" s="15" t="s">
        <v>132</v>
      </c>
      <c r="M821" s="44">
        <f>SUMIFS('Saldos Iniciales'!$D$2:$D$38,'Saldos Iniciales'!$A$2:$A$38,C821,'Saldos Iniciales'!$B$2:$B$38,D821)+SUMIFS($K$1:$K$892,$C$1:$C$892,C821,$D$1:$D$892,D821,$B$1:$B$892,"&lt;="&amp;B821)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2"/>
        <v>-30000</v>
      </c>
      <c r="L822" s="15" t="s">
        <v>132</v>
      </c>
      <c r="M822" s="44">
        <f>SUMIFS('Saldos Iniciales'!$D$2:$D$38,'Saldos Iniciales'!$A$2:$A$38,C822,'Saldos Iniciales'!$B$2:$B$38,D822)+SUMIFS($K$1:$K$892,$C$1:$C$892,C822,$D$1:$D$892,D822,$B$1:$B$892,"&lt;="&amp;B822)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2"/>
        <v>-100000</v>
      </c>
      <c r="L823" s="15" t="s">
        <v>132</v>
      </c>
      <c r="M823" s="44">
        <f>SUMIFS('Saldos Iniciales'!$D$2:$D$38,'Saldos Iniciales'!$A$2:$A$38,C823,'Saldos Iniciales'!$B$2:$B$38,D823)+SUMIFS($K$1:$K$892,$C$1:$C$892,C823,$D$1:$D$892,D823,$B$1:$B$892,"&lt;="&amp;B823)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3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Iniciales'!$B$2:$B$38,D824)+SUMIFS($K$1:$K$892,$C$1:$C$892,C824,$D$1:$D$892,D824,$B$1:$B$892,"&lt;="&amp;B824)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3"/>
        <v>17345.61</v>
      </c>
      <c r="L825" s="15" t="s">
        <v>132</v>
      </c>
      <c r="M825" s="44">
        <f>SUMIFS('Saldos Iniciales'!$D$2:$D$38,'Saldos Iniciales'!$A$2:$A$38,C825,'Saldos Iniciales'!$B$2:$B$38,D825)+SUMIFS($K$1:$K$892,$C$1:$C$892,C825,$D$1:$D$892,D825,$B$1:$B$892,"&lt;="&amp;B825)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3"/>
        <v>145829.28</v>
      </c>
      <c r="L826" s="15" t="s">
        <v>132</v>
      </c>
      <c r="M826" s="44">
        <f>SUMIFS('Saldos Iniciales'!$D$2:$D$38,'Saldos Iniciales'!$A$2:$A$38,C826,'Saldos Iniciales'!$B$2:$B$38,D826)+SUMIFS($K$1:$K$892,$C$1:$C$892,C826,$D$1:$D$892,D826,$B$1:$B$892,"&lt;="&amp;B826)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3"/>
        <v>8056.89</v>
      </c>
      <c r="L827" s="15" t="s">
        <v>132</v>
      </c>
      <c r="M827" s="44">
        <f>SUMIFS('Saldos Iniciales'!$D$2:$D$38,'Saldos Iniciales'!$A$2:$A$38,C827,'Saldos Iniciales'!$B$2:$B$38,D827)+SUMIFS($K$1:$K$892,$C$1:$C$892,C827,$D$1:$D$892,D827,$B$1:$B$892,"&lt;="&amp;B827)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3"/>
        <v>6974.11</v>
      </c>
      <c r="L828" s="15" t="s">
        <v>132</v>
      </c>
      <c r="M828" s="44">
        <f>SUMIFS('Saldos Iniciales'!$D$2:$D$38,'Saldos Iniciales'!$A$2:$A$38,C828,'Saldos Iniciales'!$B$2:$B$38,D828)+SUMIFS($K$1:$K$892,$C$1:$C$892,C828,$D$1:$D$892,D828,$B$1:$B$892,"&lt;="&amp;B828)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3"/>
        <v>17545.53</v>
      </c>
      <c r="L829" s="15" t="s">
        <v>132</v>
      </c>
      <c r="M829" s="44">
        <f>SUMIFS('Saldos Iniciales'!$D$2:$D$38,'Saldos Iniciales'!$A$2:$A$38,C829,'Saldos Iniciales'!$B$2:$B$38,D829)+SUMIFS($K$1:$K$892,$C$1:$C$892,C829,$D$1:$D$892,D829,$B$1:$B$892,"&lt;="&amp;B829)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3"/>
        <v>-100</v>
      </c>
      <c r="L830" s="15" t="s">
        <v>132</v>
      </c>
      <c r="M830" s="44">
        <f>SUMIFS('Saldos Iniciales'!$D$2:$D$38,'Saldos Iniciales'!$A$2:$A$38,C830,'Saldos Iniciales'!$B$2:$B$38,D830)+SUMIFS($K$1:$K$892,$C$1:$C$892,C830,$D$1:$D$892,D830,$B$1:$B$892,"&lt;="&amp;B830)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3"/>
        <v>-30</v>
      </c>
      <c r="L831" s="15" t="s">
        <v>132</v>
      </c>
      <c r="M831" s="44">
        <f>SUMIFS('Saldos Iniciales'!$D$2:$D$38,'Saldos Iniciales'!$A$2:$A$38,C831,'Saldos Iniciales'!$B$2:$B$38,D831)+SUMIFS($K$1:$K$892,$C$1:$C$892,C831,$D$1:$D$892,D831,$B$1:$B$892,"&lt;="&amp;B831)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3"/>
        <v>185000</v>
      </c>
      <c r="L832" s="15" t="s">
        <v>132</v>
      </c>
      <c r="M832" s="44">
        <f>SUMIFS('Saldos Iniciales'!$D$2:$D$38,'Saldos Iniciales'!$A$2:$A$38,C832,'Saldos Iniciales'!$B$2:$B$38,D832)+SUMIFS($K$1:$K$892,$C$1:$C$892,C832,$D$1:$D$892,D832,$B$1:$B$892,"&lt;="&amp;B832)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3"/>
        <v>-60000</v>
      </c>
      <c r="L833" s="15" t="s">
        <v>132</v>
      </c>
      <c r="M833" s="44">
        <f>SUMIFS('Saldos Iniciales'!$D$2:$D$38,'Saldos Iniciales'!$A$2:$A$38,C833,'Saldos Iniciales'!$B$2:$B$38,D833)+SUMIFS($K$1:$K$892,$C$1:$C$892,C833,$D$1:$D$892,D833,$B$1:$B$892,"&lt;="&amp;B833)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3"/>
        <v>116197.06</v>
      </c>
      <c r="L834" s="15" t="s">
        <v>132</v>
      </c>
      <c r="M834" s="44">
        <f>SUMIFS('Saldos Iniciales'!$D$2:$D$38,'Saldos Iniciales'!$A$2:$A$38,C834,'Saldos Iniciales'!$B$2:$B$38,D834)+SUMIFS($K$1:$K$892,$C$1:$C$892,C834,$D$1:$D$892,D834,$B$1:$B$892,"&lt;="&amp;B834)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3"/>
        <v>-21000</v>
      </c>
      <c r="L835" s="15" t="s">
        <v>132</v>
      </c>
      <c r="M835" s="44">
        <f>SUMIFS('Saldos Iniciales'!$D$2:$D$38,'Saldos Iniciales'!$A$2:$A$38,C835,'Saldos Iniciales'!$B$2:$B$38,D835)+SUMIFS($K$1:$K$892,$C$1:$C$892,C835,$D$1:$D$892,D835,$B$1:$B$892,"&lt;="&amp;B835)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3"/>
        <v>-20000</v>
      </c>
      <c r="L836" s="15" t="s">
        <v>132</v>
      </c>
      <c r="M836" s="44">
        <f>SUMIFS('Saldos Iniciales'!$D$2:$D$38,'Saldos Iniciales'!$A$2:$A$38,C836,'Saldos Iniciales'!$B$2:$B$38,D836)+SUMIFS($K$1:$K$892,$C$1:$C$892,C836,$D$1:$D$892,D836,$B$1:$B$892,"&lt;="&amp;B836)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3"/>
        <v>100</v>
      </c>
      <c r="L837" s="15" t="s">
        <v>132</v>
      </c>
      <c r="M837" s="44">
        <f>SUMIFS('Saldos Iniciales'!$D$2:$D$38,'Saldos Iniciales'!$A$2:$A$38,C837,'Saldos Iniciales'!$B$2:$B$38,D837)+SUMIFS($K$1:$K$892,$C$1:$C$892,C837,$D$1:$D$892,D837,$B$1:$B$892,"&lt;="&amp;B837)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3"/>
        <v>20000</v>
      </c>
      <c r="L838" s="15" t="s">
        <v>132</v>
      </c>
      <c r="M838" s="44">
        <f>SUMIFS('Saldos Iniciales'!$D$2:$D$38,'Saldos Iniciales'!$A$2:$A$38,C838,'Saldos Iniciales'!$B$2:$B$38,D838)+SUMIFS($K$1:$K$892,$C$1:$C$892,C838,$D$1:$D$892,D838,$B$1:$B$892,"&lt;="&amp;B838)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3"/>
        <v>21000</v>
      </c>
      <c r="L839" s="15" t="s">
        <v>132</v>
      </c>
      <c r="M839" s="44">
        <f>SUMIFS('Saldos Iniciales'!$D$2:$D$38,'Saldos Iniciales'!$A$2:$A$38,C839,'Saldos Iniciales'!$B$2:$B$38,D839)+SUMIFS($K$1:$K$892,$C$1:$C$892,C839,$D$1:$D$892,D839,$B$1:$B$892,"&lt;="&amp;B839)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3"/>
        <v>-2366.67</v>
      </c>
      <c r="L840" s="15" t="s">
        <v>132</v>
      </c>
      <c r="M840" s="44">
        <f>SUMIFS('Saldos Iniciales'!$D$2:$D$38,'Saldos Iniciales'!$A$2:$A$38,C840,'Saldos Iniciales'!$B$2:$B$38,D840)+SUMIFS($K$1:$K$892,$C$1:$C$892,C840,$D$1:$D$892,D840,$B$1:$B$892,"&lt;="&amp;B840)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3"/>
        <v>-10000</v>
      </c>
      <c r="L841" s="15" t="s">
        <v>132</v>
      </c>
      <c r="M841" s="44">
        <f>SUMIFS('Saldos Iniciales'!$D$2:$D$38,'Saldos Iniciales'!$A$2:$A$38,C841,'Saldos Iniciales'!$B$2:$B$38,D841)+SUMIFS($K$1:$K$892,$C$1:$C$892,C841,$D$1:$D$892,D841,$B$1:$B$892,"&lt;="&amp;B841)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3"/>
        <v>-10833.33</v>
      </c>
      <c r="L842" s="15" t="s">
        <v>132</v>
      </c>
      <c r="M842" s="44">
        <f>SUMIFS('Saldos Iniciales'!$D$2:$D$38,'Saldos Iniciales'!$A$2:$A$38,C842,'Saldos Iniciales'!$B$2:$B$38,D842)+SUMIFS($K$1:$K$892,$C$1:$C$892,C842,$D$1:$D$892,D842,$B$1:$B$892,"&lt;="&amp;B842)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3"/>
        <v>-4375</v>
      </c>
      <c r="L843" s="15" t="s">
        <v>132</v>
      </c>
      <c r="M843" s="44">
        <f>SUMIFS('Saldos Iniciales'!$D$2:$D$38,'Saldos Iniciales'!$A$2:$A$38,C843,'Saldos Iniciales'!$B$2:$B$38,D843)+SUMIFS($K$1:$K$892,$C$1:$C$892,C843,$D$1:$D$892,D843,$B$1:$B$892,"&lt;="&amp;B843)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3"/>
        <v>-8666.67</v>
      </c>
      <c r="L844" s="15" t="s">
        <v>132</v>
      </c>
      <c r="M844" s="44">
        <f>SUMIFS('Saldos Iniciales'!$D$2:$D$38,'Saldos Iniciales'!$A$2:$A$38,C844,'Saldos Iniciales'!$B$2:$B$38,D844)+SUMIFS($K$1:$K$892,$C$1:$C$892,C844,$D$1:$D$892,D844,$B$1:$B$892,"&lt;="&amp;B844)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3"/>
        <v>-10753.2</v>
      </c>
      <c r="L845" s="15" t="s">
        <v>132</v>
      </c>
      <c r="M845" s="44">
        <f>SUMIFS('Saldos Iniciales'!$D$2:$D$38,'Saldos Iniciales'!$A$2:$A$38,C845,'Saldos Iniciales'!$B$2:$B$38,D845)+SUMIFS($K$1:$K$892,$C$1:$C$892,C845,$D$1:$D$892,D845,$B$1:$B$892,"&lt;="&amp;B845)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3"/>
        <v>-381.14</v>
      </c>
      <c r="L846" s="15" t="s">
        <v>132</v>
      </c>
      <c r="M846" s="44">
        <f>SUMIFS('Saldos Iniciales'!$D$2:$D$38,'Saldos Iniciales'!$A$2:$A$38,C846,'Saldos Iniciales'!$B$2:$B$38,D846)+SUMIFS($K$1:$K$892,$C$1:$C$892,C846,$D$1:$D$892,D846,$B$1:$B$892,"&lt;="&amp;B846)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3"/>
        <v>-15</v>
      </c>
      <c r="L847" s="15" t="s">
        <v>132</v>
      </c>
      <c r="M847" s="44">
        <f>SUMIFS('Saldos Iniciales'!$D$2:$D$38,'Saldos Iniciales'!$A$2:$A$38,C847,'Saldos Iniciales'!$B$2:$B$38,D847)+SUMIFS($K$1:$K$892,$C$1:$C$892,C847,$D$1:$D$892,D847,$B$1:$B$892,"&lt;="&amp;B847)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3"/>
        <v>-2500</v>
      </c>
      <c r="L848" s="15" t="s">
        <v>132</v>
      </c>
      <c r="M848" s="44">
        <f>SUMIFS('Saldos Iniciales'!$D$2:$D$38,'Saldos Iniciales'!$A$2:$A$38,C848,'Saldos Iniciales'!$B$2:$B$38,D848)+SUMIFS($K$1:$K$892,$C$1:$C$892,C848,$D$1:$D$892,D848,$B$1:$B$892,"&lt;="&amp;B848)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3"/>
        <v>-15</v>
      </c>
      <c r="L849" s="15" t="s">
        <v>132</v>
      </c>
      <c r="M849" s="44">
        <f>SUMIFS('Saldos Iniciales'!$D$2:$D$38,'Saldos Iniciales'!$A$2:$A$38,C849,'Saldos Iniciales'!$B$2:$B$38,D849)+SUMIFS($K$1:$K$892,$C$1:$C$892,C849,$D$1:$D$892,D849,$B$1:$B$892,"&lt;="&amp;B849)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3"/>
        <v>-526.75</v>
      </c>
      <c r="L850" s="15" t="s">
        <v>132</v>
      </c>
      <c r="M850" s="44">
        <f>SUMIFS('Saldos Iniciales'!$D$2:$D$38,'Saldos Iniciales'!$A$2:$A$38,C850,'Saldos Iniciales'!$B$2:$B$38,D850)+SUMIFS($K$1:$K$892,$C$1:$C$892,C850,$D$1:$D$892,D850,$B$1:$B$892,"&lt;="&amp;B850)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3"/>
        <v>-194.86</v>
      </c>
      <c r="L851" s="15" t="s">
        <v>132</v>
      </c>
      <c r="M851" s="44">
        <f>SUMIFS('Saldos Iniciales'!$D$2:$D$38,'Saldos Iniciales'!$A$2:$A$38,C851,'Saldos Iniciales'!$B$2:$B$38,D851)+SUMIFS($K$1:$K$892,$C$1:$C$892,C851,$D$1:$D$892,D851,$B$1:$B$892,"&lt;="&amp;B851)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3"/>
        <v>23791.439999999999</v>
      </c>
      <c r="L852" s="15" t="s">
        <v>132</v>
      </c>
      <c r="M852" s="44">
        <f>SUMIFS('Saldos Iniciales'!$D$2:$D$38,'Saldos Iniciales'!$A$2:$A$38,C852,'Saldos Iniciales'!$B$2:$B$38,D852)+SUMIFS($K$1:$K$892,$C$1:$C$892,C852,$D$1:$D$892,D852,$B$1:$B$892,"&lt;="&amp;B852)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3"/>
        <v>73364</v>
      </c>
      <c r="L853" s="15" t="s">
        <v>132</v>
      </c>
      <c r="M853" s="44">
        <f>SUMIFS('Saldos Iniciales'!$D$2:$D$38,'Saldos Iniciales'!$A$2:$A$38,C853,'Saldos Iniciales'!$B$2:$B$38,D853)+SUMIFS($K$1:$K$892,$C$1:$C$892,C853,$D$1:$D$892,D853,$B$1:$B$892,"&lt;="&amp;B853)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3"/>
        <v>-15</v>
      </c>
      <c r="L854" s="15" t="s">
        <v>132</v>
      </c>
      <c r="M854" s="44">
        <f>SUMIFS('Saldos Iniciales'!$D$2:$D$38,'Saldos Iniciales'!$A$2:$A$38,C854,'Saldos Iniciales'!$B$2:$B$38,D854)+SUMIFS($K$1:$K$892,$C$1:$C$892,C854,$D$1:$D$892,D854,$B$1:$B$892,"&lt;="&amp;B854)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3"/>
        <v>-15</v>
      </c>
      <c r="L855" s="15" t="s">
        <v>132</v>
      </c>
      <c r="M855" s="44">
        <f>SUMIFS('Saldos Iniciales'!$D$2:$D$38,'Saldos Iniciales'!$A$2:$A$38,C855,'Saldos Iniciales'!$B$2:$B$38,D855)+SUMIFS($K$1:$K$892,$C$1:$C$892,C855,$D$1:$D$892,D855,$B$1:$B$892,"&lt;="&amp;B855)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3"/>
        <v>-165475.92000000001</v>
      </c>
      <c r="L856" s="15" t="s">
        <v>132</v>
      </c>
      <c r="M856" s="44">
        <f>SUMIFS('Saldos Iniciales'!$D$2:$D$38,'Saldos Iniciales'!$A$2:$A$38,C856,'Saldos Iniciales'!$B$2:$B$38,D856)+SUMIFS($K$1:$K$892,$C$1:$C$892,C856,$D$1:$D$892,D856,$B$1:$B$892,"&lt;="&amp;B856)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3"/>
        <v>2637.13</v>
      </c>
      <c r="L857" s="15" t="s">
        <v>132</v>
      </c>
      <c r="M857" s="44">
        <f>SUMIFS('Saldos Iniciales'!$D$2:$D$38,'Saldos Iniciales'!$A$2:$A$38,C857,'Saldos Iniciales'!$B$2:$B$38,D857)+SUMIFS($K$1:$K$892,$C$1:$C$892,C857,$D$1:$D$892,D857,$B$1:$B$892,"&lt;="&amp;B857)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3"/>
        <v>-48.7</v>
      </c>
      <c r="L858" s="15" t="s">
        <v>132</v>
      </c>
      <c r="M858" s="44">
        <f>SUMIFS('Saldos Iniciales'!$D$2:$D$38,'Saldos Iniciales'!$A$2:$A$38,C858,'Saldos Iniciales'!$B$2:$B$38,D858)+SUMIFS($K$1:$K$892,$C$1:$C$892,C858,$D$1:$D$892,D858,$B$1:$B$892,"&lt;="&amp;B858)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3"/>
        <v>91973.24</v>
      </c>
      <c r="L859" s="15" t="s">
        <v>132</v>
      </c>
      <c r="M859" s="44">
        <f>SUMIFS('Saldos Iniciales'!$D$2:$D$38,'Saldos Iniciales'!$A$2:$A$38,C859,'Saldos Iniciales'!$B$2:$B$38,D859)+SUMIFS($K$1:$K$892,$C$1:$C$892,C859,$D$1:$D$892,D859,$B$1:$B$892,"&lt;="&amp;B859)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76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3"/>
        <v>-11739</v>
      </c>
      <c r="L860" s="15" t="s">
        <v>132</v>
      </c>
      <c r="M860" s="44">
        <f>SUMIFS('Saldos Iniciales'!$D$2:$D$38,'Saldos Iniciales'!$A$2:$A$38,C860,'Saldos Iniciales'!$B$2:$B$38,D860)+SUMIFS($K$1:$K$892,$C$1:$C$892,C860,$D$1:$D$892,D860,$B$1:$B$892,"&lt;="&amp;B860)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76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3"/>
        <v>-48163</v>
      </c>
      <c r="L861" s="15" t="s">
        <v>132</v>
      </c>
      <c r="M861" s="44">
        <f>SUMIFS('Saldos Iniciales'!$D$2:$D$38,'Saldos Iniciales'!$A$2:$A$38,C861,'Saldos Iniciales'!$B$2:$B$38,D861)+SUMIFS($K$1:$K$892,$C$1:$C$892,C861,$D$1:$D$892,D861,$B$1:$B$892,"&lt;="&amp;B861)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3"/>
        <v>1452.33</v>
      </c>
      <c r="L862" s="15" t="s">
        <v>132</v>
      </c>
      <c r="M862" s="44">
        <f>SUMIFS('Saldos Iniciales'!$D$2:$D$38,'Saldos Iniciales'!$A$2:$A$38,C862,'Saldos Iniciales'!$B$2:$B$38,D862)+SUMIFS($K$1:$K$892,$C$1:$C$892,C862,$D$1:$D$892,D862,$B$1:$B$892,"&lt;="&amp;B862)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3"/>
        <v>-2977.95</v>
      </c>
      <c r="L863" s="15" t="s">
        <v>132</v>
      </c>
      <c r="M863" s="44">
        <f>SUMIFS('Saldos Iniciales'!$D$2:$D$38,'Saldos Iniciales'!$A$2:$A$38,C863,'Saldos Iniciales'!$B$2:$B$38,D863)+SUMIFS($K$1:$K$892,$C$1:$C$892,C863,$D$1:$D$892,D863,$B$1:$B$892,"&lt;="&amp;B863)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3"/>
        <v>-100</v>
      </c>
      <c r="L864" s="15" t="s">
        <v>132</v>
      </c>
      <c r="M864" s="44">
        <f>SUMIFS('Saldos Iniciales'!$D$2:$D$38,'Saldos Iniciales'!$A$2:$A$38,C864,'Saldos Iniciales'!$B$2:$B$38,D864)+SUMIFS($K$1:$K$892,$C$1:$C$892,C864,$D$1:$D$892,D864,$B$1:$B$892,"&lt;="&amp;B864)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3"/>
        <v>-150</v>
      </c>
      <c r="L865" s="15" t="s">
        <v>132</v>
      </c>
      <c r="M865" s="44">
        <f>SUMIFS('Saldos Iniciales'!$D$2:$D$38,'Saldos Iniciales'!$A$2:$A$38,C865,'Saldos Iniciales'!$B$2:$B$38,D865)+SUMIFS($K$1:$K$892,$C$1:$C$892,C865,$D$1:$D$892,D865,$B$1:$B$892,"&lt;="&amp;B865)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3"/>
        <v>-3000</v>
      </c>
      <c r="L866" s="15" t="s">
        <v>132</v>
      </c>
      <c r="M866" s="44">
        <f>SUMIFS('Saldos Iniciales'!$D$2:$D$38,'Saldos Iniciales'!$A$2:$A$38,C866,'Saldos Iniciales'!$B$2:$B$38,D866)+SUMIFS($K$1:$K$892,$C$1:$C$892,C866,$D$1:$D$892,D866,$B$1:$B$892,"&lt;="&amp;B866)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3"/>
        <v>4400</v>
      </c>
      <c r="L867" s="15" t="s">
        <v>132</v>
      </c>
      <c r="M867" s="44">
        <f>SUMIFS('Saldos Iniciales'!$D$2:$D$38,'Saldos Iniciales'!$A$2:$A$38,C867,'Saldos Iniciales'!$B$2:$B$38,D867)+SUMIFS($K$1:$K$892,$C$1:$C$892,C867,$D$1:$D$892,D867,$B$1:$B$892,"&lt;="&amp;B867)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3"/>
        <v>2434.02</v>
      </c>
      <c r="L868" s="15" t="s">
        <v>132</v>
      </c>
      <c r="M868" s="44">
        <f>SUMIFS('Saldos Iniciales'!$D$2:$D$38,'Saldos Iniciales'!$A$2:$A$38,C868,'Saldos Iniciales'!$B$2:$B$38,D868)+SUMIFS($K$1:$K$892,$C$1:$C$892,C868,$D$1:$D$892,D868,$B$1:$B$892,"&lt;="&amp;B868)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3"/>
        <v>-611.1</v>
      </c>
      <c r="L869" s="15" t="s">
        <v>132</v>
      </c>
      <c r="M869" s="44">
        <f>SUMIFS('Saldos Iniciales'!$D$2:$D$38,'Saldos Iniciales'!$A$2:$A$38,C869,'Saldos Iniciales'!$B$2:$B$38,D869)+SUMIFS($K$1:$K$892,$C$1:$C$892,C869,$D$1:$D$892,D869,$B$1:$B$892,"&lt;="&amp;B869)</f>
        <v>434271.23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3"/>
        <v>-6000</v>
      </c>
      <c r="L870" s="15" t="s">
        <v>132</v>
      </c>
      <c r="M870" s="44">
        <f>SUMIFS('Saldos Iniciales'!$D$2:$D$38,'Saldos Iniciales'!$A$2:$A$38,C870,'Saldos Iniciales'!$B$2:$B$38,D870)+SUMIFS($K$1:$K$892,$C$1:$C$892,C870,$D$1:$D$892,D870,$B$1:$B$892,"&lt;="&amp;B870)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3"/>
        <v>-29.95</v>
      </c>
      <c r="L871" s="15" t="s">
        <v>132</v>
      </c>
      <c r="M871" s="44">
        <f>SUMIFS('Saldos Iniciales'!$D$2:$D$38,'Saldos Iniciales'!$A$2:$A$38,C871,'Saldos Iniciales'!$B$2:$B$38,D871)+SUMIFS($K$1:$K$892,$C$1:$C$892,C871,$D$1:$D$892,D871,$B$1:$B$892,"&lt;="&amp;B871)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3"/>
        <v>-29.95</v>
      </c>
      <c r="L872" s="15" t="s">
        <v>132</v>
      </c>
      <c r="M872" s="44">
        <f>SUMIFS('Saldos Iniciales'!$D$2:$D$38,'Saldos Iniciales'!$A$2:$A$38,C872,'Saldos Iniciales'!$B$2:$B$38,D872)+SUMIFS($K$1:$K$892,$C$1:$C$892,C872,$D$1:$D$892,D872,$B$1:$B$892,"&lt;="&amp;B872)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3"/>
        <v>-16</v>
      </c>
      <c r="L873" s="15" t="s">
        <v>132</v>
      </c>
      <c r="M873" s="44">
        <f>SUMIFS('Saldos Iniciales'!$D$2:$D$38,'Saldos Iniciales'!$A$2:$A$38,C873,'Saldos Iniciales'!$B$2:$B$38,D873)+SUMIFS($K$1:$K$892,$C$1:$C$892,C873,$D$1:$D$892,D873,$B$1:$B$892,"&lt;="&amp;B873)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3"/>
        <v>-8533.33</v>
      </c>
      <c r="L874" s="15" t="s">
        <v>132</v>
      </c>
      <c r="M874" s="44">
        <f>SUMIFS('Saldos Iniciales'!$D$2:$D$38,'Saldos Iniciales'!$A$2:$A$38,C874,'Saldos Iniciales'!$B$2:$B$38,D874)+SUMIFS($K$1:$K$892,$C$1:$C$892,C874,$D$1:$D$892,D874,$B$1:$B$892,"&lt;="&amp;B874)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3"/>
        <v>-10</v>
      </c>
      <c r="L875" s="15" t="s">
        <v>132</v>
      </c>
      <c r="M875" s="44">
        <f>SUMIFS('Saldos Iniciales'!$D$2:$D$38,'Saldos Iniciales'!$A$2:$A$38,C875,'Saldos Iniciales'!$B$2:$B$38,D875)+SUMIFS($K$1:$K$892,$C$1:$C$892,C875,$D$1:$D$892,D875,$B$1:$B$892,"&lt;="&amp;B875)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3"/>
        <v>-9798.6299999999992</v>
      </c>
      <c r="L876" s="15" t="s">
        <v>132</v>
      </c>
      <c r="M876" s="44">
        <f>SUMIFS('Saldos Iniciales'!$D$2:$D$38,'Saldos Iniciales'!$A$2:$A$38,C876,'Saldos Iniciales'!$B$2:$B$38,D876)+SUMIFS($K$1:$K$892,$C$1:$C$892,C876,$D$1:$D$892,D876,$B$1:$B$892,"&lt;="&amp;B876)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3"/>
        <v>-8773.0400000000009</v>
      </c>
      <c r="L877" s="15" t="s">
        <v>132</v>
      </c>
      <c r="M877" s="44">
        <f>SUMIFS('Saldos Iniciales'!$D$2:$D$38,'Saldos Iniciales'!$A$2:$A$38,C877,'Saldos Iniciales'!$B$2:$B$38,D877)+SUMIFS($K$1:$K$892,$C$1:$C$892,C877,$D$1:$D$892,D877,$B$1:$B$892,"&lt;="&amp;B877)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3"/>
        <v>17835.61</v>
      </c>
      <c r="L878" s="15" t="s">
        <v>132</v>
      </c>
      <c r="M878" s="44">
        <f>SUMIFS('Saldos Iniciales'!$D$2:$D$38,'Saldos Iniciales'!$A$2:$A$38,C878,'Saldos Iniciales'!$B$2:$B$38,D878)+SUMIFS($K$1:$K$892,$C$1:$C$892,C878,$D$1:$D$892,D878,$B$1:$B$892,"&lt;="&amp;B878)</f>
        <v>318168.93000000075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3"/>
        <v>-70638.59</v>
      </c>
      <c r="L879" s="15" t="s">
        <v>132</v>
      </c>
      <c r="M879" s="44">
        <f>SUMIFS('Saldos Iniciales'!$D$2:$D$38,'Saldos Iniciales'!$A$2:$A$38,C879,'Saldos Iniciales'!$B$2:$B$38,D879)+SUMIFS($K$1:$K$892,$C$1:$C$892,C879,$D$1:$D$892,D879,$B$1:$B$892,"&lt;="&amp;B879)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3"/>
        <v>-10.25</v>
      </c>
      <c r="L880" s="15" t="s">
        <v>132</v>
      </c>
      <c r="M880" s="44">
        <f>SUMIFS('Saldos Iniciales'!$D$2:$D$38,'Saldos Iniciales'!$A$2:$A$38,C880,'Saldos Iniciales'!$B$2:$B$38,D880)+SUMIFS($K$1:$K$892,$C$1:$C$892,C880,$D$1:$D$892,D880,$B$1:$B$892,"&lt;="&amp;B880)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3"/>
        <v>10873.97</v>
      </c>
      <c r="L881" s="15" t="s">
        <v>132</v>
      </c>
      <c r="M881" s="44">
        <f>SUMIFS('Saldos Iniciales'!$D$2:$D$38,'Saldos Iniciales'!$A$2:$A$38,C881,'Saldos Iniciales'!$B$2:$B$38,D881)+SUMIFS($K$1:$K$892,$C$1:$C$892,C881,$D$1:$D$892,D881,$B$1:$B$892,"&lt;="&amp;B881)</f>
        <v>445145.19999999995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3"/>
        <v>-100</v>
      </c>
      <c r="L882" s="15" t="s">
        <v>132</v>
      </c>
      <c r="M882" s="44">
        <f>SUMIFS('Saldos Iniciales'!$D$2:$D$38,'Saldos Iniciales'!$A$2:$A$38,C882,'Saldos Iniciales'!$B$2:$B$38,D882)+SUMIFS($K$1:$K$892,$C$1:$C$892,C882,$D$1:$D$892,D882,$B$1:$B$892,"&lt;="&amp;B882)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3"/>
        <v>-300</v>
      </c>
      <c r="L883" s="15" t="s">
        <v>132</v>
      </c>
      <c r="M883" s="44">
        <f>SUMIFS('Saldos Iniciales'!$D$2:$D$38,'Saldos Iniciales'!$A$2:$A$38,C883,'Saldos Iniciales'!$B$2:$B$38,D883)+SUMIFS($K$1:$K$892,$C$1:$C$892,C883,$D$1:$D$892,D883,$B$1:$B$892,"&lt;="&amp;B883)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3"/>
        <v>-400</v>
      </c>
      <c r="L884" s="15" t="s">
        <v>132</v>
      </c>
      <c r="M884" s="44">
        <f>SUMIFS('Saldos Iniciales'!$D$2:$D$38,'Saldos Iniciales'!$A$2:$A$38,C884,'Saldos Iniciales'!$B$2:$B$38,D884)+SUMIFS($K$1:$K$892,$C$1:$C$892,C884,$D$1:$D$892,D884,$B$1:$B$892,"&lt;="&amp;B884)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3"/>
        <v>699844.76</v>
      </c>
      <c r="L885" s="15" t="s">
        <v>132</v>
      </c>
      <c r="M885" s="44">
        <f>SUMIFS('Saldos Iniciales'!$D$2:$D$38,'Saldos Iniciales'!$A$2:$A$38,C885,'Saldos Iniciales'!$B$2:$B$38,D885)+SUMIFS($K$1:$K$892,$C$1:$C$892,C885,$D$1:$D$892,D885,$B$1:$B$892,"&lt;="&amp;B885)</f>
        <v>1018013.6900000008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3"/>
        <v>34281.760000000002</v>
      </c>
      <c r="L886" s="15" t="s">
        <v>132</v>
      </c>
      <c r="M886" s="44">
        <f>SUMIFS('Saldos Iniciales'!$D$2:$D$38,'Saldos Iniciales'!$A$2:$A$38,C886,'Saldos Iniciales'!$B$2:$B$38,D886)+SUMIFS($K$1:$K$892,$C$1:$C$892,C886,$D$1:$D$892,D886,$B$1:$B$892,"&lt;="&amp;B886)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3"/>
        <v>-55</v>
      </c>
      <c r="L887" s="15" t="s">
        <v>132</v>
      </c>
      <c r="M887" s="44">
        <f>SUMIFS('Saldos Iniciales'!$D$2:$D$38,'Saldos Iniciales'!$A$2:$A$38,C887,'Saldos Iniciales'!$B$2:$B$38,D887)+SUMIFS($K$1:$K$892,$C$1:$C$892,C887,$D$1:$D$892,D887,$B$1:$B$892,"&lt;="&amp;B887)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892" si="4">IF(F888="Ingreso",J888,-J888)</f>
        <v>-324.05</v>
      </c>
      <c r="L888" s="15" t="s">
        <v>132</v>
      </c>
      <c r="M888" s="44">
        <f>SUMIFS('Saldos Iniciales'!$D$2:$D$38,'Saldos Iniciales'!$A$2:$A$38,C888,'Saldos Iniciales'!$B$2:$B$38,D888)+SUMIFS($K$1:$K$892,$C$1:$C$892,C888,$D$1:$D$892,D888,$B$1:$B$892,"&lt;="&amp;B888)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4"/>
        <v>-3309.58</v>
      </c>
      <c r="L889" s="15" t="s">
        <v>132</v>
      </c>
      <c r="M889" s="44">
        <f>SUMIFS('Saldos Iniciales'!$D$2:$D$38,'Saldos Iniciales'!$A$2:$A$38,C889,'Saldos Iniciales'!$B$2:$B$38,D889)+SUMIFS($K$1:$K$892,$C$1:$C$892,C889,$D$1:$D$892,D889,$B$1:$B$892,"&lt;="&amp;B889)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4"/>
        <v>-699844.76</v>
      </c>
      <c r="L890" s="15" t="s">
        <v>132</v>
      </c>
      <c r="M890" s="44">
        <f>SUMIFS('Saldos Iniciales'!$D$2:$D$38,'Saldos Iniciales'!$A$2:$A$38,C890,'Saldos Iniciales'!$B$2:$B$38,D890)+SUMIFS($K$1:$K$892,$C$1:$C$892,C890,$D$1:$D$892,D890,$B$1:$B$892,"&lt;="&amp;B890)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4"/>
        <v>-34281.760000000002</v>
      </c>
      <c r="L891" s="15" t="s">
        <v>132</v>
      </c>
      <c r="M891" s="44">
        <f>SUMIFS('Saldos Iniciales'!$D$2:$D$38,'Saldos Iniciales'!$A$2:$A$38,C891,'Saldos Iniciales'!$B$2:$B$38,D891)+SUMIFS($K$1:$K$892,$C$1:$C$892,C891,$D$1:$D$892,D891,$B$1:$B$892,"&lt;="&amp;B891)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4"/>
        <v>-2292.91</v>
      </c>
      <c r="L892" s="15" t="s">
        <v>132</v>
      </c>
      <c r="M892" s="44">
        <f>SUMIFS('Saldos Iniciales'!$D$2:$D$38,'Saldos Iniciales'!$A$2:$A$38,C892,'Saldos Iniciales'!$B$2:$B$38,D892)+SUMIFS($K$1:$K$892,$C$1:$C$892,C892,$D$1:$D$892,D892,$B$1:$B$892,"&lt;="&amp;B892)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C2:C892</xm:sqref>
        </x14:dataValidation>
        <x14:dataValidation type="list" allowBlank="1" xr:uid="{DC8BA3D2-F104-4639-8653-545CA2BBE131}">
          <x14:formula1>
            <xm:f>Listas!$E$2:$E$52</xm:f>
          </x14:formula1>
          <xm:sqref>G2:G892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F2:F892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1667473.040000001</v>
      </c>
      <c r="E2" s="37">
        <f>C2+D2</f>
        <v>2084151.3000000007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1559890.1700000074</v>
      </c>
      <c r="E3" s="37">
        <f t="shared" ref="E3:E9" si="0">C3+D3</f>
        <v>2727191.7000000072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O2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SUMIFS(Movimientos!$J$1:$J$892,Movimientos!$C$1:$C$892,$B2,Movimientos!$D$1:$D$892,$C2,Movimientos!$L$1:$L$892,A$3,Movimientos!$F$1:$F$892,"Ingreso")</f>
        <v>490932.83999999997</v>
      </c>
      <c r="K2" s="44">
        <f>SUMIFS(Movimientos!$J$1:$J$892,Movimientos!$C$1:$C$892,$B2,Movimientos!$D$1:$D$892,$C2,Movimientos!$L$1:$L$892,A$3,Movimientos!$F$1:$F$892,"Egreso")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SUMIFS(Movimientos!$J$1:$J$892,Movimientos!$C$1:$C$892,$B2,Movimientos!$D$1:$D$892,$C2,Movimientos!$L$1:$L$892,A$4,Movimientos!$F$1:$F$892,"Ingreso")</f>
        <v>215870.71999999997</v>
      </c>
      <c r="P2" s="44">
        <f>SUMIFS(Movimientos!$J$1:$J$892,Movimientos!$C$1:$C$892,$B2,Movimientos!$D$1:$D$892,$C2,Movimientos!$L$1:$L$892,A$4,Movimientos!$F$1:$F$892,"Egreso")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SUMIFS(Movimientos!$J$1:$J$892,Movimientos!$C$1:$C$892,$B2,Movimientos!$D$1:$D$892,$C2,Movimientos!$L$1:$L$892,A$5,Movimientos!$F$1:$F$892,"Ingreso")</f>
        <v>566869.55000000005</v>
      </c>
      <c r="U2" s="44">
        <f>SUMIFS(Movimientos!$J$1:$J$892,Movimientos!$C$1:$C$892,$B2,Movimientos!$D$1:$D$892,$C2,Movimientos!$L$1:$L$892,A$5,Movimientos!$F$1:$F$892,"Egreso")</f>
        <v>354589.05</v>
      </c>
      <c r="V2" s="7">
        <f>+T2-U2</f>
        <v>212280.50000000006</v>
      </c>
      <c r="W2" s="12">
        <f>S2+T2-U2</f>
        <v>445145.20000000024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SUMIFS(Movimientos!$J$1:$J$892,Movimientos!$C$1:$C$892,$B3,Movimientos!$D$1:$D$892,$C3,Movimientos!$L$1:$L$892,A$3,Movimientos!$F$1:$F$892,"Ingreso")</f>
        <v>8947382.8399999999</v>
      </c>
      <c r="K3" s="44">
        <f>SUMIFS(Movimientos!$J$1:$J$892,Movimientos!$C$1:$C$892,$B3,Movimientos!$D$1:$D$892,$C3,Movimientos!$L$1:$L$892,A$3,Movimientos!$F$1:$F$892,"Egreso")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SUMIFS(Movimientos!$J$1:$J$892,Movimientos!$C$1:$C$892,$B3,Movimientos!$D$1:$D$892,$C3,Movimientos!$L$1:$L$892,A$4,Movimientos!$F$1:$F$892,"Ingreso")</f>
        <v>250000</v>
      </c>
      <c r="P3" s="44">
        <f>SUMIFS(Movimientos!$J$1:$J$892,Movimientos!$C$1:$C$892,$B3,Movimientos!$D$1:$D$892,$C3,Movimientos!$L$1:$L$892,A$4,Movimientos!$F$1:$F$892,"Egreso")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SUMIFS(Movimientos!$J$1:$J$892,Movimientos!$C$1:$C$892,$B3,Movimientos!$D$1:$D$892,$C3,Movimientos!$L$1:$L$892,A$5,Movimientos!$F$1:$F$892,"Ingreso")</f>
        <v>1627741.7999999998</v>
      </c>
      <c r="U3" s="44">
        <f>SUMIFS(Movimientos!$J$1:$J$892,Movimientos!$C$1:$C$892,$B3,Movimientos!$D$1:$D$892,$C3,Movimientos!$L$1:$L$892,A$5,Movimientos!$F$1:$F$892,"Egreso")</f>
        <v>2839639.46</v>
      </c>
      <c r="V3" s="7">
        <f t="shared" ref="V3:V35" si="2">+T3-U3</f>
        <v>-1211897.6600000001</v>
      </c>
      <c r="W3" s="12">
        <f>S3+T3-U3</f>
        <v>1018013.6899999995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SUMIFS(Movimientos!$J$1:$J$892,Movimientos!$C$1:$C$892,$B4,Movimientos!$D$1:$D$892,$C4,Movimientos!$L$1:$L$892,A$3,Movimientos!$F$1:$F$892,"Ingreso")</f>
        <v>0</v>
      </c>
      <c r="K4" s="44">
        <f>SUMIFS(Movimientos!$J$1:$J$892,Movimientos!$C$1:$C$892,$B4,Movimientos!$D$1:$D$892,$C4,Movimientos!$L$1:$L$892,A$3,Movimientos!$F$1:$F$892,"Egreso")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SUMIFS(Movimientos!$J$1:$J$892,Movimientos!$C$1:$C$892,$B4,Movimientos!$D$1:$D$892,$C4,Movimientos!$L$1:$L$892,A$4,Movimientos!$F$1:$F$892,"Ingreso")</f>
        <v>0</v>
      </c>
      <c r="P4" s="44">
        <f>SUMIFS(Movimientos!$J$1:$J$892,Movimientos!$C$1:$C$892,$B4,Movimientos!$D$1:$D$892,$C4,Movimientos!$L$1:$L$892,A$4,Movimientos!$F$1:$F$892,"Egreso")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SUMIFS(Movimientos!$J$1:$J$892,Movimientos!$C$1:$C$892,$B4,Movimientos!$D$1:$D$892,$C4,Movimientos!$L$1:$L$892,A$5,Movimientos!$F$1:$F$892,"Ingreso")</f>
        <v>0</v>
      </c>
      <c r="U4" s="44">
        <f>SUMIFS(Movimientos!$J$1:$J$892,Movimientos!$C$1:$C$892,$B4,Movimientos!$D$1:$D$892,$C4,Movimientos!$L$1:$L$892,A$5,Movimientos!$F$1:$F$892,"Egreso")</f>
        <v>18.8</v>
      </c>
      <c r="V4" s="7">
        <f t="shared" si="2"/>
        <v>-18.8</v>
      </c>
      <c r="W4" s="12">
        <f>S4+T4-U4</f>
        <v>5237.2300000000005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SUMIFS(Movimientos!$J$1:$J$892,Movimientos!$C$1:$C$892,$B5,Movimientos!$D$1:$D$892,$C5,Movimientos!$L$1:$L$892,A$3,Movimientos!$F$1:$F$892,"Ingreso")</f>
        <v>16742.400000000001</v>
      </c>
      <c r="K5" s="44">
        <f>SUMIFS(Movimientos!$J$1:$J$892,Movimientos!$C$1:$C$892,$B5,Movimientos!$D$1:$D$892,$C5,Movimientos!$L$1:$L$892,A$3,Movimientos!$F$1:$F$892,"Egreso")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SUMIFS(Movimientos!$J$1:$J$892,Movimientos!$C$1:$C$892,$B5,Movimientos!$D$1:$D$892,$C5,Movimientos!$L$1:$L$892,A$4,Movimientos!$F$1:$F$892,"Ingreso")</f>
        <v>10053.57</v>
      </c>
      <c r="P5" s="44">
        <f>SUMIFS(Movimientos!$J$1:$J$892,Movimientos!$C$1:$C$892,$B5,Movimientos!$D$1:$D$892,$C5,Movimientos!$L$1:$L$892,A$4,Movimientos!$F$1:$F$892,"Egreso")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SUMIFS(Movimientos!$J$1:$J$892,Movimientos!$C$1:$C$892,$B5,Movimientos!$D$1:$D$892,$C5,Movimientos!$L$1:$L$892,A$5,Movimientos!$F$1:$F$892,"Ingreso")</f>
        <v>10068.98</v>
      </c>
      <c r="U5" s="44">
        <f>SUMIFS(Movimientos!$J$1:$J$892,Movimientos!$C$1:$C$892,$B5,Movimientos!$D$1:$D$892,$C5,Movimientos!$L$1:$L$892,A$5,Movimientos!$F$1:$F$892,"Egreso")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SUMIFS(Movimientos!$J$1:$J$892,Movimientos!$C$1:$C$892,$B6,Movimientos!$D$1:$D$892,$C6,Movimientos!$L$1:$L$892,A$3,Movimientos!$F$1:$F$892,"Ingreso")</f>
        <v>0</v>
      </c>
      <c r="K6" s="44">
        <f>SUMIFS(Movimientos!$J$1:$J$892,Movimientos!$C$1:$C$892,$B6,Movimientos!$D$1:$D$892,$C6,Movimientos!$L$1:$L$892,A$3,Movimientos!$F$1:$F$892,"Egreso")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SUMIFS(Movimientos!$J$1:$J$892,Movimientos!$C$1:$C$892,$B6,Movimientos!$D$1:$D$892,$C6,Movimientos!$L$1:$L$892,A$4,Movimientos!$F$1:$F$892,"Ingreso")</f>
        <v>0</v>
      </c>
      <c r="P6" s="44">
        <f>SUMIFS(Movimientos!$J$1:$J$892,Movimientos!$C$1:$C$892,$B6,Movimientos!$D$1:$D$892,$C6,Movimientos!$L$1:$L$892,A$4,Movimientos!$F$1:$F$892,"Egreso")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SUMIFS(Movimientos!$J$1:$J$892,Movimientos!$C$1:$C$892,$B6,Movimientos!$D$1:$D$892,$C6,Movimientos!$L$1:$L$892,A$5,Movimientos!$F$1:$F$892,"Ingreso")</f>
        <v>0</v>
      </c>
      <c r="U6" s="44">
        <f>SUMIFS(Movimientos!$J$1:$J$892,Movimientos!$C$1:$C$892,$B6,Movimientos!$D$1:$D$892,$C6,Movimientos!$L$1:$L$892,A$5,Movimientos!$F$1:$F$892,"Egreso")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SUMIFS(Movimientos!$J$1:$J$892,Movimientos!$C$1:$C$892,$B7,Movimientos!$D$1:$D$892,$C7,Movimientos!$L$1:$L$892,A$3,Movimientos!$F$1:$F$892,"Ingreso")</f>
        <v>0</v>
      </c>
      <c r="K7" s="44">
        <f>SUMIFS(Movimientos!$J$1:$J$892,Movimientos!$C$1:$C$892,$B7,Movimientos!$D$1:$D$892,$C7,Movimientos!$L$1:$L$892,A$3,Movimientos!$F$1:$F$892,"Egreso")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SUMIFS(Movimientos!$J$1:$J$892,Movimientos!$C$1:$C$892,$B7,Movimientos!$D$1:$D$892,$C7,Movimientos!$L$1:$L$892,A$4,Movimientos!$F$1:$F$892,"Ingreso")</f>
        <v>0</v>
      </c>
      <c r="P7" s="44">
        <f>SUMIFS(Movimientos!$J$1:$J$892,Movimientos!$C$1:$C$892,$B7,Movimientos!$D$1:$D$892,$C7,Movimientos!$L$1:$L$892,A$4,Movimientos!$F$1:$F$892,"Egreso")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SUMIFS(Movimientos!$J$1:$J$892,Movimientos!$C$1:$C$892,$B7,Movimientos!$D$1:$D$892,$C7,Movimientos!$L$1:$L$892,A$5,Movimientos!$F$1:$F$892,"Ingreso")</f>
        <v>0</v>
      </c>
      <c r="U7" s="44">
        <f>SUMIFS(Movimientos!$J$1:$J$892,Movimientos!$C$1:$C$892,$B7,Movimientos!$D$1:$D$892,$C7,Movimientos!$L$1:$L$892,A$5,Movimientos!$F$1:$F$892,"Egreso")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SUMIFS(Movimientos!$J$1:$J$892,Movimientos!$C$1:$C$892,$B8,Movimientos!$D$1:$D$892,$C8,Movimientos!$L$1:$L$892,A$3,Movimientos!$F$1:$F$892,"Ingreso")</f>
        <v>440602.39</v>
      </c>
      <c r="K8" s="44">
        <f>SUMIFS(Movimientos!$J$1:$J$892,Movimientos!$C$1:$C$892,$B8,Movimientos!$D$1:$D$892,$C8,Movimientos!$L$1:$L$892,A$3,Movimientos!$F$1:$F$892,"Egreso")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SUMIFS(Movimientos!$J$1:$J$892,Movimientos!$C$1:$C$892,$B8,Movimientos!$D$1:$D$892,$C8,Movimientos!$L$1:$L$892,A$4,Movimientos!$F$1:$F$892,"Ingreso")</f>
        <v>1306812.04</v>
      </c>
      <c r="P8" s="44">
        <f>SUMIFS(Movimientos!$J$1:$J$892,Movimientos!$C$1:$C$892,$B8,Movimientos!$D$1:$D$892,$C8,Movimientos!$L$1:$L$892,A$4,Movimientos!$F$1:$F$892,"Egreso")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SUMIFS(Movimientos!$J$1:$J$892,Movimientos!$C$1:$C$892,$B8,Movimientos!$D$1:$D$892,$C8,Movimientos!$L$1:$L$892,A$5,Movimientos!$F$1:$F$892,"Ingreso")</f>
        <v>250866.9</v>
      </c>
      <c r="U8" s="44">
        <f>SUMIFS(Movimientos!$J$1:$J$892,Movimientos!$C$1:$C$892,$B8,Movimientos!$D$1:$D$892,$C8,Movimientos!$L$1:$L$892,A$5,Movimientos!$F$1:$F$892,"Egreso")</f>
        <v>289394.69999999995</v>
      </c>
      <c r="V8" s="7">
        <f t="shared" si="2"/>
        <v>-38527.799999999959</v>
      </c>
      <c r="W8" s="12">
        <f t="shared" si="9"/>
        <v>1419898.2399999995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SUMIFS(Movimientos!$J$1:$J$892,Movimientos!$C$1:$C$892,$B9,Movimientos!$D$1:$D$892,$C9,Movimientos!$L$1:$L$892,A$3,Movimientos!$F$1:$F$892,"Ingreso")</f>
        <v>15307.88</v>
      </c>
      <c r="K9" s="44">
        <f>SUMIFS(Movimientos!$J$1:$J$892,Movimientos!$C$1:$C$892,$B9,Movimientos!$D$1:$D$892,$C9,Movimientos!$L$1:$L$892,A$3,Movimientos!$F$1:$F$892,"Egreso")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SUMIFS(Movimientos!$J$1:$J$892,Movimientos!$C$1:$C$892,$B9,Movimientos!$D$1:$D$892,$C9,Movimientos!$L$1:$L$892,A$4,Movimientos!$F$1:$F$892,"Ingreso")</f>
        <v>15280.15</v>
      </c>
      <c r="P9" s="44">
        <f>SUMIFS(Movimientos!$J$1:$J$892,Movimientos!$C$1:$C$892,$B9,Movimientos!$D$1:$D$892,$C9,Movimientos!$L$1:$L$892,A$4,Movimientos!$F$1:$F$892,"Egreso")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SUMIFS(Movimientos!$J$1:$J$892,Movimientos!$C$1:$C$892,$B9,Movimientos!$D$1:$D$892,$C9,Movimientos!$L$1:$L$892,A$5,Movimientos!$F$1:$F$892,"Ingreso")</f>
        <v>35280.15</v>
      </c>
      <c r="U9" s="44">
        <f>SUMIFS(Movimientos!$J$1:$J$892,Movimientos!$C$1:$C$892,$B9,Movimientos!$D$1:$D$892,$C9,Movimientos!$L$1:$L$892,A$5,Movimientos!$F$1:$F$892,"Egreso")</f>
        <v>15210.029999999999</v>
      </c>
      <c r="V9" s="7">
        <f t="shared" si="2"/>
        <v>20070.120000000003</v>
      </c>
      <c r="W9" s="12">
        <f t="shared" si="9"/>
        <v>25214.89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SUMIFS(Movimientos!$J$1:$J$892,Movimientos!$C$1:$C$892,$B10,Movimientos!$D$1:$D$892,$C10,Movimientos!$L$1:$L$892,A$3,Movimientos!$F$1:$F$892,"Ingreso")</f>
        <v>0</v>
      </c>
      <c r="K10" s="44">
        <f>SUMIFS(Movimientos!$J$1:$J$892,Movimientos!$C$1:$C$892,$B10,Movimientos!$D$1:$D$892,$C10,Movimientos!$L$1:$L$892,A$3,Movimientos!$F$1:$F$892,"Egreso")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SUMIFS(Movimientos!$J$1:$J$892,Movimientos!$C$1:$C$892,$B10,Movimientos!$D$1:$D$892,$C10,Movimientos!$L$1:$L$892,A$4,Movimientos!$F$1:$F$892,"Ingreso")</f>
        <v>1000</v>
      </c>
      <c r="P10" s="44">
        <f>SUMIFS(Movimientos!$J$1:$J$892,Movimientos!$C$1:$C$892,$B10,Movimientos!$D$1:$D$892,$C10,Movimientos!$L$1:$L$892,A$4,Movimientos!$F$1:$F$892,"Egreso")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SUMIFS(Movimientos!$J$1:$J$892,Movimientos!$C$1:$C$892,$B10,Movimientos!$D$1:$D$892,$C10,Movimientos!$L$1:$L$892,A$5,Movimientos!$F$1:$F$892,"Ingreso")</f>
        <v>0</v>
      </c>
      <c r="U10" s="44">
        <f>SUMIFS(Movimientos!$J$1:$J$892,Movimientos!$C$1:$C$892,$B10,Movimientos!$D$1:$D$892,$C10,Movimientos!$L$1:$L$892,A$5,Movimientos!$F$1:$F$892,"Egreso")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SUMIFS(Movimientos!$J$1:$J$892,Movimientos!$C$1:$C$892,$B11,Movimientos!$D$1:$D$892,$C11,Movimientos!$L$1:$L$892,A$3,Movimientos!$F$1:$F$892,"Ingreso")</f>
        <v>0</v>
      </c>
      <c r="K11" s="44">
        <f>SUMIFS(Movimientos!$J$1:$J$892,Movimientos!$C$1:$C$892,$B11,Movimientos!$D$1:$D$892,$C11,Movimientos!$L$1:$L$892,A$3,Movimientos!$F$1:$F$892,"Egreso")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SUMIFS(Movimientos!$J$1:$J$892,Movimientos!$C$1:$C$892,$B11,Movimientos!$D$1:$D$892,$C11,Movimientos!$L$1:$L$892,A$4,Movimientos!$F$1:$F$892,"Ingreso")</f>
        <v>0</v>
      </c>
      <c r="P11" s="44">
        <f>SUMIFS(Movimientos!$J$1:$J$892,Movimientos!$C$1:$C$892,$B11,Movimientos!$D$1:$D$892,$C11,Movimientos!$L$1:$L$892,A$4,Movimientos!$F$1:$F$892,"Egreso")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SUMIFS(Movimientos!$J$1:$J$892,Movimientos!$C$1:$C$892,$B11,Movimientos!$D$1:$D$892,$C11,Movimientos!$L$1:$L$892,A$5,Movimientos!$F$1:$F$892,"Ingreso")</f>
        <v>0</v>
      </c>
      <c r="U11" s="44">
        <f>SUMIFS(Movimientos!$J$1:$J$892,Movimientos!$C$1:$C$892,$B11,Movimientos!$D$1:$D$892,$C11,Movimientos!$L$1:$L$892,A$5,Movimientos!$F$1:$F$892,"Egreso")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SUMIFS(Movimientos!$J$1:$J$892,Movimientos!$C$1:$C$892,$B12,Movimientos!$D$1:$D$892,$C12,Movimientos!$L$1:$L$892,A$3,Movimientos!$F$1:$F$892,"Ingreso")</f>
        <v>4970000</v>
      </c>
      <c r="K12" s="44">
        <f>SUMIFS(Movimientos!$J$1:$J$892,Movimientos!$C$1:$C$892,$B12,Movimientos!$D$1:$D$892,$C12,Movimientos!$L$1:$L$892,A$3,Movimientos!$F$1:$F$892,"Egreso")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SUMIFS(Movimientos!$J$1:$J$892,Movimientos!$C$1:$C$892,$B12,Movimientos!$D$1:$D$892,$C12,Movimientos!$L$1:$L$892,A$4,Movimientos!$F$1:$F$892,"Ingreso")</f>
        <v>1320000</v>
      </c>
      <c r="P12" s="44">
        <f>SUMIFS(Movimientos!$J$1:$J$892,Movimientos!$C$1:$C$892,$B12,Movimientos!$D$1:$D$892,$C12,Movimientos!$L$1:$L$892,A$4,Movimientos!$F$1:$F$892,"Egreso")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SUMIFS(Movimientos!$J$1:$J$892,Movimientos!$C$1:$C$892,$B12,Movimientos!$D$1:$D$892,$C12,Movimientos!$L$1:$L$892,A$5,Movimientos!$F$1:$F$892,"Ingreso")</f>
        <v>1100000</v>
      </c>
      <c r="U12" s="44">
        <f>SUMIFS(Movimientos!$J$1:$J$892,Movimientos!$C$1:$C$892,$B12,Movimientos!$D$1:$D$892,$C12,Movimientos!$L$1:$L$892,A$5,Movimientos!$F$1:$F$892,"Egreso")</f>
        <v>1151713.28</v>
      </c>
      <c r="V12" s="7">
        <f t="shared" si="2"/>
        <v>-51713.280000000028</v>
      </c>
      <c r="W12" s="12">
        <f t="shared" si="9"/>
        <v>637579.72999999905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SUMIFS(Movimientos!$J$1:$J$892,Movimientos!$C$1:$C$892,$B13,Movimientos!$D$1:$D$892,$C13,Movimientos!$L$1:$L$892,A$3,Movimientos!$F$1:$F$892,"Ingreso")</f>
        <v>0</v>
      </c>
      <c r="K13" s="44">
        <f>SUMIFS(Movimientos!$J$1:$J$892,Movimientos!$C$1:$C$892,$B13,Movimientos!$D$1:$D$892,$C13,Movimientos!$L$1:$L$892,A$3,Movimientos!$F$1:$F$892,"Egreso")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SUMIFS(Movimientos!$J$1:$J$892,Movimientos!$C$1:$C$892,$B13,Movimientos!$D$1:$D$892,$C13,Movimientos!$L$1:$L$892,A$4,Movimientos!$F$1:$F$892,"Ingreso")</f>
        <v>0</v>
      </c>
      <c r="P13" s="44">
        <f>SUMIFS(Movimientos!$J$1:$J$892,Movimientos!$C$1:$C$892,$B13,Movimientos!$D$1:$D$892,$C13,Movimientos!$L$1:$L$892,A$4,Movimientos!$F$1:$F$892,"Egreso")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SUMIFS(Movimientos!$J$1:$J$892,Movimientos!$C$1:$C$892,$B13,Movimientos!$D$1:$D$892,$C13,Movimientos!$L$1:$L$892,A$5,Movimientos!$F$1:$F$892,"Ingreso")</f>
        <v>0</v>
      </c>
      <c r="U13" s="44">
        <f>SUMIFS(Movimientos!$J$1:$J$892,Movimientos!$C$1:$C$892,$B13,Movimientos!$D$1:$D$892,$C13,Movimientos!$L$1:$L$892,A$5,Movimientos!$F$1:$F$892,"Egreso")</f>
        <v>108.95</v>
      </c>
      <c r="V13" s="7">
        <f t="shared" si="2"/>
        <v>-108.95</v>
      </c>
      <c r="W13" s="12">
        <f t="shared" si="9"/>
        <v>4652.25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SUMIFS(Movimientos!$J$1:$J$892,Movimientos!$C$1:$C$892,$B14,Movimientos!$D$1:$D$892,$C14,Movimientos!$L$1:$L$892,A$3,Movimientos!$F$1:$F$892,"Ingreso")</f>
        <v>56867.66</v>
      </c>
      <c r="K14" s="44">
        <f>SUMIFS(Movimientos!$J$1:$J$892,Movimientos!$C$1:$C$892,$B14,Movimientos!$D$1:$D$892,$C14,Movimientos!$L$1:$L$892,A$3,Movimientos!$F$1:$F$892,"Egreso")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SUMIFS(Movimientos!$J$1:$J$892,Movimientos!$C$1:$C$892,$B14,Movimientos!$D$1:$D$892,$C14,Movimientos!$L$1:$L$892,A$4,Movimientos!$F$1:$F$892,"Ingreso")</f>
        <v>2426.71</v>
      </c>
      <c r="P14" s="44">
        <f>SUMIFS(Movimientos!$J$1:$J$892,Movimientos!$C$1:$C$892,$B14,Movimientos!$D$1:$D$892,$C14,Movimientos!$L$1:$L$892,A$4,Movimientos!$F$1:$F$892,"Egreso")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SUMIFS(Movimientos!$J$1:$J$892,Movimientos!$C$1:$C$892,$B14,Movimientos!$D$1:$D$892,$C14,Movimientos!$L$1:$L$892,A$5,Movimientos!$F$1:$F$892,"Ingreso")</f>
        <v>2434.02</v>
      </c>
      <c r="U14" s="44">
        <f>SUMIFS(Movimientos!$J$1:$J$892,Movimientos!$C$1:$C$892,$B14,Movimientos!$D$1:$D$892,$C14,Movimientos!$L$1:$L$892,A$5,Movimientos!$F$1:$F$892,"Egreso")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SUMIFS(Movimientos!$J$1:$J$892,Movimientos!$C$1:$C$892,$B15,Movimientos!$D$1:$D$892,$C15,Movimientos!$L$1:$L$892,A$3,Movimientos!$F$1:$F$892,"Ingreso")</f>
        <v>0</v>
      </c>
      <c r="K15" s="44">
        <f>SUMIFS(Movimientos!$J$1:$J$892,Movimientos!$C$1:$C$892,$B15,Movimientos!$D$1:$D$892,$C15,Movimientos!$L$1:$L$892,A$3,Movimientos!$F$1:$F$892,"Egreso")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SUMIFS(Movimientos!$J$1:$J$892,Movimientos!$C$1:$C$892,$B15,Movimientos!$D$1:$D$892,$C15,Movimientos!$L$1:$L$892,A$4,Movimientos!$F$1:$F$892,"Ingreso")</f>
        <v>0</v>
      </c>
      <c r="P15" s="44">
        <f>SUMIFS(Movimientos!$J$1:$J$892,Movimientos!$C$1:$C$892,$B15,Movimientos!$D$1:$D$892,$C15,Movimientos!$L$1:$L$892,A$4,Movimientos!$F$1:$F$892,"Egreso")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SUMIFS(Movimientos!$J$1:$J$892,Movimientos!$C$1:$C$892,$B15,Movimientos!$D$1:$D$892,$C15,Movimientos!$L$1:$L$892,A$5,Movimientos!$F$1:$F$892,"Ingreso")</f>
        <v>0</v>
      </c>
      <c r="U15" s="44">
        <f>SUMIFS(Movimientos!$J$1:$J$892,Movimientos!$C$1:$C$892,$B15,Movimientos!$D$1:$D$892,$C15,Movimientos!$L$1:$L$892,A$5,Movimientos!$F$1:$F$892,"Egreso")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SUMIFS(Movimientos!$J$1:$J$892,Movimientos!$C$1:$C$892,$B16,Movimientos!$D$1:$D$892,$C16,Movimientos!$L$1:$L$892,A$3,Movimientos!$F$1:$F$892,"Ingreso")</f>
        <v>0</v>
      </c>
      <c r="K16" s="44">
        <f>SUMIFS(Movimientos!$J$1:$J$892,Movimientos!$C$1:$C$892,$B16,Movimientos!$D$1:$D$892,$C16,Movimientos!$L$1:$L$892,A$3,Movimientos!$F$1:$F$892,"Egreso")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SUMIFS(Movimientos!$J$1:$J$892,Movimientos!$C$1:$C$892,$B16,Movimientos!$D$1:$D$892,$C16,Movimientos!$L$1:$L$892,A$4,Movimientos!$F$1:$F$892,"Ingreso")</f>
        <v>0</v>
      </c>
      <c r="P16" s="44">
        <f>SUMIFS(Movimientos!$J$1:$J$892,Movimientos!$C$1:$C$892,$B16,Movimientos!$D$1:$D$892,$C16,Movimientos!$L$1:$L$892,A$4,Movimientos!$F$1:$F$892,"Egreso")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SUMIFS(Movimientos!$J$1:$J$892,Movimientos!$C$1:$C$892,$B16,Movimientos!$D$1:$D$892,$C16,Movimientos!$L$1:$L$892,A$5,Movimientos!$F$1:$F$892,"Ingreso")</f>
        <v>0</v>
      </c>
      <c r="U16" s="44">
        <f>SUMIFS(Movimientos!$J$1:$J$892,Movimientos!$C$1:$C$892,$B16,Movimientos!$D$1:$D$892,$C16,Movimientos!$L$1:$L$892,A$5,Movimientos!$F$1:$F$892,"Egreso")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SUMIFS(Movimientos!$J$1:$J$892,Movimientos!$C$1:$C$892,$B17,Movimientos!$D$1:$D$892,$C17,Movimientos!$L$1:$L$892,A$3,Movimientos!$F$1:$F$892,"Ingreso")</f>
        <v>0</v>
      </c>
      <c r="K17" s="44">
        <f>SUMIFS(Movimientos!$J$1:$J$892,Movimientos!$C$1:$C$892,$B17,Movimientos!$D$1:$D$892,$C17,Movimientos!$L$1:$L$892,A$3,Movimientos!$F$1:$F$892,"Egreso")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SUMIFS(Movimientos!$J$1:$J$892,Movimientos!$C$1:$C$892,$B17,Movimientos!$D$1:$D$892,$C17,Movimientos!$L$1:$L$892,A$4,Movimientos!$F$1:$F$892,"Ingreso")</f>
        <v>0</v>
      </c>
      <c r="P17" s="44">
        <f>SUMIFS(Movimientos!$J$1:$J$892,Movimientos!$C$1:$C$892,$B17,Movimientos!$D$1:$D$892,$C17,Movimientos!$L$1:$L$892,A$4,Movimientos!$F$1:$F$892,"Egreso")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SUMIFS(Movimientos!$J$1:$J$892,Movimientos!$C$1:$C$892,$B17,Movimientos!$D$1:$D$892,$C17,Movimientos!$L$1:$L$892,A$5,Movimientos!$F$1:$F$892,"Ingreso")</f>
        <v>0</v>
      </c>
      <c r="U17" s="44">
        <f>SUMIFS(Movimientos!$J$1:$J$892,Movimientos!$C$1:$C$892,$B17,Movimientos!$D$1:$D$892,$C17,Movimientos!$L$1:$L$892,A$5,Movimientos!$F$1:$F$892,"Egreso")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SUMIFS(Movimientos!$J$1:$J$892,Movimientos!$C$1:$C$892,$B18,Movimientos!$D$1:$D$892,$C18,Movimientos!$L$1:$L$892,A$3,Movimientos!$F$1:$F$892,"Ingreso")</f>
        <v>0</v>
      </c>
      <c r="K18" s="44">
        <f>SUMIFS(Movimientos!$J$1:$J$892,Movimientos!$C$1:$C$892,$B18,Movimientos!$D$1:$D$892,$C18,Movimientos!$L$1:$L$892,A$3,Movimientos!$F$1:$F$892,"Egreso")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SUMIFS(Movimientos!$J$1:$J$892,Movimientos!$C$1:$C$892,$B18,Movimientos!$D$1:$D$892,$C18,Movimientos!$L$1:$L$892,A$4,Movimientos!$F$1:$F$892,"Ingreso")</f>
        <v>0</v>
      </c>
      <c r="P18" s="44">
        <f>SUMIFS(Movimientos!$J$1:$J$892,Movimientos!$C$1:$C$892,$B18,Movimientos!$D$1:$D$892,$C18,Movimientos!$L$1:$L$892,A$4,Movimientos!$F$1:$F$892,"Egreso")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SUMIFS(Movimientos!$J$1:$J$892,Movimientos!$C$1:$C$892,$B18,Movimientos!$D$1:$D$892,$C18,Movimientos!$L$1:$L$892,A$5,Movimientos!$F$1:$F$892,"Ingreso")</f>
        <v>0</v>
      </c>
      <c r="U18" s="44">
        <f>SUMIFS(Movimientos!$J$1:$J$892,Movimientos!$C$1:$C$892,$B18,Movimientos!$D$1:$D$892,$C18,Movimientos!$L$1:$L$892,A$5,Movimientos!$F$1:$F$892,"Egreso")</f>
        <v>12000</v>
      </c>
      <c r="V18" s="7">
        <f t="shared" si="2"/>
        <v>-12000</v>
      </c>
      <c r="W18" s="12">
        <f t="shared" si="9"/>
        <v>33206.89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SUMIFS(Movimientos!$J$1:$J$892,Movimientos!$C$1:$C$892,$B19,Movimientos!$D$1:$D$892,$C19,Movimientos!$L$1:$L$892,A$3,Movimientos!$F$1:$F$892,"Ingreso")</f>
        <v>2580000</v>
      </c>
      <c r="K19" s="44">
        <f>SUMIFS(Movimientos!$J$1:$J$892,Movimientos!$C$1:$C$892,$B19,Movimientos!$D$1:$D$892,$C19,Movimientos!$L$1:$L$892,A$3,Movimientos!$F$1:$F$892,"Egreso")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SUMIFS(Movimientos!$J$1:$J$892,Movimientos!$C$1:$C$892,$B19,Movimientos!$D$1:$D$892,$C19,Movimientos!$L$1:$L$892,A$4,Movimientos!$F$1:$F$892,"Ingreso")</f>
        <v>0</v>
      </c>
      <c r="P19" s="44">
        <f>SUMIFS(Movimientos!$J$1:$J$892,Movimientos!$C$1:$C$892,$B19,Movimientos!$D$1:$D$892,$C19,Movimientos!$L$1:$L$892,A$4,Movimientos!$F$1:$F$892,"Egreso")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SUMIFS(Movimientos!$J$1:$J$892,Movimientos!$C$1:$C$892,$B19,Movimientos!$D$1:$D$892,$C19,Movimientos!$L$1:$L$892,A$5,Movimientos!$F$1:$F$892,"Ingreso")</f>
        <v>594281.76</v>
      </c>
      <c r="U19" s="44">
        <f>SUMIFS(Movimientos!$J$1:$J$892,Movimientos!$C$1:$C$892,$B19,Movimientos!$D$1:$D$892,$C19,Movimientos!$L$1:$L$892,A$5,Movimientos!$F$1:$F$892,"Egreso")</f>
        <v>523000</v>
      </c>
      <c r="V19" s="7">
        <f t="shared" si="2"/>
        <v>71281.760000000009</v>
      </c>
      <c r="W19" s="12">
        <f t="shared" si="9"/>
        <v>152999.3600000001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SUMIFS(Movimientos!$J$1:$J$892,Movimientos!$C$1:$C$892,$B20,Movimientos!$D$1:$D$892,$C20,Movimientos!$L$1:$L$892,A$3,Movimientos!$F$1:$F$892,"Ingreso")</f>
        <v>0</v>
      </c>
      <c r="K20" s="44">
        <f>SUMIFS(Movimientos!$J$1:$J$892,Movimientos!$C$1:$C$892,$B20,Movimientos!$D$1:$D$892,$C20,Movimientos!$L$1:$L$892,A$3,Movimientos!$F$1:$F$892,"Egreso")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SUMIFS(Movimientos!$J$1:$J$892,Movimientos!$C$1:$C$892,$B20,Movimientos!$D$1:$D$892,$C20,Movimientos!$L$1:$L$892,A$4,Movimientos!$F$1:$F$892,"Ingreso")</f>
        <v>0</v>
      </c>
      <c r="P20" s="44">
        <f>SUMIFS(Movimientos!$J$1:$J$892,Movimientos!$C$1:$C$892,$B20,Movimientos!$D$1:$D$892,$C20,Movimientos!$L$1:$L$892,A$4,Movimientos!$F$1:$F$892,"Egreso")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SUMIFS(Movimientos!$J$1:$J$892,Movimientos!$C$1:$C$892,$B20,Movimientos!$D$1:$D$892,$C20,Movimientos!$L$1:$L$892,A$5,Movimientos!$F$1:$F$892,"Ingreso")</f>
        <v>70003.87</v>
      </c>
      <c r="U20" s="44">
        <f>SUMIFS(Movimientos!$J$1:$J$892,Movimientos!$C$1:$C$892,$B20,Movimientos!$D$1:$D$892,$C20,Movimientos!$L$1:$L$892,A$5,Movimientos!$F$1:$F$892,"Egreso")</f>
        <v>59924.979999999996</v>
      </c>
      <c r="V20" s="7">
        <f t="shared" si="2"/>
        <v>10078.89</v>
      </c>
      <c r="W20" s="12">
        <f t="shared" si="9"/>
        <v>98169.260000000111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SUMIFS(Movimientos!$J$1:$J$892,Movimientos!$C$1:$C$892,$B21,Movimientos!$D$1:$D$892,$C21,Movimientos!$L$1:$L$892,A$3,Movimientos!$F$1:$F$892,"Ingreso")</f>
        <v>0</v>
      </c>
      <c r="K21" s="44">
        <f>SUMIFS(Movimientos!$J$1:$J$892,Movimientos!$C$1:$C$892,$B21,Movimientos!$D$1:$D$892,$C21,Movimientos!$L$1:$L$892,A$3,Movimientos!$F$1:$F$892,"Egreso")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SUMIFS(Movimientos!$J$1:$J$892,Movimientos!$C$1:$C$892,$B21,Movimientos!$D$1:$D$892,$C21,Movimientos!$L$1:$L$892,A$4,Movimientos!$F$1:$F$892,"Ingreso")</f>
        <v>14659.29</v>
      </c>
      <c r="P21" s="44">
        <f>SUMIFS(Movimientos!$J$1:$J$892,Movimientos!$C$1:$C$892,$B21,Movimientos!$D$1:$D$892,$C21,Movimientos!$L$1:$L$892,A$4,Movimientos!$F$1:$F$892,"Egreso")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SUMIFS(Movimientos!$J$1:$J$892,Movimientos!$C$1:$C$892,$B21,Movimientos!$D$1:$D$892,$C21,Movimientos!$L$1:$L$892,A$5,Movimientos!$F$1:$F$892,"Ingreso")</f>
        <v>0</v>
      </c>
      <c r="U21" s="44">
        <f>SUMIFS(Movimientos!$J$1:$J$892,Movimientos!$C$1:$C$892,$B21,Movimientos!$D$1:$D$892,$C21,Movimientos!$L$1:$L$892,A$5,Movimientos!$F$1:$F$892,"Egreso")</f>
        <v>1310.43</v>
      </c>
      <c r="V21" s="7">
        <f t="shared" si="2"/>
        <v>-1310.43</v>
      </c>
      <c r="W21" s="12">
        <f t="shared" si="9"/>
        <v>13986.83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SUMIFS(Movimientos!$J$1:$J$892,Movimientos!$C$1:$C$892,$B22,Movimientos!$D$1:$D$892,$C22,Movimientos!$L$1:$L$892,A$3,Movimientos!$F$1:$F$892,"Ingreso")</f>
        <v>0</v>
      </c>
      <c r="K22" s="44">
        <f>SUMIFS(Movimientos!$J$1:$J$892,Movimientos!$C$1:$C$892,$B22,Movimientos!$D$1:$D$892,$C22,Movimientos!$L$1:$L$892,A$3,Movimientos!$F$1:$F$892,"Egreso")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SUMIFS(Movimientos!$J$1:$J$892,Movimientos!$C$1:$C$892,$B22,Movimientos!$D$1:$D$892,$C22,Movimientos!$L$1:$L$892,A$4,Movimientos!$F$1:$F$892,"Ingreso")</f>
        <v>0</v>
      </c>
      <c r="P22" s="44">
        <f>SUMIFS(Movimientos!$J$1:$J$892,Movimientos!$C$1:$C$892,$B22,Movimientos!$D$1:$D$892,$C22,Movimientos!$L$1:$L$892,A$4,Movimientos!$F$1:$F$892,"Egreso")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SUMIFS(Movimientos!$J$1:$J$892,Movimientos!$C$1:$C$892,$B22,Movimientos!$D$1:$D$892,$C22,Movimientos!$L$1:$L$892,A$5,Movimientos!$F$1:$F$892,"Ingreso")</f>
        <v>100</v>
      </c>
      <c r="U22" s="44">
        <f>SUMIFS(Movimientos!$J$1:$J$892,Movimientos!$C$1:$C$892,$B22,Movimientos!$D$1:$D$892,$C22,Movimientos!$L$1:$L$892,A$5,Movimientos!$F$1:$F$892,"Egreso")</f>
        <v>59.9</v>
      </c>
      <c r="V22" s="7">
        <f t="shared" si="2"/>
        <v>40.1</v>
      </c>
      <c r="W22" s="12">
        <f t="shared" si="9"/>
        <v>94.499999999999972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SUMIFS(Movimientos!$J$1:$J$892,Movimientos!$C$1:$C$892,$B23,Movimientos!$D$1:$D$892,$C23,Movimientos!$L$1:$L$892,A$3,Movimientos!$F$1:$F$892,"Ingreso")</f>
        <v>0</v>
      </c>
      <c r="K23" s="44">
        <f>SUMIFS(Movimientos!$J$1:$J$892,Movimientos!$C$1:$C$892,$B23,Movimientos!$D$1:$D$892,$C23,Movimientos!$L$1:$L$892,A$3,Movimientos!$F$1:$F$892,"Egreso")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SUMIFS(Movimientos!$J$1:$J$892,Movimientos!$C$1:$C$892,$B23,Movimientos!$D$1:$D$892,$C23,Movimientos!$L$1:$L$892,A$4,Movimientos!$F$1:$F$892,"Ingreso")</f>
        <v>0</v>
      </c>
      <c r="P23" s="44">
        <f>SUMIFS(Movimientos!$J$1:$J$892,Movimientos!$C$1:$C$892,$B23,Movimientos!$D$1:$D$892,$C23,Movimientos!$L$1:$L$892,A$4,Movimientos!$F$1:$F$892,"Egreso")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SUMIFS(Movimientos!$J$1:$J$892,Movimientos!$C$1:$C$892,$B23,Movimientos!$D$1:$D$892,$C23,Movimientos!$L$1:$L$892,A$5,Movimientos!$F$1:$F$892,"Ingreso")</f>
        <v>0</v>
      </c>
      <c r="U23" s="44">
        <f>SUMIFS(Movimientos!$J$1:$J$892,Movimientos!$C$1:$C$892,$B23,Movimientos!$D$1:$D$892,$C23,Movimientos!$L$1:$L$892,A$5,Movimientos!$F$1:$F$892,"Egreso")</f>
        <v>59.9</v>
      </c>
      <c r="V23" s="7">
        <f t="shared" si="2"/>
        <v>-59.9</v>
      </c>
      <c r="W23" s="12">
        <f t="shared" si="9"/>
        <v>2147.9200000000005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SUMIFS(Movimientos!$J$1:$J$892,Movimientos!$C$1:$C$892,$B24,Movimientos!$D$1:$D$892,$C24,Movimientos!$L$1:$L$892,A$3,Movimientos!$F$1:$F$892,"Ingreso")</f>
        <v>0</v>
      </c>
      <c r="K24" s="44">
        <f>SUMIFS(Movimientos!$J$1:$J$892,Movimientos!$C$1:$C$892,$B24,Movimientos!$D$1:$D$892,$C24,Movimientos!$L$1:$L$892,A$3,Movimientos!$F$1:$F$892,"Egreso")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SUMIFS(Movimientos!$J$1:$J$892,Movimientos!$C$1:$C$892,$B24,Movimientos!$D$1:$D$892,$C24,Movimientos!$L$1:$L$892,A$4,Movimientos!$F$1:$F$892,"Ingreso")</f>
        <v>1451269.78</v>
      </c>
      <c r="P24" s="44">
        <f>SUMIFS(Movimientos!$J$1:$J$892,Movimientos!$C$1:$C$892,$B24,Movimientos!$D$1:$D$892,$C24,Movimientos!$L$1:$L$892,A$4,Movimientos!$F$1:$F$892,"Egreso")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SUMIFS(Movimientos!$J$1:$J$892,Movimientos!$C$1:$C$892,$B24,Movimientos!$D$1:$D$892,$C24,Movimientos!$L$1:$L$892,A$5,Movimientos!$F$1:$F$892,"Ingreso")</f>
        <v>0</v>
      </c>
      <c r="U24" s="44">
        <f>SUMIFS(Movimientos!$J$1:$J$892,Movimientos!$C$1:$C$892,$B24,Movimientos!$D$1:$D$892,$C24,Movimientos!$L$1:$L$892,A$5,Movimientos!$F$1:$F$892,"Egreso")</f>
        <v>1436584.43</v>
      </c>
      <c r="V24" s="7">
        <f t="shared" si="2"/>
        <v>-1436584.43</v>
      </c>
      <c r="W24" s="12">
        <f t="shared" si="9"/>
        <v>18005.290000000037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SUMIFS(Movimientos!$J$1:$J$892,Movimientos!$C$1:$C$892,$B25,Movimientos!$D$1:$D$892,$C25,Movimientos!$L$1:$L$892,A$3,Movimientos!$F$1:$F$892,"Ingreso")</f>
        <v>0</v>
      </c>
      <c r="K25" s="44">
        <f>SUMIFS(Movimientos!$J$1:$J$892,Movimientos!$C$1:$C$892,$B25,Movimientos!$D$1:$D$892,$C25,Movimientos!$L$1:$L$892,A$3,Movimientos!$F$1:$F$892,"Egreso")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SUMIFS(Movimientos!$J$1:$J$892,Movimientos!$C$1:$C$892,$B25,Movimientos!$D$1:$D$892,$C25,Movimientos!$L$1:$L$892,A$4,Movimientos!$F$1:$F$892,"Ingreso")</f>
        <v>0</v>
      </c>
      <c r="P25" s="44">
        <f>SUMIFS(Movimientos!$J$1:$J$892,Movimientos!$C$1:$C$892,$B25,Movimientos!$D$1:$D$892,$C25,Movimientos!$L$1:$L$892,A$4,Movimientos!$F$1:$F$892,"Egreso")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SUMIFS(Movimientos!$J$1:$J$892,Movimientos!$C$1:$C$892,$B25,Movimientos!$D$1:$D$892,$C25,Movimientos!$L$1:$L$892,A$5,Movimientos!$F$1:$F$892,"Ingreso")</f>
        <v>0</v>
      </c>
      <c r="U25" s="44">
        <f>SUMIFS(Movimientos!$J$1:$J$892,Movimientos!$C$1:$C$892,$B25,Movimientos!$D$1:$D$892,$C25,Movimientos!$L$1:$L$892,A$5,Movimientos!$F$1:$F$892,"Egreso")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SUMIFS(Movimientos!$J$1:$J$892,Movimientos!$C$1:$C$892,$B26,Movimientos!$D$1:$D$892,$C26,Movimientos!$L$1:$L$892,A$3,Movimientos!$F$1:$F$892,"Ingreso")</f>
        <v>0</v>
      </c>
      <c r="K26" s="44">
        <f>SUMIFS(Movimientos!$J$1:$J$892,Movimientos!$C$1:$C$892,$B26,Movimientos!$D$1:$D$892,$C26,Movimientos!$L$1:$L$892,A$3,Movimientos!$F$1:$F$892,"Egreso")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SUMIFS(Movimientos!$J$1:$J$892,Movimientos!$C$1:$C$892,$B26,Movimientos!$D$1:$D$892,$C26,Movimientos!$L$1:$L$892,A$4,Movimientos!$F$1:$F$892,"Ingreso")</f>
        <v>0</v>
      </c>
      <c r="P26" s="44">
        <f>SUMIFS(Movimientos!$J$1:$J$892,Movimientos!$C$1:$C$892,$B26,Movimientos!$D$1:$D$892,$C26,Movimientos!$L$1:$L$892,A$4,Movimientos!$F$1:$F$892,"Egreso")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SUMIFS(Movimientos!$J$1:$J$892,Movimientos!$C$1:$C$892,$B26,Movimientos!$D$1:$D$892,$C26,Movimientos!$L$1:$L$892,A$5,Movimientos!$F$1:$F$892,"Ingreso")</f>
        <v>0</v>
      </c>
      <c r="U26" s="44">
        <f>SUMIFS(Movimientos!$J$1:$J$892,Movimientos!$C$1:$C$892,$B26,Movimientos!$D$1:$D$892,$C26,Movimientos!$L$1:$L$892,A$5,Movimientos!$F$1:$F$892,"Egreso")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SUMIFS(Movimientos!$J$1:$J$892,Movimientos!$C$1:$C$892,$B27,Movimientos!$D$1:$D$892,$C27,Movimientos!$L$1:$L$892,A$3,Movimientos!$F$1:$F$892,"Ingreso")</f>
        <v>0</v>
      </c>
      <c r="K27" s="44">
        <f>SUMIFS(Movimientos!$J$1:$J$892,Movimientos!$C$1:$C$892,$B27,Movimientos!$D$1:$D$892,$C27,Movimientos!$L$1:$L$892,A$3,Movimientos!$F$1:$F$892,"Egreso")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SUMIFS(Movimientos!$J$1:$J$892,Movimientos!$C$1:$C$892,$B27,Movimientos!$D$1:$D$892,$C27,Movimientos!$L$1:$L$892,A$4,Movimientos!$F$1:$F$892,"Ingreso")</f>
        <v>518.65</v>
      </c>
      <c r="P27" s="44">
        <f>SUMIFS(Movimientos!$J$1:$J$892,Movimientos!$C$1:$C$892,$B27,Movimientos!$D$1:$D$892,$C27,Movimientos!$L$1:$L$892,A$4,Movimientos!$F$1:$F$892,"Egreso")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SUMIFS(Movimientos!$J$1:$J$892,Movimientos!$C$1:$C$892,$B27,Movimientos!$D$1:$D$892,$C27,Movimientos!$L$1:$L$892,A$5,Movimientos!$F$1:$F$892,"Ingreso")</f>
        <v>0</v>
      </c>
      <c r="U27" s="44">
        <f>SUMIFS(Movimientos!$J$1:$J$892,Movimientos!$C$1:$C$892,$B27,Movimientos!$D$1:$D$892,$C27,Movimientos!$L$1:$L$892,A$5,Movimientos!$F$1:$F$892,"Egreso")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SUMIFS(Movimientos!$J$1:$J$892,Movimientos!$C$1:$C$892,$B28,Movimientos!$D$1:$D$892,$C28,Movimientos!$L$1:$L$892,A$3,Movimientos!$F$1:$F$892,"Ingreso")</f>
        <v>0</v>
      </c>
      <c r="K28" s="44">
        <f>SUMIFS(Movimientos!$J$1:$J$892,Movimientos!$C$1:$C$892,$B28,Movimientos!$D$1:$D$892,$C28,Movimientos!$L$1:$L$892,A$3,Movimientos!$F$1:$F$892,"Egreso")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SUMIFS(Movimientos!$J$1:$J$892,Movimientos!$C$1:$C$892,$B28,Movimientos!$D$1:$D$892,$C28,Movimientos!$L$1:$L$892,A$4,Movimientos!$F$1:$F$892,"Ingreso")</f>
        <v>0</v>
      </c>
      <c r="P28" s="44">
        <f>SUMIFS(Movimientos!$J$1:$J$892,Movimientos!$C$1:$C$892,$B28,Movimientos!$D$1:$D$892,$C28,Movimientos!$L$1:$L$892,A$4,Movimientos!$F$1:$F$892,"Egreso")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SUMIFS(Movimientos!$J$1:$J$892,Movimientos!$C$1:$C$892,$B28,Movimientos!$D$1:$D$892,$C28,Movimientos!$L$1:$L$892,A$5,Movimientos!$F$1:$F$892,"Ingreso")</f>
        <v>0</v>
      </c>
      <c r="U28" s="44">
        <f>SUMIFS(Movimientos!$J$1:$J$892,Movimientos!$C$1:$C$892,$B28,Movimientos!$D$1:$D$892,$C28,Movimientos!$L$1:$L$892,A$5,Movimientos!$F$1:$F$892,"Egreso")</f>
        <v>32</v>
      </c>
      <c r="V28" s="7">
        <f t="shared" si="2"/>
        <v>-32</v>
      </c>
      <c r="W28" s="12">
        <f t="shared" si="9"/>
        <v>1380.08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SUMIFS(Movimientos!$J$1:$J$892,Movimientos!$C$1:$C$892,$B29,Movimientos!$D$1:$D$892,$C29,Movimientos!$L$1:$L$892,A$3,Movimientos!$F$1:$F$892,"Ingreso")</f>
        <v>5250</v>
      </c>
      <c r="K29" s="44">
        <f>SUMIFS(Movimientos!$J$1:$J$892,Movimientos!$C$1:$C$892,$B29,Movimientos!$D$1:$D$892,$C29,Movimientos!$L$1:$L$892,A$3,Movimientos!$F$1:$F$892,"Egreso")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SUMIFS(Movimientos!$J$1:$J$892,Movimientos!$C$1:$C$892,$B29,Movimientos!$D$1:$D$892,$C29,Movimientos!$L$1:$L$892,A$4,Movimientos!$F$1:$F$892,"Ingreso")</f>
        <v>0</v>
      </c>
      <c r="P29" s="44">
        <f>SUMIFS(Movimientos!$J$1:$J$892,Movimientos!$C$1:$C$892,$B29,Movimientos!$D$1:$D$892,$C29,Movimientos!$L$1:$L$892,A$4,Movimientos!$F$1:$F$892,"Egreso")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SUMIFS(Movimientos!$J$1:$J$892,Movimientos!$C$1:$C$892,$B29,Movimientos!$D$1:$D$892,$C29,Movimientos!$L$1:$L$892,A$5,Movimientos!$F$1:$F$892,"Ingreso")</f>
        <v>30105.4</v>
      </c>
      <c r="U29" s="44">
        <f>SUMIFS(Movimientos!$J$1:$J$892,Movimientos!$C$1:$C$892,$B29,Movimientos!$D$1:$D$892,$C29,Movimientos!$L$1:$L$892,A$5,Movimientos!$F$1:$F$892,"Egreso")</f>
        <v>27405.589999999997</v>
      </c>
      <c r="V29" s="7">
        <f t="shared" si="2"/>
        <v>2699.8100000000049</v>
      </c>
      <c r="W29" s="12">
        <f t="shared" si="9"/>
        <v>24726.95999999997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SUMIFS(Movimientos!$J$1:$J$892,Movimientos!$C$1:$C$892,$B30,Movimientos!$D$1:$D$892,$C30,Movimientos!$L$1:$L$892,A$3,Movimientos!$F$1:$F$892,"Ingreso")</f>
        <v>0</v>
      </c>
      <c r="K30" s="44">
        <f>SUMIFS(Movimientos!$J$1:$J$892,Movimientos!$C$1:$C$892,$B30,Movimientos!$D$1:$D$892,$C30,Movimientos!$L$1:$L$892,A$3,Movimientos!$F$1:$F$892,"Egreso")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SUMIFS(Movimientos!$J$1:$J$892,Movimientos!$C$1:$C$892,$B30,Movimientos!$D$1:$D$892,$C30,Movimientos!$L$1:$L$892,A$4,Movimientos!$F$1:$F$892,"Ingreso")</f>
        <v>0</v>
      </c>
      <c r="P30" s="44">
        <f>SUMIFS(Movimientos!$J$1:$J$892,Movimientos!$C$1:$C$892,$B30,Movimientos!$D$1:$D$892,$C30,Movimientos!$L$1:$L$892,A$4,Movimientos!$F$1:$F$892,"Egreso")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SUMIFS(Movimientos!$J$1:$J$892,Movimientos!$C$1:$C$892,$B30,Movimientos!$D$1:$D$892,$C30,Movimientos!$L$1:$L$892,A$5,Movimientos!$F$1:$F$892,"Ingreso")</f>
        <v>0</v>
      </c>
      <c r="U30" s="44">
        <f>SUMIFS(Movimientos!$J$1:$J$892,Movimientos!$C$1:$C$892,$B30,Movimientos!$D$1:$D$892,$C30,Movimientos!$L$1:$L$892,A$5,Movimientos!$F$1:$F$892,"Egreso")</f>
        <v>20</v>
      </c>
      <c r="V30" s="7">
        <f t="shared" si="2"/>
        <v>-20</v>
      </c>
      <c r="W30" s="12">
        <f t="shared" si="9"/>
        <v>300.42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SUMIFS(Movimientos!$J$1:$J$892,Movimientos!$C$1:$C$892,$B31,Movimientos!$D$1:$D$892,$C31,Movimientos!$L$1:$L$892,A$3,Movimientos!$F$1:$F$892,"Ingreso")</f>
        <v>15000</v>
      </c>
      <c r="K31" s="44">
        <f>SUMIFS(Movimientos!$J$1:$J$892,Movimientos!$C$1:$C$892,$B31,Movimientos!$D$1:$D$892,$C31,Movimientos!$L$1:$L$892,A$3,Movimientos!$F$1:$F$892,"Egreso")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SUMIFS(Movimientos!$J$1:$J$892,Movimientos!$C$1:$C$892,$B31,Movimientos!$D$1:$D$892,$C31,Movimientos!$L$1:$L$892,A$4,Movimientos!$F$1:$F$892,"Ingreso")</f>
        <v>15000</v>
      </c>
      <c r="P31" s="44">
        <f>SUMIFS(Movimientos!$J$1:$J$892,Movimientos!$C$1:$C$892,$B31,Movimientos!$D$1:$D$892,$C31,Movimientos!$L$1:$L$892,A$4,Movimientos!$F$1:$F$892,"Egreso")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SUMIFS(Movimientos!$J$1:$J$892,Movimientos!$C$1:$C$892,$B31,Movimientos!$D$1:$D$892,$C31,Movimientos!$L$1:$L$892,A$5,Movimientos!$F$1:$F$892,"Ingreso")</f>
        <v>21000</v>
      </c>
      <c r="U31" s="44">
        <f>SUMIFS(Movimientos!$J$1:$J$892,Movimientos!$C$1:$C$892,$B31,Movimientos!$D$1:$D$892,$C31,Movimientos!$L$1:$L$892,A$5,Movimientos!$F$1:$F$892,"Egreso")</f>
        <v>22762.26</v>
      </c>
      <c r="V31" s="7">
        <f t="shared" si="2"/>
        <v>-1762.2599999999984</v>
      </c>
      <c r="W31" s="12">
        <f t="shared" si="9"/>
        <v>16760.540000000005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SUMIFS(Movimientos!$J$1:$J$892,Movimientos!$C$1:$C$892,$B32,Movimientos!$D$1:$D$892,$C32,Movimientos!$L$1:$L$892,A$3,Movimientos!$F$1:$F$892,"Ingreso")</f>
        <v>12000</v>
      </c>
      <c r="K32" s="44">
        <f>SUMIFS(Movimientos!$J$1:$J$892,Movimientos!$C$1:$C$892,$B32,Movimientos!$D$1:$D$892,$C32,Movimientos!$L$1:$L$892,A$3,Movimientos!$F$1:$F$892,"Egreso")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SUMIFS(Movimientos!$J$1:$J$892,Movimientos!$C$1:$C$892,$B32,Movimientos!$D$1:$D$892,$C32,Movimientos!$L$1:$L$892,A$4,Movimientos!$F$1:$F$892,"Ingreso")</f>
        <v>8800</v>
      </c>
      <c r="P32" s="44">
        <f>SUMIFS(Movimientos!$J$1:$J$892,Movimientos!$C$1:$C$892,$B32,Movimientos!$D$1:$D$892,$C32,Movimientos!$L$1:$L$892,A$4,Movimientos!$F$1:$F$892,"Egreso")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SUMIFS(Movimientos!$J$1:$J$892,Movimientos!$C$1:$C$892,$B32,Movimientos!$D$1:$D$892,$C32,Movimientos!$L$1:$L$892,A$5,Movimientos!$F$1:$F$892,"Ingreso")</f>
        <v>9400</v>
      </c>
      <c r="U32" s="44">
        <f>SUMIFS(Movimientos!$J$1:$J$892,Movimientos!$C$1:$C$892,$B32,Movimientos!$D$1:$D$892,$C32,Movimientos!$L$1:$L$892,A$5,Movimientos!$F$1:$F$892,"Egreso")</f>
        <v>23722.560000000001</v>
      </c>
      <c r="V32" s="7">
        <f t="shared" si="2"/>
        <v>-14322.560000000001</v>
      </c>
      <c r="W32" s="12">
        <f t="shared" si="9"/>
        <v>14162.999999999996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SUMIFS(Movimientos!$J$1:$J$892,Movimientos!$C$1:$C$892,$B33,Movimientos!$D$1:$D$892,$C33,Movimientos!$L$1:$L$892,A$3,Movimientos!$F$1:$F$892,"Ingreso")</f>
        <v>59000</v>
      </c>
      <c r="K33" s="44">
        <f>SUMIFS(Movimientos!$J$1:$J$892,Movimientos!$C$1:$C$892,$B33,Movimientos!$D$1:$D$892,$C33,Movimientos!$L$1:$L$892,A$3,Movimientos!$F$1:$F$892,"Egreso")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SUMIFS(Movimientos!$J$1:$J$892,Movimientos!$C$1:$C$892,$B33,Movimientos!$D$1:$D$892,$C33,Movimientos!$L$1:$L$892,A$4,Movimientos!$F$1:$F$892,"Ingreso")</f>
        <v>50000</v>
      </c>
      <c r="P33" s="44">
        <f>SUMIFS(Movimientos!$J$1:$J$892,Movimientos!$C$1:$C$892,$B33,Movimientos!$D$1:$D$892,$C33,Movimientos!$L$1:$L$892,A$4,Movimientos!$F$1:$F$892,"Egreso")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SUMIFS(Movimientos!$J$1:$J$892,Movimientos!$C$1:$C$892,$B33,Movimientos!$D$1:$D$892,$C33,Movimientos!$L$1:$L$892,A$5,Movimientos!$F$1:$F$892,"Ingreso")</f>
        <v>23000</v>
      </c>
      <c r="U33" s="44">
        <f>SUMIFS(Movimientos!$J$1:$J$892,Movimientos!$C$1:$C$892,$B33,Movimientos!$D$1:$D$892,$C33,Movimientos!$L$1:$L$892,A$5,Movimientos!$F$1:$F$892,"Egreso")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SUMIFS(Movimientos!$J$1:$J$892,Movimientos!$C$1:$C$892,$B34,Movimientos!$D$1:$D$892,$C34,Movimientos!$L$1:$L$892,A$3,Movimientos!$F$1:$F$892,"Ingreso")</f>
        <v>59000</v>
      </c>
      <c r="K34" s="44">
        <f>SUMIFS(Movimientos!$J$1:$J$892,Movimientos!$C$1:$C$892,$B34,Movimientos!$D$1:$D$892,$C34,Movimientos!$L$1:$L$892,A$3,Movimientos!$F$1:$F$892,"Egreso")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SUMIFS(Movimientos!$J$1:$J$892,Movimientos!$C$1:$C$892,$B34,Movimientos!$D$1:$D$892,$C34,Movimientos!$L$1:$L$892,A$4,Movimientos!$F$1:$F$892,"Ingreso")</f>
        <v>50000</v>
      </c>
      <c r="P34" s="44">
        <f>SUMIFS(Movimientos!$J$1:$J$892,Movimientos!$C$1:$C$892,$B34,Movimientos!$D$1:$D$892,$C34,Movimientos!$L$1:$L$892,A$4,Movimientos!$F$1:$F$892,"Egreso")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SUMIFS(Movimientos!$J$1:$J$892,Movimientos!$C$1:$C$892,$B34,Movimientos!$D$1:$D$892,$C34,Movimientos!$L$1:$L$892,A$5,Movimientos!$F$1:$F$892,"Ingreso")</f>
        <v>23000</v>
      </c>
      <c r="U34" s="44">
        <f>SUMIFS(Movimientos!$J$1:$J$892,Movimientos!$C$1:$C$892,$B34,Movimientos!$D$1:$D$892,$C34,Movimientos!$L$1:$L$892,A$5,Movimientos!$F$1:$F$892,"Egreso")</f>
        <v>28160.939999999995</v>
      </c>
      <c r="V34" s="7">
        <f t="shared" si="2"/>
        <v>-5160.9399999999951</v>
      </c>
      <c r="W34" s="12">
        <f t="shared" si="9"/>
        <v>3797.7700000000041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SUMIFS(Movimientos!$J$1:$J$892,Movimientos!$C$1:$C$892,$B35,Movimientos!$D$1:$D$892,$C35,Movimientos!$L$1:$L$892,A$3,Movimientos!$F$1:$F$892,"Ingreso")</f>
        <v>0</v>
      </c>
      <c r="K35" s="44">
        <f>SUMIFS(Movimientos!$J$1:$J$892,Movimientos!$C$1:$C$892,$B35,Movimientos!$D$1:$D$892,$C35,Movimientos!$L$1:$L$892,A$3,Movimientos!$F$1:$F$892,"Egreso")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SUMIFS(Movimientos!$J$1:$J$892,Movimientos!$C$1:$C$892,$B35,Movimientos!$D$1:$D$892,$C35,Movimientos!$L$1:$L$892,A$4,Movimientos!$F$1:$F$892,"Ingreso")</f>
        <v>15000</v>
      </c>
      <c r="P35" s="44">
        <f>SUMIFS(Movimientos!$J$1:$J$892,Movimientos!$C$1:$C$892,$B35,Movimientos!$D$1:$D$892,$C35,Movimientos!$L$1:$L$892,A$4,Movimientos!$F$1:$F$892,"Egreso")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SUMIFS(Movimientos!$J$1:$J$892,Movimientos!$C$1:$C$892,$B35,Movimientos!$D$1:$D$892,$C35,Movimientos!$L$1:$L$892,A$5,Movimientos!$F$1:$F$892,"Ingreso")</f>
        <v>0</v>
      </c>
      <c r="U35" s="44">
        <f>SUMIFS(Movimientos!$J$1:$J$892,Movimientos!$C$1:$C$892,$B35,Movimientos!$D$1:$D$892,$C35,Movimientos!$L$1:$L$892,A$5,Movimientos!$F$1:$F$892,"Egreso")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26"/>
  <sheetViews>
    <sheetView showGridLines="0" zoomScale="80" zoomScaleNormal="8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B125" sqref="B12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Group")+SUMIFS(Movimientos!$K$1:$K$892,Movimientos!$C$1:$C$892,"CFT Group",Movimientos!$B$1:$B$892,"&lt;="&amp;$B33)</f>
        <v>983394.14000000013</v>
      </c>
      <c r="D33" s="24">
        <f>SUMIFS('Saldos Iniciales'!$D:$D,'Saldos Iniciales'!$A:$A,"M1B")+SUMIFS(Movimientos!$K$1:$K$892,Movimientos!$C$1:$C$892,"M1B",Movimientos!$B$1:$B$892,"&lt;="&amp;$B33)</f>
        <v>69376.390000000174</v>
      </c>
      <c r="E33" s="24">
        <f>SUMIFS('Saldos Iniciales'!$D:$D,'Saldos Iniciales'!$A:$A,"Durand")+SUMIFS(Movimientos!$K$1:$K$892,Movimientos!$C$1:$C$892,"Durand",Movimientos!$B$1:$B$892,"&lt;="&amp;$B33)</f>
        <v>1669.89</v>
      </c>
      <c r="F33" s="24">
        <f>SUMIFS('Saldos Iniciales'!$D:$D,'Saldos Iniciales'!$A:$A,"A&amp;M Imports")+SUMIFS(Movimientos!$K$1:$K$892,Movimientos!$C$1:$C$892,"A&amp;M Imports",Movimientos!$B$1:$B$892,"&lt;="&amp;$B33)</f>
        <v>804853.11999999988</v>
      </c>
      <c r="G33" s="24">
        <f>SUMIFS('Saldos Iniciales'!$D:$D,'Saldos Iniciales'!$A:$A,"SSP Capital")+SUMIFS(Movimientos!$K$1:$K$892,Movimientos!$C$1:$C$892,"SSP Capital",Movimientos!$B$1:$B$892,"&lt;="&amp;$B33)</f>
        <v>1015901.6699999992</v>
      </c>
      <c r="H33" s="24">
        <f>SUMIFS('Saldos Iniciales'!$D:$D,'Saldos Iniciales'!$A:$A,"Cross Family Trust")+SUMIFS(Movimientos!$K$1:$K$892,Movimientos!$C$1:$C$892,"Cross Family Trust",Movimientos!$B$1:$B$892,"&lt;="&amp;$B33)</f>
        <v>131496.38</v>
      </c>
      <c r="I33" s="24">
        <f>SUMIFS('Saldos Iniciales'!$D:$D,'Saldos Iniciales'!$A:$A,"Cross Security Trust")+SUMIFS(Movimientos!$K$1:$K$892,Movimientos!$C$1:$C$892,"Cross Security Trust",Movimientos!$B$1:$B$892,"&lt;="&amp;$B33)</f>
        <v>88090.37</v>
      </c>
      <c r="J33" s="24">
        <f>SUMIFS('Saldos Iniciales'!$D:$D,'Saldos Iniciales'!$A:$A,"Electrama")+SUMIFS(Movimientos!$K$1:$K$892,Movimientos!$C$1:$C$892,"Electrama",Movimientos!$B$1:$B$892,"&lt;="&amp;$B33)</f>
        <v>511.15999999999985</v>
      </c>
      <c r="K33" s="24">
        <f>SUMIFS('Saldos Iniciales'!$D:$D,'Saldos Iniciales'!$A:$A,"Sacred Valley Capital")+SUMIFS(Movimientos!$K$1:$K$892,Movimientos!$C$1:$C$892,"Sacred Valley Capital",Movimientos!$B$1:$B$892,"&lt;="&amp;$B33)</f>
        <v>84.35</v>
      </c>
      <c r="L33" s="24">
        <f>SUMIFS('Saldos Iniciales'!$D:$D,'Saldos Iniciales'!$A:$A,"YWC Capital")+SUMIFS(Movimientos!$K$1:$K$892,Movimientos!$C$1:$C$892,"YWC Capital",Movimientos!$B$1:$B$892,"&lt;="&amp;$B33)</f>
        <v>2237.77</v>
      </c>
      <c r="M33" s="24">
        <f>SUMIFS('Saldos Iniciales'!$D:$D,'Saldos Iniciales'!$A:$A,"Soweto")+SUMIFS(Movimientos!$K$1:$K$892,Movimientos!$C$1:$C$892,"Soweto",Movimientos!$B$1:$B$892,"&lt;="&amp;$B33)</f>
        <v>3349.94</v>
      </c>
      <c r="N33" s="24">
        <f>SUMIFS('Saldos Iniciales'!$D:$D,'Saldos Iniciales'!$A:$A,"Green Stone Trust")+SUMIFS(Movimientos!$K$1:$K$892,Movimientos!$C$1:$C$892,"Green Stone Trust",Movimientos!$B$1:$B$892,"&lt;="&amp;$B33)</f>
        <v>1968.99</v>
      </c>
      <c r="O33" s="24">
        <f>SUMIFS('Saldos Iniciales'!$D:$D,'Saldos Iniciales'!$A:$A,"EC Auto")+SUMIFS(Movimientos!$K$1:$K$892,Movimientos!$C$1:$C$892,"EC Auto",Movimientos!$B$1:$B$892,"&lt;="&amp;$B33)</f>
        <v>901.34</v>
      </c>
      <c r="P33" s="24">
        <f>SUMIFS('Saldos Iniciales'!$D:$D,'Saldos Iniciales'!$A:$A,"Arbor Capital Properties")+SUMIFS(Movimientos!$K$1:$K$892,Movimientos!$C$1:$C$892,"Arbor Capital Properties",Movimientos!$B$1:$B$892,"&lt;="&amp;$B33)</f>
        <v>1428.08</v>
      </c>
      <c r="Q33" s="24">
        <f>SUMIFS('Saldos Iniciales'!$D:$D,'Saldos Iniciales'!$A:$A,"2515 Overbrook")+SUMIFS(Movimientos!$K$1:$K$892,Movimientos!$C$1:$C$892,"2515 Overbrook",Movimientos!$B$1:$B$892,"&lt;="&amp;$B33)</f>
        <v>26416.26999999996</v>
      </c>
      <c r="R33" s="24">
        <f>SUMIFS('Saldos Iniciales'!$D:$D,'Saldos Iniciales'!$A:$A,"112 Florida Ave")+SUMIFS(Movimientos!$K$1:$K$892,Movimientos!$C$1:$C$892,"112 Florida Ave",Movimientos!$B$1:$B$892,"&lt;="&amp;$B33)</f>
        <v>5321.4300000000021</v>
      </c>
      <c r="S33" s="24">
        <f>SUMIFS('Saldos Iniciales'!$D:$D,'Saldos Iniciales'!$A:$A,"3628 Thomas Ave")+SUMIFS(Movimientos!$K$1:$K$892,Movimientos!$C$1:$C$892,"3628 Thomas Ave",Movimientos!$B$1:$B$892,"&lt;="&amp;$B33)</f>
        <v>24833.23</v>
      </c>
      <c r="T33" s="24">
        <f>SUMIFS('Saldos Iniciales'!$D:$D,'Saldos Iniciales'!$A:$A,"Green Harbor Trust")+SUMIFS(Movimientos!$K$1:$K$892,Movimientos!$C$1:$C$892,"Green Harbor Trust",Movimientos!$B$1:$B$892,"&lt;="&amp;$B33)</f>
        <v>345</v>
      </c>
      <c r="U33" s="24">
        <f>SUMIFS('Saldos Iniciales'!$D:$D,'Saldos Iniciales'!$A:$A,"Go Blue")+SUMIFS(Movimientos!$K$1:$K$892,Movimientos!$C$1:$C$892,"Go Blue",Movimientos!$B$1:$B$892,"&lt;="&amp;$B33)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Group")+SUMIFS(Movimientos!$K$1:$K$892,Movimientos!$C$1:$C$892,"CFT Group",Movimientos!$B$1:$B$892,"&lt;="&amp;$B34)</f>
        <v>983394.14000000013</v>
      </c>
      <c r="D34" s="24">
        <f>SUMIFS('Saldos Iniciales'!$D:$D,'Saldos Iniciales'!$A:$A,"M1B")+SUMIFS(Movimientos!$K$1:$K$892,Movimientos!$C$1:$C$892,"M1B",Movimientos!$B$1:$B$892,"&lt;="&amp;$B34)</f>
        <v>69376.390000000174</v>
      </c>
      <c r="E34" s="24">
        <f>SUMIFS('Saldos Iniciales'!$D:$D,'Saldos Iniciales'!$A:$A,"Durand")+SUMIFS(Movimientos!$K$1:$K$892,Movimientos!$C$1:$C$892,"Durand",Movimientos!$B$1:$B$892,"&lt;="&amp;$B34)</f>
        <v>1669.89</v>
      </c>
      <c r="F34" s="24">
        <f>SUMIFS('Saldos Iniciales'!$D:$D,'Saldos Iniciales'!$A:$A,"A&amp;M Imports")+SUMIFS(Movimientos!$K$1:$K$892,Movimientos!$C$1:$C$892,"A&amp;M Imports",Movimientos!$B$1:$B$892,"&lt;="&amp;$B34)</f>
        <v>804853.11999999988</v>
      </c>
      <c r="G34" s="24">
        <f>SUMIFS('Saldos Iniciales'!$D:$D,'Saldos Iniciales'!$A:$A,"SSP Capital")+SUMIFS(Movimientos!$K$1:$K$892,Movimientos!$C$1:$C$892,"SSP Capital",Movimientos!$B$1:$B$892,"&lt;="&amp;$B34)</f>
        <v>1015901.6699999992</v>
      </c>
      <c r="H34" s="24">
        <f>SUMIFS('Saldos Iniciales'!$D:$D,'Saldos Iniciales'!$A:$A,"Cross Family Trust")+SUMIFS(Movimientos!$K$1:$K$892,Movimientos!$C$1:$C$892,"Cross Family Trust",Movimientos!$B$1:$B$892,"&lt;="&amp;$B34)</f>
        <v>131496.38</v>
      </c>
      <c r="I34" s="24">
        <f>SUMIFS('Saldos Iniciales'!$D:$D,'Saldos Iniciales'!$A:$A,"Cross Security Trust")+SUMIFS(Movimientos!$K$1:$K$892,Movimientos!$C$1:$C$892,"Cross Security Trust",Movimientos!$B$1:$B$892,"&lt;="&amp;$B34)</f>
        <v>88090.37</v>
      </c>
      <c r="J34" s="24">
        <f>SUMIFS('Saldos Iniciales'!$D:$D,'Saldos Iniciales'!$A:$A,"Electrama")+SUMIFS(Movimientos!$K$1:$K$892,Movimientos!$C$1:$C$892,"Electrama",Movimientos!$B$1:$B$892,"&lt;="&amp;$B34)</f>
        <v>511.15999999999985</v>
      </c>
      <c r="K34" s="24">
        <f>SUMIFS('Saldos Iniciales'!$D:$D,'Saldos Iniciales'!$A:$A,"Sacred Valley Capital")+SUMIFS(Movimientos!$K$1:$K$892,Movimientos!$C$1:$C$892,"Sacred Valley Capital",Movimientos!$B$1:$B$892,"&lt;="&amp;$B34)</f>
        <v>84.35</v>
      </c>
      <c r="L34" s="24">
        <f>SUMIFS('Saldos Iniciales'!$D:$D,'Saldos Iniciales'!$A:$A,"YWC Capital")+SUMIFS(Movimientos!$K$1:$K$892,Movimientos!$C$1:$C$892,"YWC Capital",Movimientos!$B$1:$B$892,"&lt;="&amp;$B34)</f>
        <v>2237.77</v>
      </c>
      <c r="M34" s="24">
        <f>SUMIFS('Saldos Iniciales'!$D:$D,'Saldos Iniciales'!$A:$A,"Soweto")+SUMIFS(Movimientos!$K$1:$K$892,Movimientos!$C$1:$C$892,"Soweto",Movimientos!$B$1:$B$892,"&lt;="&amp;$B34)</f>
        <v>3349.94</v>
      </c>
      <c r="N34" s="24">
        <f>SUMIFS('Saldos Iniciales'!$D:$D,'Saldos Iniciales'!$A:$A,"Green Stone Trust")+SUMIFS(Movimientos!$K$1:$K$892,Movimientos!$C$1:$C$892,"Green Stone Trust",Movimientos!$B$1:$B$892,"&lt;="&amp;$B34)</f>
        <v>1968.99</v>
      </c>
      <c r="O34" s="24">
        <f>SUMIFS('Saldos Iniciales'!$D:$D,'Saldos Iniciales'!$A:$A,"EC Auto")+SUMIFS(Movimientos!$K$1:$K$892,Movimientos!$C$1:$C$892,"EC Auto",Movimientos!$B$1:$B$892,"&lt;="&amp;$B34)</f>
        <v>901.34</v>
      </c>
      <c r="P34" s="24">
        <f>SUMIFS('Saldos Iniciales'!$D:$D,'Saldos Iniciales'!$A:$A,"Arbor Capital Properties")+SUMIFS(Movimientos!$K$1:$K$892,Movimientos!$C$1:$C$892,"Arbor Capital Properties",Movimientos!$B$1:$B$892,"&lt;="&amp;$B34)</f>
        <v>1428.08</v>
      </c>
      <c r="Q34" s="24">
        <f>SUMIFS('Saldos Iniciales'!$D:$D,'Saldos Iniciales'!$A:$A,"2515 Overbrook")+SUMIFS(Movimientos!$K$1:$K$892,Movimientos!$C$1:$C$892,"2515 Overbrook",Movimientos!$B$1:$B$892,"&lt;="&amp;$B34)</f>
        <v>25789.969999999961</v>
      </c>
      <c r="R34" s="24">
        <f>SUMIFS('Saldos Iniciales'!$D:$D,'Saldos Iniciales'!$A:$A,"112 Florida Ave")+SUMIFS(Movimientos!$K$1:$K$892,Movimientos!$C$1:$C$892,"112 Florida Ave",Movimientos!$B$1:$B$892,"&lt;="&amp;$B34)</f>
        <v>5321.4300000000021</v>
      </c>
      <c r="S34" s="24">
        <f>SUMIFS('Saldos Iniciales'!$D:$D,'Saldos Iniciales'!$A:$A,"3628 Thomas Ave")+SUMIFS(Movimientos!$K$1:$K$892,Movimientos!$C$1:$C$892,"3628 Thomas Ave",Movimientos!$B$1:$B$892,"&lt;="&amp;$B34)</f>
        <v>24833.23</v>
      </c>
      <c r="T34" s="24">
        <f>SUMIFS('Saldos Iniciales'!$D:$D,'Saldos Iniciales'!$A:$A,"Green Harbor Trust")+SUMIFS(Movimientos!$K$1:$K$892,Movimientos!$C$1:$C$892,"Green Harbor Trust",Movimientos!$B$1:$B$892,"&lt;="&amp;$B34)</f>
        <v>345</v>
      </c>
      <c r="U34" s="24">
        <f>SUMIFS('Saldos Iniciales'!$D:$D,'Saldos Iniciales'!$A:$A,"Go Blue")+SUMIFS(Movimientos!$K$1:$K$892,Movimientos!$C$1:$C$892,"Go Blue",Movimientos!$B$1:$B$892,"&lt;="&amp;$B34)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Group")+SUMIFS(Movimientos!$K$1:$K$892,Movimientos!$C$1:$C$892,"CFT Group",Movimientos!$B$1:$B$892,"&lt;="&amp;$B35)</f>
        <v>983394.14000000013</v>
      </c>
      <c r="D35" s="24">
        <f>SUMIFS('Saldos Iniciales'!$D:$D,'Saldos Iniciales'!$A:$A,"M1B")+SUMIFS(Movimientos!$K$1:$K$892,Movimientos!$C$1:$C$892,"M1B",Movimientos!$B$1:$B$892,"&lt;="&amp;$B35)</f>
        <v>69376.390000000174</v>
      </c>
      <c r="E35" s="24">
        <f>SUMIFS('Saldos Iniciales'!$D:$D,'Saldos Iniciales'!$A:$A,"Durand")+SUMIFS(Movimientos!$K$1:$K$892,Movimientos!$C$1:$C$892,"Durand",Movimientos!$B$1:$B$892,"&lt;="&amp;$B35)</f>
        <v>1669.89</v>
      </c>
      <c r="F35" s="24">
        <f>SUMIFS('Saldos Iniciales'!$D:$D,'Saldos Iniciales'!$A:$A,"A&amp;M Imports")+SUMIFS(Movimientos!$K$1:$K$892,Movimientos!$C$1:$C$892,"A&amp;M Imports",Movimientos!$B$1:$B$892,"&lt;="&amp;$B35)</f>
        <v>804853.11999999988</v>
      </c>
      <c r="G35" s="24">
        <f>SUMIFS('Saldos Iniciales'!$D:$D,'Saldos Iniciales'!$A:$A,"SSP Capital")+SUMIFS(Movimientos!$K$1:$K$892,Movimientos!$C$1:$C$892,"SSP Capital",Movimientos!$B$1:$B$892,"&lt;="&amp;$B35)</f>
        <v>1015611.6599999993</v>
      </c>
      <c r="H35" s="24">
        <f>SUMIFS('Saldos Iniciales'!$D:$D,'Saldos Iniciales'!$A:$A,"Cross Family Trust")+SUMIFS(Movimientos!$K$1:$K$892,Movimientos!$C$1:$C$892,"Cross Family Trust",Movimientos!$B$1:$B$892,"&lt;="&amp;$B35)</f>
        <v>125496.38</v>
      </c>
      <c r="I35" s="24">
        <f>SUMIFS('Saldos Iniciales'!$D:$D,'Saldos Iniciales'!$A:$A,"Cross Security Trust")+SUMIFS(Movimientos!$K$1:$K$892,Movimientos!$C$1:$C$892,"Cross Security Trust",Movimientos!$B$1:$B$892,"&lt;="&amp;$B35)</f>
        <v>88090.37</v>
      </c>
      <c r="J35" s="24">
        <f>SUMIFS('Saldos Iniciales'!$D:$D,'Saldos Iniciales'!$A:$A,"Electrama")+SUMIFS(Movimientos!$K$1:$K$892,Movimientos!$C$1:$C$892,"Electrama",Movimientos!$B$1:$B$892,"&lt;="&amp;$B35)</f>
        <v>511.15999999999985</v>
      </c>
      <c r="K35" s="24">
        <f>SUMIFS('Saldos Iniciales'!$D:$D,'Saldos Iniciales'!$A:$A,"Sacred Valley Capital")+SUMIFS(Movimientos!$K$1:$K$892,Movimientos!$C$1:$C$892,"Sacred Valley Capital",Movimientos!$B$1:$B$892,"&lt;="&amp;$B35)</f>
        <v>84.35</v>
      </c>
      <c r="L35" s="24">
        <f>SUMIFS('Saldos Iniciales'!$D:$D,'Saldos Iniciales'!$A:$A,"YWC Capital")+SUMIFS(Movimientos!$K$1:$K$892,Movimientos!$C$1:$C$892,"YWC Capital",Movimientos!$B$1:$B$892,"&lt;="&amp;$B35)</f>
        <v>2237.77</v>
      </c>
      <c r="M35" s="24">
        <f>SUMIFS('Saldos Iniciales'!$D:$D,'Saldos Iniciales'!$A:$A,"Soweto")+SUMIFS(Movimientos!$K$1:$K$892,Movimientos!$C$1:$C$892,"Soweto",Movimientos!$B$1:$B$892,"&lt;="&amp;$B35)</f>
        <v>3349.94</v>
      </c>
      <c r="N35" s="24">
        <f>SUMIFS('Saldos Iniciales'!$D:$D,'Saldos Iniciales'!$A:$A,"Green Stone Trust")+SUMIFS(Movimientos!$K$1:$K$892,Movimientos!$C$1:$C$892,"Green Stone Trust",Movimientos!$B$1:$B$892,"&lt;="&amp;$B35)</f>
        <v>1968.99</v>
      </c>
      <c r="O35" s="24">
        <f>SUMIFS('Saldos Iniciales'!$D:$D,'Saldos Iniciales'!$A:$A,"EC Auto")+SUMIFS(Movimientos!$K$1:$K$892,Movimientos!$C$1:$C$892,"EC Auto",Movimientos!$B$1:$B$892,"&lt;="&amp;$B35)</f>
        <v>901.34</v>
      </c>
      <c r="P35" s="24">
        <f>SUMIFS('Saldos Iniciales'!$D:$D,'Saldos Iniciales'!$A:$A,"Arbor Capital Properties")+SUMIFS(Movimientos!$K$1:$K$892,Movimientos!$C$1:$C$892,"Arbor Capital Properties",Movimientos!$B$1:$B$892,"&lt;="&amp;$B35)</f>
        <v>1428.08</v>
      </c>
      <c r="Q35" s="24">
        <f>SUMIFS('Saldos Iniciales'!$D:$D,'Saldos Iniciales'!$A:$A,"2515 Overbrook")+SUMIFS(Movimientos!$K$1:$K$892,Movimientos!$C$1:$C$892,"2515 Overbrook",Movimientos!$B$1:$B$892,"&lt;="&amp;$B35)</f>
        <v>25789.969999999961</v>
      </c>
      <c r="R35" s="24">
        <f>SUMIFS('Saldos Iniciales'!$D:$D,'Saldos Iniciales'!$A:$A,"112 Florida Ave")+SUMIFS(Movimientos!$K$1:$K$892,Movimientos!$C$1:$C$892,"112 Florida Ave",Movimientos!$B$1:$B$892,"&lt;="&amp;$B35)</f>
        <v>5321.4300000000021</v>
      </c>
      <c r="S35" s="24">
        <f>SUMIFS('Saldos Iniciales'!$D:$D,'Saldos Iniciales'!$A:$A,"3628 Thomas Ave")+SUMIFS(Movimientos!$K$1:$K$892,Movimientos!$C$1:$C$892,"3628 Thomas Ave",Movimientos!$B$1:$B$892,"&lt;="&amp;$B35)</f>
        <v>24833.23</v>
      </c>
      <c r="T35" s="24">
        <f>SUMIFS('Saldos Iniciales'!$D:$D,'Saldos Iniciales'!$A:$A,"Green Harbor Trust")+SUMIFS(Movimientos!$K$1:$K$892,Movimientos!$C$1:$C$892,"Green Harbor Trust",Movimientos!$B$1:$B$892,"&lt;="&amp;$B35)</f>
        <v>345</v>
      </c>
      <c r="U35" s="24">
        <f>SUMIFS('Saldos Iniciales'!$D:$D,'Saldos Iniciales'!$A:$A,"Go Blue")+SUMIFS(Movimientos!$K$1:$K$892,Movimientos!$C$1:$C$892,"Go Blue",Movimientos!$B$1:$B$892,"&lt;="&amp;$B35)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Group")+SUMIFS(Movimientos!$K$1:$K$892,Movimientos!$C$1:$C$892,"CFT Group",Movimientos!$B$1:$B$892,"&lt;="&amp;$B36)</f>
        <v>733394.14000000013</v>
      </c>
      <c r="D36" s="24">
        <f>SUMIFS('Saldos Iniciales'!$D:$D,'Saldos Iniciales'!$A:$A,"M1B")+SUMIFS(Movimientos!$K$1:$K$892,Movimientos!$C$1:$C$892,"M1B",Movimientos!$B$1:$B$892,"&lt;="&amp;$B36)</f>
        <v>69376.390000000174</v>
      </c>
      <c r="E36" s="24">
        <f>SUMIFS('Saldos Iniciales'!$D:$D,'Saldos Iniciales'!$A:$A,"Durand")+SUMIFS(Movimientos!$K$1:$K$892,Movimientos!$C$1:$C$892,"Durand",Movimientos!$B$1:$B$892,"&lt;="&amp;$B36)</f>
        <v>1669.89</v>
      </c>
      <c r="F36" s="24">
        <f>SUMIFS('Saldos Iniciales'!$D:$D,'Saldos Iniciales'!$A:$A,"A&amp;M Imports")+SUMIFS(Movimientos!$K$1:$K$892,Movimientos!$C$1:$C$892,"A&amp;M Imports",Movimientos!$B$1:$B$892,"&lt;="&amp;$B36)</f>
        <v>729545.23999999987</v>
      </c>
      <c r="G36" s="24">
        <f>SUMIFS('Saldos Iniciales'!$D:$D,'Saldos Iniciales'!$A:$A,"SSP Capital")+SUMIFS(Movimientos!$K$1:$K$892,Movimientos!$C$1:$C$892,"SSP Capital",Movimientos!$B$1:$B$892,"&lt;="&amp;$B36)</f>
        <v>1171714.4499999993</v>
      </c>
      <c r="H36" s="24">
        <f>SUMIFS('Saldos Iniciales'!$D:$D,'Saldos Iniciales'!$A:$A,"Cross Family Trust")+SUMIFS(Movimientos!$K$1:$K$892,Movimientos!$C$1:$C$892,"Cross Family Trust",Movimientos!$B$1:$B$892,"&lt;="&amp;$B36)</f>
        <v>116496.38</v>
      </c>
      <c r="I36" s="24">
        <f>SUMIFS('Saldos Iniciales'!$D:$D,'Saldos Iniciales'!$A:$A,"Cross Security Trust")+SUMIFS(Movimientos!$K$1:$K$892,Movimientos!$C$1:$C$892,"Cross Security Trust",Movimientos!$B$1:$B$892,"&lt;="&amp;$B36)</f>
        <v>88090.37</v>
      </c>
      <c r="J36" s="24">
        <f>SUMIFS('Saldos Iniciales'!$D:$D,'Saldos Iniciales'!$A:$A,"Electrama")+SUMIFS(Movimientos!$K$1:$K$892,Movimientos!$C$1:$C$892,"Electrama",Movimientos!$B$1:$B$892,"&lt;="&amp;$B36)</f>
        <v>511.15999999999985</v>
      </c>
      <c r="K36" s="24">
        <f>SUMIFS('Saldos Iniciales'!$D:$D,'Saldos Iniciales'!$A:$A,"Sacred Valley Capital")+SUMIFS(Movimientos!$K$1:$K$892,Movimientos!$C$1:$C$892,"Sacred Valley Capital",Movimientos!$B$1:$B$892,"&lt;="&amp;$B36)</f>
        <v>84.35</v>
      </c>
      <c r="L36" s="24">
        <f>SUMIFS('Saldos Iniciales'!$D:$D,'Saldos Iniciales'!$A:$A,"YWC Capital")+SUMIFS(Movimientos!$K$1:$K$892,Movimientos!$C$1:$C$892,"YWC Capital",Movimientos!$B$1:$B$892,"&lt;="&amp;$B36)</f>
        <v>2237.77</v>
      </c>
      <c r="M36" s="24">
        <f>SUMIFS('Saldos Iniciales'!$D:$D,'Saldos Iniciales'!$A:$A,"Soweto")+SUMIFS(Movimientos!$K$1:$K$892,Movimientos!$C$1:$C$892,"Soweto",Movimientos!$B$1:$B$892,"&lt;="&amp;$B36)</f>
        <v>3349.94</v>
      </c>
      <c r="N36" s="24">
        <f>SUMIFS('Saldos Iniciales'!$D:$D,'Saldos Iniciales'!$A:$A,"Green Stone Trust")+SUMIFS(Movimientos!$K$1:$K$892,Movimientos!$C$1:$C$892,"Green Stone Trust",Movimientos!$B$1:$B$892,"&lt;="&amp;$B36)</f>
        <v>1968.99</v>
      </c>
      <c r="O36" s="24">
        <f>SUMIFS('Saldos Iniciales'!$D:$D,'Saldos Iniciales'!$A:$A,"EC Auto")+SUMIFS(Movimientos!$K$1:$K$892,Movimientos!$C$1:$C$892,"EC Auto",Movimientos!$B$1:$B$892,"&lt;="&amp;$B36)</f>
        <v>382.69000000000005</v>
      </c>
      <c r="P36" s="24">
        <f>SUMIFS('Saldos Iniciales'!$D:$D,'Saldos Iniciales'!$A:$A,"Arbor Capital Properties")+SUMIFS(Movimientos!$K$1:$K$892,Movimientos!$C$1:$C$892,"Arbor Capital Properties",Movimientos!$B$1:$B$892,"&lt;="&amp;$B36)</f>
        <v>1428.08</v>
      </c>
      <c r="Q36" s="24">
        <f>SUMIFS('Saldos Iniciales'!$D:$D,'Saldos Iniciales'!$A:$A,"2515 Overbrook")+SUMIFS(Movimientos!$K$1:$K$892,Movimientos!$C$1:$C$892,"2515 Overbrook",Movimientos!$B$1:$B$892,"&lt;="&amp;$B36)</f>
        <v>25789.969999999961</v>
      </c>
      <c r="R36" s="24">
        <f>SUMIFS('Saldos Iniciales'!$D:$D,'Saldos Iniciales'!$A:$A,"112 Florida Ave")+SUMIFS(Movimientos!$K$1:$K$892,Movimientos!$C$1:$C$892,"112 Florida Ave",Movimientos!$B$1:$B$892,"&lt;="&amp;$B36)</f>
        <v>5321.4300000000021</v>
      </c>
      <c r="S36" s="24">
        <f>SUMIFS('Saldos Iniciales'!$D:$D,'Saldos Iniciales'!$A:$A,"3628 Thomas Ave")+SUMIFS(Movimientos!$K$1:$K$892,Movimientos!$C$1:$C$892,"3628 Thomas Ave",Movimientos!$B$1:$B$892,"&lt;="&amp;$B36)</f>
        <v>24833.23</v>
      </c>
      <c r="T36" s="24">
        <f>SUMIFS('Saldos Iniciales'!$D:$D,'Saldos Iniciales'!$A:$A,"Green Harbor Trust")+SUMIFS(Movimientos!$K$1:$K$892,Movimientos!$C$1:$C$892,"Green Harbor Trust",Movimientos!$B$1:$B$892,"&lt;="&amp;$B36)</f>
        <v>345</v>
      </c>
      <c r="U36" s="24">
        <f>SUMIFS('Saldos Iniciales'!$D:$D,'Saldos Iniciales'!$A:$A,"Go Blue")+SUMIFS(Movimientos!$K$1:$K$892,Movimientos!$C$1:$C$892,"Go Blue",Movimientos!$B$1:$B$892,"&lt;="&amp;$B36)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Group")+SUMIFS(Movimientos!$K$1:$K$892,Movimientos!$C$1:$C$892,"CFT Group",Movimientos!$B$1:$B$892,"&lt;="&amp;$B37)</f>
        <v>733394.14000000013</v>
      </c>
      <c r="D37" s="24">
        <f>SUMIFS('Saldos Iniciales'!$D:$D,'Saldos Iniciales'!$A:$A,"M1B")+SUMIFS(Movimientos!$K$1:$K$892,Movimientos!$C$1:$C$892,"M1B",Movimientos!$B$1:$B$892,"&lt;="&amp;$B37)</f>
        <v>69376.390000000174</v>
      </c>
      <c r="E37" s="24">
        <f>SUMIFS('Saldos Iniciales'!$D:$D,'Saldos Iniciales'!$A:$A,"Durand")+SUMIFS(Movimientos!$K$1:$K$892,Movimientos!$C$1:$C$892,"Durand",Movimientos!$B$1:$B$892,"&lt;="&amp;$B37)</f>
        <v>1669.89</v>
      </c>
      <c r="F37" s="24">
        <f>SUMIFS('Saldos Iniciales'!$D:$D,'Saldos Iniciales'!$A:$A,"A&amp;M Imports")+SUMIFS(Movimientos!$K$1:$K$892,Movimientos!$C$1:$C$892,"A&amp;M Imports",Movimientos!$B$1:$B$892,"&lt;="&amp;$B37)</f>
        <v>729545.23999999987</v>
      </c>
      <c r="G37" s="24">
        <f>SUMIFS('Saldos Iniciales'!$D:$D,'Saldos Iniciales'!$A:$A,"SSP Capital")+SUMIFS(Movimientos!$K$1:$K$892,Movimientos!$C$1:$C$892,"SSP Capital",Movimientos!$B$1:$B$892,"&lt;="&amp;$B37)</f>
        <v>1164028.3199999994</v>
      </c>
      <c r="H37" s="24">
        <f>SUMIFS('Saldos Iniciales'!$D:$D,'Saldos Iniciales'!$A:$A,"Cross Family Trust")+SUMIFS(Movimientos!$K$1:$K$892,Movimientos!$C$1:$C$892,"Cross Family Trust",Movimientos!$B$1:$B$892,"&lt;="&amp;$B37)</f>
        <v>116496.38</v>
      </c>
      <c r="I37" s="24">
        <f>SUMIFS('Saldos Iniciales'!$D:$D,'Saldos Iniciales'!$A:$A,"Cross Security Trust")+SUMIFS(Movimientos!$K$1:$K$892,Movimientos!$C$1:$C$892,"Cross Security Trust",Movimientos!$B$1:$B$892,"&lt;="&amp;$B37)</f>
        <v>88090.37</v>
      </c>
      <c r="J37" s="24">
        <f>SUMIFS('Saldos Iniciales'!$D:$D,'Saldos Iniciales'!$A:$A,"Electrama")+SUMIFS(Movimientos!$K$1:$K$892,Movimientos!$C$1:$C$892,"Electrama",Movimientos!$B$1:$B$892,"&lt;="&amp;$B37)</f>
        <v>511.15999999999985</v>
      </c>
      <c r="K37" s="24">
        <f>SUMIFS('Saldos Iniciales'!$D:$D,'Saldos Iniciales'!$A:$A,"Sacred Valley Capital")+SUMIFS(Movimientos!$K$1:$K$892,Movimientos!$C$1:$C$892,"Sacred Valley Capital",Movimientos!$B$1:$B$892,"&lt;="&amp;$B37)</f>
        <v>84.35</v>
      </c>
      <c r="L37" s="24">
        <f>SUMIFS('Saldos Iniciales'!$D:$D,'Saldos Iniciales'!$A:$A,"YWC Capital")+SUMIFS(Movimientos!$K$1:$K$892,Movimientos!$C$1:$C$892,"YWC Capital",Movimientos!$B$1:$B$892,"&lt;="&amp;$B37)</f>
        <v>2237.77</v>
      </c>
      <c r="M37" s="24">
        <f>SUMIFS('Saldos Iniciales'!$D:$D,'Saldos Iniciales'!$A:$A,"Soweto")+SUMIFS(Movimientos!$K$1:$K$892,Movimientos!$C$1:$C$892,"Soweto",Movimientos!$B$1:$B$892,"&lt;="&amp;$B37)</f>
        <v>3349.94</v>
      </c>
      <c r="N37" s="24">
        <f>SUMIFS('Saldos Iniciales'!$D:$D,'Saldos Iniciales'!$A:$A,"Green Stone Trust")+SUMIFS(Movimientos!$K$1:$K$892,Movimientos!$C$1:$C$892,"Green Stone Trust",Movimientos!$B$1:$B$892,"&lt;="&amp;$B37)</f>
        <v>1968.99</v>
      </c>
      <c r="O37" s="24">
        <f>SUMIFS('Saldos Iniciales'!$D:$D,'Saldos Iniciales'!$A:$A,"EC Auto")+SUMIFS(Movimientos!$K$1:$K$892,Movimientos!$C$1:$C$892,"EC Auto",Movimientos!$B$1:$B$892,"&lt;="&amp;$B37)</f>
        <v>382.69000000000005</v>
      </c>
      <c r="P37" s="24">
        <f>SUMIFS('Saldos Iniciales'!$D:$D,'Saldos Iniciales'!$A:$A,"Arbor Capital Properties")+SUMIFS(Movimientos!$K$1:$K$892,Movimientos!$C$1:$C$892,"Arbor Capital Properties",Movimientos!$B$1:$B$892,"&lt;="&amp;$B37)</f>
        <v>1428.08</v>
      </c>
      <c r="Q37" s="24">
        <f>SUMIFS('Saldos Iniciales'!$D:$D,'Saldos Iniciales'!$A:$A,"2515 Overbrook")+SUMIFS(Movimientos!$K$1:$K$892,Movimientos!$C$1:$C$892,"2515 Overbrook",Movimientos!$B$1:$B$892,"&lt;="&amp;$B37)</f>
        <v>25789.969999999961</v>
      </c>
      <c r="R37" s="24">
        <f>SUMIFS('Saldos Iniciales'!$D:$D,'Saldos Iniciales'!$A:$A,"112 Florida Ave")+SUMIFS(Movimientos!$K$1:$K$892,Movimientos!$C$1:$C$892,"112 Florida Ave",Movimientos!$B$1:$B$892,"&lt;="&amp;$B37)</f>
        <v>5321.4300000000021</v>
      </c>
      <c r="S37" s="24">
        <f>SUMIFS('Saldos Iniciales'!$D:$D,'Saldos Iniciales'!$A:$A,"3628 Thomas Ave")+SUMIFS(Movimientos!$K$1:$K$892,Movimientos!$C$1:$C$892,"3628 Thomas Ave",Movimientos!$B$1:$B$892,"&lt;="&amp;$B37)</f>
        <v>24833.23</v>
      </c>
      <c r="T37" s="24">
        <f>SUMIFS('Saldos Iniciales'!$D:$D,'Saldos Iniciales'!$A:$A,"Green Harbor Trust")+SUMIFS(Movimientos!$K$1:$K$892,Movimientos!$C$1:$C$892,"Green Harbor Trust",Movimientos!$B$1:$B$892,"&lt;="&amp;$B37)</f>
        <v>345</v>
      </c>
      <c r="U37" s="24">
        <f>SUMIFS('Saldos Iniciales'!$D:$D,'Saldos Iniciales'!$A:$A,"Go Blue")+SUMIFS(Movimientos!$K$1:$K$892,Movimientos!$C$1:$C$892,"Go Blue",Movimientos!$B$1:$B$892,"&lt;="&amp;$B37)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Group")+SUMIFS(Movimientos!$K$1:$K$892,Movimientos!$C$1:$C$892,"CFT Group",Movimientos!$B$1:$B$892,"&lt;="&amp;$B38)</f>
        <v>733394.14000000013</v>
      </c>
      <c r="D38" s="24">
        <f>SUMIFS('Saldos Iniciales'!$D:$D,'Saldos Iniciales'!$A:$A,"M1B")+SUMIFS(Movimientos!$K$1:$K$892,Movimientos!$C$1:$C$892,"M1B",Movimientos!$B$1:$B$892,"&lt;="&amp;$B38)</f>
        <v>69376.390000000174</v>
      </c>
      <c r="E38" s="24">
        <f>SUMIFS('Saldos Iniciales'!$D:$D,'Saldos Iniciales'!$A:$A,"Durand")+SUMIFS(Movimientos!$K$1:$K$892,Movimientos!$C$1:$C$892,"Durand",Movimientos!$B$1:$B$892,"&lt;="&amp;$B38)</f>
        <v>1669.89</v>
      </c>
      <c r="F38" s="24">
        <f>SUMIFS('Saldos Iniciales'!$D:$D,'Saldos Iniciales'!$A:$A,"A&amp;M Imports")+SUMIFS(Movimientos!$K$1:$K$892,Movimientos!$C$1:$C$892,"A&amp;M Imports",Movimientos!$B$1:$B$892,"&lt;="&amp;$B38)</f>
        <v>729545.23999999987</v>
      </c>
      <c r="G38" s="24">
        <f>SUMIFS('Saldos Iniciales'!$D:$D,'Saldos Iniciales'!$A:$A,"SSP Capital")+SUMIFS(Movimientos!$K$1:$K$892,Movimientos!$C$1:$C$892,"SSP Capital",Movimientos!$B$1:$B$892,"&lt;="&amp;$B38)</f>
        <v>1164028.3199999994</v>
      </c>
      <c r="H38" s="24">
        <f>SUMIFS('Saldos Iniciales'!$D:$D,'Saldos Iniciales'!$A:$A,"Cross Family Trust")+SUMIFS(Movimientos!$K$1:$K$892,Movimientos!$C$1:$C$892,"Cross Family Trust",Movimientos!$B$1:$B$892,"&lt;="&amp;$B38)</f>
        <v>116496.38</v>
      </c>
      <c r="I38" s="24">
        <f>SUMIFS('Saldos Iniciales'!$D:$D,'Saldos Iniciales'!$A:$A,"Cross Security Trust")+SUMIFS(Movimientos!$K$1:$K$892,Movimientos!$C$1:$C$892,"Cross Security Trust",Movimientos!$B$1:$B$892,"&lt;="&amp;$B38)</f>
        <v>88090.37</v>
      </c>
      <c r="J38" s="24">
        <f>SUMIFS('Saldos Iniciales'!$D:$D,'Saldos Iniciales'!$A:$A,"Electrama")+SUMIFS(Movimientos!$K$1:$K$892,Movimientos!$C$1:$C$892,"Electrama",Movimientos!$B$1:$B$892,"&lt;="&amp;$B38)</f>
        <v>511.15999999999985</v>
      </c>
      <c r="K38" s="24">
        <f>SUMIFS('Saldos Iniciales'!$D:$D,'Saldos Iniciales'!$A:$A,"Sacred Valley Capital")+SUMIFS(Movimientos!$K$1:$K$892,Movimientos!$C$1:$C$892,"Sacred Valley Capital",Movimientos!$B$1:$B$892,"&lt;="&amp;$B38)</f>
        <v>84.35</v>
      </c>
      <c r="L38" s="24">
        <f>SUMIFS('Saldos Iniciales'!$D:$D,'Saldos Iniciales'!$A:$A,"YWC Capital")+SUMIFS(Movimientos!$K$1:$K$892,Movimientos!$C$1:$C$892,"YWC Capital",Movimientos!$B$1:$B$892,"&lt;="&amp;$B38)</f>
        <v>2237.77</v>
      </c>
      <c r="M38" s="24">
        <f>SUMIFS('Saldos Iniciales'!$D:$D,'Saldos Iniciales'!$A:$A,"Soweto")+SUMIFS(Movimientos!$K$1:$K$892,Movimientos!$C$1:$C$892,"Soweto",Movimientos!$B$1:$B$892,"&lt;="&amp;$B38)</f>
        <v>3349.94</v>
      </c>
      <c r="N38" s="24">
        <f>SUMIFS('Saldos Iniciales'!$D:$D,'Saldos Iniciales'!$A:$A,"Green Stone Trust")+SUMIFS(Movimientos!$K$1:$K$892,Movimientos!$C$1:$C$892,"Green Stone Trust",Movimientos!$B$1:$B$892,"&lt;="&amp;$B38)</f>
        <v>1968.99</v>
      </c>
      <c r="O38" s="24">
        <f>SUMIFS('Saldos Iniciales'!$D:$D,'Saldos Iniciales'!$A:$A,"EC Auto")+SUMIFS(Movimientos!$K$1:$K$892,Movimientos!$C$1:$C$892,"EC Auto",Movimientos!$B$1:$B$892,"&lt;="&amp;$B38)</f>
        <v>382.69000000000005</v>
      </c>
      <c r="P38" s="24">
        <f>SUMIFS('Saldos Iniciales'!$D:$D,'Saldos Iniciales'!$A:$A,"Arbor Capital Properties")+SUMIFS(Movimientos!$K$1:$K$892,Movimientos!$C$1:$C$892,"Arbor Capital Properties",Movimientos!$B$1:$B$892,"&lt;="&amp;$B38)</f>
        <v>1428.08</v>
      </c>
      <c r="Q38" s="24">
        <f>SUMIFS('Saldos Iniciales'!$D:$D,'Saldos Iniciales'!$A:$A,"2515 Overbrook")+SUMIFS(Movimientos!$K$1:$K$892,Movimientos!$C$1:$C$892,"2515 Overbrook",Movimientos!$B$1:$B$892,"&lt;="&amp;$B38)</f>
        <v>25789.969999999961</v>
      </c>
      <c r="R38" s="24">
        <f>SUMIFS('Saldos Iniciales'!$D:$D,'Saldos Iniciales'!$A:$A,"112 Florida Ave")+SUMIFS(Movimientos!$K$1:$K$892,Movimientos!$C$1:$C$892,"112 Florida Ave",Movimientos!$B$1:$B$892,"&lt;="&amp;$B38)</f>
        <v>5321.4300000000021</v>
      </c>
      <c r="S38" s="24">
        <f>SUMIFS('Saldos Iniciales'!$D:$D,'Saldos Iniciales'!$A:$A,"3628 Thomas Ave")+SUMIFS(Movimientos!$K$1:$K$892,Movimientos!$C$1:$C$892,"3628 Thomas Ave",Movimientos!$B$1:$B$892,"&lt;="&amp;$B38)</f>
        <v>24833.23</v>
      </c>
      <c r="T38" s="24">
        <f>SUMIFS('Saldos Iniciales'!$D:$D,'Saldos Iniciales'!$A:$A,"Green Harbor Trust")+SUMIFS(Movimientos!$K$1:$K$892,Movimientos!$C$1:$C$892,"Green Harbor Trust",Movimientos!$B$1:$B$892,"&lt;="&amp;$B38)</f>
        <v>345</v>
      </c>
      <c r="U38" s="24">
        <f>SUMIFS('Saldos Iniciales'!$D:$D,'Saldos Iniciales'!$A:$A,"Go Blue")+SUMIFS(Movimientos!$K$1:$K$892,Movimientos!$C$1:$C$892,"Go Blue",Movimientos!$B$1:$B$892,"&lt;="&amp;$B38)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Group")+SUMIFS(Movimientos!$K$1:$K$892,Movimientos!$C$1:$C$892,"CFT Group",Movimientos!$B$1:$B$892,"&lt;="&amp;$B39)</f>
        <v>733394.14000000013</v>
      </c>
      <c r="D39" s="24">
        <f>SUMIFS('Saldos Iniciales'!$D:$D,'Saldos Iniciales'!$A:$A,"M1B")+SUMIFS(Movimientos!$K$1:$K$892,Movimientos!$C$1:$C$892,"M1B",Movimientos!$B$1:$B$892,"&lt;="&amp;$B39)</f>
        <v>69376.390000000174</v>
      </c>
      <c r="E39" s="24">
        <f>SUMIFS('Saldos Iniciales'!$D:$D,'Saldos Iniciales'!$A:$A,"Durand")+SUMIFS(Movimientos!$K$1:$K$892,Movimientos!$C$1:$C$892,"Durand",Movimientos!$B$1:$B$892,"&lt;="&amp;$B39)</f>
        <v>1669.89</v>
      </c>
      <c r="F39" s="24">
        <f>SUMIFS('Saldos Iniciales'!$D:$D,'Saldos Iniciales'!$A:$A,"A&amp;M Imports")+SUMIFS(Movimientos!$K$1:$K$892,Movimientos!$C$1:$C$892,"A&amp;M Imports",Movimientos!$B$1:$B$892,"&lt;="&amp;$B39)</f>
        <v>729545.23999999987</v>
      </c>
      <c r="G39" s="24">
        <f>SUMIFS('Saldos Iniciales'!$D:$D,'Saldos Iniciales'!$A:$A,"SSP Capital")+SUMIFS(Movimientos!$K$1:$K$892,Movimientos!$C$1:$C$892,"SSP Capital",Movimientos!$B$1:$B$892,"&lt;="&amp;$B39)</f>
        <v>1164028.3199999994</v>
      </c>
      <c r="H39" s="24">
        <f>SUMIFS('Saldos Iniciales'!$D:$D,'Saldos Iniciales'!$A:$A,"Cross Family Trust")+SUMIFS(Movimientos!$K$1:$K$892,Movimientos!$C$1:$C$892,"Cross Family Trust",Movimientos!$B$1:$B$892,"&lt;="&amp;$B39)</f>
        <v>116496.38</v>
      </c>
      <c r="I39" s="24">
        <f>SUMIFS('Saldos Iniciales'!$D:$D,'Saldos Iniciales'!$A:$A,"Cross Security Trust")+SUMIFS(Movimientos!$K$1:$K$892,Movimientos!$C$1:$C$892,"Cross Security Trust",Movimientos!$B$1:$B$892,"&lt;="&amp;$B39)</f>
        <v>88090.37</v>
      </c>
      <c r="J39" s="24">
        <f>SUMIFS('Saldos Iniciales'!$D:$D,'Saldos Iniciales'!$A:$A,"Electrama")+SUMIFS(Movimientos!$K$1:$K$892,Movimientos!$C$1:$C$892,"Electrama",Movimientos!$B$1:$B$892,"&lt;="&amp;$B39)</f>
        <v>511.15999999999985</v>
      </c>
      <c r="K39" s="24">
        <f>SUMIFS('Saldos Iniciales'!$D:$D,'Saldos Iniciales'!$A:$A,"Sacred Valley Capital")+SUMIFS(Movimientos!$K$1:$K$892,Movimientos!$C$1:$C$892,"Sacred Valley Capital",Movimientos!$B$1:$B$892,"&lt;="&amp;$B39)</f>
        <v>84.35</v>
      </c>
      <c r="L39" s="24">
        <f>SUMIFS('Saldos Iniciales'!$D:$D,'Saldos Iniciales'!$A:$A,"YWC Capital")+SUMIFS(Movimientos!$K$1:$K$892,Movimientos!$C$1:$C$892,"YWC Capital",Movimientos!$B$1:$B$892,"&lt;="&amp;$B39)</f>
        <v>2237.77</v>
      </c>
      <c r="M39" s="24">
        <f>SUMIFS('Saldos Iniciales'!$D:$D,'Saldos Iniciales'!$A:$A,"Soweto")+SUMIFS(Movimientos!$K$1:$K$892,Movimientos!$C$1:$C$892,"Soweto",Movimientos!$B$1:$B$892,"&lt;="&amp;$B39)</f>
        <v>3349.94</v>
      </c>
      <c r="N39" s="24">
        <f>SUMIFS('Saldos Iniciales'!$D:$D,'Saldos Iniciales'!$A:$A,"Green Stone Trust")+SUMIFS(Movimientos!$K$1:$K$892,Movimientos!$C$1:$C$892,"Green Stone Trust",Movimientos!$B$1:$B$892,"&lt;="&amp;$B39)</f>
        <v>1968.99</v>
      </c>
      <c r="O39" s="24">
        <f>SUMIFS('Saldos Iniciales'!$D:$D,'Saldos Iniciales'!$A:$A,"EC Auto")+SUMIFS(Movimientos!$K$1:$K$892,Movimientos!$C$1:$C$892,"EC Auto",Movimientos!$B$1:$B$892,"&lt;="&amp;$B39)</f>
        <v>382.69000000000005</v>
      </c>
      <c r="P39" s="24">
        <f>SUMIFS('Saldos Iniciales'!$D:$D,'Saldos Iniciales'!$A:$A,"Arbor Capital Properties")+SUMIFS(Movimientos!$K$1:$K$892,Movimientos!$C$1:$C$892,"Arbor Capital Properties",Movimientos!$B$1:$B$892,"&lt;="&amp;$B39)</f>
        <v>1428.08</v>
      </c>
      <c r="Q39" s="24">
        <f>SUMIFS('Saldos Iniciales'!$D:$D,'Saldos Iniciales'!$A:$A,"2515 Overbrook")+SUMIFS(Movimientos!$K$1:$K$892,Movimientos!$C$1:$C$892,"2515 Overbrook",Movimientos!$B$1:$B$892,"&lt;="&amp;$B39)</f>
        <v>25789.969999999961</v>
      </c>
      <c r="R39" s="24">
        <f>SUMIFS('Saldos Iniciales'!$D:$D,'Saldos Iniciales'!$A:$A,"112 Florida Ave")+SUMIFS(Movimientos!$K$1:$K$892,Movimientos!$C$1:$C$892,"112 Florida Ave",Movimientos!$B$1:$B$892,"&lt;="&amp;$B39)</f>
        <v>5321.4300000000021</v>
      </c>
      <c r="S39" s="24">
        <f>SUMIFS('Saldos Iniciales'!$D:$D,'Saldos Iniciales'!$A:$A,"3628 Thomas Ave")+SUMIFS(Movimientos!$K$1:$K$892,Movimientos!$C$1:$C$892,"3628 Thomas Ave",Movimientos!$B$1:$B$892,"&lt;="&amp;$B39)</f>
        <v>24833.23</v>
      </c>
      <c r="T39" s="24">
        <f>SUMIFS('Saldos Iniciales'!$D:$D,'Saldos Iniciales'!$A:$A,"Green Harbor Trust")+SUMIFS(Movimientos!$K$1:$K$892,Movimientos!$C$1:$C$892,"Green Harbor Trust",Movimientos!$B$1:$B$892,"&lt;="&amp;$B39)</f>
        <v>345</v>
      </c>
      <c r="U39" s="24">
        <f>SUMIFS('Saldos Iniciales'!$D:$D,'Saldos Iniciales'!$A:$A,"Go Blue")+SUMIFS(Movimientos!$K$1:$K$892,Movimientos!$C$1:$C$892,"Go Blue",Movimientos!$B$1:$B$892,"&lt;="&amp;$B39)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Group")+SUMIFS(Movimientos!$K$1:$K$892,Movimientos!$C$1:$C$892,"CFT Group",Movimientos!$B$1:$B$892,"&lt;="&amp;$B40)</f>
        <v>733394.14000000013</v>
      </c>
      <c r="D40" s="24">
        <f>SUMIFS('Saldos Iniciales'!$D:$D,'Saldos Iniciales'!$A:$A,"M1B")+SUMIFS(Movimientos!$K$1:$K$892,Movimientos!$C$1:$C$892,"M1B",Movimientos!$B$1:$B$892,"&lt;="&amp;$B40)</f>
        <v>69376.390000000174</v>
      </c>
      <c r="E40" s="24">
        <f>SUMIFS('Saldos Iniciales'!$D:$D,'Saldos Iniciales'!$A:$A,"Durand")+SUMIFS(Movimientos!$K$1:$K$892,Movimientos!$C$1:$C$892,"Durand",Movimientos!$B$1:$B$892,"&lt;="&amp;$B40)</f>
        <v>1669.89</v>
      </c>
      <c r="F40" s="24">
        <f>SUMIFS('Saldos Iniciales'!$D:$D,'Saldos Iniciales'!$A:$A,"A&amp;M Imports")+SUMIFS(Movimientos!$K$1:$K$892,Movimientos!$C$1:$C$892,"A&amp;M Imports",Movimientos!$B$1:$B$892,"&lt;="&amp;$B40)</f>
        <v>729545.23999999987</v>
      </c>
      <c r="G40" s="24">
        <f>SUMIFS('Saldos Iniciales'!$D:$D,'Saldos Iniciales'!$A:$A,"SSP Capital")+SUMIFS(Movimientos!$K$1:$K$892,Movimientos!$C$1:$C$892,"SSP Capital",Movimientos!$B$1:$B$892,"&lt;="&amp;$B40)</f>
        <v>1164028.3199999994</v>
      </c>
      <c r="H40" s="24">
        <f>SUMIFS('Saldos Iniciales'!$D:$D,'Saldos Iniciales'!$A:$A,"Cross Family Trust")+SUMIFS(Movimientos!$K$1:$K$892,Movimientos!$C$1:$C$892,"Cross Family Trust",Movimientos!$B$1:$B$892,"&lt;="&amp;$B40)</f>
        <v>116496.38</v>
      </c>
      <c r="I40" s="24">
        <f>SUMIFS('Saldos Iniciales'!$D:$D,'Saldos Iniciales'!$A:$A,"Cross Security Trust")+SUMIFS(Movimientos!$K$1:$K$892,Movimientos!$C$1:$C$892,"Cross Security Trust",Movimientos!$B$1:$B$892,"&lt;="&amp;$B40)</f>
        <v>88090.37</v>
      </c>
      <c r="J40" s="24">
        <f>SUMIFS('Saldos Iniciales'!$D:$D,'Saldos Iniciales'!$A:$A,"Electrama")+SUMIFS(Movimientos!$K$1:$K$892,Movimientos!$C$1:$C$892,"Electrama",Movimientos!$B$1:$B$892,"&lt;="&amp;$B40)</f>
        <v>511.15999999999985</v>
      </c>
      <c r="K40" s="24">
        <f>SUMIFS('Saldos Iniciales'!$D:$D,'Saldos Iniciales'!$A:$A,"Sacred Valley Capital")+SUMIFS(Movimientos!$K$1:$K$892,Movimientos!$C$1:$C$892,"Sacred Valley Capital",Movimientos!$B$1:$B$892,"&lt;="&amp;$B40)</f>
        <v>84.35</v>
      </c>
      <c r="L40" s="24">
        <f>SUMIFS('Saldos Iniciales'!$D:$D,'Saldos Iniciales'!$A:$A,"YWC Capital")+SUMIFS(Movimientos!$K$1:$K$892,Movimientos!$C$1:$C$892,"YWC Capital",Movimientos!$B$1:$B$892,"&lt;="&amp;$B40)</f>
        <v>2237.77</v>
      </c>
      <c r="M40" s="24">
        <f>SUMIFS('Saldos Iniciales'!$D:$D,'Saldos Iniciales'!$A:$A,"Soweto")+SUMIFS(Movimientos!$K$1:$K$892,Movimientos!$C$1:$C$892,"Soweto",Movimientos!$B$1:$B$892,"&lt;="&amp;$B40)</f>
        <v>3349.94</v>
      </c>
      <c r="N40" s="24">
        <f>SUMIFS('Saldos Iniciales'!$D:$D,'Saldos Iniciales'!$A:$A,"Green Stone Trust")+SUMIFS(Movimientos!$K$1:$K$892,Movimientos!$C$1:$C$892,"Green Stone Trust",Movimientos!$B$1:$B$892,"&lt;="&amp;$B40)</f>
        <v>1968.99</v>
      </c>
      <c r="O40" s="24">
        <f>SUMIFS('Saldos Iniciales'!$D:$D,'Saldos Iniciales'!$A:$A,"EC Auto")+SUMIFS(Movimientos!$K$1:$K$892,Movimientos!$C$1:$C$892,"EC Auto",Movimientos!$B$1:$B$892,"&lt;="&amp;$B40)</f>
        <v>382.69000000000005</v>
      </c>
      <c r="P40" s="24">
        <f>SUMIFS('Saldos Iniciales'!$D:$D,'Saldos Iniciales'!$A:$A,"Arbor Capital Properties")+SUMIFS(Movimientos!$K$1:$K$892,Movimientos!$C$1:$C$892,"Arbor Capital Properties",Movimientos!$B$1:$B$892,"&lt;="&amp;$B40)</f>
        <v>1428.08</v>
      </c>
      <c r="Q40" s="24">
        <f>SUMIFS('Saldos Iniciales'!$D:$D,'Saldos Iniciales'!$A:$A,"2515 Overbrook")+SUMIFS(Movimientos!$K$1:$K$892,Movimientos!$C$1:$C$892,"2515 Overbrook",Movimientos!$B$1:$B$892,"&lt;="&amp;$B40)</f>
        <v>25789.969999999961</v>
      </c>
      <c r="R40" s="24">
        <f>SUMIFS('Saldos Iniciales'!$D:$D,'Saldos Iniciales'!$A:$A,"112 Florida Ave")+SUMIFS(Movimientos!$K$1:$K$892,Movimientos!$C$1:$C$892,"112 Florida Ave",Movimientos!$B$1:$B$892,"&lt;="&amp;$B40)</f>
        <v>5321.4300000000021</v>
      </c>
      <c r="S40" s="24">
        <f>SUMIFS('Saldos Iniciales'!$D:$D,'Saldos Iniciales'!$A:$A,"3628 Thomas Ave")+SUMIFS(Movimientos!$K$1:$K$892,Movimientos!$C$1:$C$892,"3628 Thomas Ave",Movimientos!$B$1:$B$892,"&lt;="&amp;$B40)</f>
        <v>24833.23</v>
      </c>
      <c r="T40" s="24">
        <f>SUMIFS('Saldos Iniciales'!$D:$D,'Saldos Iniciales'!$A:$A,"Green Harbor Trust")+SUMIFS(Movimientos!$K$1:$K$892,Movimientos!$C$1:$C$892,"Green Harbor Trust",Movimientos!$B$1:$B$892,"&lt;="&amp;$B40)</f>
        <v>345</v>
      </c>
      <c r="U40" s="24">
        <f>SUMIFS('Saldos Iniciales'!$D:$D,'Saldos Iniciales'!$A:$A,"Go Blue")+SUMIFS(Movimientos!$K$1:$K$892,Movimientos!$C$1:$C$892,"Go Blue",Movimientos!$B$1:$B$892,"&lt;="&amp;$B40)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Group")+SUMIFS(Movimientos!$K$1:$K$892,Movimientos!$C$1:$C$892,"CFT Group",Movimientos!$B$1:$B$892,"&lt;="&amp;$B41)</f>
        <v>847381.29000000015</v>
      </c>
      <c r="D41" s="24">
        <f>SUMIFS('Saldos Iniciales'!$D:$D,'Saldos Iniciales'!$A:$A,"M1B")+SUMIFS(Movimientos!$K$1:$K$892,Movimientos!$C$1:$C$892,"M1B",Movimientos!$B$1:$B$892,"&lt;="&amp;$B41)</f>
        <v>69376.390000000174</v>
      </c>
      <c r="E41" s="24">
        <f>SUMIFS('Saldos Iniciales'!$D:$D,'Saldos Iniciales'!$A:$A,"Durand")+SUMIFS(Movimientos!$K$1:$K$892,Movimientos!$C$1:$C$892,"Durand",Movimientos!$B$1:$B$892,"&lt;="&amp;$B41)</f>
        <v>1669.89</v>
      </c>
      <c r="F41" s="24">
        <f>SUMIFS('Saldos Iniciales'!$D:$D,'Saldos Iniciales'!$A:$A,"A&amp;M Imports")+SUMIFS(Movimientos!$K$1:$K$892,Movimientos!$C$1:$C$892,"A&amp;M Imports",Movimientos!$B$1:$B$892,"&lt;="&amp;$B41)</f>
        <v>729545.23999999987</v>
      </c>
      <c r="G41" s="24">
        <f>SUMIFS('Saldos Iniciales'!$D:$D,'Saldos Iniciales'!$A:$A,"SSP Capital")+SUMIFS(Movimientos!$K$1:$K$892,Movimientos!$C$1:$C$892,"SSP Capital",Movimientos!$B$1:$B$892,"&lt;="&amp;$B41)</f>
        <v>1160274.0499999993</v>
      </c>
      <c r="H41" s="24">
        <f>SUMIFS('Saldos Iniciales'!$D:$D,'Saldos Iniciales'!$A:$A,"Cross Family Trust")+SUMIFS(Movimientos!$K$1:$K$892,Movimientos!$C$1:$C$892,"Cross Family Trust",Movimientos!$B$1:$B$892,"&lt;="&amp;$B41)</f>
        <v>116496.38</v>
      </c>
      <c r="I41" s="24">
        <f>SUMIFS('Saldos Iniciales'!$D:$D,'Saldos Iniciales'!$A:$A,"Cross Security Trust")+SUMIFS(Movimientos!$K$1:$K$892,Movimientos!$C$1:$C$892,"Cross Security Trust",Movimientos!$B$1:$B$892,"&lt;="&amp;$B41)</f>
        <v>88090.37</v>
      </c>
      <c r="J41" s="24">
        <f>SUMIFS('Saldos Iniciales'!$D:$D,'Saldos Iniciales'!$A:$A,"Electrama")+SUMIFS(Movimientos!$K$1:$K$892,Movimientos!$C$1:$C$892,"Electrama",Movimientos!$B$1:$B$892,"&lt;="&amp;$B41)</f>
        <v>511.15999999999985</v>
      </c>
      <c r="K41" s="24">
        <f>SUMIFS('Saldos Iniciales'!$D:$D,'Saldos Iniciales'!$A:$A,"Sacred Valley Capital")+SUMIFS(Movimientos!$K$1:$K$892,Movimientos!$C$1:$C$892,"Sacred Valley Capital",Movimientos!$B$1:$B$892,"&lt;="&amp;$B41)</f>
        <v>84.35</v>
      </c>
      <c r="L41" s="24">
        <f>SUMIFS('Saldos Iniciales'!$D:$D,'Saldos Iniciales'!$A:$A,"YWC Capital")+SUMIFS(Movimientos!$K$1:$K$892,Movimientos!$C$1:$C$892,"YWC Capital",Movimientos!$B$1:$B$892,"&lt;="&amp;$B41)</f>
        <v>2237.77</v>
      </c>
      <c r="M41" s="24">
        <f>SUMIFS('Saldos Iniciales'!$D:$D,'Saldos Iniciales'!$A:$A,"Soweto")+SUMIFS(Movimientos!$K$1:$K$892,Movimientos!$C$1:$C$892,"Soweto",Movimientos!$B$1:$B$892,"&lt;="&amp;$B41)</f>
        <v>3349.94</v>
      </c>
      <c r="N41" s="24">
        <f>SUMIFS('Saldos Iniciales'!$D:$D,'Saldos Iniciales'!$A:$A,"Green Stone Trust")+SUMIFS(Movimientos!$K$1:$K$892,Movimientos!$C$1:$C$892,"Green Stone Trust",Movimientos!$B$1:$B$892,"&lt;="&amp;$B41)</f>
        <v>1968.99</v>
      </c>
      <c r="O41" s="24">
        <f>SUMIFS('Saldos Iniciales'!$D:$D,'Saldos Iniciales'!$A:$A,"EC Auto")+SUMIFS(Movimientos!$K$1:$K$892,Movimientos!$C$1:$C$892,"EC Auto",Movimientos!$B$1:$B$892,"&lt;="&amp;$B41)</f>
        <v>382.69000000000005</v>
      </c>
      <c r="P41" s="24">
        <f>SUMIFS('Saldos Iniciales'!$D:$D,'Saldos Iniciales'!$A:$A,"Arbor Capital Properties")+SUMIFS(Movimientos!$K$1:$K$892,Movimientos!$C$1:$C$892,"Arbor Capital Properties",Movimientos!$B$1:$B$892,"&lt;="&amp;$B41)</f>
        <v>1428.08</v>
      </c>
      <c r="Q41" s="24">
        <f>SUMIFS('Saldos Iniciales'!$D:$D,'Saldos Iniciales'!$A:$A,"2515 Overbrook")+SUMIFS(Movimientos!$K$1:$K$892,Movimientos!$C$1:$C$892,"2515 Overbrook",Movimientos!$B$1:$B$892,"&lt;="&amp;$B41)</f>
        <v>25789.969999999961</v>
      </c>
      <c r="R41" s="24">
        <f>SUMIFS('Saldos Iniciales'!$D:$D,'Saldos Iniciales'!$A:$A,"112 Florida Ave")+SUMIFS(Movimientos!$K$1:$K$892,Movimientos!$C$1:$C$892,"112 Florida Ave",Movimientos!$B$1:$B$892,"&lt;="&amp;$B41)</f>
        <v>5321.4300000000021</v>
      </c>
      <c r="S41" s="24">
        <f>SUMIFS('Saldos Iniciales'!$D:$D,'Saldos Iniciales'!$A:$A,"3628 Thomas Ave")+SUMIFS(Movimientos!$K$1:$K$892,Movimientos!$C$1:$C$892,"3628 Thomas Ave",Movimientos!$B$1:$B$892,"&lt;="&amp;$B41)</f>
        <v>24833.23</v>
      </c>
      <c r="T41" s="24">
        <f>SUMIFS('Saldos Iniciales'!$D:$D,'Saldos Iniciales'!$A:$A,"Green Harbor Trust")+SUMIFS(Movimientos!$K$1:$K$892,Movimientos!$C$1:$C$892,"Green Harbor Trust",Movimientos!$B$1:$B$892,"&lt;="&amp;$B41)</f>
        <v>345</v>
      </c>
      <c r="U41" s="24">
        <f>SUMIFS('Saldos Iniciales'!$D:$D,'Saldos Iniciales'!$A:$A,"Go Blue")+SUMIFS(Movimientos!$K$1:$K$892,Movimientos!$C$1:$C$892,"Go Blue",Movimientos!$B$1:$B$892,"&lt;="&amp;$B41)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Group")+SUMIFS(Movimientos!$K$1:$K$892,Movimientos!$C$1:$C$892,"CFT Group",Movimientos!$B$1:$B$892,"&lt;="&amp;$B42)</f>
        <v>2288745.9500000002</v>
      </c>
      <c r="D42" s="24">
        <f>SUMIFS('Saldos Iniciales'!$D:$D,'Saldos Iniciales'!$A:$A,"M1B")+SUMIFS(Movimientos!$K$1:$K$892,Movimientos!$C$1:$C$892,"M1B",Movimientos!$B$1:$B$892,"&lt;="&amp;$B42)</f>
        <v>69376.390000000174</v>
      </c>
      <c r="E42" s="24">
        <f>SUMIFS('Saldos Iniciales'!$D:$D,'Saldos Iniciales'!$A:$A,"Durand")+SUMIFS(Movimientos!$K$1:$K$892,Movimientos!$C$1:$C$892,"Durand",Movimientos!$B$1:$B$892,"&lt;="&amp;$B42)</f>
        <v>1669.89</v>
      </c>
      <c r="F42" s="24">
        <f>SUMIFS('Saldos Iniciales'!$D:$D,'Saldos Iniciales'!$A:$A,"A&amp;M Imports")+SUMIFS(Movimientos!$K$1:$K$892,Movimientos!$C$1:$C$892,"A&amp;M Imports",Movimientos!$B$1:$B$892,"&lt;="&amp;$B42)</f>
        <v>744306.80999999982</v>
      </c>
      <c r="G42" s="24">
        <f>SUMIFS('Saldos Iniciales'!$D:$D,'Saldos Iniciales'!$A:$A,"SSP Capital")+SUMIFS(Movimientos!$K$1:$K$892,Movimientos!$C$1:$C$892,"SSP Capital",Movimientos!$B$1:$B$892,"&lt;="&amp;$B42)</f>
        <v>1160274.0499999993</v>
      </c>
      <c r="H42" s="24">
        <f>SUMIFS('Saldos Iniciales'!$D:$D,'Saldos Iniciales'!$A:$A,"Cross Family Trust")+SUMIFS(Movimientos!$K$1:$K$892,Movimientos!$C$1:$C$892,"Cross Family Trust",Movimientos!$B$1:$B$892,"&lt;="&amp;$B42)</f>
        <v>116496.38</v>
      </c>
      <c r="I42" s="24">
        <f>SUMIFS('Saldos Iniciales'!$D:$D,'Saldos Iniciales'!$A:$A,"Cross Security Trust")+SUMIFS(Movimientos!$K$1:$K$892,Movimientos!$C$1:$C$892,"Cross Security Trust",Movimientos!$B$1:$B$892,"&lt;="&amp;$B42)</f>
        <v>88090.37</v>
      </c>
      <c r="J42" s="24">
        <f>SUMIFS('Saldos Iniciales'!$D:$D,'Saldos Iniciales'!$A:$A,"Electrama")+SUMIFS(Movimientos!$K$1:$K$892,Movimientos!$C$1:$C$892,"Electrama",Movimientos!$B$1:$B$892,"&lt;="&amp;$B42)</f>
        <v>511.15999999999985</v>
      </c>
      <c r="K42" s="24">
        <f>SUMIFS('Saldos Iniciales'!$D:$D,'Saldos Iniciales'!$A:$A,"Sacred Valley Capital")+SUMIFS(Movimientos!$K$1:$K$892,Movimientos!$C$1:$C$892,"Sacred Valley Capital",Movimientos!$B$1:$B$892,"&lt;="&amp;$B42)</f>
        <v>84.35</v>
      </c>
      <c r="L42" s="24">
        <f>SUMIFS('Saldos Iniciales'!$D:$D,'Saldos Iniciales'!$A:$A,"YWC Capital")+SUMIFS(Movimientos!$K$1:$K$892,Movimientos!$C$1:$C$892,"YWC Capital",Movimientos!$B$1:$B$892,"&lt;="&amp;$B42)</f>
        <v>2237.77</v>
      </c>
      <c r="M42" s="24">
        <f>SUMIFS('Saldos Iniciales'!$D:$D,'Saldos Iniciales'!$A:$A,"Soweto")+SUMIFS(Movimientos!$K$1:$K$892,Movimientos!$C$1:$C$892,"Soweto",Movimientos!$B$1:$B$892,"&lt;="&amp;$B42)</f>
        <v>3349.94</v>
      </c>
      <c r="N42" s="24">
        <f>SUMIFS('Saldos Iniciales'!$D:$D,'Saldos Iniciales'!$A:$A,"Green Stone Trust")+SUMIFS(Movimientos!$K$1:$K$892,Movimientos!$C$1:$C$892,"Green Stone Trust",Movimientos!$B$1:$B$892,"&lt;="&amp;$B42)</f>
        <v>1968.99</v>
      </c>
      <c r="O42" s="24">
        <f>SUMIFS('Saldos Iniciales'!$D:$D,'Saldos Iniciales'!$A:$A,"EC Auto")+SUMIFS(Movimientos!$K$1:$K$892,Movimientos!$C$1:$C$892,"EC Auto",Movimientos!$B$1:$B$892,"&lt;="&amp;$B42)</f>
        <v>382.69000000000005</v>
      </c>
      <c r="P42" s="24">
        <f>SUMIFS('Saldos Iniciales'!$D:$D,'Saldos Iniciales'!$A:$A,"Arbor Capital Properties")+SUMIFS(Movimientos!$K$1:$K$892,Movimientos!$C$1:$C$892,"Arbor Capital Properties",Movimientos!$B$1:$B$892,"&lt;="&amp;$B42)</f>
        <v>1428.08</v>
      </c>
      <c r="Q42" s="24">
        <f>SUMIFS('Saldos Iniciales'!$D:$D,'Saldos Iniciales'!$A:$A,"2515 Overbrook")+SUMIFS(Movimientos!$K$1:$K$892,Movimientos!$C$1:$C$892,"2515 Overbrook",Movimientos!$B$1:$B$892,"&lt;="&amp;$B42)</f>
        <v>25789.969999999961</v>
      </c>
      <c r="R42" s="24">
        <f>SUMIFS('Saldos Iniciales'!$D:$D,'Saldos Iniciales'!$A:$A,"112 Florida Ave")+SUMIFS(Movimientos!$K$1:$K$892,Movimientos!$C$1:$C$892,"112 Florida Ave",Movimientos!$B$1:$B$892,"&lt;="&amp;$B42)</f>
        <v>5321.4300000000021</v>
      </c>
      <c r="S42" s="24">
        <f>SUMIFS('Saldos Iniciales'!$D:$D,'Saldos Iniciales'!$A:$A,"3628 Thomas Ave")+SUMIFS(Movimientos!$K$1:$K$892,Movimientos!$C$1:$C$892,"3628 Thomas Ave",Movimientos!$B$1:$B$892,"&lt;="&amp;$B42)</f>
        <v>24743.98</v>
      </c>
      <c r="T42" s="24">
        <f>SUMIFS('Saldos Iniciales'!$D:$D,'Saldos Iniciales'!$A:$A,"Green Harbor Trust")+SUMIFS(Movimientos!$K$1:$K$892,Movimientos!$C$1:$C$892,"Green Harbor Trust",Movimientos!$B$1:$B$892,"&lt;="&amp;$B42)</f>
        <v>345</v>
      </c>
      <c r="U42" s="24">
        <f>SUMIFS('Saldos Iniciales'!$D:$D,'Saldos Iniciales'!$A:$A,"Go Blue")+SUMIFS(Movimientos!$K$1:$K$892,Movimientos!$C$1:$C$892,"Go Blue",Movimientos!$B$1:$B$892,"&lt;="&amp;$B42)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Group")+SUMIFS(Movimientos!$K$1:$K$892,Movimientos!$C$1:$C$892,"CFT Group",Movimientos!$B$1:$B$892,"&lt;="&amp;$B43)</f>
        <v>1837784.84</v>
      </c>
      <c r="D43" s="24">
        <f>SUMIFS('Saldos Iniciales'!$D:$D,'Saldos Iniciales'!$A:$A,"M1B")+SUMIFS(Movimientos!$K$1:$K$892,Movimientos!$C$1:$C$892,"M1B",Movimientos!$B$1:$B$892,"&lt;="&amp;$B43)</f>
        <v>69376.390000000174</v>
      </c>
      <c r="E43" s="24">
        <f>SUMIFS('Saldos Iniciales'!$D:$D,'Saldos Iniciales'!$A:$A,"Durand")+SUMIFS(Movimientos!$K$1:$K$892,Movimientos!$C$1:$C$892,"Durand",Movimientos!$B$1:$B$892,"&lt;="&amp;$B43)</f>
        <v>1669.89</v>
      </c>
      <c r="F43" s="24">
        <f>SUMIFS('Saldos Iniciales'!$D:$D,'Saldos Iniciales'!$A:$A,"A&amp;M Imports")+SUMIFS(Movimientos!$K$1:$K$892,Movimientos!$C$1:$C$892,"A&amp;M Imports",Movimientos!$B$1:$B$892,"&lt;="&amp;$B43)</f>
        <v>564626.20999999985</v>
      </c>
      <c r="G43" s="24">
        <f>SUMIFS('Saldos Iniciales'!$D:$D,'Saldos Iniciales'!$A:$A,"SSP Capital")+SUMIFS(Movimientos!$K$1:$K$892,Movimientos!$C$1:$C$892,"SSP Capital",Movimientos!$B$1:$B$892,"&lt;="&amp;$B43)</f>
        <v>794731.82999999926</v>
      </c>
      <c r="H43" s="24">
        <f>SUMIFS('Saldos Iniciales'!$D:$D,'Saldos Iniciales'!$A:$A,"Cross Family Trust")+SUMIFS(Movimientos!$K$1:$K$892,Movimientos!$C$1:$C$892,"Cross Family Trust",Movimientos!$B$1:$B$892,"&lt;="&amp;$B43)</f>
        <v>116496.38</v>
      </c>
      <c r="I43" s="24">
        <f>SUMIFS('Saldos Iniciales'!$D:$D,'Saldos Iniciales'!$A:$A,"Cross Security Trust")+SUMIFS(Movimientos!$K$1:$K$892,Movimientos!$C$1:$C$892,"Cross Security Trust",Movimientos!$B$1:$B$892,"&lt;="&amp;$B43)</f>
        <v>88090.37</v>
      </c>
      <c r="J43" s="24">
        <f>SUMIFS('Saldos Iniciales'!$D:$D,'Saldos Iniciales'!$A:$A,"Electrama")+SUMIFS(Movimientos!$K$1:$K$892,Movimientos!$C$1:$C$892,"Electrama",Movimientos!$B$1:$B$892,"&lt;="&amp;$B43)</f>
        <v>511.15999999999985</v>
      </c>
      <c r="K43" s="24">
        <f>SUMIFS('Saldos Iniciales'!$D:$D,'Saldos Iniciales'!$A:$A,"Sacred Valley Capital")+SUMIFS(Movimientos!$K$1:$K$892,Movimientos!$C$1:$C$892,"Sacred Valley Capital",Movimientos!$B$1:$B$892,"&lt;="&amp;$B43)</f>
        <v>84.35</v>
      </c>
      <c r="L43" s="24">
        <f>SUMIFS('Saldos Iniciales'!$D:$D,'Saldos Iniciales'!$A:$A,"YWC Capital")+SUMIFS(Movimientos!$K$1:$K$892,Movimientos!$C$1:$C$892,"YWC Capital",Movimientos!$B$1:$B$892,"&lt;="&amp;$B43)</f>
        <v>2237.77</v>
      </c>
      <c r="M43" s="24">
        <f>SUMIFS('Saldos Iniciales'!$D:$D,'Saldos Iniciales'!$A:$A,"Soweto")+SUMIFS(Movimientos!$K$1:$K$892,Movimientos!$C$1:$C$892,"Soweto",Movimientos!$B$1:$B$892,"&lt;="&amp;$B43)</f>
        <v>3349.94</v>
      </c>
      <c r="N43" s="24">
        <f>SUMIFS('Saldos Iniciales'!$D:$D,'Saldos Iniciales'!$A:$A,"Green Stone Trust")+SUMIFS(Movimientos!$K$1:$K$892,Movimientos!$C$1:$C$892,"Green Stone Trust",Movimientos!$B$1:$B$892,"&lt;="&amp;$B43)</f>
        <v>1968.99</v>
      </c>
      <c r="O43" s="24">
        <f>SUMIFS('Saldos Iniciales'!$D:$D,'Saldos Iniciales'!$A:$A,"EC Auto")+SUMIFS(Movimientos!$K$1:$K$892,Movimientos!$C$1:$C$892,"EC Auto",Movimientos!$B$1:$B$892,"&lt;="&amp;$B43)</f>
        <v>382.69000000000005</v>
      </c>
      <c r="P43" s="24">
        <f>SUMIFS('Saldos Iniciales'!$D:$D,'Saldos Iniciales'!$A:$A,"Arbor Capital Properties")+SUMIFS(Movimientos!$K$1:$K$892,Movimientos!$C$1:$C$892,"Arbor Capital Properties",Movimientos!$B$1:$B$892,"&lt;="&amp;$B43)</f>
        <v>1428.08</v>
      </c>
      <c r="Q43" s="24">
        <f>SUMIFS('Saldos Iniciales'!$D:$D,'Saldos Iniciales'!$A:$A,"2515 Overbrook")+SUMIFS(Movimientos!$K$1:$K$892,Movimientos!$C$1:$C$892,"2515 Overbrook",Movimientos!$B$1:$B$892,"&lt;="&amp;$B43)</f>
        <v>25789.969999999961</v>
      </c>
      <c r="R43" s="24">
        <f>SUMIFS('Saldos Iniciales'!$D:$D,'Saldos Iniciales'!$A:$A,"112 Florida Ave")+SUMIFS(Movimientos!$K$1:$K$892,Movimientos!$C$1:$C$892,"112 Florida Ave",Movimientos!$B$1:$B$892,"&lt;="&amp;$B43)</f>
        <v>5321.4300000000021</v>
      </c>
      <c r="S43" s="24">
        <f>SUMIFS('Saldos Iniciales'!$D:$D,'Saldos Iniciales'!$A:$A,"3628 Thomas Ave")+SUMIFS(Movimientos!$K$1:$K$892,Movimientos!$C$1:$C$892,"3628 Thomas Ave",Movimientos!$B$1:$B$892,"&lt;="&amp;$B43)</f>
        <v>24743.98</v>
      </c>
      <c r="T43" s="24">
        <f>SUMIFS('Saldos Iniciales'!$D:$D,'Saldos Iniciales'!$A:$A,"Green Harbor Trust")+SUMIFS(Movimientos!$K$1:$K$892,Movimientos!$C$1:$C$892,"Green Harbor Trust",Movimientos!$B$1:$B$892,"&lt;="&amp;$B43)</f>
        <v>345</v>
      </c>
      <c r="U43" s="24">
        <f>SUMIFS('Saldos Iniciales'!$D:$D,'Saldos Iniciales'!$A:$A,"Go Blue")+SUMIFS(Movimientos!$K$1:$K$892,Movimientos!$C$1:$C$892,"Go Blue",Movimientos!$B$1:$B$892,"&lt;="&amp;$B43)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Group")+SUMIFS(Movimientos!$K$1:$K$892,Movimientos!$C$1:$C$892,"CFT Group",Movimientos!$B$1:$B$892,"&lt;="&amp;$B44)</f>
        <v>1837784.84</v>
      </c>
      <c r="D44" s="24">
        <f>SUMIFS('Saldos Iniciales'!$D:$D,'Saldos Iniciales'!$A:$A,"M1B")+SUMIFS(Movimientos!$K$1:$K$892,Movimientos!$C$1:$C$892,"M1B",Movimientos!$B$1:$B$892,"&lt;="&amp;$B44)</f>
        <v>69376.390000000174</v>
      </c>
      <c r="E44" s="24">
        <f>SUMIFS('Saldos Iniciales'!$D:$D,'Saldos Iniciales'!$A:$A,"Durand")+SUMIFS(Movimientos!$K$1:$K$892,Movimientos!$C$1:$C$892,"Durand",Movimientos!$B$1:$B$892,"&lt;="&amp;$B44)</f>
        <v>1669.89</v>
      </c>
      <c r="F44" s="24">
        <f>SUMIFS('Saldos Iniciales'!$D:$D,'Saldos Iniciales'!$A:$A,"A&amp;M Imports")+SUMIFS(Movimientos!$K$1:$K$892,Movimientos!$C$1:$C$892,"A&amp;M Imports",Movimientos!$B$1:$B$892,"&lt;="&amp;$B44)</f>
        <v>564626.20999999985</v>
      </c>
      <c r="G44" s="24">
        <f>SUMIFS('Saldos Iniciales'!$D:$D,'Saldos Iniciales'!$A:$A,"SSP Capital")+SUMIFS(Movimientos!$K$1:$K$892,Movimientos!$C$1:$C$892,"SSP Capital",Movimientos!$B$1:$B$892,"&lt;="&amp;$B44)</f>
        <v>3763348.8299999996</v>
      </c>
      <c r="H44" s="24">
        <f>SUMIFS('Saldos Iniciales'!$D:$D,'Saldos Iniciales'!$A:$A,"Cross Family Trust")+SUMIFS(Movimientos!$K$1:$K$892,Movimientos!$C$1:$C$892,"Cross Family Trust",Movimientos!$B$1:$B$892,"&lt;="&amp;$B44)</f>
        <v>116496.38</v>
      </c>
      <c r="I44" s="24">
        <f>SUMIFS('Saldos Iniciales'!$D:$D,'Saldos Iniciales'!$A:$A,"Cross Security Trust")+SUMIFS(Movimientos!$K$1:$K$892,Movimientos!$C$1:$C$892,"Cross Security Trust",Movimientos!$B$1:$B$892,"&lt;="&amp;$B44)</f>
        <v>88090.37</v>
      </c>
      <c r="J44" s="24">
        <f>SUMIFS('Saldos Iniciales'!$D:$D,'Saldos Iniciales'!$A:$A,"Electrama")+SUMIFS(Movimientos!$K$1:$K$892,Movimientos!$C$1:$C$892,"Electrama",Movimientos!$B$1:$B$892,"&lt;="&amp;$B44)</f>
        <v>511.15999999999985</v>
      </c>
      <c r="K44" s="24">
        <f>SUMIFS('Saldos Iniciales'!$D:$D,'Saldos Iniciales'!$A:$A,"Sacred Valley Capital")+SUMIFS(Movimientos!$K$1:$K$892,Movimientos!$C$1:$C$892,"Sacred Valley Capital",Movimientos!$B$1:$B$892,"&lt;="&amp;$B44)</f>
        <v>84.35</v>
      </c>
      <c r="L44" s="24">
        <f>SUMIFS('Saldos Iniciales'!$D:$D,'Saldos Iniciales'!$A:$A,"YWC Capital")+SUMIFS(Movimientos!$K$1:$K$892,Movimientos!$C$1:$C$892,"YWC Capital",Movimientos!$B$1:$B$892,"&lt;="&amp;$B44)</f>
        <v>2237.77</v>
      </c>
      <c r="M44" s="24">
        <f>SUMIFS('Saldos Iniciales'!$D:$D,'Saldos Iniciales'!$A:$A,"Soweto")+SUMIFS(Movimientos!$K$1:$K$892,Movimientos!$C$1:$C$892,"Soweto",Movimientos!$B$1:$B$892,"&lt;="&amp;$B44)</f>
        <v>3349.94</v>
      </c>
      <c r="N44" s="24">
        <f>SUMIFS('Saldos Iniciales'!$D:$D,'Saldos Iniciales'!$A:$A,"Green Stone Trust")+SUMIFS(Movimientos!$K$1:$K$892,Movimientos!$C$1:$C$892,"Green Stone Trust",Movimientos!$B$1:$B$892,"&lt;="&amp;$B44)</f>
        <v>1968.99</v>
      </c>
      <c r="O44" s="24">
        <f>SUMIFS('Saldos Iniciales'!$D:$D,'Saldos Iniciales'!$A:$A,"EC Auto")+SUMIFS(Movimientos!$K$1:$K$892,Movimientos!$C$1:$C$892,"EC Auto",Movimientos!$B$1:$B$892,"&lt;="&amp;$B44)</f>
        <v>382.69000000000005</v>
      </c>
      <c r="P44" s="24">
        <f>SUMIFS('Saldos Iniciales'!$D:$D,'Saldos Iniciales'!$A:$A,"Arbor Capital Properties")+SUMIFS(Movimientos!$K$1:$K$892,Movimientos!$C$1:$C$892,"Arbor Capital Properties",Movimientos!$B$1:$B$892,"&lt;="&amp;$B44)</f>
        <v>1428.08</v>
      </c>
      <c r="Q44" s="24">
        <f>SUMIFS('Saldos Iniciales'!$D:$D,'Saldos Iniciales'!$A:$A,"2515 Overbrook")+SUMIFS(Movimientos!$K$1:$K$892,Movimientos!$C$1:$C$892,"2515 Overbrook",Movimientos!$B$1:$B$892,"&lt;="&amp;$B44)</f>
        <v>27789.969999999961</v>
      </c>
      <c r="R44" s="24">
        <f>SUMIFS('Saldos Iniciales'!$D:$D,'Saldos Iniciales'!$A:$A,"112 Florida Ave")+SUMIFS(Movimientos!$K$1:$K$892,Movimientos!$C$1:$C$892,"112 Florida Ave",Movimientos!$B$1:$B$892,"&lt;="&amp;$B44)</f>
        <v>5321.4300000000021</v>
      </c>
      <c r="S44" s="24">
        <f>SUMIFS('Saldos Iniciales'!$D:$D,'Saldos Iniciales'!$A:$A,"3628 Thomas Ave")+SUMIFS(Movimientos!$K$1:$K$892,Movimientos!$C$1:$C$892,"3628 Thomas Ave",Movimientos!$B$1:$B$892,"&lt;="&amp;$B44)</f>
        <v>24484.85</v>
      </c>
      <c r="T44" s="24">
        <f>SUMIFS('Saldos Iniciales'!$D:$D,'Saldos Iniciales'!$A:$A,"Green Harbor Trust")+SUMIFS(Movimientos!$K$1:$K$892,Movimientos!$C$1:$C$892,"Green Harbor Trust",Movimientos!$B$1:$B$892,"&lt;="&amp;$B44)</f>
        <v>345</v>
      </c>
      <c r="U44" s="24">
        <f>SUMIFS('Saldos Iniciales'!$D:$D,'Saldos Iniciales'!$A:$A,"Go Blue")+SUMIFS(Movimientos!$K$1:$K$892,Movimientos!$C$1:$C$892,"Go Blue",Movimientos!$B$1:$B$892,"&lt;="&amp;$B44)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Group")+SUMIFS(Movimientos!$K$1:$K$892,Movimientos!$C$1:$C$892,"CFT Group",Movimientos!$B$1:$B$892,"&lt;="&amp;$B45)</f>
        <v>1837784.84</v>
      </c>
      <c r="D45" s="24">
        <f>SUMIFS('Saldos Iniciales'!$D:$D,'Saldos Iniciales'!$A:$A,"M1B")+SUMIFS(Movimientos!$K$1:$K$892,Movimientos!$C$1:$C$892,"M1B",Movimientos!$B$1:$B$892,"&lt;="&amp;$B45)</f>
        <v>69376.390000000174</v>
      </c>
      <c r="E45" s="24">
        <f>SUMIFS('Saldos Iniciales'!$D:$D,'Saldos Iniciales'!$A:$A,"Durand")+SUMIFS(Movimientos!$K$1:$K$892,Movimientos!$C$1:$C$892,"Durand",Movimientos!$B$1:$B$892,"&lt;="&amp;$B45)</f>
        <v>1669.89</v>
      </c>
      <c r="F45" s="24">
        <f>SUMIFS('Saldos Iniciales'!$D:$D,'Saldos Iniciales'!$A:$A,"A&amp;M Imports")+SUMIFS(Movimientos!$K$1:$K$892,Movimientos!$C$1:$C$892,"A&amp;M Imports",Movimientos!$B$1:$B$892,"&lt;="&amp;$B45)</f>
        <v>564626.20999999985</v>
      </c>
      <c r="G45" s="24">
        <f>SUMIFS('Saldos Iniciales'!$D:$D,'Saldos Iniciales'!$A:$A,"SSP Capital")+SUMIFS(Movimientos!$K$1:$K$892,Movimientos!$C$1:$C$892,"SSP Capital",Movimientos!$B$1:$B$892,"&lt;="&amp;$B45)</f>
        <v>3763348.8299999996</v>
      </c>
      <c r="H45" s="24">
        <f>SUMIFS('Saldos Iniciales'!$D:$D,'Saldos Iniciales'!$A:$A,"Cross Family Trust")+SUMIFS(Movimientos!$K$1:$K$892,Movimientos!$C$1:$C$892,"Cross Family Trust",Movimientos!$B$1:$B$892,"&lt;="&amp;$B45)</f>
        <v>116496.38</v>
      </c>
      <c r="I45" s="24">
        <f>SUMIFS('Saldos Iniciales'!$D:$D,'Saldos Iniciales'!$A:$A,"Cross Security Trust")+SUMIFS(Movimientos!$K$1:$K$892,Movimientos!$C$1:$C$892,"Cross Security Trust",Movimientos!$B$1:$B$892,"&lt;="&amp;$B45)</f>
        <v>88090.37</v>
      </c>
      <c r="J45" s="24">
        <f>SUMIFS('Saldos Iniciales'!$D:$D,'Saldos Iniciales'!$A:$A,"Electrama")+SUMIFS(Movimientos!$K$1:$K$892,Movimientos!$C$1:$C$892,"Electrama",Movimientos!$B$1:$B$892,"&lt;="&amp;$B45)</f>
        <v>511.15999999999985</v>
      </c>
      <c r="K45" s="24">
        <f>SUMIFS('Saldos Iniciales'!$D:$D,'Saldos Iniciales'!$A:$A,"Sacred Valley Capital")+SUMIFS(Movimientos!$K$1:$K$892,Movimientos!$C$1:$C$892,"Sacred Valley Capital",Movimientos!$B$1:$B$892,"&lt;="&amp;$B45)</f>
        <v>84.35</v>
      </c>
      <c r="L45" s="24">
        <f>SUMIFS('Saldos Iniciales'!$D:$D,'Saldos Iniciales'!$A:$A,"YWC Capital")+SUMIFS(Movimientos!$K$1:$K$892,Movimientos!$C$1:$C$892,"YWC Capital",Movimientos!$B$1:$B$892,"&lt;="&amp;$B45)</f>
        <v>2237.77</v>
      </c>
      <c r="M45" s="24">
        <f>SUMIFS('Saldos Iniciales'!$D:$D,'Saldos Iniciales'!$A:$A,"Soweto")+SUMIFS(Movimientos!$K$1:$K$892,Movimientos!$C$1:$C$892,"Soweto",Movimientos!$B$1:$B$892,"&lt;="&amp;$B45)</f>
        <v>3349.94</v>
      </c>
      <c r="N45" s="24">
        <f>SUMIFS('Saldos Iniciales'!$D:$D,'Saldos Iniciales'!$A:$A,"Green Stone Trust")+SUMIFS(Movimientos!$K$1:$K$892,Movimientos!$C$1:$C$892,"Green Stone Trust",Movimientos!$B$1:$B$892,"&lt;="&amp;$B45)</f>
        <v>1968.99</v>
      </c>
      <c r="O45" s="24">
        <f>SUMIFS('Saldos Iniciales'!$D:$D,'Saldos Iniciales'!$A:$A,"EC Auto")+SUMIFS(Movimientos!$K$1:$K$892,Movimientos!$C$1:$C$892,"EC Auto",Movimientos!$B$1:$B$892,"&lt;="&amp;$B45)</f>
        <v>382.69000000000005</v>
      </c>
      <c r="P45" s="24">
        <f>SUMIFS('Saldos Iniciales'!$D:$D,'Saldos Iniciales'!$A:$A,"Arbor Capital Properties")+SUMIFS(Movimientos!$K$1:$K$892,Movimientos!$C$1:$C$892,"Arbor Capital Properties",Movimientos!$B$1:$B$892,"&lt;="&amp;$B45)</f>
        <v>1428.08</v>
      </c>
      <c r="Q45" s="24">
        <f>SUMIFS('Saldos Iniciales'!$D:$D,'Saldos Iniciales'!$A:$A,"2515 Overbrook")+SUMIFS(Movimientos!$K$1:$K$892,Movimientos!$C$1:$C$892,"2515 Overbrook",Movimientos!$B$1:$B$892,"&lt;="&amp;$B45)</f>
        <v>27789.969999999961</v>
      </c>
      <c r="R45" s="24">
        <f>SUMIFS('Saldos Iniciales'!$D:$D,'Saldos Iniciales'!$A:$A,"112 Florida Ave")+SUMIFS(Movimientos!$K$1:$K$892,Movimientos!$C$1:$C$892,"112 Florida Ave",Movimientos!$B$1:$B$892,"&lt;="&amp;$B45)</f>
        <v>5321.4300000000021</v>
      </c>
      <c r="S45" s="24">
        <f>SUMIFS('Saldos Iniciales'!$D:$D,'Saldos Iniciales'!$A:$A,"3628 Thomas Ave")+SUMIFS(Movimientos!$K$1:$K$892,Movimientos!$C$1:$C$892,"3628 Thomas Ave",Movimientos!$B$1:$B$892,"&lt;="&amp;$B45)</f>
        <v>24484.85</v>
      </c>
      <c r="T45" s="24">
        <f>SUMIFS('Saldos Iniciales'!$D:$D,'Saldos Iniciales'!$A:$A,"Green Harbor Trust")+SUMIFS(Movimientos!$K$1:$K$892,Movimientos!$C$1:$C$892,"Green Harbor Trust",Movimientos!$B$1:$B$892,"&lt;="&amp;$B45)</f>
        <v>345</v>
      </c>
      <c r="U45" s="24">
        <f>SUMIFS('Saldos Iniciales'!$D:$D,'Saldos Iniciales'!$A:$A,"Go Blue")+SUMIFS(Movimientos!$K$1:$K$892,Movimientos!$C$1:$C$892,"Go Blue",Movimientos!$B$1:$B$892,"&lt;="&amp;$B45)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Group")+SUMIFS(Movimientos!$K$1:$K$892,Movimientos!$C$1:$C$892,"CFT Group",Movimientos!$B$1:$B$892,"&lt;="&amp;$B46)</f>
        <v>1837784.84</v>
      </c>
      <c r="D46" s="24">
        <f>SUMIFS('Saldos Iniciales'!$D:$D,'Saldos Iniciales'!$A:$A,"M1B")+SUMIFS(Movimientos!$K$1:$K$892,Movimientos!$C$1:$C$892,"M1B",Movimientos!$B$1:$B$892,"&lt;="&amp;$B46)</f>
        <v>69376.390000000174</v>
      </c>
      <c r="E46" s="24">
        <f>SUMIFS('Saldos Iniciales'!$D:$D,'Saldos Iniciales'!$A:$A,"Durand")+SUMIFS(Movimientos!$K$1:$K$892,Movimientos!$C$1:$C$892,"Durand",Movimientos!$B$1:$B$892,"&lt;="&amp;$B46)</f>
        <v>1669.89</v>
      </c>
      <c r="F46" s="24">
        <f>SUMIFS('Saldos Iniciales'!$D:$D,'Saldos Iniciales'!$A:$A,"A&amp;M Imports")+SUMIFS(Movimientos!$K$1:$K$892,Movimientos!$C$1:$C$892,"A&amp;M Imports",Movimientos!$B$1:$B$892,"&lt;="&amp;$B46)</f>
        <v>564626.20999999985</v>
      </c>
      <c r="G46" s="24">
        <f>SUMIFS('Saldos Iniciales'!$D:$D,'Saldos Iniciales'!$A:$A,"SSP Capital")+SUMIFS(Movimientos!$K$1:$K$892,Movimientos!$C$1:$C$892,"SSP Capital",Movimientos!$B$1:$B$892,"&lt;="&amp;$B46)</f>
        <v>3763348.8299999996</v>
      </c>
      <c r="H46" s="24">
        <f>SUMIFS('Saldos Iniciales'!$D:$D,'Saldos Iniciales'!$A:$A,"Cross Family Trust")+SUMIFS(Movimientos!$K$1:$K$892,Movimientos!$C$1:$C$892,"Cross Family Trust",Movimientos!$B$1:$B$892,"&lt;="&amp;$B46)</f>
        <v>116496.38</v>
      </c>
      <c r="I46" s="24">
        <f>SUMIFS('Saldos Iniciales'!$D:$D,'Saldos Iniciales'!$A:$A,"Cross Security Trust")+SUMIFS(Movimientos!$K$1:$K$892,Movimientos!$C$1:$C$892,"Cross Security Trust",Movimientos!$B$1:$B$892,"&lt;="&amp;$B46)</f>
        <v>88090.37</v>
      </c>
      <c r="J46" s="24">
        <f>SUMIFS('Saldos Iniciales'!$D:$D,'Saldos Iniciales'!$A:$A,"Electrama")+SUMIFS(Movimientos!$K$1:$K$892,Movimientos!$C$1:$C$892,"Electrama",Movimientos!$B$1:$B$892,"&lt;="&amp;$B46)</f>
        <v>511.15999999999985</v>
      </c>
      <c r="K46" s="24">
        <f>SUMIFS('Saldos Iniciales'!$D:$D,'Saldos Iniciales'!$A:$A,"Sacred Valley Capital")+SUMIFS(Movimientos!$K$1:$K$892,Movimientos!$C$1:$C$892,"Sacred Valley Capital",Movimientos!$B$1:$B$892,"&lt;="&amp;$B46)</f>
        <v>84.35</v>
      </c>
      <c r="L46" s="24">
        <f>SUMIFS('Saldos Iniciales'!$D:$D,'Saldos Iniciales'!$A:$A,"YWC Capital")+SUMIFS(Movimientos!$K$1:$K$892,Movimientos!$C$1:$C$892,"YWC Capital",Movimientos!$B$1:$B$892,"&lt;="&amp;$B46)</f>
        <v>2237.77</v>
      </c>
      <c r="M46" s="24">
        <f>SUMIFS('Saldos Iniciales'!$D:$D,'Saldos Iniciales'!$A:$A,"Soweto")+SUMIFS(Movimientos!$K$1:$K$892,Movimientos!$C$1:$C$892,"Soweto",Movimientos!$B$1:$B$892,"&lt;="&amp;$B46)</f>
        <v>3349.94</v>
      </c>
      <c r="N46" s="24">
        <f>SUMIFS('Saldos Iniciales'!$D:$D,'Saldos Iniciales'!$A:$A,"Green Stone Trust")+SUMIFS(Movimientos!$K$1:$K$892,Movimientos!$C$1:$C$892,"Green Stone Trust",Movimientos!$B$1:$B$892,"&lt;="&amp;$B46)</f>
        <v>1968.99</v>
      </c>
      <c r="O46" s="24">
        <f>SUMIFS('Saldos Iniciales'!$D:$D,'Saldos Iniciales'!$A:$A,"EC Auto")+SUMIFS(Movimientos!$K$1:$K$892,Movimientos!$C$1:$C$892,"EC Auto",Movimientos!$B$1:$B$892,"&lt;="&amp;$B46)</f>
        <v>382.69000000000005</v>
      </c>
      <c r="P46" s="24">
        <f>SUMIFS('Saldos Iniciales'!$D:$D,'Saldos Iniciales'!$A:$A,"Arbor Capital Properties")+SUMIFS(Movimientos!$K$1:$K$892,Movimientos!$C$1:$C$892,"Arbor Capital Properties",Movimientos!$B$1:$B$892,"&lt;="&amp;$B46)</f>
        <v>1428.08</v>
      </c>
      <c r="Q46" s="24">
        <f>SUMIFS('Saldos Iniciales'!$D:$D,'Saldos Iniciales'!$A:$A,"2515 Overbrook")+SUMIFS(Movimientos!$K$1:$K$892,Movimientos!$C$1:$C$892,"2515 Overbrook",Movimientos!$B$1:$B$892,"&lt;="&amp;$B46)</f>
        <v>27789.969999999961</v>
      </c>
      <c r="R46" s="24">
        <f>SUMIFS('Saldos Iniciales'!$D:$D,'Saldos Iniciales'!$A:$A,"112 Florida Ave")+SUMIFS(Movimientos!$K$1:$K$892,Movimientos!$C$1:$C$892,"112 Florida Ave",Movimientos!$B$1:$B$892,"&lt;="&amp;$B46)</f>
        <v>5321.4300000000021</v>
      </c>
      <c r="S46" s="24">
        <f>SUMIFS('Saldos Iniciales'!$D:$D,'Saldos Iniciales'!$A:$A,"3628 Thomas Ave")+SUMIFS(Movimientos!$K$1:$K$892,Movimientos!$C$1:$C$892,"3628 Thomas Ave",Movimientos!$B$1:$B$892,"&lt;="&amp;$B46)</f>
        <v>24484.85</v>
      </c>
      <c r="T46" s="24">
        <f>SUMIFS('Saldos Iniciales'!$D:$D,'Saldos Iniciales'!$A:$A,"Green Harbor Trust")+SUMIFS(Movimientos!$K$1:$K$892,Movimientos!$C$1:$C$892,"Green Harbor Trust",Movimientos!$B$1:$B$892,"&lt;="&amp;$B46)</f>
        <v>345</v>
      </c>
      <c r="U46" s="24">
        <f>SUMIFS('Saldos Iniciales'!$D:$D,'Saldos Iniciales'!$A:$A,"Go Blue")+SUMIFS(Movimientos!$K$1:$K$892,Movimientos!$C$1:$C$892,"Go Blue",Movimientos!$B$1:$B$892,"&lt;="&amp;$B46)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Group")+SUMIFS(Movimientos!$K$1:$K$892,Movimientos!$C$1:$C$892,"CFT Group",Movimientos!$B$1:$B$892,"&lt;="&amp;$B47)</f>
        <v>985975.94000000029</v>
      </c>
      <c r="D47" s="24">
        <f>SUMIFS('Saldos Iniciales'!$D:$D,'Saldos Iniciales'!$A:$A,"M1B")+SUMIFS(Movimientos!$K$1:$K$892,Movimientos!$C$1:$C$892,"M1B",Movimientos!$B$1:$B$892,"&lt;="&amp;$B47)</f>
        <v>69376.390000000174</v>
      </c>
      <c r="E47" s="24">
        <f>SUMIFS('Saldos Iniciales'!$D:$D,'Saldos Iniciales'!$A:$A,"Durand")+SUMIFS(Movimientos!$K$1:$K$892,Movimientos!$C$1:$C$892,"Durand",Movimientos!$B$1:$B$892,"&lt;="&amp;$B47)</f>
        <v>1669.89</v>
      </c>
      <c r="F47" s="24">
        <f>SUMIFS('Saldos Iniciales'!$D:$D,'Saldos Iniciales'!$A:$A,"A&amp;M Imports")+SUMIFS(Movimientos!$K$1:$K$892,Movimientos!$C$1:$C$892,"A&amp;M Imports",Movimientos!$B$1:$B$892,"&lt;="&amp;$B47)</f>
        <v>503904.80999999982</v>
      </c>
      <c r="G47" s="24">
        <f>SUMIFS('Saldos Iniciales'!$D:$D,'Saldos Iniciales'!$A:$A,"SSP Capital")+SUMIFS(Movimientos!$K$1:$K$892,Movimientos!$C$1:$C$892,"SSP Capital",Movimientos!$B$1:$B$892,"&lt;="&amp;$B47)</f>
        <v>3331737.2399999998</v>
      </c>
      <c r="H47" s="24">
        <f>SUMIFS('Saldos Iniciales'!$D:$D,'Saldos Iniciales'!$A:$A,"Cross Family Trust")+SUMIFS(Movimientos!$K$1:$K$892,Movimientos!$C$1:$C$892,"Cross Family Trust",Movimientos!$B$1:$B$892,"&lt;="&amp;$B47)</f>
        <v>116496.38</v>
      </c>
      <c r="I47" s="24">
        <f>SUMIFS('Saldos Iniciales'!$D:$D,'Saldos Iniciales'!$A:$A,"Cross Security Trust")+SUMIFS(Movimientos!$K$1:$K$892,Movimientos!$C$1:$C$892,"Cross Security Trust",Movimientos!$B$1:$B$892,"&lt;="&amp;$B47)</f>
        <v>88090.37</v>
      </c>
      <c r="J47" s="24">
        <f>SUMIFS('Saldos Iniciales'!$D:$D,'Saldos Iniciales'!$A:$A,"Electrama")+SUMIFS(Movimientos!$K$1:$K$892,Movimientos!$C$1:$C$892,"Electrama",Movimientos!$B$1:$B$892,"&lt;="&amp;$B47)</f>
        <v>511.15999999999985</v>
      </c>
      <c r="K47" s="24">
        <f>SUMIFS('Saldos Iniciales'!$D:$D,'Saldos Iniciales'!$A:$A,"Sacred Valley Capital")+SUMIFS(Movimientos!$K$1:$K$892,Movimientos!$C$1:$C$892,"Sacred Valley Capital",Movimientos!$B$1:$B$892,"&lt;="&amp;$B47)</f>
        <v>84.35</v>
      </c>
      <c r="L47" s="24">
        <f>SUMIFS('Saldos Iniciales'!$D:$D,'Saldos Iniciales'!$A:$A,"YWC Capital")+SUMIFS(Movimientos!$K$1:$K$892,Movimientos!$C$1:$C$892,"YWC Capital",Movimientos!$B$1:$B$892,"&lt;="&amp;$B47)</f>
        <v>2237.77</v>
      </c>
      <c r="M47" s="24">
        <f>SUMIFS('Saldos Iniciales'!$D:$D,'Saldos Iniciales'!$A:$A,"Soweto")+SUMIFS(Movimientos!$K$1:$K$892,Movimientos!$C$1:$C$892,"Soweto",Movimientos!$B$1:$B$892,"&lt;="&amp;$B47)</f>
        <v>3349.94</v>
      </c>
      <c r="N47" s="24">
        <f>SUMIFS('Saldos Iniciales'!$D:$D,'Saldos Iniciales'!$A:$A,"Green Stone Trust")+SUMIFS(Movimientos!$K$1:$K$892,Movimientos!$C$1:$C$892,"Green Stone Trust",Movimientos!$B$1:$B$892,"&lt;="&amp;$B47)</f>
        <v>1968.99</v>
      </c>
      <c r="O47" s="24">
        <f>SUMIFS('Saldos Iniciales'!$D:$D,'Saldos Iniciales'!$A:$A,"EC Auto")+SUMIFS(Movimientos!$K$1:$K$892,Movimientos!$C$1:$C$892,"EC Auto",Movimientos!$B$1:$B$892,"&lt;="&amp;$B47)</f>
        <v>382.69000000000005</v>
      </c>
      <c r="P47" s="24">
        <f>SUMIFS('Saldos Iniciales'!$D:$D,'Saldos Iniciales'!$A:$A,"Arbor Capital Properties")+SUMIFS(Movimientos!$K$1:$K$892,Movimientos!$C$1:$C$892,"Arbor Capital Properties",Movimientos!$B$1:$B$892,"&lt;="&amp;$B47)</f>
        <v>1428.08</v>
      </c>
      <c r="Q47" s="24">
        <f>SUMIFS('Saldos Iniciales'!$D:$D,'Saldos Iniciales'!$A:$A,"2515 Overbrook")+SUMIFS(Movimientos!$K$1:$K$892,Movimientos!$C$1:$C$892,"2515 Overbrook",Movimientos!$B$1:$B$892,"&lt;="&amp;$B47)</f>
        <v>29789.969999999961</v>
      </c>
      <c r="R47" s="24">
        <f>SUMIFS('Saldos Iniciales'!$D:$D,'Saldos Iniciales'!$A:$A,"112 Florida Ave")+SUMIFS(Movimientos!$K$1:$K$892,Movimientos!$C$1:$C$892,"112 Florida Ave",Movimientos!$B$1:$B$892,"&lt;="&amp;$B47)</f>
        <v>5321.4300000000021</v>
      </c>
      <c r="S47" s="24">
        <f>SUMIFS('Saldos Iniciales'!$D:$D,'Saldos Iniciales'!$A:$A,"3628 Thomas Ave")+SUMIFS(Movimientos!$K$1:$K$892,Movimientos!$C$1:$C$892,"3628 Thomas Ave",Movimientos!$B$1:$B$892,"&lt;="&amp;$B47)</f>
        <v>20484.849999999999</v>
      </c>
      <c r="T47" s="24">
        <f>SUMIFS('Saldos Iniciales'!$D:$D,'Saldos Iniciales'!$A:$A,"Green Harbor Trust")+SUMIFS(Movimientos!$K$1:$K$892,Movimientos!$C$1:$C$892,"Green Harbor Trust",Movimientos!$B$1:$B$892,"&lt;="&amp;$B47)</f>
        <v>345</v>
      </c>
      <c r="U47" s="24">
        <f>SUMIFS('Saldos Iniciales'!$D:$D,'Saldos Iniciales'!$A:$A,"Go Blue")+SUMIFS(Movimientos!$K$1:$K$892,Movimientos!$C$1:$C$892,"Go Blue",Movimientos!$B$1:$B$892,"&lt;="&amp;$B47)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Group")+SUMIFS(Movimientos!$K$1:$K$892,Movimientos!$C$1:$C$892,"CFT Group",Movimientos!$B$1:$B$892,"&lt;="&amp;$B48)</f>
        <v>1086358.7500000002</v>
      </c>
      <c r="D48" s="24">
        <f>SUMIFS('Saldos Iniciales'!$D:$D,'Saldos Iniciales'!$A:$A,"M1B")+SUMIFS(Movimientos!$K$1:$K$892,Movimientos!$C$1:$C$892,"M1B",Movimientos!$B$1:$B$892,"&lt;="&amp;$B48)</f>
        <v>69376.390000000174</v>
      </c>
      <c r="E48" s="24">
        <f>SUMIFS('Saldos Iniciales'!$D:$D,'Saldos Iniciales'!$A:$A,"Durand")+SUMIFS(Movimientos!$K$1:$K$892,Movimientos!$C$1:$C$892,"Durand",Movimientos!$B$1:$B$892,"&lt;="&amp;$B48)</f>
        <v>1669.89</v>
      </c>
      <c r="F48" s="24">
        <f>SUMIFS('Saldos Iniciales'!$D:$D,'Saldos Iniciales'!$A:$A,"A&amp;M Imports")+SUMIFS(Movimientos!$K$1:$K$892,Movimientos!$C$1:$C$892,"A&amp;M Imports",Movimientos!$B$1:$B$892,"&lt;="&amp;$B48)</f>
        <v>503904.80999999982</v>
      </c>
      <c r="G48" s="24">
        <f>SUMIFS('Saldos Iniciales'!$D:$D,'Saldos Iniciales'!$A:$A,"SSP Capital")+SUMIFS(Movimientos!$K$1:$K$892,Movimientos!$C$1:$C$892,"SSP Capital",Movimientos!$B$1:$B$892,"&lt;="&amp;$B48)</f>
        <v>3329246.88</v>
      </c>
      <c r="H48" s="24">
        <f>SUMIFS('Saldos Iniciales'!$D:$D,'Saldos Iniciales'!$A:$A,"Cross Family Trust")+SUMIFS(Movimientos!$K$1:$K$892,Movimientos!$C$1:$C$892,"Cross Family Trust",Movimientos!$B$1:$B$892,"&lt;="&amp;$B48)</f>
        <v>116496.38</v>
      </c>
      <c r="I48" s="24">
        <f>SUMIFS('Saldos Iniciales'!$D:$D,'Saldos Iniciales'!$A:$A,"Cross Security Trust")+SUMIFS(Movimientos!$K$1:$K$892,Movimientos!$C$1:$C$892,"Cross Security Trust",Movimientos!$B$1:$B$892,"&lt;="&amp;$B48)</f>
        <v>88090.37</v>
      </c>
      <c r="J48" s="24">
        <f>SUMIFS('Saldos Iniciales'!$D:$D,'Saldos Iniciales'!$A:$A,"Electrama")+SUMIFS(Movimientos!$K$1:$K$892,Movimientos!$C$1:$C$892,"Electrama",Movimientos!$B$1:$B$892,"&lt;="&amp;$B48)</f>
        <v>511.15999999999985</v>
      </c>
      <c r="K48" s="24">
        <f>SUMIFS('Saldos Iniciales'!$D:$D,'Saldos Iniciales'!$A:$A,"Sacred Valley Capital")+SUMIFS(Movimientos!$K$1:$K$892,Movimientos!$C$1:$C$892,"Sacred Valley Capital",Movimientos!$B$1:$B$892,"&lt;="&amp;$B48)</f>
        <v>84.35</v>
      </c>
      <c r="L48" s="24">
        <f>SUMIFS('Saldos Iniciales'!$D:$D,'Saldos Iniciales'!$A:$A,"YWC Capital")+SUMIFS(Movimientos!$K$1:$K$892,Movimientos!$C$1:$C$892,"YWC Capital",Movimientos!$B$1:$B$892,"&lt;="&amp;$B48)</f>
        <v>2237.77</v>
      </c>
      <c r="M48" s="24">
        <f>SUMIFS('Saldos Iniciales'!$D:$D,'Saldos Iniciales'!$A:$A,"Soweto")+SUMIFS(Movimientos!$K$1:$K$892,Movimientos!$C$1:$C$892,"Soweto",Movimientos!$B$1:$B$892,"&lt;="&amp;$B48)</f>
        <v>3349.94</v>
      </c>
      <c r="N48" s="24">
        <f>SUMIFS('Saldos Iniciales'!$D:$D,'Saldos Iniciales'!$A:$A,"Green Stone Trust")+SUMIFS(Movimientos!$K$1:$K$892,Movimientos!$C$1:$C$892,"Green Stone Trust",Movimientos!$B$1:$B$892,"&lt;="&amp;$B48)</f>
        <v>1968.99</v>
      </c>
      <c r="O48" s="24">
        <f>SUMIFS('Saldos Iniciales'!$D:$D,'Saldos Iniciales'!$A:$A,"EC Auto")+SUMIFS(Movimientos!$K$1:$K$892,Movimientos!$C$1:$C$892,"EC Auto",Movimientos!$B$1:$B$892,"&lt;="&amp;$B48)</f>
        <v>382.69000000000005</v>
      </c>
      <c r="P48" s="24">
        <f>SUMIFS('Saldos Iniciales'!$D:$D,'Saldos Iniciales'!$A:$A,"Arbor Capital Properties")+SUMIFS(Movimientos!$K$1:$K$892,Movimientos!$C$1:$C$892,"Arbor Capital Properties",Movimientos!$B$1:$B$892,"&lt;="&amp;$B48)</f>
        <v>1428.08</v>
      </c>
      <c r="Q48" s="24">
        <f>SUMIFS('Saldos Iniciales'!$D:$D,'Saldos Iniciales'!$A:$A,"2515 Overbrook")+SUMIFS(Movimientos!$K$1:$K$892,Movimientos!$C$1:$C$892,"2515 Overbrook",Movimientos!$B$1:$B$892,"&lt;="&amp;$B48)</f>
        <v>29789.969999999961</v>
      </c>
      <c r="R48" s="24">
        <f>SUMIFS('Saldos Iniciales'!$D:$D,'Saldos Iniciales'!$A:$A,"112 Florida Ave")+SUMIFS(Movimientos!$K$1:$K$892,Movimientos!$C$1:$C$892,"112 Florida Ave",Movimientos!$B$1:$B$892,"&lt;="&amp;$B48)</f>
        <v>20321.43</v>
      </c>
      <c r="S48" s="24">
        <f>SUMIFS('Saldos Iniciales'!$D:$D,'Saldos Iniciales'!$A:$A,"3628 Thomas Ave")+SUMIFS(Movimientos!$K$1:$K$892,Movimientos!$C$1:$C$892,"3628 Thomas Ave",Movimientos!$B$1:$B$892,"&lt;="&amp;$B48)</f>
        <v>19811.349999999999</v>
      </c>
      <c r="T48" s="24">
        <f>SUMIFS('Saldos Iniciales'!$D:$D,'Saldos Iniciales'!$A:$A,"Green Harbor Trust")+SUMIFS(Movimientos!$K$1:$K$892,Movimientos!$C$1:$C$892,"Green Harbor Trust",Movimientos!$B$1:$B$892,"&lt;="&amp;$B48)</f>
        <v>345</v>
      </c>
      <c r="U48" s="24">
        <f>SUMIFS('Saldos Iniciales'!$D:$D,'Saldos Iniciales'!$A:$A,"Go Blue")+SUMIFS(Movimientos!$K$1:$K$892,Movimientos!$C$1:$C$892,"Go Blue",Movimientos!$B$1:$B$892,"&lt;="&amp;$B48)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Group")+SUMIFS(Movimientos!$K$1:$K$892,Movimientos!$C$1:$C$892,"CFT Group",Movimientos!$B$1:$B$892,"&lt;="&amp;$B49)</f>
        <v>1098358.7500000002</v>
      </c>
      <c r="D49" s="24">
        <f>SUMIFS('Saldos Iniciales'!$D:$D,'Saldos Iniciales'!$A:$A,"M1B")+SUMIFS(Movimientos!$K$1:$K$892,Movimientos!$C$1:$C$892,"M1B",Movimientos!$B$1:$B$892,"&lt;="&amp;$B49)</f>
        <v>69376.390000000174</v>
      </c>
      <c r="E49" s="24">
        <f>SUMIFS('Saldos Iniciales'!$D:$D,'Saldos Iniciales'!$A:$A,"Durand")+SUMIFS(Movimientos!$K$1:$K$892,Movimientos!$C$1:$C$892,"Durand",Movimientos!$B$1:$B$892,"&lt;="&amp;$B49)</f>
        <v>1669.89</v>
      </c>
      <c r="F49" s="24">
        <f>SUMIFS('Saldos Iniciales'!$D:$D,'Saldos Iniciales'!$A:$A,"A&amp;M Imports")+SUMIFS(Movimientos!$K$1:$K$892,Movimientos!$C$1:$C$892,"A&amp;M Imports",Movimientos!$B$1:$B$892,"&lt;="&amp;$B49)</f>
        <v>503904.80999999982</v>
      </c>
      <c r="G49" s="24">
        <f>SUMIFS('Saldos Iniciales'!$D:$D,'Saldos Iniciales'!$A:$A,"SSP Capital")+SUMIFS(Movimientos!$K$1:$K$892,Movimientos!$C$1:$C$892,"SSP Capital",Movimientos!$B$1:$B$892,"&lt;="&amp;$B49)</f>
        <v>3326863.3899999997</v>
      </c>
      <c r="H49" s="24">
        <f>SUMIFS('Saldos Iniciales'!$D:$D,'Saldos Iniciales'!$A:$A,"Cross Family Trust")+SUMIFS(Movimientos!$K$1:$K$892,Movimientos!$C$1:$C$892,"Cross Family Trust",Movimientos!$B$1:$B$892,"&lt;="&amp;$B49)</f>
        <v>116496.38</v>
      </c>
      <c r="I49" s="24">
        <f>SUMIFS('Saldos Iniciales'!$D:$D,'Saldos Iniciales'!$A:$A,"Cross Security Trust")+SUMIFS(Movimientos!$K$1:$K$892,Movimientos!$C$1:$C$892,"Cross Security Trust",Movimientos!$B$1:$B$892,"&lt;="&amp;$B49)</f>
        <v>88090.37</v>
      </c>
      <c r="J49" s="24">
        <f>SUMIFS('Saldos Iniciales'!$D:$D,'Saldos Iniciales'!$A:$A,"Electrama")+SUMIFS(Movimientos!$K$1:$K$892,Movimientos!$C$1:$C$892,"Electrama",Movimientos!$B$1:$B$892,"&lt;="&amp;$B49)</f>
        <v>511.15999999999985</v>
      </c>
      <c r="K49" s="24">
        <f>SUMIFS('Saldos Iniciales'!$D:$D,'Saldos Iniciales'!$A:$A,"Sacred Valley Capital")+SUMIFS(Movimientos!$K$1:$K$892,Movimientos!$C$1:$C$892,"Sacred Valley Capital",Movimientos!$B$1:$B$892,"&lt;="&amp;$B49)</f>
        <v>84.35</v>
      </c>
      <c r="L49" s="24">
        <f>SUMIFS('Saldos Iniciales'!$D:$D,'Saldos Iniciales'!$A:$A,"YWC Capital")+SUMIFS(Movimientos!$K$1:$K$892,Movimientos!$C$1:$C$892,"YWC Capital",Movimientos!$B$1:$B$892,"&lt;="&amp;$B49)</f>
        <v>2237.77</v>
      </c>
      <c r="M49" s="24">
        <f>SUMIFS('Saldos Iniciales'!$D:$D,'Saldos Iniciales'!$A:$A,"Soweto")+SUMIFS(Movimientos!$K$1:$K$892,Movimientos!$C$1:$C$892,"Soweto",Movimientos!$B$1:$B$892,"&lt;="&amp;$B49)</f>
        <v>3349.94</v>
      </c>
      <c r="N49" s="24">
        <f>SUMIFS('Saldos Iniciales'!$D:$D,'Saldos Iniciales'!$A:$A,"Green Stone Trust")+SUMIFS(Movimientos!$K$1:$K$892,Movimientos!$C$1:$C$892,"Green Stone Trust",Movimientos!$B$1:$B$892,"&lt;="&amp;$B49)</f>
        <v>1968.99</v>
      </c>
      <c r="O49" s="24">
        <f>SUMIFS('Saldos Iniciales'!$D:$D,'Saldos Iniciales'!$A:$A,"EC Auto")+SUMIFS(Movimientos!$K$1:$K$892,Movimientos!$C$1:$C$892,"EC Auto",Movimientos!$B$1:$B$892,"&lt;="&amp;$B49)</f>
        <v>382.69000000000005</v>
      </c>
      <c r="P49" s="24">
        <f>SUMIFS('Saldos Iniciales'!$D:$D,'Saldos Iniciales'!$A:$A,"Arbor Capital Properties")+SUMIFS(Movimientos!$K$1:$K$892,Movimientos!$C$1:$C$892,"Arbor Capital Properties",Movimientos!$B$1:$B$892,"&lt;="&amp;$B49)</f>
        <v>1428.08</v>
      </c>
      <c r="Q49" s="24">
        <f>SUMIFS('Saldos Iniciales'!$D:$D,'Saldos Iniciales'!$A:$A,"2515 Overbrook")+SUMIFS(Movimientos!$K$1:$K$892,Movimientos!$C$1:$C$892,"2515 Overbrook",Movimientos!$B$1:$B$892,"&lt;="&amp;$B49)</f>
        <v>29789.969999999961</v>
      </c>
      <c r="R49" s="24">
        <f>SUMIFS('Saldos Iniciales'!$D:$D,'Saldos Iniciales'!$A:$A,"112 Florida Ave")+SUMIFS(Movimientos!$K$1:$K$892,Movimientos!$C$1:$C$892,"112 Florida Ave",Movimientos!$B$1:$B$892,"&lt;="&amp;$B49)</f>
        <v>20321.43</v>
      </c>
      <c r="S49" s="24">
        <f>SUMIFS('Saldos Iniciales'!$D:$D,'Saldos Iniciales'!$A:$A,"3628 Thomas Ave")+SUMIFS(Movimientos!$K$1:$K$892,Movimientos!$C$1:$C$892,"3628 Thomas Ave",Movimientos!$B$1:$B$892,"&lt;="&amp;$B49)</f>
        <v>16681.349999999999</v>
      </c>
      <c r="T49" s="24">
        <f>SUMIFS('Saldos Iniciales'!$D:$D,'Saldos Iniciales'!$A:$A,"Green Harbor Trust")+SUMIFS(Movimientos!$K$1:$K$892,Movimientos!$C$1:$C$892,"Green Harbor Trust",Movimientos!$B$1:$B$892,"&lt;="&amp;$B49)</f>
        <v>345</v>
      </c>
      <c r="U49" s="24">
        <f>SUMIFS('Saldos Iniciales'!$D:$D,'Saldos Iniciales'!$A:$A,"Go Blue")+SUMIFS(Movimientos!$K$1:$K$892,Movimientos!$C$1:$C$892,"Go Blue",Movimientos!$B$1:$B$892,"&lt;="&amp;$B49)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Group")+SUMIFS(Movimientos!$K$1:$K$892,Movimientos!$C$1:$C$892,"CFT Group",Movimientos!$B$1:$B$892,"&lt;="&amp;$B50)</f>
        <v>1098358.7500000002</v>
      </c>
      <c r="D50" s="24">
        <f>SUMIFS('Saldos Iniciales'!$D:$D,'Saldos Iniciales'!$A:$A,"M1B")+SUMIFS(Movimientos!$K$1:$K$892,Movimientos!$C$1:$C$892,"M1B",Movimientos!$B$1:$B$892,"&lt;="&amp;$B50)</f>
        <v>69376.390000000174</v>
      </c>
      <c r="E50" s="24">
        <f>SUMIFS('Saldos Iniciales'!$D:$D,'Saldos Iniciales'!$A:$A,"Durand")+SUMIFS(Movimientos!$K$1:$K$892,Movimientos!$C$1:$C$892,"Durand",Movimientos!$B$1:$B$892,"&lt;="&amp;$B50)</f>
        <v>1669.89</v>
      </c>
      <c r="F50" s="24">
        <f>SUMIFS('Saldos Iniciales'!$D:$D,'Saldos Iniciales'!$A:$A,"A&amp;M Imports")+SUMIFS(Movimientos!$K$1:$K$892,Movimientos!$C$1:$C$892,"A&amp;M Imports",Movimientos!$B$1:$B$892,"&lt;="&amp;$B50)</f>
        <v>503904.80999999982</v>
      </c>
      <c r="G50" s="24">
        <f>SUMIFS('Saldos Iniciales'!$D:$D,'Saldos Iniciales'!$A:$A,"SSP Capital")+SUMIFS(Movimientos!$K$1:$K$892,Movimientos!$C$1:$C$892,"SSP Capital",Movimientos!$B$1:$B$892,"&lt;="&amp;$B50)</f>
        <v>3326696.7299999995</v>
      </c>
      <c r="H50" s="24">
        <f>SUMIFS('Saldos Iniciales'!$D:$D,'Saldos Iniciales'!$A:$A,"Cross Family Trust")+SUMIFS(Movimientos!$K$1:$K$892,Movimientos!$C$1:$C$892,"Cross Family Trust",Movimientos!$B$1:$B$892,"&lt;="&amp;$B50)</f>
        <v>116496.38</v>
      </c>
      <c r="I50" s="24">
        <f>SUMIFS('Saldos Iniciales'!$D:$D,'Saldos Iniciales'!$A:$A,"Cross Security Trust")+SUMIFS(Movimientos!$K$1:$K$892,Movimientos!$C$1:$C$892,"Cross Security Trust",Movimientos!$B$1:$B$892,"&lt;="&amp;$B50)</f>
        <v>88090.37</v>
      </c>
      <c r="J50" s="24">
        <f>SUMIFS('Saldos Iniciales'!$D:$D,'Saldos Iniciales'!$A:$A,"Electrama")+SUMIFS(Movimientos!$K$1:$K$892,Movimientos!$C$1:$C$892,"Electrama",Movimientos!$B$1:$B$892,"&lt;="&amp;$B50)</f>
        <v>511.15999999999985</v>
      </c>
      <c r="K50" s="24">
        <f>SUMIFS('Saldos Iniciales'!$D:$D,'Saldos Iniciales'!$A:$A,"Sacred Valley Capital")+SUMIFS(Movimientos!$K$1:$K$892,Movimientos!$C$1:$C$892,"Sacred Valley Capital",Movimientos!$B$1:$B$892,"&lt;="&amp;$B50)</f>
        <v>84.35</v>
      </c>
      <c r="L50" s="24">
        <f>SUMIFS('Saldos Iniciales'!$D:$D,'Saldos Iniciales'!$A:$A,"YWC Capital")+SUMIFS(Movimientos!$K$1:$K$892,Movimientos!$C$1:$C$892,"YWC Capital",Movimientos!$B$1:$B$892,"&lt;="&amp;$B50)</f>
        <v>2237.77</v>
      </c>
      <c r="M50" s="24">
        <f>SUMIFS('Saldos Iniciales'!$D:$D,'Saldos Iniciales'!$A:$A,"Soweto")+SUMIFS(Movimientos!$K$1:$K$892,Movimientos!$C$1:$C$892,"Soweto",Movimientos!$B$1:$B$892,"&lt;="&amp;$B50)</f>
        <v>3349.94</v>
      </c>
      <c r="N50" s="24">
        <f>SUMIFS('Saldos Iniciales'!$D:$D,'Saldos Iniciales'!$A:$A,"Green Stone Trust")+SUMIFS(Movimientos!$K$1:$K$892,Movimientos!$C$1:$C$892,"Green Stone Trust",Movimientos!$B$1:$B$892,"&lt;="&amp;$B50)</f>
        <v>1968.99</v>
      </c>
      <c r="O50" s="24">
        <f>SUMIFS('Saldos Iniciales'!$D:$D,'Saldos Iniciales'!$A:$A,"EC Auto")+SUMIFS(Movimientos!$K$1:$K$892,Movimientos!$C$1:$C$892,"EC Auto",Movimientos!$B$1:$B$892,"&lt;="&amp;$B50)</f>
        <v>382.69000000000005</v>
      </c>
      <c r="P50" s="24">
        <f>SUMIFS('Saldos Iniciales'!$D:$D,'Saldos Iniciales'!$A:$A,"Arbor Capital Properties")+SUMIFS(Movimientos!$K$1:$K$892,Movimientos!$C$1:$C$892,"Arbor Capital Properties",Movimientos!$B$1:$B$892,"&lt;="&amp;$B50)</f>
        <v>1428.08</v>
      </c>
      <c r="Q50" s="24">
        <f>SUMIFS('Saldos Iniciales'!$D:$D,'Saldos Iniciales'!$A:$A,"2515 Overbrook")+SUMIFS(Movimientos!$K$1:$K$892,Movimientos!$C$1:$C$892,"2515 Overbrook",Movimientos!$B$1:$B$892,"&lt;="&amp;$B50)</f>
        <v>29789.969999999961</v>
      </c>
      <c r="R50" s="24">
        <f>SUMIFS('Saldos Iniciales'!$D:$D,'Saldos Iniciales'!$A:$A,"112 Florida Ave")+SUMIFS(Movimientos!$K$1:$K$892,Movimientos!$C$1:$C$892,"112 Florida Ave",Movimientos!$B$1:$B$892,"&lt;="&amp;$B50)</f>
        <v>20321.43</v>
      </c>
      <c r="S50" s="24">
        <f>SUMIFS('Saldos Iniciales'!$D:$D,'Saldos Iniciales'!$A:$A,"3628 Thomas Ave")+SUMIFS(Movimientos!$K$1:$K$892,Movimientos!$C$1:$C$892,"3628 Thomas Ave",Movimientos!$B$1:$B$892,"&lt;="&amp;$B50)</f>
        <v>16681.349999999999</v>
      </c>
      <c r="T50" s="24">
        <f>SUMIFS('Saldos Iniciales'!$D:$D,'Saldos Iniciales'!$A:$A,"Green Harbor Trust")+SUMIFS(Movimientos!$K$1:$K$892,Movimientos!$C$1:$C$892,"Green Harbor Trust",Movimientos!$B$1:$B$892,"&lt;="&amp;$B50)</f>
        <v>345</v>
      </c>
      <c r="U50" s="24">
        <f>SUMIFS('Saldos Iniciales'!$D:$D,'Saldos Iniciales'!$A:$A,"Go Blue")+SUMIFS(Movimientos!$K$1:$K$892,Movimientos!$C$1:$C$892,"Go Blue",Movimientos!$B$1:$B$892,"&lt;="&amp;$B50)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Group")+SUMIFS(Movimientos!$K$1:$K$892,Movimientos!$C$1:$C$892,"CFT Group",Movimientos!$B$1:$B$892,"&lt;="&amp;$B51)</f>
        <v>1098358.7500000002</v>
      </c>
      <c r="D51" s="24">
        <f>SUMIFS('Saldos Iniciales'!$D:$D,'Saldos Iniciales'!$A:$A,"M1B")+SUMIFS(Movimientos!$K$1:$K$892,Movimientos!$C$1:$C$892,"M1B",Movimientos!$B$1:$B$892,"&lt;="&amp;$B51)</f>
        <v>69376.390000000174</v>
      </c>
      <c r="E51" s="24">
        <f>SUMIFS('Saldos Iniciales'!$D:$D,'Saldos Iniciales'!$A:$A,"Durand")+SUMIFS(Movimientos!$K$1:$K$892,Movimientos!$C$1:$C$892,"Durand",Movimientos!$B$1:$B$892,"&lt;="&amp;$B51)</f>
        <v>1669.89</v>
      </c>
      <c r="F51" s="24">
        <f>SUMIFS('Saldos Iniciales'!$D:$D,'Saldos Iniciales'!$A:$A,"A&amp;M Imports")+SUMIFS(Movimientos!$K$1:$K$892,Movimientos!$C$1:$C$892,"A&amp;M Imports",Movimientos!$B$1:$B$892,"&lt;="&amp;$B51)</f>
        <v>503904.80999999982</v>
      </c>
      <c r="G51" s="24">
        <f>SUMIFS('Saldos Iniciales'!$D:$D,'Saldos Iniciales'!$A:$A,"SSP Capital")+SUMIFS(Movimientos!$K$1:$K$892,Movimientos!$C$1:$C$892,"SSP Capital",Movimientos!$B$1:$B$892,"&lt;="&amp;$B51)</f>
        <v>3326696.7299999995</v>
      </c>
      <c r="H51" s="24">
        <f>SUMIFS('Saldos Iniciales'!$D:$D,'Saldos Iniciales'!$A:$A,"Cross Family Trust")+SUMIFS(Movimientos!$K$1:$K$892,Movimientos!$C$1:$C$892,"Cross Family Trust",Movimientos!$B$1:$B$892,"&lt;="&amp;$B51)</f>
        <v>116496.38</v>
      </c>
      <c r="I51" s="24">
        <f>SUMIFS('Saldos Iniciales'!$D:$D,'Saldos Iniciales'!$A:$A,"Cross Security Trust")+SUMIFS(Movimientos!$K$1:$K$892,Movimientos!$C$1:$C$892,"Cross Security Trust",Movimientos!$B$1:$B$892,"&lt;="&amp;$B51)</f>
        <v>88090.37</v>
      </c>
      <c r="J51" s="24">
        <f>SUMIFS('Saldos Iniciales'!$D:$D,'Saldos Iniciales'!$A:$A,"Electrama")+SUMIFS(Movimientos!$K$1:$K$892,Movimientos!$C$1:$C$892,"Electrama",Movimientos!$B$1:$B$892,"&lt;="&amp;$B51)</f>
        <v>511.15999999999985</v>
      </c>
      <c r="K51" s="24">
        <f>SUMIFS('Saldos Iniciales'!$D:$D,'Saldos Iniciales'!$A:$A,"Sacred Valley Capital")+SUMIFS(Movimientos!$K$1:$K$892,Movimientos!$C$1:$C$892,"Sacred Valley Capital",Movimientos!$B$1:$B$892,"&lt;="&amp;$B51)</f>
        <v>84.35</v>
      </c>
      <c r="L51" s="24">
        <f>SUMIFS('Saldos Iniciales'!$D:$D,'Saldos Iniciales'!$A:$A,"YWC Capital")+SUMIFS(Movimientos!$K$1:$K$892,Movimientos!$C$1:$C$892,"YWC Capital",Movimientos!$B$1:$B$892,"&lt;="&amp;$B51)</f>
        <v>2237.77</v>
      </c>
      <c r="M51" s="24">
        <f>SUMIFS('Saldos Iniciales'!$D:$D,'Saldos Iniciales'!$A:$A,"Soweto")+SUMIFS(Movimientos!$K$1:$K$892,Movimientos!$C$1:$C$892,"Soweto",Movimientos!$B$1:$B$892,"&lt;="&amp;$B51)</f>
        <v>3349.94</v>
      </c>
      <c r="N51" s="24">
        <f>SUMIFS('Saldos Iniciales'!$D:$D,'Saldos Iniciales'!$A:$A,"Green Stone Trust")+SUMIFS(Movimientos!$K$1:$K$892,Movimientos!$C$1:$C$892,"Green Stone Trust",Movimientos!$B$1:$B$892,"&lt;="&amp;$B51)</f>
        <v>1968.99</v>
      </c>
      <c r="O51" s="24">
        <f>SUMIFS('Saldos Iniciales'!$D:$D,'Saldos Iniciales'!$A:$A,"EC Auto")+SUMIFS(Movimientos!$K$1:$K$892,Movimientos!$C$1:$C$892,"EC Auto",Movimientos!$B$1:$B$892,"&lt;="&amp;$B51)</f>
        <v>382.69000000000005</v>
      </c>
      <c r="P51" s="24">
        <f>SUMIFS('Saldos Iniciales'!$D:$D,'Saldos Iniciales'!$A:$A,"Arbor Capital Properties")+SUMIFS(Movimientos!$K$1:$K$892,Movimientos!$C$1:$C$892,"Arbor Capital Properties",Movimientos!$B$1:$B$892,"&lt;="&amp;$B51)</f>
        <v>1428.08</v>
      </c>
      <c r="Q51" s="24">
        <f>SUMIFS('Saldos Iniciales'!$D:$D,'Saldos Iniciales'!$A:$A,"2515 Overbrook")+SUMIFS(Movimientos!$K$1:$K$892,Movimientos!$C$1:$C$892,"2515 Overbrook",Movimientos!$B$1:$B$892,"&lt;="&amp;$B51)</f>
        <v>29789.969999999961</v>
      </c>
      <c r="R51" s="24">
        <f>SUMIFS('Saldos Iniciales'!$D:$D,'Saldos Iniciales'!$A:$A,"112 Florida Ave")+SUMIFS(Movimientos!$K$1:$K$892,Movimientos!$C$1:$C$892,"112 Florida Ave",Movimientos!$B$1:$B$892,"&lt;="&amp;$B51)</f>
        <v>20321.43</v>
      </c>
      <c r="S51" s="24">
        <f>SUMIFS('Saldos Iniciales'!$D:$D,'Saldos Iniciales'!$A:$A,"3628 Thomas Ave")+SUMIFS(Movimientos!$K$1:$K$892,Movimientos!$C$1:$C$892,"3628 Thomas Ave",Movimientos!$B$1:$B$892,"&lt;="&amp;$B51)</f>
        <v>16681.349999999999</v>
      </c>
      <c r="T51" s="24">
        <f>SUMIFS('Saldos Iniciales'!$D:$D,'Saldos Iniciales'!$A:$A,"Green Harbor Trust")+SUMIFS(Movimientos!$K$1:$K$892,Movimientos!$C$1:$C$892,"Green Harbor Trust",Movimientos!$B$1:$B$892,"&lt;="&amp;$B51)</f>
        <v>345</v>
      </c>
      <c r="U51" s="24">
        <f>SUMIFS('Saldos Iniciales'!$D:$D,'Saldos Iniciales'!$A:$A,"Go Blue")+SUMIFS(Movimientos!$K$1:$K$892,Movimientos!$C$1:$C$892,"Go Blue",Movimientos!$B$1:$B$892,"&lt;="&amp;$B51)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Group")+SUMIFS(Movimientos!$K$1:$K$892,Movimientos!$C$1:$C$892,"CFT Group",Movimientos!$B$1:$B$892,"&lt;="&amp;$B52)</f>
        <v>1098358.7500000002</v>
      </c>
      <c r="D52" s="24">
        <f>SUMIFS('Saldos Iniciales'!$D:$D,'Saldos Iniciales'!$A:$A,"M1B")+SUMIFS(Movimientos!$K$1:$K$892,Movimientos!$C$1:$C$892,"M1B",Movimientos!$B$1:$B$892,"&lt;="&amp;$B52)</f>
        <v>69376.390000000174</v>
      </c>
      <c r="E52" s="24">
        <f>SUMIFS('Saldos Iniciales'!$D:$D,'Saldos Iniciales'!$A:$A,"Durand")+SUMIFS(Movimientos!$K$1:$K$892,Movimientos!$C$1:$C$892,"Durand",Movimientos!$B$1:$B$892,"&lt;="&amp;$B52)</f>
        <v>1669.89</v>
      </c>
      <c r="F52" s="24">
        <f>SUMIFS('Saldos Iniciales'!$D:$D,'Saldos Iniciales'!$A:$A,"A&amp;M Imports")+SUMIFS(Movimientos!$K$1:$K$892,Movimientos!$C$1:$C$892,"A&amp;M Imports",Movimientos!$B$1:$B$892,"&lt;="&amp;$B52)</f>
        <v>503904.80999999982</v>
      </c>
      <c r="G52" s="24">
        <f>SUMIFS('Saldos Iniciales'!$D:$D,'Saldos Iniciales'!$A:$A,"SSP Capital")+SUMIFS(Movimientos!$K$1:$K$892,Movimientos!$C$1:$C$892,"SSP Capital",Movimientos!$B$1:$B$892,"&lt;="&amp;$B52)</f>
        <v>3326696.7299999995</v>
      </c>
      <c r="H52" s="24">
        <f>SUMIFS('Saldos Iniciales'!$D:$D,'Saldos Iniciales'!$A:$A,"Cross Family Trust")+SUMIFS(Movimientos!$K$1:$K$892,Movimientos!$C$1:$C$892,"Cross Family Trust",Movimientos!$B$1:$B$892,"&lt;="&amp;$B52)</f>
        <v>116496.38</v>
      </c>
      <c r="I52" s="24">
        <f>SUMIFS('Saldos Iniciales'!$D:$D,'Saldos Iniciales'!$A:$A,"Cross Security Trust")+SUMIFS(Movimientos!$K$1:$K$892,Movimientos!$C$1:$C$892,"Cross Security Trust",Movimientos!$B$1:$B$892,"&lt;="&amp;$B52)</f>
        <v>88090.37</v>
      </c>
      <c r="J52" s="24">
        <f>SUMIFS('Saldos Iniciales'!$D:$D,'Saldos Iniciales'!$A:$A,"Electrama")+SUMIFS(Movimientos!$K$1:$K$892,Movimientos!$C$1:$C$892,"Electrama",Movimientos!$B$1:$B$892,"&lt;="&amp;$B52)</f>
        <v>511.15999999999985</v>
      </c>
      <c r="K52" s="24">
        <f>SUMIFS('Saldos Iniciales'!$D:$D,'Saldos Iniciales'!$A:$A,"Sacred Valley Capital")+SUMIFS(Movimientos!$K$1:$K$892,Movimientos!$C$1:$C$892,"Sacred Valley Capital",Movimientos!$B$1:$B$892,"&lt;="&amp;$B52)</f>
        <v>84.35</v>
      </c>
      <c r="L52" s="24">
        <f>SUMIFS('Saldos Iniciales'!$D:$D,'Saldos Iniciales'!$A:$A,"YWC Capital")+SUMIFS(Movimientos!$K$1:$K$892,Movimientos!$C$1:$C$892,"YWC Capital",Movimientos!$B$1:$B$892,"&lt;="&amp;$B52)</f>
        <v>2237.77</v>
      </c>
      <c r="M52" s="24">
        <f>SUMIFS('Saldos Iniciales'!$D:$D,'Saldos Iniciales'!$A:$A,"Soweto")+SUMIFS(Movimientos!$K$1:$K$892,Movimientos!$C$1:$C$892,"Soweto",Movimientos!$B$1:$B$892,"&lt;="&amp;$B52)</f>
        <v>3349.94</v>
      </c>
      <c r="N52" s="24">
        <f>SUMIFS('Saldos Iniciales'!$D:$D,'Saldos Iniciales'!$A:$A,"Green Stone Trust")+SUMIFS(Movimientos!$K$1:$K$892,Movimientos!$C$1:$C$892,"Green Stone Trust",Movimientos!$B$1:$B$892,"&lt;="&amp;$B52)</f>
        <v>1968.99</v>
      </c>
      <c r="O52" s="24">
        <f>SUMIFS('Saldos Iniciales'!$D:$D,'Saldos Iniciales'!$A:$A,"EC Auto")+SUMIFS(Movimientos!$K$1:$K$892,Movimientos!$C$1:$C$892,"EC Auto",Movimientos!$B$1:$B$892,"&lt;="&amp;$B52)</f>
        <v>382.69000000000005</v>
      </c>
      <c r="P52" s="24">
        <f>SUMIFS('Saldos Iniciales'!$D:$D,'Saldos Iniciales'!$A:$A,"Arbor Capital Properties")+SUMIFS(Movimientos!$K$1:$K$892,Movimientos!$C$1:$C$892,"Arbor Capital Properties",Movimientos!$B$1:$B$892,"&lt;="&amp;$B52)</f>
        <v>1428.08</v>
      </c>
      <c r="Q52" s="24">
        <f>SUMIFS('Saldos Iniciales'!$D:$D,'Saldos Iniciales'!$A:$A,"2515 Overbrook")+SUMIFS(Movimientos!$K$1:$K$892,Movimientos!$C$1:$C$892,"2515 Overbrook",Movimientos!$B$1:$B$892,"&lt;="&amp;$B52)</f>
        <v>29789.969999999961</v>
      </c>
      <c r="R52" s="24">
        <f>SUMIFS('Saldos Iniciales'!$D:$D,'Saldos Iniciales'!$A:$A,"112 Florida Ave")+SUMIFS(Movimientos!$K$1:$K$892,Movimientos!$C$1:$C$892,"112 Florida Ave",Movimientos!$B$1:$B$892,"&lt;="&amp;$B52)</f>
        <v>20321.43</v>
      </c>
      <c r="S52" s="24">
        <f>SUMIFS('Saldos Iniciales'!$D:$D,'Saldos Iniciales'!$A:$A,"3628 Thomas Ave")+SUMIFS(Movimientos!$K$1:$K$892,Movimientos!$C$1:$C$892,"3628 Thomas Ave",Movimientos!$B$1:$B$892,"&lt;="&amp;$B52)</f>
        <v>16681.349999999999</v>
      </c>
      <c r="T52" s="24">
        <f>SUMIFS('Saldos Iniciales'!$D:$D,'Saldos Iniciales'!$A:$A,"Green Harbor Trust")+SUMIFS(Movimientos!$K$1:$K$892,Movimientos!$C$1:$C$892,"Green Harbor Trust",Movimientos!$B$1:$B$892,"&lt;="&amp;$B52)</f>
        <v>345</v>
      </c>
      <c r="U52" s="24">
        <f>SUMIFS('Saldos Iniciales'!$D:$D,'Saldos Iniciales'!$A:$A,"Go Blue")+SUMIFS(Movimientos!$K$1:$K$892,Movimientos!$C$1:$C$892,"Go Blue",Movimientos!$B$1:$B$892,"&lt;="&amp;$B52)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Group")+SUMIFS(Movimientos!$K$1:$K$892,Movimientos!$C$1:$C$892,"CFT Group",Movimientos!$B$1:$B$892,"&lt;="&amp;$B53)</f>
        <v>1098358.7500000002</v>
      </c>
      <c r="D53" s="24">
        <f>SUMIFS('Saldos Iniciales'!$D:$D,'Saldos Iniciales'!$A:$A,"M1B")+SUMIFS(Movimientos!$K$1:$K$892,Movimientos!$C$1:$C$892,"M1B",Movimientos!$B$1:$B$892,"&lt;="&amp;$B53)</f>
        <v>69376.390000000174</v>
      </c>
      <c r="E53" s="24">
        <f>SUMIFS('Saldos Iniciales'!$D:$D,'Saldos Iniciales'!$A:$A,"Durand")+SUMIFS(Movimientos!$K$1:$K$892,Movimientos!$C$1:$C$892,"Durand",Movimientos!$B$1:$B$892,"&lt;="&amp;$B53)</f>
        <v>1669.89</v>
      </c>
      <c r="F53" s="24">
        <f>SUMIFS('Saldos Iniciales'!$D:$D,'Saldos Iniciales'!$A:$A,"A&amp;M Imports")+SUMIFS(Movimientos!$K$1:$K$892,Movimientos!$C$1:$C$892,"A&amp;M Imports",Movimientos!$B$1:$B$892,"&lt;="&amp;$B53)</f>
        <v>503904.80999999982</v>
      </c>
      <c r="G53" s="24">
        <f>SUMIFS('Saldos Iniciales'!$D:$D,'Saldos Iniciales'!$A:$A,"SSP Capital")+SUMIFS(Movimientos!$K$1:$K$892,Movimientos!$C$1:$C$892,"SSP Capital",Movimientos!$B$1:$B$892,"&lt;="&amp;$B53)</f>
        <v>3326696.7299999995</v>
      </c>
      <c r="H53" s="24">
        <f>SUMIFS('Saldos Iniciales'!$D:$D,'Saldos Iniciales'!$A:$A,"Cross Family Trust")+SUMIFS(Movimientos!$K$1:$K$892,Movimientos!$C$1:$C$892,"Cross Family Trust",Movimientos!$B$1:$B$892,"&lt;="&amp;$B53)</f>
        <v>116496.38</v>
      </c>
      <c r="I53" s="24">
        <f>SUMIFS('Saldos Iniciales'!$D:$D,'Saldos Iniciales'!$A:$A,"Cross Security Trust")+SUMIFS(Movimientos!$K$1:$K$892,Movimientos!$C$1:$C$892,"Cross Security Trust",Movimientos!$B$1:$B$892,"&lt;="&amp;$B53)</f>
        <v>88090.37</v>
      </c>
      <c r="J53" s="24">
        <f>SUMIFS('Saldos Iniciales'!$D:$D,'Saldos Iniciales'!$A:$A,"Electrama")+SUMIFS(Movimientos!$K$1:$K$892,Movimientos!$C$1:$C$892,"Electrama",Movimientos!$B$1:$B$892,"&lt;="&amp;$B53)</f>
        <v>511.15999999999985</v>
      </c>
      <c r="K53" s="24">
        <f>SUMIFS('Saldos Iniciales'!$D:$D,'Saldos Iniciales'!$A:$A,"Sacred Valley Capital")+SUMIFS(Movimientos!$K$1:$K$892,Movimientos!$C$1:$C$892,"Sacred Valley Capital",Movimientos!$B$1:$B$892,"&lt;="&amp;$B53)</f>
        <v>84.35</v>
      </c>
      <c r="L53" s="24">
        <f>SUMIFS('Saldos Iniciales'!$D:$D,'Saldos Iniciales'!$A:$A,"YWC Capital")+SUMIFS(Movimientos!$K$1:$K$892,Movimientos!$C$1:$C$892,"YWC Capital",Movimientos!$B$1:$B$892,"&lt;="&amp;$B53)</f>
        <v>2237.77</v>
      </c>
      <c r="M53" s="24">
        <f>SUMIFS('Saldos Iniciales'!$D:$D,'Saldos Iniciales'!$A:$A,"Soweto")+SUMIFS(Movimientos!$K$1:$K$892,Movimientos!$C$1:$C$892,"Soweto",Movimientos!$B$1:$B$892,"&lt;="&amp;$B53)</f>
        <v>3349.94</v>
      </c>
      <c r="N53" s="24">
        <f>SUMIFS('Saldos Iniciales'!$D:$D,'Saldos Iniciales'!$A:$A,"Green Stone Trust")+SUMIFS(Movimientos!$K$1:$K$892,Movimientos!$C$1:$C$892,"Green Stone Trust",Movimientos!$B$1:$B$892,"&lt;="&amp;$B53)</f>
        <v>1968.99</v>
      </c>
      <c r="O53" s="24">
        <f>SUMIFS('Saldos Iniciales'!$D:$D,'Saldos Iniciales'!$A:$A,"EC Auto")+SUMIFS(Movimientos!$K$1:$K$892,Movimientos!$C$1:$C$892,"EC Auto",Movimientos!$B$1:$B$892,"&lt;="&amp;$B53)</f>
        <v>382.69000000000005</v>
      </c>
      <c r="P53" s="24">
        <f>SUMIFS('Saldos Iniciales'!$D:$D,'Saldos Iniciales'!$A:$A,"Arbor Capital Properties")+SUMIFS(Movimientos!$K$1:$K$892,Movimientos!$C$1:$C$892,"Arbor Capital Properties",Movimientos!$B$1:$B$892,"&lt;="&amp;$B53)</f>
        <v>1428.08</v>
      </c>
      <c r="Q53" s="24">
        <f>SUMIFS('Saldos Iniciales'!$D:$D,'Saldos Iniciales'!$A:$A,"2515 Overbrook")+SUMIFS(Movimientos!$K$1:$K$892,Movimientos!$C$1:$C$892,"2515 Overbrook",Movimientos!$B$1:$B$892,"&lt;="&amp;$B53)</f>
        <v>29789.969999999961</v>
      </c>
      <c r="R53" s="24">
        <f>SUMIFS('Saldos Iniciales'!$D:$D,'Saldos Iniciales'!$A:$A,"112 Florida Ave")+SUMIFS(Movimientos!$K$1:$K$892,Movimientos!$C$1:$C$892,"112 Florida Ave",Movimientos!$B$1:$B$892,"&lt;="&amp;$B53)</f>
        <v>20321.43</v>
      </c>
      <c r="S53" s="24">
        <f>SUMIFS('Saldos Iniciales'!$D:$D,'Saldos Iniciales'!$A:$A,"3628 Thomas Ave")+SUMIFS(Movimientos!$K$1:$K$892,Movimientos!$C$1:$C$892,"3628 Thomas Ave",Movimientos!$B$1:$B$892,"&lt;="&amp;$B53)</f>
        <v>16681.349999999999</v>
      </c>
      <c r="T53" s="24">
        <f>SUMIFS('Saldos Iniciales'!$D:$D,'Saldos Iniciales'!$A:$A,"Green Harbor Trust")+SUMIFS(Movimientos!$K$1:$K$892,Movimientos!$C$1:$C$892,"Green Harbor Trust",Movimientos!$B$1:$B$892,"&lt;="&amp;$B53)</f>
        <v>345</v>
      </c>
      <c r="U53" s="24">
        <f>SUMIFS('Saldos Iniciales'!$D:$D,'Saldos Iniciales'!$A:$A,"Go Blue")+SUMIFS(Movimientos!$K$1:$K$892,Movimientos!$C$1:$C$892,"Go Blue",Movimientos!$B$1:$B$892,"&lt;="&amp;$B53)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Group")+SUMIFS(Movimientos!$K$1:$K$892,Movimientos!$C$1:$C$892,"CFT Group",Movimientos!$B$1:$B$892,"&lt;="&amp;$B54)</f>
        <v>7613332.1400000006</v>
      </c>
      <c r="D54" s="24">
        <f>SUMIFS('Saldos Iniciales'!$D:$D,'Saldos Iniciales'!$A:$A,"M1B")+SUMIFS(Movimientos!$K$1:$K$892,Movimientos!$C$1:$C$892,"M1B",Movimientos!$B$1:$B$892,"&lt;="&amp;$B54)</f>
        <v>69376.390000000174</v>
      </c>
      <c r="E54" s="24">
        <f>SUMIFS('Saldos Iniciales'!$D:$D,'Saldos Iniciales'!$A:$A,"Durand")+SUMIFS(Movimientos!$K$1:$K$892,Movimientos!$C$1:$C$892,"Durand",Movimientos!$B$1:$B$892,"&lt;="&amp;$B54)</f>
        <v>1669.89</v>
      </c>
      <c r="F54" s="24">
        <f>SUMIFS('Saldos Iniciales'!$D:$D,'Saldos Iniciales'!$A:$A,"A&amp;M Imports")+SUMIFS(Movimientos!$K$1:$K$892,Movimientos!$C$1:$C$892,"A&amp;M Imports",Movimientos!$B$1:$B$892,"&lt;="&amp;$B54)</f>
        <v>503904.80999999982</v>
      </c>
      <c r="G54" s="24">
        <f>SUMIFS('Saldos Iniciales'!$D:$D,'Saldos Iniciales'!$A:$A,"SSP Capital")+SUMIFS(Movimientos!$K$1:$K$892,Movimientos!$C$1:$C$892,"SSP Capital",Movimientos!$B$1:$B$892,"&lt;="&amp;$B54)</f>
        <v>3325868.6899999995</v>
      </c>
      <c r="H54" s="24">
        <f>SUMIFS('Saldos Iniciales'!$D:$D,'Saldos Iniciales'!$A:$A,"Cross Family Trust")+SUMIFS(Movimientos!$K$1:$K$892,Movimientos!$C$1:$C$892,"Cross Family Trust",Movimientos!$B$1:$B$892,"&lt;="&amp;$B54)</f>
        <v>116496.38</v>
      </c>
      <c r="I54" s="24">
        <f>SUMIFS('Saldos Iniciales'!$D:$D,'Saldos Iniciales'!$A:$A,"Cross Security Trust")+SUMIFS(Movimientos!$K$1:$K$892,Movimientos!$C$1:$C$892,"Cross Security Trust",Movimientos!$B$1:$B$892,"&lt;="&amp;$B54)</f>
        <v>88090.37</v>
      </c>
      <c r="J54" s="24">
        <f>SUMIFS('Saldos Iniciales'!$D:$D,'Saldos Iniciales'!$A:$A,"Electrama")+SUMIFS(Movimientos!$K$1:$K$892,Movimientos!$C$1:$C$892,"Electrama",Movimientos!$B$1:$B$892,"&lt;="&amp;$B54)</f>
        <v>511.15999999999985</v>
      </c>
      <c r="K54" s="24">
        <f>SUMIFS('Saldos Iniciales'!$D:$D,'Saldos Iniciales'!$A:$A,"Sacred Valley Capital")+SUMIFS(Movimientos!$K$1:$K$892,Movimientos!$C$1:$C$892,"Sacred Valley Capital",Movimientos!$B$1:$B$892,"&lt;="&amp;$B54)</f>
        <v>84.35</v>
      </c>
      <c r="L54" s="24">
        <f>SUMIFS('Saldos Iniciales'!$D:$D,'Saldos Iniciales'!$A:$A,"YWC Capital")+SUMIFS(Movimientos!$K$1:$K$892,Movimientos!$C$1:$C$892,"YWC Capital",Movimientos!$B$1:$B$892,"&lt;="&amp;$B54)</f>
        <v>2237.77</v>
      </c>
      <c r="M54" s="24">
        <f>SUMIFS('Saldos Iniciales'!$D:$D,'Saldos Iniciales'!$A:$A,"Soweto")+SUMIFS(Movimientos!$K$1:$K$892,Movimientos!$C$1:$C$892,"Soweto",Movimientos!$B$1:$B$892,"&lt;="&amp;$B54)</f>
        <v>3349.94</v>
      </c>
      <c r="N54" s="24">
        <f>SUMIFS('Saldos Iniciales'!$D:$D,'Saldos Iniciales'!$A:$A,"Green Stone Trust")+SUMIFS(Movimientos!$K$1:$K$892,Movimientos!$C$1:$C$892,"Green Stone Trust",Movimientos!$B$1:$B$892,"&lt;="&amp;$B54)</f>
        <v>1968.99</v>
      </c>
      <c r="O54" s="24">
        <f>SUMIFS('Saldos Iniciales'!$D:$D,'Saldos Iniciales'!$A:$A,"EC Auto")+SUMIFS(Movimientos!$K$1:$K$892,Movimientos!$C$1:$C$892,"EC Auto",Movimientos!$B$1:$B$892,"&lt;="&amp;$B54)</f>
        <v>382.69000000000005</v>
      </c>
      <c r="P54" s="24">
        <f>SUMIFS('Saldos Iniciales'!$D:$D,'Saldos Iniciales'!$A:$A,"Arbor Capital Properties")+SUMIFS(Movimientos!$K$1:$K$892,Movimientos!$C$1:$C$892,"Arbor Capital Properties",Movimientos!$B$1:$B$892,"&lt;="&amp;$B54)</f>
        <v>1428.08</v>
      </c>
      <c r="Q54" s="24">
        <f>SUMIFS('Saldos Iniciales'!$D:$D,'Saldos Iniciales'!$A:$A,"2515 Overbrook")+SUMIFS(Movimientos!$K$1:$K$892,Movimientos!$C$1:$C$892,"2515 Overbrook",Movimientos!$B$1:$B$892,"&lt;="&amp;$B54)</f>
        <v>31039.969999999961</v>
      </c>
      <c r="R54" s="24">
        <f>SUMIFS('Saldos Iniciales'!$D:$D,'Saldos Iniciales'!$A:$A,"112 Florida Ave")+SUMIFS(Movimientos!$K$1:$K$892,Movimientos!$C$1:$C$892,"112 Florida Ave",Movimientos!$B$1:$B$892,"&lt;="&amp;$B54)</f>
        <v>20321.43</v>
      </c>
      <c r="S54" s="24">
        <f>SUMIFS('Saldos Iniciales'!$D:$D,'Saldos Iniciales'!$A:$A,"3628 Thomas Ave")+SUMIFS(Movimientos!$K$1:$K$892,Movimientos!$C$1:$C$892,"3628 Thomas Ave",Movimientos!$B$1:$B$892,"&lt;="&amp;$B54)</f>
        <v>16681.349999999999</v>
      </c>
      <c r="T54" s="24">
        <f>SUMIFS('Saldos Iniciales'!$D:$D,'Saldos Iniciales'!$A:$A,"Green Harbor Trust")+SUMIFS(Movimientos!$K$1:$K$892,Movimientos!$C$1:$C$892,"Green Harbor Trust",Movimientos!$B$1:$B$892,"&lt;="&amp;$B54)</f>
        <v>345</v>
      </c>
      <c r="U54" s="24">
        <f>SUMIFS('Saldos Iniciales'!$D:$D,'Saldos Iniciales'!$A:$A,"Go Blue")+SUMIFS(Movimientos!$K$1:$K$892,Movimientos!$C$1:$C$892,"Go Blue",Movimientos!$B$1:$B$892,"&lt;="&amp;$B54)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Group")+SUMIFS(Movimientos!$K$1:$K$892,Movimientos!$C$1:$C$892,"CFT Group",Movimientos!$B$1:$B$892,"&lt;="&amp;$B55)</f>
        <v>7675741.5900000008</v>
      </c>
      <c r="D55" s="24">
        <f>SUMIFS('Saldos Iniciales'!$D:$D,'Saldos Iniciales'!$A:$A,"M1B")+SUMIFS(Movimientos!$K$1:$K$892,Movimientos!$C$1:$C$892,"M1B",Movimientos!$B$1:$B$892,"&lt;="&amp;$B55)</f>
        <v>69376.390000000174</v>
      </c>
      <c r="E55" s="24">
        <f>SUMIFS('Saldos Iniciales'!$D:$D,'Saldos Iniciales'!$A:$A,"Durand")+SUMIFS(Movimientos!$K$1:$K$892,Movimientos!$C$1:$C$892,"Durand",Movimientos!$B$1:$B$892,"&lt;="&amp;$B55)</f>
        <v>1669.89</v>
      </c>
      <c r="F55" s="24">
        <f>SUMIFS('Saldos Iniciales'!$D:$D,'Saldos Iniciales'!$A:$A,"A&amp;M Imports")+SUMIFS(Movimientos!$K$1:$K$892,Movimientos!$C$1:$C$892,"A&amp;M Imports",Movimientos!$B$1:$B$892,"&lt;="&amp;$B55)</f>
        <v>503904.80999999982</v>
      </c>
      <c r="G55" s="24">
        <f>SUMIFS('Saldos Iniciales'!$D:$D,'Saldos Iniciales'!$A:$A,"SSP Capital")+SUMIFS(Movimientos!$K$1:$K$892,Movimientos!$C$1:$C$892,"SSP Capital",Movimientos!$B$1:$B$892,"&lt;="&amp;$B55)</f>
        <v>3325868.6899999995</v>
      </c>
      <c r="H55" s="24">
        <f>SUMIFS('Saldos Iniciales'!$D:$D,'Saldos Iniciales'!$A:$A,"Cross Family Trust")+SUMIFS(Movimientos!$K$1:$K$892,Movimientos!$C$1:$C$892,"Cross Family Trust",Movimientos!$B$1:$B$892,"&lt;="&amp;$B55)</f>
        <v>116496.38</v>
      </c>
      <c r="I55" s="24">
        <f>SUMIFS('Saldos Iniciales'!$D:$D,'Saldos Iniciales'!$A:$A,"Cross Security Trust")+SUMIFS(Movimientos!$K$1:$K$892,Movimientos!$C$1:$C$892,"Cross Security Trust",Movimientos!$B$1:$B$892,"&lt;="&amp;$B55)</f>
        <v>88090.37</v>
      </c>
      <c r="J55" s="24">
        <f>SUMIFS('Saldos Iniciales'!$D:$D,'Saldos Iniciales'!$A:$A,"Electrama")+SUMIFS(Movimientos!$K$1:$K$892,Movimientos!$C$1:$C$892,"Electrama",Movimientos!$B$1:$B$892,"&lt;="&amp;$B55)</f>
        <v>511.15999999999985</v>
      </c>
      <c r="K55" s="24">
        <f>SUMIFS('Saldos Iniciales'!$D:$D,'Saldos Iniciales'!$A:$A,"Sacred Valley Capital")+SUMIFS(Movimientos!$K$1:$K$892,Movimientos!$C$1:$C$892,"Sacred Valley Capital",Movimientos!$B$1:$B$892,"&lt;="&amp;$B55)</f>
        <v>84.35</v>
      </c>
      <c r="L55" s="24">
        <f>SUMIFS('Saldos Iniciales'!$D:$D,'Saldos Iniciales'!$A:$A,"YWC Capital")+SUMIFS(Movimientos!$K$1:$K$892,Movimientos!$C$1:$C$892,"YWC Capital",Movimientos!$B$1:$B$892,"&lt;="&amp;$B55)</f>
        <v>2237.77</v>
      </c>
      <c r="M55" s="24">
        <f>SUMIFS('Saldos Iniciales'!$D:$D,'Saldos Iniciales'!$A:$A,"Soweto")+SUMIFS(Movimientos!$K$1:$K$892,Movimientos!$C$1:$C$892,"Soweto",Movimientos!$B$1:$B$892,"&lt;="&amp;$B55)</f>
        <v>3349.94</v>
      </c>
      <c r="N55" s="24">
        <f>SUMIFS('Saldos Iniciales'!$D:$D,'Saldos Iniciales'!$A:$A,"Green Stone Trust")+SUMIFS(Movimientos!$K$1:$K$892,Movimientos!$C$1:$C$892,"Green Stone Trust",Movimientos!$B$1:$B$892,"&lt;="&amp;$B55)</f>
        <v>1968.99</v>
      </c>
      <c r="O55" s="24">
        <f>SUMIFS('Saldos Iniciales'!$D:$D,'Saldos Iniciales'!$A:$A,"EC Auto")+SUMIFS(Movimientos!$K$1:$K$892,Movimientos!$C$1:$C$892,"EC Auto",Movimientos!$B$1:$B$892,"&lt;="&amp;$B55)</f>
        <v>382.69000000000005</v>
      </c>
      <c r="P55" s="24">
        <f>SUMIFS('Saldos Iniciales'!$D:$D,'Saldos Iniciales'!$A:$A,"Arbor Capital Properties")+SUMIFS(Movimientos!$K$1:$K$892,Movimientos!$C$1:$C$892,"Arbor Capital Properties",Movimientos!$B$1:$B$892,"&lt;="&amp;$B55)</f>
        <v>1428.08</v>
      </c>
      <c r="Q55" s="24">
        <f>SUMIFS('Saldos Iniciales'!$D:$D,'Saldos Iniciales'!$A:$A,"2515 Overbrook")+SUMIFS(Movimientos!$K$1:$K$892,Movimientos!$C$1:$C$892,"2515 Overbrook",Movimientos!$B$1:$B$892,"&lt;="&amp;$B55)</f>
        <v>31039.969999999961</v>
      </c>
      <c r="R55" s="24">
        <f>SUMIFS('Saldos Iniciales'!$D:$D,'Saldos Iniciales'!$A:$A,"112 Florida Ave")+SUMIFS(Movimientos!$K$1:$K$892,Movimientos!$C$1:$C$892,"112 Florida Ave",Movimientos!$B$1:$B$892,"&lt;="&amp;$B55)</f>
        <v>20321.43</v>
      </c>
      <c r="S55" s="24">
        <f>SUMIFS('Saldos Iniciales'!$D:$D,'Saldos Iniciales'!$A:$A,"3628 Thomas Ave")+SUMIFS(Movimientos!$K$1:$K$892,Movimientos!$C$1:$C$892,"3628 Thomas Ave",Movimientos!$B$1:$B$892,"&lt;="&amp;$B55)</f>
        <v>16681.349999999999</v>
      </c>
      <c r="T55" s="24">
        <f>SUMIFS('Saldos Iniciales'!$D:$D,'Saldos Iniciales'!$A:$A,"Green Harbor Trust")+SUMIFS(Movimientos!$K$1:$K$892,Movimientos!$C$1:$C$892,"Green Harbor Trust",Movimientos!$B$1:$B$892,"&lt;="&amp;$B55)</f>
        <v>345</v>
      </c>
      <c r="U55" s="24">
        <f>SUMIFS('Saldos Iniciales'!$D:$D,'Saldos Iniciales'!$A:$A,"Go Blue")+SUMIFS(Movimientos!$K$1:$K$892,Movimientos!$C$1:$C$892,"Go Blue",Movimientos!$B$1:$B$892,"&lt;="&amp;$B55)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Group")+SUMIFS(Movimientos!$K$1:$K$892,Movimientos!$C$1:$C$892,"CFT Group",Movimientos!$B$1:$B$892,"&lt;="&amp;$B56)</f>
        <v>7742810.7100000009</v>
      </c>
      <c r="D56" s="24">
        <f>SUMIFS('Saldos Iniciales'!$D:$D,'Saldos Iniciales'!$A:$A,"M1B")+SUMIFS(Movimientos!$K$1:$K$892,Movimientos!$C$1:$C$892,"M1B",Movimientos!$B$1:$B$892,"&lt;="&amp;$B56)</f>
        <v>72386.190000000177</v>
      </c>
      <c r="E56" s="24">
        <f>SUMIFS('Saldos Iniciales'!$D:$D,'Saldos Iniciales'!$A:$A,"Durand")+SUMIFS(Movimientos!$K$1:$K$892,Movimientos!$C$1:$C$892,"Durand",Movimientos!$B$1:$B$892,"&lt;="&amp;$B56)</f>
        <v>1669.89</v>
      </c>
      <c r="F56" s="24">
        <f>SUMIFS('Saldos Iniciales'!$D:$D,'Saldos Iniciales'!$A:$A,"A&amp;M Imports")+SUMIFS(Movimientos!$K$1:$K$892,Movimientos!$C$1:$C$892,"A&amp;M Imports",Movimientos!$B$1:$B$892,"&lt;="&amp;$B56)</f>
        <v>532766.72999999986</v>
      </c>
      <c r="G56" s="24">
        <f>SUMIFS('Saldos Iniciales'!$D:$D,'Saldos Iniciales'!$A:$A,"SSP Capital")+SUMIFS(Movimientos!$K$1:$K$892,Movimientos!$C$1:$C$892,"SSP Capital",Movimientos!$B$1:$B$892,"&lt;="&amp;$B56)</f>
        <v>3325868.6899999995</v>
      </c>
      <c r="H56" s="24">
        <f>SUMIFS('Saldos Iniciales'!$D:$D,'Saldos Iniciales'!$A:$A,"Cross Family Trust")+SUMIFS(Movimientos!$K$1:$K$892,Movimientos!$C$1:$C$892,"Cross Family Trust",Movimientos!$B$1:$B$892,"&lt;="&amp;$B56)</f>
        <v>116496.38</v>
      </c>
      <c r="I56" s="24">
        <f>SUMIFS('Saldos Iniciales'!$D:$D,'Saldos Iniciales'!$A:$A,"Cross Security Trust")+SUMIFS(Movimientos!$K$1:$K$892,Movimientos!$C$1:$C$892,"Cross Security Trust",Movimientos!$B$1:$B$892,"&lt;="&amp;$B56)</f>
        <v>88090.37</v>
      </c>
      <c r="J56" s="24">
        <f>SUMIFS('Saldos Iniciales'!$D:$D,'Saldos Iniciales'!$A:$A,"Electrama")+SUMIFS(Movimientos!$K$1:$K$892,Movimientos!$C$1:$C$892,"Electrama",Movimientos!$B$1:$B$892,"&lt;="&amp;$B56)</f>
        <v>511.15999999999985</v>
      </c>
      <c r="K56" s="24">
        <f>SUMIFS('Saldos Iniciales'!$D:$D,'Saldos Iniciales'!$A:$A,"Sacred Valley Capital")+SUMIFS(Movimientos!$K$1:$K$892,Movimientos!$C$1:$C$892,"Sacred Valley Capital",Movimientos!$B$1:$B$892,"&lt;="&amp;$B56)</f>
        <v>84.35</v>
      </c>
      <c r="L56" s="24">
        <f>SUMIFS('Saldos Iniciales'!$D:$D,'Saldos Iniciales'!$A:$A,"YWC Capital")+SUMIFS(Movimientos!$K$1:$K$892,Movimientos!$C$1:$C$892,"YWC Capital",Movimientos!$B$1:$B$892,"&lt;="&amp;$B56)</f>
        <v>2237.77</v>
      </c>
      <c r="M56" s="24">
        <f>SUMIFS('Saldos Iniciales'!$D:$D,'Saldos Iniciales'!$A:$A,"Soweto")+SUMIFS(Movimientos!$K$1:$K$892,Movimientos!$C$1:$C$892,"Soweto",Movimientos!$B$1:$B$892,"&lt;="&amp;$B56)</f>
        <v>3349.94</v>
      </c>
      <c r="N56" s="24">
        <f>SUMIFS('Saldos Iniciales'!$D:$D,'Saldos Iniciales'!$A:$A,"Green Stone Trust")+SUMIFS(Movimientos!$K$1:$K$892,Movimientos!$C$1:$C$892,"Green Stone Trust",Movimientos!$B$1:$B$892,"&lt;="&amp;$B56)</f>
        <v>1968.99</v>
      </c>
      <c r="O56" s="24">
        <f>SUMIFS('Saldos Iniciales'!$D:$D,'Saldos Iniciales'!$A:$A,"EC Auto")+SUMIFS(Movimientos!$K$1:$K$892,Movimientos!$C$1:$C$892,"EC Auto",Movimientos!$B$1:$B$892,"&lt;="&amp;$B56)</f>
        <v>382.69000000000005</v>
      </c>
      <c r="P56" s="24">
        <f>SUMIFS('Saldos Iniciales'!$D:$D,'Saldos Iniciales'!$A:$A,"Arbor Capital Properties")+SUMIFS(Movimientos!$K$1:$K$892,Movimientos!$C$1:$C$892,"Arbor Capital Properties",Movimientos!$B$1:$B$892,"&lt;="&amp;$B56)</f>
        <v>1428.08</v>
      </c>
      <c r="Q56" s="24">
        <f>SUMIFS('Saldos Iniciales'!$D:$D,'Saldos Iniciales'!$A:$A,"2515 Overbrook")+SUMIFS(Movimientos!$K$1:$K$892,Movimientos!$C$1:$C$892,"2515 Overbrook",Movimientos!$B$1:$B$892,"&lt;="&amp;$B56)</f>
        <v>31039.969999999961</v>
      </c>
      <c r="R56" s="24">
        <f>SUMIFS('Saldos Iniciales'!$D:$D,'Saldos Iniciales'!$A:$A,"112 Florida Ave")+SUMIFS(Movimientos!$K$1:$K$892,Movimientos!$C$1:$C$892,"112 Florida Ave",Movimientos!$B$1:$B$892,"&lt;="&amp;$B56)</f>
        <v>20321.43</v>
      </c>
      <c r="S56" s="24">
        <f>SUMIFS('Saldos Iniciales'!$D:$D,'Saldos Iniciales'!$A:$A,"3628 Thomas Ave")+SUMIFS(Movimientos!$K$1:$K$892,Movimientos!$C$1:$C$892,"3628 Thomas Ave",Movimientos!$B$1:$B$892,"&lt;="&amp;$B56)</f>
        <v>16681.349999999999</v>
      </c>
      <c r="T56" s="24">
        <f>SUMIFS('Saldos Iniciales'!$D:$D,'Saldos Iniciales'!$A:$A,"Green Harbor Trust")+SUMIFS(Movimientos!$K$1:$K$892,Movimientos!$C$1:$C$892,"Green Harbor Trust",Movimientos!$B$1:$B$892,"&lt;="&amp;$B56)</f>
        <v>345</v>
      </c>
      <c r="U56" s="24">
        <f>SUMIFS('Saldos Iniciales'!$D:$D,'Saldos Iniciales'!$A:$A,"Go Blue")+SUMIFS(Movimientos!$K$1:$K$892,Movimientos!$C$1:$C$892,"Go Blue",Movimientos!$B$1:$B$892,"&lt;="&amp;$B56)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Group")+SUMIFS(Movimientos!$K$1:$K$892,Movimientos!$C$1:$C$892,"CFT Group",Movimientos!$B$1:$B$892,"&lt;="&amp;$B57)</f>
        <v>6298935.7100000009</v>
      </c>
      <c r="D57" s="24">
        <f>SUMIFS('Saldos Iniciales'!$D:$D,'Saldos Iniciales'!$A:$A,"M1B")+SUMIFS(Movimientos!$K$1:$K$892,Movimientos!$C$1:$C$892,"M1B",Movimientos!$B$1:$B$892,"&lt;="&amp;$B57)</f>
        <v>72386.190000000177</v>
      </c>
      <c r="E57" s="24">
        <f>SUMIFS('Saldos Iniciales'!$D:$D,'Saldos Iniciales'!$A:$A,"Durand")+SUMIFS(Movimientos!$K$1:$K$892,Movimientos!$C$1:$C$892,"Durand",Movimientos!$B$1:$B$892,"&lt;="&amp;$B57)</f>
        <v>1669.89</v>
      </c>
      <c r="F57" s="24">
        <f>SUMIFS('Saldos Iniciales'!$D:$D,'Saldos Iniciales'!$A:$A,"A&amp;M Imports")+SUMIFS(Movimientos!$K$1:$K$892,Movimientos!$C$1:$C$892,"A&amp;M Imports",Movimientos!$B$1:$B$892,"&lt;="&amp;$B57)</f>
        <v>472766.72999999986</v>
      </c>
      <c r="G57" s="24">
        <f>SUMIFS('Saldos Iniciales'!$D:$D,'Saldos Iniciales'!$A:$A,"SSP Capital")+SUMIFS(Movimientos!$K$1:$K$892,Movimientos!$C$1:$C$892,"SSP Capital",Movimientos!$B$1:$B$892,"&lt;="&amp;$B57)</f>
        <v>1933152.7099999995</v>
      </c>
      <c r="H57" s="24">
        <f>SUMIFS('Saldos Iniciales'!$D:$D,'Saldos Iniciales'!$A:$A,"Cross Family Trust")+SUMIFS(Movimientos!$K$1:$K$892,Movimientos!$C$1:$C$892,"Cross Family Trust",Movimientos!$B$1:$B$892,"&lt;="&amp;$B57)</f>
        <v>1996496.38</v>
      </c>
      <c r="I57" s="24">
        <f>SUMIFS('Saldos Iniciales'!$D:$D,'Saldos Iniciales'!$A:$A,"Cross Security Trust")+SUMIFS(Movimientos!$K$1:$K$892,Movimientos!$C$1:$C$892,"Cross Security Trust",Movimientos!$B$1:$B$892,"&lt;="&amp;$B57)</f>
        <v>88090.37</v>
      </c>
      <c r="J57" s="24">
        <f>SUMIFS('Saldos Iniciales'!$D:$D,'Saldos Iniciales'!$A:$A,"Electrama")+SUMIFS(Movimientos!$K$1:$K$892,Movimientos!$C$1:$C$892,"Electrama",Movimientos!$B$1:$B$892,"&lt;="&amp;$B57)</f>
        <v>511.15999999999985</v>
      </c>
      <c r="K57" s="24">
        <f>SUMIFS('Saldos Iniciales'!$D:$D,'Saldos Iniciales'!$A:$A,"Sacred Valley Capital")+SUMIFS(Movimientos!$K$1:$K$892,Movimientos!$C$1:$C$892,"Sacred Valley Capital",Movimientos!$B$1:$B$892,"&lt;="&amp;$B57)</f>
        <v>84.35</v>
      </c>
      <c r="L57" s="24">
        <f>SUMIFS('Saldos Iniciales'!$D:$D,'Saldos Iniciales'!$A:$A,"YWC Capital")+SUMIFS(Movimientos!$K$1:$K$892,Movimientos!$C$1:$C$892,"YWC Capital",Movimientos!$B$1:$B$892,"&lt;="&amp;$B57)</f>
        <v>2237.77</v>
      </c>
      <c r="M57" s="24">
        <f>SUMIFS('Saldos Iniciales'!$D:$D,'Saldos Iniciales'!$A:$A,"Soweto")+SUMIFS(Movimientos!$K$1:$K$892,Movimientos!$C$1:$C$892,"Soweto",Movimientos!$B$1:$B$892,"&lt;="&amp;$B57)</f>
        <v>3349.94</v>
      </c>
      <c r="N57" s="24">
        <f>SUMIFS('Saldos Iniciales'!$D:$D,'Saldos Iniciales'!$A:$A,"Green Stone Trust")+SUMIFS(Movimientos!$K$1:$K$892,Movimientos!$C$1:$C$892,"Green Stone Trust",Movimientos!$B$1:$B$892,"&lt;="&amp;$B57)</f>
        <v>1968.99</v>
      </c>
      <c r="O57" s="24">
        <f>SUMIFS('Saldos Iniciales'!$D:$D,'Saldos Iniciales'!$A:$A,"EC Auto")+SUMIFS(Movimientos!$K$1:$K$892,Movimientos!$C$1:$C$892,"EC Auto",Movimientos!$B$1:$B$892,"&lt;="&amp;$B57)</f>
        <v>382.69000000000005</v>
      </c>
      <c r="P57" s="24">
        <f>SUMIFS('Saldos Iniciales'!$D:$D,'Saldos Iniciales'!$A:$A,"Arbor Capital Properties")+SUMIFS(Movimientos!$K$1:$K$892,Movimientos!$C$1:$C$892,"Arbor Capital Properties",Movimientos!$B$1:$B$892,"&lt;="&amp;$B57)</f>
        <v>1428.08</v>
      </c>
      <c r="Q57" s="24">
        <f>SUMIFS('Saldos Iniciales'!$D:$D,'Saldos Iniciales'!$A:$A,"2515 Overbrook")+SUMIFS(Movimientos!$K$1:$K$892,Movimientos!$C$1:$C$892,"2515 Overbrook",Movimientos!$B$1:$B$892,"&lt;="&amp;$B57)</f>
        <v>31039.969999999961</v>
      </c>
      <c r="R57" s="24">
        <f>SUMIFS('Saldos Iniciales'!$D:$D,'Saldos Iniciales'!$A:$A,"112 Florida Ave")+SUMIFS(Movimientos!$K$1:$K$892,Movimientos!$C$1:$C$892,"112 Florida Ave",Movimientos!$B$1:$B$892,"&lt;="&amp;$B57)</f>
        <v>20321.43</v>
      </c>
      <c r="S57" s="24">
        <f>SUMIFS('Saldos Iniciales'!$D:$D,'Saldos Iniciales'!$A:$A,"3628 Thomas Ave")+SUMIFS(Movimientos!$K$1:$K$892,Movimientos!$C$1:$C$892,"3628 Thomas Ave",Movimientos!$B$1:$B$892,"&lt;="&amp;$B57)</f>
        <v>28473.599999999999</v>
      </c>
      <c r="T57" s="24">
        <f>SUMIFS('Saldos Iniciales'!$D:$D,'Saldos Iniciales'!$A:$A,"Green Harbor Trust")+SUMIFS(Movimientos!$K$1:$K$892,Movimientos!$C$1:$C$892,"Green Harbor Trust",Movimientos!$B$1:$B$892,"&lt;="&amp;$B57)</f>
        <v>345</v>
      </c>
      <c r="U57" s="24">
        <f>SUMIFS('Saldos Iniciales'!$D:$D,'Saldos Iniciales'!$A:$A,"Go Blue")+SUMIFS(Movimientos!$K$1:$K$892,Movimientos!$C$1:$C$892,"Go Blue",Movimientos!$B$1:$B$892,"&lt;="&amp;$B57)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Group")+SUMIFS(Movimientos!$K$1:$K$892,Movimientos!$C$1:$C$892,"CFT Group",Movimientos!$B$1:$B$892,"&lt;="&amp;$B58)</f>
        <v>6288055.7100000009</v>
      </c>
      <c r="D58" s="24">
        <f>SUMIFS('Saldos Iniciales'!$D:$D,'Saldos Iniciales'!$A:$A,"M1B")+SUMIFS(Movimientos!$K$1:$K$892,Movimientos!$C$1:$C$892,"M1B",Movimientos!$B$1:$B$892,"&lt;="&amp;$B58)</f>
        <v>72386.190000000177</v>
      </c>
      <c r="E58" s="24">
        <f>SUMIFS('Saldos Iniciales'!$D:$D,'Saldos Iniciales'!$A:$A,"Durand")+SUMIFS(Movimientos!$K$1:$K$892,Movimientos!$C$1:$C$892,"Durand",Movimientos!$B$1:$B$892,"&lt;="&amp;$B58)</f>
        <v>1669.89</v>
      </c>
      <c r="F58" s="24">
        <f>SUMIFS('Saldos Iniciales'!$D:$D,'Saldos Iniciales'!$A:$A,"A&amp;M Imports")+SUMIFS(Movimientos!$K$1:$K$892,Movimientos!$C$1:$C$892,"A&amp;M Imports",Movimientos!$B$1:$B$892,"&lt;="&amp;$B58)</f>
        <v>472766.72999999986</v>
      </c>
      <c r="G58" s="24">
        <f>SUMIFS('Saldos Iniciales'!$D:$D,'Saldos Iniciales'!$A:$A,"SSP Capital")+SUMIFS(Movimientos!$K$1:$K$892,Movimientos!$C$1:$C$892,"SSP Capital",Movimientos!$B$1:$B$892,"&lt;="&amp;$B58)</f>
        <v>1932389.7199999993</v>
      </c>
      <c r="H58" s="24">
        <f>SUMIFS('Saldos Iniciales'!$D:$D,'Saldos Iniciales'!$A:$A,"Cross Family Trust")+SUMIFS(Movimientos!$K$1:$K$892,Movimientos!$C$1:$C$892,"Cross Family Trust",Movimientos!$B$1:$B$892,"&lt;="&amp;$B58)</f>
        <v>1396496.38</v>
      </c>
      <c r="I58" s="24">
        <f>SUMIFS('Saldos Iniciales'!$D:$D,'Saldos Iniciales'!$A:$A,"Cross Security Trust")+SUMIFS(Movimientos!$K$1:$K$892,Movimientos!$C$1:$C$892,"Cross Security Trust",Movimientos!$B$1:$B$892,"&lt;="&amp;$B58)</f>
        <v>88090.37</v>
      </c>
      <c r="J58" s="24">
        <f>SUMIFS('Saldos Iniciales'!$D:$D,'Saldos Iniciales'!$A:$A,"Electrama")+SUMIFS(Movimientos!$K$1:$K$892,Movimientos!$C$1:$C$892,"Electrama",Movimientos!$B$1:$B$892,"&lt;="&amp;$B58)</f>
        <v>511.15999999999985</v>
      </c>
      <c r="K58" s="24">
        <f>SUMIFS('Saldos Iniciales'!$D:$D,'Saldos Iniciales'!$A:$A,"Sacred Valley Capital")+SUMIFS(Movimientos!$K$1:$K$892,Movimientos!$C$1:$C$892,"Sacred Valley Capital",Movimientos!$B$1:$B$892,"&lt;="&amp;$B58)</f>
        <v>84.35</v>
      </c>
      <c r="L58" s="24">
        <f>SUMIFS('Saldos Iniciales'!$D:$D,'Saldos Iniciales'!$A:$A,"YWC Capital")+SUMIFS(Movimientos!$K$1:$K$892,Movimientos!$C$1:$C$892,"YWC Capital",Movimientos!$B$1:$B$892,"&lt;="&amp;$B58)</f>
        <v>2237.77</v>
      </c>
      <c r="M58" s="24">
        <f>SUMIFS('Saldos Iniciales'!$D:$D,'Saldos Iniciales'!$A:$A,"Soweto")+SUMIFS(Movimientos!$K$1:$K$892,Movimientos!$C$1:$C$892,"Soweto",Movimientos!$B$1:$B$892,"&lt;="&amp;$B58)</f>
        <v>3349.94</v>
      </c>
      <c r="N58" s="24">
        <f>SUMIFS('Saldos Iniciales'!$D:$D,'Saldos Iniciales'!$A:$A,"Green Stone Trust")+SUMIFS(Movimientos!$K$1:$K$892,Movimientos!$C$1:$C$892,"Green Stone Trust",Movimientos!$B$1:$B$892,"&lt;="&amp;$B58)</f>
        <v>1968.99</v>
      </c>
      <c r="O58" s="24">
        <f>SUMIFS('Saldos Iniciales'!$D:$D,'Saldos Iniciales'!$A:$A,"EC Auto")+SUMIFS(Movimientos!$K$1:$K$892,Movimientos!$C$1:$C$892,"EC Auto",Movimientos!$B$1:$B$892,"&lt;="&amp;$B58)</f>
        <v>382.69000000000005</v>
      </c>
      <c r="P58" s="24">
        <f>SUMIFS('Saldos Iniciales'!$D:$D,'Saldos Iniciales'!$A:$A,"Arbor Capital Properties")+SUMIFS(Movimientos!$K$1:$K$892,Movimientos!$C$1:$C$892,"Arbor Capital Properties",Movimientos!$B$1:$B$892,"&lt;="&amp;$B58)</f>
        <v>1428.08</v>
      </c>
      <c r="Q58" s="24">
        <f>SUMIFS('Saldos Iniciales'!$D:$D,'Saldos Iniciales'!$A:$A,"2515 Overbrook")+SUMIFS(Movimientos!$K$1:$K$892,Movimientos!$C$1:$C$892,"2515 Overbrook",Movimientos!$B$1:$B$892,"&lt;="&amp;$B58)</f>
        <v>31039.969999999961</v>
      </c>
      <c r="R58" s="24">
        <f>SUMIFS('Saldos Iniciales'!$D:$D,'Saldos Iniciales'!$A:$A,"112 Florida Ave")+SUMIFS(Movimientos!$K$1:$K$892,Movimientos!$C$1:$C$892,"112 Florida Ave",Movimientos!$B$1:$B$892,"&lt;="&amp;$B58)</f>
        <v>20321.43</v>
      </c>
      <c r="S58" s="24">
        <f>SUMIFS('Saldos Iniciales'!$D:$D,'Saldos Iniciales'!$A:$A,"3628 Thomas Ave")+SUMIFS(Movimientos!$K$1:$K$892,Movimientos!$C$1:$C$892,"3628 Thomas Ave",Movimientos!$B$1:$B$892,"&lt;="&amp;$B58)</f>
        <v>28458.6</v>
      </c>
      <c r="T58" s="24">
        <f>SUMIFS('Saldos Iniciales'!$D:$D,'Saldos Iniciales'!$A:$A,"Green Harbor Trust")+SUMIFS(Movimientos!$K$1:$K$892,Movimientos!$C$1:$C$892,"Green Harbor Trust",Movimientos!$B$1:$B$892,"&lt;="&amp;$B58)</f>
        <v>345</v>
      </c>
      <c r="U58" s="24">
        <f>SUMIFS('Saldos Iniciales'!$D:$D,'Saldos Iniciales'!$A:$A,"Go Blue")+SUMIFS(Movimientos!$K$1:$K$892,Movimientos!$C$1:$C$892,"Go Blue",Movimientos!$B$1:$B$892,"&lt;="&amp;$B58)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Group")+SUMIFS(Movimientos!$K$1:$K$892,Movimientos!$C$1:$C$892,"CFT Group",Movimientos!$B$1:$B$892,"&lt;="&amp;$B59)</f>
        <v>6288055.7100000009</v>
      </c>
      <c r="D59" s="24">
        <f>SUMIFS('Saldos Iniciales'!$D:$D,'Saldos Iniciales'!$A:$A,"M1B")+SUMIFS(Movimientos!$K$1:$K$892,Movimientos!$C$1:$C$892,"M1B",Movimientos!$B$1:$B$892,"&lt;="&amp;$B59)</f>
        <v>72386.190000000177</v>
      </c>
      <c r="E59" s="24">
        <f>SUMIFS('Saldos Iniciales'!$D:$D,'Saldos Iniciales'!$A:$A,"Durand")+SUMIFS(Movimientos!$K$1:$K$892,Movimientos!$C$1:$C$892,"Durand",Movimientos!$B$1:$B$892,"&lt;="&amp;$B59)</f>
        <v>1669.89</v>
      </c>
      <c r="F59" s="24">
        <f>SUMIFS('Saldos Iniciales'!$D:$D,'Saldos Iniciales'!$A:$A,"A&amp;M Imports")+SUMIFS(Movimientos!$K$1:$K$892,Movimientos!$C$1:$C$892,"A&amp;M Imports",Movimientos!$B$1:$B$892,"&lt;="&amp;$B59)</f>
        <v>472766.72999999986</v>
      </c>
      <c r="G59" s="24">
        <f>SUMIFS('Saldos Iniciales'!$D:$D,'Saldos Iniciales'!$A:$A,"SSP Capital")+SUMIFS(Movimientos!$K$1:$K$892,Movimientos!$C$1:$C$892,"SSP Capital",Movimientos!$B$1:$B$892,"&lt;="&amp;$B59)</f>
        <v>1932389.7199999993</v>
      </c>
      <c r="H59" s="24">
        <f>SUMIFS('Saldos Iniciales'!$D:$D,'Saldos Iniciales'!$A:$A,"Cross Family Trust")+SUMIFS(Movimientos!$K$1:$K$892,Movimientos!$C$1:$C$892,"Cross Family Trust",Movimientos!$B$1:$B$892,"&lt;="&amp;$B59)</f>
        <v>1396496.38</v>
      </c>
      <c r="I59" s="24">
        <f>SUMIFS('Saldos Iniciales'!$D:$D,'Saldos Iniciales'!$A:$A,"Cross Security Trust")+SUMIFS(Movimientos!$K$1:$K$892,Movimientos!$C$1:$C$892,"Cross Security Trust",Movimientos!$B$1:$B$892,"&lt;="&amp;$B59)</f>
        <v>88090.37</v>
      </c>
      <c r="J59" s="24">
        <f>SUMIFS('Saldos Iniciales'!$D:$D,'Saldos Iniciales'!$A:$A,"Electrama")+SUMIFS(Movimientos!$K$1:$K$892,Movimientos!$C$1:$C$892,"Electrama",Movimientos!$B$1:$B$892,"&lt;="&amp;$B59)</f>
        <v>511.15999999999985</v>
      </c>
      <c r="K59" s="24">
        <f>SUMIFS('Saldos Iniciales'!$D:$D,'Saldos Iniciales'!$A:$A,"Sacred Valley Capital")+SUMIFS(Movimientos!$K$1:$K$892,Movimientos!$C$1:$C$892,"Sacred Valley Capital",Movimientos!$B$1:$B$892,"&lt;="&amp;$B59)</f>
        <v>84.35</v>
      </c>
      <c r="L59" s="24">
        <f>SUMIFS('Saldos Iniciales'!$D:$D,'Saldos Iniciales'!$A:$A,"YWC Capital")+SUMIFS(Movimientos!$K$1:$K$892,Movimientos!$C$1:$C$892,"YWC Capital",Movimientos!$B$1:$B$892,"&lt;="&amp;$B59)</f>
        <v>2237.77</v>
      </c>
      <c r="M59" s="24">
        <f>SUMIFS('Saldos Iniciales'!$D:$D,'Saldos Iniciales'!$A:$A,"Soweto")+SUMIFS(Movimientos!$K$1:$K$892,Movimientos!$C$1:$C$892,"Soweto",Movimientos!$B$1:$B$892,"&lt;="&amp;$B59)</f>
        <v>3349.94</v>
      </c>
      <c r="N59" s="24">
        <f>SUMIFS('Saldos Iniciales'!$D:$D,'Saldos Iniciales'!$A:$A,"Green Stone Trust")+SUMIFS(Movimientos!$K$1:$K$892,Movimientos!$C$1:$C$892,"Green Stone Trust",Movimientos!$B$1:$B$892,"&lt;="&amp;$B59)</f>
        <v>1968.99</v>
      </c>
      <c r="O59" s="24">
        <f>SUMIFS('Saldos Iniciales'!$D:$D,'Saldos Iniciales'!$A:$A,"EC Auto")+SUMIFS(Movimientos!$K$1:$K$892,Movimientos!$C$1:$C$892,"EC Auto",Movimientos!$B$1:$B$892,"&lt;="&amp;$B59)</f>
        <v>382.69000000000005</v>
      </c>
      <c r="P59" s="24">
        <f>SUMIFS('Saldos Iniciales'!$D:$D,'Saldos Iniciales'!$A:$A,"Arbor Capital Properties")+SUMIFS(Movimientos!$K$1:$K$892,Movimientos!$C$1:$C$892,"Arbor Capital Properties",Movimientos!$B$1:$B$892,"&lt;="&amp;$B59)</f>
        <v>1428.08</v>
      </c>
      <c r="Q59" s="24">
        <f>SUMIFS('Saldos Iniciales'!$D:$D,'Saldos Iniciales'!$A:$A,"2515 Overbrook")+SUMIFS(Movimientos!$K$1:$K$892,Movimientos!$C$1:$C$892,"2515 Overbrook",Movimientos!$B$1:$B$892,"&lt;="&amp;$B59)</f>
        <v>31039.969999999961</v>
      </c>
      <c r="R59" s="24">
        <f>SUMIFS('Saldos Iniciales'!$D:$D,'Saldos Iniciales'!$A:$A,"112 Florida Ave")+SUMIFS(Movimientos!$K$1:$K$892,Movimientos!$C$1:$C$892,"112 Florida Ave",Movimientos!$B$1:$B$892,"&lt;="&amp;$B59)</f>
        <v>20321.43</v>
      </c>
      <c r="S59" s="24">
        <f>SUMIFS('Saldos Iniciales'!$D:$D,'Saldos Iniciales'!$A:$A,"3628 Thomas Ave")+SUMIFS(Movimientos!$K$1:$K$892,Movimientos!$C$1:$C$892,"3628 Thomas Ave",Movimientos!$B$1:$B$892,"&lt;="&amp;$B59)</f>
        <v>28458.6</v>
      </c>
      <c r="T59" s="24">
        <f>SUMIFS('Saldos Iniciales'!$D:$D,'Saldos Iniciales'!$A:$A,"Green Harbor Trust")+SUMIFS(Movimientos!$K$1:$K$892,Movimientos!$C$1:$C$892,"Green Harbor Trust",Movimientos!$B$1:$B$892,"&lt;="&amp;$B59)</f>
        <v>345</v>
      </c>
      <c r="U59" s="24">
        <f>SUMIFS('Saldos Iniciales'!$D:$D,'Saldos Iniciales'!$A:$A,"Go Blue")+SUMIFS(Movimientos!$K$1:$K$892,Movimientos!$C$1:$C$892,"Go Blue",Movimientos!$B$1:$B$892,"&lt;="&amp;$B59)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Group")+SUMIFS(Movimientos!$K$1:$K$892,Movimientos!$C$1:$C$892,"CFT Group",Movimientos!$B$1:$B$892,"&lt;="&amp;$B60)</f>
        <v>6288055.7100000009</v>
      </c>
      <c r="D60" s="24">
        <f>SUMIFS('Saldos Iniciales'!$D:$D,'Saldos Iniciales'!$A:$A,"M1B")+SUMIFS(Movimientos!$K$1:$K$892,Movimientos!$C$1:$C$892,"M1B",Movimientos!$B$1:$B$892,"&lt;="&amp;$B60)</f>
        <v>72386.190000000177</v>
      </c>
      <c r="E60" s="24">
        <f>SUMIFS('Saldos Iniciales'!$D:$D,'Saldos Iniciales'!$A:$A,"Durand")+SUMIFS(Movimientos!$K$1:$K$892,Movimientos!$C$1:$C$892,"Durand",Movimientos!$B$1:$B$892,"&lt;="&amp;$B60)</f>
        <v>1669.89</v>
      </c>
      <c r="F60" s="24">
        <f>SUMIFS('Saldos Iniciales'!$D:$D,'Saldos Iniciales'!$A:$A,"A&amp;M Imports")+SUMIFS(Movimientos!$K$1:$K$892,Movimientos!$C$1:$C$892,"A&amp;M Imports",Movimientos!$B$1:$B$892,"&lt;="&amp;$B60)</f>
        <v>472766.72999999986</v>
      </c>
      <c r="G60" s="24">
        <f>SUMIFS('Saldos Iniciales'!$D:$D,'Saldos Iniciales'!$A:$A,"SSP Capital")+SUMIFS(Movimientos!$K$1:$K$892,Movimientos!$C$1:$C$892,"SSP Capital",Movimientos!$B$1:$B$892,"&lt;="&amp;$B60)</f>
        <v>1932389.7199999993</v>
      </c>
      <c r="H60" s="24">
        <f>SUMIFS('Saldos Iniciales'!$D:$D,'Saldos Iniciales'!$A:$A,"Cross Family Trust")+SUMIFS(Movimientos!$K$1:$K$892,Movimientos!$C$1:$C$892,"Cross Family Trust",Movimientos!$B$1:$B$892,"&lt;="&amp;$B60)</f>
        <v>1396496.38</v>
      </c>
      <c r="I60" s="24">
        <f>SUMIFS('Saldos Iniciales'!$D:$D,'Saldos Iniciales'!$A:$A,"Cross Security Trust")+SUMIFS(Movimientos!$K$1:$K$892,Movimientos!$C$1:$C$892,"Cross Security Trust",Movimientos!$B$1:$B$892,"&lt;="&amp;$B60)</f>
        <v>88090.37</v>
      </c>
      <c r="J60" s="24">
        <f>SUMIFS('Saldos Iniciales'!$D:$D,'Saldos Iniciales'!$A:$A,"Electrama")+SUMIFS(Movimientos!$K$1:$K$892,Movimientos!$C$1:$C$892,"Electrama",Movimientos!$B$1:$B$892,"&lt;="&amp;$B60)</f>
        <v>511.15999999999985</v>
      </c>
      <c r="K60" s="24">
        <f>SUMIFS('Saldos Iniciales'!$D:$D,'Saldos Iniciales'!$A:$A,"Sacred Valley Capital")+SUMIFS(Movimientos!$K$1:$K$892,Movimientos!$C$1:$C$892,"Sacred Valley Capital",Movimientos!$B$1:$B$892,"&lt;="&amp;$B60)</f>
        <v>84.35</v>
      </c>
      <c r="L60" s="24">
        <f>SUMIFS('Saldos Iniciales'!$D:$D,'Saldos Iniciales'!$A:$A,"YWC Capital")+SUMIFS(Movimientos!$K$1:$K$892,Movimientos!$C$1:$C$892,"YWC Capital",Movimientos!$B$1:$B$892,"&lt;="&amp;$B60)</f>
        <v>2237.77</v>
      </c>
      <c r="M60" s="24">
        <f>SUMIFS('Saldos Iniciales'!$D:$D,'Saldos Iniciales'!$A:$A,"Soweto")+SUMIFS(Movimientos!$K$1:$K$892,Movimientos!$C$1:$C$892,"Soweto",Movimientos!$B$1:$B$892,"&lt;="&amp;$B60)</f>
        <v>3349.94</v>
      </c>
      <c r="N60" s="24">
        <f>SUMIFS('Saldos Iniciales'!$D:$D,'Saldos Iniciales'!$A:$A,"Green Stone Trust")+SUMIFS(Movimientos!$K$1:$K$892,Movimientos!$C$1:$C$892,"Green Stone Trust",Movimientos!$B$1:$B$892,"&lt;="&amp;$B60)</f>
        <v>1968.99</v>
      </c>
      <c r="O60" s="24">
        <f>SUMIFS('Saldos Iniciales'!$D:$D,'Saldos Iniciales'!$A:$A,"EC Auto")+SUMIFS(Movimientos!$K$1:$K$892,Movimientos!$C$1:$C$892,"EC Auto",Movimientos!$B$1:$B$892,"&lt;="&amp;$B60)</f>
        <v>382.69000000000005</v>
      </c>
      <c r="P60" s="24">
        <f>SUMIFS('Saldos Iniciales'!$D:$D,'Saldos Iniciales'!$A:$A,"Arbor Capital Properties")+SUMIFS(Movimientos!$K$1:$K$892,Movimientos!$C$1:$C$892,"Arbor Capital Properties",Movimientos!$B$1:$B$892,"&lt;="&amp;$B60)</f>
        <v>1428.08</v>
      </c>
      <c r="Q60" s="24">
        <f>SUMIFS('Saldos Iniciales'!$D:$D,'Saldos Iniciales'!$A:$A,"2515 Overbrook")+SUMIFS(Movimientos!$K$1:$K$892,Movimientos!$C$1:$C$892,"2515 Overbrook",Movimientos!$B$1:$B$892,"&lt;="&amp;$B60)</f>
        <v>31039.969999999961</v>
      </c>
      <c r="R60" s="24">
        <f>SUMIFS('Saldos Iniciales'!$D:$D,'Saldos Iniciales'!$A:$A,"112 Florida Ave")+SUMIFS(Movimientos!$K$1:$K$892,Movimientos!$C$1:$C$892,"112 Florida Ave",Movimientos!$B$1:$B$892,"&lt;="&amp;$B60)</f>
        <v>20321.43</v>
      </c>
      <c r="S60" s="24">
        <f>SUMIFS('Saldos Iniciales'!$D:$D,'Saldos Iniciales'!$A:$A,"3628 Thomas Ave")+SUMIFS(Movimientos!$K$1:$K$892,Movimientos!$C$1:$C$892,"3628 Thomas Ave",Movimientos!$B$1:$B$892,"&lt;="&amp;$B60)</f>
        <v>28458.6</v>
      </c>
      <c r="T60" s="24">
        <f>SUMIFS('Saldos Iniciales'!$D:$D,'Saldos Iniciales'!$A:$A,"Green Harbor Trust")+SUMIFS(Movimientos!$K$1:$K$892,Movimientos!$C$1:$C$892,"Green Harbor Trust",Movimientos!$B$1:$B$892,"&lt;="&amp;$B60)</f>
        <v>345</v>
      </c>
      <c r="U60" s="24">
        <f>SUMIFS('Saldos Iniciales'!$D:$D,'Saldos Iniciales'!$A:$A,"Go Blue")+SUMIFS(Movimientos!$K$1:$K$892,Movimientos!$C$1:$C$892,"Go Blue",Movimientos!$B$1:$B$892,"&lt;="&amp;$B60)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Group")+SUMIFS(Movimientos!$K$1:$K$892,Movimientos!$C$1:$C$892,"CFT Group",Movimientos!$B$1:$B$892,"&lt;="&amp;$B61)</f>
        <v>6299174.8100000015</v>
      </c>
      <c r="D61" s="24">
        <f>SUMIFS('Saldos Iniciales'!$D:$D,'Saldos Iniciales'!$A:$A,"M1B")+SUMIFS(Movimientos!$K$1:$K$892,Movimientos!$C$1:$C$892,"M1B",Movimientos!$B$1:$B$892,"&lt;="&amp;$B61)</f>
        <v>72386.190000000177</v>
      </c>
      <c r="E61" s="24">
        <f>SUMIFS('Saldos Iniciales'!$D:$D,'Saldos Iniciales'!$A:$A,"Durand")+SUMIFS(Movimientos!$K$1:$K$892,Movimientos!$C$1:$C$892,"Durand",Movimientos!$B$1:$B$892,"&lt;="&amp;$B61)</f>
        <v>1669.89</v>
      </c>
      <c r="F61" s="24">
        <f>SUMIFS('Saldos Iniciales'!$D:$D,'Saldos Iniciales'!$A:$A,"A&amp;M Imports")+SUMIFS(Movimientos!$K$1:$K$892,Movimientos!$C$1:$C$892,"A&amp;M Imports",Movimientos!$B$1:$B$892,"&lt;="&amp;$B61)</f>
        <v>489745.62999999989</v>
      </c>
      <c r="G61" s="24">
        <f>SUMIFS('Saldos Iniciales'!$D:$D,'Saldos Iniciales'!$A:$A,"SSP Capital")+SUMIFS(Movimientos!$K$1:$K$892,Movimientos!$C$1:$C$892,"SSP Capital",Movimientos!$B$1:$B$892,"&lt;="&amp;$B61)</f>
        <v>1768167.9199999995</v>
      </c>
      <c r="H61" s="24">
        <f>SUMIFS('Saldos Iniciales'!$D:$D,'Saldos Iniciales'!$A:$A,"Cross Family Trust")+SUMIFS(Movimientos!$K$1:$K$892,Movimientos!$C$1:$C$892,"Cross Family Trust",Movimientos!$B$1:$B$892,"&lt;="&amp;$B61)</f>
        <v>396496.38</v>
      </c>
      <c r="I61" s="24">
        <f>SUMIFS('Saldos Iniciales'!$D:$D,'Saldos Iniciales'!$A:$A,"Cross Security Trust")+SUMIFS(Movimientos!$K$1:$K$892,Movimientos!$C$1:$C$892,"Cross Security Trust",Movimientos!$B$1:$B$892,"&lt;="&amp;$B61)</f>
        <v>88090.37</v>
      </c>
      <c r="J61" s="24">
        <f>SUMIFS('Saldos Iniciales'!$D:$D,'Saldos Iniciales'!$A:$A,"Electrama")+SUMIFS(Movimientos!$K$1:$K$892,Movimientos!$C$1:$C$892,"Electrama",Movimientos!$B$1:$B$892,"&lt;="&amp;$B61)</f>
        <v>511.15999999999985</v>
      </c>
      <c r="K61" s="24">
        <f>SUMIFS('Saldos Iniciales'!$D:$D,'Saldos Iniciales'!$A:$A,"Sacred Valley Capital")+SUMIFS(Movimientos!$K$1:$K$892,Movimientos!$C$1:$C$892,"Sacred Valley Capital",Movimientos!$B$1:$B$892,"&lt;="&amp;$B61)</f>
        <v>84.35</v>
      </c>
      <c r="L61" s="24">
        <f>SUMIFS('Saldos Iniciales'!$D:$D,'Saldos Iniciales'!$A:$A,"YWC Capital")+SUMIFS(Movimientos!$K$1:$K$892,Movimientos!$C$1:$C$892,"YWC Capital",Movimientos!$B$1:$B$892,"&lt;="&amp;$B61)</f>
        <v>2237.77</v>
      </c>
      <c r="M61" s="24">
        <f>SUMIFS('Saldos Iniciales'!$D:$D,'Saldos Iniciales'!$A:$A,"Soweto")+SUMIFS(Movimientos!$K$1:$K$892,Movimientos!$C$1:$C$892,"Soweto",Movimientos!$B$1:$B$892,"&lt;="&amp;$B61)</f>
        <v>3349.94</v>
      </c>
      <c r="N61" s="24">
        <f>SUMIFS('Saldos Iniciales'!$D:$D,'Saldos Iniciales'!$A:$A,"Green Stone Trust")+SUMIFS(Movimientos!$K$1:$K$892,Movimientos!$C$1:$C$892,"Green Stone Trust",Movimientos!$B$1:$B$892,"&lt;="&amp;$B61)</f>
        <v>1968.99</v>
      </c>
      <c r="O61" s="24">
        <f>SUMIFS('Saldos Iniciales'!$D:$D,'Saldos Iniciales'!$A:$A,"EC Auto")+SUMIFS(Movimientos!$K$1:$K$892,Movimientos!$C$1:$C$892,"EC Auto",Movimientos!$B$1:$B$892,"&lt;="&amp;$B61)</f>
        <v>382.69000000000005</v>
      </c>
      <c r="P61" s="24">
        <f>SUMIFS('Saldos Iniciales'!$D:$D,'Saldos Iniciales'!$A:$A,"Arbor Capital Properties")+SUMIFS(Movimientos!$K$1:$K$892,Movimientos!$C$1:$C$892,"Arbor Capital Properties",Movimientos!$B$1:$B$892,"&lt;="&amp;$B61)</f>
        <v>1428.08</v>
      </c>
      <c r="Q61" s="24">
        <f>SUMIFS('Saldos Iniciales'!$D:$D,'Saldos Iniciales'!$A:$A,"2515 Overbrook")+SUMIFS(Movimientos!$K$1:$K$892,Movimientos!$C$1:$C$892,"2515 Overbrook",Movimientos!$B$1:$B$892,"&lt;="&amp;$B61)</f>
        <v>31039.969999999961</v>
      </c>
      <c r="R61" s="24">
        <f>SUMIFS('Saldos Iniciales'!$D:$D,'Saldos Iniciales'!$A:$A,"112 Florida Ave")+SUMIFS(Movimientos!$K$1:$K$892,Movimientos!$C$1:$C$892,"112 Florida Ave",Movimientos!$B$1:$B$892,"&lt;="&amp;$B61)</f>
        <v>20321.43</v>
      </c>
      <c r="S61" s="24">
        <f>SUMIFS('Saldos Iniciales'!$D:$D,'Saldos Iniciales'!$A:$A,"3628 Thomas Ave")+SUMIFS(Movimientos!$K$1:$K$892,Movimientos!$C$1:$C$892,"3628 Thomas Ave",Movimientos!$B$1:$B$892,"&lt;="&amp;$B61)</f>
        <v>28458.6</v>
      </c>
      <c r="T61" s="24">
        <f>SUMIFS('Saldos Iniciales'!$D:$D,'Saldos Iniciales'!$A:$A,"Green Harbor Trust")+SUMIFS(Movimientos!$K$1:$K$892,Movimientos!$C$1:$C$892,"Green Harbor Trust",Movimientos!$B$1:$B$892,"&lt;="&amp;$B61)</f>
        <v>345</v>
      </c>
      <c r="U61" s="24">
        <f>SUMIFS('Saldos Iniciales'!$D:$D,'Saldos Iniciales'!$A:$A,"Go Blue")+SUMIFS(Movimientos!$K$1:$K$892,Movimientos!$C$1:$C$892,"Go Blue",Movimientos!$B$1:$B$892,"&lt;="&amp;$B61)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Group")+SUMIFS(Movimientos!$K$1:$K$892,Movimientos!$C$1:$C$892,"CFT Group",Movimientos!$B$1:$B$892,"&lt;="&amp;$B62)</f>
        <v>6295585.7500000009</v>
      </c>
      <c r="D62" s="24">
        <f>SUMIFS('Saldos Iniciales'!$D:$D,'Saldos Iniciales'!$A:$A,"M1B")+SUMIFS(Movimientos!$K$1:$K$892,Movimientos!$C$1:$C$892,"M1B",Movimientos!$B$1:$B$892,"&lt;="&amp;$B62)</f>
        <v>79139.680000000168</v>
      </c>
      <c r="E62" s="24">
        <f>SUMIFS('Saldos Iniciales'!$D:$D,'Saldos Iniciales'!$A:$A,"Durand")+SUMIFS(Movimientos!$K$1:$K$892,Movimientos!$C$1:$C$892,"Durand",Movimientos!$B$1:$B$892,"&lt;="&amp;$B62)</f>
        <v>1669.89</v>
      </c>
      <c r="F62" s="24">
        <f>SUMIFS('Saldos Iniciales'!$D:$D,'Saldos Iniciales'!$A:$A,"A&amp;M Imports")+SUMIFS(Movimientos!$K$1:$K$892,Movimientos!$C$1:$C$892,"A&amp;M Imports",Movimientos!$B$1:$B$892,"&lt;="&amp;$B62)</f>
        <v>489745.62999999989</v>
      </c>
      <c r="G62" s="24">
        <f>SUMIFS('Saldos Iniciales'!$D:$D,'Saldos Iniciales'!$A:$A,"SSP Capital")+SUMIFS(Movimientos!$K$1:$K$892,Movimientos!$C$1:$C$892,"SSP Capital",Movimientos!$B$1:$B$892,"&lt;="&amp;$B62)</f>
        <v>1696284.7299999995</v>
      </c>
      <c r="H62" s="24">
        <f>SUMIFS('Saldos Iniciales'!$D:$D,'Saldos Iniciales'!$A:$A,"Cross Family Trust")+SUMIFS(Movimientos!$K$1:$K$892,Movimientos!$C$1:$C$892,"Cross Family Trust",Movimientos!$B$1:$B$892,"&lt;="&amp;$B62)</f>
        <v>390496.38</v>
      </c>
      <c r="I62" s="24">
        <f>SUMIFS('Saldos Iniciales'!$D:$D,'Saldos Iniciales'!$A:$A,"Cross Security Trust")+SUMIFS(Movimientos!$K$1:$K$892,Movimientos!$C$1:$C$892,"Cross Security Trust",Movimientos!$B$1:$B$892,"&lt;="&amp;$B62)</f>
        <v>88090.37</v>
      </c>
      <c r="J62" s="24">
        <f>SUMIFS('Saldos Iniciales'!$D:$D,'Saldos Iniciales'!$A:$A,"Electrama")+SUMIFS(Movimientos!$K$1:$K$892,Movimientos!$C$1:$C$892,"Electrama",Movimientos!$B$1:$B$892,"&lt;="&amp;$B62)</f>
        <v>511.15999999999985</v>
      </c>
      <c r="K62" s="24">
        <f>SUMIFS('Saldos Iniciales'!$D:$D,'Saldos Iniciales'!$A:$A,"Sacred Valley Capital")+SUMIFS(Movimientos!$K$1:$K$892,Movimientos!$C$1:$C$892,"Sacred Valley Capital",Movimientos!$B$1:$B$892,"&lt;="&amp;$B62)</f>
        <v>84.35</v>
      </c>
      <c r="L62" s="24">
        <f>SUMIFS('Saldos Iniciales'!$D:$D,'Saldos Iniciales'!$A:$A,"YWC Capital")+SUMIFS(Movimientos!$K$1:$K$892,Movimientos!$C$1:$C$892,"YWC Capital",Movimientos!$B$1:$B$892,"&lt;="&amp;$B62)</f>
        <v>2237.77</v>
      </c>
      <c r="M62" s="24">
        <f>SUMIFS('Saldos Iniciales'!$D:$D,'Saldos Iniciales'!$A:$A,"Soweto")+SUMIFS(Movimientos!$K$1:$K$892,Movimientos!$C$1:$C$892,"Soweto",Movimientos!$B$1:$B$892,"&lt;="&amp;$B62)</f>
        <v>3349.94</v>
      </c>
      <c r="N62" s="24">
        <f>SUMIFS('Saldos Iniciales'!$D:$D,'Saldos Iniciales'!$A:$A,"Green Stone Trust")+SUMIFS(Movimientos!$K$1:$K$892,Movimientos!$C$1:$C$892,"Green Stone Trust",Movimientos!$B$1:$B$892,"&lt;="&amp;$B62)</f>
        <v>1968.99</v>
      </c>
      <c r="O62" s="24">
        <f>SUMIFS('Saldos Iniciales'!$D:$D,'Saldos Iniciales'!$A:$A,"EC Auto")+SUMIFS(Movimientos!$K$1:$K$892,Movimientos!$C$1:$C$892,"EC Auto",Movimientos!$B$1:$B$892,"&lt;="&amp;$B62)</f>
        <v>382.69000000000005</v>
      </c>
      <c r="P62" s="24">
        <f>SUMIFS('Saldos Iniciales'!$D:$D,'Saldos Iniciales'!$A:$A,"Arbor Capital Properties")+SUMIFS(Movimientos!$K$1:$K$892,Movimientos!$C$1:$C$892,"Arbor Capital Properties",Movimientos!$B$1:$B$892,"&lt;="&amp;$B62)</f>
        <v>1428.08</v>
      </c>
      <c r="Q62" s="24">
        <f>SUMIFS('Saldos Iniciales'!$D:$D,'Saldos Iniciales'!$A:$A,"2515 Overbrook")+SUMIFS(Movimientos!$K$1:$K$892,Movimientos!$C$1:$C$892,"2515 Overbrook",Movimientos!$B$1:$B$892,"&lt;="&amp;$B62)</f>
        <v>31039.969999999961</v>
      </c>
      <c r="R62" s="24">
        <f>SUMIFS('Saldos Iniciales'!$D:$D,'Saldos Iniciales'!$A:$A,"112 Florida Ave")+SUMIFS(Movimientos!$K$1:$K$892,Movimientos!$C$1:$C$892,"112 Florida Ave",Movimientos!$B$1:$B$892,"&lt;="&amp;$B62)</f>
        <v>20321.43</v>
      </c>
      <c r="S62" s="24">
        <f>SUMIFS('Saldos Iniciales'!$D:$D,'Saldos Iniciales'!$A:$A,"3628 Thomas Ave")+SUMIFS(Movimientos!$K$1:$K$892,Movimientos!$C$1:$C$892,"3628 Thomas Ave",Movimientos!$B$1:$B$892,"&lt;="&amp;$B62)</f>
        <v>28458.6</v>
      </c>
      <c r="T62" s="24">
        <f>SUMIFS('Saldos Iniciales'!$D:$D,'Saldos Iniciales'!$A:$A,"Green Harbor Trust")+SUMIFS(Movimientos!$K$1:$K$892,Movimientos!$C$1:$C$892,"Green Harbor Trust",Movimientos!$B$1:$B$892,"&lt;="&amp;$B62)</f>
        <v>345</v>
      </c>
      <c r="U62" s="24">
        <f>SUMIFS('Saldos Iniciales'!$D:$D,'Saldos Iniciales'!$A:$A,"Go Blue")+SUMIFS(Movimientos!$K$1:$K$892,Movimientos!$C$1:$C$892,"Go Blue",Movimientos!$B$1:$B$892,"&lt;="&amp;$B62)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Group")+SUMIFS(Movimientos!$K$1:$K$892,Movimientos!$C$1:$C$892,"CFT Group",Movimientos!$B$1:$B$892,"&lt;="&amp;$B63)</f>
        <v>6295585.7500000009</v>
      </c>
      <c r="D63" s="24">
        <f>SUMIFS('Saldos Iniciales'!$D:$D,'Saldos Iniciales'!$A:$A,"M1B")+SUMIFS(Movimientos!$K$1:$K$892,Movimientos!$C$1:$C$892,"M1B",Movimientos!$B$1:$B$892,"&lt;="&amp;$B63)</f>
        <v>79139.680000000168</v>
      </c>
      <c r="E63" s="24">
        <f>SUMIFS('Saldos Iniciales'!$D:$D,'Saldos Iniciales'!$A:$A,"Durand")+SUMIFS(Movimientos!$K$1:$K$892,Movimientos!$C$1:$C$892,"Durand",Movimientos!$B$1:$B$892,"&lt;="&amp;$B63)</f>
        <v>1669.89</v>
      </c>
      <c r="F63" s="24">
        <f>SUMIFS('Saldos Iniciales'!$D:$D,'Saldos Iniciales'!$A:$A,"A&amp;M Imports")+SUMIFS(Movimientos!$K$1:$K$892,Movimientos!$C$1:$C$892,"A&amp;M Imports",Movimientos!$B$1:$B$892,"&lt;="&amp;$B63)</f>
        <v>507936.37999999989</v>
      </c>
      <c r="G63" s="24">
        <f>SUMIFS('Saldos Iniciales'!$D:$D,'Saldos Iniciales'!$A:$A,"SSP Capital")+SUMIFS(Movimientos!$K$1:$K$892,Movimientos!$C$1:$C$892,"SSP Capital",Movimientos!$B$1:$B$892,"&lt;="&amp;$B63)</f>
        <v>1696284.7299999995</v>
      </c>
      <c r="H63" s="24">
        <f>SUMIFS('Saldos Iniciales'!$D:$D,'Saldos Iniciales'!$A:$A,"Cross Family Trust")+SUMIFS(Movimientos!$K$1:$K$892,Movimientos!$C$1:$C$892,"Cross Family Trust",Movimientos!$B$1:$B$892,"&lt;="&amp;$B63)</f>
        <v>390496.38</v>
      </c>
      <c r="I63" s="24">
        <f>SUMIFS('Saldos Iniciales'!$D:$D,'Saldos Iniciales'!$A:$A,"Cross Security Trust")+SUMIFS(Movimientos!$K$1:$K$892,Movimientos!$C$1:$C$892,"Cross Security Trust",Movimientos!$B$1:$B$892,"&lt;="&amp;$B63)</f>
        <v>88090.37</v>
      </c>
      <c r="J63" s="24">
        <f>SUMIFS('Saldos Iniciales'!$D:$D,'Saldos Iniciales'!$A:$A,"Electrama")+SUMIFS(Movimientos!$K$1:$K$892,Movimientos!$C$1:$C$892,"Electrama",Movimientos!$B$1:$B$892,"&lt;="&amp;$B63)</f>
        <v>511.15999999999985</v>
      </c>
      <c r="K63" s="24">
        <f>SUMIFS('Saldos Iniciales'!$D:$D,'Saldos Iniciales'!$A:$A,"Sacred Valley Capital")+SUMIFS(Movimientos!$K$1:$K$892,Movimientos!$C$1:$C$892,"Sacred Valley Capital",Movimientos!$B$1:$B$892,"&lt;="&amp;$B63)</f>
        <v>54.400000000000006</v>
      </c>
      <c r="L63" s="24">
        <f>SUMIFS('Saldos Iniciales'!$D:$D,'Saldos Iniciales'!$A:$A,"YWC Capital")+SUMIFS(Movimientos!$K$1:$K$892,Movimientos!$C$1:$C$892,"YWC Capital",Movimientos!$B$1:$B$892,"&lt;="&amp;$B63)</f>
        <v>2207.8200000000002</v>
      </c>
      <c r="M63" s="24">
        <f>SUMIFS('Saldos Iniciales'!$D:$D,'Saldos Iniciales'!$A:$A,"Soweto")+SUMIFS(Movimientos!$K$1:$K$892,Movimientos!$C$1:$C$892,"Soweto",Movimientos!$B$1:$B$892,"&lt;="&amp;$B63)</f>
        <v>3349.94</v>
      </c>
      <c r="N63" s="24">
        <f>SUMIFS('Saldos Iniciales'!$D:$D,'Saldos Iniciales'!$A:$A,"Green Stone Trust")+SUMIFS(Movimientos!$K$1:$K$892,Movimientos!$C$1:$C$892,"Green Stone Trust",Movimientos!$B$1:$B$892,"&lt;="&amp;$B63)</f>
        <v>1968.99</v>
      </c>
      <c r="O63" s="24">
        <f>SUMIFS('Saldos Iniciales'!$D:$D,'Saldos Iniciales'!$A:$A,"EC Auto")+SUMIFS(Movimientos!$K$1:$K$892,Movimientos!$C$1:$C$892,"EC Auto",Movimientos!$B$1:$B$892,"&lt;="&amp;$B63)</f>
        <v>382.69000000000005</v>
      </c>
      <c r="P63" s="24">
        <f>SUMIFS('Saldos Iniciales'!$D:$D,'Saldos Iniciales'!$A:$A,"Arbor Capital Properties")+SUMIFS(Movimientos!$K$1:$K$892,Movimientos!$C$1:$C$892,"Arbor Capital Properties",Movimientos!$B$1:$B$892,"&lt;="&amp;$B63)</f>
        <v>1412.08</v>
      </c>
      <c r="Q63" s="24">
        <f>SUMIFS('Saldos Iniciales'!$D:$D,'Saldos Iniciales'!$A:$A,"2515 Overbrook")+SUMIFS(Movimientos!$K$1:$K$892,Movimientos!$C$1:$C$892,"2515 Overbrook",Movimientos!$B$1:$B$892,"&lt;="&amp;$B63)</f>
        <v>22496.639999999959</v>
      </c>
      <c r="R63" s="24">
        <f>SUMIFS('Saldos Iniciales'!$D:$D,'Saldos Iniciales'!$A:$A,"112 Florida Ave")+SUMIFS(Movimientos!$K$1:$K$892,Movimientos!$C$1:$C$892,"112 Florida Ave",Movimientos!$B$1:$B$892,"&lt;="&amp;$B63)</f>
        <v>10522.800000000003</v>
      </c>
      <c r="S63" s="24">
        <f>SUMIFS('Saldos Iniciales'!$D:$D,'Saldos Iniciales'!$A:$A,"3628 Thomas Ave")+SUMIFS(Movimientos!$K$1:$K$892,Movimientos!$C$1:$C$892,"3628 Thomas Ave",Movimientos!$B$1:$B$892,"&lt;="&amp;$B63)</f>
        <v>19685.559999999998</v>
      </c>
      <c r="T63" s="24">
        <f>SUMIFS('Saldos Iniciales'!$D:$D,'Saldos Iniciales'!$A:$A,"Green Harbor Trust")+SUMIFS(Movimientos!$K$1:$K$892,Movimientos!$C$1:$C$892,"Green Harbor Trust",Movimientos!$B$1:$B$892,"&lt;="&amp;$B63)</f>
        <v>345</v>
      </c>
      <c r="U63" s="24">
        <f>SUMIFS('Saldos Iniciales'!$D:$D,'Saldos Iniciales'!$A:$A,"Go Blue")+SUMIFS(Movimientos!$K$1:$K$892,Movimientos!$C$1:$C$892,"Go Blue",Movimientos!$B$1:$B$892,"&lt;="&amp;$B63)</f>
        <v>23439.279999999999</v>
      </c>
      <c r="V63" s="25">
        <f t="shared" ref="V63:V67" si="14">SUM(C63:U63)</f>
        <v>9145579.540000001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Group")+SUMIFS(Movimientos!$K$1:$K$892,Movimientos!$C$1:$C$892,"CFT Group",Movimientos!$B$1:$B$892,"&lt;="&amp;$B64)</f>
        <v>5592585.7500000009</v>
      </c>
      <c r="D64" s="24">
        <f>SUMIFS('Saldos Iniciales'!$D:$D,'Saldos Iniciales'!$A:$A,"M1B")+SUMIFS(Movimientos!$K$1:$K$892,Movimientos!$C$1:$C$892,"M1B",Movimientos!$B$1:$B$892,"&lt;="&amp;$B64)</f>
        <v>79139.680000000168</v>
      </c>
      <c r="E64" s="24">
        <f>SUMIFS('Saldos Iniciales'!$D:$D,'Saldos Iniciales'!$A:$A,"Durand")+SUMIFS(Movimientos!$K$1:$K$892,Movimientos!$C$1:$C$892,"Durand",Movimientos!$B$1:$B$892,"&lt;="&amp;$B64)</f>
        <v>1669.89</v>
      </c>
      <c r="F64" s="24">
        <f>SUMIFS('Saldos Iniciales'!$D:$D,'Saldos Iniciales'!$A:$A,"A&amp;M Imports")+SUMIFS(Movimientos!$K$1:$K$892,Movimientos!$C$1:$C$892,"A&amp;M Imports",Movimientos!$B$1:$B$892,"&lt;="&amp;$B64)</f>
        <v>350475.62999999989</v>
      </c>
      <c r="G64" s="24">
        <f>SUMIFS('Saldos Iniciales'!$D:$D,'Saldos Iniciales'!$A:$A,"SSP Capital")+SUMIFS(Movimientos!$K$1:$K$892,Movimientos!$C$1:$C$892,"SSP Capital",Movimientos!$B$1:$B$892,"&lt;="&amp;$B64)</f>
        <v>1761564.8799999994</v>
      </c>
      <c r="H64" s="24">
        <f>SUMIFS('Saldos Iniciales'!$D:$D,'Saldos Iniciales'!$A:$A,"Cross Family Trust")+SUMIFS(Movimientos!$K$1:$K$892,Movimientos!$C$1:$C$892,"Cross Family Trust",Movimientos!$B$1:$B$892,"&lt;="&amp;$B64)</f>
        <v>220496.38</v>
      </c>
      <c r="I64" s="24">
        <f>SUMIFS('Saldos Iniciales'!$D:$D,'Saldos Iniciales'!$A:$A,"Cross Security Trust")+SUMIFS(Movimientos!$K$1:$K$892,Movimientos!$C$1:$C$892,"Cross Security Trust",Movimientos!$B$1:$B$892,"&lt;="&amp;$B64)</f>
        <v>88090.37</v>
      </c>
      <c r="J64" s="24">
        <f>SUMIFS('Saldos Iniciales'!$D:$D,'Saldos Iniciales'!$A:$A,"Electrama")+SUMIFS(Movimientos!$K$1:$K$892,Movimientos!$C$1:$C$892,"Electrama",Movimientos!$B$1:$B$892,"&lt;="&amp;$B64)</f>
        <v>511.15999999999985</v>
      </c>
      <c r="K64" s="24">
        <f>SUMIFS('Saldos Iniciales'!$D:$D,'Saldos Iniciales'!$A:$A,"Sacred Valley Capital")+SUMIFS(Movimientos!$K$1:$K$892,Movimientos!$C$1:$C$892,"Sacred Valley Capital",Movimientos!$B$1:$B$892,"&lt;="&amp;$B64)</f>
        <v>54.400000000000006</v>
      </c>
      <c r="L64" s="24">
        <f>SUMIFS('Saldos Iniciales'!$D:$D,'Saldos Iniciales'!$A:$A,"YWC Capital")+SUMIFS(Movimientos!$K$1:$K$892,Movimientos!$C$1:$C$892,"YWC Capital",Movimientos!$B$1:$B$892,"&lt;="&amp;$B64)</f>
        <v>2207.8200000000002</v>
      </c>
      <c r="M64" s="24">
        <f>SUMIFS('Saldos Iniciales'!$D:$D,'Saldos Iniciales'!$A:$A,"Soweto")+SUMIFS(Movimientos!$K$1:$K$892,Movimientos!$C$1:$C$892,"Soweto",Movimientos!$B$1:$B$892,"&lt;="&amp;$B64)</f>
        <v>3349.94</v>
      </c>
      <c r="N64" s="24">
        <f>SUMIFS('Saldos Iniciales'!$D:$D,'Saldos Iniciales'!$A:$A,"Green Stone Trust")+SUMIFS(Movimientos!$K$1:$K$892,Movimientos!$C$1:$C$892,"Green Stone Trust",Movimientos!$B$1:$B$892,"&lt;="&amp;$B64)</f>
        <v>1968.99</v>
      </c>
      <c r="O64" s="24">
        <f>SUMIFS('Saldos Iniciales'!$D:$D,'Saldos Iniciales'!$A:$A,"EC Auto")+SUMIFS(Movimientos!$K$1:$K$892,Movimientos!$C$1:$C$892,"EC Auto",Movimientos!$B$1:$B$892,"&lt;="&amp;$B64)</f>
        <v>382.69000000000005</v>
      </c>
      <c r="P64" s="24">
        <f>SUMIFS('Saldos Iniciales'!$D:$D,'Saldos Iniciales'!$A:$A,"Arbor Capital Properties")+SUMIFS(Movimientos!$K$1:$K$892,Movimientos!$C$1:$C$892,"Arbor Capital Properties",Movimientos!$B$1:$B$892,"&lt;="&amp;$B64)</f>
        <v>1412.08</v>
      </c>
      <c r="Q64" s="24">
        <f>SUMIFS('Saldos Iniciales'!$D:$D,'Saldos Iniciales'!$A:$A,"2515 Overbrook")+SUMIFS(Movimientos!$K$1:$K$892,Movimientos!$C$1:$C$892,"2515 Overbrook",Movimientos!$B$1:$B$892,"&lt;="&amp;$B64)</f>
        <v>22496.639999999959</v>
      </c>
      <c r="R64" s="24">
        <f>SUMIFS('Saldos Iniciales'!$D:$D,'Saldos Iniciales'!$A:$A,"112 Florida Ave")+SUMIFS(Movimientos!$K$1:$K$892,Movimientos!$C$1:$C$892,"112 Florida Ave",Movimientos!$B$1:$B$892,"&lt;="&amp;$B64)</f>
        <v>10522.800000000003</v>
      </c>
      <c r="S64" s="24">
        <f>SUMIFS('Saldos Iniciales'!$D:$D,'Saldos Iniciales'!$A:$A,"3628 Thomas Ave")+SUMIFS(Movimientos!$K$1:$K$892,Movimientos!$C$1:$C$892,"3628 Thomas Ave",Movimientos!$B$1:$B$892,"&lt;="&amp;$B64)</f>
        <v>28485.559999999998</v>
      </c>
      <c r="T64" s="24">
        <f>SUMIFS('Saldos Iniciales'!$D:$D,'Saldos Iniciales'!$A:$A,"Green Harbor Trust")+SUMIFS(Movimientos!$K$1:$K$892,Movimientos!$C$1:$C$892,"Green Harbor Trust",Movimientos!$B$1:$B$892,"&lt;="&amp;$B64)</f>
        <v>345</v>
      </c>
      <c r="U64" s="24">
        <f>SUMIFS('Saldos Iniciales'!$D:$D,'Saldos Iniciales'!$A:$A,"Go Blue")+SUMIFS(Movimientos!$K$1:$K$892,Movimientos!$C$1:$C$892,"Go Blue",Movimientos!$B$1:$B$892,"&lt;="&amp;$B64)</f>
        <v>36241.22</v>
      </c>
      <c r="V64" s="25">
        <f t="shared" si="14"/>
        <v>8202000.8800000008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Group")+SUMIFS(Movimientos!$K$1:$K$892,Movimientos!$C$1:$C$892,"CFT Group",Movimientos!$B$1:$B$892,"&lt;="&amp;$B65)</f>
        <v>5592585.7500000009</v>
      </c>
      <c r="D65" s="24">
        <f>SUMIFS('Saldos Iniciales'!$D:$D,'Saldos Iniciales'!$A:$A,"M1B")+SUMIFS(Movimientos!$K$1:$K$892,Movimientos!$C$1:$C$892,"M1B",Movimientos!$B$1:$B$892,"&lt;="&amp;$B65)</f>
        <v>79139.680000000168</v>
      </c>
      <c r="E65" s="24">
        <f>SUMIFS('Saldos Iniciales'!$D:$D,'Saldos Iniciales'!$A:$A,"Durand")+SUMIFS(Movimientos!$K$1:$K$892,Movimientos!$C$1:$C$892,"Durand",Movimientos!$B$1:$B$892,"&lt;="&amp;$B65)</f>
        <v>1669.89</v>
      </c>
      <c r="F65" s="24">
        <f>SUMIFS('Saldos Iniciales'!$D:$D,'Saldos Iniciales'!$A:$A,"A&amp;M Imports")+SUMIFS(Movimientos!$K$1:$K$892,Movimientos!$C$1:$C$892,"A&amp;M Imports",Movimientos!$B$1:$B$892,"&lt;="&amp;$B65)</f>
        <v>350475.62999999989</v>
      </c>
      <c r="G65" s="24">
        <f>SUMIFS('Saldos Iniciales'!$D:$D,'Saldos Iniciales'!$A:$A,"SSP Capital")+SUMIFS(Movimientos!$K$1:$K$892,Movimientos!$C$1:$C$892,"SSP Capital",Movimientos!$B$1:$B$892,"&lt;="&amp;$B65)</f>
        <v>1761564.8799999994</v>
      </c>
      <c r="H65" s="24">
        <f>SUMIFS('Saldos Iniciales'!$D:$D,'Saldos Iniciales'!$A:$A,"Cross Family Trust")+SUMIFS(Movimientos!$K$1:$K$892,Movimientos!$C$1:$C$892,"Cross Family Trust",Movimientos!$B$1:$B$892,"&lt;="&amp;$B65)</f>
        <v>220496.38</v>
      </c>
      <c r="I65" s="24">
        <f>SUMIFS('Saldos Iniciales'!$D:$D,'Saldos Iniciales'!$A:$A,"Cross Security Trust")+SUMIFS(Movimientos!$K$1:$K$892,Movimientos!$C$1:$C$892,"Cross Security Trust",Movimientos!$B$1:$B$892,"&lt;="&amp;$B65)</f>
        <v>88090.37</v>
      </c>
      <c r="J65" s="24">
        <f>SUMIFS('Saldos Iniciales'!$D:$D,'Saldos Iniciales'!$A:$A,"Electrama")+SUMIFS(Movimientos!$K$1:$K$892,Movimientos!$C$1:$C$892,"Electrama",Movimientos!$B$1:$B$892,"&lt;="&amp;$B65)</f>
        <v>471.15999999999985</v>
      </c>
      <c r="K65" s="24">
        <f>SUMIFS('Saldos Iniciales'!$D:$D,'Saldos Iniciales'!$A:$A,"Sacred Valley Capital")+SUMIFS(Movimientos!$K$1:$K$892,Movimientos!$C$1:$C$892,"Sacred Valley Capital",Movimientos!$B$1:$B$892,"&lt;="&amp;$B65)</f>
        <v>54.400000000000006</v>
      </c>
      <c r="L65" s="24">
        <f>SUMIFS('Saldos Iniciales'!$D:$D,'Saldos Iniciales'!$A:$A,"YWC Capital")+SUMIFS(Movimientos!$K$1:$K$892,Movimientos!$C$1:$C$892,"YWC Capital",Movimientos!$B$1:$B$892,"&lt;="&amp;$B65)</f>
        <v>2207.8200000000002</v>
      </c>
      <c r="M65" s="24">
        <f>SUMIFS('Saldos Iniciales'!$D:$D,'Saldos Iniciales'!$A:$A,"Soweto")+SUMIFS(Movimientos!$K$1:$K$892,Movimientos!$C$1:$C$892,"Soweto",Movimientos!$B$1:$B$892,"&lt;="&amp;$B65)</f>
        <v>3349.94</v>
      </c>
      <c r="N65" s="24">
        <f>SUMIFS('Saldos Iniciales'!$D:$D,'Saldos Iniciales'!$A:$A,"Green Stone Trust")+SUMIFS(Movimientos!$K$1:$K$892,Movimientos!$C$1:$C$892,"Green Stone Trust",Movimientos!$B$1:$B$892,"&lt;="&amp;$B65)</f>
        <v>1968.99</v>
      </c>
      <c r="O65" s="24">
        <f>SUMIFS('Saldos Iniciales'!$D:$D,'Saldos Iniciales'!$A:$A,"EC Auto")+SUMIFS(Movimientos!$K$1:$K$892,Movimientos!$C$1:$C$892,"EC Auto",Movimientos!$B$1:$B$892,"&lt;="&amp;$B65)</f>
        <v>382.69000000000005</v>
      </c>
      <c r="P65" s="24">
        <f>SUMIFS('Saldos Iniciales'!$D:$D,'Saldos Iniciales'!$A:$A,"Arbor Capital Properties")+SUMIFS(Movimientos!$K$1:$K$892,Movimientos!$C$1:$C$892,"Arbor Capital Properties",Movimientos!$B$1:$B$892,"&lt;="&amp;$B65)</f>
        <v>1412.08</v>
      </c>
      <c r="Q65" s="24">
        <f>SUMIFS('Saldos Iniciales'!$D:$D,'Saldos Iniciales'!$A:$A,"2515 Overbrook")+SUMIFS(Movimientos!$K$1:$K$892,Movimientos!$C$1:$C$892,"2515 Overbrook",Movimientos!$B$1:$B$892,"&lt;="&amp;$B65)</f>
        <v>22496.639999999959</v>
      </c>
      <c r="R65" s="24">
        <f>SUMIFS('Saldos Iniciales'!$D:$D,'Saldos Iniciales'!$A:$A,"112 Florida Ave")+SUMIFS(Movimientos!$K$1:$K$892,Movimientos!$C$1:$C$892,"112 Florida Ave",Movimientos!$B$1:$B$892,"&lt;="&amp;$B65)</f>
        <v>10522.800000000003</v>
      </c>
      <c r="S65" s="24">
        <f>SUMIFS('Saldos Iniciales'!$D:$D,'Saldos Iniciales'!$A:$A,"3628 Thomas Ave")+SUMIFS(Movimientos!$K$1:$K$892,Movimientos!$C$1:$C$892,"3628 Thomas Ave",Movimientos!$B$1:$B$892,"&lt;="&amp;$B65)</f>
        <v>28485.559999999998</v>
      </c>
      <c r="T65" s="24">
        <f>SUMIFS('Saldos Iniciales'!$D:$D,'Saldos Iniciales'!$A:$A,"Green Harbor Trust")+SUMIFS(Movimientos!$K$1:$K$892,Movimientos!$C$1:$C$892,"Green Harbor Trust",Movimientos!$B$1:$B$892,"&lt;="&amp;$B65)</f>
        <v>345</v>
      </c>
      <c r="U65" s="24">
        <f>SUMIFS('Saldos Iniciales'!$D:$D,'Saldos Iniciales'!$A:$A,"Go Blue")+SUMIFS(Movimientos!$K$1:$K$892,Movimientos!$C$1:$C$892,"Go Blue",Movimientos!$B$1:$B$892,"&lt;="&amp;$B65)</f>
        <v>33119.040000000001</v>
      </c>
      <c r="V65" s="25">
        <f t="shared" si="14"/>
        <v>8198838.7000000011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Group")+SUMIFS(Movimientos!$K$1:$K$892,Movimientos!$C$1:$C$892,"CFT Group",Movimientos!$B$1:$B$892,"&lt;="&amp;$B66)</f>
        <v>5592585.7500000009</v>
      </c>
      <c r="D66" s="24">
        <f>SUMIFS('Saldos Iniciales'!$D:$D,'Saldos Iniciales'!$A:$A,"M1B")+SUMIFS(Movimientos!$K$1:$K$892,Movimientos!$C$1:$C$892,"M1B",Movimientos!$B$1:$B$892,"&lt;="&amp;$B66)</f>
        <v>79139.680000000168</v>
      </c>
      <c r="E66" s="24">
        <f>SUMIFS('Saldos Iniciales'!$D:$D,'Saldos Iniciales'!$A:$A,"Durand")+SUMIFS(Movimientos!$K$1:$K$892,Movimientos!$C$1:$C$892,"Durand",Movimientos!$B$1:$B$892,"&lt;="&amp;$B66)</f>
        <v>1669.89</v>
      </c>
      <c r="F66" s="24">
        <f>SUMIFS('Saldos Iniciales'!$D:$D,'Saldos Iniciales'!$A:$A,"A&amp;M Imports")+SUMIFS(Movimientos!$K$1:$K$892,Movimientos!$C$1:$C$892,"A&amp;M Imports",Movimientos!$B$1:$B$892,"&lt;="&amp;$B66)</f>
        <v>350475.62999999989</v>
      </c>
      <c r="G66" s="24">
        <f>SUMIFS('Saldos Iniciales'!$D:$D,'Saldos Iniciales'!$A:$A,"SSP Capital")+SUMIFS(Movimientos!$K$1:$K$892,Movimientos!$C$1:$C$892,"SSP Capital",Movimientos!$B$1:$B$892,"&lt;="&amp;$B66)</f>
        <v>1761564.8799999994</v>
      </c>
      <c r="H66" s="24">
        <f>SUMIFS('Saldos Iniciales'!$D:$D,'Saldos Iniciales'!$A:$A,"Cross Family Trust")+SUMIFS(Movimientos!$K$1:$K$892,Movimientos!$C$1:$C$892,"Cross Family Trust",Movimientos!$B$1:$B$892,"&lt;="&amp;$B66)</f>
        <v>220496.38</v>
      </c>
      <c r="I66" s="24">
        <f>SUMIFS('Saldos Iniciales'!$D:$D,'Saldos Iniciales'!$A:$A,"Cross Security Trust")+SUMIFS(Movimientos!$K$1:$K$892,Movimientos!$C$1:$C$892,"Cross Security Trust",Movimientos!$B$1:$B$892,"&lt;="&amp;$B66)</f>
        <v>88090.37</v>
      </c>
      <c r="J66" s="24">
        <f>SUMIFS('Saldos Iniciales'!$D:$D,'Saldos Iniciales'!$A:$A,"Electrama")+SUMIFS(Movimientos!$K$1:$K$892,Movimientos!$C$1:$C$892,"Electrama",Movimientos!$B$1:$B$892,"&lt;="&amp;$B66)</f>
        <v>471.15999999999985</v>
      </c>
      <c r="K66" s="24">
        <f>SUMIFS('Saldos Iniciales'!$D:$D,'Saldos Iniciales'!$A:$A,"Sacred Valley Capital")+SUMIFS(Movimientos!$K$1:$K$892,Movimientos!$C$1:$C$892,"Sacred Valley Capital",Movimientos!$B$1:$B$892,"&lt;="&amp;$B66)</f>
        <v>54.400000000000006</v>
      </c>
      <c r="L66" s="24">
        <f>SUMIFS('Saldos Iniciales'!$D:$D,'Saldos Iniciales'!$A:$A,"YWC Capital")+SUMIFS(Movimientos!$K$1:$K$892,Movimientos!$C$1:$C$892,"YWC Capital",Movimientos!$B$1:$B$892,"&lt;="&amp;$B66)</f>
        <v>2207.8200000000002</v>
      </c>
      <c r="M66" s="24">
        <f>SUMIFS('Saldos Iniciales'!$D:$D,'Saldos Iniciales'!$A:$A,"Soweto")+SUMIFS(Movimientos!$K$1:$K$892,Movimientos!$C$1:$C$892,"Soweto",Movimientos!$B$1:$B$892,"&lt;="&amp;$B66)</f>
        <v>3349.94</v>
      </c>
      <c r="N66" s="24">
        <f>SUMIFS('Saldos Iniciales'!$D:$D,'Saldos Iniciales'!$A:$A,"Green Stone Trust")+SUMIFS(Movimientos!$K$1:$K$892,Movimientos!$C$1:$C$892,"Green Stone Trust",Movimientos!$B$1:$B$892,"&lt;="&amp;$B66)</f>
        <v>1968.99</v>
      </c>
      <c r="O66" s="24">
        <f>SUMIFS('Saldos Iniciales'!$D:$D,'Saldos Iniciales'!$A:$A,"EC Auto")+SUMIFS(Movimientos!$K$1:$K$892,Movimientos!$C$1:$C$892,"EC Auto",Movimientos!$B$1:$B$892,"&lt;="&amp;$B66)</f>
        <v>382.69000000000005</v>
      </c>
      <c r="P66" s="24">
        <f>SUMIFS('Saldos Iniciales'!$D:$D,'Saldos Iniciales'!$A:$A,"Arbor Capital Properties")+SUMIFS(Movimientos!$K$1:$K$892,Movimientos!$C$1:$C$892,"Arbor Capital Properties",Movimientos!$B$1:$B$892,"&lt;="&amp;$B66)</f>
        <v>1412.08</v>
      </c>
      <c r="Q66" s="24">
        <f>SUMIFS('Saldos Iniciales'!$D:$D,'Saldos Iniciales'!$A:$A,"2515 Overbrook")+SUMIFS(Movimientos!$K$1:$K$892,Movimientos!$C$1:$C$892,"2515 Overbrook",Movimientos!$B$1:$B$892,"&lt;="&amp;$B66)</f>
        <v>22496.639999999959</v>
      </c>
      <c r="R66" s="24">
        <f>SUMIFS('Saldos Iniciales'!$D:$D,'Saldos Iniciales'!$A:$A,"112 Florida Ave")+SUMIFS(Movimientos!$K$1:$K$892,Movimientos!$C$1:$C$892,"112 Florida Ave",Movimientos!$B$1:$B$892,"&lt;="&amp;$B66)</f>
        <v>10522.800000000003</v>
      </c>
      <c r="S66" s="24">
        <f>SUMIFS('Saldos Iniciales'!$D:$D,'Saldos Iniciales'!$A:$A,"3628 Thomas Ave")+SUMIFS(Movimientos!$K$1:$K$892,Movimientos!$C$1:$C$892,"3628 Thomas Ave",Movimientos!$B$1:$B$892,"&lt;="&amp;$B66)</f>
        <v>28485.559999999998</v>
      </c>
      <c r="T66" s="24">
        <f>SUMIFS('Saldos Iniciales'!$D:$D,'Saldos Iniciales'!$A:$A,"Green Harbor Trust")+SUMIFS(Movimientos!$K$1:$K$892,Movimientos!$C$1:$C$892,"Green Harbor Trust",Movimientos!$B$1:$B$892,"&lt;="&amp;$B66)</f>
        <v>345</v>
      </c>
      <c r="U66" s="24">
        <f>SUMIFS('Saldos Iniciales'!$D:$D,'Saldos Iniciales'!$A:$A,"Go Blue")+SUMIFS(Movimientos!$K$1:$K$892,Movimientos!$C$1:$C$892,"Go Blue",Movimientos!$B$1:$B$892,"&lt;="&amp;$B66)</f>
        <v>33119.040000000001</v>
      </c>
      <c r="V66" s="25">
        <f t="shared" si="14"/>
        <v>8198838.7000000011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Group")+SUMIFS(Movimientos!$K$1:$K$892,Movimientos!$C$1:$C$892,"CFT Group",Movimientos!$B$1:$B$892,"&lt;="&amp;$B67)</f>
        <v>5592585.7500000009</v>
      </c>
      <c r="D67" s="24">
        <f>SUMIFS('Saldos Iniciales'!$D:$D,'Saldos Iniciales'!$A:$A,"M1B")+SUMIFS(Movimientos!$K$1:$K$892,Movimientos!$C$1:$C$892,"M1B",Movimientos!$B$1:$B$892,"&lt;="&amp;$B67)</f>
        <v>79139.680000000168</v>
      </c>
      <c r="E67" s="24">
        <f>SUMIFS('Saldos Iniciales'!$D:$D,'Saldos Iniciales'!$A:$A,"Durand")+SUMIFS(Movimientos!$K$1:$K$892,Movimientos!$C$1:$C$892,"Durand",Movimientos!$B$1:$B$892,"&lt;="&amp;$B67)</f>
        <v>1669.89</v>
      </c>
      <c r="F67" s="24">
        <f>SUMIFS('Saldos Iniciales'!$D:$D,'Saldos Iniciales'!$A:$A,"A&amp;M Imports")+SUMIFS(Movimientos!$K$1:$K$892,Movimientos!$C$1:$C$892,"A&amp;M Imports",Movimientos!$B$1:$B$892,"&lt;="&amp;$B67)</f>
        <v>350475.62999999989</v>
      </c>
      <c r="G67" s="24">
        <f>SUMIFS('Saldos Iniciales'!$D:$D,'Saldos Iniciales'!$A:$A,"SSP Capital")+SUMIFS(Movimientos!$K$1:$K$892,Movimientos!$C$1:$C$892,"SSP Capital",Movimientos!$B$1:$B$892,"&lt;="&amp;$B67)</f>
        <v>1761564.8799999994</v>
      </c>
      <c r="H67" s="24">
        <f>SUMIFS('Saldos Iniciales'!$D:$D,'Saldos Iniciales'!$A:$A,"Cross Family Trust")+SUMIFS(Movimientos!$K$1:$K$892,Movimientos!$C$1:$C$892,"Cross Family Trust",Movimientos!$B$1:$B$892,"&lt;="&amp;$B67)</f>
        <v>220496.38</v>
      </c>
      <c r="I67" s="24">
        <f>SUMIFS('Saldos Iniciales'!$D:$D,'Saldos Iniciales'!$A:$A,"Cross Security Trust")+SUMIFS(Movimientos!$K$1:$K$892,Movimientos!$C$1:$C$892,"Cross Security Trust",Movimientos!$B$1:$B$892,"&lt;="&amp;$B67)</f>
        <v>88090.37</v>
      </c>
      <c r="J67" s="24">
        <f>SUMIFS('Saldos Iniciales'!$D:$D,'Saldos Iniciales'!$A:$A,"Electrama")+SUMIFS(Movimientos!$K$1:$K$892,Movimientos!$C$1:$C$892,"Electrama",Movimientos!$B$1:$B$892,"&lt;="&amp;$B67)</f>
        <v>471.15999999999985</v>
      </c>
      <c r="K67" s="24">
        <f>SUMIFS('Saldos Iniciales'!$D:$D,'Saldos Iniciales'!$A:$A,"Sacred Valley Capital")+SUMIFS(Movimientos!$K$1:$K$892,Movimientos!$C$1:$C$892,"Sacred Valley Capital",Movimientos!$B$1:$B$892,"&lt;="&amp;$B67)</f>
        <v>54.400000000000006</v>
      </c>
      <c r="L67" s="24">
        <f>SUMIFS('Saldos Iniciales'!$D:$D,'Saldos Iniciales'!$A:$A,"YWC Capital")+SUMIFS(Movimientos!$K$1:$K$892,Movimientos!$C$1:$C$892,"YWC Capital",Movimientos!$B$1:$B$892,"&lt;="&amp;$B67)</f>
        <v>2207.8200000000002</v>
      </c>
      <c r="M67" s="24">
        <f>SUMIFS('Saldos Iniciales'!$D:$D,'Saldos Iniciales'!$A:$A,"Soweto")+SUMIFS(Movimientos!$K$1:$K$892,Movimientos!$C$1:$C$892,"Soweto",Movimientos!$B$1:$B$892,"&lt;="&amp;$B67)</f>
        <v>3349.94</v>
      </c>
      <c r="N67" s="24">
        <f>SUMIFS('Saldos Iniciales'!$D:$D,'Saldos Iniciales'!$A:$A,"Green Stone Trust")+SUMIFS(Movimientos!$K$1:$K$892,Movimientos!$C$1:$C$892,"Green Stone Trust",Movimientos!$B$1:$B$892,"&lt;="&amp;$B67)</f>
        <v>1968.99</v>
      </c>
      <c r="O67" s="24">
        <f>SUMIFS('Saldos Iniciales'!$D:$D,'Saldos Iniciales'!$A:$A,"EC Auto")+SUMIFS(Movimientos!$K$1:$K$892,Movimientos!$C$1:$C$892,"EC Auto",Movimientos!$B$1:$B$892,"&lt;="&amp;$B67)</f>
        <v>382.69000000000005</v>
      </c>
      <c r="P67" s="24">
        <f>SUMIFS('Saldos Iniciales'!$D:$D,'Saldos Iniciales'!$A:$A,"Arbor Capital Properties")+SUMIFS(Movimientos!$K$1:$K$892,Movimientos!$C$1:$C$892,"Arbor Capital Properties",Movimientos!$B$1:$B$892,"&lt;="&amp;$B67)</f>
        <v>1412.08</v>
      </c>
      <c r="Q67" s="24">
        <f>SUMIFS('Saldos Iniciales'!$D:$D,'Saldos Iniciales'!$A:$A,"2515 Overbrook")+SUMIFS(Movimientos!$K$1:$K$892,Movimientos!$C$1:$C$892,"2515 Overbrook",Movimientos!$B$1:$B$892,"&lt;="&amp;$B67)</f>
        <v>22496.639999999959</v>
      </c>
      <c r="R67" s="24">
        <f>SUMIFS('Saldos Iniciales'!$D:$D,'Saldos Iniciales'!$A:$A,"112 Florida Ave")+SUMIFS(Movimientos!$K$1:$K$892,Movimientos!$C$1:$C$892,"112 Florida Ave",Movimientos!$B$1:$B$892,"&lt;="&amp;$B67)</f>
        <v>10522.800000000003</v>
      </c>
      <c r="S67" s="24">
        <f>SUMIFS('Saldos Iniciales'!$D:$D,'Saldos Iniciales'!$A:$A,"3628 Thomas Ave")+SUMIFS(Movimientos!$K$1:$K$892,Movimientos!$C$1:$C$892,"3628 Thomas Ave",Movimientos!$B$1:$B$892,"&lt;="&amp;$B67)</f>
        <v>28485.559999999998</v>
      </c>
      <c r="T67" s="24">
        <f>SUMIFS('Saldos Iniciales'!$D:$D,'Saldos Iniciales'!$A:$A,"Green Harbor Trust")+SUMIFS(Movimientos!$K$1:$K$892,Movimientos!$C$1:$C$892,"Green Harbor Trust",Movimientos!$B$1:$B$892,"&lt;="&amp;$B67)</f>
        <v>345</v>
      </c>
      <c r="U67" s="24">
        <f>SUMIFS('Saldos Iniciales'!$D:$D,'Saldos Iniciales'!$A:$A,"Go Blue")+SUMIFS(Movimientos!$K$1:$K$892,Movimientos!$C$1:$C$892,"Go Blue",Movimientos!$B$1:$B$892,"&lt;="&amp;$B67)</f>
        <v>33119.040000000001</v>
      </c>
      <c r="V67" s="25">
        <f t="shared" si="14"/>
        <v>8198838.7000000011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Group")+SUMIFS(Movimientos!$K$1:$K$892,Movimientos!$C$1:$C$892,"CFT Group",Movimientos!$B$1:$B$892,"&lt;="&amp;$B68)</f>
        <v>5592585.7500000009</v>
      </c>
      <c r="D68" s="24">
        <f>SUMIFS('Saldos Iniciales'!$D:$D,'Saldos Iniciales'!$A:$A,"M1B")+SUMIFS(Movimientos!$K$1:$K$892,Movimientos!$C$1:$C$892,"M1B",Movimientos!$B$1:$B$892,"&lt;="&amp;$B68)</f>
        <v>79139.680000000168</v>
      </c>
      <c r="E68" s="24">
        <f>SUMIFS('Saldos Iniciales'!$D:$D,'Saldos Iniciales'!$A:$A,"Durand")+SUMIFS(Movimientos!$K$1:$K$892,Movimientos!$C$1:$C$892,"Durand",Movimientos!$B$1:$B$892,"&lt;="&amp;$B68)</f>
        <v>1669.89</v>
      </c>
      <c r="F68" s="24">
        <f>SUMIFS('Saldos Iniciales'!$D:$D,'Saldos Iniciales'!$A:$A,"A&amp;M Imports")+SUMIFS(Movimientos!$K$1:$K$892,Movimientos!$C$1:$C$892,"A&amp;M Imports",Movimientos!$B$1:$B$892,"&lt;="&amp;$B68)</f>
        <v>350475.62999999989</v>
      </c>
      <c r="G68" s="24">
        <f>SUMIFS('Saldos Iniciales'!$D:$D,'Saldos Iniciales'!$A:$A,"SSP Capital")+SUMIFS(Movimientos!$K$1:$K$892,Movimientos!$C$1:$C$892,"SSP Capital",Movimientos!$B$1:$B$892,"&lt;="&amp;$B68)</f>
        <v>1761026.4599999995</v>
      </c>
      <c r="H68" s="24">
        <f>SUMIFS('Saldos Iniciales'!$D:$D,'Saldos Iniciales'!$A:$A,"Cross Family Trust")+SUMIFS(Movimientos!$K$1:$K$892,Movimientos!$C$1:$C$892,"Cross Family Trust",Movimientos!$B$1:$B$892,"&lt;="&amp;$B68)</f>
        <v>220496.38</v>
      </c>
      <c r="I68" s="24">
        <f>SUMIFS('Saldos Iniciales'!$D:$D,'Saldos Iniciales'!$A:$A,"Cross Security Trust")+SUMIFS(Movimientos!$K$1:$K$892,Movimientos!$C$1:$C$892,"Cross Security Trust",Movimientos!$B$1:$B$892,"&lt;="&amp;$B68)</f>
        <v>88090.37</v>
      </c>
      <c r="J68" s="24">
        <f>SUMIFS('Saldos Iniciales'!$D:$D,'Saldos Iniciales'!$A:$A,"Electrama")+SUMIFS(Movimientos!$K$1:$K$892,Movimientos!$C$1:$C$892,"Electrama",Movimientos!$B$1:$B$892,"&lt;="&amp;$B68)</f>
        <v>471.15999999999985</v>
      </c>
      <c r="K68" s="24">
        <f>SUMIFS('Saldos Iniciales'!$D:$D,'Saldos Iniciales'!$A:$A,"Sacred Valley Capital")+SUMIFS(Movimientos!$K$1:$K$892,Movimientos!$C$1:$C$892,"Sacred Valley Capital",Movimientos!$B$1:$B$892,"&lt;="&amp;$B68)</f>
        <v>54.400000000000006</v>
      </c>
      <c r="L68" s="24">
        <f>SUMIFS('Saldos Iniciales'!$D:$D,'Saldos Iniciales'!$A:$A,"YWC Capital")+SUMIFS(Movimientos!$K$1:$K$892,Movimientos!$C$1:$C$892,"YWC Capital",Movimientos!$B$1:$B$892,"&lt;="&amp;$B68)</f>
        <v>2207.8200000000002</v>
      </c>
      <c r="M68" s="24">
        <f>SUMIFS('Saldos Iniciales'!$D:$D,'Saldos Iniciales'!$A:$A,"Soweto")+SUMIFS(Movimientos!$K$1:$K$892,Movimientos!$C$1:$C$892,"Soweto",Movimientos!$B$1:$B$892,"&lt;="&amp;$B68)</f>
        <v>3349.94</v>
      </c>
      <c r="N68" s="24">
        <f>SUMIFS('Saldos Iniciales'!$D:$D,'Saldos Iniciales'!$A:$A,"Green Stone Trust")+SUMIFS(Movimientos!$K$1:$K$892,Movimientos!$C$1:$C$892,"Green Stone Trust",Movimientos!$B$1:$B$892,"&lt;="&amp;$B68)</f>
        <v>1968.99</v>
      </c>
      <c r="O68" s="24">
        <f>SUMIFS('Saldos Iniciales'!$D:$D,'Saldos Iniciales'!$A:$A,"EC Auto")+SUMIFS(Movimientos!$K$1:$K$892,Movimientos!$C$1:$C$892,"EC Auto",Movimientos!$B$1:$B$892,"&lt;="&amp;$B68)</f>
        <v>382.69000000000005</v>
      </c>
      <c r="P68" s="24">
        <f>SUMIFS('Saldos Iniciales'!$D:$D,'Saldos Iniciales'!$A:$A,"Arbor Capital Properties")+SUMIFS(Movimientos!$K$1:$K$892,Movimientos!$C$1:$C$892,"Arbor Capital Properties",Movimientos!$B$1:$B$892,"&lt;="&amp;$B68)</f>
        <v>1412.08</v>
      </c>
      <c r="Q68" s="24">
        <f>SUMIFS('Saldos Iniciales'!$D:$D,'Saldos Iniciales'!$A:$A,"2515 Overbrook")+SUMIFS(Movimientos!$K$1:$K$892,Movimientos!$C$1:$C$892,"2515 Overbrook",Movimientos!$B$1:$B$892,"&lt;="&amp;$B68)</f>
        <v>22496.639999999959</v>
      </c>
      <c r="R68" s="24">
        <f>SUMIFS('Saldos Iniciales'!$D:$D,'Saldos Iniciales'!$A:$A,"112 Florida Ave")+SUMIFS(Movimientos!$K$1:$K$892,Movimientos!$C$1:$C$892,"112 Florida Ave",Movimientos!$B$1:$B$892,"&lt;="&amp;$B68)</f>
        <v>10522.800000000003</v>
      </c>
      <c r="S68" s="24">
        <f>SUMIFS('Saldos Iniciales'!$D:$D,'Saldos Iniciales'!$A:$A,"3628 Thomas Ave")+SUMIFS(Movimientos!$K$1:$K$892,Movimientos!$C$1:$C$892,"3628 Thomas Ave",Movimientos!$B$1:$B$892,"&lt;="&amp;$B68)</f>
        <v>28485.559999999998</v>
      </c>
      <c r="T68" s="24">
        <f>SUMIFS('Saldos Iniciales'!$D:$D,'Saldos Iniciales'!$A:$A,"Green Harbor Trust")+SUMIFS(Movimientos!$K$1:$K$892,Movimientos!$C$1:$C$892,"Green Harbor Trust",Movimientos!$B$1:$B$892,"&lt;="&amp;$B68)</f>
        <v>345</v>
      </c>
      <c r="U68" s="24">
        <f>SUMIFS('Saldos Iniciales'!$D:$D,'Saldos Iniciales'!$A:$A,"Go Blue")+SUMIFS(Movimientos!$K$1:$K$892,Movimientos!$C$1:$C$892,"Go Blue",Movimientos!$B$1:$B$892,"&lt;="&amp;$B68)</f>
        <v>15165.34</v>
      </c>
      <c r="V68" s="25">
        <f t="shared" ref="V68:V71" si="15">SUM(C68:U68)</f>
        <v>8180346.580000001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Group")+SUMIFS(Movimientos!$K$1:$K$892,Movimientos!$C$1:$C$892,"CFT Group",Movimientos!$B$1:$B$892,"&lt;="&amp;$B69)</f>
        <v>5592585.7500000009</v>
      </c>
      <c r="D69" s="24">
        <f>SUMIFS('Saldos Iniciales'!$D:$D,'Saldos Iniciales'!$A:$A,"M1B")+SUMIFS(Movimientos!$K$1:$K$892,Movimientos!$C$1:$C$892,"M1B",Movimientos!$B$1:$B$892,"&lt;="&amp;$B69)</f>
        <v>79139.680000000168</v>
      </c>
      <c r="E69" s="24">
        <f>SUMIFS('Saldos Iniciales'!$D:$D,'Saldos Iniciales'!$A:$A,"Durand")+SUMIFS(Movimientos!$K$1:$K$892,Movimientos!$C$1:$C$892,"Durand",Movimientos!$B$1:$B$892,"&lt;="&amp;$B69)</f>
        <v>1669.89</v>
      </c>
      <c r="F69" s="24">
        <f>SUMIFS('Saldos Iniciales'!$D:$D,'Saldos Iniciales'!$A:$A,"A&amp;M Imports")+SUMIFS(Movimientos!$K$1:$K$892,Movimientos!$C$1:$C$892,"A&amp;M Imports",Movimientos!$B$1:$B$892,"&lt;="&amp;$B69)</f>
        <v>350475.62999999989</v>
      </c>
      <c r="G69" s="24">
        <f>SUMIFS('Saldos Iniciales'!$D:$D,'Saldos Iniciales'!$A:$A,"SSP Capital")+SUMIFS(Movimientos!$K$1:$K$892,Movimientos!$C$1:$C$892,"SSP Capital",Movimientos!$B$1:$B$892,"&lt;="&amp;$B69)</f>
        <v>1761026.4599999995</v>
      </c>
      <c r="H69" s="24">
        <f>SUMIFS('Saldos Iniciales'!$D:$D,'Saldos Iniciales'!$A:$A,"Cross Family Trust")+SUMIFS(Movimientos!$K$1:$K$892,Movimientos!$C$1:$C$892,"Cross Family Trust",Movimientos!$B$1:$B$892,"&lt;="&amp;$B69)</f>
        <v>220496.38</v>
      </c>
      <c r="I69" s="24">
        <f>SUMIFS('Saldos Iniciales'!$D:$D,'Saldos Iniciales'!$A:$A,"Cross Security Trust")+SUMIFS(Movimientos!$K$1:$K$892,Movimientos!$C$1:$C$892,"Cross Security Trust",Movimientos!$B$1:$B$892,"&lt;="&amp;$B69)</f>
        <v>88090.37</v>
      </c>
      <c r="J69" s="24">
        <f>SUMIFS('Saldos Iniciales'!$D:$D,'Saldos Iniciales'!$A:$A,"Electrama")+SUMIFS(Movimientos!$K$1:$K$892,Movimientos!$C$1:$C$892,"Electrama",Movimientos!$B$1:$B$892,"&lt;="&amp;$B69)</f>
        <v>471.15999999999985</v>
      </c>
      <c r="K69" s="24">
        <f>SUMIFS('Saldos Iniciales'!$D:$D,'Saldos Iniciales'!$A:$A,"Sacred Valley Capital")+SUMIFS(Movimientos!$K$1:$K$892,Movimientos!$C$1:$C$892,"Sacred Valley Capital",Movimientos!$B$1:$B$892,"&lt;="&amp;$B69)</f>
        <v>54.400000000000006</v>
      </c>
      <c r="L69" s="24">
        <f>SUMIFS('Saldos Iniciales'!$D:$D,'Saldos Iniciales'!$A:$A,"YWC Capital")+SUMIFS(Movimientos!$K$1:$K$892,Movimientos!$C$1:$C$892,"YWC Capital",Movimientos!$B$1:$B$892,"&lt;="&amp;$B69)</f>
        <v>2207.8200000000002</v>
      </c>
      <c r="M69" s="24">
        <f>SUMIFS('Saldos Iniciales'!$D:$D,'Saldos Iniciales'!$A:$A,"Soweto")+SUMIFS(Movimientos!$K$1:$K$892,Movimientos!$C$1:$C$892,"Soweto",Movimientos!$B$1:$B$892,"&lt;="&amp;$B69)</f>
        <v>3349.94</v>
      </c>
      <c r="N69" s="24">
        <f>SUMIFS('Saldos Iniciales'!$D:$D,'Saldos Iniciales'!$A:$A,"Green Stone Trust")+SUMIFS(Movimientos!$K$1:$K$892,Movimientos!$C$1:$C$892,"Green Stone Trust",Movimientos!$B$1:$B$892,"&lt;="&amp;$B69)</f>
        <v>1968.99</v>
      </c>
      <c r="O69" s="24">
        <f>SUMIFS('Saldos Iniciales'!$D:$D,'Saldos Iniciales'!$A:$A,"EC Auto")+SUMIFS(Movimientos!$K$1:$K$892,Movimientos!$C$1:$C$892,"EC Auto",Movimientos!$B$1:$B$892,"&lt;="&amp;$B69)</f>
        <v>382.69000000000005</v>
      </c>
      <c r="P69" s="24">
        <f>SUMIFS('Saldos Iniciales'!$D:$D,'Saldos Iniciales'!$A:$A,"Arbor Capital Properties")+SUMIFS(Movimientos!$K$1:$K$892,Movimientos!$C$1:$C$892,"Arbor Capital Properties",Movimientos!$B$1:$B$892,"&lt;="&amp;$B69)</f>
        <v>1412.08</v>
      </c>
      <c r="Q69" s="24">
        <f>SUMIFS('Saldos Iniciales'!$D:$D,'Saldos Iniciales'!$A:$A,"2515 Overbrook")+SUMIFS(Movimientos!$K$1:$K$892,Movimientos!$C$1:$C$892,"2515 Overbrook",Movimientos!$B$1:$B$892,"&lt;="&amp;$B69)</f>
        <v>22496.639999999959</v>
      </c>
      <c r="R69" s="24">
        <f>SUMIFS('Saldos Iniciales'!$D:$D,'Saldos Iniciales'!$A:$A,"112 Florida Ave")+SUMIFS(Movimientos!$K$1:$K$892,Movimientos!$C$1:$C$892,"112 Florida Ave",Movimientos!$B$1:$B$892,"&lt;="&amp;$B69)</f>
        <v>10522.800000000003</v>
      </c>
      <c r="S69" s="24">
        <f>SUMIFS('Saldos Iniciales'!$D:$D,'Saldos Iniciales'!$A:$A,"3628 Thomas Ave")+SUMIFS(Movimientos!$K$1:$K$892,Movimientos!$C$1:$C$892,"3628 Thomas Ave",Movimientos!$B$1:$B$892,"&lt;="&amp;$B69)</f>
        <v>28485.559999999998</v>
      </c>
      <c r="T69" s="24">
        <f>SUMIFS('Saldos Iniciales'!$D:$D,'Saldos Iniciales'!$A:$A,"Green Harbor Trust")+SUMIFS(Movimientos!$K$1:$K$892,Movimientos!$C$1:$C$892,"Green Harbor Trust",Movimientos!$B$1:$B$892,"&lt;="&amp;$B69)</f>
        <v>345</v>
      </c>
      <c r="U69" s="24">
        <f>SUMIFS('Saldos Iniciales'!$D:$D,'Saldos Iniciales'!$A:$A,"Go Blue")+SUMIFS(Movimientos!$K$1:$K$892,Movimientos!$C$1:$C$892,"Go Blue",Movimientos!$B$1:$B$892,"&lt;="&amp;$B69)</f>
        <v>14498.59</v>
      </c>
      <c r="V69" s="25">
        <f t="shared" si="15"/>
        <v>8179679.830000001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Group")+SUMIFS(Movimientos!$K$1:$K$892,Movimientos!$C$1:$C$892,"CFT Group",Movimientos!$B$1:$B$892,"&lt;="&amp;$B70)</f>
        <v>5592585.7500000009</v>
      </c>
      <c r="D70" s="24">
        <f>SUMIFS('Saldos Iniciales'!$D:$D,'Saldos Iniciales'!$A:$A,"M1B")+SUMIFS(Movimientos!$K$1:$K$892,Movimientos!$C$1:$C$892,"M1B",Movimientos!$B$1:$B$892,"&lt;="&amp;$B70)</f>
        <v>79139.680000000168</v>
      </c>
      <c r="E70" s="24">
        <f>SUMIFS('Saldos Iniciales'!$D:$D,'Saldos Iniciales'!$A:$A,"Durand")+SUMIFS(Movimientos!$K$1:$K$892,Movimientos!$C$1:$C$892,"Durand",Movimientos!$B$1:$B$892,"&lt;="&amp;$B70)</f>
        <v>1669.89</v>
      </c>
      <c r="F70" s="24">
        <f>SUMIFS('Saldos Iniciales'!$D:$D,'Saldos Iniciales'!$A:$A,"A&amp;M Imports")+SUMIFS(Movimientos!$K$1:$K$892,Movimientos!$C$1:$C$892,"A&amp;M Imports",Movimientos!$B$1:$B$892,"&lt;="&amp;$B70)</f>
        <v>350475.62999999989</v>
      </c>
      <c r="G70" s="24">
        <f>SUMIFS('Saldos Iniciales'!$D:$D,'Saldos Iniciales'!$A:$A,"SSP Capital")+SUMIFS(Movimientos!$K$1:$K$892,Movimientos!$C$1:$C$892,"SSP Capital",Movimientos!$B$1:$B$892,"&lt;="&amp;$B70)</f>
        <v>1751695.8399999994</v>
      </c>
      <c r="H70" s="24">
        <f>SUMIFS('Saldos Iniciales'!$D:$D,'Saldos Iniciales'!$A:$A,"Cross Family Trust")+SUMIFS(Movimientos!$K$1:$K$892,Movimientos!$C$1:$C$892,"Cross Family Trust",Movimientos!$B$1:$B$892,"&lt;="&amp;$B70)</f>
        <v>220496.38</v>
      </c>
      <c r="I70" s="24">
        <f>SUMIFS('Saldos Iniciales'!$D:$D,'Saldos Iniciales'!$A:$A,"Cross Security Trust")+SUMIFS(Movimientos!$K$1:$K$892,Movimientos!$C$1:$C$892,"Cross Security Trust",Movimientos!$B$1:$B$892,"&lt;="&amp;$B70)</f>
        <v>88090.37</v>
      </c>
      <c r="J70" s="24">
        <f>SUMIFS('Saldos Iniciales'!$D:$D,'Saldos Iniciales'!$A:$A,"Electrama")+SUMIFS(Movimientos!$K$1:$K$892,Movimientos!$C$1:$C$892,"Electrama",Movimientos!$B$1:$B$892,"&lt;="&amp;$B70)</f>
        <v>471.15999999999985</v>
      </c>
      <c r="K70" s="24">
        <f>SUMIFS('Saldos Iniciales'!$D:$D,'Saldos Iniciales'!$A:$A,"Sacred Valley Capital")+SUMIFS(Movimientos!$K$1:$K$892,Movimientos!$C$1:$C$892,"Sacred Valley Capital",Movimientos!$B$1:$B$892,"&lt;="&amp;$B70)</f>
        <v>54.400000000000006</v>
      </c>
      <c r="L70" s="24">
        <f>SUMIFS('Saldos Iniciales'!$D:$D,'Saldos Iniciales'!$A:$A,"YWC Capital")+SUMIFS(Movimientos!$K$1:$K$892,Movimientos!$C$1:$C$892,"YWC Capital",Movimientos!$B$1:$B$892,"&lt;="&amp;$B70)</f>
        <v>2207.8200000000002</v>
      </c>
      <c r="M70" s="24">
        <f>SUMIFS('Saldos Iniciales'!$D:$D,'Saldos Iniciales'!$A:$A,"Soweto")+SUMIFS(Movimientos!$K$1:$K$892,Movimientos!$C$1:$C$892,"Soweto",Movimientos!$B$1:$B$892,"&lt;="&amp;$B70)</f>
        <v>3334.94</v>
      </c>
      <c r="N70" s="24">
        <f>SUMIFS('Saldos Iniciales'!$D:$D,'Saldos Iniciales'!$A:$A,"Green Stone Trust")+SUMIFS(Movimientos!$K$1:$K$892,Movimientos!$C$1:$C$892,"Green Stone Trust",Movimientos!$B$1:$B$892,"&lt;="&amp;$B70)</f>
        <v>1968.99</v>
      </c>
      <c r="O70" s="24">
        <f>SUMIFS('Saldos Iniciales'!$D:$D,'Saldos Iniciales'!$A:$A,"EC Auto")+SUMIFS(Movimientos!$K$1:$K$892,Movimientos!$C$1:$C$892,"EC Auto",Movimientos!$B$1:$B$892,"&lt;="&amp;$B70)</f>
        <v>382.69000000000005</v>
      </c>
      <c r="P70" s="24">
        <f>SUMIFS('Saldos Iniciales'!$D:$D,'Saldos Iniciales'!$A:$A,"Arbor Capital Properties")+SUMIFS(Movimientos!$K$1:$K$892,Movimientos!$C$1:$C$892,"Arbor Capital Properties",Movimientos!$B$1:$B$892,"&lt;="&amp;$B70)</f>
        <v>1412.08</v>
      </c>
      <c r="Q70" s="24">
        <f>SUMIFS('Saldos Iniciales'!$D:$D,'Saldos Iniciales'!$A:$A,"2515 Overbrook")+SUMIFS(Movimientos!$K$1:$K$892,Movimientos!$C$1:$C$892,"2515 Overbrook",Movimientos!$B$1:$B$892,"&lt;="&amp;$B70)</f>
        <v>22496.639999999959</v>
      </c>
      <c r="R70" s="24">
        <f>SUMIFS('Saldos Iniciales'!$D:$D,'Saldos Iniciales'!$A:$A,"112 Florida Ave")+SUMIFS(Movimientos!$K$1:$K$892,Movimientos!$C$1:$C$892,"112 Florida Ave",Movimientos!$B$1:$B$892,"&lt;="&amp;$B70)</f>
        <v>6522.8000000000029</v>
      </c>
      <c r="S70" s="24">
        <f>SUMIFS('Saldos Iniciales'!$D:$D,'Saldos Iniciales'!$A:$A,"3628 Thomas Ave")+SUMIFS(Movimientos!$K$1:$K$892,Movimientos!$C$1:$C$892,"3628 Thomas Ave",Movimientos!$B$1:$B$892,"&lt;="&amp;$B70)</f>
        <v>28485.559999999998</v>
      </c>
      <c r="T70" s="24">
        <f>SUMIFS('Saldos Iniciales'!$D:$D,'Saldos Iniciales'!$A:$A,"Green Harbor Trust")+SUMIFS(Movimientos!$K$1:$K$892,Movimientos!$C$1:$C$892,"Green Harbor Trust",Movimientos!$B$1:$B$892,"&lt;="&amp;$B70)</f>
        <v>345</v>
      </c>
      <c r="U70" s="24">
        <f>SUMIFS('Saldos Iniciales'!$D:$D,'Saldos Iniciales'!$A:$A,"Go Blue")+SUMIFS(Movimientos!$K$1:$K$892,Movimientos!$C$1:$C$892,"Go Blue",Movimientos!$B$1:$B$892,"&lt;="&amp;$B70)</f>
        <v>14498.59</v>
      </c>
      <c r="V70" s="25">
        <f t="shared" si="15"/>
        <v>8166334.2100000018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Group")+SUMIFS(Movimientos!$K$1:$K$892,Movimientos!$C$1:$C$892,"CFT Group",Movimientos!$B$1:$B$892,"&lt;="&amp;$B71)</f>
        <v>4377944.080000001</v>
      </c>
      <c r="D71" s="24">
        <f>SUMIFS('Saldos Iniciales'!$D:$D,'Saldos Iniciales'!$A:$A,"M1B")+SUMIFS(Movimientos!$K$1:$K$892,Movimientos!$C$1:$C$892,"M1B",Movimientos!$B$1:$B$892,"&lt;="&amp;$B71)</f>
        <v>73157.680000000168</v>
      </c>
      <c r="E71" s="24">
        <f>SUMIFS('Saldos Iniciales'!$D:$D,'Saldos Iniciales'!$A:$A,"Durand")+SUMIFS(Movimientos!$K$1:$K$892,Movimientos!$C$1:$C$892,"Durand",Movimientos!$B$1:$B$892,"&lt;="&amp;$B71)</f>
        <v>1669.89</v>
      </c>
      <c r="F71" s="24">
        <f>SUMIFS('Saldos Iniciales'!$D:$D,'Saldos Iniciales'!$A:$A,"A&amp;M Imports")+SUMIFS(Movimientos!$K$1:$K$892,Movimientos!$C$1:$C$892,"A&amp;M Imports",Movimientos!$B$1:$B$892,"&lt;="&amp;$B71)</f>
        <v>290475.62999999989</v>
      </c>
      <c r="G71" s="24">
        <f>SUMIFS('Saldos Iniciales'!$D:$D,'Saldos Iniciales'!$A:$A,"SSP Capital")+SUMIFS(Movimientos!$K$1:$K$892,Movimientos!$C$1:$C$892,"SSP Capital",Movimientos!$B$1:$B$892,"&lt;="&amp;$B71)</f>
        <v>2119592.9399999995</v>
      </c>
      <c r="H71" s="24">
        <f>SUMIFS('Saldos Iniciales'!$D:$D,'Saldos Iniciales'!$A:$A,"Cross Family Trust")+SUMIFS(Movimientos!$K$1:$K$892,Movimientos!$C$1:$C$892,"Cross Family Trust",Movimientos!$B$1:$B$892,"&lt;="&amp;$B71)</f>
        <v>200496.38</v>
      </c>
      <c r="I71" s="24">
        <f>SUMIFS('Saldos Iniciales'!$D:$D,'Saldos Iniciales'!$A:$A,"Cross Security Trust")+SUMIFS(Movimientos!$K$1:$K$892,Movimientos!$C$1:$C$892,"Cross Security Trust",Movimientos!$B$1:$B$892,"&lt;="&amp;$B71)</f>
        <v>88090.37</v>
      </c>
      <c r="J71" s="24">
        <f>SUMIFS('Saldos Iniciales'!$D:$D,'Saldos Iniciales'!$A:$A,"Electrama")+SUMIFS(Movimientos!$K$1:$K$892,Movimientos!$C$1:$C$892,"Electrama",Movimientos!$B$1:$B$892,"&lt;="&amp;$B71)</f>
        <v>15130.45</v>
      </c>
      <c r="K71" s="24">
        <f>SUMIFS('Saldos Iniciales'!$D:$D,'Saldos Iniciales'!$A:$A,"Sacred Valley Capital")+SUMIFS(Movimientos!$K$1:$K$892,Movimientos!$C$1:$C$892,"Sacred Valley Capital",Movimientos!$B$1:$B$892,"&lt;="&amp;$B71)</f>
        <v>54.400000000000006</v>
      </c>
      <c r="L71" s="24">
        <f>SUMIFS('Saldos Iniciales'!$D:$D,'Saldos Iniciales'!$A:$A,"YWC Capital")+SUMIFS(Movimientos!$K$1:$K$892,Movimientos!$C$1:$C$892,"YWC Capital",Movimientos!$B$1:$B$892,"&lt;="&amp;$B71)</f>
        <v>2207.8200000000002</v>
      </c>
      <c r="M71" s="24">
        <f>SUMIFS('Saldos Iniciales'!$D:$D,'Saldos Iniciales'!$A:$A,"Soweto")+SUMIFS(Movimientos!$K$1:$K$892,Movimientos!$C$1:$C$892,"Soweto",Movimientos!$B$1:$B$892,"&lt;="&amp;$B71)</f>
        <v>1454604.72</v>
      </c>
      <c r="N71" s="24">
        <f>SUMIFS('Saldos Iniciales'!$D:$D,'Saldos Iniciales'!$A:$A,"Green Stone Trust")+SUMIFS(Movimientos!$K$1:$K$892,Movimientos!$C$1:$C$892,"Green Stone Trust",Movimientos!$B$1:$B$892,"&lt;="&amp;$B71)</f>
        <v>1968.99</v>
      </c>
      <c r="O71" s="24">
        <f>SUMIFS('Saldos Iniciales'!$D:$D,'Saldos Iniciales'!$A:$A,"EC Auto")+SUMIFS(Movimientos!$K$1:$K$892,Movimientos!$C$1:$C$892,"EC Auto",Movimientos!$B$1:$B$892,"&lt;="&amp;$B71)</f>
        <v>382.69000000000005</v>
      </c>
      <c r="P71" s="24">
        <f>SUMIFS('Saldos Iniciales'!$D:$D,'Saldos Iniciales'!$A:$A,"Arbor Capital Properties")+SUMIFS(Movimientos!$K$1:$K$892,Movimientos!$C$1:$C$892,"Arbor Capital Properties",Movimientos!$B$1:$B$892,"&lt;="&amp;$B71)</f>
        <v>1412.08</v>
      </c>
      <c r="Q71" s="24">
        <f>SUMIFS('Saldos Iniciales'!$D:$D,'Saldos Iniciales'!$A:$A,"2515 Overbrook")+SUMIFS(Movimientos!$K$1:$K$892,Movimientos!$C$1:$C$892,"2515 Overbrook",Movimientos!$B$1:$B$892,"&lt;="&amp;$B71)</f>
        <v>22496.639999999959</v>
      </c>
      <c r="R71" s="24">
        <f>SUMIFS('Saldos Iniciales'!$D:$D,'Saldos Iniciales'!$A:$A,"112 Florida Ave")+SUMIFS(Movimientos!$K$1:$K$892,Movimientos!$C$1:$C$892,"112 Florida Ave",Movimientos!$B$1:$B$892,"&lt;="&amp;$B71)</f>
        <v>6522.8000000000029</v>
      </c>
      <c r="S71" s="24">
        <f>SUMIFS('Saldos Iniciales'!$D:$D,'Saldos Iniciales'!$A:$A,"3628 Thomas Ave")+SUMIFS(Movimientos!$K$1:$K$892,Movimientos!$C$1:$C$892,"3628 Thomas Ave",Movimientos!$B$1:$B$892,"&lt;="&amp;$B71)</f>
        <v>28485.559999999998</v>
      </c>
      <c r="T71" s="24">
        <f>SUMIFS('Saldos Iniciales'!$D:$D,'Saldos Iniciales'!$A:$A,"Green Harbor Trust")+SUMIFS(Movimientos!$K$1:$K$892,Movimientos!$C$1:$C$892,"Green Harbor Trust",Movimientos!$B$1:$B$892,"&lt;="&amp;$B71)</f>
        <v>345</v>
      </c>
      <c r="U71" s="24">
        <f>SUMIFS('Saldos Iniciales'!$D:$D,'Saldos Iniciales'!$A:$A,"Go Blue")+SUMIFS(Movimientos!$K$1:$K$892,Movimientos!$C$1:$C$892,"Go Blue",Movimientos!$B$1:$B$892,"&lt;="&amp;$B71)</f>
        <v>31900.120000000003</v>
      </c>
      <c r="V71" s="25">
        <f t="shared" si="15"/>
        <v>8716938.2400000021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Group")+SUMIFS(Movimientos!$K$1:$K$892,Movimientos!$C$1:$C$892,"CFT Group",Movimientos!$B$1:$B$892,"&lt;="&amp;$B72)</f>
        <v>4163755.7500000005</v>
      </c>
      <c r="D72" s="24">
        <f>SUMIFS('Saldos Iniciales'!$D:$D,'Saldos Iniciales'!$A:$A,"M1B")+SUMIFS(Movimientos!$K$1:$K$892,Movimientos!$C$1:$C$892,"M1B",Movimientos!$B$1:$B$892,"&lt;="&amp;$B72)</f>
        <v>73157.680000000168</v>
      </c>
      <c r="E72" s="24">
        <f>SUMIFS('Saldos Iniciales'!$D:$D,'Saldos Iniciales'!$A:$A,"Durand")+SUMIFS(Movimientos!$K$1:$K$892,Movimientos!$C$1:$C$892,"Durand",Movimientos!$B$1:$B$892,"&lt;="&amp;$B72)</f>
        <v>1669.89</v>
      </c>
      <c r="F72" s="24">
        <f>SUMIFS('Saldos Iniciales'!$D:$D,'Saldos Iniciales'!$A:$A,"A&amp;M Imports")+SUMIFS(Movimientos!$K$1:$K$892,Movimientos!$C$1:$C$892,"A&amp;M Imports",Movimientos!$B$1:$B$892,"&lt;="&amp;$B72)</f>
        <v>290141.62999999989</v>
      </c>
      <c r="G72" s="24">
        <f>SUMIFS('Saldos Iniciales'!$D:$D,'Saldos Iniciales'!$A:$A,"SSP Capital")+SUMIFS(Movimientos!$K$1:$K$892,Movimientos!$C$1:$C$892,"SSP Capital",Movimientos!$B$1:$B$892,"&lt;="&amp;$B72)</f>
        <v>1921752.2699999993</v>
      </c>
      <c r="H72" s="24">
        <f>SUMIFS('Saldos Iniciales'!$D:$D,'Saldos Iniciales'!$A:$A,"Cross Family Trust")+SUMIFS(Movimientos!$K$1:$K$892,Movimientos!$C$1:$C$892,"Cross Family Trust",Movimientos!$B$1:$B$892,"&lt;="&amp;$B72)</f>
        <v>200496.38</v>
      </c>
      <c r="I72" s="24">
        <f>SUMIFS('Saldos Iniciales'!$D:$D,'Saldos Iniciales'!$A:$A,"Cross Security Trust")+SUMIFS(Movimientos!$K$1:$K$892,Movimientos!$C$1:$C$892,"Cross Security Trust",Movimientos!$B$1:$B$892,"&lt;="&amp;$B72)</f>
        <v>88090.37</v>
      </c>
      <c r="J72" s="24">
        <f>SUMIFS('Saldos Iniciales'!$D:$D,'Saldos Iniciales'!$A:$A,"Electrama")+SUMIFS(Movimientos!$K$1:$K$892,Movimientos!$C$1:$C$892,"Electrama",Movimientos!$B$1:$B$892,"&lt;="&amp;$B72)</f>
        <v>14580.45</v>
      </c>
      <c r="K72" s="24">
        <f>SUMIFS('Saldos Iniciales'!$D:$D,'Saldos Iniciales'!$A:$A,"Sacred Valley Capital")+SUMIFS(Movimientos!$K$1:$K$892,Movimientos!$C$1:$C$892,"Sacred Valley Capital",Movimientos!$B$1:$B$892,"&lt;="&amp;$B72)</f>
        <v>54.400000000000006</v>
      </c>
      <c r="L72" s="24">
        <f>SUMIFS('Saldos Iniciales'!$D:$D,'Saldos Iniciales'!$A:$A,"YWC Capital")+SUMIFS(Movimientos!$K$1:$K$892,Movimientos!$C$1:$C$892,"YWC Capital",Movimientos!$B$1:$B$892,"&lt;="&amp;$B72)</f>
        <v>2207.8200000000002</v>
      </c>
      <c r="M72" s="24">
        <f>SUMIFS('Saldos Iniciales'!$D:$D,'Saldos Iniciales'!$A:$A,"Soweto")+SUMIFS(Movimientos!$K$1:$K$892,Movimientos!$C$1:$C$892,"Soweto",Movimientos!$B$1:$B$892,"&lt;="&amp;$B72)</f>
        <v>1454589.72</v>
      </c>
      <c r="N72" s="24">
        <f>SUMIFS('Saldos Iniciales'!$D:$D,'Saldos Iniciales'!$A:$A,"Green Stone Trust")+SUMIFS(Movimientos!$K$1:$K$892,Movimientos!$C$1:$C$892,"Green Stone Trust",Movimientos!$B$1:$B$892,"&lt;="&amp;$B72)</f>
        <v>1968.99</v>
      </c>
      <c r="O72" s="24">
        <f>SUMIFS('Saldos Iniciales'!$D:$D,'Saldos Iniciales'!$A:$A,"EC Auto")+SUMIFS(Movimientos!$K$1:$K$892,Movimientos!$C$1:$C$892,"EC Auto",Movimientos!$B$1:$B$892,"&lt;="&amp;$B72)</f>
        <v>382.69000000000005</v>
      </c>
      <c r="P72" s="24">
        <f>SUMIFS('Saldos Iniciales'!$D:$D,'Saldos Iniciales'!$A:$A,"Arbor Capital Properties")+SUMIFS(Movimientos!$K$1:$K$892,Movimientos!$C$1:$C$892,"Arbor Capital Properties",Movimientos!$B$1:$B$892,"&lt;="&amp;$B72)</f>
        <v>1412.08</v>
      </c>
      <c r="Q72" s="24">
        <f>SUMIFS('Saldos Iniciales'!$D:$D,'Saldos Iniciales'!$A:$A,"2515 Overbrook")+SUMIFS(Movimientos!$K$1:$K$892,Movimientos!$C$1:$C$892,"2515 Overbrook",Movimientos!$B$1:$B$892,"&lt;="&amp;$B72)</f>
        <v>22496.639999999959</v>
      </c>
      <c r="R72" s="24">
        <f>SUMIFS('Saldos Iniciales'!$D:$D,'Saldos Iniciales'!$A:$A,"112 Florida Ave")+SUMIFS(Movimientos!$K$1:$K$892,Movimientos!$C$1:$C$892,"112 Florida Ave",Movimientos!$B$1:$B$892,"&lt;="&amp;$B72)</f>
        <v>6522.8000000000029</v>
      </c>
      <c r="S72" s="24">
        <f>SUMIFS('Saldos Iniciales'!$D:$D,'Saldos Iniciales'!$A:$A,"3628 Thomas Ave")+SUMIFS(Movimientos!$K$1:$K$892,Movimientos!$C$1:$C$892,"3628 Thomas Ave",Movimientos!$B$1:$B$892,"&lt;="&amp;$B72)</f>
        <v>28485.559999999998</v>
      </c>
      <c r="T72" s="24">
        <f>SUMIFS('Saldos Iniciales'!$D:$D,'Saldos Iniciales'!$A:$A,"Green Harbor Trust")+SUMIFS(Movimientos!$K$1:$K$892,Movimientos!$C$1:$C$892,"Green Harbor Trust",Movimientos!$B$1:$B$892,"&lt;="&amp;$B72)</f>
        <v>345</v>
      </c>
      <c r="U72" s="24">
        <f>SUMIFS('Saldos Iniciales'!$D:$D,'Saldos Iniciales'!$A:$A,"Go Blue")+SUMIFS(Movimientos!$K$1:$K$892,Movimientos!$C$1:$C$892,"Go Blue",Movimientos!$B$1:$B$892,"&lt;="&amp;$B72)</f>
        <v>31900.120000000003</v>
      </c>
      <c r="V72" s="25">
        <f t="shared" ref="V72:V74" si="16">SUM(C72:U72)</f>
        <v>8304010.2400000002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Group")+SUMIFS(Movimientos!$K$1:$K$892,Movimientos!$C$1:$C$892,"CFT Group",Movimientos!$B$1:$B$892,"&lt;="&amp;$B73)</f>
        <v>4163755.7500000005</v>
      </c>
      <c r="D73" s="24">
        <f>SUMIFS('Saldos Iniciales'!$D:$D,'Saldos Iniciales'!$A:$A,"M1B")+SUMIFS(Movimientos!$K$1:$K$892,Movimientos!$C$1:$C$892,"M1B",Movimientos!$B$1:$B$892,"&lt;="&amp;$B73)</f>
        <v>73157.680000000168</v>
      </c>
      <c r="E73" s="24">
        <f>SUMIFS('Saldos Iniciales'!$D:$D,'Saldos Iniciales'!$A:$A,"Durand")+SUMIFS(Movimientos!$K$1:$K$892,Movimientos!$C$1:$C$892,"Durand",Movimientos!$B$1:$B$892,"&lt;="&amp;$B73)</f>
        <v>1669.89</v>
      </c>
      <c r="F73" s="24">
        <f>SUMIFS('Saldos Iniciales'!$D:$D,'Saldos Iniciales'!$A:$A,"A&amp;M Imports")+SUMIFS(Movimientos!$K$1:$K$892,Movimientos!$C$1:$C$892,"A&amp;M Imports",Movimientos!$B$1:$B$892,"&lt;="&amp;$B73)</f>
        <v>290141.62999999989</v>
      </c>
      <c r="G73" s="24">
        <f>SUMIFS('Saldos Iniciales'!$D:$D,'Saldos Iniciales'!$A:$A,"SSP Capital")+SUMIFS(Movimientos!$K$1:$K$892,Movimientos!$C$1:$C$892,"SSP Capital",Movimientos!$B$1:$B$892,"&lt;="&amp;$B73)</f>
        <v>1921752.2699999993</v>
      </c>
      <c r="H73" s="24">
        <f>SUMIFS('Saldos Iniciales'!$D:$D,'Saldos Iniciales'!$A:$A,"Cross Family Trust")+SUMIFS(Movimientos!$K$1:$K$892,Movimientos!$C$1:$C$892,"Cross Family Trust",Movimientos!$B$1:$B$892,"&lt;="&amp;$B73)</f>
        <v>200496.38</v>
      </c>
      <c r="I73" s="24">
        <f>SUMIFS('Saldos Iniciales'!$D:$D,'Saldos Iniciales'!$A:$A,"Cross Security Trust")+SUMIFS(Movimientos!$K$1:$K$892,Movimientos!$C$1:$C$892,"Cross Security Trust",Movimientos!$B$1:$B$892,"&lt;="&amp;$B73)</f>
        <v>88090.37</v>
      </c>
      <c r="J73" s="24">
        <f>SUMIFS('Saldos Iniciales'!$D:$D,'Saldos Iniciales'!$A:$A,"Electrama")+SUMIFS(Movimientos!$K$1:$K$892,Movimientos!$C$1:$C$892,"Electrama",Movimientos!$B$1:$B$892,"&lt;="&amp;$B73)</f>
        <v>14580.45</v>
      </c>
      <c r="K73" s="24">
        <f>SUMIFS('Saldos Iniciales'!$D:$D,'Saldos Iniciales'!$A:$A,"Sacred Valley Capital")+SUMIFS(Movimientos!$K$1:$K$892,Movimientos!$C$1:$C$892,"Sacred Valley Capital",Movimientos!$B$1:$B$892,"&lt;="&amp;$B73)</f>
        <v>54.400000000000006</v>
      </c>
      <c r="L73" s="24">
        <f>SUMIFS('Saldos Iniciales'!$D:$D,'Saldos Iniciales'!$A:$A,"YWC Capital")+SUMIFS(Movimientos!$K$1:$K$892,Movimientos!$C$1:$C$892,"YWC Capital",Movimientos!$B$1:$B$892,"&lt;="&amp;$B73)</f>
        <v>2207.8200000000002</v>
      </c>
      <c r="M73" s="24">
        <f>SUMIFS('Saldos Iniciales'!$D:$D,'Saldos Iniciales'!$A:$A,"Soweto")+SUMIFS(Movimientos!$K$1:$K$892,Movimientos!$C$1:$C$892,"Soweto",Movimientos!$B$1:$B$892,"&lt;="&amp;$B73)</f>
        <v>1454589.72</v>
      </c>
      <c r="N73" s="24">
        <f>SUMIFS('Saldos Iniciales'!$D:$D,'Saldos Iniciales'!$A:$A,"Green Stone Trust")+SUMIFS(Movimientos!$K$1:$K$892,Movimientos!$C$1:$C$892,"Green Stone Trust",Movimientos!$B$1:$B$892,"&lt;="&amp;$B73)</f>
        <v>1968.99</v>
      </c>
      <c r="O73" s="24">
        <f>SUMIFS('Saldos Iniciales'!$D:$D,'Saldos Iniciales'!$A:$A,"EC Auto")+SUMIFS(Movimientos!$K$1:$K$892,Movimientos!$C$1:$C$892,"EC Auto",Movimientos!$B$1:$B$892,"&lt;="&amp;$B73)</f>
        <v>382.69000000000005</v>
      </c>
      <c r="P73" s="24">
        <f>SUMIFS('Saldos Iniciales'!$D:$D,'Saldos Iniciales'!$A:$A,"Arbor Capital Properties")+SUMIFS(Movimientos!$K$1:$K$892,Movimientos!$C$1:$C$892,"Arbor Capital Properties",Movimientos!$B$1:$B$892,"&lt;="&amp;$B73)</f>
        <v>1412.08</v>
      </c>
      <c r="Q73" s="24">
        <f>SUMIFS('Saldos Iniciales'!$D:$D,'Saldos Iniciales'!$A:$A,"2515 Overbrook")+SUMIFS(Movimientos!$K$1:$K$892,Movimientos!$C$1:$C$892,"2515 Overbrook",Movimientos!$B$1:$B$892,"&lt;="&amp;$B73)</f>
        <v>22496.639999999959</v>
      </c>
      <c r="R73" s="24">
        <f>SUMIFS('Saldos Iniciales'!$D:$D,'Saldos Iniciales'!$A:$A,"112 Florida Ave")+SUMIFS(Movimientos!$K$1:$K$892,Movimientos!$C$1:$C$892,"112 Florida Ave",Movimientos!$B$1:$B$892,"&lt;="&amp;$B73)</f>
        <v>6522.8000000000029</v>
      </c>
      <c r="S73" s="24">
        <f>SUMIFS('Saldos Iniciales'!$D:$D,'Saldos Iniciales'!$A:$A,"3628 Thomas Ave")+SUMIFS(Movimientos!$K$1:$K$892,Movimientos!$C$1:$C$892,"3628 Thomas Ave",Movimientos!$B$1:$B$892,"&lt;="&amp;$B73)</f>
        <v>28485.559999999998</v>
      </c>
      <c r="T73" s="24">
        <f>SUMIFS('Saldos Iniciales'!$D:$D,'Saldos Iniciales'!$A:$A,"Green Harbor Trust")+SUMIFS(Movimientos!$K$1:$K$892,Movimientos!$C$1:$C$892,"Green Harbor Trust",Movimientos!$B$1:$B$892,"&lt;="&amp;$B73)</f>
        <v>345</v>
      </c>
      <c r="U73" s="24">
        <f>SUMIFS('Saldos Iniciales'!$D:$D,'Saldos Iniciales'!$A:$A,"Go Blue")+SUMIFS(Movimientos!$K$1:$K$892,Movimientos!$C$1:$C$892,"Go Blue",Movimientos!$B$1:$B$892,"&lt;="&amp;$B73)</f>
        <v>31900.120000000003</v>
      </c>
      <c r="V73" s="25">
        <f t="shared" si="16"/>
        <v>8304010.2400000002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Group")+SUMIFS(Movimientos!$K$1:$K$892,Movimientos!$C$1:$C$892,"CFT Group",Movimientos!$B$1:$B$892,"&lt;="&amp;$B74)</f>
        <v>4163755.7500000005</v>
      </c>
      <c r="D74" s="24">
        <f>SUMIFS('Saldos Iniciales'!$D:$D,'Saldos Iniciales'!$A:$A,"M1B")+SUMIFS(Movimientos!$K$1:$K$892,Movimientos!$C$1:$C$892,"M1B",Movimientos!$B$1:$B$892,"&lt;="&amp;$B74)</f>
        <v>73157.680000000168</v>
      </c>
      <c r="E74" s="24">
        <f>SUMIFS('Saldos Iniciales'!$D:$D,'Saldos Iniciales'!$A:$A,"Durand")+SUMIFS(Movimientos!$K$1:$K$892,Movimientos!$C$1:$C$892,"Durand",Movimientos!$B$1:$B$892,"&lt;="&amp;$B74)</f>
        <v>1669.89</v>
      </c>
      <c r="F74" s="24">
        <f>SUMIFS('Saldos Iniciales'!$D:$D,'Saldos Iniciales'!$A:$A,"A&amp;M Imports")+SUMIFS(Movimientos!$K$1:$K$892,Movimientos!$C$1:$C$892,"A&amp;M Imports",Movimientos!$B$1:$B$892,"&lt;="&amp;$B74)</f>
        <v>290141.62999999989</v>
      </c>
      <c r="G74" s="24">
        <f>SUMIFS('Saldos Iniciales'!$D:$D,'Saldos Iniciales'!$A:$A,"SSP Capital")+SUMIFS(Movimientos!$K$1:$K$892,Movimientos!$C$1:$C$892,"SSP Capital",Movimientos!$B$1:$B$892,"&lt;="&amp;$B74)</f>
        <v>1921752.2699999993</v>
      </c>
      <c r="H74" s="24">
        <f>SUMIFS('Saldos Iniciales'!$D:$D,'Saldos Iniciales'!$A:$A,"Cross Family Trust")+SUMIFS(Movimientos!$K$1:$K$892,Movimientos!$C$1:$C$892,"Cross Family Trust",Movimientos!$B$1:$B$892,"&lt;="&amp;$B74)</f>
        <v>200496.38</v>
      </c>
      <c r="I74" s="24">
        <f>SUMIFS('Saldos Iniciales'!$D:$D,'Saldos Iniciales'!$A:$A,"Cross Security Trust")+SUMIFS(Movimientos!$K$1:$K$892,Movimientos!$C$1:$C$892,"Cross Security Trust",Movimientos!$B$1:$B$892,"&lt;="&amp;$B74)</f>
        <v>88090.37</v>
      </c>
      <c r="J74" s="24">
        <f>SUMIFS('Saldos Iniciales'!$D:$D,'Saldos Iniciales'!$A:$A,"Electrama")+SUMIFS(Movimientos!$K$1:$K$892,Movimientos!$C$1:$C$892,"Electrama",Movimientos!$B$1:$B$892,"&lt;="&amp;$B74)</f>
        <v>14580.45</v>
      </c>
      <c r="K74" s="24">
        <f>SUMIFS('Saldos Iniciales'!$D:$D,'Saldos Iniciales'!$A:$A,"Sacred Valley Capital")+SUMIFS(Movimientos!$K$1:$K$892,Movimientos!$C$1:$C$892,"Sacred Valley Capital",Movimientos!$B$1:$B$892,"&lt;="&amp;$B74)</f>
        <v>54.400000000000006</v>
      </c>
      <c r="L74" s="24">
        <f>SUMIFS('Saldos Iniciales'!$D:$D,'Saldos Iniciales'!$A:$A,"YWC Capital")+SUMIFS(Movimientos!$K$1:$K$892,Movimientos!$C$1:$C$892,"YWC Capital",Movimientos!$B$1:$B$892,"&lt;="&amp;$B74)</f>
        <v>2207.8200000000002</v>
      </c>
      <c r="M74" s="24">
        <f>SUMIFS('Saldos Iniciales'!$D:$D,'Saldos Iniciales'!$A:$A,"Soweto")+SUMIFS(Movimientos!$K$1:$K$892,Movimientos!$C$1:$C$892,"Soweto",Movimientos!$B$1:$B$892,"&lt;="&amp;$B74)</f>
        <v>1454589.72</v>
      </c>
      <c r="N74" s="24">
        <f>SUMIFS('Saldos Iniciales'!$D:$D,'Saldos Iniciales'!$A:$A,"Green Stone Trust")+SUMIFS(Movimientos!$K$1:$K$892,Movimientos!$C$1:$C$892,"Green Stone Trust",Movimientos!$B$1:$B$892,"&lt;="&amp;$B74)</f>
        <v>1968.99</v>
      </c>
      <c r="O74" s="24">
        <f>SUMIFS('Saldos Iniciales'!$D:$D,'Saldos Iniciales'!$A:$A,"EC Auto")+SUMIFS(Movimientos!$K$1:$K$892,Movimientos!$C$1:$C$892,"EC Auto",Movimientos!$B$1:$B$892,"&lt;="&amp;$B74)</f>
        <v>382.69000000000005</v>
      </c>
      <c r="P74" s="24">
        <f>SUMIFS('Saldos Iniciales'!$D:$D,'Saldos Iniciales'!$A:$A,"Arbor Capital Properties")+SUMIFS(Movimientos!$K$1:$K$892,Movimientos!$C$1:$C$892,"Arbor Capital Properties",Movimientos!$B$1:$B$892,"&lt;="&amp;$B74)</f>
        <v>1412.08</v>
      </c>
      <c r="Q74" s="24">
        <f>SUMIFS('Saldos Iniciales'!$D:$D,'Saldos Iniciales'!$A:$A,"2515 Overbrook")+SUMIFS(Movimientos!$K$1:$K$892,Movimientos!$C$1:$C$892,"2515 Overbrook",Movimientos!$B$1:$B$892,"&lt;="&amp;$B74)</f>
        <v>22496.639999999959</v>
      </c>
      <c r="R74" s="24">
        <f>SUMIFS('Saldos Iniciales'!$D:$D,'Saldos Iniciales'!$A:$A,"112 Florida Ave")+SUMIFS(Movimientos!$K$1:$K$892,Movimientos!$C$1:$C$892,"112 Florida Ave",Movimientos!$B$1:$B$892,"&lt;="&amp;$B74)</f>
        <v>6522.8000000000029</v>
      </c>
      <c r="S74" s="24">
        <f>SUMIFS('Saldos Iniciales'!$D:$D,'Saldos Iniciales'!$A:$A,"3628 Thomas Ave")+SUMIFS(Movimientos!$K$1:$K$892,Movimientos!$C$1:$C$892,"3628 Thomas Ave",Movimientos!$B$1:$B$892,"&lt;="&amp;$B74)</f>
        <v>28485.559999999998</v>
      </c>
      <c r="T74" s="24">
        <f>SUMIFS('Saldos Iniciales'!$D:$D,'Saldos Iniciales'!$A:$A,"Green Harbor Trust")+SUMIFS(Movimientos!$K$1:$K$892,Movimientos!$C$1:$C$892,"Green Harbor Trust",Movimientos!$B$1:$B$892,"&lt;="&amp;$B74)</f>
        <v>345</v>
      </c>
      <c r="U74" s="24">
        <f>SUMIFS('Saldos Iniciales'!$D:$D,'Saldos Iniciales'!$A:$A,"Go Blue")+SUMIFS(Movimientos!$K$1:$K$892,Movimientos!$C$1:$C$892,"Go Blue",Movimientos!$B$1:$B$892,"&lt;="&amp;$B74)</f>
        <v>31900.120000000003</v>
      </c>
      <c r="V74" s="25">
        <f t="shared" si="16"/>
        <v>8304010.2400000002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Group")+SUMIFS(Movimientos!$K$1:$K$892,Movimientos!$C$1:$C$892,"CFT Group",Movimientos!$B$1:$B$892,"&lt;="&amp;$B75)</f>
        <v>4163755.7500000005</v>
      </c>
      <c r="D75" s="24">
        <f>SUMIFS('Saldos Iniciales'!$D:$D,'Saldos Iniciales'!$A:$A,"M1B")+SUMIFS(Movimientos!$K$1:$K$892,Movimientos!$C$1:$C$892,"M1B",Movimientos!$B$1:$B$892,"&lt;="&amp;$B75)</f>
        <v>73157.680000000168</v>
      </c>
      <c r="E75" s="24">
        <f>SUMIFS('Saldos Iniciales'!$D:$D,'Saldos Iniciales'!$A:$A,"Durand")+SUMIFS(Movimientos!$K$1:$K$892,Movimientos!$C$1:$C$892,"Durand",Movimientos!$B$1:$B$892,"&lt;="&amp;$B75)</f>
        <v>1669.89</v>
      </c>
      <c r="F75" s="24">
        <f>SUMIFS('Saldos Iniciales'!$D:$D,'Saldos Iniciales'!$A:$A,"A&amp;M Imports")+SUMIFS(Movimientos!$K$1:$K$892,Movimientos!$C$1:$C$892,"A&amp;M Imports",Movimientos!$B$1:$B$892,"&lt;="&amp;$B75)</f>
        <v>290141.62999999989</v>
      </c>
      <c r="G75" s="24">
        <f>SUMIFS('Saldos Iniciales'!$D:$D,'Saldos Iniciales'!$A:$A,"SSP Capital")+SUMIFS(Movimientos!$K$1:$K$892,Movimientos!$C$1:$C$892,"SSP Capital",Movimientos!$B$1:$B$892,"&lt;="&amp;$B75)</f>
        <v>1921752.2699999993</v>
      </c>
      <c r="H75" s="24">
        <f>SUMIFS('Saldos Iniciales'!$D:$D,'Saldos Iniciales'!$A:$A,"Cross Family Trust")+SUMIFS(Movimientos!$K$1:$K$892,Movimientos!$C$1:$C$892,"Cross Family Trust",Movimientos!$B$1:$B$892,"&lt;="&amp;$B75)</f>
        <v>200496.38</v>
      </c>
      <c r="I75" s="24">
        <f>SUMIFS('Saldos Iniciales'!$D:$D,'Saldos Iniciales'!$A:$A,"Cross Security Trust")+SUMIFS(Movimientos!$K$1:$K$892,Movimientos!$C$1:$C$892,"Cross Security Trust",Movimientos!$B$1:$B$892,"&lt;="&amp;$B75)</f>
        <v>88090.37</v>
      </c>
      <c r="J75" s="24">
        <f>SUMIFS('Saldos Iniciales'!$D:$D,'Saldos Iniciales'!$A:$A,"Electrama")+SUMIFS(Movimientos!$K$1:$K$892,Movimientos!$C$1:$C$892,"Electrama",Movimientos!$B$1:$B$892,"&lt;="&amp;$B75)</f>
        <v>14580.45</v>
      </c>
      <c r="K75" s="24">
        <f>SUMIFS('Saldos Iniciales'!$D:$D,'Saldos Iniciales'!$A:$A,"Sacred Valley Capital")+SUMIFS(Movimientos!$K$1:$K$892,Movimientos!$C$1:$C$892,"Sacred Valley Capital",Movimientos!$B$1:$B$892,"&lt;="&amp;$B75)</f>
        <v>54.400000000000006</v>
      </c>
      <c r="L75" s="24">
        <f>SUMIFS('Saldos Iniciales'!$D:$D,'Saldos Iniciales'!$A:$A,"YWC Capital")+SUMIFS(Movimientos!$K$1:$K$892,Movimientos!$C$1:$C$892,"YWC Capital",Movimientos!$B$1:$B$892,"&lt;="&amp;$B75)</f>
        <v>2207.8200000000002</v>
      </c>
      <c r="M75" s="24">
        <f>SUMIFS('Saldos Iniciales'!$D:$D,'Saldos Iniciales'!$A:$A,"Soweto")+SUMIFS(Movimientos!$K$1:$K$892,Movimientos!$C$1:$C$892,"Soweto",Movimientos!$B$1:$B$892,"&lt;="&amp;$B75)</f>
        <v>1454589.72</v>
      </c>
      <c r="N75" s="24">
        <f>SUMIFS('Saldos Iniciales'!$D:$D,'Saldos Iniciales'!$A:$A,"Green Stone Trust")+SUMIFS(Movimientos!$K$1:$K$892,Movimientos!$C$1:$C$892,"Green Stone Trust",Movimientos!$B$1:$B$892,"&lt;="&amp;$B75)</f>
        <v>1968.99</v>
      </c>
      <c r="O75" s="24">
        <f>SUMIFS('Saldos Iniciales'!$D:$D,'Saldos Iniciales'!$A:$A,"EC Auto")+SUMIFS(Movimientos!$K$1:$K$892,Movimientos!$C$1:$C$892,"EC Auto",Movimientos!$B$1:$B$892,"&lt;="&amp;$B75)</f>
        <v>901.34</v>
      </c>
      <c r="P75" s="24">
        <f>SUMIFS('Saldos Iniciales'!$D:$D,'Saldos Iniciales'!$A:$A,"Arbor Capital Properties")+SUMIFS(Movimientos!$K$1:$K$892,Movimientos!$C$1:$C$892,"Arbor Capital Properties",Movimientos!$B$1:$B$892,"&lt;="&amp;$B75)</f>
        <v>1412.08</v>
      </c>
      <c r="Q75" s="24">
        <f>SUMIFS('Saldos Iniciales'!$D:$D,'Saldos Iniciales'!$A:$A,"2515 Overbrook")+SUMIFS(Movimientos!$K$1:$K$892,Movimientos!$C$1:$C$892,"2515 Overbrook",Movimientos!$B$1:$B$892,"&lt;="&amp;$B75)</f>
        <v>22496.639999999959</v>
      </c>
      <c r="R75" s="24">
        <f>SUMIFS('Saldos Iniciales'!$D:$D,'Saldos Iniciales'!$A:$A,"112 Florida Ave")+SUMIFS(Movimientos!$K$1:$K$892,Movimientos!$C$1:$C$892,"112 Florida Ave",Movimientos!$B$1:$B$892,"&lt;="&amp;$B75)</f>
        <v>6522.8000000000029</v>
      </c>
      <c r="S75" s="24">
        <f>SUMIFS('Saldos Iniciales'!$D:$D,'Saldos Iniciales'!$A:$A,"3628 Thomas Ave")+SUMIFS(Movimientos!$K$1:$K$892,Movimientos!$C$1:$C$892,"3628 Thomas Ave",Movimientos!$B$1:$B$892,"&lt;="&amp;$B75)</f>
        <v>28485.559999999998</v>
      </c>
      <c r="T75" s="24">
        <f>SUMIFS('Saldos Iniciales'!$D:$D,'Saldos Iniciales'!$A:$A,"Green Harbor Trust")+SUMIFS(Movimientos!$K$1:$K$892,Movimientos!$C$1:$C$892,"Green Harbor Trust",Movimientos!$B$1:$B$892,"&lt;="&amp;$B75)</f>
        <v>345</v>
      </c>
      <c r="U75" s="24">
        <f>SUMIFS('Saldos Iniciales'!$D:$D,'Saldos Iniciales'!$A:$A,"Go Blue")+SUMIFS(Movimientos!$K$1:$K$892,Movimientos!$C$1:$C$892,"Go Blue",Movimientos!$B$1:$B$892,"&lt;="&amp;$B75)</f>
        <v>25198.240000000002</v>
      </c>
      <c r="V75" s="25">
        <f t="shared" ref="V75:V77" si="17">SUM(C75:U75)</f>
        <v>8297827.0099999998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Group")+SUMIFS(Movimientos!$K$1:$K$892,Movimientos!$C$1:$C$892,"CFT Group",Movimientos!$B$1:$B$892,"&lt;="&amp;$B76)</f>
        <v>3363755.7500000005</v>
      </c>
      <c r="D76" s="24">
        <f>SUMIFS('Saldos Iniciales'!$D:$D,'Saldos Iniciales'!$A:$A,"M1B")+SUMIFS(Movimientos!$K$1:$K$892,Movimientos!$C$1:$C$892,"M1B",Movimientos!$B$1:$B$892,"&lt;="&amp;$B76)</f>
        <v>73157.680000000168</v>
      </c>
      <c r="E76" s="24">
        <f>SUMIFS('Saldos Iniciales'!$D:$D,'Saldos Iniciales'!$A:$A,"Durand")+SUMIFS(Movimientos!$K$1:$K$892,Movimientos!$C$1:$C$892,"Durand",Movimientos!$B$1:$B$892,"&lt;="&amp;$B76)</f>
        <v>1669.89</v>
      </c>
      <c r="F76" s="24">
        <f>SUMIFS('Saldos Iniciales'!$D:$D,'Saldos Iniciales'!$A:$A,"A&amp;M Imports")+SUMIFS(Movimientos!$K$1:$K$892,Movimientos!$C$1:$C$892,"A&amp;M Imports",Movimientos!$B$1:$B$892,"&lt;="&amp;$B76)</f>
        <v>1090141.6299999999</v>
      </c>
      <c r="G76" s="24">
        <f>SUMIFS('Saldos Iniciales'!$D:$D,'Saldos Iniciales'!$A:$A,"SSP Capital")+SUMIFS(Movimientos!$K$1:$K$892,Movimientos!$C$1:$C$892,"SSP Capital",Movimientos!$B$1:$B$892,"&lt;="&amp;$B76)</f>
        <v>1856542.8899999992</v>
      </c>
      <c r="H76" s="24">
        <f>SUMIFS('Saldos Iniciales'!$D:$D,'Saldos Iniciales'!$A:$A,"Cross Family Trust")+SUMIFS(Movimientos!$K$1:$K$892,Movimientos!$C$1:$C$892,"Cross Family Trust",Movimientos!$B$1:$B$892,"&lt;="&amp;$B76)</f>
        <v>200496.38</v>
      </c>
      <c r="I76" s="24">
        <f>SUMIFS('Saldos Iniciales'!$D:$D,'Saldos Iniciales'!$A:$A,"Cross Security Trust")+SUMIFS(Movimientos!$K$1:$K$892,Movimientos!$C$1:$C$892,"Cross Security Trust",Movimientos!$B$1:$B$892,"&lt;="&amp;$B76)</f>
        <v>88090.37</v>
      </c>
      <c r="J76" s="24">
        <f>SUMIFS('Saldos Iniciales'!$D:$D,'Saldos Iniciales'!$A:$A,"Electrama")+SUMIFS(Movimientos!$K$1:$K$892,Movimientos!$C$1:$C$892,"Electrama",Movimientos!$B$1:$B$892,"&lt;="&amp;$B76)</f>
        <v>14580.45</v>
      </c>
      <c r="K76" s="24">
        <f>SUMIFS('Saldos Iniciales'!$D:$D,'Saldos Iniciales'!$A:$A,"Sacred Valley Capital")+SUMIFS(Movimientos!$K$1:$K$892,Movimientos!$C$1:$C$892,"Sacred Valley Capital",Movimientos!$B$1:$B$892,"&lt;="&amp;$B76)</f>
        <v>54.400000000000006</v>
      </c>
      <c r="L76" s="24">
        <f>SUMIFS('Saldos Iniciales'!$D:$D,'Saldos Iniciales'!$A:$A,"YWC Capital")+SUMIFS(Movimientos!$K$1:$K$892,Movimientos!$C$1:$C$892,"YWC Capital",Movimientos!$B$1:$B$892,"&lt;="&amp;$B76)</f>
        <v>2207.8200000000002</v>
      </c>
      <c r="M76" s="24">
        <f>SUMIFS('Saldos Iniciales'!$D:$D,'Saldos Iniciales'!$A:$A,"Soweto")+SUMIFS(Movimientos!$K$1:$K$892,Movimientos!$C$1:$C$892,"Soweto",Movimientos!$B$1:$B$892,"&lt;="&amp;$B76)</f>
        <v>1454589.72</v>
      </c>
      <c r="N76" s="24">
        <f>SUMIFS('Saldos Iniciales'!$D:$D,'Saldos Iniciales'!$A:$A,"Green Stone Trust")+SUMIFS(Movimientos!$K$1:$K$892,Movimientos!$C$1:$C$892,"Green Stone Trust",Movimientos!$B$1:$B$892,"&lt;="&amp;$B76)</f>
        <v>1968.99</v>
      </c>
      <c r="O76" s="24">
        <f>SUMIFS('Saldos Iniciales'!$D:$D,'Saldos Iniciales'!$A:$A,"EC Auto")+SUMIFS(Movimientos!$K$1:$K$892,Movimientos!$C$1:$C$892,"EC Auto",Movimientos!$B$1:$B$892,"&lt;="&amp;$B76)</f>
        <v>901.34</v>
      </c>
      <c r="P76" s="24">
        <f>SUMIFS('Saldos Iniciales'!$D:$D,'Saldos Iniciales'!$A:$A,"Arbor Capital Properties")+SUMIFS(Movimientos!$K$1:$K$892,Movimientos!$C$1:$C$892,"Arbor Capital Properties",Movimientos!$B$1:$B$892,"&lt;="&amp;$B76)</f>
        <v>1412.08</v>
      </c>
      <c r="Q76" s="24">
        <f>SUMIFS('Saldos Iniciales'!$D:$D,'Saldos Iniciales'!$A:$A,"2515 Overbrook")+SUMIFS(Movimientos!$K$1:$K$892,Movimientos!$C$1:$C$892,"2515 Overbrook",Movimientos!$B$1:$B$892,"&lt;="&amp;$B76)</f>
        <v>22347.56999999996</v>
      </c>
      <c r="R76" s="24">
        <f>SUMIFS('Saldos Iniciales'!$D:$D,'Saldos Iniciales'!$A:$A,"112 Florida Ave")+SUMIFS(Movimientos!$K$1:$K$892,Movimientos!$C$1:$C$892,"112 Florida Ave",Movimientos!$B$1:$B$892,"&lt;="&amp;$B76)</f>
        <v>6522.8000000000029</v>
      </c>
      <c r="S76" s="24">
        <f>SUMIFS('Saldos Iniciales'!$D:$D,'Saldos Iniciales'!$A:$A,"3628 Thomas Ave")+SUMIFS(Movimientos!$K$1:$K$892,Movimientos!$C$1:$C$892,"3628 Thomas Ave",Movimientos!$B$1:$B$892,"&lt;="&amp;$B76)</f>
        <v>28485.559999999998</v>
      </c>
      <c r="T76" s="24">
        <f>SUMIFS('Saldos Iniciales'!$D:$D,'Saldos Iniciales'!$A:$A,"Green Harbor Trust")+SUMIFS(Movimientos!$K$1:$K$892,Movimientos!$C$1:$C$892,"Green Harbor Trust",Movimientos!$B$1:$B$892,"&lt;="&amp;$B76)</f>
        <v>345</v>
      </c>
      <c r="U76" s="24">
        <f>SUMIFS('Saldos Iniciales'!$D:$D,'Saldos Iniciales'!$A:$A,"Go Blue")+SUMIFS(Movimientos!$K$1:$K$892,Movimientos!$C$1:$C$892,"Go Blue",Movimientos!$B$1:$B$892,"&lt;="&amp;$B76)</f>
        <v>25198.240000000002</v>
      </c>
      <c r="V76" s="25">
        <f t="shared" si="17"/>
        <v>8232468.5600000005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Group")+SUMIFS(Movimientos!$K$1:$K$892,Movimientos!$C$1:$C$892,"CFT Group",Movimientos!$B$1:$B$892,"&lt;="&amp;$B77)</f>
        <v>3363755.7500000005</v>
      </c>
      <c r="D77" s="24">
        <f>SUMIFS('Saldos Iniciales'!$D:$D,'Saldos Iniciales'!$A:$A,"M1B")+SUMIFS(Movimientos!$K$1:$K$892,Movimientos!$C$1:$C$892,"M1B",Movimientos!$B$1:$B$892,"&lt;="&amp;$B77)</f>
        <v>73157.680000000168</v>
      </c>
      <c r="E77" s="24">
        <f>SUMIFS('Saldos Iniciales'!$D:$D,'Saldos Iniciales'!$A:$A,"Durand")+SUMIFS(Movimientos!$K$1:$K$892,Movimientos!$C$1:$C$892,"Durand",Movimientos!$B$1:$B$892,"&lt;="&amp;$B77)</f>
        <v>1669.89</v>
      </c>
      <c r="F77" s="24">
        <f>SUMIFS('Saldos Iniciales'!$D:$D,'Saldos Iniciales'!$A:$A,"A&amp;M Imports")+SUMIFS(Movimientos!$K$1:$K$892,Movimientos!$C$1:$C$892,"A&amp;M Imports",Movimientos!$B$1:$B$892,"&lt;="&amp;$B77)</f>
        <v>1089804.7499999998</v>
      </c>
      <c r="G77" s="24">
        <f>SUMIFS('Saldos Iniciales'!$D:$D,'Saldos Iniciales'!$A:$A,"SSP Capital")+SUMIFS(Movimientos!$K$1:$K$892,Movimientos!$C$1:$C$892,"SSP Capital",Movimientos!$B$1:$B$892,"&lt;="&amp;$B77)</f>
        <v>1856513.4499999993</v>
      </c>
      <c r="H77" s="24">
        <f>SUMIFS('Saldos Iniciales'!$D:$D,'Saldos Iniciales'!$A:$A,"Cross Family Trust")+SUMIFS(Movimientos!$K$1:$K$892,Movimientos!$C$1:$C$892,"Cross Family Trust",Movimientos!$B$1:$B$892,"&lt;="&amp;$B77)</f>
        <v>200496.38</v>
      </c>
      <c r="I77" s="24">
        <f>SUMIFS('Saldos Iniciales'!$D:$D,'Saldos Iniciales'!$A:$A,"Cross Security Trust")+SUMIFS(Movimientos!$K$1:$K$892,Movimientos!$C$1:$C$892,"Cross Security Trust",Movimientos!$B$1:$B$892,"&lt;="&amp;$B77)</f>
        <v>88090.37</v>
      </c>
      <c r="J77" s="24">
        <f>SUMIFS('Saldos Iniciales'!$D:$D,'Saldos Iniciales'!$A:$A,"Electrama")+SUMIFS(Movimientos!$K$1:$K$892,Movimientos!$C$1:$C$892,"Electrama",Movimientos!$B$1:$B$892,"&lt;="&amp;$B77)</f>
        <v>14580.45</v>
      </c>
      <c r="K77" s="24">
        <f>SUMIFS('Saldos Iniciales'!$D:$D,'Saldos Iniciales'!$A:$A,"Sacred Valley Capital")+SUMIFS(Movimientos!$K$1:$K$892,Movimientos!$C$1:$C$892,"Sacred Valley Capital",Movimientos!$B$1:$B$892,"&lt;="&amp;$B77)</f>
        <v>54.400000000000006</v>
      </c>
      <c r="L77" s="24">
        <f>SUMIFS('Saldos Iniciales'!$D:$D,'Saldos Iniciales'!$A:$A,"YWC Capital")+SUMIFS(Movimientos!$K$1:$K$892,Movimientos!$C$1:$C$892,"YWC Capital",Movimientos!$B$1:$B$892,"&lt;="&amp;$B77)</f>
        <v>2207.8200000000002</v>
      </c>
      <c r="M77" s="24">
        <f>SUMIFS('Saldos Iniciales'!$D:$D,'Saldos Iniciales'!$A:$A,"Soweto")+SUMIFS(Movimientos!$K$1:$K$892,Movimientos!$C$1:$C$892,"Soweto",Movimientos!$B$1:$B$892,"&lt;="&amp;$B77)</f>
        <v>1454589.72</v>
      </c>
      <c r="N77" s="24">
        <f>SUMIFS('Saldos Iniciales'!$D:$D,'Saldos Iniciales'!$A:$A,"Green Stone Trust")+SUMIFS(Movimientos!$K$1:$K$892,Movimientos!$C$1:$C$892,"Green Stone Trust",Movimientos!$B$1:$B$892,"&lt;="&amp;$B77)</f>
        <v>1968.99</v>
      </c>
      <c r="O77" s="24">
        <f>SUMIFS('Saldos Iniciales'!$D:$D,'Saldos Iniciales'!$A:$A,"EC Auto")+SUMIFS(Movimientos!$K$1:$K$892,Movimientos!$C$1:$C$892,"EC Auto",Movimientos!$B$1:$B$892,"&lt;="&amp;$B77)</f>
        <v>901.34</v>
      </c>
      <c r="P77" s="24">
        <f>SUMIFS('Saldos Iniciales'!$D:$D,'Saldos Iniciales'!$A:$A,"Arbor Capital Properties")+SUMIFS(Movimientos!$K$1:$K$892,Movimientos!$C$1:$C$892,"Arbor Capital Properties",Movimientos!$B$1:$B$892,"&lt;="&amp;$B77)</f>
        <v>1412.08</v>
      </c>
      <c r="Q77" s="24">
        <f>SUMIFS('Saldos Iniciales'!$D:$D,'Saldos Iniciales'!$A:$A,"2515 Overbrook")+SUMIFS(Movimientos!$K$1:$K$892,Movimientos!$C$1:$C$892,"2515 Overbrook",Movimientos!$B$1:$B$892,"&lt;="&amp;$B77)</f>
        <v>22347.56999999996</v>
      </c>
      <c r="R77" s="24">
        <f>SUMIFS('Saldos Iniciales'!$D:$D,'Saldos Iniciales'!$A:$A,"112 Florida Ave")+SUMIFS(Movimientos!$K$1:$K$892,Movimientos!$C$1:$C$892,"112 Florida Ave",Movimientos!$B$1:$B$892,"&lt;="&amp;$B77)</f>
        <v>6522.8000000000029</v>
      </c>
      <c r="S77" s="24">
        <f>SUMIFS('Saldos Iniciales'!$D:$D,'Saldos Iniciales'!$A:$A,"3628 Thomas Ave")+SUMIFS(Movimientos!$K$1:$K$892,Movimientos!$C$1:$C$892,"3628 Thomas Ave",Movimientos!$B$1:$B$892,"&lt;="&amp;$B77)</f>
        <v>28485.559999999998</v>
      </c>
      <c r="T77" s="24">
        <f>SUMIFS('Saldos Iniciales'!$D:$D,'Saldos Iniciales'!$A:$A,"Green Harbor Trust")+SUMIFS(Movimientos!$K$1:$K$892,Movimientos!$C$1:$C$892,"Green Harbor Trust",Movimientos!$B$1:$B$892,"&lt;="&amp;$B77)</f>
        <v>345</v>
      </c>
      <c r="U77" s="24">
        <f>SUMIFS('Saldos Iniciales'!$D:$D,'Saldos Iniciales'!$A:$A,"Go Blue")+SUMIFS(Movimientos!$K$1:$K$892,Movimientos!$C$1:$C$892,"Go Blue",Movimientos!$B$1:$B$892,"&lt;="&amp;$B77)</f>
        <v>25023.24</v>
      </c>
      <c r="V77" s="25">
        <f t="shared" si="17"/>
        <v>8231927.2400000002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Group")+SUMIFS(Movimientos!$K$1:$K$892,Movimientos!$C$1:$C$892,"CFT Group",Movimientos!$B$1:$B$892,"&lt;="&amp;$B78)</f>
        <v>3110339.0700000008</v>
      </c>
      <c r="D78" s="24">
        <f>SUMIFS('Saldos Iniciales'!$D:$D,'Saldos Iniciales'!$A:$A,"M1B")+SUMIFS(Movimientos!$K$1:$K$892,Movimientos!$C$1:$C$892,"M1B",Movimientos!$B$1:$B$892,"&lt;="&amp;$B78)</f>
        <v>73157.680000000168</v>
      </c>
      <c r="E78" s="24">
        <f>SUMIFS('Saldos Iniciales'!$D:$D,'Saldos Iniciales'!$A:$A,"Durand")+SUMIFS(Movimientos!$K$1:$K$892,Movimientos!$C$1:$C$892,"Durand",Movimientos!$B$1:$B$892,"&lt;="&amp;$B78)</f>
        <v>1669.89</v>
      </c>
      <c r="F78" s="24">
        <f>SUMIFS('Saldos Iniciales'!$D:$D,'Saldos Iniciales'!$A:$A,"A&amp;M Imports")+SUMIFS(Movimientos!$K$1:$K$892,Movimientos!$C$1:$C$892,"A&amp;M Imports",Movimientos!$B$1:$B$892,"&lt;="&amp;$B78)</f>
        <v>1029804.7499999998</v>
      </c>
      <c r="G78" s="24">
        <f>SUMIFS('Saldos Iniciales'!$D:$D,'Saldos Iniciales'!$A:$A,"SSP Capital")+SUMIFS(Movimientos!$K$1:$K$892,Movimientos!$C$1:$C$892,"SSP Capital",Movimientos!$B$1:$B$892,"&lt;="&amp;$B78)</f>
        <v>1678189.7499999995</v>
      </c>
      <c r="H78" s="24">
        <f>SUMIFS('Saldos Iniciales'!$D:$D,'Saldos Iniciales'!$A:$A,"Cross Family Trust")+SUMIFS(Movimientos!$K$1:$K$892,Movimientos!$C$1:$C$892,"Cross Family Trust",Movimientos!$B$1:$B$892,"&lt;="&amp;$B78)</f>
        <v>200496.38</v>
      </c>
      <c r="I78" s="24">
        <f>SUMIFS('Saldos Iniciales'!$D:$D,'Saldos Iniciales'!$A:$A,"Cross Security Trust")+SUMIFS(Movimientos!$K$1:$K$892,Movimientos!$C$1:$C$892,"Cross Security Trust",Movimientos!$B$1:$B$892,"&lt;="&amp;$B78)</f>
        <v>88090.37</v>
      </c>
      <c r="J78" s="24">
        <f>SUMIFS('Saldos Iniciales'!$D:$D,'Saldos Iniciales'!$A:$A,"Electrama")+SUMIFS(Movimientos!$K$1:$K$892,Movimientos!$C$1:$C$892,"Electrama",Movimientos!$B$1:$B$892,"&lt;="&amp;$B78)</f>
        <v>14580.45</v>
      </c>
      <c r="K78" s="24">
        <f>SUMIFS('Saldos Iniciales'!$D:$D,'Saldos Iniciales'!$A:$A,"Sacred Valley Capital")+SUMIFS(Movimientos!$K$1:$K$892,Movimientos!$C$1:$C$892,"Sacred Valley Capital",Movimientos!$B$1:$B$892,"&lt;="&amp;$B78)</f>
        <v>54.400000000000006</v>
      </c>
      <c r="L78" s="24">
        <f>SUMIFS('Saldos Iniciales'!$D:$D,'Saldos Iniciales'!$A:$A,"YWC Capital")+SUMIFS(Movimientos!$K$1:$K$892,Movimientos!$C$1:$C$892,"YWC Capital",Movimientos!$B$1:$B$892,"&lt;="&amp;$B78)</f>
        <v>2207.8200000000002</v>
      </c>
      <c r="M78" s="24">
        <f>SUMIFS('Saldos Iniciales'!$D:$D,'Saldos Iniciales'!$A:$A,"Soweto")+SUMIFS(Movimientos!$K$1:$K$892,Movimientos!$C$1:$C$892,"Soweto",Movimientos!$B$1:$B$892,"&lt;="&amp;$B78)</f>
        <v>1454589.72</v>
      </c>
      <c r="N78" s="24">
        <f>SUMIFS('Saldos Iniciales'!$D:$D,'Saldos Iniciales'!$A:$A,"Green Stone Trust")+SUMIFS(Movimientos!$K$1:$K$892,Movimientos!$C$1:$C$892,"Green Stone Trust",Movimientos!$B$1:$B$892,"&lt;="&amp;$B78)</f>
        <v>1968.99</v>
      </c>
      <c r="O78" s="24">
        <f>SUMIFS('Saldos Iniciales'!$D:$D,'Saldos Iniciales'!$A:$A,"EC Auto")+SUMIFS(Movimientos!$K$1:$K$892,Movimientos!$C$1:$C$892,"EC Auto",Movimientos!$B$1:$B$892,"&lt;="&amp;$B78)</f>
        <v>901.34</v>
      </c>
      <c r="P78" s="24">
        <f>SUMIFS('Saldos Iniciales'!$D:$D,'Saldos Iniciales'!$A:$A,"Arbor Capital Properties")+SUMIFS(Movimientos!$K$1:$K$892,Movimientos!$C$1:$C$892,"Arbor Capital Properties",Movimientos!$B$1:$B$892,"&lt;="&amp;$B78)</f>
        <v>1412.08</v>
      </c>
      <c r="Q78" s="24">
        <f>SUMIFS('Saldos Iniciales'!$D:$D,'Saldos Iniciales'!$A:$A,"2515 Overbrook")+SUMIFS(Movimientos!$K$1:$K$892,Movimientos!$C$1:$C$892,"2515 Overbrook",Movimientos!$B$1:$B$892,"&lt;="&amp;$B78)</f>
        <v>22347.56999999996</v>
      </c>
      <c r="R78" s="24">
        <f>SUMIFS('Saldos Iniciales'!$D:$D,'Saldos Iniciales'!$A:$A,"112 Florida Ave")+SUMIFS(Movimientos!$K$1:$K$892,Movimientos!$C$1:$C$892,"112 Florida Ave",Movimientos!$B$1:$B$892,"&lt;="&amp;$B78)</f>
        <v>3522.8000000000029</v>
      </c>
      <c r="S78" s="24">
        <f>SUMIFS('Saldos Iniciales'!$D:$D,'Saldos Iniciales'!$A:$A,"3628 Thomas Ave")+SUMIFS(Movimientos!$K$1:$K$892,Movimientos!$C$1:$C$892,"3628 Thomas Ave",Movimientos!$B$1:$B$892,"&lt;="&amp;$B78)</f>
        <v>28485.559999999998</v>
      </c>
      <c r="T78" s="24">
        <f>SUMIFS('Saldos Iniciales'!$D:$D,'Saldos Iniciales'!$A:$A,"Green Harbor Trust")+SUMIFS(Movimientos!$K$1:$K$892,Movimientos!$C$1:$C$892,"Green Harbor Trust",Movimientos!$B$1:$B$892,"&lt;="&amp;$B78)</f>
        <v>345</v>
      </c>
      <c r="U78" s="24">
        <f>SUMIFS('Saldos Iniciales'!$D:$D,'Saldos Iniciales'!$A:$A,"Go Blue")+SUMIFS(Movimientos!$K$1:$K$892,Movimientos!$C$1:$C$892,"Go Blue",Movimientos!$B$1:$B$892,"&lt;="&amp;$B78)</f>
        <v>23978.850000000002</v>
      </c>
      <c r="V78" s="25">
        <f t="shared" ref="V78:V79" si="18">SUM(C78:U78)</f>
        <v>7736142.4700000007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Group")+SUMIFS(Movimientos!$K$1:$K$892,Movimientos!$C$1:$C$892,"CFT Group",Movimientos!$B$1:$B$892,"&lt;="&amp;$B79)</f>
        <v>3110339.0700000008</v>
      </c>
      <c r="D79" s="24">
        <f>SUMIFS('Saldos Iniciales'!$D:$D,'Saldos Iniciales'!$A:$A,"M1B")+SUMIFS(Movimientos!$K$1:$K$892,Movimientos!$C$1:$C$892,"M1B",Movimientos!$B$1:$B$892,"&lt;="&amp;$B79)</f>
        <v>73157.680000000168</v>
      </c>
      <c r="E79" s="24">
        <f>SUMIFS('Saldos Iniciales'!$D:$D,'Saldos Iniciales'!$A:$A,"Durand")+SUMIFS(Movimientos!$K$1:$K$892,Movimientos!$C$1:$C$892,"Durand",Movimientos!$B$1:$B$892,"&lt;="&amp;$B79)</f>
        <v>1669.89</v>
      </c>
      <c r="F79" s="24">
        <f>SUMIFS('Saldos Iniciales'!$D:$D,'Saldos Iniciales'!$A:$A,"A&amp;M Imports")+SUMIFS(Movimientos!$K$1:$K$892,Movimientos!$C$1:$C$892,"A&amp;M Imports",Movimientos!$B$1:$B$892,"&lt;="&amp;$B79)</f>
        <v>1029804.7499999998</v>
      </c>
      <c r="G79" s="24">
        <f>SUMIFS('Saldos Iniciales'!$D:$D,'Saldos Iniciales'!$A:$A,"SSP Capital")+SUMIFS(Movimientos!$K$1:$K$892,Movimientos!$C$1:$C$892,"SSP Capital",Movimientos!$B$1:$B$892,"&lt;="&amp;$B79)</f>
        <v>1748189.7499999995</v>
      </c>
      <c r="H79" s="24">
        <f>SUMIFS('Saldos Iniciales'!$D:$D,'Saldos Iniciales'!$A:$A,"Cross Family Trust")+SUMIFS(Movimientos!$K$1:$K$892,Movimientos!$C$1:$C$892,"Cross Family Trust",Movimientos!$B$1:$B$892,"&lt;="&amp;$B79)</f>
        <v>200496.38</v>
      </c>
      <c r="I79" s="24">
        <f>SUMIFS('Saldos Iniciales'!$D:$D,'Saldos Iniciales'!$A:$A,"Cross Security Trust")+SUMIFS(Movimientos!$K$1:$K$892,Movimientos!$C$1:$C$892,"Cross Security Trust",Movimientos!$B$1:$B$892,"&lt;="&amp;$B79)</f>
        <v>88090.37</v>
      </c>
      <c r="J79" s="24">
        <f>SUMIFS('Saldos Iniciales'!$D:$D,'Saldos Iniciales'!$A:$A,"Electrama")+SUMIFS(Movimientos!$K$1:$K$892,Movimientos!$C$1:$C$892,"Electrama",Movimientos!$B$1:$B$892,"&lt;="&amp;$B79)</f>
        <v>14580.45</v>
      </c>
      <c r="K79" s="24">
        <f>SUMIFS('Saldos Iniciales'!$D:$D,'Saldos Iniciales'!$A:$A,"Sacred Valley Capital")+SUMIFS(Movimientos!$K$1:$K$892,Movimientos!$C$1:$C$892,"Sacred Valley Capital",Movimientos!$B$1:$B$892,"&lt;="&amp;$B79)</f>
        <v>54.400000000000006</v>
      </c>
      <c r="L79" s="24">
        <f>SUMIFS('Saldos Iniciales'!$D:$D,'Saldos Iniciales'!$A:$A,"YWC Capital")+SUMIFS(Movimientos!$K$1:$K$892,Movimientos!$C$1:$C$892,"YWC Capital",Movimientos!$B$1:$B$892,"&lt;="&amp;$B79)</f>
        <v>2207.8200000000002</v>
      </c>
      <c r="M79" s="24">
        <f>SUMIFS('Saldos Iniciales'!$D:$D,'Saldos Iniciales'!$A:$A,"Soweto")+SUMIFS(Movimientos!$K$1:$K$892,Movimientos!$C$1:$C$892,"Soweto",Movimientos!$B$1:$B$892,"&lt;="&amp;$B79)</f>
        <v>1454589.72</v>
      </c>
      <c r="N79" s="24">
        <f>SUMIFS('Saldos Iniciales'!$D:$D,'Saldos Iniciales'!$A:$A,"Green Stone Trust")+SUMIFS(Movimientos!$K$1:$K$892,Movimientos!$C$1:$C$892,"Green Stone Trust",Movimientos!$B$1:$B$892,"&lt;="&amp;$B79)</f>
        <v>1968.99</v>
      </c>
      <c r="O79" s="24">
        <f>SUMIFS('Saldos Iniciales'!$D:$D,'Saldos Iniciales'!$A:$A,"EC Auto")+SUMIFS(Movimientos!$K$1:$K$892,Movimientos!$C$1:$C$892,"EC Auto",Movimientos!$B$1:$B$892,"&lt;="&amp;$B79)</f>
        <v>901.34</v>
      </c>
      <c r="P79" s="24">
        <f>SUMIFS('Saldos Iniciales'!$D:$D,'Saldos Iniciales'!$A:$A,"Arbor Capital Properties")+SUMIFS(Movimientos!$K$1:$K$892,Movimientos!$C$1:$C$892,"Arbor Capital Properties",Movimientos!$B$1:$B$892,"&lt;="&amp;$B79)</f>
        <v>1412.08</v>
      </c>
      <c r="Q79" s="24">
        <f>SUMIFS('Saldos Iniciales'!$D:$D,'Saldos Iniciales'!$A:$A,"2515 Overbrook")+SUMIFS(Movimientos!$K$1:$K$892,Movimientos!$C$1:$C$892,"2515 Overbrook",Movimientos!$B$1:$B$892,"&lt;="&amp;$B79)</f>
        <v>22347.56999999996</v>
      </c>
      <c r="R79" s="24">
        <f>SUMIFS('Saldos Iniciales'!$D:$D,'Saldos Iniciales'!$A:$A,"112 Florida Ave")+SUMIFS(Movimientos!$K$1:$K$892,Movimientos!$C$1:$C$892,"112 Florida Ave",Movimientos!$B$1:$B$892,"&lt;="&amp;$B79)</f>
        <v>3522.8000000000029</v>
      </c>
      <c r="S79" s="24">
        <f>SUMIFS('Saldos Iniciales'!$D:$D,'Saldos Iniciales'!$A:$A,"3628 Thomas Ave")+SUMIFS(Movimientos!$K$1:$K$892,Movimientos!$C$1:$C$892,"3628 Thomas Ave",Movimientos!$B$1:$B$892,"&lt;="&amp;$B79)</f>
        <v>28485.559999999998</v>
      </c>
      <c r="T79" s="24">
        <f>SUMIFS('Saldos Iniciales'!$D:$D,'Saldos Iniciales'!$A:$A,"Green Harbor Trust")+SUMIFS(Movimientos!$K$1:$K$892,Movimientos!$C$1:$C$892,"Green Harbor Trust",Movimientos!$B$1:$B$892,"&lt;="&amp;$B79)</f>
        <v>345</v>
      </c>
      <c r="U79" s="24">
        <f>SUMIFS('Saldos Iniciales'!$D:$D,'Saldos Iniciales'!$A:$A,"Go Blue")+SUMIFS(Movimientos!$K$1:$K$892,Movimientos!$C$1:$C$892,"Go Blue",Movimientos!$B$1:$B$892,"&lt;="&amp;$B79)</f>
        <v>16230.620000000003</v>
      </c>
      <c r="V79" s="25">
        <f t="shared" si="18"/>
        <v>7798394.2400000012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Group")+SUMIFS(Movimientos!$K$1:$K$892,Movimientos!$C$1:$C$892,"CFT Group",Movimientos!$B$1:$B$892,"&lt;="&amp;$B80)</f>
        <v>3110339.0700000008</v>
      </c>
      <c r="D80" s="24">
        <f>SUMIFS('Saldos Iniciales'!$D:$D,'Saldos Iniciales'!$A:$A,"M1B")+SUMIFS(Movimientos!$K$1:$K$892,Movimientos!$C$1:$C$892,"M1B",Movimientos!$B$1:$B$892,"&lt;="&amp;$B80)</f>
        <v>73157.680000000168</v>
      </c>
      <c r="E80" s="24">
        <f>SUMIFS('Saldos Iniciales'!$D:$D,'Saldos Iniciales'!$A:$A,"Durand")+SUMIFS(Movimientos!$K$1:$K$892,Movimientos!$C$1:$C$892,"Durand",Movimientos!$B$1:$B$892,"&lt;="&amp;$B80)</f>
        <v>1669.89</v>
      </c>
      <c r="F80" s="24">
        <f>SUMIFS('Saldos Iniciales'!$D:$D,'Saldos Iniciales'!$A:$A,"A&amp;M Imports")+SUMIFS(Movimientos!$K$1:$K$892,Movimientos!$C$1:$C$892,"A&amp;M Imports",Movimientos!$B$1:$B$892,"&lt;="&amp;$B80)</f>
        <v>1029804.7499999998</v>
      </c>
      <c r="G80" s="24">
        <f>SUMIFS('Saldos Iniciales'!$D:$D,'Saldos Iniciales'!$A:$A,"SSP Capital")+SUMIFS(Movimientos!$K$1:$K$892,Movimientos!$C$1:$C$892,"SSP Capital",Movimientos!$B$1:$B$892,"&lt;="&amp;$B80)</f>
        <v>1748189.7499999995</v>
      </c>
      <c r="H80" s="24">
        <f>SUMIFS('Saldos Iniciales'!$D:$D,'Saldos Iniciales'!$A:$A,"Cross Family Trust")+SUMIFS(Movimientos!$K$1:$K$892,Movimientos!$C$1:$C$892,"Cross Family Trust",Movimientos!$B$1:$B$892,"&lt;="&amp;$B80)</f>
        <v>200496.38</v>
      </c>
      <c r="I80" s="24">
        <f>SUMIFS('Saldos Iniciales'!$D:$D,'Saldos Iniciales'!$A:$A,"Cross Security Trust")+SUMIFS(Movimientos!$K$1:$K$892,Movimientos!$C$1:$C$892,"Cross Security Trust",Movimientos!$B$1:$B$892,"&lt;="&amp;$B80)</f>
        <v>88090.37</v>
      </c>
      <c r="J80" s="24">
        <f>SUMIFS('Saldos Iniciales'!$D:$D,'Saldos Iniciales'!$A:$A,"Electrama")+SUMIFS(Movimientos!$K$1:$K$892,Movimientos!$C$1:$C$892,"Electrama",Movimientos!$B$1:$B$892,"&lt;="&amp;$B80)</f>
        <v>14580.45</v>
      </c>
      <c r="K80" s="24">
        <f>SUMIFS('Saldos Iniciales'!$D:$D,'Saldos Iniciales'!$A:$A,"Sacred Valley Capital")+SUMIFS(Movimientos!$K$1:$K$892,Movimientos!$C$1:$C$892,"Sacred Valley Capital",Movimientos!$B$1:$B$892,"&lt;="&amp;$B80)</f>
        <v>54.400000000000006</v>
      </c>
      <c r="L80" s="24">
        <f>SUMIFS('Saldos Iniciales'!$D:$D,'Saldos Iniciales'!$A:$A,"YWC Capital")+SUMIFS(Movimientos!$K$1:$K$892,Movimientos!$C$1:$C$892,"YWC Capital",Movimientos!$B$1:$B$892,"&lt;="&amp;$B80)</f>
        <v>2207.8200000000002</v>
      </c>
      <c r="M80" s="24">
        <f>SUMIFS('Saldos Iniciales'!$D:$D,'Saldos Iniciales'!$A:$A,"Soweto")+SUMIFS(Movimientos!$K$1:$K$892,Movimientos!$C$1:$C$892,"Soweto",Movimientos!$B$1:$B$892,"&lt;="&amp;$B80)</f>
        <v>1454589.72</v>
      </c>
      <c r="N80" s="24">
        <f>SUMIFS('Saldos Iniciales'!$D:$D,'Saldos Iniciales'!$A:$A,"Green Stone Trust")+SUMIFS(Movimientos!$K$1:$K$892,Movimientos!$C$1:$C$892,"Green Stone Trust",Movimientos!$B$1:$B$892,"&lt;="&amp;$B80)</f>
        <v>1968.99</v>
      </c>
      <c r="O80" s="24">
        <f>SUMIFS('Saldos Iniciales'!$D:$D,'Saldos Iniciales'!$A:$A,"EC Auto")+SUMIFS(Movimientos!$K$1:$K$892,Movimientos!$C$1:$C$892,"EC Auto",Movimientos!$B$1:$B$892,"&lt;="&amp;$B80)</f>
        <v>901.34</v>
      </c>
      <c r="P80" s="24">
        <f>SUMIFS('Saldos Iniciales'!$D:$D,'Saldos Iniciales'!$A:$A,"Arbor Capital Properties")+SUMIFS(Movimientos!$K$1:$K$892,Movimientos!$C$1:$C$892,"Arbor Capital Properties",Movimientos!$B$1:$B$892,"&lt;="&amp;$B80)</f>
        <v>1412.08</v>
      </c>
      <c r="Q80" s="24">
        <f>SUMIFS('Saldos Iniciales'!$D:$D,'Saldos Iniciales'!$A:$A,"2515 Overbrook")+SUMIFS(Movimientos!$K$1:$K$892,Movimientos!$C$1:$C$892,"2515 Overbrook",Movimientos!$B$1:$B$892,"&lt;="&amp;$B80)</f>
        <v>22347.56999999996</v>
      </c>
      <c r="R80" s="24">
        <f>SUMIFS('Saldos Iniciales'!$D:$D,'Saldos Iniciales'!$A:$A,"112 Florida Ave")+SUMIFS(Movimientos!$K$1:$K$892,Movimientos!$C$1:$C$892,"112 Florida Ave",Movimientos!$B$1:$B$892,"&lt;="&amp;$B80)</f>
        <v>3522.8000000000029</v>
      </c>
      <c r="S80" s="24">
        <f>SUMIFS('Saldos Iniciales'!$D:$D,'Saldos Iniciales'!$A:$A,"3628 Thomas Ave")+SUMIFS(Movimientos!$K$1:$K$892,Movimientos!$C$1:$C$892,"3628 Thomas Ave",Movimientos!$B$1:$B$892,"&lt;="&amp;$B80)</f>
        <v>28485.559999999998</v>
      </c>
      <c r="T80" s="24">
        <f>SUMIFS('Saldos Iniciales'!$D:$D,'Saldos Iniciales'!$A:$A,"Green Harbor Trust")+SUMIFS(Movimientos!$K$1:$K$892,Movimientos!$C$1:$C$892,"Green Harbor Trust",Movimientos!$B$1:$B$892,"&lt;="&amp;$B80)</f>
        <v>345</v>
      </c>
      <c r="U80" s="24">
        <f>SUMIFS('Saldos Iniciales'!$D:$D,'Saldos Iniciales'!$A:$A,"Go Blue")+SUMIFS(Movimientos!$K$1:$K$892,Movimientos!$C$1:$C$892,"Go Blue",Movimientos!$B$1:$B$892,"&lt;="&amp;$B80)</f>
        <v>16230.620000000003</v>
      </c>
      <c r="V80" s="25">
        <f t="shared" ref="V80:V81" si="19">SUM(C80:U80)</f>
        <v>7798394.2400000012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Group")+SUMIFS(Movimientos!$K$1:$K$892,Movimientos!$C$1:$C$892,"CFT Group",Movimientos!$B$1:$B$892,"&lt;="&amp;$B81)</f>
        <v>3110339.0700000008</v>
      </c>
      <c r="D81" s="24">
        <f>SUMIFS('Saldos Iniciales'!$D:$D,'Saldos Iniciales'!$A:$A,"M1B")+SUMIFS(Movimientos!$K$1:$K$892,Movimientos!$C$1:$C$892,"M1B",Movimientos!$B$1:$B$892,"&lt;="&amp;$B81)</f>
        <v>73157.680000000168</v>
      </c>
      <c r="E81" s="24">
        <f>SUMIFS('Saldos Iniciales'!$D:$D,'Saldos Iniciales'!$A:$A,"Durand")+SUMIFS(Movimientos!$K$1:$K$892,Movimientos!$C$1:$C$892,"Durand",Movimientos!$B$1:$B$892,"&lt;="&amp;$B81)</f>
        <v>1669.89</v>
      </c>
      <c r="F81" s="24">
        <f>SUMIFS('Saldos Iniciales'!$D:$D,'Saldos Iniciales'!$A:$A,"A&amp;M Imports")+SUMIFS(Movimientos!$K$1:$K$892,Movimientos!$C$1:$C$892,"A&amp;M Imports",Movimientos!$B$1:$B$892,"&lt;="&amp;$B81)</f>
        <v>1029804.7499999998</v>
      </c>
      <c r="G81" s="24">
        <f>SUMIFS('Saldos Iniciales'!$D:$D,'Saldos Iniciales'!$A:$A,"SSP Capital")+SUMIFS(Movimientos!$K$1:$K$892,Movimientos!$C$1:$C$892,"SSP Capital",Movimientos!$B$1:$B$892,"&lt;="&amp;$B81)</f>
        <v>1748189.7499999995</v>
      </c>
      <c r="H81" s="24">
        <f>SUMIFS('Saldos Iniciales'!$D:$D,'Saldos Iniciales'!$A:$A,"Cross Family Trust")+SUMIFS(Movimientos!$K$1:$K$892,Movimientos!$C$1:$C$892,"Cross Family Trust",Movimientos!$B$1:$B$892,"&lt;="&amp;$B81)</f>
        <v>200496.38</v>
      </c>
      <c r="I81" s="24">
        <f>SUMIFS('Saldos Iniciales'!$D:$D,'Saldos Iniciales'!$A:$A,"Cross Security Trust")+SUMIFS(Movimientos!$K$1:$K$892,Movimientos!$C$1:$C$892,"Cross Security Trust",Movimientos!$B$1:$B$892,"&lt;="&amp;$B81)</f>
        <v>88090.37</v>
      </c>
      <c r="J81" s="24">
        <f>SUMIFS('Saldos Iniciales'!$D:$D,'Saldos Iniciales'!$A:$A,"Electrama")+SUMIFS(Movimientos!$K$1:$K$892,Movimientos!$C$1:$C$892,"Electrama",Movimientos!$B$1:$B$892,"&lt;="&amp;$B81)</f>
        <v>14580.45</v>
      </c>
      <c r="K81" s="24">
        <f>SUMIFS('Saldos Iniciales'!$D:$D,'Saldos Iniciales'!$A:$A,"Sacred Valley Capital")+SUMIFS(Movimientos!$K$1:$K$892,Movimientos!$C$1:$C$892,"Sacred Valley Capital",Movimientos!$B$1:$B$892,"&lt;="&amp;$B81)</f>
        <v>54.400000000000006</v>
      </c>
      <c r="L81" s="24">
        <f>SUMIFS('Saldos Iniciales'!$D:$D,'Saldos Iniciales'!$A:$A,"YWC Capital")+SUMIFS(Movimientos!$K$1:$K$892,Movimientos!$C$1:$C$892,"YWC Capital",Movimientos!$B$1:$B$892,"&lt;="&amp;$B81)</f>
        <v>2207.8200000000002</v>
      </c>
      <c r="M81" s="24">
        <f>SUMIFS('Saldos Iniciales'!$D:$D,'Saldos Iniciales'!$A:$A,"Soweto")+SUMIFS(Movimientos!$K$1:$K$892,Movimientos!$C$1:$C$892,"Soweto",Movimientos!$B$1:$B$892,"&lt;="&amp;$B81)</f>
        <v>1454589.72</v>
      </c>
      <c r="N81" s="24">
        <f>SUMIFS('Saldos Iniciales'!$D:$D,'Saldos Iniciales'!$A:$A,"Green Stone Trust")+SUMIFS(Movimientos!$K$1:$K$892,Movimientos!$C$1:$C$892,"Green Stone Trust",Movimientos!$B$1:$B$892,"&lt;="&amp;$B81)</f>
        <v>1968.99</v>
      </c>
      <c r="O81" s="24">
        <f>SUMIFS('Saldos Iniciales'!$D:$D,'Saldos Iniciales'!$A:$A,"EC Auto")+SUMIFS(Movimientos!$K$1:$K$892,Movimientos!$C$1:$C$892,"EC Auto",Movimientos!$B$1:$B$892,"&lt;="&amp;$B81)</f>
        <v>901.34</v>
      </c>
      <c r="P81" s="24">
        <f>SUMIFS('Saldos Iniciales'!$D:$D,'Saldos Iniciales'!$A:$A,"Arbor Capital Properties")+SUMIFS(Movimientos!$K$1:$K$892,Movimientos!$C$1:$C$892,"Arbor Capital Properties",Movimientos!$B$1:$B$892,"&lt;="&amp;$B81)</f>
        <v>1412.08</v>
      </c>
      <c r="Q81" s="24">
        <f>SUMIFS('Saldos Iniciales'!$D:$D,'Saldos Iniciales'!$A:$A,"2515 Overbrook")+SUMIFS(Movimientos!$K$1:$K$892,Movimientos!$C$1:$C$892,"2515 Overbrook",Movimientos!$B$1:$B$892,"&lt;="&amp;$B81)</f>
        <v>22347.56999999996</v>
      </c>
      <c r="R81" s="24">
        <f>SUMIFS('Saldos Iniciales'!$D:$D,'Saldos Iniciales'!$A:$A,"112 Florida Ave")+SUMIFS(Movimientos!$K$1:$K$892,Movimientos!$C$1:$C$892,"112 Florida Ave",Movimientos!$B$1:$B$892,"&lt;="&amp;$B81)</f>
        <v>3522.8000000000029</v>
      </c>
      <c r="S81" s="24">
        <f>SUMIFS('Saldos Iniciales'!$D:$D,'Saldos Iniciales'!$A:$A,"3628 Thomas Ave")+SUMIFS(Movimientos!$K$1:$K$892,Movimientos!$C$1:$C$892,"3628 Thomas Ave",Movimientos!$B$1:$B$892,"&lt;="&amp;$B81)</f>
        <v>28485.559999999998</v>
      </c>
      <c r="T81" s="24">
        <f>SUMIFS('Saldos Iniciales'!$D:$D,'Saldos Iniciales'!$A:$A,"Green Harbor Trust")+SUMIFS(Movimientos!$K$1:$K$892,Movimientos!$C$1:$C$892,"Green Harbor Trust",Movimientos!$B$1:$B$892,"&lt;="&amp;$B81)</f>
        <v>345</v>
      </c>
      <c r="U81" s="24">
        <f>SUMIFS('Saldos Iniciales'!$D:$D,'Saldos Iniciales'!$A:$A,"Go Blue")+SUMIFS(Movimientos!$K$1:$K$892,Movimientos!$C$1:$C$892,"Go Blue",Movimientos!$B$1:$B$892,"&lt;="&amp;$B81)</f>
        <v>16230.620000000003</v>
      </c>
      <c r="V81" s="25">
        <f t="shared" si="19"/>
        <v>7798394.2400000012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Group")+SUMIFS(Movimientos!$K$1:$K$892,Movimientos!$C$1:$C$892,"CFT Group",Movimientos!$B$1:$B$892,"&lt;="&amp;$B82)</f>
        <v>3110339.0700000008</v>
      </c>
      <c r="D82" s="24">
        <f>SUMIFS('Saldos Iniciales'!$D:$D,'Saldos Iniciales'!$A:$A,"M1B")+SUMIFS(Movimientos!$K$1:$K$892,Movimientos!$C$1:$C$892,"M1B",Movimientos!$B$1:$B$892,"&lt;="&amp;$B82)</f>
        <v>73157.680000000168</v>
      </c>
      <c r="E82" s="24">
        <f>SUMIFS('Saldos Iniciales'!$D:$D,'Saldos Iniciales'!$A:$A,"Durand")+SUMIFS(Movimientos!$K$1:$K$892,Movimientos!$C$1:$C$892,"Durand",Movimientos!$B$1:$B$892,"&lt;="&amp;$B82)</f>
        <v>1669.89</v>
      </c>
      <c r="F82" s="24">
        <f>SUMIFS('Saldos Iniciales'!$D:$D,'Saldos Iniciales'!$A:$A,"A&amp;M Imports")+SUMIFS(Movimientos!$K$1:$K$892,Movimientos!$C$1:$C$892,"A&amp;M Imports",Movimientos!$B$1:$B$892,"&lt;="&amp;$B82)</f>
        <v>1029804.7499999998</v>
      </c>
      <c r="G82" s="24">
        <f>SUMIFS('Saldos Iniciales'!$D:$D,'Saldos Iniciales'!$A:$A,"SSP Capital")+SUMIFS(Movimientos!$K$1:$K$892,Movimientos!$C$1:$C$892,"SSP Capital",Movimientos!$B$1:$B$892,"&lt;="&amp;$B82)</f>
        <v>1744257.8699999994</v>
      </c>
      <c r="H82" s="24">
        <f>SUMIFS('Saldos Iniciales'!$D:$D,'Saldos Iniciales'!$A:$A,"Cross Family Trust")+SUMIFS(Movimientos!$K$1:$K$892,Movimientos!$C$1:$C$892,"Cross Family Trust",Movimientos!$B$1:$B$892,"&lt;="&amp;$B82)</f>
        <v>200496.38</v>
      </c>
      <c r="I82" s="24">
        <f>SUMIFS('Saldos Iniciales'!$D:$D,'Saldos Iniciales'!$A:$A,"Cross Security Trust")+SUMIFS(Movimientos!$K$1:$K$892,Movimientos!$C$1:$C$892,"Cross Security Trust",Movimientos!$B$1:$B$892,"&lt;="&amp;$B82)</f>
        <v>88090.37</v>
      </c>
      <c r="J82" s="24">
        <f>SUMIFS('Saldos Iniciales'!$D:$D,'Saldos Iniciales'!$A:$A,"Electrama")+SUMIFS(Movimientos!$K$1:$K$892,Movimientos!$C$1:$C$892,"Electrama",Movimientos!$B$1:$B$892,"&lt;="&amp;$B82)</f>
        <v>14580.45</v>
      </c>
      <c r="K82" s="24">
        <f>SUMIFS('Saldos Iniciales'!$D:$D,'Saldos Iniciales'!$A:$A,"Sacred Valley Capital")+SUMIFS(Movimientos!$K$1:$K$892,Movimientos!$C$1:$C$892,"Sacred Valley Capital",Movimientos!$B$1:$B$892,"&lt;="&amp;$B82)</f>
        <v>54.400000000000006</v>
      </c>
      <c r="L82" s="24">
        <f>SUMIFS('Saldos Iniciales'!$D:$D,'Saldos Iniciales'!$A:$A,"YWC Capital")+SUMIFS(Movimientos!$K$1:$K$892,Movimientos!$C$1:$C$892,"YWC Capital",Movimientos!$B$1:$B$892,"&lt;="&amp;$B82)</f>
        <v>2207.8200000000002</v>
      </c>
      <c r="M82" s="24">
        <f>SUMIFS('Saldos Iniciales'!$D:$D,'Saldos Iniciales'!$A:$A,"Soweto")+SUMIFS(Movimientos!$K$1:$K$892,Movimientos!$C$1:$C$892,"Soweto",Movimientos!$B$1:$B$892,"&lt;="&amp;$B82)</f>
        <v>1454589.72</v>
      </c>
      <c r="N82" s="24">
        <f>SUMIFS('Saldos Iniciales'!$D:$D,'Saldos Iniciales'!$A:$A,"Green Stone Trust")+SUMIFS(Movimientos!$K$1:$K$892,Movimientos!$C$1:$C$892,"Green Stone Trust",Movimientos!$B$1:$B$892,"&lt;="&amp;$B82)</f>
        <v>1968.99</v>
      </c>
      <c r="O82" s="24">
        <f>SUMIFS('Saldos Iniciales'!$D:$D,'Saldos Iniciales'!$A:$A,"EC Auto")+SUMIFS(Movimientos!$K$1:$K$892,Movimientos!$C$1:$C$892,"EC Auto",Movimientos!$B$1:$B$892,"&lt;="&amp;$B82)</f>
        <v>901.34</v>
      </c>
      <c r="P82" s="24">
        <f>SUMIFS('Saldos Iniciales'!$D:$D,'Saldos Iniciales'!$A:$A,"Arbor Capital Properties")+SUMIFS(Movimientos!$K$1:$K$892,Movimientos!$C$1:$C$892,"Arbor Capital Properties",Movimientos!$B$1:$B$892,"&lt;="&amp;$B82)</f>
        <v>1412.08</v>
      </c>
      <c r="Q82" s="24">
        <f>SUMIFS('Saldos Iniciales'!$D:$D,'Saldos Iniciales'!$A:$A,"2515 Overbrook")+SUMIFS(Movimientos!$K$1:$K$892,Movimientos!$C$1:$C$892,"2515 Overbrook",Movimientos!$B$1:$B$892,"&lt;="&amp;$B82)</f>
        <v>22347.56999999996</v>
      </c>
      <c r="R82" s="24">
        <f>SUMIFS('Saldos Iniciales'!$D:$D,'Saldos Iniciales'!$A:$A,"112 Florida Ave")+SUMIFS(Movimientos!$K$1:$K$892,Movimientos!$C$1:$C$892,"112 Florida Ave",Movimientos!$B$1:$B$892,"&lt;="&amp;$B82)</f>
        <v>3522.8000000000029</v>
      </c>
      <c r="S82" s="24">
        <f>SUMIFS('Saldos Iniciales'!$D:$D,'Saldos Iniciales'!$A:$A,"3628 Thomas Ave")+SUMIFS(Movimientos!$K$1:$K$892,Movimientos!$C$1:$C$892,"3628 Thomas Ave",Movimientos!$B$1:$B$892,"&lt;="&amp;$B82)</f>
        <v>28485.559999999998</v>
      </c>
      <c r="T82" s="24">
        <f>SUMIFS('Saldos Iniciales'!$D:$D,'Saldos Iniciales'!$A:$A,"Green Harbor Trust")+SUMIFS(Movimientos!$K$1:$K$892,Movimientos!$C$1:$C$892,"Green Harbor Trust",Movimientos!$B$1:$B$892,"&lt;="&amp;$B82)</f>
        <v>345</v>
      </c>
      <c r="U82" s="24">
        <f>SUMIFS('Saldos Iniciales'!$D:$D,'Saldos Iniciales'!$A:$A,"Go Blue")+SUMIFS(Movimientos!$K$1:$K$892,Movimientos!$C$1:$C$892,"Go Blue",Movimientos!$B$1:$B$892,"&lt;="&amp;$B82)</f>
        <v>14097.480000000003</v>
      </c>
      <c r="V82" s="25">
        <f t="shared" ref="V82:V87" si="20">SUM(C82:U82)</f>
        <v>7792329.2200000007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Group")+SUMIFS(Movimientos!$K$1:$K$892,Movimientos!$C$1:$C$892,"CFT Group",Movimientos!$B$1:$B$892,"&lt;="&amp;$B83)</f>
        <v>3110339.0700000008</v>
      </c>
      <c r="D83" s="24">
        <f>SUMIFS('Saldos Iniciales'!$D:$D,'Saldos Iniciales'!$A:$A,"M1B")+SUMIFS(Movimientos!$K$1:$K$892,Movimientos!$C$1:$C$892,"M1B",Movimientos!$B$1:$B$892,"&lt;="&amp;$B83)</f>
        <v>73157.680000000168</v>
      </c>
      <c r="E83" s="24">
        <f>SUMIFS('Saldos Iniciales'!$D:$D,'Saldos Iniciales'!$A:$A,"Durand")+SUMIFS(Movimientos!$K$1:$K$892,Movimientos!$C$1:$C$892,"Durand",Movimientos!$B$1:$B$892,"&lt;="&amp;$B83)</f>
        <v>1669.89</v>
      </c>
      <c r="F83" s="24">
        <f>SUMIFS('Saldos Iniciales'!$D:$D,'Saldos Iniciales'!$A:$A,"A&amp;M Imports")+SUMIFS(Movimientos!$K$1:$K$892,Movimientos!$C$1:$C$892,"A&amp;M Imports",Movimientos!$B$1:$B$892,"&lt;="&amp;$B83)</f>
        <v>1029804.7499999998</v>
      </c>
      <c r="G83" s="24">
        <f>SUMIFS('Saldos Iniciales'!$D:$D,'Saldos Iniciales'!$A:$A,"SSP Capital")+SUMIFS(Movimientos!$K$1:$K$892,Movimientos!$C$1:$C$892,"SSP Capital",Movimientos!$B$1:$B$892,"&lt;="&amp;$B83)</f>
        <v>1744257.8699999994</v>
      </c>
      <c r="H83" s="24">
        <f>SUMIFS('Saldos Iniciales'!$D:$D,'Saldos Iniciales'!$A:$A,"Cross Family Trust")+SUMIFS(Movimientos!$K$1:$K$892,Movimientos!$C$1:$C$892,"Cross Family Trust",Movimientos!$B$1:$B$892,"&lt;="&amp;$B83)</f>
        <v>200496.38</v>
      </c>
      <c r="I83" s="24">
        <f>SUMIFS('Saldos Iniciales'!$D:$D,'Saldos Iniciales'!$A:$A,"Cross Security Trust")+SUMIFS(Movimientos!$K$1:$K$892,Movimientos!$C$1:$C$892,"Cross Security Trust",Movimientos!$B$1:$B$892,"&lt;="&amp;$B83)</f>
        <v>88090.37</v>
      </c>
      <c r="J83" s="24">
        <f>SUMIFS('Saldos Iniciales'!$D:$D,'Saldos Iniciales'!$A:$A,"Electrama")+SUMIFS(Movimientos!$K$1:$K$892,Movimientos!$C$1:$C$892,"Electrama",Movimientos!$B$1:$B$892,"&lt;="&amp;$B83)</f>
        <v>14580.45</v>
      </c>
      <c r="K83" s="24">
        <f>SUMIFS('Saldos Iniciales'!$D:$D,'Saldos Iniciales'!$A:$A,"Sacred Valley Capital")+SUMIFS(Movimientos!$K$1:$K$892,Movimientos!$C$1:$C$892,"Sacred Valley Capital",Movimientos!$B$1:$B$892,"&lt;="&amp;$B83)</f>
        <v>54.400000000000006</v>
      </c>
      <c r="L83" s="24">
        <f>SUMIFS('Saldos Iniciales'!$D:$D,'Saldos Iniciales'!$A:$A,"YWC Capital")+SUMIFS(Movimientos!$K$1:$K$892,Movimientos!$C$1:$C$892,"YWC Capital",Movimientos!$B$1:$B$892,"&lt;="&amp;$B83)</f>
        <v>2207.8200000000002</v>
      </c>
      <c r="M83" s="24">
        <f>SUMIFS('Saldos Iniciales'!$D:$D,'Saldos Iniciales'!$A:$A,"Soweto")+SUMIFS(Movimientos!$K$1:$K$892,Movimientos!$C$1:$C$892,"Soweto",Movimientos!$B$1:$B$892,"&lt;="&amp;$B83)</f>
        <v>1454589.72</v>
      </c>
      <c r="N83" s="24">
        <f>SUMIFS('Saldos Iniciales'!$D:$D,'Saldos Iniciales'!$A:$A,"Green Stone Trust")+SUMIFS(Movimientos!$K$1:$K$892,Movimientos!$C$1:$C$892,"Green Stone Trust",Movimientos!$B$1:$B$892,"&lt;="&amp;$B83)</f>
        <v>1968.99</v>
      </c>
      <c r="O83" s="24">
        <f>SUMIFS('Saldos Iniciales'!$D:$D,'Saldos Iniciales'!$A:$A,"EC Auto")+SUMIFS(Movimientos!$K$1:$K$892,Movimientos!$C$1:$C$892,"EC Auto",Movimientos!$B$1:$B$892,"&lt;="&amp;$B83)</f>
        <v>901.34</v>
      </c>
      <c r="P83" s="24">
        <f>SUMIFS('Saldos Iniciales'!$D:$D,'Saldos Iniciales'!$A:$A,"Arbor Capital Properties")+SUMIFS(Movimientos!$K$1:$K$892,Movimientos!$C$1:$C$892,"Arbor Capital Properties",Movimientos!$B$1:$B$892,"&lt;="&amp;$B83)</f>
        <v>1412.08</v>
      </c>
      <c r="Q83" s="24">
        <f>SUMIFS('Saldos Iniciales'!$D:$D,'Saldos Iniciales'!$A:$A,"2515 Overbrook")+SUMIFS(Movimientos!$K$1:$K$892,Movimientos!$C$1:$C$892,"2515 Overbrook",Movimientos!$B$1:$B$892,"&lt;="&amp;$B83)</f>
        <v>22347.56999999996</v>
      </c>
      <c r="R83" s="24">
        <f>SUMIFS('Saldos Iniciales'!$D:$D,'Saldos Iniciales'!$A:$A,"112 Florida Ave")+SUMIFS(Movimientos!$K$1:$K$892,Movimientos!$C$1:$C$892,"112 Florida Ave",Movimientos!$B$1:$B$892,"&lt;="&amp;$B83)</f>
        <v>3522.8000000000029</v>
      </c>
      <c r="S83" s="24">
        <f>SUMIFS('Saldos Iniciales'!$D:$D,'Saldos Iniciales'!$A:$A,"3628 Thomas Ave")+SUMIFS(Movimientos!$K$1:$K$892,Movimientos!$C$1:$C$892,"3628 Thomas Ave",Movimientos!$B$1:$B$892,"&lt;="&amp;$B83)</f>
        <v>28485.559999999998</v>
      </c>
      <c r="T83" s="24">
        <f>SUMIFS('Saldos Iniciales'!$D:$D,'Saldos Iniciales'!$A:$A,"Green Harbor Trust")+SUMIFS(Movimientos!$K$1:$K$892,Movimientos!$C$1:$C$892,"Green Harbor Trust",Movimientos!$B$1:$B$892,"&lt;="&amp;$B83)</f>
        <v>345</v>
      </c>
      <c r="U83" s="24">
        <f>SUMIFS('Saldos Iniciales'!$D:$D,'Saldos Iniciales'!$A:$A,"Go Blue")+SUMIFS(Movimientos!$K$1:$K$892,Movimientos!$C$1:$C$892,"Go Blue",Movimientos!$B$1:$B$892,"&lt;="&amp;$B83)</f>
        <v>13745.850000000002</v>
      </c>
      <c r="V83" s="25">
        <f t="shared" si="20"/>
        <v>7791977.5899999999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Group")+SUMIFS(Movimientos!$K$1:$K$892,Movimientos!$C$1:$C$892,"CFT Group",Movimientos!$B$1:$B$892,"&lt;="&amp;$B84)</f>
        <v>2255755.7400000007</v>
      </c>
      <c r="D84" s="24">
        <f>SUMIFS('Saldos Iniciales'!$D:$D,'Saldos Iniciales'!$A:$A,"M1B")+SUMIFS(Movimientos!$K$1:$K$892,Movimientos!$C$1:$C$892,"M1B",Movimientos!$B$1:$B$892,"&lt;="&amp;$B84)</f>
        <v>73157.680000000168</v>
      </c>
      <c r="E84" s="24">
        <f>SUMIFS('Saldos Iniciales'!$D:$D,'Saldos Iniciales'!$A:$A,"Durand")+SUMIFS(Movimientos!$K$1:$K$892,Movimientos!$C$1:$C$892,"Durand",Movimientos!$B$1:$B$892,"&lt;="&amp;$B84)</f>
        <v>1669.89</v>
      </c>
      <c r="F84" s="24">
        <f>SUMIFS('Saldos Iniciales'!$D:$D,'Saldos Iniciales'!$A:$A,"A&amp;M Imports")+SUMIFS(Movimientos!$K$1:$K$892,Movimientos!$C$1:$C$892,"A&amp;M Imports",Movimientos!$B$1:$B$892,"&lt;="&amp;$B84)</f>
        <v>1002754.9899999998</v>
      </c>
      <c r="G84" s="24">
        <f>SUMIFS('Saldos Iniciales'!$D:$D,'Saldos Iniciales'!$A:$A,"SSP Capital")+SUMIFS(Movimientos!$K$1:$K$892,Movimientos!$C$1:$C$892,"SSP Capital",Movimientos!$B$1:$B$892,"&lt;="&amp;$B84)</f>
        <v>2022877.8699999996</v>
      </c>
      <c r="H84" s="24">
        <f>SUMIFS('Saldos Iniciales'!$D:$D,'Saldos Iniciales'!$A:$A,"Cross Family Trust")+SUMIFS(Movimientos!$K$1:$K$892,Movimientos!$C$1:$C$892,"Cross Family Trust",Movimientos!$B$1:$B$892,"&lt;="&amp;$B84)</f>
        <v>200496.38</v>
      </c>
      <c r="I84" s="24">
        <f>SUMIFS('Saldos Iniciales'!$D:$D,'Saldos Iniciales'!$A:$A,"Cross Security Trust")+SUMIFS(Movimientos!$K$1:$K$892,Movimientos!$C$1:$C$892,"Cross Security Trust",Movimientos!$B$1:$B$892,"&lt;="&amp;$B84)</f>
        <v>88090.37</v>
      </c>
      <c r="J84" s="24">
        <f>SUMIFS('Saldos Iniciales'!$D:$D,'Saldos Iniciales'!$A:$A,"Electrama")+SUMIFS(Movimientos!$K$1:$K$892,Movimientos!$C$1:$C$892,"Electrama",Movimientos!$B$1:$B$892,"&lt;="&amp;$B84)</f>
        <v>14580.45</v>
      </c>
      <c r="K84" s="24">
        <f>SUMIFS('Saldos Iniciales'!$D:$D,'Saldos Iniciales'!$A:$A,"Sacred Valley Capital")+SUMIFS(Movimientos!$K$1:$K$892,Movimientos!$C$1:$C$892,"Sacred Valley Capital",Movimientos!$B$1:$B$892,"&lt;="&amp;$B84)</f>
        <v>54.400000000000006</v>
      </c>
      <c r="L84" s="24">
        <f>SUMIFS('Saldos Iniciales'!$D:$D,'Saldos Iniciales'!$A:$A,"YWC Capital")+SUMIFS(Movimientos!$K$1:$K$892,Movimientos!$C$1:$C$892,"YWC Capital",Movimientos!$B$1:$B$892,"&lt;="&amp;$B84)</f>
        <v>2207.8200000000002</v>
      </c>
      <c r="M84" s="24">
        <f>SUMIFS('Saldos Iniciales'!$D:$D,'Saldos Iniciales'!$A:$A,"Soweto")+SUMIFS(Movimientos!$K$1:$K$892,Movimientos!$C$1:$C$892,"Soweto",Movimientos!$B$1:$B$892,"&lt;="&amp;$B84)</f>
        <v>1454589.72</v>
      </c>
      <c r="N84" s="24">
        <f>SUMIFS('Saldos Iniciales'!$D:$D,'Saldos Iniciales'!$A:$A,"Green Stone Trust")+SUMIFS(Movimientos!$K$1:$K$892,Movimientos!$C$1:$C$892,"Green Stone Trust",Movimientos!$B$1:$B$892,"&lt;="&amp;$B84)</f>
        <v>1968.99</v>
      </c>
      <c r="O84" s="24">
        <f>SUMIFS('Saldos Iniciales'!$D:$D,'Saldos Iniciales'!$A:$A,"EC Auto")+SUMIFS(Movimientos!$K$1:$K$892,Movimientos!$C$1:$C$892,"EC Auto",Movimientos!$B$1:$B$892,"&lt;="&amp;$B84)</f>
        <v>901.34</v>
      </c>
      <c r="P84" s="24">
        <f>SUMIFS('Saldos Iniciales'!$D:$D,'Saldos Iniciales'!$A:$A,"Arbor Capital Properties")+SUMIFS(Movimientos!$K$1:$K$892,Movimientos!$C$1:$C$892,"Arbor Capital Properties",Movimientos!$B$1:$B$892,"&lt;="&amp;$B84)</f>
        <v>1412.08</v>
      </c>
      <c r="Q84" s="24">
        <f>SUMIFS('Saldos Iniciales'!$D:$D,'Saldos Iniciales'!$A:$A,"2515 Overbrook")+SUMIFS(Movimientos!$K$1:$K$892,Movimientos!$C$1:$C$892,"2515 Overbrook",Movimientos!$B$1:$B$892,"&lt;="&amp;$B84)</f>
        <v>22347.56999999996</v>
      </c>
      <c r="R84" s="24">
        <f>SUMIFS('Saldos Iniciales'!$D:$D,'Saldos Iniciales'!$A:$A,"112 Florida Ave")+SUMIFS(Movimientos!$K$1:$K$892,Movimientos!$C$1:$C$892,"112 Florida Ave",Movimientos!$B$1:$B$892,"&lt;="&amp;$B84)</f>
        <v>3522.8000000000029</v>
      </c>
      <c r="S84" s="24">
        <f>SUMIFS('Saldos Iniciales'!$D:$D,'Saldos Iniciales'!$A:$A,"3628 Thomas Ave")+SUMIFS(Movimientos!$K$1:$K$892,Movimientos!$C$1:$C$892,"3628 Thomas Ave",Movimientos!$B$1:$B$892,"&lt;="&amp;$B84)</f>
        <v>28485.559999999998</v>
      </c>
      <c r="T84" s="24">
        <f>SUMIFS('Saldos Iniciales'!$D:$D,'Saldos Iniciales'!$A:$A,"Green Harbor Trust")+SUMIFS(Movimientos!$K$1:$K$892,Movimientos!$C$1:$C$892,"Green Harbor Trust",Movimientos!$B$1:$B$892,"&lt;="&amp;$B84)</f>
        <v>345</v>
      </c>
      <c r="U84" s="24">
        <f>SUMIFS('Saldos Iniciales'!$D:$D,'Saldos Iniciales'!$A:$A,"Go Blue")+SUMIFS(Movimientos!$K$1:$K$892,Movimientos!$C$1:$C$892,"Go Blue",Movimientos!$B$1:$B$892,"&lt;="&amp;$B84)</f>
        <v>10252.290000000003</v>
      </c>
      <c r="V84" s="25">
        <f t="shared" si="20"/>
        <v>7185470.9400000004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Group")+SUMIFS(Movimientos!$K$1:$K$892,Movimientos!$C$1:$C$892,"CFT Group",Movimientos!$B$1:$B$892,"&lt;="&amp;$B85)</f>
        <v>2255750.7400000007</v>
      </c>
      <c r="D85" s="24">
        <f>SUMIFS('Saldos Iniciales'!$D:$D,'Saldos Iniciales'!$A:$A,"M1B")+SUMIFS(Movimientos!$K$1:$K$892,Movimientos!$C$1:$C$892,"M1B",Movimientos!$B$1:$B$892,"&lt;="&amp;$B85)</f>
        <v>73157.680000000168</v>
      </c>
      <c r="E85" s="24">
        <f>SUMIFS('Saldos Iniciales'!$D:$D,'Saldos Iniciales'!$A:$A,"Durand")+SUMIFS(Movimientos!$K$1:$K$892,Movimientos!$C$1:$C$892,"Durand",Movimientos!$B$1:$B$892,"&lt;="&amp;$B85)</f>
        <v>1669.89</v>
      </c>
      <c r="F85" s="24">
        <f>SUMIFS('Saldos Iniciales'!$D:$D,'Saldos Iniciales'!$A:$A,"A&amp;M Imports")+SUMIFS(Movimientos!$K$1:$K$892,Movimientos!$C$1:$C$892,"A&amp;M Imports",Movimientos!$B$1:$B$892,"&lt;="&amp;$B85)</f>
        <v>1042744.6899999997</v>
      </c>
      <c r="G85" s="24">
        <f>SUMIFS('Saldos Iniciales'!$D:$D,'Saldos Iniciales'!$A:$A,"SSP Capital")+SUMIFS(Movimientos!$K$1:$K$892,Movimientos!$C$1:$C$892,"SSP Capital",Movimientos!$B$1:$B$892,"&lt;="&amp;$B85)</f>
        <v>2022877.8699999996</v>
      </c>
      <c r="H85" s="24">
        <f>SUMIFS('Saldos Iniciales'!$D:$D,'Saldos Iniciales'!$A:$A,"Cross Family Trust")+SUMIFS(Movimientos!$K$1:$K$892,Movimientos!$C$1:$C$892,"Cross Family Trust",Movimientos!$B$1:$B$892,"&lt;="&amp;$B85)</f>
        <v>200496.38</v>
      </c>
      <c r="I85" s="24">
        <f>SUMIFS('Saldos Iniciales'!$D:$D,'Saldos Iniciales'!$A:$A,"Cross Security Trust")+SUMIFS(Movimientos!$K$1:$K$892,Movimientos!$C$1:$C$892,"Cross Security Trust",Movimientos!$B$1:$B$892,"&lt;="&amp;$B85)</f>
        <v>88090.37</v>
      </c>
      <c r="J85" s="24">
        <f>SUMIFS('Saldos Iniciales'!$D:$D,'Saldos Iniciales'!$A:$A,"Electrama")+SUMIFS(Movimientos!$K$1:$K$892,Movimientos!$C$1:$C$892,"Electrama",Movimientos!$B$1:$B$892,"&lt;="&amp;$B85)</f>
        <v>14580.45</v>
      </c>
      <c r="K85" s="24">
        <f>SUMIFS('Saldos Iniciales'!$D:$D,'Saldos Iniciales'!$A:$A,"Sacred Valley Capital")+SUMIFS(Movimientos!$K$1:$K$892,Movimientos!$C$1:$C$892,"Sacred Valley Capital",Movimientos!$B$1:$B$892,"&lt;="&amp;$B85)</f>
        <v>54.400000000000006</v>
      </c>
      <c r="L85" s="24">
        <f>SUMIFS('Saldos Iniciales'!$D:$D,'Saldos Iniciales'!$A:$A,"YWC Capital")+SUMIFS(Movimientos!$K$1:$K$892,Movimientos!$C$1:$C$892,"YWC Capital",Movimientos!$B$1:$B$892,"&lt;="&amp;$B85)</f>
        <v>2207.8200000000002</v>
      </c>
      <c r="M85" s="24">
        <f>SUMIFS('Saldos Iniciales'!$D:$D,'Saldos Iniciales'!$A:$A,"Soweto")+SUMIFS(Movimientos!$K$1:$K$892,Movimientos!$C$1:$C$892,"Soweto",Movimientos!$B$1:$B$892,"&lt;="&amp;$B85)</f>
        <v>1454589.72</v>
      </c>
      <c r="N85" s="24">
        <f>SUMIFS('Saldos Iniciales'!$D:$D,'Saldos Iniciales'!$A:$A,"Green Stone Trust")+SUMIFS(Movimientos!$K$1:$K$892,Movimientos!$C$1:$C$892,"Green Stone Trust",Movimientos!$B$1:$B$892,"&lt;="&amp;$B85)</f>
        <v>1968.99</v>
      </c>
      <c r="O85" s="24">
        <f>SUMIFS('Saldos Iniciales'!$D:$D,'Saldos Iniciales'!$A:$A,"EC Auto")+SUMIFS(Movimientos!$K$1:$K$892,Movimientos!$C$1:$C$892,"EC Auto",Movimientos!$B$1:$B$892,"&lt;="&amp;$B85)</f>
        <v>901.34</v>
      </c>
      <c r="P85" s="24">
        <f>SUMIFS('Saldos Iniciales'!$D:$D,'Saldos Iniciales'!$A:$A,"Arbor Capital Properties")+SUMIFS(Movimientos!$K$1:$K$892,Movimientos!$C$1:$C$892,"Arbor Capital Properties",Movimientos!$B$1:$B$892,"&lt;="&amp;$B85)</f>
        <v>1412.08</v>
      </c>
      <c r="Q85" s="24">
        <f>SUMIFS('Saldos Iniciales'!$D:$D,'Saldos Iniciales'!$A:$A,"2515 Overbrook")+SUMIFS(Movimientos!$K$1:$K$892,Movimientos!$C$1:$C$892,"2515 Overbrook",Movimientos!$B$1:$B$892,"&lt;="&amp;$B85)</f>
        <v>22347.56999999996</v>
      </c>
      <c r="R85" s="24">
        <f>SUMIFS('Saldos Iniciales'!$D:$D,'Saldos Iniciales'!$A:$A,"112 Florida Ave")+SUMIFS(Movimientos!$K$1:$K$892,Movimientos!$C$1:$C$892,"112 Florida Ave",Movimientos!$B$1:$B$892,"&lt;="&amp;$B85)</f>
        <v>18522.800000000003</v>
      </c>
      <c r="S85" s="24">
        <f>SUMIFS('Saldos Iniciales'!$D:$D,'Saldos Iniciales'!$A:$A,"3628 Thomas Ave")+SUMIFS(Movimientos!$K$1:$K$892,Movimientos!$C$1:$C$892,"3628 Thomas Ave",Movimientos!$B$1:$B$892,"&lt;="&amp;$B85)</f>
        <v>28485.559999999998</v>
      </c>
      <c r="T85" s="24">
        <f>SUMIFS('Saldos Iniciales'!$D:$D,'Saldos Iniciales'!$A:$A,"Green Harbor Trust")+SUMIFS(Movimientos!$K$1:$K$892,Movimientos!$C$1:$C$892,"Green Harbor Trust",Movimientos!$B$1:$B$892,"&lt;="&amp;$B85)</f>
        <v>345</v>
      </c>
      <c r="U85" s="24">
        <f>SUMIFS('Saldos Iniciales'!$D:$D,'Saldos Iniciales'!$A:$A,"Go Blue")+SUMIFS(Movimientos!$K$1:$K$892,Movimientos!$C$1:$C$892,"Go Blue",Movimientos!$B$1:$B$892,"&lt;="&amp;$B85)</f>
        <v>9958.7100000000028</v>
      </c>
      <c r="V85" s="25">
        <f t="shared" si="20"/>
        <v>7240162.0600000015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Group")+SUMIFS(Movimientos!$K$1:$K$892,Movimientos!$C$1:$C$892,"CFT Group",Movimientos!$B$1:$B$892,"&lt;="&amp;$B86)</f>
        <v>2255750.7400000007</v>
      </c>
      <c r="D86" s="24">
        <f>SUMIFS('Saldos Iniciales'!$D:$D,'Saldos Iniciales'!$A:$A,"M1B")+SUMIFS(Movimientos!$K$1:$K$892,Movimientos!$C$1:$C$892,"M1B",Movimientos!$B$1:$B$892,"&lt;="&amp;$B86)</f>
        <v>73157.680000000168</v>
      </c>
      <c r="E86" s="24">
        <f>SUMIFS('Saldos Iniciales'!$D:$D,'Saldos Iniciales'!$A:$A,"Durand")+SUMIFS(Movimientos!$K$1:$K$892,Movimientos!$C$1:$C$892,"Durand",Movimientos!$B$1:$B$892,"&lt;="&amp;$B86)</f>
        <v>1669.89</v>
      </c>
      <c r="F86" s="24">
        <f>SUMIFS('Saldos Iniciales'!$D:$D,'Saldos Iniciales'!$A:$A,"A&amp;M Imports")+SUMIFS(Movimientos!$K$1:$K$892,Movimientos!$C$1:$C$892,"A&amp;M Imports",Movimientos!$B$1:$B$892,"&lt;="&amp;$B86)</f>
        <v>1042744.6899999997</v>
      </c>
      <c r="G86" s="24">
        <f>SUMIFS('Saldos Iniciales'!$D:$D,'Saldos Iniciales'!$A:$A,"SSP Capital")+SUMIFS(Movimientos!$K$1:$K$892,Movimientos!$C$1:$C$892,"SSP Capital",Movimientos!$B$1:$B$892,"&lt;="&amp;$B86)</f>
        <v>2022877.8699999996</v>
      </c>
      <c r="H86" s="24">
        <f>SUMIFS('Saldos Iniciales'!$D:$D,'Saldos Iniciales'!$A:$A,"Cross Family Trust")+SUMIFS(Movimientos!$K$1:$K$892,Movimientos!$C$1:$C$892,"Cross Family Trust",Movimientos!$B$1:$B$892,"&lt;="&amp;$B86)</f>
        <v>200496.38</v>
      </c>
      <c r="I86" s="24">
        <f>SUMIFS('Saldos Iniciales'!$D:$D,'Saldos Iniciales'!$A:$A,"Cross Security Trust")+SUMIFS(Movimientos!$K$1:$K$892,Movimientos!$C$1:$C$892,"Cross Security Trust",Movimientos!$B$1:$B$892,"&lt;="&amp;$B86)</f>
        <v>88090.37</v>
      </c>
      <c r="J86" s="24">
        <f>SUMIFS('Saldos Iniciales'!$D:$D,'Saldos Iniciales'!$A:$A,"Electrama")+SUMIFS(Movimientos!$K$1:$K$892,Movimientos!$C$1:$C$892,"Electrama",Movimientos!$B$1:$B$892,"&lt;="&amp;$B86)</f>
        <v>14580.45</v>
      </c>
      <c r="K86" s="24">
        <f>SUMIFS('Saldos Iniciales'!$D:$D,'Saldos Iniciales'!$A:$A,"Sacred Valley Capital")+SUMIFS(Movimientos!$K$1:$K$892,Movimientos!$C$1:$C$892,"Sacred Valley Capital",Movimientos!$B$1:$B$892,"&lt;="&amp;$B86)</f>
        <v>54.400000000000006</v>
      </c>
      <c r="L86" s="24">
        <f>SUMIFS('Saldos Iniciales'!$D:$D,'Saldos Iniciales'!$A:$A,"YWC Capital")+SUMIFS(Movimientos!$K$1:$K$892,Movimientos!$C$1:$C$892,"YWC Capital",Movimientos!$B$1:$B$892,"&lt;="&amp;$B86)</f>
        <v>2207.8200000000002</v>
      </c>
      <c r="M86" s="24">
        <f>SUMIFS('Saldos Iniciales'!$D:$D,'Saldos Iniciales'!$A:$A,"Soweto")+SUMIFS(Movimientos!$K$1:$K$892,Movimientos!$C$1:$C$892,"Soweto",Movimientos!$B$1:$B$892,"&lt;="&amp;$B86)</f>
        <v>1454589.72</v>
      </c>
      <c r="N86" s="24">
        <f>SUMIFS('Saldos Iniciales'!$D:$D,'Saldos Iniciales'!$A:$A,"Green Stone Trust")+SUMIFS(Movimientos!$K$1:$K$892,Movimientos!$C$1:$C$892,"Green Stone Trust",Movimientos!$B$1:$B$892,"&lt;="&amp;$B86)</f>
        <v>1968.99</v>
      </c>
      <c r="O86" s="24">
        <f>SUMIFS('Saldos Iniciales'!$D:$D,'Saldos Iniciales'!$A:$A,"EC Auto")+SUMIFS(Movimientos!$K$1:$K$892,Movimientos!$C$1:$C$892,"EC Auto",Movimientos!$B$1:$B$892,"&lt;="&amp;$B86)</f>
        <v>901.34</v>
      </c>
      <c r="P86" s="24">
        <f>SUMIFS('Saldos Iniciales'!$D:$D,'Saldos Iniciales'!$A:$A,"Arbor Capital Properties")+SUMIFS(Movimientos!$K$1:$K$892,Movimientos!$C$1:$C$892,"Arbor Capital Properties",Movimientos!$B$1:$B$892,"&lt;="&amp;$B86)</f>
        <v>1412.08</v>
      </c>
      <c r="Q86" s="24">
        <f>SUMIFS('Saldos Iniciales'!$D:$D,'Saldos Iniciales'!$A:$A,"2515 Overbrook")+SUMIFS(Movimientos!$K$1:$K$892,Movimientos!$C$1:$C$892,"2515 Overbrook",Movimientos!$B$1:$B$892,"&lt;="&amp;$B86)</f>
        <v>22347.56999999996</v>
      </c>
      <c r="R86" s="24">
        <f>SUMIFS('Saldos Iniciales'!$D:$D,'Saldos Iniciales'!$A:$A,"112 Florida Ave")+SUMIFS(Movimientos!$K$1:$K$892,Movimientos!$C$1:$C$892,"112 Florida Ave",Movimientos!$B$1:$B$892,"&lt;="&amp;$B86)</f>
        <v>18522.800000000003</v>
      </c>
      <c r="S86" s="24">
        <f>SUMIFS('Saldos Iniciales'!$D:$D,'Saldos Iniciales'!$A:$A,"3628 Thomas Ave")+SUMIFS(Movimientos!$K$1:$K$892,Movimientos!$C$1:$C$892,"3628 Thomas Ave",Movimientos!$B$1:$B$892,"&lt;="&amp;$B86)</f>
        <v>28485.559999999998</v>
      </c>
      <c r="T86" s="24">
        <f>SUMIFS('Saldos Iniciales'!$D:$D,'Saldos Iniciales'!$A:$A,"Green Harbor Trust")+SUMIFS(Movimientos!$K$1:$K$892,Movimientos!$C$1:$C$892,"Green Harbor Trust",Movimientos!$B$1:$B$892,"&lt;="&amp;$B86)</f>
        <v>345</v>
      </c>
      <c r="U86" s="24">
        <f>SUMIFS('Saldos Iniciales'!$D:$D,'Saldos Iniciales'!$A:$A,"Go Blue")+SUMIFS(Movimientos!$K$1:$K$892,Movimientos!$C$1:$C$892,"Go Blue",Movimientos!$B$1:$B$892,"&lt;="&amp;$B86)</f>
        <v>9557.6300000000028</v>
      </c>
      <c r="V86" s="25">
        <f t="shared" si="20"/>
        <v>7239760.9800000014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Group")+SUMIFS(Movimientos!$K$1:$K$892,Movimientos!$C$1:$C$892,"CFT Group",Movimientos!$B$1:$B$892,"&lt;="&amp;$B87)</f>
        <v>2255750.7400000007</v>
      </c>
      <c r="D87" s="24">
        <f>SUMIFS('Saldos Iniciales'!$D:$D,'Saldos Iniciales'!$A:$A,"M1B")+SUMIFS(Movimientos!$K$1:$K$892,Movimientos!$C$1:$C$892,"M1B",Movimientos!$B$1:$B$892,"&lt;="&amp;$B87)</f>
        <v>73157.680000000168</v>
      </c>
      <c r="E87" s="24">
        <f>SUMIFS('Saldos Iniciales'!$D:$D,'Saldos Iniciales'!$A:$A,"Durand")+SUMIFS(Movimientos!$K$1:$K$892,Movimientos!$C$1:$C$892,"Durand",Movimientos!$B$1:$B$892,"&lt;="&amp;$B87)</f>
        <v>1669.89</v>
      </c>
      <c r="F87" s="24">
        <f>SUMIFS('Saldos Iniciales'!$D:$D,'Saldos Iniciales'!$A:$A,"A&amp;M Imports")+SUMIFS(Movimientos!$K$1:$K$892,Movimientos!$C$1:$C$892,"A&amp;M Imports",Movimientos!$B$1:$B$892,"&lt;="&amp;$B87)</f>
        <v>1042744.6899999997</v>
      </c>
      <c r="G87" s="24">
        <f>SUMIFS('Saldos Iniciales'!$D:$D,'Saldos Iniciales'!$A:$A,"SSP Capital")+SUMIFS(Movimientos!$K$1:$K$892,Movimientos!$C$1:$C$892,"SSP Capital",Movimientos!$B$1:$B$892,"&lt;="&amp;$B87)</f>
        <v>2022877.8699999996</v>
      </c>
      <c r="H87" s="24">
        <f>SUMIFS('Saldos Iniciales'!$D:$D,'Saldos Iniciales'!$A:$A,"Cross Family Trust")+SUMIFS(Movimientos!$K$1:$K$892,Movimientos!$C$1:$C$892,"Cross Family Trust",Movimientos!$B$1:$B$892,"&lt;="&amp;$B87)</f>
        <v>200496.38</v>
      </c>
      <c r="I87" s="24">
        <f>SUMIFS('Saldos Iniciales'!$D:$D,'Saldos Iniciales'!$A:$A,"Cross Security Trust")+SUMIFS(Movimientos!$K$1:$K$892,Movimientos!$C$1:$C$892,"Cross Security Trust",Movimientos!$B$1:$B$892,"&lt;="&amp;$B87)</f>
        <v>88090.37</v>
      </c>
      <c r="J87" s="24">
        <f>SUMIFS('Saldos Iniciales'!$D:$D,'Saldos Iniciales'!$A:$A,"Electrama")+SUMIFS(Movimientos!$K$1:$K$892,Movimientos!$C$1:$C$892,"Electrama",Movimientos!$B$1:$B$892,"&lt;="&amp;$B87)</f>
        <v>14580.45</v>
      </c>
      <c r="K87" s="24">
        <f>SUMIFS('Saldos Iniciales'!$D:$D,'Saldos Iniciales'!$A:$A,"Sacred Valley Capital")+SUMIFS(Movimientos!$K$1:$K$892,Movimientos!$C$1:$C$892,"Sacred Valley Capital",Movimientos!$B$1:$B$892,"&lt;="&amp;$B87)</f>
        <v>54.400000000000006</v>
      </c>
      <c r="L87" s="24">
        <f>SUMIFS('Saldos Iniciales'!$D:$D,'Saldos Iniciales'!$A:$A,"YWC Capital")+SUMIFS(Movimientos!$K$1:$K$892,Movimientos!$C$1:$C$892,"YWC Capital",Movimientos!$B$1:$B$892,"&lt;="&amp;$B87)</f>
        <v>2207.8200000000002</v>
      </c>
      <c r="M87" s="24">
        <f>SUMIFS('Saldos Iniciales'!$D:$D,'Saldos Iniciales'!$A:$A,"Soweto")+SUMIFS(Movimientos!$K$1:$K$892,Movimientos!$C$1:$C$892,"Soweto",Movimientos!$B$1:$B$892,"&lt;="&amp;$B87)</f>
        <v>1454589.72</v>
      </c>
      <c r="N87" s="24">
        <f>SUMIFS('Saldos Iniciales'!$D:$D,'Saldos Iniciales'!$A:$A,"Green Stone Trust")+SUMIFS(Movimientos!$K$1:$K$892,Movimientos!$C$1:$C$892,"Green Stone Trust",Movimientos!$B$1:$B$892,"&lt;="&amp;$B87)</f>
        <v>1968.99</v>
      </c>
      <c r="O87" s="24">
        <f>SUMIFS('Saldos Iniciales'!$D:$D,'Saldos Iniciales'!$A:$A,"EC Auto")+SUMIFS(Movimientos!$K$1:$K$892,Movimientos!$C$1:$C$892,"EC Auto",Movimientos!$B$1:$B$892,"&lt;="&amp;$B87)</f>
        <v>901.34</v>
      </c>
      <c r="P87" s="24">
        <f>SUMIFS('Saldos Iniciales'!$D:$D,'Saldos Iniciales'!$A:$A,"Arbor Capital Properties")+SUMIFS(Movimientos!$K$1:$K$892,Movimientos!$C$1:$C$892,"Arbor Capital Properties",Movimientos!$B$1:$B$892,"&lt;="&amp;$B87)</f>
        <v>1412.08</v>
      </c>
      <c r="Q87" s="24">
        <f>SUMIFS('Saldos Iniciales'!$D:$D,'Saldos Iniciales'!$A:$A,"2515 Overbrook")+SUMIFS(Movimientos!$K$1:$K$892,Movimientos!$C$1:$C$892,"2515 Overbrook",Movimientos!$B$1:$B$892,"&lt;="&amp;$B87)</f>
        <v>22347.56999999996</v>
      </c>
      <c r="R87" s="24">
        <f>SUMIFS('Saldos Iniciales'!$D:$D,'Saldos Iniciales'!$A:$A,"112 Florida Ave")+SUMIFS(Movimientos!$K$1:$K$892,Movimientos!$C$1:$C$892,"112 Florida Ave",Movimientos!$B$1:$B$892,"&lt;="&amp;$B87)</f>
        <v>18522.800000000003</v>
      </c>
      <c r="S87" s="24">
        <f>SUMIFS('Saldos Iniciales'!$D:$D,'Saldos Iniciales'!$A:$A,"3628 Thomas Ave")+SUMIFS(Movimientos!$K$1:$K$892,Movimientos!$C$1:$C$892,"3628 Thomas Ave",Movimientos!$B$1:$B$892,"&lt;="&amp;$B87)</f>
        <v>28485.559999999998</v>
      </c>
      <c r="T87" s="24">
        <f>SUMIFS('Saldos Iniciales'!$D:$D,'Saldos Iniciales'!$A:$A,"Green Harbor Trust")+SUMIFS(Movimientos!$K$1:$K$892,Movimientos!$C$1:$C$892,"Green Harbor Trust",Movimientos!$B$1:$B$892,"&lt;="&amp;$B87)</f>
        <v>345</v>
      </c>
      <c r="U87" s="24">
        <f>SUMIFS('Saldos Iniciales'!$D:$D,'Saldos Iniciales'!$A:$A,"Go Blue")+SUMIFS(Movimientos!$K$1:$K$892,Movimientos!$C$1:$C$892,"Go Blue",Movimientos!$B$1:$B$892,"&lt;="&amp;$B87)</f>
        <v>9557.6300000000028</v>
      </c>
      <c r="V87" s="25">
        <f t="shared" si="20"/>
        <v>7239760.9800000014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Group")+SUMIFS(Movimientos!$K$1:$K$892,Movimientos!$C$1:$C$892,"CFT Group",Movimientos!$B$1:$B$892,"&lt;="&amp;$B88)</f>
        <v>2255750.7400000007</v>
      </c>
      <c r="D88" s="24">
        <f>SUMIFS('Saldos Iniciales'!$D:$D,'Saldos Iniciales'!$A:$A,"M1B")+SUMIFS(Movimientos!$K$1:$K$892,Movimientos!$C$1:$C$892,"M1B",Movimientos!$B$1:$B$892,"&lt;="&amp;$B88)</f>
        <v>73157.680000000168</v>
      </c>
      <c r="E88" s="24">
        <f>SUMIFS('Saldos Iniciales'!$D:$D,'Saldos Iniciales'!$A:$A,"Durand")+SUMIFS(Movimientos!$K$1:$K$892,Movimientos!$C$1:$C$892,"Durand",Movimientos!$B$1:$B$892,"&lt;="&amp;$B88)</f>
        <v>1669.89</v>
      </c>
      <c r="F88" s="24">
        <f>SUMIFS('Saldos Iniciales'!$D:$D,'Saldos Iniciales'!$A:$A,"A&amp;M Imports")+SUMIFS(Movimientos!$K$1:$K$892,Movimientos!$C$1:$C$892,"A&amp;M Imports",Movimientos!$B$1:$B$892,"&lt;="&amp;$B88)</f>
        <v>1042744.6899999997</v>
      </c>
      <c r="G88" s="24">
        <f>SUMIFS('Saldos Iniciales'!$D:$D,'Saldos Iniciales'!$A:$A,"SSP Capital")+SUMIFS(Movimientos!$K$1:$K$892,Movimientos!$C$1:$C$892,"SSP Capital",Movimientos!$B$1:$B$892,"&lt;="&amp;$B88)</f>
        <v>2022877.8699999996</v>
      </c>
      <c r="H88" s="24">
        <f>SUMIFS('Saldos Iniciales'!$D:$D,'Saldos Iniciales'!$A:$A,"Cross Family Trust")+SUMIFS(Movimientos!$K$1:$K$892,Movimientos!$C$1:$C$892,"Cross Family Trust",Movimientos!$B$1:$B$892,"&lt;="&amp;$B88)</f>
        <v>200496.38</v>
      </c>
      <c r="I88" s="24">
        <f>SUMIFS('Saldos Iniciales'!$D:$D,'Saldos Iniciales'!$A:$A,"Cross Security Trust")+SUMIFS(Movimientos!$K$1:$K$892,Movimientos!$C$1:$C$892,"Cross Security Trust",Movimientos!$B$1:$B$892,"&lt;="&amp;$B88)</f>
        <v>88090.37</v>
      </c>
      <c r="J88" s="24">
        <f>SUMIFS('Saldos Iniciales'!$D:$D,'Saldos Iniciales'!$A:$A,"Electrama")+SUMIFS(Movimientos!$K$1:$K$892,Movimientos!$C$1:$C$892,"Electrama",Movimientos!$B$1:$B$892,"&lt;="&amp;$B88)</f>
        <v>14580.45</v>
      </c>
      <c r="K88" s="24">
        <f>SUMIFS('Saldos Iniciales'!$D:$D,'Saldos Iniciales'!$A:$A,"Sacred Valley Capital")+SUMIFS(Movimientos!$K$1:$K$892,Movimientos!$C$1:$C$892,"Sacred Valley Capital",Movimientos!$B$1:$B$892,"&lt;="&amp;$B88)</f>
        <v>54.400000000000006</v>
      </c>
      <c r="L88" s="24">
        <f>SUMIFS('Saldos Iniciales'!$D:$D,'Saldos Iniciales'!$A:$A,"YWC Capital")+SUMIFS(Movimientos!$K$1:$K$892,Movimientos!$C$1:$C$892,"YWC Capital",Movimientos!$B$1:$B$892,"&lt;="&amp;$B88)</f>
        <v>2207.8200000000002</v>
      </c>
      <c r="M88" s="24">
        <f>SUMIFS('Saldos Iniciales'!$D:$D,'Saldos Iniciales'!$A:$A,"Soweto")+SUMIFS(Movimientos!$K$1:$K$892,Movimientos!$C$1:$C$892,"Soweto",Movimientos!$B$1:$B$892,"&lt;="&amp;$B88)</f>
        <v>1454589.72</v>
      </c>
      <c r="N88" s="24">
        <f>SUMIFS('Saldos Iniciales'!$D:$D,'Saldos Iniciales'!$A:$A,"Green Stone Trust")+SUMIFS(Movimientos!$K$1:$K$892,Movimientos!$C$1:$C$892,"Green Stone Trust",Movimientos!$B$1:$B$892,"&lt;="&amp;$B88)</f>
        <v>1968.99</v>
      </c>
      <c r="O88" s="24">
        <f>SUMIFS('Saldos Iniciales'!$D:$D,'Saldos Iniciales'!$A:$A,"EC Auto")+SUMIFS(Movimientos!$K$1:$K$892,Movimientos!$C$1:$C$892,"EC Auto",Movimientos!$B$1:$B$892,"&lt;="&amp;$B88)</f>
        <v>901.34</v>
      </c>
      <c r="P88" s="24">
        <f>SUMIFS('Saldos Iniciales'!$D:$D,'Saldos Iniciales'!$A:$A,"Arbor Capital Properties")+SUMIFS(Movimientos!$K$1:$K$892,Movimientos!$C$1:$C$892,"Arbor Capital Properties",Movimientos!$B$1:$B$892,"&lt;="&amp;$B88)</f>
        <v>1412.08</v>
      </c>
      <c r="Q88" s="24">
        <f>SUMIFS('Saldos Iniciales'!$D:$D,'Saldos Iniciales'!$A:$A,"2515 Overbrook")+SUMIFS(Movimientos!$K$1:$K$892,Movimientos!$C$1:$C$892,"2515 Overbrook",Movimientos!$B$1:$B$892,"&lt;="&amp;$B88)</f>
        <v>22347.56999999996</v>
      </c>
      <c r="R88" s="24">
        <f>SUMIFS('Saldos Iniciales'!$D:$D,'Saldos Iniciales'!$A:$A,"112 Florida Ave")+SUMIFS(Movimientos!$K$1:$K$892,Movimientos!$C$1:$C$892,"112 Florida Ave",Movimientos!$B$1:$B$892,"&lt;="&amp;$B88)</f>
        <v>18522.800000000003</v>
      </c>
      <c r="S88" s="24">
        <f>SUMIFS('Saldos Iniciales'!$D:$D,'Saldos Iniciales'!$A:$A,"3628 Thomas Ave")+SUMIFS(Movimientos!$K$1:$K$892,Movimientos!$C$1:$C$892,"3628 Thomas Ave",Movimientos!$B$1:$B$892,"&lt;="&amp;$B88)</f>
        <v>28485.559999999998</v>
      </c>
      <c r="T88" s="24">
        <f>SUMIFS('Saldos Iniciales'!$D:$D,'Saldos Iniciales'!$A:$A,"Green Harbor Trust")+SUMIFS(Movimientos!$K$1:$K$892,Movimientos!$C$1:$C$892,"Green Harbor Trust",Movimientos!$B$1:$B$892,"&lt;="&amp;$B88)</f>
        <v>345</v>
      </c>
      <c r="U88" s="24">
        <f>SUMIFS('Saldos Iniciales'!$D:$D,'Saldos Iniciales'!$A:$A,"Go Blue")+SUMIFS(Movimientos!$K$1:$K$892,Movimientos!$C$1:$C$892,"Go Blue",Movimientos!$B$1:$B$892,"&lt;="&amp;$B88)</f>
        <v>9557.6300000000028</v>
      </c>
      <c r="V88" s="25">
        <f t="shared" ref="V88:V96" si="21">SUM(C88:U88)</f>
        <v>7239760.9800000014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Group")+SUMIFS(Movimientos!$K$1:$K$892,Movimientos!$C$1:$C$892,"CFT Group",Movimientos!$B$1:$B$892,"&lt;="&amp;$B89)</f>
        <v>2255750.7400000007</v>
      </c>
      <c r="D89" s="24">
        <f>SUMIFS('Saldos Iniciales'!$D:$D,'Saldos Iniciales'!$A:$A,"M1B")+SUMIFS(Movimientos!$K$1:$K$892,Movimientos!$C$1:$C$892,"M1B",Movimientos!$B$1:$B$892,"&lt;="&amp;$B89)</f>
        <v>73157.680000000168</v>
      </c>
      <c r="E89" s="24">
        <f>SUMIFS('Saldos Iniciales'!$D:$D,'Saldos Iniciales'!$A:$A,"Durand")+SUMIFS(Movimientos!$K$1:$K$892,Movimientos!$C$1:$C$892,"Durand",Movimientos!$B$1:$B$892,"&lt;="&amp;$B89)</f>
        <v>1669.89</v>
      </c>
      <c r="F89" s="24">
        <f>SUMIFS('Saldos Iniciales'!$D:$D,'Saldos Iniciales'!$A:$A,"A&amp;M Imports")+SUMIFS(Movimientos!$K$1:$K$892,Movimientos!$C$1:$C$892,"A&amp;M Imports",Movimientos!$B$1:$B$892,"&lt;="&amp;$B89)</f>
        <v>1392744.6899999997</v>
      </c>
      <c r="G89" s="24">
        <f>SUMIFS('Saldos Iniciales'!$D:$D,'Saldos Iniciales'!$A:$A,"SSP Capital")+SUMIFS(Movimientos!$K$1:$K$892,Movimientos!$C$1:$C$892,"SSP Capital",Movimientos!$B$1:$B$892,"&lt;="&amp;$B89)</f>
        <v>2022877.8699999996</v>
      </c>
      <c r="H89" s="24">
        <f>SUMIFS('Saldos Iniciales'!$D:$D,'Saldos Iniciales'!$A:$A,"Cross Family Trust")+SUMIFS(Movimientos!$K$1:$K$892,Movimientos!$C$1:$C$892,"Cross Family Trust",Movimientos!$B$1:$B$892,"&lt;="&amp;$B89)</f>
        <v>190496.38</v>
      </c>
      <c r="I89" s="24">
        <f>SUMIFS('Saldos Iniciales'!$D:$D,'Saldos Iniciales'!$A:$A,"Cross Security Trust")+SUMIFS(Movimientos!$K$1:$K$892,Movimientos!$C$1:$C$892,"Cross Security Trust",Movimientos!$B$1:$B$892,"&lt;="&amp;$B89)</f>
        <v>88090.37</v>
      </c>
      <c r="J89" s="24">
        <f>SUMIFS('Saldos Iniciales'!$D:$D,'Saldos Iniciales'!$A:$A,"Electrama")+SUMIFS(Movimientos!$K$1:$K$892,Movimientos!$C$1:$C$892,"Electrama",Movimientos!$B$1:$B$892,"&lt;="&amp;$B89)</f>
        <v>14580.45</v>
      </c>
      <c r="K89" s="24">
        <f>SUMIFS('Saldos Iniciales'!$D:$D,'Saldos Iniciales'!$A:$A,"Sacred Valley Capital")+SUMIFS(Movimientos!$K$1:$K$892,Movimientos!$C$1:$C$892,"Sacred Valley Capital",Movimientos!$B$1:$B$892,"&lt;="&amp;$B89)</f>
        <v>54.400000000000006</v>
      </c>
      <c r="L89" s="24">
        <f>SUMIFS('Saldos Iniciales'!$D:$D,'Saldos Iniciales'!$A:$A,"YWC Capital")+SUMIFS(Movimientos!$K$1:$K$892,Movimientos!$C$1:$C$892,"YWC Capital",Movimientos!$B$1:$B$892,"&lt;="&amp;$B89)</f>
        <v>2207.8200000000002</v>
      </c>
      <c r="M89" s="24">
        <f>SUMIFS('Saldos Iniciales'!$D:$D,'Saldos Iniciales'!$A:$A,"Soweto")+SUMIFS(Movimientos!$K$1:$K$892,Movimientos!$C$1:$C$892,"Soweto",Movimientos!$B$1:$B$892,"&lt;="&amp;$B89)</f>
        <v>1454589.72</v>
      </c>
      <c r="N89" s="24">
        <f>SUMIFS('Saldos Iniciales'!$D:$D,'Saldos Iniciales'!$A:$A,"Green Stone Trust")+SUMIFS(Movimientos!$K$1:$K$892,Movimientos!$C$1:$C$892,"Green Stone Trust",Movimientos!$B$1:$B$892,"&lt;="&amp;$B89)</f>
        <v>1968.99</v>
      </c>
      <c r="O89" s="24">
        <f>SUMIFS('Saldos Iniciales'!$D:$D,'Saldos Iniciales'!$A:$A,"EC Auto")+SUMIFS(Movimientos!$K$1:$K$892,Movimientos!$C$1:$C$892,"EC Auto",Movimientos!$B$1:$B$892,"&lt;="&amp;$B89)</f>
        <v>901.34</v>
      </c>
      <c r="P89" s="24">
        <f>SUMIFS('Saldos Iniciales'!$D:$D,'Saldos Iniciales'!$A:$A,"Arbor Capital Properties")+SUMIFS(Movimientos!$K$1:$K$892,Movimientos!$C$1:$C$892,"Arbor Capital Properties",Movimientos!$B$1:$B$892,"&lt;="&amp;$B89)</f>
        <v>1412.08</v>
      </c>
      <c r="Q89" s="24">
        <f>SUMIFS('Saldos Iniciales'!$D:$D,'Saldos Iniciales'!$A:$A,"2515 Overbrook")+SUMIFS(Movimientos!$K$1:$K$892,Movimientos!$C$1:$C$892,"2515 Overbrook",Movimientos!$B$1:$B$892,"&lt;="&amp;$B89)</f>
        <v>22347.56999999996</v>
      </c>
      <c r="R89" s="24">
        <f>SUMIFS('Saldos Iniciales'!$D:$D,'Saldos Iniciales'!$A:$A,"112 Florida Ave")+SUMIFS(Movimientos!$K$1:$K$892,Movimientos!$C$1:$C$892,"112 Florida Ave",Movimientos!$B$1:$B$892,"&lt;="&amp;$B89)</f>
        <v>18522.800000000003</v>
      </c>
      <c r="S89" s="24">
        <f>SUMIFS('Saldos Iniciales'!$D:$D,'Saldos Iniciales'!$A:$A,"3628 Thomas Ave")+SUMIFS(Movimientos!$K$1:$K$892,Movimientos!$C$1:$C$892,"3628 Thomas Ave",Movimientos!$B$1:$B$892,"&lt;="&amp;$B89)</f>
        <v>28485.559999999998</v>
      </c>
      <c r="T89" s="24">
        <f>SUMIFS('Saldos Iniciales'!$D:$D,'Saldos Iniciales'!$A:$A,"Green Harbor Trust")+SUMIFS(Movimientos!$K$1:$K$892,Movimientos!$C$1:$C$892,"Green Harbor Trust",Movimientos!$B$1:$B$892,"&lt;="&amp;$B89)</f>
        <v>345</v>
      </c>
      <c r="U89" s="24">
        <f>SUMIFS('Saldos Iniciales'!$D:$D,'Saldos Iniciales'!$A:$A,"Go Blue")+SUMIFS(Movimientos!$K$1:$K$892,Movimientos!$C$1:$C$892,"Go Blue",Movimientos!$B$1:$B$892,"&lt;="&amp;$B89)</f>
        <v>15418.180000000004</v>
      </c>
      <c r="V89" s="25">
        <f t="shared" si="21"/>
        <v>7585621.5300000012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Group")+SUMIFS(Movimientos!$K$1:$K$892,Movimientos!$C$1:$C$892,"CFT Group",Movimientos!$B$1:$B$892,"&lt;="&amp;$B90)</f>
        <v>2255750.7400000007</v>
      </c>
      <c r="D90" s="24">
        <f>SUMIFS('Saldos Iniciales'!$D:$D,'Saldos Iniciales'!$A:$A,"M1B")+SUMIFS(Movimientos!$K$1:$K$892,Movimientos!$C$1:$C$892,"M1B",Movimientos!$B$1:$B$892,"&lt;="&amp;$B90)</f>
        <v>80574.12000000017</v>
      </c>
      <c r="E90" s="24">
        <f>SUMIFS('Saldos Iniciales'!$D:$D,'Saldos Iniciales'!$A:$A,"Durand")+SUMIFS(Movimientos!$K$1:$K$892,Movimientos!$C$1:$C$892,"Durand",Movimientos!$B$1:$B$892,"&lt;="&amp;$B90)</f>
        <v>1669.89</v>
      </c>
      <c r="F90" s="24">
        <f>SUMIFS('Saldos Iniciales'!$D:$D,'Saldos Iniciales'!$A:$A,"A&amp;M Imports")+SUMIFS(Movimientos!$K$1:$K$892,Movimientos!$C$1:$C$892,"A&amp;M Imports",Movimientos!$B$1:$B$892,"&lt;="&amp;$B90)</f>
        <v>1415636.7399999998</v>
      </c>
      <c r="G90" s="24">
        <f>SUMIFS('Saldos Iniciales'!$D:$D,'Saldos Iniciales'!$A:$A,"SSP Capital")+SUMIFS(Movimientos!$K$1:$K$892,Movimientos!$C$1:$C$892,"SSP Capital",Movimientos!$B$1:$B$892,"&lt;="&amp;$B90)</f>
        <v>1857997.0999999996</v>
      </c>
      <c r="H90" s="24">
        <f>SUMIFS('Saldos Iniciales'!$D:$D,'Saldos Iniciales'!$A:$A,"Cross Family Trust")+SUMIFS(Movimientos!$K$1:$K$892,Movimientos!$C$1:$C$892,"Cross Family Trust",Movimientos!$B$1:$B$892,"&lt;="&amp;$B90)</f>
        <v>190496.38</v>
      </c>
      <c r="I90" s="24">
        <f>SUMIFS('Saldos Iniciales'!$D:$D,'Saldos Iniciales'!$A:$A,"Cross Security Trust")+SUMIFS(Movimientos!$K$1:$K$892,Movimientos!$C$1:$C$892,"Cross Security Trust",Movimientos!$B$1:$B$892,"&lt;="&amp;$B90)</f>
        <v>88090.37</v>
      </c>
      <c r="J90" s="24">
        <f>SUMIFS('Saldos Iniciales'!$D:$D,'Saldos Iniciales'!$A:$A,"Electrama")+SUMIFS(Movimientos!$K$1:$K$892,Movimientos!$C$1:$C$892,"Electrama",Movimientos!$B$1:$B$892,"&lt;="&amp;$B90)</f>
        <v>14580.45</v>
      </c>
      <c r="K90" s="24">
        <f>SUMIFS('Saldos Iniciales'!$D:$D,'Saldos Iniciales'!$A:$A,"Sacred Valley Capital")+SUMIFS(Movimientos!$K$1:$K$892,Movimientos!$C$1:$C$892,"Sacred Valley Capital",Movimientos!$B$1:$B$892,"&lt;="&amp;$B90)</f>
        <v>54.400000000000006</v>
      </c>
      <c r="L90" s="24">
        <f>SUMIFS('Saldos Iniciales'!$D:$D,'Saldos Iniciales'!$A:$A,"YWC Capital")+SUMIFS(Movimientos!$K$1:$K$892,Movimientos!$C$1:$C$892,"YWC Capital",Movimientos!$B$1:$B$892,"&lt;="&amp;$B90)</f>
        <v>2207.8200000000002</v>
      </c>
      <c r="M90" s="24">
        <f>SUMIFS('Saldos Iniciales'!$D:$D,'Saldos Iniciales'!$A:$A,"Soweto")+SUMIFS(Movimientos!$K$1:$K$892,Movimientos!$C$1:$C$892,"Soweto",Movimientos!$B$1:$B$892,"&lt;="&amp;$B90)</f>
        <v>1454589.72</v>
      </c>
      <c r="N90" s="24">
        <f>SUMIFS('Saldos Iniciales'!$D:$D,'Saldos Iniciales'!$A:$A,"Green Stone Trust")+SUMIFS(Movimientos!$K$1:$K$892,Movimientos!$C$1:$C$892,"Green Stone Trust",Movimientos!$B$1:$B$892,"&lt;="&amp;$B90)</f>
        <v>1968.99</v>
      </c>
      <c r="O90" s="24">
        <f>SUMIFS('Saldos Iniciales'!$D:$D,'Saldos Iniciales'!$A:$A,"EC Auto")+SUMIFS(Movimientos!$K$1:$K$892,Movimientos!$C$1:$C$892,"EC Auto",Movimientos!$B$1:$B$892,"&lt;="&amp;$B90)</f>
        <v>901.34</v>
      </c>
      <c r="P90" s="24">
        <f>SUMIFS('Saldos Iniciales'!$D:$D,'Saldos Iniciales'!$A:$A,"Arbor Capital Properties")+SUMIFS(Movimientos!$K$1:$K$892,Movimientos!$C$1:$C$892,"Arbor Capital Properties",Movimientos!$B$1:$B$892,"&lt;="&amp;$B90)</f>
        <v>1412.08</v>
      </c>
      <c r="Q90" s="24">
        <f>SUMIFS('Saldos Iniciales'!$D:$D,'Saldos Iniciales'!$A:$A,"2515 Overbrook")+SUMIFS(Movimientos!$K$1:$K$892,Movimientos!$C$1:$C$892,"2515 Overbrook",Movimientos!$B$1:$B$892,"&lt;="&amp;$B90)</f>
        <v>22347.56999999996</v>
      </c>
      <c r="R90" s="24">
        <f>SUMIFS('Saldos Iniciales'!$D:$D,'Saldos Iniciales'!$A:$A,"112 Florida Ave")+SUMIFS(Movimientos!$K$1:$K$892,Movimientos!$C$1:$C$892,"112 Florida Ave",Movimientos!$B$1:$B$892,"&lt;="&amp;$B90)</f>
        <v>18522.800000000003</v>
      </c>
      <c r="S90" s="24">
        <f>SUMIFS('Saldos Iniciales'!$D:$D,'Saldos Iniciales'!$A:$A,"3628 Thomas Ave")+SUMIFS(Movimientos!$K$1:$K$892,Movimientos!$C$1:$C$892,"3628 Thomas Ave",Movimientos!$B$1:$B$892,"&lt;="&amp;$B90)</f>
        <v>28485.559999999998</v>
      </c>
      <c r="T90" s="24">
        <f>SUMIFS('Saldos Iniciales'!$D:$D,'Saldos Iniciales'!$A:$A,"Green Harbor Trust")+SUMIFS(Movimientos!$K$1:$K$892,Movimientos!$C$1:$C$892,"Green Harbor Trust",Movimientos!$B$1:$B$892,"&lt;="&amp;$B90)</f>
        <v>345</v>
      </c>
      <c r="U90" s="24">
        <f>SUMIFS('Saldos Iniciales'!$D:$D,'Saldos Iniciales'!$A:$A,"Go Blue")+SUMIFS(Movimientos!$K$1:$K$892,Movimientos!$C$1:$C$892,"Go Blue",Movimientos!$B$1:$B$892,"&lt;="&amp;$B90)</f>
        <v>15094.090000000004</v>
      </c>
      <c r="V90" s="25">
        <f t="shared" si="21"/>
        <v>7450725.1600000001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Group")+SUMIFS(Movimientos!$K$1:$K$892,Movimientos!$C$1:$C$892,"CFT Group",Movimientos!$B$1:$B$892,"&lt;="&amp;$B91)</f>
        <v>2270539.1300000008</v>
      </c>
      <c r="D91" s="24">
        <f>SUMIFS('Saldos Iniciales'!$D:$D,'Saldos Iniciales'!$A:$A,"M1B")+SUMIFS(Movimientos!$K$1:$K$892,Movimientos!$C$1:$C$892,"M1B",Movimientos!$B$1:$B$892,"&lt;="&amp;$B91)</f>
        <v>83211.250000000175</v>
      </c>
      <c r="E91" s="24">
        <f>SUMIFS('Saldos Iniciales'!$D:$D,'Saldos Iniciales'!$A:$A,"Durand")+SUMIFS(Movimientos!$K$1:$K$892,Movimientos!$C$1:$C$892,"Durand",Movimientos!$B$1:$B$892,"&lt;="&amp;$B91)</f>
        <v>1669.89</v>
      </c>
      <c r="F91" s="24">
        <f>SUMIFS('Saldos Iniciales'!$D:$D,'Saldos Iniciales'!$A:$A,"A&amp;M Imports")+SUMIFS(Movimientos!$K$1:$K$892,Movimientos!$C$1:$C$892,"A&amp;M Imports",Movimientos!$B$1:$B$892,"&lt;="&amp;$B91)</f>
        <v>1434634.5999999999</v>
      </c>
      <c r="G91" s="24">
        <f>SUMIFS('Saldos Iniciales'!$D:$D,'Saldos Iniciales'!$A:$A,"SSP Capital")+SUMIFS(Movimientos!$K$1:$K$892,Movimientos!$C$1:$C$892,"SSP Capital",Movimientos!$B$1:$B$892,"&lt;="&amp;$B91)</f>
        <v>1857997.0999999996</v>
      </c>
      <c r="H91" s="24">
        <f>SUMIFS('Saldos Iniciales'!$D:$D,'Saldos Iniciales'!$A:$A,"Cross Family Trust")+SUMIFS(Movimientos!$K$1:$K$892,Movimientos!$C$1:$C$892,"Cross Family Trust",Movimientos!$B$1:$B$892,"&lt;="&amp;$B91)</f>
        <v>190496.38</v>
      </c>
      <c r="I91" s="24">
        <f>SUMIFS('Saldos Iniciales'!$D:$D,'Saldos Iniciales'!$A:$A,"Cross Security Trust")+SUMIFS(Movimientos!$K$1:$K$892,Movimientos!$C$1:$C$892,"Cross Security Trust",Movimientos!$B$1:$B$892,"&lt;="&amp;$B91)</f>
        <v>88090.37</v>
      </c>
      <c r="J91" s="24">
        <f>SUMIFS('Saldos Iniciales'!$D:$D,'Saldos Iniciales'!$A:$A,"Electrama")+SUMIFS(Movimientos!$K$1:$K$892,Movimientos!$C$1:$C$892,"Electrama",Movimientos!$B$1:$B$892,"&lt;="&amp;$B91)</f>
        <v>14580.45</v>
      </c>
      <c r="K91" s="24">
        <f>SUMIFS('Saldos Iniciales'!$D:$D,'Saldos Iniciales'!$A:$A,"Sacred Valley Capital")+SUMIFS(Movimientos!$K$1:$K$892,Movimientos!$C$1:$C$892,"Sacred Valley Capital",Movimientos!$B$1:$B$892,"&lt;="&amp;$B91)</f>
        <v>54.400000000000006</v>
      </c>
      <c r="L91" s="24">
        <f>SUMIFS('Saldos Iniciales'!$D:$D,'Saldos Iniciales'!$A:$A,"YWC Capital")+SUMIFS(Movimientos!$K$1:$K$892,Movimientos!$C$1:$C$892,"YWC Capital",Movimientos!$B$1:$B$892,"&lt;="&amp;$B91)</f>
        <v>2207.8200000000002</v>
      </c>
      <c r="M91" s="24">
        <f>SUMIFS('Saldos Iniciales'!$D:$D,'Saldos Iniciales'!$A:$A,"Soweto")+SUMIFS(Movimientos!$K$1:$K$892,Movimientos!$C$1:$C$892,"Soweto",Movimientos!$B$1:$B$892,"&lt;="&amp;$B91)</f>
        <v>1454589.72</v>
      </c>
      <c r="N91" s="24">
        <f>SUMIFS('Saldos Iniciales'!$D:$D,'Saldos Iniciales'!$A:$A,"Green Stone Trust")+SUMIFS(Movimientos!$K$1:$K$892,Movimientos!$C$1:$C$892,"Green Stone Trust",Movimientos!$B$1:$B$892,"&lt;="&amp;$B91)</f>
        <v>1968.99</v>
      </c>
      <c r="O91" s="24">
        <f>SUMIFS('Saldos Iniciales'!$D:$D,'Saldos Iniciales'!$A:$A,"EC Auto")+SUMIFS(Movimientos!$K$1:$K$892,Movimientos!$C$1:$C$892,"EC Auto",Movimientos!$B$1:$B$892,"&lt;="&amp;$B91)</f>
        <v>901.34</v>
      </c>
      <c r="P91" s="24">
        <f>SUMIFS('Saldos Iniciales'!$D:$D,'Saldos Iniciales'!$A:$A,"Arbor Capital Properties")+SUMIFS(Movimientos!$K$1:$K$892,Movimientos!$C$1:$C$892,"Arbor Capital Properties",Movimientos!$B$1:$B$892,"&lt;="&amp;$B91)</f>
        <v>1412.08</v>
      </c>
      <c r="Q91" s="24">
        <f>SUMIFS('Saldos Iniciales'!$D:$D,'Saldos Iniciales'!$A:$A,"2515 Overbrook")+SUMIFS(Movimientos!$K$1:$K$892,Movimientos!$C$1:$C$892,"2515 Overbrook",Movimientos!$B$1:$B$892,"&lt;="&amp;$B91)</f>
        <v>22347.56999999996</v>
      </c>
      <c r="R91" s="24">
        <f>SUMIFS('Saldos Iniciales'!$D:$D,'Saldos Iniciales'!$A:$A,"112 Florida Ave")+SUMIFS(Movimientos!$K$1:$K$892,Movimientos!$C$1:$C$892,"112 Florida Ave",Movimientos!$B$1:$B$892,"&lt;="&amp;$B91)</f>
        <v>18522.800000000003</v>
      </c>
      <c r="S91" s="24">
        <f>SUMIFS('Saldos Iniciales'!$D:$D,'Saldos Iniciales'!$A:$A,"3628 Thomas Ave")+SUMIFS(Movimientos!$K$1:$K$892,Movimientos!$C$1:$C$892,"3628 Thomas Ave",Movimientos!$B$1:$B$892,"&lt;="&amp;$B91)</f>
        <v>28485.559999999998</v>
      </c>
      <c r="T91" s="24">
        <f>SUMIFS('Saldos Iniciales'!$D:$D,'Saldos Iniciales'!$A:$A,"Green Harbor Trust")+SUMIFS(Movimientos!$K$1:$K$892,Movimientos!$C$1:$C$892,"Green Harbor Trust",Movimientos!$B$1:$B$892,"&lt;="&amp;$B91)</f>
        <v>345</v>
      </c>
      <c r="U91" s="24">
        <f>SUMIFS('Saldos Iniciales'!$D:$D,'Saldos Iniciales'!$A:$A,"Go Blue")+SUMIFS(Movimientos!$K$1:$K$892,Movimientos!$C$1:$C$892,"Go Blue",Movimientos!$B$1:$B$892,"&lt;="&amp;$B91)</f>
        <v>13469.780000000002</v>
      </c>
      <c r="V91" s="25">
        <f t="shared" si="21"/>
        <v>7485524.2300000014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Group")+SUMIFS(Movimientos!$K$1:$K$892,Movimientos!$C$1:$C$892,"CFT Group",Movimientos!$B$1:$B$892,"&lt;="&amp;$B92)</f>
        <v>2470350.7000000002</v>
      </c>
      <c r="D92" s="24">
        <f>SUMIFS('Saldos Iniciales'!$D:$D,'Saldos Iniciales'!$A:$A,"M1B")+SUMIFS(Movimientos!$K$1:$K$892,Movimientos!$C$1:$C$892,"M1B",Movimientos!$B$1:$B$892,"&lt;="&amp;$B92)</f>
        <v>83211.250000000175</v>
      </c>
      <c r="E92" s="24">
        <f>SUMIFS('Saldos Iniciales'!$D:$D,'Saldos Iniciales'!$A:$A,"Durand")+SUMIFS(Movimientos!$K$1:$K$892,Movimientos!$C$1:$C$892,"Durand",Movimientos!$B$1:$B$892,"&lt;="&amp;$B92)</f>
        <v>1669.89</v>
      </c>
      <c r="F92" s="24">
        <f>SUMIFS('Saldos Iniciales'!$D:$D,'Saldos Iniciales'!$A:$A,"A&amp;M Imports")+SUMIFS(Movimientos!$K$1:$K$892,Movimientos!$C$1:$C$892,"A&amp;M Imports",Movimientos!$B$1:$B$892,"&lt;="&amp;$B92)</f>
        <v>1458426.0399999998</v>
      </c>
      <c r="G92" s="24">
        <f>SUMIFS('Saldos Iniciales'!$D:$D,'Saldos Iniciales'!$A:$A,"SSP Capital")+SUMIFS(Movimientos!$K$1:$K$892,Movimientos!$C$1:$C$892,"SSP Capital",Movimientos!$B$1:$B$892,"&lt;="&amp;$B92)</f>
        <v>1857993.8499999996</v>
      </c>
      <c r="H92" s="24">
        <f>SUMIFS('Saldos Iniciales'!$D:$D,'Saldos Iniciales'!$A:$A,"Cross Family Trust")+SUMIFS(Movimientos!$K$1:$K$892,Movimientos!$C$1:$C$892,"Cross Family Trust",Movimientos!$B$1:$B$892,"&lt;="&amp;$B92)</f>
        <v>190496.38</v>
      </c>
      <c r="I92" s="24">
        <f>SUMIFS('Saldos Iniciales'!$D:$D,'Saldos Iniciales'!$A:$A,"Cross Security Trust")+SUMIFS(Movimientos!$K$1:$K$892,Movimientos!$C$1:$C$892,"Cross Security Trust",Movimientos!$B$1:$B$892,"&lt;="&amp;$B92)</f>
        <v>88090.37</v>
      </c>
      <c r="J92" s="24">
        <f>SUMIFS('Saldos Iniciales'!$D:$D,'Saldos Iniciales'!$A:$A,"Electrama")+SUMIFS(Movimientos!$K$1:$K$892,Movimientos!$C$1:$C$892,"Electrama",Movimientos!$B$1:$B$892,"&lt;="&amp;$B92)</f>
        <v>14580.45</v>
      </c>
      <c r="K92" s="24">
        <f>SUMIFS('Saldos Iniciales'!$D:$D,'Saldos Iniciales'!$A:$A,"Sacred Valley Capital")+SUMIFS(Movimientos!$K$1:$K$892,Movimientos!$C$1:$C$892,"Sacred Valley Capital",Movimientos!$B$1:$B$892,"&lt;="&amp;$B92)</f>
        <v>54.400000000000006</v>
      </c>
      <c r="L92" s="24">
        <f>SUMIFS('Saldos Iniciales'!$D:$D,'Saldos Iniciales'!$A:$A,"YWC Capital")+SUMIFS(Movimientos!$K$1:$K$892,Movimientos!$C$1:$C$892,"YWC Capital",Movimientos!$B$1:$B$892,"&lt;="&amp;$B92)</f>
        <v>2207.8200000000002</v>
      </c>
      <c r="M92" s="24">
        <f>SUMIFS('Saldos Iniciales'!$D:$D,'Saldos Iniciales'!$A:$A,"Soweto")+SUMIFS(Movimientos!$K$1:$K$892,Movimientos!$C$1:$C$892,"Soweto",Movimientos!$B$1:$B$892,"&lt;="&amp;$B92)</f>
        <v>1454589.72</v>
      </c>
      <c r="N92" s="24">
        <f>SUMIFS('Saldos Iniciales'!$D:$D,'Saldos Iniciales'!$A:$A,"Green Stone Trust")+SUMIFS(Movimientos!$K$1:$K$892,Movimientos!$C$1:$C$892,"Green Stone Trust",Movimientos!$B$1:$B$892,"&lt;="&amp;$B92)</f>
        <v>1968.99</v>
      </c>
      <c r="O92" s="24">
        <f>SUMIFS('Saldos Iniciales'!$D:$D,'Saldos Iniciales'!$A:$A,"EC Auto")+SUMIFS(Movimientos!$K$1:$K$892,Movimientos!$C$1:$C$892,"EC Auto",Movimientos!$B$1:$B$892,"&lt;="&amp;$B92)</f>
        <v>901.34</v>
      </c>
      <c r="P92" s="24">
        <f>SUMIFS('Saldos Iniciales'!$D:$D,'Saldos Iniciales'!$A:$A,"Arbor Capital Properties")+SUMIFS(Movimientos!$K$1:$K$892,Movimientos!$C$1:$C$892,"Arbor Capital Properties",Movimientos!$B$1:$B$892,"&lt;="&amp;$B92)</f>
        <v>1412.08</v>
      </c>
      <c r="Q92" s="24">
        <f>SUMIFS('Saldos Iniciales'!$D:$D,'Saldos Iniciales'!$A:$A,"2515 Overbrook")+SUMIFS(Movimientos!$K$1:$K$892,Movimientos!$C$1:$C$892,"2515 Overbrook",Movimientos!$B$1:$B$892,"&lt;="&amp;$B92)</f>
        <v>22347.56999999996</v>
      </c>
      <c r="R92" s="24">
        <f>SUMIFS('Saldos Iniciales'!$D:$D,'Saldos Iniciales'!$A:$A,"112 Florida Ave")+SUMIFS(Movimientos!$K$1:$K$892,Movimientos!$C$1:$C$892,"112 Florida Ave",Movimientos!$B$1:$B$892,"&lt;="&amp;$B92)</f>
        <v>18522.800000000003</v>
      </c>
      <c r="S92" s="24">
        <f>SUMIFS('Saldos Iniciales'!$D:$D,'Saldos Iniciales'!$A:$A,"3628 Thomas Ave")+SUMIFS(Movimientos!$K$1:$K$892,Movimientos!$C$1:$C$892,"3628 Thomas Ave",Movimientos!$B$1:$B$892,"&lt;="&amp;$B92)</f>
        <v>28485.559999999998</v>
      </c>
      <c r="T92" s="24">
        <f>SUMIFS('Saldos Iniciales'!$D:$D,'Saldos Iniciales'!$A:$A,"Green Harbor Trust")+SUMIFS(Movimientos!$K$1:$K$892,Movimientos!$C$1:$C$892,"Green Harbor Trust",Movimientos!$B$1:$B$892,"&lt;="&amp;$B92)</f>
        <v>345</v>
      </c>
      <c r="U92" s="24">
        <f>SUMIFS('Saldos Iniciales'!$D:$D,'Saldos Iniciales'!$A:$A,"Go Blue")+SUMIFS(Movimientos!$K$1:$K$892,Movimientos!$C$1:$C$892,"Go Blue",Movimientos!$B$1:$B$892,"&lt;="&amp;$B92)</f>
        <v>11634.930000000004</v>
      </c>
      <c r="V92" s="25">
        <f t="shared" si="21"/>
        <v>7707289.1399999997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Group")+SUMIFS(Movimientos!$K$1:$K$892,Movimientos!$C$1:$C$892,"CFT Group",Movimientos!$B$1:$B$892,"&lt;="&amp;$B93)</f>
        <v>2468032.08</v>
      </c>
      <c r="D93" s="24">
        <f>SUMIFS('Saldos Iniciales'!$D:$D,'Saldos Iniciales'!$A:$A,"M1B")+SUMIFS(Movimientos!$K$1:$K$892,Movimientos!$C$1:$C$892,"M1B",Movimientos!$B$1:$B$892,"&lt;="&amp;$B93)</f>
        <v>83211.250000000175</v>
      </c>
      <c r="E93" s="24">
        <f>SUMIFS('Saldos Iniciales'!$D:$D,'Saldos Iniciales'!$A:$A,"Durand")+SUMIFS(Movimientos!$K$1:$K$892,Movimientos!$C$1:$C$892,"Durand",Movimientos!$B$1:$B$892,"&lt;="&amp;$B93)</f>
        <v>1669.89</v>
      </c>
      <c r="F93" s="24">
        <f>SUMIFS('Saldos Iniciales'!$D:$D,'Saldos Iniciales'!$A:$A,"A&amp;M Imports")+SUMIFS(Movimientos!$K$1:$K$892,Movimientos!$C$1:$C$892,"A&amp;M Imports",Movimientos!$B$1:$B$892,"&lt;="&amp;$B93)</f>
        <v>1458426.0399999998</v>
      </c>
      <c r="G93" s="24">
        <f>SUMIFS('Saldos Iniciales'!$D:$D,'Saldos Iniciales'!$A:$A,"SSP Capital")+SUMIFS(Movimientos!$K$1:$K$892,Movimientos!$C$1:$C$892,"SSP Capital",Movimientos!$B$1:$B$892,"&lt;="&amp;$B93)</f>
        <v>1514477.1199999996</v>
      </c>
      <c r="H93" s="24">
        <f>SUMIFS('Saldos Iniciales'!$D:$D,'Saldos Iniciales'!$A:$A,"Cross Family Trust")+SUMIFS(Movimientos!$K$1:$K$892,Movimientos!$C$1:$C$892,"Cross Family Trust",Movimientos!$B$1:$B$892,"&lt;="&amp;$B93)</f>
        <v>190496.38</v>
      </c>
      <c r="I93" s="24">
        <f>SUMIFS('Saldos Iniciales'!$D:$D,'Saldos Iniciales'!$A:$A,"Cross Security Trust")+SUMIFS(Movimientos!$K$1:$K$892,Movimientos!$C$1:$C$892,"Cross Security Trust",Movimientos!$B$1:$B$892,"&lt;="&amp;$B93)</f>
        <v>88090.37</v>
      </c>
      <c r="J93" s="24">
        <f>SUMIFS('Saldos Iniciales'!$D:$D,'Saldos Iniciales'!$A:$A,"Electrama")+SUMIFS(Movimientos!$K$1:$K$892,Movimientos!$C$1:$C$892,"Electrama",Movimientos!$B$1:$B$892,"&lt;="&amp;$B93)</f>
        <v>14580.45</v>
      </c>
      <c r="K93" s="24">
        <f>SUMIFS('Saldos Iniciales'!$D:$D,'Saldos Iniciales'!$A:$A,"Sacred Valley Capital")+SUMIFS(Movimientos!$K$1:$K$892,Movimientos!$C$1:$C$892,"Sacred Valley Capital",Movimientos!$B$1:$B$892,"&lt;="&amp;$B93)</f>
        <v>54.400000000000006</v>
      </c>
      <c r="L93" s="24">
        <f>SUMIFS('Saldos Iniciales'!$D:$D,'Saldos Iniciales'!$A:$A,"YWC Capital")+SUMIFS(Movimientos!$K$1:$K$892,Movimientos!$C$1:$C$892,"YWC Capital",Movimientos!$B$1:$B$892,"&lt;="&amp;$B93)</f>
        <v>2207.8200000000002</v>
      </c>
      <c r="M93" s="24">
        <f>SUMIFS('Saldos Iniciales'!$D:$D,'Saldos Iniciales'!$A:$A,"Soweto")+SUMIFS(Movimientos!$K$1:$K$892,Movimientos!$C$1:$C$892,"Soweto",Movimientos!$B$1:$B$892,"&lt;="&amp;$B93)</f>
        <v>1454589.72</v>
      </c>
      <c r="N93" s="24">
        <f>SUMIFS('Saldos Iniciales'!$D:$D,'Saldos Iniciales'!$A:$A,"Green Stone Trust")+SUMIFS(Movimientos!$K$1:$K$892,Movimientos!$C$1:$C$892,"Green Stone Trust",Movimientos!$B$1:$B$892,"&lt;="&amp;$B93)</f>
        <v>1968.99</v>
      </c>
      <c r="O93" s="24">
        <f>SUMIFS('Saldos Iniciales'!$D:$D,'Saldos Iniciales'!$A:$A,"EC Auto")+SUMIFS(Movimientos!$K$1:$K$892,Movimientos!$C$1:$C$892,"EC Auto",Movimientos!$B$1:$B$892,"&lt;="&amp;$B93)</f>
        <v>901.34</v>
      </c>
      <c r="P93" s="24">
        <f>SUMIFS('Saldos Iniciales'!$D:$D,'Saldos Iniciales'!$A:$A,"Arbor Capital Properties")+SUMIFS(Movimientos!$K$1:$K$892,Movimientos!$C$1:$C$892,"Arbor Capital Properties",Movimientos!$B$1:$B$892,"&lt;="&amp;$B93)</f>
        <v>1412.08</v>
      </c>
      <c r="Q93" s="24">
        <f>SUMIFS('Saldos Iniciales'!$D:$D,'Saldos Iniciales'!$A:$A,"2515 Overbrook")+SUMIFS(Movimientos!$K$1:$K$892,Movimientos!$C$1:$C$892,"2515 Overbrook",Movimientos!$B$1:$B$892,"&lt;="&amp;$B93)</f>
        <v>22347.56999999996</v>
      </c>
      <c r="R93" s="24">
        <f>SUMIFS('Saldos Iniciales'!$D:$D,'Saldos Iniciales'!$A:$A,"112 Florida Ave")+SUMIFS(Movimientos!$K$1:$K$892,Movimientos!$C$1:$C$892,"112 Florida Ave",Movimientos!$B$1:$B$892,"&lt;="&amp;$B93)</f>
        <v>18522.800000000003</v>
      </c>
      <c r="S93" s="24">
        <f>SUMIFS('Saldos Iniciales'!$D:$D,'Saldos Iniciales'!$A:$A,"3628 Thomas Ave")+SUMIFS(Movimientos!$K$1:$K$892,Movimientos!$C$1:$C$892,"3628 Thomas Ave",Movimientos!$B$1:$B$892,"&lt;="&amp;$B93)</f>
        <v>28485.559999999998</v>
      </c>
      <c r="T93" s="24">
        <f>SUMIFS('Saldos Iniciales'!$D:$D,'Saldos Iniciales'!$A:$A,"Green Harbor Trust")+SUMIFS(Movimientos!$K$1:$K$892,Movimientos!$C$1:$C$892,"Green Harbor Trust",Movimientos!$B$1:$B$892,"&lt;="&amp;$B93)</f>
        <v>345</v>
      </c>
      <c r="U93" s="24">
        <f>SUMIFS('Saldos Iniciales'!$D:$D,'Saldos Iniciales'!$A:$A,"Go Blue")+SUMIFS(Movimientos!$K$1:$K$892,Movimientos!$C$1:$C$892,"Go Blue",Movimientos!$B$1:$B$892,"&lt;="&amp;$B93)</f>
        <v>11634.930000000004</v>
      </c>
      <c r="V93" s="25">
        <f t="shared" si="21"/>
        <v>7361453.7899999991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Group")+SUMIFS(Movimientos!$K$1:$K$892,Movimientos!$C$1:$C$892,"CFT Group",Movimientos!$B$1:$B$892,"&lt;="&amp;$B94)</f>
        <v>2468032.08</v>
      </c>
      <c r="D94" s="24">
        <f>SUMIFS('Saldos Iniciales'!$D:$D,'Saldos Iniciales'!$A:$A,"M1B")+SUMIFS(Movimientos!$K$1:$K$892,Movimientos!$C$1:$C$892,"M1B",Movimientos!$B$1:$B$892,"&lt;="&amp;$B94)</f>
        <v>83211.250000000175</v>
      </c>
      <c r="E94" s="24">
        <f>SUMIFS('Saldos Iniciales'!$D:$D,'Saldos Iniciales'!$A:$A,"Durand")+SUMIFS(Movimientos!$K$1:$K$892,Movimientos!$C$1:$C$892,"Durand",Movimientos!$B$1:$B$892,"&lt;="&amp;$B94)</f>
        <v>1669.89</v>
      </c>
      <c r="F94" s="24">
        <f>SUMIFS('Saldos Iniciales'!$D:$D,'Saldos Iniciales'!$A:$A,"A&amp;M Imports")+SUMIFS(Movimientos!$K$1:$K$892,Movimientos!$C$1:$C$892,"A&amp;M Imports",Movimientos!$B$1:$B$892,"&lt;="&amp;$B94)</f>
        <v>1458426.0399999998</v>
      </c>
      <c r="G94" s="24">
        <f>SUMIFS('Saldos Iniciales'!$D:$D,'Saldos Iniciales'!$A:$A,"SSP Capital")+SUMIFS(Movimientos!$K$1:$K$892,Movimientos!$C$1:$C$892,"SSP Capital",Movimientos!$B$1:$B$892,"&lt;="&amp;$B94)</f>
        <v>1514477.1199999996</v>
      </c>
      <c r="H94" s="24">
        <f>SUMIFS('Saldos Iniciales'!$D:$D,'Saldos Iniciales'!$A:$A,"Cross Family Trust")+SUMIFS(Movimientos!$K$1:$K$892,Movimientos!$C$1:$C$892,"Cross Family Trust",Movimientos!$B$1:$B$892,"&lt;="&amp;$B94)</f>
        <v>190496.38</v>
      </c>
      <c r="I94" s="24">
        <f>SUMIFS('Saldos Iniciales'!$D:$D,'Saldos Iniciales'!$A:$A,"Cross Security Trust")+SUMIFS(Movimientos!$K$1:$K$892,Movimientos!$C$1:$C$892,"Cross Security Trust",Movimientos!$B$1:$B$892,"&lt;="&amp;$B94)</f>
        <v>88090.37</v>
      </c>
      <c r="J94" s="24">
        <f>SUMIFS('Saldos Iniciales'!$D:$D,'Saldos Iniciales'!$A:$A,"Electrama")+SUMIFS(Movimientos!$K$1:$K$892,Movimientos!$C$1:$C$892,"Electrama",Movimientos!$B$1:$B$892,"&lt;="&amp;$B94)</f>
        <v>14580.45</v>
      </c>
      <c r="K94" s="24">
        <f>SUMIFS('Saldos Iniciales'!$D:$D,'Saldos Iniciales'!$A:$A,"Sacred Valley Capital")+SUMIFS(Movimientos!$K$1:$K$892,Movimientos!$C$1:$C$892,"Sacred Valley Capital",Movimientos!$B$1:$B$892,"&lt;="&amp;$B94)</f>
        <v>54.400000000000006</v>
      </c>
      <c r="L94" s="24">
        <f>SUMIFS('Saldos Iniciales'!$D:$D,'Saldos Iniciales'!$A:$A,"YWC Capital")+SUMIFS(Movimientos!$K$1:$K$892,Movimientos!$C$1:$C$892,"YWC Capital",Movimientos!$B$1:$B$892,"&lt;="&amp;$B94)</f>
        <v>2207.8200000000002</v>
      </c>
      <c r="M94" s="24">
        <f>SUMIFS('Saldos Iniciales'!$D:$D,'Saldos Iniciales'!$A:$A,"Soweto")+SUMIFS(Movimientos!$K$1:$K$892,Movimientos!$C$1:$C$892,"Soweto",Movimientos!$B$1:$B$892,"&lt;="&amp;$B94)</f>
        <v>1454589.72</v>
      </c>
      <c r="N94" s="24">
        <f>SUMIFS('Saldos Iniciales'!$D:$D,'Saldos Iniciales'!$A:$A,"Green Stone Trust")+SUMIFS(Movimientos!$K$1:$K$892,Movimientos!$C$1:$C$892,"Green Stone Trust",Movimientos!$B$1:$B$892,"&lt;="&amp;$B94)</f>
        <v>1968.99</v>
      </c>
      <c r="O94" s="24">
        <f>SUMIFS('Saldos Iniciales'!$D:$D,'Saldos Iniciales'!$A:$A,"EC Auto")+SUMIFS(Movimientos!$K$1:$K$892,Movimientos!$C$1:$C$892,"EC Auto",Movimientos!$B$1:$B$892,"&lt;="&amp;$B94)</f>
        <v>901.34</v>
      </c>
      <c r="P94" s="24">
        <f>SUMIFS('Saldos Iniciales'!$D:$D,'Saldos Iniciales'!$A:$A,"Arbor Capital Properties")+SUMIFS(Movimientos!$K$1:$K$892,Movimientos!$C$1:$C$892,"Arbor Capital Properties",Movimientos!$B$1:$B$892,"&lt;="&amp;$B94)</f>
        <v>1412.08</v>
      </c>
      <c r="Q94" s="24">
        <f>SUMIFS('Saldos Iniciales'!$D:$D,'Saldos Iniciales'!$A:$A,"2515 Overbrook")+SUMIFS(Movimientos!$K$1:$K$892,Movimientos!$C$1:$C$892,"2515 Overbrook",Movimientos!$B$1:$B$892,"&lt;="&amp;$B94)</f>
        <v>22347.56999999996</v>
      </c>
      <c r="R94" s="24">
        <f>SUMIFS('Saldos Iniciales'!$D:$D,'Saldos Iniciales'!$A:$A,"112 Florida Ave")+SUMIFS(Movimientos!$K$1:$K$892,Movimientos!$C$1:$C$892,"112 Florida Ave",Movimientos!$B$1:$B$892,"&lt;="&amp;$B94)</f>
        <v>18522.800000000003</v>
      </c>
      <c r="S94" s="24">
        <f>SUMIFS('Saldos Iniciales'!$D:$D,'Saldos Iniciales'!$A:$A,"3628 Thomas Ave")+SUMIFS(Movimientos!$K$1:$K$892,Movimientos!$C$1:$C$892,"3628 Thomas Ave",Movimientos!$B$1:$B$892,"&lt;="&amp;$B94)</f>
        <v>28485.559999999998</v>
      </c>
      <c r="T94" s="24">
        <f>SUMIFS('Saldos Iniciales'!$D:$D,'Saldos Iniciales'!$A:$A,"Green Harbor Trust")+SUMIFS(Movimientos!$K$1:$K$892,Movimientos!$C$1:$C$892,"Green Harbor Trust",Movimientos!$B$1:$B$892,"&lt;="&amp;$B94)</f>
        <v>345</v>
      </c>
      <c r="U94" s="24">
        <f>SUMIFS('Saldos Iniciales'!$D:$D,'Saldos Iniciales'!$A:$A,"Go Blue")+SUMIFS(Movimientos!$K$1:$K$892,Movimientos!$C$1:$C$892,"Go Blue",Movimientos!$B$1:$B$892,"&lt;="&amp;$B94)</f>
        <v>11634.930000000004</v>
      </c>
      <c r="V94" s="25">
        <f t="shared" si="21"/>
        <v>7361453.7899999991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Group")+SUMIFS(Movimientos!$K$1:$K$892,Movimientos!$C$1:$C$892,"CFT Group",Movimientos!$B$1:$B$892,"&lt;="&amp;$B95)</f>
        <v>2468032.08</v>
      </c>
      <c r="D95" s="24">
        <f>SUMIFS('Saldos Iniciales'!$D:$D,'Saldos Iniciales'!$A:$A,"M1B")+SUMIFS(Movimientos!$K$1:$K$892,Movimientos!$C$1:$C$892,"M1B",Movimientos!$B$1:$B$892,"&lt;="&amp;$B95)</f>
        <v>83211.250000000175</v>
      </c>
      <c r="E95" s="24">
        <f>SUMIFS('Saldos Iniciales'!$D:$D,'Saldos Iniciales'!$A:$A,"Durand")+SUMIFS(Movimientos!$K$1:$K$892,Movimientos!$C$1:$C$892,"Durand",Movimientos!$B$1:$B$892,"&lt;="&amp;$B95)</f>
        <v>1669.89</v>
      </c>
      <c r="F95" s="24">
        <f>SUMIFS('Saldos Iniciales'!$D:$D,'Saldos Iniciales'!$A:$A,"A&amp;M Imports")+SUMIFS(Movimientos!$K$1:$K$892,Movimientos!$C$1:$C$892,"A&amp;M Imports",Movimientos!$B$1:$B$892,"&lt;="&amp;$B95)</f>
        <v>1458426.0399999998</v>
      </c>
      <c r="G95" s="24">
        <f>SUMIFS('Saldos Iniciales'!$D:$D,'Saldos Iniciales'!$A:$A,"SSP Capital")+SUMIFS(Movimientos!$K$1:$K$892,Movimientos!$C$1:$C$892,"SSP Capital",Movimientos!$B$1:$B$892,"&lt;="&amp;$B95)</f>
        <v>1514477.1199999996</v>
      </c>
      <c r="H95" s="24">
        <f>SUMIFS('Saldos Iniciales'!$D:$D,'Saldos Iniciales'!$A:$A,"Cross Family Trust")+SUMIFS(Movimientos!$K$1:$K$892,Movimientos!$C$1:$C$892,"Cross Family Trust",Movimientos!$B$1:$B$892,"&lt;="&amp;$B95)</f>
        <v>190496.38</v>
      </c>
      <c r="I95" s="24">
        <f>SUMIFS('Saldos Iniciales'!$D:$D,'Saldos Iniciales'!$A:$A,"Cross Security Trust")+SUMIFS(Movimientos!$K$1:$K$892,Movimientos!$C$1:$C$892,"Cross Security Trust",Movimientos!$B$1:$B$892,"&lt;="&amp;$B95)</f>
        <v>88090.37</v>
      </c>
      <c r="J95" s="24">
        <f>SUMIFS('Saldos Iniciales'!$D:$D,'Saldos Iniciales'!$A:$A,"Electrama")+SUMIFS(Movimientos!$K$1:$K$892,Movimientos!$C$1:$C$892,"Electrama",Movimientos!$B$1:$B$892,"&lt;="&amp;$B95)</f>
        <v>14580.45</v>
      </c>
      <c r="K95" s="24">
        <f>SUMIFS('Saldos Iniciales'!$D:$D,'Saldos Iniciales'!$A:$A,"Sacred Valley Capital")+SUMIFS(Movimientos!$K$1:$K$892,Movimientos!$C$1:$C$892,"Sacred Valley Capital",Movimientos!$B$1:$B$892,"&lt;="&amp;$B95)</f>
        <v>54.400000000000006</v>
      </c>
      <c r="L95" s="24">
        <f>SUMIFS('Saldos Iniciales'!$D:$D,'Saldos Iniciales'!$A:$A,"YWC Capital")+SUMIFS(Movimientos!$K$1:$K$892,Movimientos!$C$1:$C$892,"YWC Capital",Movimientos!$B$1:$B$892,"&lt;="&amp;$B95)</f>
        <v>2207.8200000000002</v>
      </c>
      <c r="M95" s="24">
        <f>SUMIFS('Saldos Iniciales'!$D:$D,'Saldos Iniciales'!$A:$A,"Soweto")+SUMIFS(Movimientos!$K$1:$K$892,Movimientos!$C$1:$C$892,"Soweto",Movimientos!$B$1:$B$892,"&lt;="&amp;$B95)</f>
        <v>1454589.72</v>
      </c>
      <c r="N95" s="24">
        <f>SUMIFS('Saldos Iniciales'!$D:$D,'Saldos Iniciales'!$A:$A,"Green Stone Trust")+SUMIFS(Movimientos!$K$1:$K$892,Movimientos!$C$1:$C$892,"Green Stone Trust",Movimientos!$B$1:$B$892,"&lt;="&amp;$B95)</f>
        <v>1968.99</v>
      </c>
      <c r="O95" s="24">
        <f>SUMIFS('Saldos Iniciales'!$D:$D,'Saldos Iniciales'!$A:$A,"EC Auto")+SUMIFS(Movimientos!$K$1:$K$892,Movimientos!$C$1:$C$892,"EC Auto",Movimientos!$B$1:$B$892,"&lt;="&amp;$B95)</f>
        <v>901.34</v>
      </c>
      <c r="P95" s="24">
        <f>SUMIFS('Saldos Iniciales'!$D:$D,'Saldos Iniciales'!$A:$A,"Arbor Capital Properties")+SUMIFS(Movimientos!$K$1:$K$892,Movimientos!$C$1:$C$892,"Arbor Capital Properties",Movimientos!$B$1:$B$892,"&lt;="&amp;$B95)</f>
        <v>1412.08</v>
      </c>
      <c r="Q95" s="24">
        <f>SUMIFS('Saldos Iniciales'!$D:$D,'Saldos Iniciales'!$A:$A,"2515 Overbrook")+SUMIFS(Movimientos!$K$1:$K$892,Movimientos!$C$1:$C$892,"2515 Overbrook",Movimientos!$B$1:$B$892,"&lt;="&amp;$B95)</f>
        <v>22347.56999999996</v>
      </c>
      <c r="R95" s="24">
        <f>SUMIFS('Saldos Iniciales'!$D:$D,'Saldos Iniciales'!$A:$A,"112 Florida Ave")+SUMIFS(Movimientos!$K$1:$K$892,Movimientos!$C$1:$C$892,"112 Florida Ave",Movimientos!$B$1:$B$892,"&lt;="&amp;$B95)</f>
        <v>18522.800000000003</v>
      </c>
      <c r="S95" s="24">
        <f>SUMIFS('Saldos Iniciales'!$D:$D,'Saldos Iniciales'!$A:$A,"3628 Thomas Ave")+SUMIFS(Movimientos!$K$1:$K$892,Movimientos!$C$1:$C$892,"3628 Thomas Ave",Movimientos!$B$1:$B$892,"&lt;="&amp;$B95)</f>
        <v>28485.559999999998</v>
      </c>
      <c r="T95" s="24">
        <f>SUMIFS('Saldos Iniciales'!$D:$D,'Saldos Iniciales'!$A:$A,"Green Harbor Trust")+SUMIFS(Movimientos!$K$1:$K$892,Movimientos!$C$1:$C$892,"Green Harbor Trust",Movimientos!$B$1:$B$892,"&lt;="&amp;$B95)</f>
        <v>345</v>
      </c>
      <c r="U95" s="24">
        <f>SUMIFS('Saldos Iniciales'!$D:$D,'Saldos Iniciales'!$A:$A,"Go Blue")+SUMIFS(Movimientos!$K$1:$K$892,Movimientos!$C$1:$C$892,"Go Blue",Movimientos!$B$1:$B$892,"&lt;="&amp;$B95)</f>
        <v>11634.930000000004</v>
      </c>
      <c r="V95" s="25">
        <f t="shared" si="21"/>
        <v>7361453.7899999991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Group")+SUMIFS(Movimientos!$K$1:$K$892,Movimientos!$C$1:$C$892,"CFT Group",Movimientos!$B$1:$B$892,"&lt;="&amp;$B96)</f>
        <v>2468032.08</v>
      </c>
      <c r="D96" s="24">
        <f>SUMIFS('Saldos Iniciales'!$D:$D,'Saldos Iniciales'!$A:$A,"M1B")+SUMIFS(Movimientos!$K$1:$K$892,Movimientos!$C$1:$C$892,"M1B",Movimientos!$B$1:$B$892,"&lt;="&amp;$B96)</f>
        <v>83211.250000000175</v>
      </c>
      <c r="E96" s="24">
        <f>SUMIFS('Saldos Iniciales'!$D:$D,'Saldos Iniciales'!$A:$A,"Durand")+SUMIFS(Movimientos!$K$1:$K$892,Movimientos!$C$1:$C$892,"Durand",Movimientos!$B$1:$B$892,"&lt;="&amp;$B96)</f>
        <v>1669.89</v>
      </c>
      <c r="F96" s="24">
        <f>SUMIFS('Saldos Iniciales'!$D:$D,'Saldos Iniciales'!$A:$A,"A&amp;M Imports")+SUMIFS(Movimientos!$K$1:$K$892,Movimientos!$C$1:$C$892,"A&amp;M Imports",Movimientos!$B$1:$B$892,"&lt;="&amp;$B96)</f>
        <v>1458426.0399999998</v>
      </c>
      <c r="G96" s="24">
        <f>SUMIFS('Saldos Iniciales'!$D:$D,'Saldos Iniciales'!$A:$A,"SSP Capital")+SUMIFS(Movimientos!$K$1:$K$892,Movimientos!$C$1:$C$892,"SSP Capital",Movimientos!$B$1:$B$892,"&lt;="&amp;$B96)</f>
        <v>1514477.1199999996</v>
      </c>
      <c r="H96" s="24">
        <f>SUMIFS('Saldos Iniciales'!$D:$D,'Saldos Iniciales'!$A:$A,"Cross Family Trust")+SUMIFS(Movimientos!$K$1:$K$892,Movimientos!$C$1:$C$892,"Cross Family Trust",Movimientos!$B$1:$B$892,"&lt;="&amp;$B96)</f>
        <v>190496.38</v>
      </c>
      <c r="I96" s="24">
        <f>SUMIFS('Saldos Iniciales'!$D:$D,'Saldos Iniciales'!$A:$A,"Cross Security Trust")+SUMIFS(Movimientos!$K$1:$K$892,Movimientos!$C$1:$C$892,"Cross Security Trust",Movimientos!$B$1:$B$892,"&lt;="&amp;$B96)</f>
        <v>88090.37</v>
      </c>
      <c r="J96" s="24">
        <f>SUMIFS('Saldos Iniciales'!$D:$D,'Saldos Iniciales'!$A:$A,"Electrama")+SUMIFS(Movimientos!$K$1:$K$892,Movimientos!$C$1:$C$892,"Electrama",Movimientos!$B$1:$B$892,"&lt;="&amp;$B96)</f>
        <v>14580.45</v>
      </c>
      <c r="K96" s="24">
        <f>SUMIFS('Saldos Iniciales'!$D:$D,'Saldos Iniciales'!$A:$A,"Sacred Valley Capital")+SUMIFS(Movimientos!$K$1:$K$892,Movimientos!$C$1:$C$892,"Sacred Valley Capital",Movimientos!$B$1:$B$892,"&lt;="&amp;$B96)</f>
        <v>24.450000000000003</v>
      </c>
      <c r="L96" s="24">
        <f>SUMIFS('Saldos Iniciales'!$D:$D,'Saldos Iniciales'!$A:$A,"YWC Capital")+SUMIFS(Movimientos!$K$1:$K$892,Movimientos!$C$1:$C$892,"YWC Capital",Movimientos!$B$1:$B$892,"&lt;="&amp;$B96)</f>
        <v>2177.87</v>
      </c>
      <c r="M96" s="24">
        <f>SUMIFS('Saldos Iniciales'!$D:$D,'Saldos Iniciales'!$A:$A,"Soweto")+SUMIFS(Movimientos!$K$1:$K$892,Movimientos!$C$1:$C$892,"Soweto",Movimientos!$B$1:$B$892,"&lt;="&amp;$B96)</f>
        <v>1454589.72</v>
      </c>
      <c r="N96" s="24">
        <f>SUMIFS('Saldos Iniciales'!$D:$D,'Saldos Iniciales'!$A:$A,"Green Stone Trust")+SUMIFS(Movimientos!$K$1:$K$892,Movimientos!$C$1:$C$892,"Green Stone Trust",Movimientos!$B$1:$B$892,"&lt;="&amp;$B96)</f>
        <v>1968.99</v>
      </c>
      <c r="O96" s="24">
        <f>SUMIFS('Saldos Iniciales'!$D:$D,'Saldos Iniciales'!$A:$A,"EC Auto")+SUMIFS(Movimientos!$K$1:$K$892,Movimientos!$C$1:$C$892,"EC Auto",Movimientos!$B$1:$B$892,"&lt;="&amp;$B96)</f>
        <v>901.34</v>
      </c>
      <c r="P96" s="24">
        <f>SUMIFS('Saldos Iniciales'!$D:$D,'Saldos Iniciales'!$A:$A,"Arbor Capital Properties")+SUMIFS(Movimientos!$K$1:$K$892,Movimientos!$C$1:$C$892,"Arbor Capital Properties",Movimientos!$B$1:$B$892,"&lt;="&amp;$B96)</f>
        <v>1396.08</v>
      </c>
      <c r="Q96" s="24">
        <f>SUMIFS('Saldos Iniciales'!$D:$D,'Saldos Iniciales'!$A:$A,"2515 Overbrook")+SUMIFS(Movimientos!$K$1:$K$892,Movimientos!$C$1:$C$892,"2515 Overbrook",Movimientos!$B$1:$B$892,"&lt;="&amp;$B96)</f>
        <v>13804.239999999962</v>
      </c>
      <c r="R96" s="24">
        <f>SUMIFS('Saldos Iniciales'!$D:$D,'Saldos Iniciales'!$A:$A,"112 Florida Ave")+SUMIFS(Movimientos!$K$1:$K$892,Movimientos!$C$1:$C$892,"112 Florida Ave",Movimientos!$B$1:$B$892,"&lt;="&amp;$B96)</f>
        <v>8724.1700000000037</v>
      </c>
      <c r="S96" s="24">
        <f>SUMIFS('Saldos Iniciales'!$D:$D,'Saldos Iniciales'!$A:$A,"3628 Thomas Ave")+SUMIFS(Movimientos!$K$1:$K$892,Movimientos!$C$1:$C$892,"3628 Thomas Ave",Movimientos!$B$1:$B$892,"&lt;="&amp;$B96)</f>
        <v>15106.099999999997</v>
      </c>
      <c r="T96" s="24">
        <f>SUMIFS('Saldos Iniciales'!$D:$D,'Saldos Iniciales'!$A:$A,"Green Harbor Trust")+SUMIFS(Movimientos!$K$1:$K$892,Movimientos!$C$1:$C$892,"Green Harbor Trust",Movimientos!$B$1:$B$892,"&lt;="&amp;$B96)</f>
        <v>345</v>
      </c>
      <c r="U96" s="24">
        <f>SUMIFS('Saldos Iniciales'!$D:$D,'Saldos Iniciales'!$A:$A,"Go Blue")+SUMIFS(Movimientos!$K$1:$K$892,Movimientos!$C$1:$C$892,"Go Blue",Movimientos!$B$1:$B$892,"&lt;="&amp;$B96)</f>
        <v>8270.3500000000022</v>
      </c>
      <c r="V96" s="25">
        <f t="shared" si="21"/>
        <v>7326291.8899999987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Group")+SUMIFS(Movimientos!$K$1:$K$892,Movimientos!$C$1:$C$892,"CFT Group",Movimientos!$B$1:$B$892,"&lt;="&amp;$B97)</f>
        <v>2468032.08</v>
      </c>
      <c r="D97" s="24">
        <f>SUMIFS('Saldos Iniciales'!$D:$D,'Saldos Iniciales'!$A:$A,"M1B")+SUMIFS(Movimientos!$K$1:$K$892,Movimientos!$C$1:$C$892,"M1B",Movimientos!$B$1:$B$892,"&lt;="&amp;$B97)</f>
        <v>83211.250000000175</v>
      </c>
      <c r="E97" s="24">
        <f>SUMIFS('Saldos Iniciales'!$D:$D,'Saldos Iniciales'!$A:$A,"Durand")+SUMIFS(Movimientos!$K$1:$K$892,Movimientos!$C$1:$C$892,"Durand",Movimientos!$B$1:$B$892,"&lt;="&amp;$B97)</f>
        <v>1669.89</v>
      </c>
      <c r="F97" s="24">
        <f>SUMIFS('Saldos Iniciales'!$D:$D,'Saldos Iniciales'!$A:$A,"A&amp;M Imports")+SUMIFS(Movimientos!$K$1:$K$892,Movimientos!$C$1:$C$892,"A&amp;M Imports",Movimientos!$B$1:$B$892,"&lt;="&amp;$B97)</f>
        <v>1458426.0399999998</v>
      </c>
      <c r="G97" s="24">
        <f>SUMIFS('Saldos Iniciales'!$D:$D,'Saldos Iniciales'!$A:$A,"SSP Capital")+SUMIFS(Movimientos!$K$1:$K$892,Movimientos!$C$1:$C$892,"SSP Capital",Movimientos!$B$1:$B$892,"&lt;="&amp;$B97)</f>
        <v>1513867.4199999995</v>
      </c>
      <c r="H97" s="24">
        <f>SUMIFS('Saldos Iniciales'!$D:$D,'Saldos Iniciales'!$A:$A,"Cross Family Trust")+SUMIFS(Movimientos!$K$1:$K$892,Movimientos!$C$1:$C$892,"Cross Family Trust",Movimientos!$B$1:$B$892,"&lt;="&amp;$B97)</f>
        <v>184496.38</v>
      </c>
      <c r="I97" s="24">
        <f>SUMIFS('Saldos Iniciales'!$D:$D,'Saldos Iniciales'!$A:$A,"Cross Security Trust")+SUMIFS(Movimientos!$K$1:$K$892,Movimientos!$C$1:$C$892,"Cross Security Trust",Movimientos!$B$1:$B$892,"&lt;="&amp;$B97)</f>
        <v>88090.37</v>
      </c>
      <c r="J97" s="24">
        <f>SUMIFS('Saldos Iniciales'!$D:$D,'Saldos Iniciales'!$A:$A,"Electrama")+SUMIFS(Movimientos!$K$1:$K$892,Movimientos!$C$1:$C$892,"Electrama",Movimientos!$B$1:$B$892,"&lt;="&amp;$B97)</f>
        <v>14580.45</v>
      </c>
      <c r="K97" s="24">
        <f>SUMIFS('Saldos Iniciales'!$D:$D,'Saldos Iniciales'!$A:$A,"Sacred Valley Capital")+SUMIFS(Movimientos!$K$1:$K$892,Movimientos!$C$1:$C$892,"Sacred Valley Capital",Movimientos!$B$1:$B$892,"&lt;="&amp;$B97)</f>
        <v>24.450000000000003</v>
      </c>
      <c r="L97" s="24">
        <f>SUMIFS('Saldos Iniciales'!$D:$D,'Saldos Iniciales'!$A:$A,"YWC Capital")+SUMIFS(Movimientos!$K$1:$K$892,Movimientos!$C$1:$C$892,"YWC Capital",Movimientos!$B$1:$B$892,"&lt;="&amp;$B97)</f>
        <v>2177.87</v>
      </c>
      <c r="M97" s="24">
        <f>SUMIFS('Saldos Iniciales'!$D:$D,'Saldos Iniciales'!$A:$A,"Soweto")+SUMIFS(Movimientos!$K$1:$K$892,Movimientos!$C$1:$C$892,"Soweto",Movimientos!$B$1:$B$892,"&lt;="&amp;$B97)</f>
        <v>1454589.72</v>
      </c>
      <c r="N97" s="24">
        <f>SUMIFS('Saldos Iniciales'!$D:$D,'Saldos Iniciales'!$A:$A,"Green Stone Trust")+SUMIFS(Movimientos!$K$1:$K$892,Movimientos!$C$1:$C$892,"Green Stone Trust",Movimientos!$B$1:$B$892,"&lt;="&amp;$B97)</f>
        <v>1968.99</v>
      </c>
      <c r="O97" s="24">
        <f>SUMIFS('Saldos Iniciales'!$D:$D,'Saldos Iniciales'!$A:$A,"EC Auto")+SUMIFS(Movimientos!$K$1:$K$892,Movimientos!$C$1:$C$892,"EC Auto",Movimientos!$B$1:$B$892,"&lt;="&amp;$B97)</f>
        <v>901.34</v>
      </c>
      <c r="P97" s="24">
        <f>SUMIFS('Saldos Iniciales'!$D:$D,'Saldos Iniciales'!$A:$A,"Arbor Capital Properties")+SUMIFS(Movimientos!$K$1:$K$892,Movimientos!$C$1:$C$892,"Arbor Capital Properties",Movimientos!$B$1:$B$892,"&lt;="&amp;$B97)</f>
        <v>1396.08</v>
      </c>
      <c r="Q97" s="24">
        <f>SUMIFS('Saldos Iniciales'!$D:$D,'Saldos Iniciales'!$A:$A,"2515 Overbrook")+SUMIFS(Movimientos!$K$1:$K$892,Movimientos!$C$1:$C$892,"2515 Overbrook",Movimientos!$B$1:$B$892,"&lt;="&amp;$B97)</f>
        <v>13804.239999999962</v>
      </c>
      <c r="R97" s="24">
        <f>SUMIFS('Saldos Iniciales'!$D:$D,'Saldos Iniciales'!$A:$A,"112 Florida Ave")+SUMIFS(Movimientos!$K$1:$K$892,Movimientos!$C$1:$C$892,"112 Florida Ave",Movimientos!$B$1:$B$892,"&lt;="&amp;$B97)</f>
        <v>8724.1700000000037</v>
      </c>
      <c r="S97" s="24">
        <f>SUMIFS('Saldos Iniciales'!$D:$D,'Saldos Iniciales'!$A:$A,"3628 Thomas Ave")+SUMIFS(Movimientos!$K$1:$K$892,Movimientos!$C$1:$C$892,"3628 Thomas Ave",Movimientos!$B$1:$B$892,"&lt;="&amp;$B97)</f>
        <v>15106.099999999997</v>
      </c>
      <c r="T97" s="24">
        <f>SUMIFS('Saldos Iniciales'!$D:$D,'Saldos Iniciales'!$A:$A,"Green Harbor Trust")+SUMIFS(Movimientos!$K$1:$K$892,Movimientos!$C$1:$C$892,"Green Harbor Trust",Movimientos!$B$1:$B$892,"&lt;="&amp;$B97)</f>
        <v>345</v>
      </c>
      <c r="U97" s="24">
        <f>SUMIFS('Saldos Iniciales'!$D:$D,'Saldos Iniciales'!$A:$A,"Go Blue")+SUMIFS(Movimientos!$K$1:$K$892,Movimientos!$C$1:$C$892,"Go Blue",Movimientos!$B$1:$B$892,"&lt;="&amp;$B97)</f>
        <v>7879.4200000000019</v>
      </c>
      <c r="V97" s="25">
        <f t="shared" ref="V97:V102" si="22">SUM(C97:U97)</f>
        <v>7319291.2599999998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Group")+SUMIFS(Movimientos!$K$1:$K$892,Movimientos!$C$1:$C$892,"CFT Group",Movimientos!$B$1:$B$892,"&lt;="&amp;$B98)</f>
        <v>2468032.08</v>
      </c>
      <c r="D98" s="24">
        <f>SUMIFS('Saldos Iniciales'!$D:$D,'Saldos Iniciales'!$A:$A,"M1B")+SUMIFS(Movimientos!$K$1:$K$892,Movimientos!$C$1:$C$892,"M1B",Movimientos!$B$1:$B$892,"&lt;="&amp;$B98)</f>
        <v>83211.250000000175</v>
      </c>
      <c r="E98" s="24">
        <f>SUMIFS('Saldos Iniciales'!$D:$D,'Saldos Iniciales'!$A:$A,"Durand")+SUMIFS(Movimientos!$K$1:$K$892,Movimientos!$C$1:$C$892,"Durand",Movimientos!$B$1:$B$892,"&lt;="&amp;$B98)</f>
        <v>1669.89</v>
      </c>
      <c r="F98" s="24">
        <f>SUMIFS('Saldos Iniciales'!$D:$D,'Saldos Iniciales'!$A:$A,"A&amp;M Imports")+SUMIFS(Movimientos!$K$1:$K$892,Movimientos!$C$1:$C$892,"A&amp;M Imports",Movimientos!$B$1:$B$892,"&lt;="&amp;$B98)</f>
        <v>1452426.0399999998</v>
      </c>
      <c r="G98" s="24">
        <f>SUMIFS('Saldos Iniciales'!$D:$D,'Saldos Iniciales'!$A:$A,"SSP Capital")+SUMIFS(Movimientos!$K$1:$K$892,Movimientos!$C$1:$C$892,"SSP Capital",Movimientos!$B$1:$B$892,"&lt;="&amp;$B98)</f>
        <v>1512187.6399999997</v>
      </c>
      <c r="H98" s="24">
        <f>SUMIFS('Saldos Iniciales'!$D:$D,'Saldos Iniciales'!$A:$A,"Cross Family Trust")+SUMIFS(Movimientos!$K$1:$K$892,Movimientos!$C$1:$C$892,"Cross Family Trust",Movimientos!$B$1:$B$892,"&lt;="&amp;$B98)</f>
        <v>184496.38</v>
      </c>
      <c r="I98" s="24">
        <f>SUMIFS('Saldos Iniciales'!$D:$D,'Saldos Iniciales'!$A:$A,"Cross Security Trust")+SUMIFS(Movimientos!$K$1:$K$892,Movimientos!$C$1:$C$892,"Cross Security Trust",Movimientos!$B$1:$B$892,"&lt;="&amp;$B98)</f>
        <v>88090.37</v>
      </c>
      <c r="J98" s="24">
        <f>SUMIFS('Saldos Iniciales'!$D:$D,'Saldos Iniciales'!$A:$A,"Electrama")+SUMIFS(Movimientos!$K$1:$K$892,Movimientos!$C$1:$C$892,"Electrama",Movimientos!$B$1:$B$892,"&lt;="&amp;$B98)</f>
        <v>14540.45</v>
      </c>
      <c r="K98" s="24">
        <f>SUMIFS('Saldos Iniciales'!$D:$D,'Saldos Iniciales'!$A:$A,"Sacred Valley Capital")+SUMIFS(Movimientos!$K$1:$K$892,Movimientos!$C$1:$C$892,"Sacred Valley Capital",Movimientos!$B$1:$B$892,"&lt;="&amp;$B98)</f>
        <v>24.450000000000003</v>
      </c>
      <c r="L98" s="24">
        <f>SUMIFS('Saldos Iniciales'!$D:$D,'Saldos Iniciales'!$A:$A,"YWC Capital")+SUMIFS(Movimientos!$K$1:$K$892,Movimientos!$C$1:$C$892,"YWC Capital",Movimientos!$B$1:$B$892,"&lt;="&amp;$B98)</f>
        <v>2177.87</v>
      </c>
      <c r="M98" s="24">
        <f>SUMIFS('Saldos Iniciales'!$D:$D,'Saldos Iniciales'!$A:$A,"Soweto")+SUMIFS(Movimientos!$K$1:$K$892,Movimientos!$C$1:$C$892,"Soweto",Movimientos!$B$1:$B$892,"&lt;="&amp;$B98)</f>
        <v>1454589.72</v>
      </c>
      <c r="N98" s="24">
        <f>SUMIFS('Saldos Iniciales'!$D:$D,'Saldos Iniciales'!$A:$A,"Green Stone Trust")+SUMIFS(Movimientos!$K$1:$K$892,Movimientos!$C$1:$C$892,"Green Stone Trust",Movimientos!$B$1:$B$892,"&lt;="&amp;$B98)</f>
        <v>1968.99</v>
      </c>
      <c r="O98" s="24">
        <f>SUMIFS('Saldos Iniciales'!$D:$D,'Saldos Iniciales'!$A:$A,"EC Auto")+SUMIFS(Movimientos!$K$1:$K$892,Movimientos!$C$1:$C$892,"EC Auto",Movimientos!$B$1:$B$892,"&lt;="&amp;$B98)</f>
        <v>901.34</v>
      </c>
      <c r="P98" s="24">
        <f>SUMIFS('Saldos Iniciales'!$D:$D,'Saldos Iniciales'!$A:$A,"Arbor Capital Properties")+SUMIFS(Movimientos!$K$1:$K$892,Movimientos!$C$1:$C$892,"Arbor Capital Properties",Movimientos!$B$1:$B$892,"&lt;="&amp;$B98)</f>
        <v>1396.08</v>
      </c>
      <c r="Q98" s="24">
        <f>SUMIFS('Saldos Iniciales'!$D:$D,'Saldos Iniciales'!$A:$A,"2515 Overbrook")+SUMIFS(Movimientos!$K$1:$K$892,Movimientos!$C$1:$C$892,"2515 Overbrook",Movimientos!$B$1:$B$892,"&lt;="&amp;$B98)</f>
        <v>13804.239999999962</v>
      </c>
      <c r="R98" s="24">
        <f>SUMIFS('Saldos Iniciales'!$D:$D,'Saldos Iniciales'!$A:$A,"112 Florida Ave")+SUMIFS(Movimientos!$K$1:$K$892,Movimientos!$C$1:$C$892,"112 Florida Ave",Movimientos!$B$1:$B$892,"&lt;="&amp;$B98)</f>
        <v>8724.1700000000037</v>
      </c>
      <c r="S98" s="24">
        <f>SUMIFS('Saldos Iniciales'!$D:$D,'Saldos Iniciales'!$A:$A,"3628 Thomas Ave")+SUMIFS(Movimientos!$K$1:$K$892,Movimientos!$C$1:$C$892,"3628 Thomas Ave",Movimientos!$B$1:$B$892,"&lt;="&amp;$B98)</f>
        <v>15106.099999999997</v>
      </c>
      <c r="T98" s="24">
        <f>SUMIFS('Saldos Iniciales'!$D:$D,'Saldos Iniciales'!$A:$A,"Green Harbor Trust")+SUMIFS(Movimientos!$K$1:$K$892,Movimientos!$C$1:$C$892,"Green Harbor Trust",Movimientos!$B$1:$B$892,"&lt;="&amp;$B98)</f>
        <v>345</v>
      </c>
      <c r="U98" s="24">
        <f>SUMIFS('Saldos Iniciales'!$D:$D,'Saldos Iniciales'!$A:$A,"Go Blue")+SUMIFS(Movimientos!$K$1:$K$892,Movimientos!$C$1:$C$892,"Go Blue",Movimientos!$B$1:$B$892,"&lt;="&amp;$B98)</f>
        <v>7879.4200000000019</v>
      </c>
      <c r="V98" s="25">
        <f t="shared" si="22"/>
        <v>7311571.4799999995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Group")+SUMIFS(Movimientos!$K$1:$K$892,Movimientos!$C$1:$C$892,"CFT Group",Movimientos!$B$1:$B$892,"&lt;="&amp;$B99)</f>
        <v>1153390.4100000001</v>
      </c>
      <c r="D99" s="24">
        <f>SUMIFS('Saldos Iniciales'!$D:$D,'Saldos Iniciales'!$A:$A,"M1B")+SUMIFS(Movimientos!$K$1:$K$892,Movimientos!$C$1:$C$892,"M1B",Movimientos!$B$1:$B$892,"&lt;="&amp;$B99)</f>
        <v>83211.250000000175</v>
      </c>
      <c r="E99" s="24">
        <f>SUMIFS('Saldos Iniciales'!$D:$D,'Saldos Iniciales'!$A:$A,"Durand")+SUMIFS(Movimientos!$K$1:$K$892,Movimientos!$C$1:$C$892,"Durand",Movimientos!$B$1:$B$892,"&lt;="&amp;$B99)</f>
        <v>1669.89</v>
      </c>
      <c r="F99" s="24">
        <f>SUMIFS('Saldos Iniciales'!$D:$D,'Saldos Iniciales'!$A:$A,"A&amp;M Imports")+SUMIFS(Movimientos!$K$1:$K$892,Movimientos!$C$1:$C$892,"A&amp;M Imports",Movimientos!$B$1:$B$892,"&lt;="&amp;$B99)</f>
        <v>1349451.94</v>
      </c>
      <c r="G99" s="24">
        <f>SUMIFS('Saldos Iniciales'!$D:$D,'Saldos Iniciales'!$A:$A,"SSP Capital")+SUMIFS(Movimientos!$K$1:$K$892,Movimientos!$C$1:$C$892,"SSP Capital",Movimientos!$B$1:$B$892,"&lt;="&amp;$B99)</f>
        <v>2102073.7899999996</v>
      </c>
      <c r="H99" s="24">
        <f>SUMIFS('Saldos Iniciales'!$D:$D,'Saldos Iniciales'!$A:$A,"Cross Family Trust")+SUMIFS(Movimientos!$K$1:$K$892,Movimientos!$C$1:$C$892,"Cross Family Trust",Movimientos!$B$1:$B$892,"&lt;="&amp;$B99)</f>
        <v>171496.38</v>
      </c>
      <c r="I99" s="24">
        <f>SUMIFS('Saldos Iniciales'!$D:$D,'Saldos Iniciales'!$A:$A,"Cross Security Trust")+SUMIFS(Movimientos!$K$1:$K$892,Movimientos!$C$1:$C$892,"Cross Security Trust",Movimientos!$B$1:$B$892,"&lt;="&amp;$B99)</f>
        <v>88067.39</v>
      </c>
      <c r="J99" s="24">
        <f>SUMIFS('Saldos Iniciales'!$D:$D,'Saldos Iniciales'!$A:$A,"Electrama")+SUMIFS(Movimientos!$K$1:$K$892,Movimientos!$C$1:$C$892,"Electrama",Movimientos!$B$1:$B$892,"&lt;="&amp;$B99)</f>
        <v>13270.02</v>
      </c>
      <c r="K99" s="24">
        <f>SUMIFS('Saldos Iniciales'!$D:$D,'Saldos Iniciales'!$A:$A,"Sacred Valley Capital")+SUMIFS(Movimientos!$K$1:$K$892,Movimientos!$C$1:$C$892,"Sacred Valley Capital",Movimientos!$B$1:$B$892,"&lt;="&amp;$B99)</f>
        <v>24.450000000000003</v>
      </c>
      <c r="L99" s="24">
        <f>SUMIFS('Saldos Iniciales'!$D:$D,'Saldos Iniciales'!$A:$A,"YWC Capital")+SUMIFS(Movimientos!$K$1:$K$892,Movimientos!$C$1:$C$892,"YWC Capital",Movimientos!$B$1:$B$892,"&lt;="&amp;$B99)</f>
        <v>2177.87</v>
      </c>
      <c r="M99" s="24">
        <f>SUMIFS('Saldos Iniciales'!$D:$D,'Saldos Iniciales'!$A:$A,"Soweto")+SUMIFS(Movimientos!$K$1:$K$892,Movimientos!$C$1:$C$892,"Soweto",Movimientos!$B$1:$B$892,"&lt;="&amp;$B99)</f>
        <v>1454589.72</v>
      </c>
      <c r="N99" s="24">
        <f>SUMIFS('Saldos Iniciales'!$D:$D,'Saldos Iniciales'!$A:$A,"Green Stone Trust")+SUMIFS(Movimientos!$K$1:$K$892,Movimientos!$C$1:$C$892,"Green Stone Trust",Movimientos!$B$1:$B$892,"&lt;="&amp;$B99)</f>
        <v>1968.99</v>
      </c>
      <c r="O99" s="24">
        <f>SUMIFS('Saldos Iniciales'!$D:$D,'Saldos Iniciales'!$A:$A,"EC Auto")+SUMIFS(Movimientos!$K$1:$K$892,Movimientos!$C$1:$C$892,"EC Auto",Movimientos!$B$1:$B$892,"&lt;="&amp;$B99)</f>
        <v>901.34</v>
      </c>
      <c r="P99" s="24">
        <f>SUMIFS('Saldos Iniciales'!$D:$D,'Saldos Iniciales'!$A:$A,"Arbor Capital Properties")+SUMIFS(Movimientos!$K$1:$K$892,Movimientos!$C$1:$C$892,"Arbor Capital Properties",Movimientos!$B$1:$B$892,"&lt;="&amp;$B99)</f>
        <v>1396.08</v>
      </c>
      <c r="Q99" s="24">
        <f>SUMIFS('Saldos Iniciales'!$D:$D,'Saldos Iniciales'!$A:$A,"2515 Overbrook")+SUMIFS(Movimientos!$K$1:$K$892,Movimientos!$C$1:$C$892,"2515 Overbrook",Movimientos!$B$1:$B$892,"&lt;="&amp;$B99)</f>
        <v>13804.239999999962</v>
      </c>
      <c r="R99" s="24">
        <f>SUMIFS('Saldos Iniciales'!$D:$D,'Saldos Iniciales'!$A:$A,"112 Florida Ave")+SUMIFS(Movimientos!$K$1:$K$892,Movimientos!$C$1:$C$892,"112 Florida Ave",Movimientos!$B$1:$B$892,"&lt;="&amp;$B99)</f>
        <v>8724.1700000000037</v>
      </c>
      <c r="S99" s="24">
        <f>SUMIFS('Saldos Iniciales'!$D:$D,'Saldos Iniciales'!$A:$A,"3628 Thomas Ave")+SUMIFS(Movimientos!$K$1:$K$892,Movimientos!$C$1:$C$892,"3628 Thomas Ave",Movimientos!$B$1:$B$892,"&lt;="&amp;$B99)</f>
        <v>15106.099999999997</v>
      </c>
      <c r="T99" s="24">
        <f>SUMIFS('Saldos Iniciales'!$D:$D,'Saldos Iniciales'!$A:$A,"Green Harbor Trust")+SUMIFS(Movimientos!$K$1:$K$892,Movimientos!$C$1:$C$892,"Green Harbor Trust",Movimientos!$B$1:$B$892,"&lt;="&amp;$B99)</f>
        <v>345</v>
      </c>
      <c r="U99" s="24">
        <f>SUMIFS('Saldos Iniciales'!$D:$D,'Saldos Iniciales'!$A:$A,"Go Blue")+SUMIFS(Movimientos!$K$1:$K$892,Movimientos!$C$1:$C$892,"Go Blue",Movimientos!$B$1:$B$892,"&lt;="&amp;$B99)</f>
        <v>12470.040000000003</v>
      </c>
      <c r="V99" s="25">
        <f t="shared" si="22"/>
        <v>6474139.0699999984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Group")+SUMIFS(Movimientos!$K$1:$K$892,Movimientos!$C$1:$C$892,"CFT Group",Movimientos!$B$1:$B$892,"&lt;="&amp;$B100)</f>
        <v>1153390.4100000001</v>
      </c>
      <c r="D100" s="24">
        <f>SUMIFS('Saldos Iniciales'!$D:$D,'Saldos Iniciales'!$A:$A,"M1B")+SUMIFS(Movimientos!$K$1:$K$892,Movimientos!$C$1:$C$892,"M1B",Movimientos!$B$1:$B$892,"&lt;="&amp;$B100)</f>
        <v>83211.250000000175</v>
      </c>
      <c r="E100" s="24">
        <f>SUMIFS('Saldos Iniciales'!$D:$D,'Saldos Iniciales'!$A:$A,"Durand")+SUMIFS(Movimientos!$K$1:$K$892,Movimientos!$C$1:$C$892,"Durand",Movimientos!$B$1:$B$892,"&lt;="&amp;$B100)</f>
        <v>1669.89</v>
      </c>
      <c r="F100" s="24">
        <f>SUMIFS('Saldos Iniciales'!$D:$D,'Saldos Iniciales'!$A:$A,"A&amp;M Imports")+SUMIFS(Movimientos!$K$1:$K$892,Movimientos!$C$1:$C$892,"A&amp;M Imports",Movimientos!$B$1:$B$892,"&lt;="&amp;$B100)</f>
        <v>1349451.94</v>
      </c>
      <c r="G100" s="24">
        <f>SUMIFS('Saldos Iniciales'!$D:$D,'Saldos Iniciales'!$A:$A,"SSP Capital")+SUMIFS(Movimientos!$K$1:$K$892,Movimientos!$C$1:$C$892,"SSP Capital",Movimientos!$B$1:$B$892,"&lt;="&amp;$B100)</f>
        <v>2102073.7899999996</v>
      </c>
      <c r="H100" s="24">
        <f>SUMIFS('Saldos Iniciales'!$D:$D,'Saldos Iniciales'!$A:$A,"Cross Family Trust")+SUMIFS(Movimientos!$K$1:$K$892,Movimientos!$C$1:$C$892,"Cross Family Trust",Movimientos!$B$1:$B$892,"&lt;="&amp;$B100)</f>
        <v>171496.38</v>
      </c>
      <c r="I100" s="24">
        <f>SUMIFS('Saldos Iniciales'!$D:$D,'Saldos Iniciales'!$A:$A,"Cross Security Trust")+SUMIFS(Movimientos!$K$1:$K$892,Movimientos!$C$1:$C$892,"Cross Security Trust",Movimientos!$B$1:$B$892,"&lt;="&amp;$B100)</f>
        <v>88067.39</v>
      </c>
      <c r="J100" s="24">
        <f>SUMIFS('Saldos Iniciales'!$D:$D,'Saldos Iniciales'!$A:$A,"Electrama")+SUMIFS(Movimientos!$K$1:$K$892,Movimientos!$C$1:$C$892,"Electrama",Movimientos!$B$1:$B$892,"&lt;="&amp;$B100)</f>
        <v>13270.02</v>
      </c>
      <c r="K100" s="24">
        <f>SUMIFS('Saldos Iniciales'!$D:$D,'Saldos Iniciales'!$A:$A,"Sacred Valley Capital")+SUMIFS(Movimientos!$K$1:$K$892,Movimientos!$C$1:$C$892,"Sacred Valley Capital",Movimientos!$B$1:$B$892,"&lt;="&amp;$B100)</f>
        <v>24.450000000000003</v>
      </c>
      <c r="L100" s="24">
        <f>SUMIFS('Saldos Iniciales'!$D:$D,'Saldos Iniciales'!$A:$A,"YWC Capital")+SUMIFS(Movimientos!$K$1:$K$892,Movimientos!$C$1:$C$892,"YWC Capital",Movimientos!$B$1:$B$892,"&lt;="&amp;$B100)</f>
        <v>2177.87</v>
      </c>
      <c r="M100" s="24">
        <f>SUMIFS('Saldos Iniciales'!$D:$D,'Saldos Iniciales'!$A:$A,"Soweto")+SUMIFS(Movimientos!$K$1:$K$892,Movimientos!$C$1:$C$892,"Soweto",Movimientos!$B$1:$B$892,"&lt;="&amp;$B100)</f>
        <v>1454589.72</v>
      </c>
      <c r="N100" s="24">
        <f>SUMIFS('Saldos Iniciales'!$D:$D,'Saldos Iniciales'!$A:$A,"Green Stone Trust")+SUMIFS(Movimientos!$K$1:$K$892,Movimientos!$C$1:$C$892,"Green Stone Trust",Movimientos!$B$1:$B$892,"&lt;="&amp;$B100)</f>
        <v>1968.99</v>
      </c>
      <c r="O100" s="24">
        <f>SUMIFS('Saldos Iniciales'!$D:$D,'Saldos Iniciales'!$A:$A,"EC Auto")+SUMIFS(Movimientos!$K$1:$K$892,Movimientos!$C$1:$C$892,"EC Auto",Movimientos!$B$1:$B$892,"&lt;="&amp;$B100)</f>
        <v>901.34</v>
      </c>
      <c r="P100" s="24">
        <f>SUMIFS('Saldos Iniciales'!$D:$D,'Saldos Iniciales'!$A:$A,"Arbor Capital Properties")+SUMIFS(Movimientos!$K$1:$K$892,Movimientos!$C$1:$C$892,"Arbor Capital Properties",Movimientos!$B$1:$B$892,"&lt;="&amp;$B100)</f>
        <v>1396.08</v>
      </c>
      <c r="Q100" s="24">
        <f>SUMIFS('Saldos Iniciales'!$D:$D,'Saldos Iniciales'!$A:$A,"2515 Overbrook")+SUMIFS(Movimientos!$K$1:$K$892,Movimientos!$C$1:$C$892,"2515 Overbrook",Movimientos!$B$1:$B$892,"&lt;="&amp;$B100)</f>
        <v>11259.639999999961</v>
      </c>
      <c r="R100" s="24">
        <f>SUMIFS('Saldos Iniciales'!$D:$D,'Saldos Iniciales'!$A:$A,"112 Florida Ave")+SUMIFS(Movimientos!$K$1:$K$892,Movimientos!$C$1:$C$892,"112 Florida Ave",Movimientos!$B$1:$B$892,"&lt;="&amp;$B100)</f>
        <v>8724.1700000000037</v>
      </c>
      <c r="S100" s="24">
        <f>SUMIFS('Saldos Iniciales'!$D:$D,'Saldos Iniciales'!$A:$A,"3628 Thomas Ave")+SUMIFS(Movimientos!$K$1:$K$892,Movimientos!$C$1:$C$892,"3628 Thomas Ave",Movimientos!$B$1:$B$892,"&lt;="&amp;$B100)</f>
        <v>20106.099999999999</v>
      </c>
      <c r="T100" s="24">
        <f>SUMIFS('Saldos Iniciales'!$D:$D,'Saldos Iniciales'!$A:$A,"Green Harbor Trust")+SUMIFS(Movimientos!$K$1:$K$892,Movimientos!$C$1:$C$892,"Green Harbor Trust",Movimientos!$B$1:$B$892,"&lt;="&amp;$B100)</f>
        <v>345</v>
      </c>
      <c r="U100" s="24">
        <f>SUMIFS('Saldos Iniciales'!$D:$D,'Saldos Iniciales'!$A:$A,"Go Blue")+SUMIFS(Movimientos!$K$1:$K$892,Movimientos!$C$1:$C$892,"Go Blue",Movimientos!$B$1:$B$892,"&lt;="&amp;$B100)</f>
        <v>12470.040000000003</v>
      </c>
      <c r="V100" s="25">
        <f t="shared" si="22"/>
        <v>6476594.4699999979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Group")+SUMIFS(Movimientos!$K$1:$K$892,Movimientos!$C$1:$C$892,"CFT Group",Movimientos!$B$1:$B$892,"&lt;="&amp;$B101)</f>
        <v>1153390.4100000001</v>
      </c>
      <c r="D101" s="24">
        <f>SUMIFS('Saldos Iniciales'!$D:$D,'Saldos Iniciales'!$A:$A,"M1B")+SUMIFS(Movimientos!$K$1:$K$892,Movimientos!$C$1:$C$892,"M1B",Movimientos!$B$1:$B$892,"&lt;="&amp;$B101)</f>
        <v>83211.250000000175</v>
      </c>
      <c r="E101" s="24">
        <f>SUMIFS('Saldos Iniciales'!$D:$D,'Saldos Iniciales'!$A:$A,"Durand")+SUMIFS(Movimientos!$K$1:$K$892,Movimientos!$C$1:$C$892,"Durand",Movimientos!$B$1:$B$892,"&lt;="&amp;$B101)</f>
        <v>1669.89</v>
      </c>
      <c r="F101" s="24">
        <f>SUMIFS('Saldos Iniciales'!$D:$D,'Saldos Iniciales'!$A:$A,"A&amp;M Imports")+SUMIFS(Movimientos!$K$1:$K$892,Movimientos!$C$1:$C$892,"A&amp;M Imports",Movimientos!$B$1:$B$892,"&lt;="&amp;$B101)</f>
        <v>1349451.94</v>
      </c>
      <c r="G101" s="24">
        <f>SUMIFS('Saldos Iniciales'!$D:$D,'Saldos Iniciales'!$A:$A,"SSP Capital")+SUMIFS(Movimientos!$K$1:$K$892,Movimientos!$C$1:$C$892,"SSP Capital",Movimientos!$B$1:$B$892,"&lt;="&amp;$B101)</f>
        <v>2102073.7899999996</v>
      </c>
      <c r="H101" s="24">
        <f>SUMIFS('Saldos Iniciales'!$D:$D,'Saldos Iniciales'!$A:$A,"Cross Family Trust")+SUMIFS(Movimientos!$K$1:$K$892,Movimientos!$C$1:$C$892,"Cross Family Trust",Movimientos!$B$1:$B$892,"&lt;="&amp;$B101)</f>
        <v>171496.38</v>
      </c>
      <c r="I101" s="24">
        <f>SUMIFS('Saldos Iniciales'!$D:$D,'Saldos Iniciales'!$A:$A,"Cross Security Trust")+SUMIFS(Movimientos!$K$1:$K$892,Movimientos!$C$1:$C$892,"Cross Security Trust",Movimientos!$B$1:$B$892,"&lt;="&amp;$B101)</f>
        <v>88067.39</v>
      </c>
      <c r="J101" s="24">
        <f>SUMIFS('Saldos Iniciales'!$D:$D,'Saldos Iniciales'!$A:$A,"Electrama")+SUMIFS(Movimientos!$K$1:$K$892,Movimientos!$C$1:$C$892,"Electrama",Movimientos!$B$1:$B$892,"&lt;="&amp;$B101)</f>
        <v>13270.02</v>
      </c>
      <c r="K101" s="24">
        <f>SUMIFS('Saldos Iniciales'!$D:$D,'Saldos Iniciales'!$A:$A,"Sacred Valley Capital")+SUMIFS(Movimientos!$K$1:$K$892,Movimientos!$C$1:$C$892,"Sacred Valley Capital",Movimientos!$B$1:$B$892,"&lt;="&amp;$B101)</f>
        <v>24.450000000000003</v>
      </c>
      <c r="L101" s="24">
        <f>SUMIFS('Saldos Iniciales'!$D:$D,'Saldos Iniciales'!$A:$A,"YWC Capital")+SUMIFS(Movimientos!$K$1:$K$892,Movimientos!$C$1:$C$892,"YWC Capital",Movimientos!$B$1:$B$892,"&lt;="&amp;$B101)</f>
        <v>2177.87</v>
      </c>
      <c r="M101" s="24">
        <f>SUMIFS('Saldos Iniciales'!$D:$D,'Saldos Iniciales'!$A:$A,"Soweto")+SUMIFS(Movimientos!$K$1:$K$892,Movimientos!$C$1:$C$892,"Soweto",Movimientos!$B$1:$B$892,"&lt;="&amp;$B101)</f>
        <v>1454589.72</v>
      </c>
      <c r="N101" s="24">
        <f>SUMIFS('Saldos Iniciales'!$D:$D,'Saldos Iniciales'!$A:$A,"Green Stone Trust")+SUMIFS(Movimientos!$K$1:$K$892,Movimientos!$C$1:$C$892,"Green Stone Trust",Movimientos!$B$1:$B$892,"&lt;="&amp;$B101)</f>
        <v>1968.99</v>
      </c>
      <c r="O101" s="24">
        <f>SUMIFS('Saldos Iniciales'!$D:$D,'Saldos Iniciales'!$A:$A,"EC Auto")+SUMIFS(Movimientos!$K$1:$K$892,Movimientos!$C$1:$C$892,"EC Auto",Movimientos!$B$1:$B$892,"&lt;="&amp;$B101)</f>
        <v>901.34</v>
      </c>
      <c r="P101" s="24">
        <f>SUMIFS('Saldos Iniciales'!$D:$D,'Saldos Iniciales'!$A:$A,"Arbor Capital Properties")+SUMIFS(Movimientos!$K$1:$K$892,Movimientos!$C$1:$C$892,"Arbor Capital Properties",Movimientos!$B$1:$B$892,"&lt;="&amp;$B101)</f>
        <v>1396.08</v>
      </c>
      <c r="Q101" s="24">
        <f>SUMIFS('Saldos Iniciales'!$D:$D,'Saldos Iniciales'!$A:$A,"2515 Overbrook")+SUMIFS(Movimientos!$K$1:$K$892,Movimientos!$C$1:$C$892,"2515 Overbrook",Movimientos!$B$1:$B$892,"&lt;="&amp;$B101)</f>
        <v>11259.639999999961</v>
      </c>
      <c r="R101" s="24">
        <f>SUMIFS('Saldos Iniciales'!$D:$D,'Saldos Iniciales'!$A:$A,"112 Florida Ave")+SUMIFS(Movimientos!$K$1:$K$892,Movimientos!$C$1:$C$892,"112 Florida Ave",Movimientos!$B$1:$B$892,"&lt;="&amp;$B101)</f>
        <v>8724.1700000000037</v>
      </c>
      <c r="S101" s="24">
        <f>SUMIFS('Saldos Iniciales'!$D:$D,'Saldos Iniciales'!$A:$A,"3628 Thomas Ave")+SUMIFS(Movimientos!$K$1:$K$892,Movimientos!$C$1:$C$892,"3628 Thomas Ave",Movimientos!$B$1:$B$892,"&lt;="&amp;$B101)</f>
        <v>20106.099999999999</v>
      </c>
      <c r="T101" s="24">
        <f>SUMIFS('Saldos Iniciales'!$D:$D,'Saldos Iniciales'!$A:$A,"Green Harbor Trust")+SUMIFS(Movimientos!$K$1:$K$892,Movimientos!$C$1:$C$892,"Green Harbor Trust",Movimientos!$B$1:$B$892,"&lt;="&amp;$B101)</f>
        <v>345</v>
      </c>
      <c r="U101" s="24">
        <f>SUMIFS('Saldos Iniciales'!$D:$D,'Saldos Iniciales'!$A:$A,"Go Blue")+SUMIFS(Movimientos!$K$1:$K$892,Movimientos!$C$1:$C$892,"Go Blue",Movimientos!$B$1:$B$892,"&lt;="&amp;$B101)</f>
        <v>12470.040000000003</v>
      </c>
      <c r="V101" s="25">
        <f t="shared" si="22"/>
        <v>6476594.4699999979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Group")+SUMIFS(Movimientos!$K$1:$K$892,Movimientos!$C$1:$C$892,"CFT Group",Movimientos!$B$1:$B$892,"&lt;="&amp;$B102)</f>
        <v>1153390.4100000001</v>
      </c>
      <c r="D102" s="24">
        <f>SUMIFS('Saldos Iniciales'!$D:$D,'Saldos Iniciales'!$A:$A,"M1B")+SUMIFS(Movimientos!$K$1:$K$892,Movimientos!$C$1:$C$892,"M1B",Movimientos!$B$1:$B$892,"&lt;="&amp;$B102)</f>
        <v>83211.250000000175</v>
      </c>
      <c r="E102" s="24">
        <f>SUMIFS('Saldos Iniciales'!$D:$D,'Saldos Iniciales'!$A:$A,"Durand")+SUMIFS(Movimientos!$K$1:$K$892,Movimientos!$C$1:$C$892,"Durand",Movimientos!$B$1:$B$892,"&lt;="&amp;$B102)</f>
        <v>1669.89</v>
      </c>
      <c r="F102" s="24">
        <f>SUMIFS('Saldos Iniciales'!$D:$D,'Saldos Iniciales'!$A:$A,"A&amp;M Imports")+SUMIFS(Movimientos!$K$1:$K$892,Movimientos!$C$1:$C$892,"A&amp;M Imports",Movimientos!$B$1:$B$892,"&lt;="&amp;$B102)</f>
        <v>1349451.94</v>
      </c>
      <c r="G102" s="24">
        <f>SUMIFS('Saldos Iniciales'!$D:$D,'Saldos Iniciales'!$A:$A,"SSP Capital")+SUMIFS(Movimientos!$K$1:$K$892,Movimientos!$C$1:$C$892,"SSP Capital",Movimientos!$B$1:$B$892,"&lt;="&amp;$B102)</f>
        <v>2102073.7899999996</v>
      </c>
      <c r="H102" s="24">
        <f>SUMIFS('Saldos Iniciales'!$D:$D,'Saldos Iniciales'!$A:$A,"Cross Family Trust")+SUMIFS(Movimientos!$K$1:$K$892,Movimientos!$C$1:$C$892,"Cross Family Trust",Movimientos!$B$1:$B$892,"&lt;="&amp;$B102)</f>
        <v>171496.38</v>
      </c>
      <c r="I102" s="24">
        <f>SUMIFS('Saldos Iniciales'!$D:$D,'Saldos Iniciales'!$A:$A,"Cross Security Trust")+SUMIFS(Movimientos!$K$1:$K$892,Movimientos!$C$1:$C$892,"Cross Security Trust",Movimientos!$B$1:$B$892,"&lt;="&amp;$B102)</f>
        <v>88067.39</v>
      </c>
      <c r="J102" s="24">
        <f>SUMIFS('Saldos Iniciales'!$D:$D,'Saldos Iniciales'!$A:$A,"Electrama")+SUMIFS(Movimientos!$K$1:$K$892,Movimientos!$C$1:$C$892,"Electrama",Movimientos!$B$1:$B$892,"&lt;="&amp;$B102)</f>
        <v>13270.02</v>
      </c>
      <c r="K102" s="24">
        <f>SUMIFS('Saldos Iniciales'!$D:$D,'Saldos Iniciales'!$A:$A,"Sacred Valley Capital")+SUMIFS(Movimientos!$K$1:$K$892,Movimientos!$C$1:$C$892,"Sacred Valley Capital",Movimientos!$B$1:$B$892,"&lt;="&amp;$B102)</f>
        <v>24.450000000000003</v>
      </c>
      <c r="L102" s="24">
        <f>SUMIFS('Saldos Iniciales'!$D:$D,'Saldos Iniciales'!$A:$A,"YWC Capital")+SUMIFS(Movimientos!$K$1:$K$892,Movimientos!$C$1:$C$892,"YWC Capital",Movimientos!$B$1:$B$892,"&lt;="&amp;$B102)</f>
        <v>2177.87</v>
      </c>
      <c r="M102" s="24">
        <f>SUMIFS('Saldos Iniciales'!$D:$D,'Saldos Iniciales'!$A:$A,"Soweto")+SUMIFS(Movimientos!$K$1:$K$892,Movimientos!$C$1:$C$892,"Soweto",Movimientos!$B$1:$B$892,"&lt;="&amp;$B102)</f>
        <v>1454589.72</v>
      </c>
      <c r="N102" s="24">
        <f>SUMIFS('Saldos Iniciales'!$D:$D,'Saldos Iniciales'!$A:$A,"Green Stone Trust")+SUMIFS(Movimientos!$K$1:$K$892,Movimientos!$C$1:$C$892,"Green Stone Trust",Movimientos!$B$1:$B$892,"&lt;="&amp;$B102)</f>
        <v>1968.99</v>
      </c>
      <c r="O102" s="24">
        <f>SUMIFS('Saldos Iniciales'!$D:$D,'Saldos Iniciales'!$A:$A,"EC Auto")+SUMIFS(Movimientos!$K$1:$K$892,Movimientos!$C$1:$C$892,"EC Auto",Movimientos!$B$1:$B$892,"&lt;="&amp;$B102)</f>
        <v>901.34</v>
      </c>
      <c r="P102" s="24">
        <f>SUMIFS('Saldos Iniciales'!$D:$D,'Saldos Iniciales'!$A:$A,"Arbor Capital Properties")+SUMIFS(Movimientos!$K$1:$K$892,Movimientos!$C$1:$C$892,"Arbor Capital Properties",Movimientos!$B$1:$B$892,"&lt;="&amp;$B102)</f>
        <v>1396.08</v>
      </c>
      <c r="Q102" s="24">
        <f>SUMIFS('Saldos Iniciales'!$D:$D,'Saldos Iniciales'!$A:$A,"2515 Overbrook")+SUMIFS(Movimientos!$K$1:$K$892,Movimientos!$C$1:$C$892,"2515 Overbrook",Movimientos!$B$1:$B$892,"&lt;="&amp;$B102)</f>
        <v>11259.639999999961</v>
      </c>
      <c r="R102" s="24">
        <f>SUMIFS('Saldos Iniciales'!$D:$D,'Saldos Iniciales'!$A:$A,"112 Florida Ave")+SUMIFS(Movimientos!$K$1:$K$892,Movimientos!$C$1:$C$892,"112 Florida Ave",Movimientos!$B$1:$B$892,"&lt;="&amp;$B102)</f>
        <v>8724.1700000000037</v>
      </c>
      <c r="S102" s="24">
        <f>SUMIFS('Saldos Iniciales'!$D:$D,'Saldos Iniciales'!$A:$A,"3628 Thomas Ave")+SUMIFS(Movimientos!$K$1:$K$892,Movimientos!$C$1:$C$892,"3628 Thomas Ave",Movimientos!$B$1:$B$892,"&lt;="&amp;$B102)</f>
        <v>20106.099999999999</v>
      </c>
      <c r="T102" s="24">
        <f>SUMIFS('Saldos Iniciales'!$D:$D,'Saldos Iniciales'!$A:$A,"Green Harbor Trust")+SUMIFS(Movimientos!$K$1:$K$892,Movimientos!$C$1:$C$892,"Green Harbor Trust",Movimientos!$B$1:$B$892,"&lt;="&amp;$B102)</f>
        <v>345</v>
      </c>
      <c r="U102" s="24">
        <f>SUMIFS('Saldos Iniciales'!$D:$D,'Saldos Iniciales'!$A:$A,"Go Blue")+SUMIFS(Movimientos!$K$1:$K$892,Movimientos!$C$1:$C$892,"Go Blue",Movimientos!$B$1:$B$892,"&lt;="&amp;$B102)</f>
        <v>12470.040000000003</v>
      </c>
      <c r="V102" s="25">
        <f t="shared" si="22"/>
        <v>6476594.4699999979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Group")+SUMIFS(Movimientos!$K$1:$K$892,Movimientos!$C$1:$C$892,"CFT Group",Movimientos!$B$1:$B$892,"&lt;="&amp;$B103)</f>
        <v>1260076.9800000002</v>
      </c>
      <c r="D103" s="24">
        <f>SUMIFS('Saldos Iniciales'!$D:$D,'Saldos Iniciales'!$A:$A,"M1B")+SUMIFS(Movimientos!$K$1:$K$892,Movimientos!$C$1:$C$892,"M1B",Movimientos!$B$1:$B$892,"&lt;="&amp;$B103)</f>
        <v>83211.250000000175</v>
      </c>
      <c r="E103" s="24">
        <f>SUMIFS('Saldos Iniciales'!$D:$D,'Saldos Iniciales'!$A:$A,"Durand")+SUMIFS(Movimientos!$K$1:$K$892,Movimientos!$C$1:$C$892,"Durand",Movimientos!$B$1:$B$892,"&lt;="&amp;$B103)</f>
        <v>1669.89</v>
      </c>
      <c r="F103" s="24">
        <f>SUMIFS('Saldos Iniciales'!$D:$D,'Saldos Iniciales'!$A:$A,"A&amp;M Imports")+SUMIFS(Movimientos!$K$1:$K$892,Movimientos!$C$1:$C$892,"A&amp;M Imports",Movimientos!$B$1:$B$892,"&lt;="&amp;$B103)</f>
        <v>1349451.94</v>
      </c>
      <c r="G103" s="24">
        <f>SUMIFS('Saldos Iniciales'!$D:$D,'Saldos Iniciales'!$A:$A,"SSP Capital")+SUMIFS(Movimientos!$K$1:$K$892,Movimientos!$C$1:$C$892,"SSP Capital",Movimientos!$B$1:$B$892,"&lt;="&amp;$B103)</f>
        <v>2098801.8999999994</v>
      </c>
      <c r="H103" s="24">
        <f>SUMIFS('Saldos Iniciales'!$D:$D,'Saldos Iniciales'!$A:$A,"Cross Family Trust")+SUMIFS(Movimientos!$K$1:$K$892,Movimientos!$C$1:$C$892,"Cross Family Trust",Movimientos!$B$1:$B$892,"&lt;="&amp;$B103)</f>
        <v>171496.38</v>
      </c>
      <c r="I103" s="24">
        <f>SUMIFS('Saldos Iniciales'!$D:$D,'Saldos Iniciales'!$A:$A,"Cross Security Trust")+SUMIFS(Movimientos!$K$1:$K$892,Movimientos!$C$1:$C$892,"Cross Security Trust",Movimientos!$B$1:$B$892,"&lt;="&amp;$B103)</f>
        <v>88067.39</v>
      </c>
      <c r="J103" s="24">
        <f>SUMIFS('Saldos Iniciales'!$D:$D,'Saldos Iniciales'!$A:$A,"Electrama")+SUMIFS(Movimientos!$K$1:$K$892,Movimientos!$C$1:$C$892,"Electrama",Movimientos!$B$1:$B$892,"&lt;="&amp;$B103)</f>
        <v>13270.02</v>
      </c>
      <c r="K103" s="24">
        <f>SUMIFS('Saldos Iniciales'!$D:$D,'Saldos Iniciales'!$A:$A,"Sacred Valley Capital")+SUMIFS(Movimientos!$K$1:$K$892,Movimientos!$C$1:$C$892,"Sacred Valley Capital",Movimientos!$B$1:$B$892,"&lt;="&amp;$B103)</f>
        <v>24.450000000000003</v>
      </c>
      <c r="L103" s="24">
        <f>SUMIFS('Saldos Iniciales'!$D:$D,'Saldos Iniciales'!$A:$A,"YWC Capital")+SUMIFS(Movimientos!$K$1:$K$892,Movimientos!$C$1:$C$892,"YWC Capital",Movimientos!$B$1:$B$892,"&lt;="&amp;$B103)</f>
        <v>2177.87</v>
      </c>
      <c r="M103" s="24">
        <f>SUMIFS('Saldos Iniciales'!$D:$D,'Saldos Iniciales'!$A:$A,"Soweto")+SUMIFS(Movimientos!$K$1:$K$892,Movimientos!$C$1:$C$892,"Soweto",Movimientos!$B$1:$B$892,"&lt;="&amp;$B103)</f>
        <v>1454589.72</v>
      </c>
      <c r="N103" s="24">
        <f>SUMIFS('Saldos Iniciales'!$D:$D,'Saldos Iniciales'!$A:$A,"Green Stone Trust")+SUMIFS(Movimientos!$K$1:$K$892,Movimientos!$C$1:$C$892,"Green Stone Trust",Movimientos!$B$1:$B$892,"&lt;="&amp;$B103)</f>
        <v>1968.99</v>
      </c>
      <c r="O103" s="24">
        <f>SUMIFS('Saldos Iniciales'!$D:$D,'Saldos Iniciales'!$A:$A,"EC Auto")+SUMIFS(Movimientos!$K$1:$K$892,Movimientos!$C$1:$C$892,"EC Auto",Movimientos!$B$1:$B$892,"&lt;="&amp;$B103)</f>
        <v>901.34</v>
      </c>
      <c r="P103" s="24">
        <f>SUMIFS('Saldos Iniciales'!$D:$D,'Saldos Iniciales'!$A:$A,"Arbor Capital Properties")+SUMIFS(Movimientos!$K$1:$K$892,Movimientos!$C$1:$C$892,"Arbor Capital Properties",Movimientos!$B$1:$B$892,"&lt;="&amp;$B103)</f>
        <v>1396.08</v>
      </c>
      <c r="Q103" s="24">
        <f>SUMIFS('Saldos Iniciales'!$D:$D,'Saldos Iniciales'!$A:$A,"2515 Overbrook")+SUMIFS(Movimientos!$K$1:$K$892,Movimientos!$C$1:$C$892,"2515 Overbrook",Movimientos!$B$1:$B$892,"&lt;="&amp;$B103)</f>
        <v>3700.7099999999591</v>
      </c>
      <c r="R103" s="24">
        <f>SUMIFS('Saldos Iniciales'!$D:$D,'Saldos Iniciales'!$A:$A,"112 Florida Ave")+SUMIFS(Movimientos!$K$1:$K$892,Movimientos!$C$1:$C$892,"112 Florida Ave",Movimientos!$B$1:$B$892,"&lt;="&amp;$B103)</f>
        <v>8724.1700000000037</v>
      </c>
      <c r="S103" s="24">
        <f>SUMIFS('Saldos Iniciales'!$D:$D,'Saldos Iniciales'!$A:$A,"3628 Thomas Ave")+SUMIFS(Movimientos!$K$1:$K$892,Movimientos!$C$1:$C$892,"3628 Thomas Ave",Movimientos!$B$1:$B$892,"&lt;="&amp;$B103)</f>
        <v>20106.099999999999</v>
      </c>
      <c r="T103" s="24">
        <f>SUMIFS('Saldos Iniciales'!$D:$D,'Saldos Iniciales'!$A:$A,"Green Harbor Trust")+SUMIFS(Movimientos!$K$1:$K$892,Movimientos!$C$1:$C$892,"Green Harbor Trust",Movimientos!$B$1:$B$892,"&lt;="&amp;$B103)</f>
        <v>345</v>
      </c>
      <c r="U103" s="24">
        <f>SUMIFS('Saldos Iniciales'!$D:$D,'Saldos Iniciales'!$A:$A,"Go Blue")+SUMIFS(Movimientos!$K$1:$K$892,Movimientos!$C$1:$C$892,"Go Blue",Movimientos!$B$1:$B$892,"&lt;="&amp;$B103)</f>
        <v>12470.040000000003</v>
      </c>
      <c r="V103" s="25">
        <f t="shared" ref="V103" si="23">SUM(C103:U103)</f>
        <v>6572450.2199999988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Group")+SUMIFS(Movimientos!$K$1:$K$892,Movimientos!$C$1:$C$892,"CFT Group",Movimientos!$B$1:$B$892,"&lt;="&amp;$B104)</f>
        <v>1260076.9800000002</v>
      </c>
      <c r="D104" s="24">
        <f>SUMIFS('Saldos Iniciales'!$D:$D,'Saldos Iniciales'!$A:$A,"M1B")+SUMIFS(Movimientos!$K$1:$K$892,Movimientos!$C$1:$C$892,"M1B",Movimientos!$B$1:$B$892,"&lt;="&amp;$B104)</f>
        <v>83211.250000000175</v>
      </c>
      <c r="E104" s="24">
        <f>SUMIFS('Saldos Iniciales'!$D:$D,'Saldos Iniciales'!$A:$A,"Durand")+SUMIFS(Movimientos!$K$1:$K$892,Movimientos!$C$1:$C$892,"Durand",Movimientos!$B$1:$B$892,"&lt;="&amp;$B104)</f>
        <v>1669.89</v>
      </c>
      <c r="F104" s="24">
        <f>SUMIFS('Saldos Iniciales'!$D:$D,'Saldos Iniciales'!$A:$A,"A&amp;M Imports")+SUMIFS(Movimientos!$K$1:$K$892,Movimientos!$C$1:$C$892,"A&amp;M Imports",Movimientos!$B$1:$B$892,"&lt;="&amp;$B104)</f>
        <v>1349451.94</v>
      </c>
      <c r="G104" s="24">
        <f>SUMIFS('Saldos Iniciales'!$D:$D,'Saldos Iniciales'!$A:$A,"SSP Capital")+SUMIFS(Movimientos!$K$1:$K$892,Movimientos!$C$1:$C$892,"SSP Capital",Movimientos!$B$1:$B$892,"&lt;="&amp;$B104)</f>
        <v>1622920.8199999996</v>
      </c>
      <c r="H104" s="24">
        <f>SUMIFS('Saldos Iniciales'!$D:$D,'Saldos Iniciales'!$A:$A,"Cross Family Trust")+SUMIFS(Movimientos!$K$1:$K$892,Movimientos!$C$1:$C$892,"Cross Family Trust",Movimientos!$B$1:$B$892,"&lt;="&amp;$B104)</f>
        <v>171496.38</v>
      </c>
      <c r="I104" s="24">
        <f>SUMIFS('Saldos Iniciales'!$D:$D,'Saldos Iniciales'!$A:$A,"Cross Security Trust")+SUMIFS(Movimientos!$K$1:$K$892,Movimientos!$C$1:$C$892,"Cross Security Trust",Movimientos!$B$1:$B$892,"&lt;="&amp;$B104)</f>
        <v>88067.39</v>
      </c>
      <c r="J104" s="24">
        <f>SUMIFS('Saldos Iniciales'!$D:$D,'Saldos Iniciales'!$A:$A,"Electrama")+SUMIFS(Movimientos!$K$1:$K$892,Movimientos!$C$1:$C$892,"Electrama",Movimientos!$B$1:$B$892,"&lt;="&amp;$B104)</f>
        <v>13270.02</v>
      </c>
      <c r="K104" s="24">
        <f>SUMIFS('Saldos Iniciales'!$D:$D,'Saldos Iniciales'!$A:$A,"Sacred Valley Capital")+SUMIFS(Movimientos!$K$1:$K$892,Movimientos!$C$1:$C$892,"Sacred Valley Capital",Movimientos!$B$1:$B$892,"&lt;="&amp;$B104)</f>
        <v>24.450000000000003</v>
      </c>
      <c r="L104" s="24">
        <f>SUMIFS('Saldos Iniciales'!$D:$D,'Saldos Iniciales'!$A:$A,"YWC Capital")+SUMIFS(Movimientos!$K$1:$K$892,Movimientos!$C$1:$C$892,"YWC Capital",Movimientos!$B$1:$B$892,"&lt;="&amp;$B104)</f>
        <v>2177.87</v>
      </c>
      <c r="M104" s="24">
        <f>SUMIFS('Saldos Iniciales'!$D:$D,'Saldos Iniciales'!$A:$A,"Soweto")+SUMIFS(Movimientos!$K$1:$K$892,Movimientos!$C$1:$C$892,"Soweto",Movimientos!$B$1:$B$892,"&lt;="&amp;$B104)</f>
        <v>1454589.72</v>
      </c>
      <c r="N104" s="24">
        <f>SUMIFS('Saldos Iniciales'!$D:$D,'Saldos Iniciales'!$A:$A,"Green Stone Trust")+SUMIFS(Movimientos!$K$1:$K$892,Movimientos!$C$1:$C$892,"Green Stone Trust",Movimientos!$B$1:$B$892,"&lt;="&amp;$B104)</f>
        <v>1968.99</v>
      </c>
      <c r="O104" s="24">
        <f>SUMIFS('Saldos Iniciales'!$D:$D,'Saldos Iniciales'!$A:$A,"EC Auto")+SUMIFS(Movimientos!$K$1:$K$892,Movimientos!$C$1:$C$892,"EC Auto",Movimientos!$B$1:$B$892,"&lt;="&amp;$B104)</f>
        <v>901.34</v>
      </c>
      <c r="P104" s="24">
        <f>SUMIFS('Saldos Iniciales'!$D:$D,'Saldos Iniciales'!$A:$A,"Arbor Capital Properties")+SUMIFS(Movimientos!$K$1:$K$892,Movimientos!$C$1:$C$892,"Arbor Capital Properties",Movimientos!$B$1:$B$892,"&lt;="&amp;$B104)</f>
        <v>1396.08</v>
      </c>
      <c r="Q104" s="24">
        <f>SUMIFS('Saldos Iniciales'!$D:$D,'Saldos Iniciales'!$A:$A,"2515 Overbrook")+SUMIFS(Movimientos!$K$1:$K$892,Movimientos!$C$1:$C$892,"2515 Overbrook",Movimientos!$B$1:$B$892,"&lt;="&amp;$B104)</f>
        <v>3700.7099999999591</v>
      </c>
      <c r="R104" s="24">
        <f>SUMIFS('Saldos Iniciales'!$D:$D,'Saldos Iniciales'!$A:$A,"112 Florida Ave")+SUMIFS(Movimientos!$K$1:$K$892,Movimientos!$C$1:$C$892,"112 Florida Ave",Movimientos!$B$1:$B$892,"&lt;="&amp;$B104)</f>
        <v>8724.1700000000037</v>
      </c>
      <c r="S104" s="24">
        <f>SUMIFS('Saldos Iniciales'!$D:$D,'Saldos Iniciales'!$A:$A,"3628 Thomas Ave")+SUMIFS(Movimientos!$K$1:$K$892,Movimientos!$C$1:$C$892,"3628 Thomas Ave",Movimientos!$B$1:$B$892,"&lt;="&amp;$B104)</f>
        <v>19442.439999999995</v>
      </c>
      <c r="T104" s="24">
        <f>SUMIFS('Saldos Iniciales'!$D:$D,'Saldos Iniciales'!$A:$A,"Green Harbor Trust")+SUMIFS(Movimientos!$K$1:$K$892,Movimientos!$C$1:$C$892,"Green Harbor Trust",Movimientos!$B$1:$B$892,"&lt;="&amp;$B104)</f>
        <v>345</v>
      </c>
      <c r="U104" s="24">
        <f>SUMIFS('Saldos Iniciales'!$D:$D,'Saldos Iniciales'!$A:$A,"Go Blue")+SUMIFS(Movimientos!$K$1:$K$892,Movimientos!$C$1:$C$892,"Go Blue",Movimientos!$B$1:$B$892,"&lt;="&amp;$B104)</f>
        <v>12470.040000000003</v>
      </c>
      <c r="V104" s="25">
        <f t="shared" ref="V104:V105" si="24">SUM(C104:U104)</f>
        <v>6095905.4799999995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Group")+SUMIFS(Movimientos!$K$1:$K$892,Movimientos!$C$1:$C$892,"CFT Group",Movimientos!$B$1:$B$892,"&lt;="&amp;$B105)</f>
        <v>1260076.9800000002</v>
      </c>
      <c r="D105" s="24">
        <f>SUMIFS('Saldos Iniciales'!$D:$D,'Saldos Iniciales'!$A:$A,"M1B")+SUMIFS(Movimientos!$K$1:$K$892,Movimientos!$C$1:$C$892,"M1B",Movimientos!$B$1:$B$892,"&lt;="&amp;$B105)</f>
        <v>83211.250000000175</v>
      </c>
      <c r="E105" s="24">
        <f>SUMIFS('Saldos Iniciales'!$D:$D,'Saldos Iniciales'!$A:$A,"Durand")+SUMIFS(Movimientos!$K$1:$K$892,Movimientos!$C$1:$C$892,"Durand",Movimientos!$B$1:$B$892,"&lt;="&amp;$B105)</f>
        <v>1669.89</v>
      </c>
      <c r="F105" s="24">
        <f>SUMIFS('Saldos Iniciales'!$D:$D,'Saldos Iniciales'!$A:$A,"A&amp;M Imports")+SUMIFS(Movimientos!$K$1:$K$892,Movimientos!$C$1:$C$892,"A&amp;M Imports",Movimientos!$B$1:$B$892,"&lt;="&amp;$B105)</f>
        <v>1349451.94</v>
      </c>
      <c r="G105" s="24">
        <f>SUMIFS('Saldos Iniciales'!$D:$D,'Saldos Iniciales'!$A:$A,"SSP Capital")+SUMIFS(Movimientos!$K$1:$K$892,Movimientos!$C$1:$C$892,"SSP Capital",Movimientos!$B$1:$B$892,"&lt;="&amp;$B105)</f>
        <v>1622914.8199999996</v>
      </c>
      <c r="H105" s="24">
        <f>SUMIFS('Saldos Iniciales'!$D:$D,'Saldos Iniciales'!$A:$A,"Cross Family Trust")+SUMIFS(Movimientos!$K$1:$K$892,Movimientos!$C$1:$C$892,"Cross Family Trust",Movimientos!$B$1:$B$892,"&lt;="&amp;$B105)</f>
        <v>731496.38</v>
      </c>
      <c r="I105" s="24">
        <f>SUMIFS('Saldos Iniciales'!$D:$D,'Saldos Iniciales'!$A:$A,"Cross Security Trust")+SUMIFS(Movimientos!$K$1:$K$892,Movimientos!$C$1:$C$892,"Cross Security Trust",Movimientos!$B$1:$B$892,"&lt;="&amp;$B105)</f>
        <v>158067.38999999998</v>
      </c>
      <c r="J105" s="24">
        <f>SUMIFS('Saldos Iniciales'!$D:$D,'Saldos Iniciales'!$A:$A,"Electrama")+SUMIFS(Movimientos!$K$1:$K$892,Movimientos!$C$1:$C$892,"Electrama",Movimientos!$B$1:$B$892,"&lt;="&amp;$B105)</f>
        <v>13270.02</v>
      </c>
      <c r="K105" s="24">
        <f>SUMIFS('Saldos Iniciales'!$D:$D,'Saldos Iniciales'!$A:$A,"Sacred Valley Capital")+SUMIFS(Movimientos!$K$1:$K$892,Movimientos!$C$1:$C$892,"Sacred Valley Capital",Movimientos!$B$1:$B$892,"&lt;="&amp;$B105)</f>
        <v>24.450000000000003</v>
      </c>
      <c r="L105" s="24">
        <f>SUMIFS('Saldos Iniciales'!$D:$D,'Saldos Iniciales'!$A:$A,"YWC Capital")+SUMIFS(Movimientos!$K$1:$K$892,Movimientos!$C$1:$C$892,"YWC Capital",Movimientos!$B$1:$B$892,"&lt;="&amp;$B105)</f>
        <v>2177.87</v>
      </c>
      <c r="M105" s="24">
        <f>SUMIFS('Saldos Iniciales'!$D:$D,'Saldos Iniciales'!$A:$A,"Soweto")+SUMIFS(Movimientos!$K$1:$K$892,Movimientos!$C$1:$C$892,"Soweto",Movimientos!$B$1:$B$892,"&lt;="&amp;$B105)</f>
        <v>754424.72</v>
      </c>
      <c r="N105" s="24">
        <f>SUMIFS('Saldos Iniciales'!$D:$D,'Saldos Iniciales'!$A:$A,"Green Stone Trust")+SUMIFS(Movimientos!$K$1:$K$892,Movimientos!$C$1:$C$892,"Green Stone Trust",Movimientos!$B$1:$B$892,"&lt;="&amp;$B105)</f>
        <v>1968.99</v>
      </c>
      <c r="O105" s="24">
        <f>SUMIFS('Saldos Iniciales'!$D:$D,'Saldos Iniciales'!$A:$A,"EC Auto")+SUMIFS(Movimientos!$K$1:$K$892,Movimientos!$C$1:$C$892,"EC Auto",Movimientos!$B$1:$B$892,"&lt;="&amp;$B105)</f>
        <v>901.34</v>
      </c>
      <c r="P105" s="24">
        <f>SUMIFS('Saldos Iniciales'!$D:$D,'Saldos Iniciales'!$A:$A,"Arbor Capital Properties")+SUMIFS(Movimientos!$K$1:$K$892,Movimientos!$C$1:$C$892,"Arbor Capital Properties",Movimientos!$B$1:$B$892,"&lt;="&amp;$B105)</f>
        <v>1396.08</v>
      </c>
      <c r="Q105" s="24">
        <f>SUMIFS('Saldos Iniciales'!$D:$D,'Saldos Iniciales'!$A:$A,"2515 Overbrook")+SUMIFS(Movimientos!$K$1:$K$892,Movimientos!$C$1:$C$892,"2515 Overbrook",Movimientos!$B$1:$B$892,"&lt;="&amp;$B105)</f>
        <v>3700.7099999999591</v>
      </c>
      <c r="R105" s="24">
        <f>SUMIFS('Saldos Iniciales'!$D:$D,'Saldos Iniciales'!$A:$A,"112 Florida Ave")+SUMIFS(Movimientos!$K$1:$K$892,Movimientos!$C$1:$C$892,"112 Florida Ave",Movimientos!$B$1:$B$892,"&lt;="&amp;$B105)</f>
        <v>8724.1700000000037</v>
      </c>
      <c r="S105" s="24">
        <f>SUMIFS('Saldos Iniciales'!$D:$D,'Saldos Iniciales'!$A:$A,"3628 Thomas Ave")+SUMIFS(Movimientos!$K$1:$K$892,Movimientos!$C$1:$C$892,"3628 Thomas Ave",Movimientos!$B$1:$B$892,"&lt;="&amp;$B105)</f>
        <v>19336.039999999997</v>
      </c>
      <c r="T105" s="24">
        <f>SUMIFS('Saldos Iniciales'!$D:$D,'Saldos Iniciales'!$A:$A,"Green Harbor Trust")+SUMIFS(Movimientos!$K$1:$K$892,Movimientos!$C$1:$C$892,"Green Harbor Trust",Movimientos!$B$1:$B$892,"&lt;="&amp;$B105)</f>
        <v>345</v>
      </c>
      <c r="U105" s="24">
        <f>SUMIFS('Saldos Iniciales'!$D:$D,'Saldos Iniciales'!$A:$A,"Go Blue")+SUMIFS(Movimientos!$K$1:$K$892,Movimientos!$C$1:$C$892,"Go Blue",Movimientos!$B$1:$B$892,"&lt;="&amp;$B105)</f>
        <v>12470.040000000003</v>
      </c>
      <c r="V105" s="25">
        <f t="shared" si="24"/>
        <v>6025628.0799999991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Group")+SUMIFS(Movimientos!$K$1:$K$892,Movimientos!$C$1:$C$892,"CFT Group",Movimientos!$B$1:$B$892,"&lt;="&amp;$B106)</f>
        <v>1041223.5800000004</v>
      </c>
      <c r="D106" s="24">
        <f>SUMIFS('Saldos Iniciales'!$D:$D,'Saldos Iniciales'!$A:$A,"M1B")+SUMIFS(Movimientos!$K$1:$K$892,Movimientos!$C$1:$C$892,"M1B",Movimientos!$B$1:$B$892,"&lt;="&amp;$B106)</f>
        <v>83211.250000000175</v>
      </c>
      <c r="E106" s="24">
        <f>SUMIFS('Saldos Iniciales'!$D:$D,'Saldos Iniciales'!$A:$A,"Durand")+SUMIFS(Movimientos!$K$1:$K$892,Movimientos!$C$1:$C$892,"Durand",Movimientos!$B$1:$B$892,"&lt;="&amp;$B106)</f>
        <v>1669.89</v>
      </c>
      <c r="F106" s="24">
        <f>SUMIFS('Saldos Iniciales'!$D:$D,'Saldos Iniciales'!$A:$A,"A&amp;M Imports")+SUMIFS(Movimientos!$K$1:$K$892,Movimientos!$C$1:$C$892,"A&amp;M Imports",Movimientos!$B$1:$B$892,"&lt;="&amp;$B106)</f>
        <v>1289451.94</v>
      </c>
      <c r="G106" s="24">
        <f>SUMIFS('Saldos Iniciales'!$D:$D,'Saldos Iniciales'!$A:$A,"SSP Capital")+SUMIFS(Movimientos!$K$1:$K$892,Movimientos!$C$1:$C$892,"SSP Capital",Movimientos!$B$1:$B$892,"&lt;="&amp;$B106)</f>
        <v>1418808.6399999997</v>
      </c>
      <c r="H106" s="24">
        <f>SUMIFS('Saldos Iniciales'!$D:$D,'Saldos Iniciales'!$A:$A,"Cross Family Trust")+SUMIFS(Movimientos!$K$1:$K$892,Movimientos!$C$1:$C$892,"Cross Family Trust",Movimientos!$B$1:$B$892,"&lt;="&amp;$B106)</f>
        <v>221496.38</v>
      </c>
      <c r="I106" s="24">
        <f>SUMIFS('Saldos Iniciales'!$D:$D,'Saldos Iniciales'!$A:$A,"Cross Security Trust")+SUMIFS(Movimientos!$K$1:$K$892,Movimientos!$C$1:$C$892,"Cross Security Trust",Movimientos!$B$1:$B$892,"&lt;="&amp;$B106)</f>
        <v>158067.38999999998</v>
      </c>
      <c r="J106" s="24">
        <f>SUMIFS('Saldos Iniciales'!$D:$D,'Saldos Iniciales'!$A:$A,"Electrama")+SUMIFS(Movimientos!$K$1:$K$892,Movimientos!$C$1:$C$892,"Electrama",Movimientos!$B$1:$B$892,"&lt;="&amp;$B106)</f>
        <v>13270.02</v>
      </c>
      <c r="K106" s="24">
        <f>SUMIFS('Saldos Iniciales'!$D:$D,'Saldos Iniciales'!$A:$A,"Sacred Valley Capital")+SUMIFS(Movimientos!$K$1:$K$892,Movimientos!$C$1:$C$892,"Sacred Valley Capital",Movimientos!$B$1:$B$892,"&lt;="&amp;$B106)</f>
        <v>24.450000000000003</v>
      </c>
      <c r="L106" s="24">
        <f>SUMIFS('Saldos Iniciales'!$D:$D,'Saldos Iniciales'!$A:$A,"YWC Capital")+SUMIFS(Movimientos!$K$1:$K$892,Movimientos!$C$1:$C$892,"YWC Capital",Movimientos!$B$1:$B$892,"&lt;="&amp;$B106)</f>
        <v>2177.87</v>
      </c>
      <c r="M106" s="24">
        <f>SUMIFS('Saldos Iniciales'!$D:$D,'Saldos Iniciales'!$A:$A,"Soweto")+SUMIFS(Movimientos!$K$1:$K$892,Movimientos!$C$1:$C$892,"Soweto",Movimientos!$B$1:$B$892,"&lt;="&amp;$B106)</f>
        <v>754424.72</v>
      </c>
      <c r="N106" s="24">
        <f>SUMIFS('Saldos Iniciales'!$D:$D,'Saldos Iniciales'!$A:$A,"Green Stone Trust")+SUMIFS(Movimientos!$K$1:$K$892,Movimientos!$C$1:$C$892,"Green Stone Trust",Movimientos!$B$1:$B$892,"&lt;="&amp;$B106)</f>
        <v>1968.99</v>
      </c>
      <c r="O106" s="24">
        <f>SUMIFS('Saldos Iniciales'!$D:$D,'Saldos Iniciales'!$A:$A,"EC Auto")+SUMIFS(Movimientos!$K$1:$K$892,Movimientos!$C$1:$C$892,"EC Auto",Movimientos!$B$1:$B$892,"&lt;="&amp;$B106)</f>
        <v>901.34</v>
      </c>
      <c r="P106" s="24">
        <f>SUMIFS('Saldos Iniciales'!$D:$D,'Saldos Iniciales'!$A:$A,"Arbor Capital Properties")+SUMIFS(Movimientos!$K$1:$K$892,Movimientos!$C$1:$C$892,"Arbor Capital Properties",Movimientos!$B$1:$B$892,"&lt;="&amp;$B106)</f>
        <v>1396.08</v>
      </c>
      <c r="Q106" s="24">
        <f>SUMIFS('Saldos Iniciales'!$D:$D,'Saldos Iniciales'!$A:$A,"2515 Overbrook")+SUMIFS(Movimientos!$K$1:$K$892,Movimientos!$C$1:$C$892,"2515 Overbrook",Movimientos!$B$1:$B$892,"&lt;="&amp;$B106)</f>
        <v>13700.709999999959</v>
      </c>
      <c r="R106" s="24">
        <f>SUMIFS('Saldos Iniciales'!$D:$D,'Saldos Iniciales'!$A:$A,"112 Florida Ave")+SUMIFS(Movimientos!$K$1:$K$892,Movimientos!$C$1:$C$892,"112 Florida Ave",Movimientos!$B$1:$B$892,"&lt;="&amp;$B106)</f>
        <v>8724.1700000000037</v>
      </c>
      <c r="S106" s="24">
        <f>SUMIFS('Saldos Iniciales'!$D:$D,'Saldos Iniciales'!$A:$A,"3628 Thomas Ave")+SUMIFS(Movimientos!$K$1:$K$892,Movimientos!$C$1:$C$892,"3628 Thomas Ave",Movimientos!$B$1:$B$892,"&lt;="&amp;$B106)</f>
        <v>19336.039999999997</v>
      </c>
      <c r="T106" s="24">
        <f>SUMIFS('Saldos Iniciales'!$D:$D,'Saldos Iniciales'!$A:$A,"Green Harbor Trust")+SUMIFS(Movimientos!$K$1:$K$892,Movimientos!$C$1:$C$892,"Green Harbor Trust",Movimientos!$B$1:$B$892,"&lt;="&amp;$B106)</f>
        <v>345</v>
      </c>
      <c r="U106" s="24">
        <f>SUMIFS('Saldos Iniciales'!$D:$D,'Saldos Iniciales'!$A:$A,"Go Blue")+SUMIFS(Movimientos!$K$1:$K$892,Movimientos!$C$1:$C$892,"Go Blue",Movimientos!$B$1:$B$892,"&lt;="&amp;$B106)</f>
        <v>14740.900000000001</v>
      </c>
      <c r="V106" s="25">
        <f t="shared" ref="V106:V107" si="25">SUM(C106:U106)</f>
        <v>5044939.3599999994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Group")+SUMIFS(Movimientos!$K$1:$K$892,Movimientos!$C$1:$C$892,"CFT Group",Movimientos!$B$1:$B$892,"&lt;="&amp;$B107)</f>
        <v>941223.58000000042</v>
      </c>
      <c r="D107" s="24">
        <f>SUMIFS('Saldos Iniciales'!$D:$D,'Saldos Iniciales'!$A:$A,"M1B")+SUMIFS(Movimientos!$K$1:$K$892,Movimientos!$C$1:$C$892,"M1B",Movimientos!$B$1:$B$892,"&lt;="&amp;$B107)</f>
        <v>83211.250000000175</v>
      </c>
      <c r="E107" s="24">
        <f>SUMIFS('Saldos Iniciales'!$D:$D,'Saldos Iniciales'!$A:$A,"Durand")+SUMIFS(Movimientos!$K$1:$K$892,Movimientos!$C$1:$C$892,"Durand",Movimientos!$B$1:$B$892,"&lt;="&amp;$B107)</f>
        <v>1669.89</v>
      </c>
      <c r="F107" s="24">
        <f>SUMIFS('Saldos Iniciales'!$D:$D,'Saldos Iniciales'!$A:$A,"A&amp;M Imports")+SUMIFS(Movimientos!$K$1:$K$892,Movimientos!$C$1:$C$892,"A&amp;M Imports",Movimientos!$B$1:$B$892,"&lt;="&amp;$B107)</f>
        <v>1289451.94</v>
      </c>
      <c r="G107" s="24">
        <f>SUMIFS('Saldos Iniciales'!$D:$D,'Saldos Iniciales'!$A:$A,"SSP Capital")+SUMIFS(Movimientos!$K$1:$K$892,Movimientos!$C$1:$C$892,"SSP Capital",Movimientos!$B$1:$B$892,"&lt;="&amp;$B107)</f>
        <v>1418808.6399999997</v>
      </c>
      <c r="H107" s="24">
        <f>SUMIFS('Saldos Iniciales'!$D:$D,'Saldos Iniciales'!$A:$A,"Cross Family Trust")+SUMIFS(Movimientos!$K$1:$K$892,Movimientos!$C$1:$C$892,"Cross Family Trust",Movimientos!$B$1:$B$892,"&lt;="&amp;$B107)</f>
        <v>221496.38</v>
      </c>
      <c r="I107" s="24">
        <f>SUMIFS('Saldos Iniciales'!$D:$D,'Saldos Iniciales'!$A:$A,"Cross Security Trust")+SUMIFS(Movimientos!$K$1:$K$892,Movimientos!$C$1:$C$892,"Cross Security Trust",Movimientos!$B$1:$B$892,"&lt;="&amp;$B107)</f>
        <v>158071.25999999998</v>
      </c>
      <c r="J107" s="24">
        <f>SUMIFS('Saldos Iniciales'!$D:$D,'Saldos Iniciales'!$A:$A,"Electrama")+SUMIFS(Movimientos!$K$1:$K$892,Movimientos!$C$1:$C$892,"Electrama",Movimientos!$B$1:$B$892,"&lt;="&amp;$B107)</f>
        <v>13270.02</v>
      </c>
      <c r="K107" s="24">
        <f>SUMIFS('Saldos Iniciales'!$D:$D,'Saldos Iniciales'!$A:$A,"Sacred Valley Capital")+SUMIFS(Movimientos!$K$1:$K$892,Movimientos!$C$1:$C$892,"Sacred Valley Capital",Movimientos!$B$1:$B$892,"&lt;="&amp;$B107)</f>
        <v>24.450000000000003</v>
      </c>
      <c r="L107" s="24">
        <f>SUMIFS('Saldos Iniciales'!$D:$D,'Saldos Iniciales'!$A:$A,"YWC Capital")+SUMIFS(Movimientos!$K$1:$K$892,Movimientos!$C$1:$C$892,"YWC Capital",Movimientos!$B$1:$B$892,"&lt;="&amp;$B107)</f>
        <v>2177.87</v>
      </c>
      <c r="M107" s="24">
        <f>SUMIFS('Saldos Iniciales'!$D:$D,'Saldos Iniciales'!$A:$A,"Soweto")+SUMIFS(Movimientos!$K$1:$K$892,Movimientos!$C$1:$C$892,"Soweto",Movimientos!$B$1:$B$892,"&lt;="&amp;$B107)</f>
        <v>754424.72</v>
      </c>
      <c r="N107" s="24">
        <f>SUMIFS('Saldos Iniciales'!$D:$D,'Saldos Iniciales'!$A:$A,"Green Stone Trust")+SUMIFS(Movimientos!$K$1:$K$892,Movimientos!$C$1:$C$892,"Green Stone Trust",Movimientos!$B$1:$B$892,"&lt;="&amp;$B107)</f>
        <v>1968.99</v>
      </c>
      <c r="O107" s="24">
        <f>SUMIFS('Saldos Iniciales'!$D:$D,'Saldos Iniciales'!$A:$A,"EC Auto")+SUMIFS(Movimientos!$K$1:$K$892,Movimientos!$C$1:$C$892,"EC Auto",Movimientos!$B$1:$B$892,"&lt;="&amp;$B107)</f>
        <v>901.34</v>
      </c>
      <c r="P107" s="24">
        <f>SUMIFS('Saldos Iniciales'!$D:$D,'Saldos Iniciales'!$A:$A,"Arbor Capital Properties")+SUMIFS(Movimientos!$K$1:$K$892,Movimientos!$C$1:$C$892,"Arbor Capital Properties",Movimientos!$B$1:$B$892,"&lt;="&amp;$B107)</f>
        <v>1396.08</v>
      </c>
      <c r="Q107" s="24">
        <f>SUMIFS('Saldos Iniciales'!$D:$D,'Saldos Iniciales'!$A:$A,"2515 Overbrook")+SUMIFS(Movimientos!$K$1:$K$892,Movimientos!$C$1:$C$892,"2515 Overbrook",Movimientos!$B$1:$B$892,"&lt;="&amp;$B107)</f>
        <v>13685.709999999959</v>
      </c>
      <c r="R107" s="24">
        <f>SUMIFS('Saldos Iniciales'!$D:$D,'Saldos Iniciales'!$A:$A,"112 Florida Ave")+SUMIFS(Movimientos!$K$1:$K$892,Movimientos!$C$1:$C$892,"112 Florida Ave",Movimientos!$B$1:$B$892,"&lt;="&amp;$B107)</f>
        <v>8724.1700000000037</v>
      </c>
      <c r="S107" s="24">
        <f>SUMIFS('Saldos Iniciales'!$D:$D,'Saldos Iniciales'!$A:$A,"3628 Thomas Ave")+SUMIFS(Movimientos!$K$1:$K$892,Movimientos!$C$1:$C$892,"3628 Thomas Ave",Movimientos!$B$1:$B$892,"&lt;="&amp;$B107)</f>
        <v>19336.039999999997</v>
      </c>
      <c r="T107" s="24">
        <f>SUMIFS('Saldos Iniciales'!$D:$D,'Saldos Iniciales'!$A:$A,"Green Harbor Trust")+SUMIFS(Movimientos!$K$1:$K$892,Movimientos!$C$1:$C$892,"Green Harbor Trust",Movimientos!$B$1:$B$892,"&lt;="&amp;$B107)</f>
        <v>345</v>
      </c>
      <c r="U107" s="24">
        <f>SUMIFS('Saldos Iniciales'!$D:$D,'Saldos Iniciales'!$A:$A,"Go Blue")+SUMIFS(Movimientos!$K$1:$K$892,Movimientos!$C$1:$C$892,"Go Blue",Movimientos!$B$1:$B$892,"&lt;="&amp;$B107)</f>
        <v>14740.900000000001</v>
      </c>
      <c r="V107" s="25">
        <f t="shared" si="25"/>
        <v>4944928.2300000004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Group")+SUMIFS(Movimientos!$K$1:$K$892,Movimientos!$C$1:$C$892,"CFT Group",Movimientos!$B$1:$B$892,"&lt;="&amp;$B108)</f>
        <v>941223.58000000042</v>
      </c>
      <c r="D108" s="24">
        <f>SUMIFS('Saldos Iniciales'!$D:$D,'Saldos Iniciales'!$A:$A,"M1B")+SUMIFS(Movimientos!$K$1:$K$892,Movimientos!$C$1:$C$892,"M1B",Movimientos!$B$1:$B$892,"&lt;="&amp;$B108)</f>
        <v>83211.250000000175</v>
      </c>
      <c r="E108" s="24">
        <f>SUMIFS('Saldos Iniciales'!$D:$D,'Saldos Iniciales'!$A:$A,"Durand")+SUMIFS(Movimientos!$K$1:$K$892,Movimientos!$C$1:$C$892,"Durand",Movimientos!$B$1:$B$892,"&lt;="&amp;$B108)</f>
        <v>1669.89</v>
      </c>
      <c r="F108" s="24">
        <f>SUMIFS('Saldos Iniciales'!$D:$D,'Saldos Iniciales'!$A:$A,"A&amp;M Imports")+SUMIFS(Movimientos!$K$1:$K$892,Movimientos!$C$1:$C$892,"A&amp;M Imports",Movimientos!$B$1:$B$892,"&lt;="&amp;$B108)</f>
        <v>1289451.94</v>
      </c>
      <c r="G108" s="24">
        <f>SUMIFS('Saldos Iniciales'!$D:$D,'Saldos Iniciales'!$A:$A,"SSP Capital")+SUMIFS(Movimientos!$K$1:$K$892,Movimientos!$C$1:$C$892,"SSP Capital",Movimientos!$B$1:$B$892,"&lt;="&amp;$B108)</f>
        <v>1418808.6399999997</v>
      </c>
      <c r="H108" s="24">
        <f>SUMIFS('Saldos Iniciales'!$D:$D,'Saldos Iniciales'!$A:$A,"Cross Family Trust")+SUMIFS(Movimientos!$K$1:$K$892,Movimientos!$C$1:$C$892,"Cross Family Trust",Movimientos!$B$1:$B$892,"&lt;="&amp;$B108)</f>
        <v>221496.38</v>
      </c>
      <c r="I108" s="24">
        <f>SUMIFS('Saldos Iniciales'!$D:$D,'Saldos Iniciales'!$A:$A,"Cross Security Trust")+SUMIFS(Movimientos!$K$1:$K$892,Movimientos!$C$1:$C$892,"Cross Security Trust",Movimientos!$B$1:$B$892,"&lt;="&amp;$B108)</f>
        <v>158071.25999999998</v>
      </c>
      <c r="J108" s="24">
        <f>SUMIFS('Saldos Iniciales'!$D:$D,'Saldos Iniciales'!$A:$A,"Electrama")+SUMIFS(Movimientos!$K$1:$K$892,Movimientos!$C$1:$C$892,"Electrama",Movimientos!$B$1:$B$892,"&lt;="&amp;$B108)</f>
        <v>13270.02</v>
      </c>
      <c r="K108" s="24">
        <f>SUMIFS('Saldos Iniciales'!$D:$D,'Saldos Iniciales'!$A:$A,"Sacred Valley Capital")+SUMIFS(Movimientos!$K$1:$K$892,Movimientos!$C$1:$C$892,"Sacred Valley Capital",Movimientos!$B$1:$B$892,"&lt;="&amp;$B108)</f>
        <v>24.450000000000003</v>
      </c>
      <c r="L108" s="24">
        <f>SUMIFS('Saldos Iniciales'!$D:$D,'Saldos Iniciales'!$A:$A,"YWC Capital")+SUMIFS(Movimientos!$K$1:$K$892,Movimientos!$C$1:$C$892,"YWC Capital",Movimientos!$B$1:$B$892,"&lt;="&amp;$B108)</f>
        <v>2177.87</v>
      </c>
      <c r="M108" s="24">
        <f>SUMIFS('Saldos Iniciales'!$D:$D,'Saldos Iniciales'!$A:$A,"Soweto")+SUMIFS(Movimientos!$K$1:$K$892,Movimientos!$C$1:$C$892,"Soweto",Movimientos!$B$1:$B$892,"&lt;="&amp;$B108)</f>
        <v>754424.72</v>
      </c>
      <c r="N108" s="24">
        <f>SUMIFS('Saldos Iniciales'!$D:$D,'Saldos Iniciales'!$A:$A,"Green Stone Trust")+SUMIFS(Movimientos!$K$1:$K$892,Movimientos!$C$1:$C$892,"Green Stone Trust",Movimientos!$B$1:$B$892,"&lt;="&amp;$B108)</f>
        <v>1968.99</v>
      </c>
      <c r="O108" s="24">
        <f>SUMIFS('Saldos Iniciales'!$D:$D,'Saldos Iniciales'!$A:$A,"EC Auto")+SUMIFS(Movimientos!$K$1:$K$892,Movimientos!$C$1:$C$892,"EC Auto",Movimientos!$B$1:$B$892,"&lt;="&amp;$B108)</f>
        <v>901.34</v>
      </c>
      <c r="P108" s="24">
        <f>SUMIFS('Saldos Iniciales'!$D:$D,'Saldos Iniciales'!$A:$A,"Arbor Capital Properties")+SUMIFS(Movimientos!$K$1:$K$892,Movimientos!$C$1:$C$892,"Arbor Capital Properties",Movimientos!$B$1:$B$892,"&lt;="&amp;$B108)</f>
        <v>1396.08</v>
      </c>
      <c r="Q108" s="24">
        <f>SUMIFS('Saldos Iniciales'!$D:$D,'Saldos Iniciales'!$A:$A,"2515 Overbrook")+SUMIFS(Movimientos!$K$1:$K$892,Movimientos!$C$1:$C$892,"2515 Overbrook",Movimientos!$B$1:$B$892,"&lt;="&amp;$B108)</f>
        <v>13685.709999999959</v>
      </c>
      <c r="R108" s="24">
        <f>SUMIFS('Saldos Iniciales'!$D:$D,'Saldos Iniciales'!$A:$A,"112 Florida Ave")+SUMIFS(Movimientos!$K$1:$K$892,Movimientos!$C$1:$C$892,"112 Florida Ave",Movimientos!$B$1:$B$892,"&lt;="&amp;$B108)</f>
        <v>8724.1700000000037</v>
      </c>
      <c r="S108" s="24">
        <f>SUMIFS('Saldos Iniciales'!$D:$D,'Saldos Iniciales'!$A:$A,"3628 Thomas Ave")+SUMIFS(Movimientos!$K$1:$K$892,Movimientos!$C$1:$C$892,"3628 Thomas Ave",Movimientos!$B$1:$B$892,"&lt;="&amp;$B108)</f>
        <v>19336.039999999997</v>
      </c>
      <c r="T108" s="24">
        <f>SUMIFS('Saldos Iniciales'!$D:$D,'Saldos Iniciales'!$A:$A,"Green Harbor Trust")+SUMIFS(Movimientos!$K$1:$K$892,Movimientos!$C$1:$C$892,"Green Harbor Trust",Movimientos!$B$1:$B$892,"&lt;="&amp;$B108)</f>
        <v>345</v>
      </c>
      <c r="U108" s="24">
        <f>SUMIFS('Saldos Iniciales'!$D:$D,'Saldos Iniciales'!$A:$A,"Go Blue")+SUMIFS(Movimientos!$K$1:$K$892,Movimientos!$C$1:$C$892,"Go Blue",Movimientos!$B$1:$B$892,"&lt;="&amp;$B108)</f>
        <v>14740.900000000001</v>
      </c>
      <c r="V108" s="25">
        <f t="shared" ref="V108:V113" si="26">SUM(C108:U108)</f>
        <v>4944928.2300000004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Group")+SUMIFS(Movimientos!$K$1:$K$892,Movimientos!$C$1:$C$892,"CFT Group",Movimientos!$B$1:$B$892,"&lt;="&amp;$B109)</f>
        <v>941223.58000000042</v>
      </c>
      <c r="D109" s="24">
        <f>SUMIFS('Saldos Iniciales'!$D:$D,'Saldos Iniciales'!$A:$A,"M1B")+SUMIFS(Movimientos!$K$1:$K$892,Movimientos!$C$1:$C$892,"M1B",Movimientos!$B$1:$B$892,"&lt;="&amp;$B109)</f>
        <v>83211.250000000175</v>
      </c>
      <c r="E109" s="24">
        <f>SUMIFS('Saldos Iniciales'!$D:$D,'Saldos Iniciales'!$A:$A,"Durand")+SUMIFS(Movimientos!$K$1:$K$892,Movimientos!$C$1:$C$892,"Durand",Movimientos!$B$1:$B$892,"&lt;="&amp;$B109)</f>
        <v>1669.89</v>
      </c>
      <c r="F109" s="24">
        <f>SUMIFS('Saldos Iniciales'!$D:$D,'Saldos Iniciales'!$A:$A,"A&amp;M Imports")+SUMIFS(Movimientos!$K$1:$K$892,Movimientos!$C$1:$C$892,"A&amp;M Imports",Movimientos!$B$1:$B$892,"&lt;="&amp;$B109)</f>
        <v>1289451.94</v>
      </c>
      <c r="G109" s="24">
        <f>SUMIFS('Saldos Iniciales'!$D:$D,'Saldos Iniciales'!$A:$A,"SSP Capital")+SUMIFS(Movimientos!$K$1:$K$892,Movimientos!$C$1:$C$892,"SSP Capital",Movimientos!$B$1:$B$892,"&lt;="&amp;$B109)</f>
        <v>1418808.6399999997</v>
      </c>
      <c r="H109" s="24">
        <f>SUMIFS('Saldos Iniciales'!$D:$D,'Saldos Iniciales'!$A:$A,"Cross Family Trust")+SUMIFS(Movimientos!$K$1:$K$892,Movimientos!$C$1:$C$892,"Cross Family Trust",Movimientos!$B$1:$B$892,"&lt;="&amp;$B109)</f>
        <v>221496.38</v>
      </c>
      <c r="I109" s="24">
        <f>SUMIFS('Saldos Iniciales'!$D:$D,'Saldos Iniciales'!$A:$A,"Cross Security Trust")+SUMIFS(Movimientos!$K$1:$K$892,Movimientos!$C$1:$C$892,"Cross Security Trust",Movimientos!$B$1:$B$892,"&lt;="&amp;$B109)</f>
        <v>158071.25999999998</v>
      </c>
      <c r="J109" s="24">
        <f>SUMIFS('Saldos Iniciales'!$D:$D,'Saldos Iniciales'!$A:$A,"Electrama")+SUMIFS(Movimientos!$K$1:$K$892,Movimientos!$C$1:$C$892,"Electrama",Movimientos!$B$1:$B$892,"&lt;="&amp;$B109)</f>
        <v>13270.02</v>
      </c>
      <c r="K109" s="24">
        <f>SUMIFS('Saldos Iniciales'!$D:$D,'Saldos Iniciales'!$A:$A,"Sacred Valley Capital")+SUMIFS(Movimientos!$K$1:$K$892,Movimientos!$C$1:$C$892,"Sacred Valley Capital",Movimientos!$B$1:$B$892,"&lt;="&amp;$B109)</f>
        <v>24.450000000000003</v>
      </c>
      <c r="L109" s="24">
        <f>SUMIFS('Saldos Iniciales'!$D:$D,'Saldos Iniciales'!$A:$A,"YWC Capital")+SUMIFS(Movimientos!$K$1:$K$892,Movimientos!$C$1:$C$892,"YWC Capital",Movimientos!$B$1:$B$892,"&lt;="&amp;$B109)</f>
        <v>2177.87</v>
      </c>
      <c r="M109" s="24">
        <f>SUMIFS('Saldos Iniciales'!$D:$D,'Saldos Iniciales'!$A:$A,"Soweto")+SUMIFS(Movimientos!$K$1:$K$892,Movimientos!$C$1:$C$892,"Soweto",Movimientos!$B$1:$B$892,"&lt;="&amp;$B109)</f>
        <v>754424.72</v>
      </c>
      <c r="N109" s="24">
        <f>SUMIFS('Saldos Iniciales'!$D:$D,'Saldos Iniciales'!$A:$A,"Green Stone Trust")+SUMIFS(Movimientos!$K$1:$K$892,Movimientos!$C$1:$C$892,"Green Stone Trust",Movimientos!$B$1:$B$892,"&lt;="&amp;$B109)</f>
        <v>1968.99</v>
      </c>
      <c r="O109" s="24">
        <f>SUMIFS('Saldos Iniciales'!$D:$D,'Saldos Iniciales'!$A:$A,"EC Auto")+SUMIFS(Movimientos!$K$1:$K$892,Movimientos!$C$1:$C$892,"EC Auto",Movimientos!$B$1:$B$892,"&lt;="&amp;$B109)</f>
        <v>901.34</v>
      </c>
      <c r="P109" s="24">
        <f>SUMIFS('Saldos Iniciales'!$D:$D,'Saldos Iniciales'!$A:$A,"Arbor Capital Properties")+SUMIFS(Movimientos!$K$1:$K$892,Movimientos!$C$1:$C$892,"Arbor Capital Properties",Movimientos!$B$1:$B$892,"&lt;="&amp;$B109)</f>
        <v>1396.08</v>
      </c>
      <c r="Q109" s="24">
        <f>SUMIFS('Saldos Iniciales'!$D:$D,'Saldos Iniciales'!$A:$A,"2515 Overbrook")+SUMIFS(Movimientos!$K$1:$K$892,Movimientos!$C$1:$C$892,"2515 Overbrook",Movimientos!$B$1:$B$892,"&lt;="&amp;$B109)</f>
        <v>13685.709999999959</v>
      </c>
      <c r="R109" s="24">
        <f>SUMIFS('Saldos Iniciales'!$D:$D,'Saldos Iniciales'!$A:$A,"112 Florida Ave")+SUMIFS(Movimientos!$K$1:$K$892,Movimientos!$C$1:$C$892,"112 Florida Ave",Movimientos!$B$1:$B$892,"&lt;="&amp;$B109)</f>
        <v>8724.1700000000037</v>
      </c>
      <c r="S109" s="24">
        <f>SUMIFS('Saldos Iniciales'!$D:$D,'Saldos Iniciales'!$A:$A,"3628 Thomas Ave")+SUMIFS(Movimientos!$K$1:$K$892,Movimientos!$C$1:$C$892,"3628 Thomas Ave",Movimientos!$B$1:$B$892,"&lt;="&amp;$B109)</f>
        <v>19336.039999999997</v>
      </c>
      <c r="T109" s="24">
        <f>SUMIFS('Saldos Iniciales'!$D:$D,'Saldos Iniciales'!$A:$A,"Green Harbor Trust")+SUMIFS(Movimientos!$K$1:$K$892,Movimientos!$C$1:$C$892,"Green Harbor Trust",Movimientos!$B$1:$B$892,"&lt;="&amp;$B109)</f>
        <v>345</v>
      </c>
      <c r="U109" s="24">
        <f>SUMIFS('Saldos Iniciales'!$D:$D,'Saldos Iniciales'!$A:$A,"Go Blue")+SUMIFS(Movimientos!$K$1:$K$892,Movimientos!$C$1:$C$892,"Go Blue",Movimientos!$B$1:$B$892,"&lt;="&amp;$B109)</f>
        <v>14740.900000000001</v>
      </c>
      <c r="V109" s="25">
        <f t="shared" si="26"/>
        <v>4944928.2300000004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Group")+SUMIFS(Movimientos!$K$1:$K$892,Movimientos!$C$1:$C$892,"CFT Group",Movimientos!$B$1:$B$892,"&lt;="&amp;$B110)</f>
        <v>941223.58000000042</v>
      </c>
      <c r="D110" s="24">
        <f>SUMIFS('Saldos Iniciales'!$D:$D,'Saldos Iniciales'!$A:$A,"M1B")+SUMIFS(Movimientos!$K$1:$K$892,Movimientos!$C$1:$C$892,"M1B",Movimientos!$B$1:$B$892,"&lt;="&amp;$B110)</f>
        <v>83211.250000000175</v>
      </c>
      <c r="E110" s="24">
        <f>SUMIFS('Saldos Iniciales'!$D:$D,'Saldos Iniciales'!$A:$A,"Durand")+SUMIFS(Movimientos!$K$1:$K$892,Movimientos!$C$1:$C$892,"Durand",Movimientos!$B$1:$B$892,"&lt;="&amp;$B110)</f>
        <v>1669.89</v>
      </c>
      <c r="F110" s="24">
        <f>SUMIFS('Saldos Iniciales'!$D:$D,'Saldos Iniciales'!$A:$A,"A&amp;M Imports")+SUMIFS(Movimientos!$K$1:$K$892,Movimientos!$C$1:$C$892,"A&amp;M Imports",Movimientos!$B$1:$B$892,"&lt;="&amp;$B110)</f>
        <v>1289031.3399999999</v>
      </c>
      <c r="G110" s="24">
        <f>SUMIFS('Saldos Iniciales'!$D:$D,'Saldos Iniciales'!$A:$A,"SSP Capital")+SUMIFS(Movimientos!$K$1:$K$892,Movimientos!$C$1:$C$892,"SSP Capital",Movimientos!$B$1:$B$892,"&lt;="&amp;$B110)</f>
        <v>1383977.5499999996</v>
      </c>
      <c r="H110" s="24">
        <f>SUMIFS('Saldos Iniciales'!$D:$D,'Saldos Iniciales'!$A:$A,"Cross Family Trust")+SUMIFS(Movimientos!$K$1:$K$892,Movimientos!$C$1:$C$892,"Cross Family Trust",Movimientos!$B$1:$B$892,"&lt;="&amp;$B110)</f>
        <v>221496.38</v>
      </c>
      <c r="I110" s="24">
        <f>SUMIFS('Saldos Iniciales'!$D:$D,'Saldos Iniciales'!$A:$A,"Cross Security Trust")+SUMIFS(Movimientos!$K$1:$K$892,Movimientos!$C$1:$C$892,"Cross Security Trust",Movimientos!$B$1:$B$892,"&lt;="&amp;$B110)</f>
        <v>158071.25999999998</v>
      </c>
      <c r="J110" s="24">
        <f>SUMIFS('Saldos Iniciales'!$D:$D,'Saldos Iniciales'!$A:$A,"Electrama")+SUMIFS(Movimientos!$K$1:$K$892,Movimientos!$C$1:$C$892,"Electrama",Movimientos!$B$1:$B$892,"&lt;="&amp;$B110)</f>
        <v>13270.02</v>
      </c>
      <c r="K110" s="24">
        <f>SUMIFS('Saldos Iniciales'!$D:$D,'Saldos Iniciales'!$A:$A,"Sacred Valley Capital")+SUMIFS(Movimientos!$K$1:$K$892,Movimientos!$C$1:$C$892,"Sacred Valley Capital",Movimientos!$B$1:$B$892,"&lt;="&amp;$B110)</f>
        <v>24.450000000000003</v>
      </c>
      <c r="L110" s="24">
        <f>SUMIFS('Saldos Iniciales'!$D:$D,'Saldos Iniciales'!$A:$A,"YWC Capital")+SUMIFS(Movimientos!$K$1:$K$892,Movimientos!$C$1:$C$892,"YWC Capital",Movimientos!$B$1:$B$892,"&lt;="&amp;$B110)</f>
        <v>2177.87</v>
      </c>
      <c r="M110" s="24">
        <f>SUMIFS('Saldos Iniciales'!$D:$D,'Saldos Iniciales'!$A:$A,"Soweto")+SUMIFS(Movimientos!$K$1:$K$892,Movimientos!$C$1:$C$892,"Soweto",Movimientos!$B$1:$B$892,"&lt;="&amp;$B110)</f>
        <v>754424.72</v>
      </c>
      <c r="N110" s="24">
        <f>SUMIFS('Saldos Iniciales'!$D:$D,'Saldos Iniciales'!$A:$A,"Green Stone Trust")+SUMIFS(Movimientos!$K$1:$K$892,Movimientos!$C$1:$C$892,"Green Stone Trust",Movimientos!$B$1:$B$892,"&lt;="&amp;$B110)</f>
        <v>1968.99</v>
      </c>
      <c r="O110" s="24">
        <f>SUMIFS('Saldos Iniciales'!$D:$D,'Saldos Iniciales'!$A:$A,"EC Auto")+SUMIFS(Movimientos!$K$1:$K$892,Movimientos!$C$1:$C$892,"EC Auto",Movimientos!$B$1:$B$892,"&lt;="&amp;$B110)</f>
        <v>901.34</v>
      </c>
      <c r="P110" s="24">
        <f>SUMIFS('Saldos Iniciales'!$D:$D,'Saldos Iniciales'!$A:$A,"Arbor Capital Properties")+SUMIFS(Movimientos!$K$1:$K$892,Movimientos!$C$1:$C$892,"Arbor Capital Properties",Movimientos!$B$1:$B$892,"&lt;="&amp;$B110)</f>
        <v>1396.08</v>
      </c>
      <c r="Q110" s="24">
        <f>SUMIFS('Saldos Iniciales'!$D:$D,'Saldos Iniciales'!$A:$A,"2515 Overbrook")+SUMIFS(Movimientos!$K$1:$K$892,Movimientos!$C$1:$C$892,"2515 Overbrook",Movimientos!$B$1:$B$892,"&lt;="&amp;$B110)</f>
        <v>13685.709999999959</v>
      </c>
      <c r="R110" s="24">
        <f>SUMIFS('Saldos Iniciales'!$D:$D,'Saldos Iniciales'!$A:$A,"112 Florida Ave")+SUMIFS(Movimientos!$K$1:$K$892,Movimientos!$C$1:$C$892,"112 Florida Ave",Movimientos!$B$1:$B$892,"&lt;="&amp;$B110)</f>
        <v>8724.1700000000037</v>
      </c>
      <c r="S110" s="24">
        <f>SUMIFS('Saldos Iniciales'!$D:$D,'Saldos Iniciales'!$A:$A,"3628 Thomas Ave")+SUMIFS(Movimientos!$K$1:$K$892,Movimientos!$C$1:$C$892,"3628 Thomas Ave",Movimientos!$B$1:$B$892,"&lt;="&amp;$B110)</f>
        <v>19336.039999999997</v>
      </c>
      <c r="T110" s="24">
        <f>SUMIFS('Saldos Iniciales'!$D:$D,'Saldos Iniciales'!$A:$A,"Green Harbor Trust")+SUMIFS(Movimientos!$K$1:$K$892,Movimientos!$C$1:$C$892,"Green Harbor Trust",Movimientos!$B$1:$B$892,"&lt;="&amp;$B110)</f>
        <v>345</v>
      </c>
      <c r="U110" s="24">
        <f>SUMIFS('Saldos Iniciales'!$D:$D,'Saldos Iniciales'!$A:$A,"Go Blue")+SUMIFS(Movimientos!$K$1:$K$892,Movimientos!$C$1:$C$892,"Go Blue",Movimientos!$B$1:$B$892,"&lt;="&amp;$B110)</f>
        <v>14565.900000000001</v>
      </c>
      <c r="V110" s="25">
        <f t="shared" si="26"/>
        <v>4909501.540000001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Group")+SUMIFS(Movimientos!$K$1:$K$892,Movimientos!$C$1:$C$892,"CFT Group",Movimientos!$B$1:$B$892,"&lt;="&amp;$B111)</f>
        <v>1047085.3600000005</v>
      </c>
      <c r="D111" s="24">
        <f>SUMIFS('Saldos Iniciales'!$D:$D,'Saldos Iniciales'!$A:$A,"M1B")+SUMIFS(Movimientos!$K$1:$K$892,Movimientos!$C$1:$C$892,"M1B",Movimientos!$B$1:$B$892,"&lt;="&amp;$B111)</f>
        <v>83211.250000000175</v>
      </c>
      <c r="E111" s="24">
        <f>SUMIFS('Saldos Iniciales'!$D:$D,'Saldos Iniciales'!$A:$A,"Durand")+SUMIFS(Movimientos!$K$1:$K$892,Movimientos!$C$1:$C$892,"Durand",Movimientos!$B$1:$B$892,"&lt;="&amp;$B111)</f>
        <v>1669.89</v>
      </c>
      <c r="F111" s="24">
        <f>SUMIFS('Saldos Iniciales'!$D:$D,'Saldos Iniciales'!$A:$A,"A&amp;M Imports")+SUMIFS(Movimientos!$K$1:$K$892,Movimientos!$C$1:$C$892,"A&amp;M Imports",Movimientos!$B$1:$B$892,"&lt;="&amp;$B111)</f>
        <v>1289031.3399999999</v>
      </c>
      <c r="G111" s="24">
        <f>SUMIFS('Saldos Iniciales'!$D:$D,'Saldos Iniciales'!$A:$A,"SSP Capital")+SUMIFS(Movimientos!$K$1:$K$892,Movimientos!$C$1:$C$892,"SSP Capital",Movimientos!$B$1:$B$892,"&lt;="&amp;$B111)</f>
        <v>1381487.1899999995</v>
      </c>
      <c r="H111" s="24">
        <f>SUMIFS('Saldos Iniciales'!$D:$D,'Saldos Iniciales'!$A:$A,"Cross Family Trust")+SUMIFS(Movimientos!$K$1:$K$892,Movimientos!$C$1:$C$892,"Cross Family Trust",Movimientos!$B$1:$B$892,"&lt;="&amp;$B111)</f>
        <v>221496.38</v>
      </c>
      <c r="I111" s="24">
        <f>SUMIFS('Saldos Iniciales'!$D:$D,'Saldos Iniciales'!$A:$A,"Cross Security Trust")+SUMIFS(Movimientos!$K$1:$K$892,Movimientos!$C$1:$C$892,"Cross Security Trust",Movimientos!$B$1:$B$892,"&lt;="&amp;$B111)</f>
        <v>158071.25999999998</v>
      </c>
      <c r="J111" s="24">
        <f>SUMIFS('Saldos Iniciales'!$D:$D,'Saldos Iniciales'!$A:$A,"Electrama")+SUMIFS(Movimientos!$K$1:$K$892,Movimientos!$C$1:$C$892,"Electrama",Movimientos!$B$1:$B$892,"&lt;="&amp;$B111)</f>
        <v>13270.02</v>
      </c>
      <c r="K111" s="24">
        <f>SUMIFS('Saldos Iniciales'!$D:$D,'Saldos Iniciales'!$A:$A,"Sacred Valley Capital")+SUMIFS(Movimientos!$K$1:$K$892,Movimientos!$C$1:$C$892,"Sacred Valley Capital",Movimientos!$B$1:$B$892,"&lt;="&amp;$B111)</f>
        <v>24.450000000000003</v>
      </c>
      <c r="L111" s="24">
        <f>SUMIFS('Saldos Iniciales'!$D:$D,'Saldos Iniciales'!$A:$A,"YWC Capital")+SUMIFS(Movimientos!$K$1:$K$892,Movimientos!$C$1:$C$892,"YWC Capital",Movimientos!$B$1:$B$892,"&lt;="&amp;$B111)</f>
        <v>2177.87</v>
      </c>
      <c r="M111" s="24">
        <f>SUMIFS('Saldos Iniciales'!$D:$D,'Saldos Iniciales'!$A:$A,"Soweto")+SUMIFS(Movimientos!$K$1:$K$892,Movimientos!$C$1:$C$892,"Soweto",Movimientos!$B$1:$B$892,"&lt;="&amp;$B111)</f>
        <v>754424.72</v>
      </c>
      <c r="N111" s="24">
        <f>SUMIFS('Saldos Iniciales'!$D:$D,'Saldos Iniciales'!$A:$A,"Green Stone Trust")+SUMIFS(Movimientos!$K$1:$K$892,Movimientos!$C$1:$C$892,"Green Stone Trust",Movimientos!$B$1:$B$892,"&lt;="&amp;$B111)</f>
        <v>1968.99</v>
      </c>
      <c r="O111" s="24">
        <f>SUMIFS('Saldos Iniciales'!$D:$D,'Saldos Iniciales'!$A:$A,"EC Auto")+SUMIFS(Movimientos!$K$1:$K$892,Movimientos!$C$1:$C$892,"EC Auto",Movimientos!$B$1:$B$892,"&lt;="&amp;$B111)</f>
        <v>901.34</v>
      </c>
      <c r="P111" s="24">
        <f>SUMIFS('Saldos Iniciales'!$D:$D,'Saldos Iniciales'!$A:$A,"Arbor Capital Properties")+SUMIFS(Movimientos!$K$1:$K$892,Movimientos!$C$1:$C$892,"Arbor Capital Properties",Movimientos!$B$1:$B$892,"&lt;="&amp;$B111)</f>
        <v>1396.08</v>
      </c>
      <c r="Q111" s="24">
        <f>SUMIFS('Saldos Iniciales'!$D:$D,'Saldos Iniciales'!$A:$A,"2515 Overbrook")+SUMIFS(Movimientos!$K$1:$K$892,Movimientos!$C$1:$C$892,"2515 Overbrook",Movimientos!$B$1:$B$892,"&lt;="&amp;$B111)</f>
        <v>13685.709999999959</v>
      </c>
      <c r="R111" s="24">
        <f>SUMIFS('Saldos Iniciales'!$D:$D,'Saldos Iniciales'!$A:$A,"112 Florida Ave")+SUMIFS(Movimientos!$K$1:$K$892,Movimientos!$C$1:$C$892,"112 Florida Ave",Movimientos!$B$1:$B$892,"&lt;="&amp;$B111)</f>
        <v>8724.1700000000037</v>
      </c>
      <c r="S111" s="24">
        <f>SUMIFS('Saldos Iniciales'!$D:$D,'Saldos Iniciales'!$A:$A,"3628 Thomas Ave")+SUMIFS(Movimientos!$K$1:$K$892,Movimientos!$C$1:$C$892,"3628 Thomas Ave",Movimientos!$B$1:$B$892,"&lt;="&amp;$B111)</f>
        <v>19336.039999999997</v>
      </c>
      <c r="T111" s="24">
        <f>SUMIFS('Saldos Iniciales'!$D:$D,'Saldos Iniciales'!$A:$A,"Green Harbor Trust")+SUMIFS(Movimientos!$K$1:$K$892,Movimientos!$C$1:$C$892,"Green Harbor Trust",Movimientos!$B$1:$B$892,"&lt;="&amp;$B111)</f>
        <v>345</v>
      </c>
      <c r="U111" s="24">
        <f>SUMIFS('Saldos Iniciales'!$D:$D,'Saldos Iniciales'!$A:$A,"Go Blue")+SUMIFS(Movimientos!$K$1:$K$892,Movimientos!$C$1:$C$892,"Go Blue",Movimientos!$B$1:$B$892,"&lt;="&amp;$B111)</f>
        <v>14565.900000000001</v>
      </c>
      <c r="V111" s="25">
        <f t="shared" si="26"/>
        <v>5012872.96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Group")+SUMIFS(Movimientos!$K$1:$K$892,Movimientos!$C$1:$C$892,"CFT Group",Movimientos!$B$1:$B$892,"&lt;="&amp;$B112)</f>
        <v>1047085.3600000005</v>
      </c>
      <c r="D112" s="24">
        <f>SUMIFS('Saldos Iniciales'!$D:$D,'Saldos Iniciales'!$A:$A,"M1B")+SUMIFS(Movimientos!$K$1:$K$892,Movimientos!$C$1:$C$892,"M1B",Movimientos!$B$1:$B$892,"&lt;="&amp;$B112)</f>
        <v>83211.250000000175</v>
      </c>
      <c r="E112" s="24">
        <f>SUMIFS('Saldos Iniciales'!$D:$D,'Saldos Iniciales'!$A:$A,"Durand")+SUMIFS(Movimientos!$K$1:$K$892,Movimientos!$C$1:$C$892,"Durand",Movimientos!$B$1:$B$892,"&lt;="&amp;$B112)</f>
        <v>1669.89</v>
      </c>
      <c r="F112" s="24">
        <f>SUMIFS('Saldos Iniciales'!$D:$D,'Saldos Iniciales'!$A:$A,"A&amp;M Imports")+SUMIFS(Movimientos!$K$1:$K$892,Movimientos!$C$1:$C$892,"A&amp;M Imports",Movimientos!$B$1:$B$892,"&lt;="&amp;$B112)</f>
        <v>1289031.3399999999</v>
      </c>
      <c r="G112" s="24">
        <f>SUMIFS('Saldos Iniciales'!$D:$D,'Saldos Iniciales'!$A:$A,"SSP Capital")+SUMIFS(Movimientos!$K$1:$K$892,Movimientos!$C$1:$C$892,"SSP Capital",Movimientos!$B$1:$B$892,"&lt;="&amp;$B112)</f>
        <v>1880583.4899999998</v>
      </c>
      <c r="H112" s="24">
        <f>SUMIFS('Saldos Iniciales'!$D:$D,'Saldos Iniciales'!$A:$A,"Cross Family Trust")+SUMIFS(Movimientos!$K$1:$K$892,Movimientos!$C$1:$C$892,"Cross Family Trust",Movimientos!$B$1:$B$892,"&lt;="&amp;$B112)</f>
        <v>221496.38</v>
      </c>
      <c r="I112" s="24">
        <f>SUMIFS('Saldos Iniciales'!$D:$D,'Saldos Iniciales'!$A:$A,"Cross Security Trust")+SUMIFS(Movimientos!$K$1:$K$892,Movimientos!$C$1:$C$892,"Cross Security Trust",Movimientos!$B$1:$B$892,"&lt;="&amp;$B112)</f>
        <v>158071.25999999998</v>
      </c>
      <c r="J112" s="24">
        <f>SUMIFS('Saldos Iniciales'!$D:$D,'Saldos Iniciales'!$A:$A,"Electrama")+SUMIFS(Movimientos!$K$1:$K$892,Movimientos!$C$1:$C$892,"Electrama",Movimientos!$B$1:$B$892,"&lt;="&amp;$B112)</f>
        <v>13270.02</v>
      </c>
      <c r="K112" s="24">
        <f>SUMIFS('Saldos Iniciales'!$D:$D,'Saldos Iniciales'!$A:$A,"Sacred Valley Capital")+SUMIFS(Movimientos!$K$1:$K$892,Movimientos!$C$1:$C$892,"Sacred Valley Capital",Movimientos!$B$1:$B$892,"&lt;="&amp;$B112)</f>
        <v>24.450000000000003</v>
      </c>
      <c r="L112" s="24">
        <f>SUMIFS('Saldos Iniciales'!$D:$D,'Saldos Iniciales'!$A:$A,"YWC Capital")+SUMIFS(Movimientos!$K$1:$K$892,Movimientos!$C$1:$C$892,"YWC Capital",Movimientos!$B$1:$B$892,"&lt;="&amp;$B112)</f>
        <v>2177.87</v>
      </c>
      <c r="M112" s="24">
        <f>SUMIFS('Saldos Iniciales'!$D:$D,'Saldos Iniciales'!$A:$A,"Soweto")+SUMIFS(Movimientos!$K$1:$K$892,Movimientos!$C$1:$C$892,"Soweto",Movimientos!$B$1:$B$892,"&lt;="&amp;$B112)</f>
        <v>754424.72</v>
      </c>
      <c r="N112" s="24">
        <f>SUMIFS('Saldos Iniciales'!$D:$D,'Saldos Iniciales'!$A:$A,"Green Stone Trust")+SUMIFS(Movimientos!$K$1:$K$892,Movimientos!$C$1:$C$892,"Green Stone Trust",Movimientos!$B$1:$B$892,"&lt;="&amp;$B112)</f>
        <v>1968.99</v>
      </c>
      <c r="O112" s="24">
        <f>SUMIFS('Saldos Iniciales'!$D:$D,'Saldos Iniciales'!$A:$A,"EC Auto")+SUMIFS(Movimientos!$K$1:$K$892,Movimientos!$C$1:$C$892,"EC Auto",Movimientos!$B$1:$B$892,"&lt;="&amp;$B112)</f>
        <v>901.34</v>
      </c>
      <c r="P112" s="24">
        <f>SUMIFS('Saldos Iniciales'!$D:$D,'Saldos Iniciales'!$A:$A,"Arbor Capital Properties")+SUMIFS(Movimientos!$K$1:$K$892,Movimientos!$C$1:$C$892,"Arbor Capital Properties",Movimientos!$B$1:$B$892,"&lt;="&amp;$B112)</f>
        <v>1396.08</v>
      </c>
      <c r="Q112" s="24">
        <f>SUMIFS('Saldos Iniciales'!$D:$D,'Saldos Iniciales'!$A:$A,"2515 Overbrook")+SUMIFS(Movimientos!$K$1:$K$892,Movimientos!$C$1:$C$892,"2515 Overbrook",Movimientos!$B$1:$B$892,"&lt;="&amp;$B112)</f>
        <v>13685.709999999959</v>
      </c>
      <c r="R112" s="24">
        <f>SUMIFS('Saldos Iniciales'!$D:$D,'Saldos Iniciales'!$A:$A,"112 Florida Ave")+SUMIFS(Movimientos!$K$1:$K$892,Movimientos!$C$1:$C$892,"112 Florida Ave",Movimientos!$B$1:$B$892,"&lt;="&amp;$B112)</f>
        <v>8724.1700000000037</v>
      </c>
      <c r="S112" s="24">
        <f>SUMIFS('Saldos Iniciales'!$D:$D,'Saldos Iniciales'!$A:$A,"3628 Thomas Ave")+SUMIFS(Movimientos!$K$1:$K$892,Movimientos!$C$1:$C$892,"3628 Thomas Ave",Movimientos!$B$1:$B$892,"&lt;="&amp;$B112)</f>
        <v>19336.039999999997</v>
      </c>
      <c r="T112" s="24">
        <f>SUMIFS('Saldos Iniciales'!$D:$D,'Saldos Iniciales'!$A:$A,"Green Harbor Trust")+SUMIFS(Movimientos!$K$1:$K$892,Movimientos!$C$1:$C$892,"Green Harbor Trust",Movimientos!$B$1:$B$892,"&lt;="&amp;$B112)</f>
        <v>345</v>
      </c>
      <c r="U112" s="24">
        <f>SUMIFS('Saldos Iniciales'!$D:$D,'Saldos Iniciales'!$A:$A,"Go Blue")+SUMIFS(Movimientos!$K$1:$K$892,Movimientos!$C$1:$C$892,"Go Blue",Movimientos!$B$1:$B$892,"&lt;="&amp;$B112)</f>
        <v>14565.900000000001</v>
      </c>
      <c r="V112" s="25">
        <f t="shared" si="26"/>
        <v>5511969.2599999998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Group")+SUMIFS(Movimientos!$K$1:$K$892,Movimientos!$C$1:$C$892,"CFT Group",Movimientos!$B$1:$B$892,"&lt;="&amp;$B113)</f>
        <v>702210.36000000045</v>
      </c>
      <c r="D113" s="24">
        <f>SUMIFS('Saldos Iniciales'!$D:$D,'Saldos Iniciales'!$A:$A,"M1B")+SUMIFS(Movimientos!$K$1:$K$892,Movimientos!$C$1:$C$892,"M1B",Movimientos!$B$1:$B$892,"&lt;="&amp;$B113)</f>
        <v>83211.250000000175</v>
      </c>
      <c r="E113" s="24">
        <f>SUMIFS('Saldos Iniciales'!$D:$D,'Saldos Iniciales'!$A:$A,"Durand")+SUMIFS(Movimientos!$K$1:$K$892,Movimientos!$C$1:$C$892,"Durand",Movimientos!$B$1:$B$892,"&lt;="&amp;$B113)</f>
        <v>1669.89</v>
      </c>
      <c r="F113" s="24">
        <f>SUMIFS('Saldos Iniciales'!$D:$D,'Saldos Iniciales'!$A:$A,"A&amp;M Imports")+SUMIFS(Movimientos!$K$1:$K$892,Movimientos!$C$1:$C$892,"A&amp;M Imports",Movimientos!$B$1:$B$892,"&lt;="&amp;$B113)</f>
        <v>1229031.3399999999</v>
      </c>
      <c r="G113" s="24">
        <f>SUMIFS('Saldos Iniciales'!$D:$D,'Saldos Iniciales'!$A:$A,"SSP Capital")+SUMIFS(Movimientos!$K$1:$K$892,Movimientos!$C$1:$C$892,"SSP Capital",Movimientos!$B$1:$B$892,"&lt;="&amp;$B113)</f>
        <v>1744052.5799999996</v>
      </c>
      <c r="H113" s="24">
        <f>SUMIFS('Saldos Iniciales'!$D:$D,'Saldos Iniciales'!$A:$A,"Cross Family Trust")+SUMIFS(Movimientos!$K$1:$K$892,Movimientos!$C$1:$C$892,"Cross Family Trust",Movimientos!$B$1:$B$892,"&lt;="&amp;$B113)</f>
        <v>221496.38</v>
      </c>
      <c r="I113" s="24">
        <f>SUMIFS('Saldos Iniciales'!$D:$D,'Saldos Iniciales'!$A:$A,"Cross Security Trust")+SUMIFS(Movimientos!$K$1:$K$892,Movimientos!$C$1:$C$892,"Cross Security Trust",Movimientos!$B$1:$B$892,"&lt;="&amp;$B113)</f>
        <v>158071.25999999998</v>
      </c>
      <c r="J113" s="24">
        <f>SUMIFS('Saldos Iniciales'!$D:$D,'Saldos Iniciales'!$A:$A,"Electrama")+SUMIFS(Movimientos!$K$1:$K$892,Movimientos!$C$1:$C$892,"Electrama",Movimientos!$B$1:$B$892,"&lt;="&amp;$B113)</f>
        <v>13270.02</v>
      </c>
      <c r="K113" s="24">
        <f>SUMIFS('Saldos Iniciales'!$D:$D,'Saldos Iniciales'!$A:$A,"Sacred Valley Capital")+SUMIFS(Movimientos!$K$1:$K$892,Movimientos!$C$1:$C$892,"Sacred Valley Capital",Movimientos!$B$1:$B$892,"&lt;="&amp;$B113)</f>
        <v>24.450000000000003</v>
      </c>
      <c r="L113" s="24">
        <f>SUMIFS('Saldos Iniciales'!$D:$D,'Saldos Iniciales'!$A:$A,"YWC Capital")+SUMIFS(Movimientos!$K$1:$K$892,Movimientos!$C$1:$C$892,"YWC Capital",Movimientos!$B$1:$B$892,"&lt;="&amp;$B113)</f>
        <v>2177.87</v>
      </c>
      <c r="M113" s="24">
        <f>SUMIFS('Saldos Iniciales'!$D:$D,'Saldos Iniciales'!$A:$A,"Soweto")+SUMIFS(Movimientos!$K$1:$K$892,Movimientos!$C$1:$C$892,"Soweto",Movimientos!$B$1:$B$892,"&lt;="&amp;$B113)</f>
        <v>754424.72</v>
      </c>
      <c r="N113" s="24">
        <f>SUMIFS('Saldos Iniciales'!$D:$D,'Saldos Iniciales'!$A:$A,"Green Stone Trust")+SUMIFS(Movimientos!$K$1:$K$892,Movimientos!$C$1:$C$892,"Green Stone Trust",Movimientos!$B$1:$B$892,"&lt;="&amp;$B113)</f>
        <v>1968.99</v>
      </c>
      <c r="O113" s="24">
        <f>SUMIFS('Saldos Iniciales'!$D:$D,'Saldos Iniciales'!$A:$A,"EC Auto")+SUMIFS(Movimientos!$K$1:$K$892,Movimientos!$C$1:$C$892,"EC Auto",Movimientos!$B$1:$B$892,"&lt;="&amp;$B113)</f>
        <v>901.34</v>
      </c>
      <c r="P113" s="24">
        <f>SUMIFS('Saldos Iniciales'!$D:$D,'Saldos Iniciales'!$A:$A,"Arbor Capital Properties")+SUMIFS(Movimientos!$K$1:$K$892,Movimientos!$C$1:$C$892,"Arbor Capital Properties",Movimientos!$B$1:$B$892,"&lt;="&amp;$B113)</f>
        <v>1396.08</v>
      </c>
      <c r="Q113" s="24">
        <f>SUMIFS('Saldos Iniciales'!$D:$D,'Saldos Iniciales'!$A:$A,"2515 Overbrook")+SUMIFS(Movimientos!$K$1:$K$892,Movimientos!$C$1:$C$892,"2515 Overbrook",Movimientos!$B$1:$B$892,"&lt;="&amp;$B113)</f>
        <v>13685.709999999959</v>
      </c>
      <c r="R113" s="24">
        <f>SUMIFS('Saldos Iniciales'!$D:$D,'Saldos Iniciales'!$A:$A,"112 Florida Ave")+SUMIFS(Movimientos!$K$1:$K$892,Movimientos!$C$1:$C$892,"112 Florida Ave",Movimientos!$B$1:$B$892,"&lt;="&amp;$B113)</f>
        <v>8724.1700000000037</v>
      </c>
      <c r="S113" s="24">
        <f>SUMIFS('Saldos Iniciales'!$D:$D,'Saldos Iniciales'!$A:$A,"3628 Thomas Ave")+SUMIFS(Movimientos!$K$1:$K$892,Movimientos!$C$1:$C$892,"3628 Thomas Ave",Movimientos!$B$1:$B$892,"&lt;="&amp;$B113)</f>
        <v>19336.039999999997</v>
      </c>
      <c r="T113" s="24">
        <f>SUMIFS('Saldos Iniciales'!$D:$D,'Saldos Iniciales'!$A:$A,"Green Harbor Trust")+SUMIFS(Movimientos!$K$1:$K$892,Movimientos!$C$1:$C$892,"Green Harbor Trust",Movimientos!$B$1:$B$892,"&lt;="&amp;$B113)</f>
        <v>345</v>
      </c>
      <c r="U113" s="24">
        <f>SUMIFS('Saldos Iniciales'!$D:$D,'Saldos Iniciales'!$A:$A,"Go Blue")+SUMIFS(Movimientos!$K$1:$K$892,Movimientos!$C$1:$C$892,"Go Blue",Movimientos!$B$1:$B$892,"&lt;="&amp;$B113)</f>
        <v>12741.780000000002</v>
      </c>
      <c r="V113" s="25">
        <f t="shared" si="26"/>
        <v>4968739.2300000004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Group")+SUMIFS(Movimientos!$K$1:$K$892,Movimientos!$C$1:$C$892,"CFT Group",Movimientos!$B$1:$B$892,"&lt;="&amp;$B114)</f>
        <v>702210.36000000045</v>
      </c>
      <c r="D114" s="24">
        <f>SUMIFS('Saldos Iniciales'!$D:$D,'Saldos Iniciales'!$A:$A,"M1B")+SUMIFS(Movimientos!$K$1:$K$892,Movimientos!$C$1:$C$892,"M1B",Movimientos!$B$1:$B$892,"&lt;="&amp;$B114)</f>
        <v>83211.250000000175</v>
      </c>
      <c r="E114" s="24">
        <f>SUMIFS('Saldos Iniciales'!$D:$D,'Saldos Iniciales'!$A:$A,"Durand")+SUMIFS(Movimientos!$K$1:$K$892,Movimientos!$C$1:$C$892,"Durand",Movimientos!$B$1:$B$892,"&lt;="&amp;$B114)</f>
        <v>1669.89</v>
      </c>
      <c r="F114" s="24">
        <f>SUMIFS('Saldos Iniciales'!$D:$D,'Saldos Iniciales'!$A:$A,"A&amp;M Imports")+SUMIFS(Movimientos!$K$1:$K$892,Movimientos!$C$1:$C$892,"A&amp;M Imports",Movimientos!$B$1:$B$892,"&lt;="&amp;$B114)</f>
        <v>1229031.3399999999</v>
      </c>
      <c r="G114" s="24">
        <f>SUMIFS('Saldos Iniciales'!$D:$D,'Saldos Iniciales'!$A:$A,"SSP Capital")+SUMIFS(Movimientos!$K$1:$K$892,Movimientos!$C$1:$C$892,"SSP Capital",Movimientos!$B$1:$B$892,"&lt;="&amp;$B114)</f>
        <v>1744052.5799999996</v>
      </c>
      <c r="H114" s="24">
        <f>SUMIFS('Saldos Iniciales'!$D:$D,'Saldos Iniciales'!$A:$A,"Cross Family Trust")+SUMIFS(Movimientos!$K$1:$K$892,Movimientos!$C$1:$C$892,"Cross Family Trust",Movimientos!$B$1:$B$892,"&lt;="&amp;$B114)</f>
        <v>221496.38</v>
      </c>
      <c r="I114" s="24">
        <f>SUMIFS('Saldos Iniciales'!$D:$D,'Saldos Iniciales'!$A:$A,"Cross Security Trust")+SUMIFS(Movimientos!$K$1:$K$892,Movimientos!$C$1:$C$892,"Cross Security Trust",Movimientos!$B$1:$B$892,"&lt;="&amp;$B114)</f>
        <v>158071.25999999998</v>
      </c>
      <c r="J114" s="24">
        <f>SUMIFS('Saldos Iniciales'!$D:$D,'Saldos Iniciales'!$A:$A,"Electrama")+SUMIFS(Movimientos!$K$1:$K$892,Movimientos!$C$1:$C$892,"Electrama",Movimientos!$B$1:$B$892,"&lt;="&amp;$B114)</f>
        <v>13270.02</v>
      </c>
      <c r="K114" s="24">
        <f>SUMIFS('Saldos Iniciales'!$D:$D,'Saldos Iniciales'!$A:$A,"Sacred Valley Capital")+SUMIFS(Movimientos!$K$1:$K$892,Movimientos!$C$1:$C$892,"Sacred Valley Capital",Movimientos!$B$1:$B$892,"&lt;="&amp;$B114)</f>
        <v>24.450000000000003</v>
      </c>
      <c r="L114" s="24">
        <f>SUMIFS('Saldos Iniciales'!$D:$D,'Saldos Iniciales'!$A:$A,"YWC Capital")+SUMIFS(Movimientos!$K$1:$K$892,Movimientos!$C$1:$C$892,"YWC Capital",Movimientos!$B$1:$B$892,"&lt;="&amp;$B114)</f>
        <v>2177.87</v>
      </c>
      <c r="M114" s="24">
        <f>SUMIFS('Saldos Iniciales'!$D:$D,'Saldos Iniciales'!$A:$A,"Soweto")+SUMIFS(Movimientos!$K$1:$K$892,Movimientos!$C$1:$C$892,"Soweto",Movimientos!$B$1:$B$892,"&lt;="&amp;$B114)</f>
        <v>754424.72</v>
      </c>
      <c r="N114" s="24">
        <f>SUMIFS('Saldos Iniciales'!$D:$D,'Saldos Iniciales'!$A:$A,"Green Stone Trust")+SUMIFS(Movimientos!$K$1:$K$892,Movimientos!$C$1:$C$892,"Green Stone Trust",Movimientos!$B$1:$B$892,"&lt;="&amp;$B114)</f>
        <v>1968.99</v>
      </c>
      <c r="O114" s="24">
        <f>SUMIFS('Saldos Iniciales'!$D:$D,'Saldos Iniciales'!$A:$A,"EC Auto")+SUMIFS(Movimientos!$K$1:$K$892,Movimientos!$C$1:$C$892,"EC Auto",Movimientos!$B$1:$B$892,"&lt;="&amp;$B114)</f>
        <v>901.34</v>
      </c>
      <c r="P114" s="24">
        <f>SUMIFS('Saldos Iniciales'!$D:$D,'Saldos Iniciales'!$A:$A,"Arbor Capital Properties")+SUMIFS(Movimientos!$K$1:$K$892,Movimientos!$C$1:$C$892,"Arbor Capital Properties",Movimientos!$B$1:$B$892,"&lt;="&amp;$B114)</f>
        <v>1396.08</v>
      </c>
      <c r="Q114" s="24">
        <f>SUMIFS('Saldos Iniciales'!$D:$D,'Saldos Iniciales'!$A:$A,"2515 Overbrook")+SUMIFS(Movimientos!$K$1:$K$892,Movimientos!$C$1:$C$892,"2515 Overbrook",Movimientos!$B$1:$B$892,"&lt;="&amp;$B114)</f>
        <v>13685.709999999959</v>
      </c>
      <c r="R114" s="24">
        <f>SUMIFS('Saldos Iniciales'!$D:$D,'Saldos Iniciales'!$A:$A,"112 Florida Ave")+SUMIFS(Movimientos!$K$1:$K$892,Movimientos!$C$1:$C$892,"112 Florida Ave",Movimientos!$B$1:$B$892,"&lt;="&amp;$B114)</f>
        <v>8724.1700000000037</v>
      </c>
      <c r="S114" s="24">
        <f>SUMIFS('Saldos Iniciales'!$D:$D,'Saldos Iniciales'!$A:$A,"3628 Thomas Ave")+SUMIFS(Movimientos!$K$1:$K$892,Movimientos!$C$1:$C$892,"3628 Thomas Ave",Movimientos!$B$1:$B$892,"&lt;="&amp;$B114)</f>
        <v>19336.039999999997</v>
      </c>
      <c r="T114" s="24">
        <f>SUMIFS('Saldos Iniciales'!$D:$D,'Saldos Iniciales'!$A:$A,"Green Harbor Trust")+SUMIFS(Movimientos!$K$1:$K$892,Movimientos!$C$1:$C$892,"Green Harbor Trust",Movimientos!$B$1:$B$892,"&lt;="&amp;$B114)</f>
        <v>345</v>
      </c>
      <c r="U114" s="24">
        <f>SUMIFS('Saldos Iniciales'!$D:$D,'Saldos Iniciales'!$A:$A,"Go Blue")+SUMIFS(Movimientos!$K$1:$K$892,Movimientos!$C$1:$C$892,"Go Blue",Movimientos!$B$1:$B$892,"&lt;="&amp;$B114)</f>
        <v>12541.790000000003</v>
      </c>
      <c r="V114" s="25">
        <f t="shared" ref="V114:V121" si="27">SUM(C114:U114)</f>
        <v>4968539.24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Group")+SUMIFS(Movimientos!$K$1:$K$892,Movimientos!$C$1:$C$892,"CFT Group",Movimientos!$B$1:$B$892,"&lt;="&amp;$B115)</f>
        <v>702210.36000000045</v>
      </c>
      <c r="D115" s="24">
        <f>SUMIFS('Saldos Iniciales'!$D:$D,'Saldos Iniciales'!$A:$A,"M1B")+SUMIFS(Movimientos!$K$1:$K$892,Movimientos!$C$1:$C$892,"M1B",Movimientos!$B$1:$B$892,"&lt;="&amp;$B115)</f>
        <v>83211.250000000175</v>
      </c>
      <c r="E115" s="24">
        <f>SUMIFS('Saldos Iniciales'!$D:$D,'Saldos Iniciales'!$A:$A,"Durand")+SUMIFS(Movimientos!$K$1:$K$892,Movimientos!$C$1:$C$892,"Durand",Movimientos!$B$1:$B$892,"&lt;="&amp;$B115)</f>
        <v>1669.89</v>
      </c>
      <c r="F115" s="24">
        <f>SUMIFS('Saldos Iniciales'!$D:$D,'Saldos Iniciales'!$A:$A,"A&amp;M Imports")+SUMIFS(Movimientos!$K$1:$K$892,Movimientos!$C$1:$C$892,"A&amp;M Imports",Movimientos!$B$1:$B$892,"&lt;="&amp;$B115)</f>
        <v>1229031.3399999999</v>
      </c>
      <c r="G115" s="24">
        <f>SUMIFS('Saldos Iniciales'!$D:$D,'Saldos Iniciales'!$A:$A,"SSP Capital")+SUMIFS(Movimientos!$K$1:$K$892,Movimientos!$C$1:$C$892,"SSP Capital",Movimientos!$B$1:$B$892,"&lt;="&amp;$B115)</f>
        <v>1744052.5799999996</v>
      </c>
      <c r="H115" s="24">
        <f>SUMIFS('Saldos Iniciales'!$D:$D,'Saldos Iniciales'!$A:$A,"Cross Family Trust")+SUMIFS(Movimientos!$K$1:$K$892,Movimientos!$C$1:$C$892,"Cross Family Trust",Movimientos!$B$1:$B$892,"&lt;="&amp;$B115)</f>
        <v>221496.38</v>
      </c>
      <c r="I115" s="24">
        <f>SUMIFS('Saldos Iniciales'!$D:$D,'Saldos Iniciales'!$A:$A,"Cross Security Trust")+SUMIFS(Movimientos!$K$1:$K$892,Movimientos!$C$1:$C$892,"Cross Security Trust",Movimientos!$B$1:$B$892,"&lt;="&amp;$B115)</f>
        <v>158071.25999999998</v>
      </c>
      <c r="J115" s="24">
        <f>SUMIFS('Saldos Iniciales'!$D:$D,'Saldos Iniciales'!$A:$A,"Electrama")+SUMIFS(Movimientos!$K$1:$K$892,Movimientos!$C$1:$C$892,"Electrama",Movimientos!$B$1:$B$892,"&lt;="&amp;$B115)</f>
        <v>13270.02</v>
      </c>
      <c r="K115" s="24">
        <f>SUMIFS('Saldos Iniciales'!$D:$D,'Saldos Iniciales'!$A:$A,"Sacred Valley Capital")+SUMIFS(Movimientos!$K$1:$K$892,Movimientos!$C$1:$C$892,"Sacred Valley Capital",Movimientos!$B$1:$B$892,"&lt;="&amp;$B115)</f>
        <v>24.450000000000003</v>
      </c>
      <c r="L115" s="24">
        <f>SUMIFS('Saldos Iniciales'!$D:$D,'Saldos Iniciales'!$A:$A,"YWC Capital")+SUMIFS(Movimientos!$K$1:$K$892,Movimientos!$C$1:$C$892,"YWC Capital",Movimientos!$B$1:$B$892,"&lt;="&amp;$B115)</f>
        <v>2177.87</v>
      </c>
      <c r="M115" s="24">
        <f>SUMIFS('Saldos Iniciales'!$D:$D,'Saldos Iniciales'!$A:$A,"Soweto")+SUMIFS(Movimientos!$K$1:$K$892,Movimientos!$C$1:$C$892,"Soweto",Movimientos!$B$1:$B$892,"&lt;="&amp;$B115)</f>
        <v>754424.72</v>
      </c>
      <c r="N115" s="24">
        <f>SUMIFS('Saldos Iniciales'!$D:$D,'Saldos Iniciales'!$A:$A,"Green Stone Trust")+SUMIFS(Movimientos!$K$1:$K$892,Movimientos!$C$1:$C$892,"Green Stone Trust",Movimientos!$B$1:$B$892,"&lt;="&amp;$B115)</f>
        <v>1968.99</v>
      </c>
      <c r="O115" s="24">
        <f>SUMIFS('Saldos Iniciales'!$D:$D,'Saldos Iniciales'!$A:$A,"EC Auto")+SUMIFS(Movimientos!$K$1:$K$892,Movimientos!$C$1:$C$892,"EC Auto",Movimientos!$B$1:$B$892,"&lt;="&amp;$B115)</f>
        <v>901.34</v>
      </c>
      <c r="P115" s="24">
        <f>SUMIFS('Saldos Iniciales'!$D:$D,'Saldos Iniciales'!$A:$A,"Arbor Capital Properties")+SUMIFS(Movimientos!$K$1:$K$892,Movimientos!$C$1:$C$892,"Arbor Capital Properties",Movimientos!$B$1:$B$892,"&lt;="&amp;$B115)</f>
        <v>1396.08</v>
      </c>
      <c r="Q115" s="24">
        <f>SUMIFS('Saldos Iniciales'!$D:$D,'Saldos Iniciales'!$A:$A,"2515 Overbrook")+SUMIFS(Movimientos!$K$1:$K$892,Movimientos!$C$1:$C$892,"2515 Overbrook",Movimientos!$B$1:$B$892,"&lt;="&amp;$B115)</f>
        <v>13685.709999999959</v>
      </c>
      <c r="R115" s="24">
        <f>SUMIFS('Saldos Iniciales'!$D:$D,'Saldos Iniciales'!$A:$A,"112 Florida Ave")+SUMIFS(Movimientos!$K$1:$K$892,Movimientos!$C$1:$C$892,"112 Florida Ave",Movimientos!$B$1:$B$892,"&lt;="&amp;$B115)</f>
        <v>8724.1700000000037</v>
      </c>
      <c r="S115" s="24">
        <f>SUMIFS('Saldos Iniciales'!$D:$D,'Saldos Iniciales'!$A:$A,"3628 Thomas Ave")+SUMIFS(Movimientos!$K$1:$K$892,Movimientos!$C$1:$C$892,"3628 Thomas Ave",Movimientos!$B$1:$B$892,"&lt;="&amp;$B115)</f>
        <v>19336.039999999997</v>
      </c>
      <c r="T115" s="24">
        <f>SUMIFS('Saldos Iniciales'!$D:$D,'Saldos Iniciales'!$A:$A,"Green Harbor Trust")+SUMIFS(Movimientos!$K$1:$K$892,Movimientos!$C$1:$C$892,"Green Harbor Trust",Movimientos!$B$1:$B$892,"&lt;="&amp;$B115)</f>
        <v>345</v>
      </c>
      <c r="U115" s="24">
        <f>SUMIFS('Saldos Iniciales'!$D:$D,'Saldos Iniciales'!$A:$A,"Go Blue")+SUMIFS(Movimientos!$K$1:$K$892,Movimientos!$C$1:$C$892,"Go Blue",Movimientos!$B$1:$B$892,"&lt;="&amp;$B115)</f>
        <v>12541.790000000003</v>
      </c>
      <c r="V115" s="25">
        <f t="shared" si="27"/>
        <v>4968539.24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Group")+SUMIFS(Movimientos!$K$1:$K$892,Movimientos!$C$1:$C$892,"CFT Group",Movimientos!$B$1:$B$892,"&lt;="&amp;$B116)</f>
        <v>702210.36000000045</v>
      </c>
      <c r="D116" s="24">
        <f>SUMIFS('Saldos Iniciales'!$D:$D,'Saldos Iniciales'!$A:$A,"M1B")+SUMIFS(Movimientos!$K$1:$K$892,Movimientos!$C$1:$C$892,"M1B",Movimientos!$B$1:$B$892,"&lt;="&amp;$B116)</f>
        <v>83211.250000000175</v>
      </c>
      <c r="E116" s="24">
        <f>SUMIFS('Saldos Iniciales'!$D:$D,'Saldos Iniciales'!$A:$A,"Durand")+SUMIFS(Movimientos!$K$1:$K$892,Movimientos!$C$1:$C$892,"Durand",Movimientos!$B$1:$B$892,"&lt;="&amp;$B116)</f>
        <v>1669.89</v>
      </c>
      <c r="F116" s="24">
        <f>SUMIFS('Saldos Iniciales'!$D:$D,'Saldos Iniciales'!$A:$A,"A&amp;M Imports")+SUMIFS(Movimientos!$K$1:$K$892,Movimientos!$C$1:$C$892,"A&amp;M Imports",Movimientos!$B$1:$B$892,"&lt;="&amp;$B116)</f>
        <v>1229031.3399999999</v>
      </c>
      <c r="G116" s="24">
        <f>SUMIFS('Saldos Iniciales'!$D:$D,'Saldos Iniciales'!$A:$A,"SSP Capital")+SUMIFS(Movimientos!$K$1:$K$892,Movimientos!$C$1:$C$892,"SSP Capital",Movimientos!$B$1:$B$892,"&lt;="&amp;$B116)</f>
        <v>1744052.5799999996</v>
      </c>
      <c r="H116" s="24">
        <f>SUMIFS('Saldos Iniciales'!$D:$D,'Saldos Iniciales'!$A:$A,"Cross Family Trust")+SUMIFS(Movimientos!$K$1:$K$892,Movimientos!$C$1:$C$892,"Cross Family Trust",Movimientos!$B$1:$B$892,"&lt;="&amp;$B116)</f>
        <v>221496.38</v>
      </c>
      <c r="I116" s="24">
        <f>SUMIFS('Saldos Iniciales'!$D:$D,'Saldos Iniciales'!$A:$A,"Cross Security Trust")+SUMIFS(Movimientos!$K$1:$K$892,Movimientos!$C$1:$C$892,"Cross Security Trust",Movimientos!$B$1:$B$892,"&lt;="&amp;$B116)</f>
        <v>158071.25999999998</v>
      </c>
      <c r="J116" s="24">
        <f>SUMIFS('Saldos Iniciales'!$D:$D,'Saldos Iniciales'!$A:$A,"Electrama")+SUMIFS(Movimientos!$K$1:$K$892,Movimientos!$C$1:$C$892,"Electrama",Movimientos!$B$1:$B$892,"&lt;="&amp;$B116)</f>
        <v>13270.02</v>
      </c>
      <c r="K116" s="24">
        <f>SUMIFS('Saldos Iniciales'!$D:$D,'Saldos Iniciales'!$A:$A,"Sacred Valley Capital")+SUMIFS(Movimientos!$K$1:$K$892,Movimientos!$C$1:$C$892,"Sacred Valley Capital",Movimientos!$B$1:$B$892,"&lt;="&amp;$B116)</f>
        <v>24.450000000000003</v>
      </c>
      <c r="L116" s="24">
        <f>SUMIFS('Saldos Iniciales'!$D:$D,'Saldos Iniciales'!$A:$A,"YWC Capital")+SUMIFS(Movimientos!$K$1:$K$892,Movimientos!$C$1:$C$892,"YWC Capital",Movimientos!$B$1:$B$892,"&lt;="&amp;$B116)</f>
        <v>2177.87</v>
      </c>
      <c r="M116" s="24">
        <f>SUMIFS('Saldos Iniciales'!$D:$D,'Saldos Iniciales'!$A:$A,"Soweto")+SUMIFS(Movimientos!$K$1:$K$892,Movimientos!$C$1:$C$892,"Soweto",Movimientos!$B$1:$B$892,"&lt;="&amp;$B116)</f>
        <v>754424.72</v>
      </c>
      <c r="N116" s="24">
        <f>SUMIFS('Saldos Iniciales'!$D:$D,'Saldos Iniciales'!$A:$A,"Green Stone Trust")+SUMIFS(Movimientos!$K$1:$K$892,Movimientos!$C$1:$C$892,"Green Stone Trust",Movimientos!$B$1:$B$892,"&lt;="&amp;$B116)</f>
        <v>1968.99</v>
      </c>
      <c r="O116" s="24">
        <f>SUMIFS('Saldos Iniciales'!$D:$D,'Saldos Iniciales'!$A:$A,"EC Auto")+SUMIFS(Movimientos!$K$1:$K$892,Movimientos!$C$1:$C$892,"EC Auto",Movimientos!$B$1:$B$892,"&lt;="&amp;$B116)</f>
        <v>901.34</v>
      </c>
      <c r="P116" s="24">
        <f>SUMIFS('Saldos Iniciales'!$D:$D,'Saldos Iniciales'!$A:$A,"Arbor Capital Properties")+SUMIFS(Movimientos!$K$1:$K$892,Movimientos!$C$1:$C$892,"Arbor Capital Properties",Movimientos!$B$1:$B$892,"&lt;="&amp;$B116)</f>
        <v>1396.08</v>
      </c>
      <c r="Q116" s="24">
        <f>SUMIFS('Saldos Iniciales'!$D:$D,'Saldos Iniciales'!$A:$A,"2515 Overbrook")+SUMIFS(Movimientos!$K$1:$K$892,Movimientos!$C$1:$C$892,"2515 Overbrook",Movimientos!$B$1:$B$892,"&lt;="&amp;$B116)</f>
        <v>13685.709999999959</v>
      </c>
      <c r="R116" s="24">
        <f>SUMIFS('Saldos Iniciales'!$D:$D,'Saldos Iniciales'!$A:$A,"112 Florida Ave")+SUMIFS(Movimientos!$K$1:$K$892,Movimientos!$C$1:$C$892,"112 Florida Ave",Movimientos!$B$1:$B$892,"&lt;="&amp;$B116)</f>
        <v>8724.1700000000037</v>
      </c>
      <c r="S116" s="24">
        <f>SUMIFS('Saldos Iniciales'!$D:$D,'Saldos Iniciales'!$A:$A,"3628 Thomas Ave")+SUMIFS(Movimientos!$K$1:$K$892,Movimientos!$C$1:$C$892,"3628 Thomas Ave",Movimientos!$B$1:$B$892,"&lt;="&amp;$B116)</f>
        <v>19336.039999999997</v>
      </c>
      <c r="T116" s="24">
        <f>SUMIFS('Saldos Iniciales'!$D:$D,'Saldos Iniciales'!$A:$A,"Green Harbor Trust")+SUMIFS(Movimientos!$K$1:$K$892,Movimientos!$C$1:$C$892,"Green Harbor Trust",Movimientos!$B$1:$B$892,"&lt;="&amp;$B116)</f>
        <v>345</v>
      </c>
      <c r="U116" s="24">
        <f>SUMIFS('Saldos Iniciales'!$D:$D,'Saldos Iniciales'!$A:$A,"Go Blue")+SUMIFS(Movimientos!$K$1:$K$892,Movimientos!$C$1:$C$892,"Go Blue",Movimientos!$B$1:$B$892,"&lt;="&amp;$B116)</f>
        <v>12541.790000000003</v>
      </c>
      <c r="V116" s="25">
        <f t="shared" si="27"/>
        <v>4968539.24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Group")+SUMIFS(Movimientos!$K$1:$K$892,Movimientos!$C$1:$C$892,"CFT Group",Movimientos!$B$1:$B$892,"&lt;="&amp;$B117)</f>
        <v>372210.36000000045</v>
      </c>
      <c r="D117" s="24">
        <f>SUMIFS('Saldos Iniciales'!$D:$D,'Saldos Iniciales'!$A:$A,"M1B")+SUMIFS(Movimientos!$K$1:$K$892,Movimientos!$C$1:$C$892,"M1B",Movimientos!$B$1:$B$892,"&lt;="&amp;$B117)</f>
        <v>83668.990000000165</v>
      </c>
      <c r="E117" s="24">
        <f>SUMIFS('Saldos Iniciales'!$D:$D,'Saldos Iniciales'!$A:$A,"Durand")+SUMIFS(Movimientos!$K$1:$K$892,Movimientos!$C$1:$C$892,"Durand",Movimientos!$B$1:$B$892,"&lt;="&amp;$B117)</f>
        <v>1669.89</v>
      </c>
      <c r="F117" s="24">
        <f>SUMIFS('Saldos Iniciales'!$D:$D,'Saldos Iniciales'!$A:$A,"A&amp;M Imports")+SUMIFS(Movimientos!$K$1:$K$892,Movimientos!$C$1:$C$892,"A&amp;M Imports",Movimientos!$B$1:$B$892,"&lt;="&amp;$B117)</f>
        <v>1234763.3299999998</v>
      </c>
      <c r="G117" s="24">
        <f>SUMIFS('Saldos Iniciales'!$D:$D,'Saldos Iniciales'!$A:$A,"SSP Capital")+SUMIFS(Movimientos!$K$1:$K$892,Movimientos!$C$1:$C$892,"SSP Capital",Movimientos!$B$1:$B$892,"&lt;="&amp;$B117)</f>
        <v>1743289.5899999996</v>
      </c>
      <c r="H117" s="24">
        <f>SUMIFS('Saldos Iniciales'!$D:$D,'Saldos Iniciales'!$A:$A,"Cross Family Trust")+SUMIFS(Movimientos!$K$1:$K$892,Movimientos!$C$1:$C$892,"Cross Family Trust",Movimientos!$B$1:$B$892,"&lt;="&amp;$B117)</f>
        <v>221496.38</v>
      </c>
      <c r="I117" s="24">
        <f>SUMIFS('Saldos Iniciales'!$D:$D,'Saldos Iniciales'!$A:$A,"Cross Security Trust")+SUMIFS(Movimientos!$K$1:$K$892,Movimientos!$C$1:$C$892,"Cross Security Trust",Movimientos!$B$1:$B$892,"&lt;="&amp;$B117)</f>
        <v>158071.25999999998</v>
      </c>
      <c r="J117" s="24">
        <f>SUMIFS('Saldos Iniciales'!$D:$D,'Saldos Iniciales'!$A:$A,"Electrama")+SUMIFS(Movimientos!$K$1:$K$892,Movimientos!$C$1:$C$892,"Electrama",Movimientos!$B$1:$B$892,"&lt;="&amp;$B117)</f>
        <v>13270.02</v>
      </c>
      <c r="K117" s="24">
        <f>SUMIFS('Saldos Iniciales'!$D:$D,'Saldos Iniciales'!$A:$A,"Sacred Valley Capital")+SUMIFS(Movimientos!$K$1:$K$892,Movimientos!$C$1:$C$892,"Sacred Valley Capital",Movimientos!$B$1:$B$892,"&lt;="&amp;$B117)</f>
        <v>24.450000000000003</v>
      </c>
      <c r="L117" s="24">
        <f>SUMIFS('Saldos Iniciales'!$D:$D,'Saldos Iniciales'!$A:$A,"YWC Capital")+SUMIFS(Movimientos!$K$1:$K$892,Movimientos!$C$1:$C$892,"YWC Capital",Movimientos!$B$1:$B$892,"&lt;="&amp;$B117)</f>
        <v>2177.87</v>
      </c>
      <c r="M117" s="24">
        <f>SUMIFS('Saldos Iniciales'!$D:$D,'Saldos Iniciales'!$A:$A,"Soweto")+SUMIFS(Movimientos!$K$1:$K$892,Movimientos!$C$1:$C$892,"Soweto",Movimientos!$B$1:$B$892,"&lt;="&amp;$B117)</f>
        <v>754424.72</v>
      </c>
      <c r="N117" s="24">
        <f>SUMIFS('Saldos Iniciales'!$D:$D,'Saldos Iniciales'!$A:$A,"Green Stone Trust")+SUMIFS(Movimientos!$K$1:$K$892,Movimientos!$C$1:$C$892,"Green Stone Trust",Movimientos!$B$1:$B$892,"&lt;="&amp;$B117)</f>
        <v>1968.99</v>
      </c>
      <c r="O117" s="24">
        <f>SUMIFS('Saldos Iniciales'!$D:$D,'Saldos Iniciales'!$A:$A,"EC Auto")+SUMIFS(Movimientos!$K$1:$K$892,Movimientos!$C$1:$C$892,"EC Auto",Movimientos!$B$1:$B$892,"&lt;="&amp;$B117)</f>
        <v>901.34</v>
      </c>
      <c r="P117" s="24">
        <f>SUMIFS('Saldos Iniciales'!$D:$D,'Saldos Iniciales'!$A:$A,"Arbor Capital Properties")+SUMIFS(Movimientos!$K$1:$K$892,Movimientos!$C$1:$C$892,"Arbor Capital Properties",Movimientos!$B$1:$B$892,"&lt;="&amp;$B117)</f>
        <v>1396.08</v>
      </c>
      <c r="Q117" s="24">
        <f>SUMIFS('Saldos Iniciales'!$D:$D,'Saldos Iniciales'!$A:$A,"2515 Overbrook")+SUMIFS(Movimientos!$K$1:$K$892,Movimientos!$C$1:$C$892,"2515 Overbrook",Movimientos!$B$1:$B$892,"&lt;="&amp;$B117)</f>
        <v>13685.709999999959</v>
      </c>
      <c r="R117" s="24">
        <f>SUMIFS('Saldos Iniciales'!$D:$D,'Saldos Iniciales'!$A:$A,"112 Florida Ave")+SUMIFS(Movimientos!$K$1:$K$892,Movimientos!$C$1:$C$892,"112 Florida Ave",Movimientos!$B$1:$B$892,"&lt;="&amp;$B117)</f>
        <v>8724.1700000000037</v>
      </c>
      <c r="S117" s="24">
        <f>SUMIFS('Saldos Iniciales'!$D:$D,'Saldos Iniciales'!$A:$A,"3628 Thomas Ave")+SUMIFS(Movimientos!$K$1:$K$892,Movimientos!$C$1:$C$892,"3628 Thomas Ave",Movimientos!$B$1:$B$892,"&lt;="&amp;$B117)</f>
        <v>19336.039999999997</v>
      </c>
      <c r="T117" s="24">
        <f>SUMIFS('Saldos Iniciales'!$D:$D,'Saldos Iniciales'!$A:$A,"Green Harbor Trust")+SUMIFS(Movimientos!$K$1:$K$892,Movimientos!$C$1:$C$892,"Green Harbor Trust",Movimientos!$B$1:$B$892,"&lt;="&amp;$B117)</f>
        <v>345</v>
      </c>
      <c r="U117" s="24">
        <f>SUMIFS('Saldos Iniciales'!$D:$D,'Saldos Iniciales'!$A:$A,"Go Blue")+SUMIFS(Movimientos!$K$1:$K$892,Movimientos!$C$1:$C$892,"Go Blue",Movimientos!$B$1:$B$892,"&lt;="&amp;$B117)</f>
        <v>12519.840000000004</v>
      </c>
      <c r="V117" s="25">
        <f t="shared" si="27"/>
        <v>4643944.03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Group")+SUMIFS(Movimientos!$K$1:$K$892,Movimientos!$C$1:$C$892,"CFT Group",Movimientos!$B$1:$B$892,"&lt;="&amp;$B118)</f>
        <v>526096.53000000049</v>
      </c>
      <c r="D118" s="24">
        <f>SUMIFS('Saldos Iniciales'!$D:$D,'Saldos Iniciales'!$A:$A,"M1B")+SUMIFS(Movimientos!$K$1:$K$892,Movimientos!$C$1:$C$892,"M1B",Movimientos!$B$1:$B$892,"&lt;="&amp;$B118)</f>
        <v>90643.10000000018</v>
      </c>
      <c r="E118" s="24">
        <f>SUMIFS('Saldos Iniciales'!$D:$D,'Saldos Iniciales'!$A:$A,"Durand")+SUMIFS(Movimientos!$K$1:$K$892,Movimientos!$C$1:$C$892,"Durand",Movimientos!$B$1:$B$892,"&lt;="&amp;$B118)</f>
        <v>1669.89</v>
      </c>
      <c r="F118" s="24">
        <f>SUMIFS('Saldos Iniciales'!$D:$D,'Saldos Iniciales'!$A:$A,"A&amp;M Imports")+SUMIFS(Movimientos!$K$1:$K$892,Movimientos!$C$1:$C$892,"A&amp;M Imports",Movimientos!$B$1:$B$892,"&lt;="&amp;$B118)</f>
        <v>1252108.94</v>
      </c>
      <c r="G118" s="24">
        <f>SUMIFS('Saldos Iniciales'!$D:$D,'Saldos Iniciales'!$A:$A,"SSP Capital")+SUMIFS(Movimientos!$K$1:$K$892,Movimientos!$C$1:$C$892,"SSP Capital",Movimientos!$B$1:$B$892,"&lt;="&amp;$B118)</f>
        <v>1743289.5899999996</v>
      </c>
      <c r="H118" s="24">
        <f>SUMIFS('Saldos Iniciales'!$D:$D,'Saldos Iniciales'!$A:$A,"Cross Family Trust")+SUMIFS(Movimientos!$K$1:$K$892,Movimientos!$C$1:$C$892,"Cross Family Trust",Movimientos!$B$1:$B$892,"&lt;="&amp;$B118)</f>
        <v>221496.38</v>
      </c>
      <c r="I118" s="24">
        <f>SUMIFS('Saldos Iniciales'!$D:$D,'Saldos Iniciales'!$A:$A,"Cross Security Trust")+SUMIFS(Movimientos!$K$1:$K$892,Movimientos!$C$1:$C$892,"Cross Security Trust",Movimientos!$B$1:$B$892,"&lt;="&amp;$B118)</f>
        <v>158071.25999999998</v>
      </c>
      <c r="J118" s="24">
        <f>SUMIFS('Saldos Iniciales'!$D:$D,'Saldos Iniciales'!$A:$A,"Electrama")+SUMIFS(Movimientos!$K$1:$K$892,Movimientos!$C$1:$C$892,"Electrama",Movimientos!$B$1:$B$892,"&lt;="&amp;$B118)</f>
        <v>13270.02</v>
      </c>
      <c r="K118" s="24">
        <f>SUMIFS('Saldos Iniciales'!$D:$D,'Saldos Iniciales'!$A:$A,"Sacred Valley Capital")+SUMIFS(Movimientos!$K$1:$K$892,Movimientos!$C$1:$C$892,"Sacred Valley Capital",Movimientos!$B$1:$B$892,"&lt;="&amp;$B118)</f>
        <v>24.450000000000003</v>
      </c>
      <c r="L118" s="24">
        <f>SUMIFS('Saldos Iniciales'!$D:$D,'Saldos Iniciales'!$A:$A,"YWC Capital")+SUMIFS(Movimientos!$K$1:$K$892,Movimientos!$C$1:$C$892,"YWC Capital",Movimientos!$B$1:$B$892,"&lt;="&amp;$B118)</f>
        <v>2177.87</v>
      </c>
      <c r="M118" s="24">
        <f>SUMIFS('Saldos Iniciales'!$D:$D,'Saldos Iniciales'!$A:$A,"Soweto")+SUMIFS(Movimientos!$K$1:$K$892,Movimientos!$C$1:$C$892,"Soweto",Movimientos!$B$1:$B$892,"&lt;="&amp;$B118)</f>
        <v>754424.72</v>
      </c>
      <c r="N118" s="24">
        <f>SUMIFS('Saldos Iniciales'!$D:$D,'Saldos Iniciales'!$A:$A,"Green Stone Trust")+SUMIFS(Movimientos!$K$1:$K$892,Movimientos!$C$1:$C$892,"Green Stone Trust",Movimientos!$B$1:$B$892,"&lt;="&amp;$B118)</f>
        <v>1968.99</v>
      </c>
      <c r="O118" s="24">
        <f>SUMIFS('Saldos Iniciales'!$D:$D,'Saldos Iniciales'!$A:$A,"EC Auto")+SUMIFS(Movimientos!$K$1:$K$892,Movimientos!$C$1:$C$892,"EC Auto",Movimientos!$B$1:$B$892,"&lt;="&amp;$B118)</f>
        <v>901.34</v>
      </c>
      <c r="P118" s="24">
        <f>SUMIFS('Saldos Iniciales'!$D:$D,'Saldos Iniciales'!$A:$A,"Arbor Capital Properties")+SUMIFS(Movimientos!$K$1:$K$892,Movimientos!$C$1:$C$892,"Arbor Capital Properties",Movimientos!$B$1:$B$892,"&lt;="&amp;$B118)</f>
        <v>1396.08</v>
      </c>
      <c r="Q118" s="24">
        <f>SUMIFS('Saldos Iniciales'!$D:$D,'Saldos Iniciales'!$A:$A,"2515 Overbrook")+SUMIFS(Movimientos!$K$1:$K$892,Movimientos!$C$1:$C$892,"2515 Overbrook",Movimientos!$B$1:$B$892,"&lt;="&amp;$B118)</f>
        <v>13685.709999999959</v>
      </c>
      <c r="R118" s="24">
        <f>SUMIFS('Saldos Iniciales'!$D:$D,'Saldos Iniciales'!$A:$A,"112 Florida Ave")+SUMIFS(Movimientos!$K$1:$K$892,Movimientos!$C$1:$C$892,"112 Florida Ave",Movimientos!$B$1:$B$892,"&lt;="&amp;$B118)</f>
        <v>8724.1700000000037</v>
      </c>
      <c r="S118" s="24">
        <f>SUMIFS('Saldos Iniciales'!$D:$D,'Saldos Iniciales'!$A:$A,"3628 Thomas Ave")+SUMIFS(Movimientos!$K$1:$K$892,Movimientos!$C$1:$C$892,"3628 Thomas Ave",Movimientos!$B$1:$B$892,"&lt;="&amp;$B118)</f>
        <v>19336.039999999997</v>
      </c>
      <c r="T118" s="24">
        <f>SUMIFS('Saldos Iniciales'!$D:$D,'Saldos Iniciales'!$A:$A,"Green Harbor Trust")+SUMIFS(Movimientos!$K$1:$K$892,Movimientos!$C$1:$C$892,"Green Harbor Trust",Movimientos!$B$1:$B$892,"&lt;="&amp;$B118)</f>
        <v>345</v>
      </c>
      <c r="U118" s="24">
        <f>SUMIFS('Saldos Iniciales'!$D:$D,'Saldos Iniciales'!$A:$A,"Go Blue")+SUMIFS(Movimientos!$K$1:$K$892,Movimientos!$C$1:$C$892,"Go Blue",Movimientos!$B$1:$B$892,"&lt;="&amp;$B118)</f>
        <v>12519.840000000004</v>
      </c>
      <c r="V118" s="25">
        <f t="shared" si="27"/>
        <v>4822149.92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Group")+SUMIFS(Movimientos!$K$1:$K$892,Movimientos!$C$1:$C$892,"CFT Group",Movimientos!$B$1:$B$892,"&lt;="&amp;$B119)</f>
        <v>526096.53000000049</v>
      </c>
      <c r="D119" s="24">
        <f>SUMIFS('Saldos Iniciales'!$D:$D,'Saldos Iniciales'!$A:$A,"M1B")+SUMIFS(Movimientos!$K$1:$K$892,Movimientos!$C$1:$C$892,"M1B",Movimientos!$B$1:$B$892,"&lt;="&amp;$B119)</f>
        <v>90643.10000000018</v>
      </c>
      <c r="E119" s="24">
        <f>SUMIFS('Saldos Iniciales'!$D:$D,'Saldos Iniciales'!$A:$A,"Durand")+SUMIFS(Movimientos!$K$1:$K$892,Movimientos!$C$1:$C$892,"Durand",Movimientos!$B$1:$B$892,"&lt;="&amp;$B119)</f>
        <v>1669.89</v>
      </c>
      <c r="F119" s="24">
        <f>SUMIFS('Saldos Iniciales'!$D:$D,'Saldos Iniciales'!$A:$A,"A&amp;M Imports")+SUMIFS(Movimientos!$K$1:$K$892,Movimientos!$C$1:$C$892,"A&amp;M Imports",Movimientos!$B$1:$B$892,"&lt;="&amp;$B119)</f>
        <v>1269654.47</v>
      </c>
      <c r="G119" s="24">
        <f>SUMIFS('Saldos Iniciales'!$D:$D,'Saldos Iniciales'!$A:$A,"SSP Capital")+SUMIFS(Movimientos!$K$1:$K$892,Movimientos!$C$1:$C$892,"SSP Capital",Movimientos!$B$1:$B$892,"&lt;="&amp;$B119)</f>
        <v>1743289.5899999996</v>
      </c>
      <c r="H119" s="24">
        <f>SUMIFS('Saldos Iniciales'!$D:$D,'Saldos Iniciales'!$A:$A,"Cross Family Trust")+SUMIFS(Movimientos!$K$1:$K$892,Movimientos!$C$1:$C$892,"Cross Family Trust",Movimientos!$B$1:$B$892,"&lt;="&amp;$B119)</f>
        <v>221496.38</v>
      </c>
      <c r="I119" s="24">
        <f>SUMIFS('Saldos Iniciales'!$D:$D,'Saldos Iniciales'!$A:$A,"Cross Security Trust")+SUMIFS(Movimientos!$K$1:$K$892,Movimientos!$C$1:$C$892,"Cross Security Trust",Movimientos!$B$1:$B$892,"&lt;="&amp;$B119)</f>
        <v>158071.25999999998</v>
      </c>
      <c r="J119" s="24">
        <f>SUMIFS('Saldos Iniciales'!$D:$D,'Saldos Iniciales'!$A:$A,"Electrama")+SUMIFS(Movimientos!$K$1:$K$892,Movimientos!$C$1:$C$892,"Electrama",Movimientos!$B$1:$B$892,"&lt;="&amp;$B119)</f>
        <v>13270.02</v>
      </c>
      <c r="K119" s="24">
        <f>SUMIFS('Saldos Iniciales'!$D:$D,'Saldos Iniciales'!$A:$A,"Sacred Valley Capital")+SUMIFS(Movimientos!$K$1:$K$892,Movimientos!$C$1:$C$892,"Sacred Valley Capital",Movimientos!$B$1:$B$892,"&lt;="&amp;$B119)</f>
        <v>24.450000000000003</v>
      </c>
      <c r="L119" s="24">
        <f>SUMIFS('Saldos Iniciales'!$D:$D,'Saldos Iniciales'!$A:$A,"YWC Capital")+SUMIFS(Movimientos!$K$1:$K$892,Movimientos!$C$1:$C$892,"YWC Capital",Movimientos!$B$1:$B$892,"&lt;="&amp;$B119)</f>
        <v>2177.87</v>
      </c>
      <c r="M119" s="24">
        <f>SUMIFS('Saldos Iniciales'!$D:$D,'Saldos Iniciales'!$A:$A,"Soweto")+SUMIFS(Movimientos!$K$1:$K$892,Movimientos!$C$1:$C$892,"Soweto",Movimientos!$B$1:$B$892,"&lt;="&amp;$B119)</f>
        <v>754424.72</v>
      </c>
      <c r="N119" s="24">
        <f>SUMIFS('Saldos Iniciales'!$D:$D,'Saldos Iniciales'!$A:$A,"Green Stone Trust")+SUMIFS(Movimientos!$K$1:$K$892,Movimientos!$C$1:$C$892,"Green Stone Trust",Movimientos!$B$1:$B$892,"&lt;="&amp;$B119)</f>
        <v>1968.99</v>
      </c>
      <c r="O119" s="24">
        <f>SUMIFS('Saldos Iniciales'!$D:$D,'Saldos Iniciales'!$A:$A,"EC Auto")+SUMIFS(Movimientos!$K$1:$K$892,Movimientos!$C$1:$C$892,"EC Auto",Movimientos!$B$1:$B$892,"&lt;="&amp;$B119)</f>
        <v>901.34</v>
      </c>
      <c r="P119" s="24">
        <f>SUMIFS('Saldos Iniciales'!$D:$D,'Saldos Iniciales'!$A:$A,"Arbor Capital Properties")+SUMIFS(Movimientos!$K$1:$K$892,Movimientos!$C$1:$C$892,"Arbor Capital Properties",Movimientos!$B$1:$B$892,"&lt;="&amp;$B119)</f>
        <v>1396.08</v>
      </c>
      <c r="Q119" s="24">
        <f>SUMIFS('Saldos Iniciales'!$D:$D,'Saldos Iniciales'!$A:$A,"2515 Overbrook")+SUMIFS(Movimientos!$K$1:$K$892,Movimientos!$C$1:$C$892,"2515 Overbrook",Movimientos!$B$1:$B$892,"&lt;="&amp;$B119)</f>
        <v>13685.709999999959</v>
      </c>
      <c r="R119" s="24">
        <f>SUMIFS('Saldos Iniciales'!$D:$D,'Saldos Iniciales'!$A:$A,"112 Florida Ave")+SUMIFS(Movimientos!$K$1:$K$892,Movimientos!$C$1:$C$892,"112 Florida Ave",Movimientos!$B$1:$B$892,"&lt;="&amp;$B119)</f>
        <v>8724.1700000000037</v>
      </c>
      <c r="S119" s="24">
        <f>SUMIFS('Saldos Iniciales'!$D:$D,'Saldos Iniciales'!$A:$A,"3628 Thomas Ave")+SUMIFS(Movimientos!$K$1:$K$892,Movimientos!$C$1:$C$892,"3628 Thomas Ave",Movimientos!$B$1:$B$892,"&lt;="&amp;$B119)</f>
        <v>19336.039999999997</v>
      </c>
      <c r="T119" s="24">
        <f>SUMIFS('Saldos Iniciales'!$D:$D,'Saldos Iniciales'!$A:$A,"Green Harbor Trust")+SUMIFS(Movimientos!$K$1:$K$892,Movimientos!$C$1:$C$892,"Green Harbor Trust",Movimientos!$B$1:$B$892,"&lt;="&amp;$B119)</f>
        <v>345</v>
      </c>
      <c r="U119" s="24">
        <f>SUMIFS('Saldos Iniciales'!$D:$D,'Saldos Iniciales'!$A:$A,"Go Blue")+SUMIFS(Movimientos!$K$1:$K$892,Movimientos!$C$1:$C$892,"Go Blue",Movimientos!$B$1:$B$892,"&lt;="&amp;$B119)</f>
        <v>12519.840000000004</v>
      </c>
      <c r="V119" s="25">
        <f t="shared" si="27"/>
        <v>4839695.45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Group")+SUMIFS(Movimientos!$K$1:$K$892,Movimientos!$C$1:$C$892,"CFT Group",Movimientos!$B$1:$B$892,"&lt;="&amp;$B120)</f>
        <v>578093.59000000043</v>
      </c>
      <c r="D120" s="24">
        <f>SUMIFS('Saldos Iniciales'!$D:$D,'Saldos Iniciales'!$A:$A,"M1B")+SUMIFS(Movimientos!$K$1:$K$892,Movimientos!$C$1:$C$892,"M1B",Movimientos!$B$1:$B$892,"&lt;="&amp;$B120)</f>
        <v>90643.10000000018</v>
      </c>
      <c r="E120" s="24">
        <f>SUMIFS('Saldos Iniciales'!$D:$D,'Saldos Iniciales'!$A:$A,"Durand")+SUMIFS(Movimientos!$K$1:$K$892,Movimientos!$C$1:$C$892,"Durand",Movimientos!$B$1:$B$892,"&lt;="&amp;$B120)</f>
        <v>1669.89</v>
      </c>
      <c r="F120" s="24">
        <f>SUMIFS('Saldos Iniciales'!$D:$D,'Saldos Iniciales'!$A:$A,"A&amp;M Imports")+SUMIFS(Movimientos!$K$1:$K$892,Movimientos!$C$1:$C$892,"A&amp;M Imports",Movimientos!$B$1:$B$892,"&lt;="&amp;$B120)</f>
        <v>1394654.47</v>
      </c>
      <c r="G120" s="24">
        <f>SUMIFS('Saldos Iniciales'!$D:$D,'Saldos Iniciales'!$A:$A,"SSP Capital")+SUMIFS(Movimientos!$K$1:$K$892,Movimientos!$C$1:$C$892,"SSP Capital",Movimientos!$B$1:$B$892,"&lt;="&amp;$B120)</f>
        <v>1719364.7199999997</v>
      </c>
      <c r="H120" s="24">
        <f>SUMIFS('Saldos Iniciales'!$D:$D,'Saldos Iniciales'!$A:$A,"Cross Family Trust")+SUMIFS(Movimientos!$K$1:$K$892,Movimientos!$C$1:$C$892,"Cross Family Trust",Movimientos!$B$1:$B$892,"&lt;="&amp;$B120)</f>
        <v>221496.38</v>
      </c>
      <c r="I120" s="24">
        <f>SUMIFS('Saldos Iniciales'!$D:$D,'Saldos Iniciales'!$A:$A,"Cross Security Trust")+SUMIFS(Movimientos!$K$1:$K$892,Movimientos!$C$1:$C$892,"Cross Security Trust",Movimientos!$B$1:$B$892,"&lt;="&amp;$B120)</f>
        <v>158071.25999999998</v>
      </c>
      <c r="J120" s="24">
        <f>SUMIFS('Saldos Iniciales'!$D:$D,'Saldos Iniciales'!$A:$A,"Electrama")+SUMIFS(Movimientos!$K$1:$K$892,Movimientos!$C$1:$C$892,"Electrama",Movimientos!$B$1:$B$892,"&lt;="&amp;$B120)</f>
        <v>13270.02</v>
      </c>
      <c r="K120" s="24">
        <f>SUMIFS('Saldos Iniciales'!$D:$D,'Saldos Iniciales'!$A:$A,"Sacred Valley Capital")+SUMIFS(Movimientos!$K$1:$K$892,Movimientos!$C$1:$C$892,"Sacred Valley Capital",Movimientos!$B$1:$B$892,"&lt;="&amp;$B120)</f>
        <v>124.45</v>
      </c>
      <c r="L120" s="24">
        <f>SUMIFS('Saldos Iniciales'!$D:$D,'Saldos Iniciales'!$A:$A,"YWC Capital")+SUMIFS(Movimientos!$K$1:$K$892,Movimientos!$C$1:$C$892,"YWC Capital",Movimientos!$B$1:$B$892,"&lt;="&amp;$B120)</f>
        <v>2177.87</v>
      </c>
      <c r="M120" s="24">
        <f>SUMIFS('Saldos Iniciales'!$D:$D,'Saldos Iniciales'!$A:$A,"Soweto")+SUMIFS(Movimientos!$K$1:$K$892,Movimientos!$C$1:$C$892,"Soweto",Movimientos!$B$1:$B$892,"&lt;="&amp;$B120)</f>
        <v>754424.72</v>
      </c>
      <c r="N120" s="24">
        <f>SUMIFS('Saldos Iniciales'!$D:$D,'Saldos Iniciales'!$A:$A,"Green Stone Trust")+SUMIFS(Movimientos!$K$1:$K$892,Movimientos!$C$1:$C$892,"Green Stone Trust",Movimientos!$B$1:$B$892,"&lt;="&amp;$B120)</f>
        <v>1968.99</v>
      </c>
      <c r="O120" s="24">
        <f>SUMIFS('Saldos Iniciales'!$D:$D,'Saldos Iniciales'!$A:$A,"EC Auto")+SUMIFS(Movimientos!$K$1:$K$892,Movimientos!$C$1:$C$892,"EC Auto",Movimientos!$B$1:$B$892,"&lt;="&amp;$B120)</f>
        <v>901.34</v>
      </c>
      <c r="P120" s="24">
        <f>SUMIFS('Saldos Iniciales'!$D:$D,'Saldos Iniciales'!$A:$A,"Arbor Capital Properties")+SUMIFS(Movimientos!$K$1:$K$892,Movimientos!$C$1:$C$892,"Arbor Capital Properties",Movimientos!$B$1:$B$892,"&lt;="&amp;$B120)</f>
        <v>1396.08</v>
      </c>
      <c r="Q120" s="24">
        <f>SUMIFS('Saldos Iniciales'!$D:$D,'Saldos Iniciales'!$A:$A,"2515 Overbrook")+SUMIFS(Movimientos!$K$1:$K$892,Movimientos!$C$1:$C$892,"2515 Overbrook",Movimientos!$B$1:$B$892,"&lt;="&amp;$B120)</f>
        <v>33685.709999999963</v>
      </c>
      <c r="R120" s="24">
        <f>SUMIFS('Saldos Iniciales'!$D:$D,'Saldos Iniciales'!$A:$A,"112 Florida Ave")+SUMIFS(Movimientos!$K$1:$K$892,Movimientos!$C$1:$C$892,"112 Florida Ave",Movimientos!$B$1:$B$892,"&lt;="&amp;$B120)</f>
        <v>29724.170000000006</v>
      </c>
      <c r="S120" s="24">
        <f>SUMIFS('Saldos Iniciales'!$D:$D,'Saldos Iniciales'!$A:$A,"3628 Thomas Ave")+SUMIFS(Movimientos!$K$1:$K$892,Movimientos!$C$1:$C$892,"3628 Thomas Ave",Movimientos!$B$1:$B$892,"&lt;="&amp;$B120)</f>
        <v>19336.039999999997</v>
      </c>
      <c r="T120" s="24">
        <f>SUMIFS('Saldos Iniciales'!$D:$D,'Saldos Iniciales'!$A:$A,"Green Harbor Trust")+SUMIFS(Movimientos!$K$1:$K$892,Movimientos!$C$1:$C$892,"Green Harbor Trust",Movimientos!$B$1:$B$892,"&lt;="&amp;$B120)</f>
        <v>345</v>
      </c>
      <c r="U120" s="24">
        <f>SUMIFS('Saldos Iniciales'!$D:$D,'Saldos Iniciales'!$A:$A,"Go Blue")+SUMIFS(Movimientos!$K$1:$K$892,Movimientos!$C$1:$C$892,"Go Blue",Movimientos!$B$1:$B$892,"&lt;="&amp;$B120)</f>
        <v>9608.7000000000025</v>
      </c>
      <c r="V120" s="25">
        <f t="shared" si="27"/>
        <v>5030956.5000000009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Group")+SUMIFS(Movimientos!$K$1:$K$892,Movimientos!$C$1:$C$892,"CFT Group",Movimientos!$B$1:$B$892,"&lt;="&amp;$B121)</f>
        <v>743430.83000000054</v>
      </c>
      <c r="D121" s="24">
        <f>SUMIFS('Saldos Iniciales'!$D:$D,'Saldos Iniciales'!$A:$A,"M1B")+SUMIFS(Movimientos!$K$1:$K$892,Movimientos!$C$1:$C$892,"M1B",Movimientos!$B$1:$B$892,"&lt;="&amp;$B121)</f>
        <v>93280.230000000171</v>
      </c>
      <c r="E121" s="24">
        <f>SUMIFS('Saldos Iniciales'!$D:$D,'Saldos Iniciales'!$A:$A,"Durand")+SUMIFS(Movimientos!$K$1:$K$892,Movimientos!$C$1:$C$892,"Durand",Movimientos!$B$1:$B$892,"&lt;="&amp;$B121)</f>
        <v>1669.89</v>
      </c>
      <c r="F121" s="24">
        <f>SUMIFS('Saldos Iniciales'!$D:$D,'Saldos Iniciales'!$A:$A,"A&amp;M Imports")+SUMIFS(Movimientos!$K$1:$K$892,Movimientos!$C$1:$C$892,"A&amp;M Imports",Movimientos!$B$1:$B$892,"&lt;="&amp;$B121)</f>
        <v>1418445.91</v>
      </c>
      <c r="G121" s="24">
        <f>SUMIFS('Saldos Iniciales'!$D:$D,'Saldos Iniciales'!$A:$A,"SSP Capital")+SUMIFS(Movimientos!$K$1:$K$892,Movimientos!$C$1:$C$892,"SSP Capital",Movimientos!$B$1:$B$892,"&lt;="&amp;$B121)</f>
        <v>1553167.1899999995</v>
      </c>
      <c r="H121" s="24">
        <f>SUMIFS('Saldos Iniciales'!$D:$D,'Saldos Iniciales'!$A:$A,"Cross Family Trust")+SUMIFS(Movimientos!$K$1:$K$892,Movimientos!$C$1:$C$892,"Cross Family Trust",Movimientos!$B$1:$B$892,"&lt;="&amp;$B121)</f>
        <v>221496.38</v>
      </c>
      <c r="I121" s="24">
        <f>SUMIFS('Saldos Iniciales'!$D:$D,'Saldos Iniciales'!$A:$A,"Cross Security Trust")+SUMIFS(Movimientos!$K$1:$K$892,Movimientos!$C$1:$C$892,"Cross Security Trust",Movimientos!$B$1:$B$892,"&lt;="&amp;$B121)</f>
        <v>98169.25999999998</v>
      </c>
      <c r="J121" s="24">
        <f>SUMIFS('Saldos Iniciales'!$D:$D,'Saldos Iniciales'!$A:$A,"Electrama")+SUMIFS(Movimientos!$K$1:$K$892,Movimientos!$C$1:$C$892,"Electrama",Movimientos!$B$1:$B$892,"&lt;="&amp;$B121)</f>
        <v>13270.02</v>
      </c>
      <c r="K121" s="24">
        <f>SUMIFS('Saldos Iniciales'!$D:$D,'Saldos Iniciales'!$A:$A,"Sacred Valley Capital")+SUMIFS(Movimientos!$K$1:$K$892,Movimientos!$C$1:$C$892,"Sacred Valley Capital",Movimientos!$B$1:$B$892,"&lt;="&amp;$B121)</f>
        <v>124.45</v>
      </c>
      <c r="L121" s="24">
        <f>SUMIFS('Saldos Iniciales'!$D:$D,'Saldos Iniciales'!$A:$A,"YWC Capital")+SUMIFS(Movimientos!$K$1:$K$892,Movimientos!$C$1:$C$892,"YWC Capital",Movimientos!$B$1:$B$892,"&lt;="&amp;$B121)</f>
        <v>2177.87</v>
      </c>
      <c r="M121" s="24">
        <f>SUMIFS('Saldos Iniciales'!$D:$D,'Saldos Iniciales'!$A:$A,"Soweto")+SUMIFS(Movimientos!$K$1:$K$892,Movimientos!$C$1:$C$892,"Soweto",Movimientos!$B$1:$B$892,"&lt;="&amp;$B121)</f>
        <v>754424.72</v>
      </c>
      <c r="N121" s="24">
        <f>SUMIFS('Saldos Iniciales'!$D:$D,'Saldos Iniciales'!$A:$A,"Green Stone Trust")+SUMIFS(Movimientos!$K$1:$K$892,Movimientos!$C$1:$C$892,"Green Stone Trust",Movimientos!$B$1:$B$892,"&lt;="&amp;$B121)</f>
        <v>1968.99</v>
      </c>
      <c r="O121" s="24">
        <f>SUMIFS('Saldos Iniciales'!$D:$D,'Saldos Iniciales'!$A:$A,"EC Auto")+SUMIFS(Movimientos!$K$1:$K$892,Movimientos!$C$1:$C$892,"EC Auto",Movimientos!$B$1:$B$892,"&lt;="&amp;$B121)</f>
        <v>901.34</v>
      </c>
      <c r="P121" s="24">
        <f>SUMIFS('Saldos Iniciales'!$D:$D,'Saldos Iniciales'!$A:$A,"Arbor Capital Properties")+SUMIFS(Movimientos!$K$1:$K$892,Movimientos!$C$1:$C$892,"Arbor Capital Properties",Movimientos!$B$1:$B$892,"&lt;="&amp;$B121)</f>
        <v>1396.08</v>
      </c>
      <c r="Q121" s="24">
        <f>SUMIFS('Saldos Iniciales'!$D:$D,'Saldos Iniciales'!$A:$A,"2515 Overbrook")+SUMIFS(Movimientos!$K$1:$K$892,Movimientos!$C$1:$C$892,"2515 Overbrook",Movimientos!$B$1:$B$892,"&lt;="&amp;$B121)</f>
        <v>33670.709999999963</v>
      </c>
      <c r="R121" s="24">
        <f>SUMIFS('Saldos Iniciales'!$D:$D,'Saldos Iniciales'!$A:$A,"112 Florida Ave")+SUMIFS(Movimientos!$K$1:$K$892,Movimientos!$C$1:$C$892,"112 Florida Ave",Movimientos!$B$1:$B$892,"&lt;="&amp;$B121)</f>
        <v>29709.170000000006</v>
      </c>
      <c r="S121" s="24">
        <f>SUMIFS('Saldos Iniciales'!$D:$D,'Saldos Iniciales'!$A:$A,"3628 Thomas Ave")+SUMIFS(Movimientos!$K$1:$K$892,Movimientos!$C$1:$C$892,"3628 Thomas Ave",Movimientos!$B$1:$B$892,"&lt;="&amp;$B121)</f>
        <v>19336.039999999997</v>
      </c>
      <c r="T121" s="24">
        <f>SUMIFS('Saldos Iniciales'!$D:$D,'Saldos Iniciales'!$A:$A,"Green Harbor Trust")+SUMIFS(Movimientos!$K$1:$K$892,Movimientos!$C$1:$C$892,"Green Harbor Trust",Movimientos!$B$1:$B$892,"&lt;="&amp;$B121)</f>
        <v>345</v>
      </c>
      <c r="U121" s="24">
        <f>SUMIFS('Saldos Iniciales'!$D:$D,'Saldos Iniciales'!$A:$A,"Go Blue")+SUMIFS(Movimientos!$K$1:$K$892,Movimientos!$C$1:$C$892,"Go Blue",Movimientos!$B$1:$B$892,"&lt;="&amp;$B121)</f>
        <v>9560.0000000000018</v>
      </c>
      <c r="V121" s="25">
        <f t="shared" si="27"/>
        <v>4996544.08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Group")+SUMIFS(Movimientos!$K$1:$K$892,Movimientos!$C$1:$C$892,"CFT Group",Movimientos!$B$1:$B$892,"&lt;="&amp;$B122)</f>
        <v>743430.83000000054</v>
      </c>
      <c r="D122" s="24">
        <f>SUMIFS('Saldos Iniciales'!$D:$D,'Saldos Iniciales'!$A:$A,"M1B")+SUMIFS(Movimientos!$K$1:$K$892,Movimientos!$C$1:$C$892,"M1B",Movimientos!$B$1:$B$892,"&lt;="&amp;$B122)</f>
        <v>93280.230000000171</v>
      </c>
      <c r="E122" s="24">
        <f>SUMIFS('Saldos Iniciales'!$D:$D,'Saldos Iniciales'!$A:$A,"Durand")+SUMIFS(Movimientos!$K$1:$K$892,Movimientos!$C$1:$C$892,"Durand",Movimientos!$B$1:$B$892,"&lt;="&amp;$B122)</f>
        <v>1669.89</v>
      </c>
      <c r="F122" s="24">
        <f>SUMIFS('Saldos Iniciales'!$D:$D,'Saldos Iniciales'!$A:$A,"A&amp;M Imports")+SUMIFS(Movimientos!$K$1:$K$892,Movimientos!$C$1:$C$892,"A&amp;M Imports",Movimientos!$B$1:$B$892,"&lt;="&amp;$B122)</f>
        <v>1418445.91</v>
      </c>
      <c r="G122" s="24">
        <f>SUMIFS('Saldos Iniciales'!$D:$D,'Saldos Iniciales'!$A:$A,"SSP Capital")+SUMIFS(Movimientos!$K$1:$K$892,Movimientos!$C$1:$C$892,"SSP Capital",Movimientos!$B$1:$B$892,"&lt;="&amp;$B122)</f>
        <v>1553167.1899999995</v>
      </c>
      <c r="H122" s="24">
        <f>SUMIFS('Saldos Iniciales'!$D:$D,'Saldos Iniciales'!$A:$A,"Cross Family Trust")+SUMIFS(Movimientos!$K$1:$K$892,Movimientos!$C$1:$C$892,"Cross Family Trust",Movimientos!$B$1:$B$892,"&lt;="&amp;$B122)</f>
        <v>221496.38</v>
      </c>
      <c r="I122" s="24">
        <f>SUMIFS('Saldos Iniciales'!$D:$D,'Saldos Iniciales'!$A:$A,"Cross Security Trust")+SUMIFS(Movimientos!$K$1:$K$892,Movimientos!$C$1:$C$892,"Cross Security Trust",Movimientos!$B$1:$B$892,"&lt;="&amp;$B122)</f>
        <v>98169.25999999998</v>
      </c>
      <c r="J122" s="24">
        <f>SUMIFS('Saldos Iniciales'!$D:$D,'Saldos Iniciales'!$A:$A,"Electrama")+SUMIFS(Movimientos!$K$1:$K$892,Movimientos!$C$1:$C$892,"Electrama",Movimientos!$B$1:$B$892,"&lt;="&amp;$B122)</f>
        <v>13270.02</v>
      </c>
      <c r="K122" s="24">
        <f>SUMIFS('Saldos Iniciales'!$D:$D,'Saldos Iniciales'!$A:$A,"Sacred Valley Capital")+SUMIFS(Movimientos!$K$1:$K$892,Movimientos!$C$1:$C$892,"Sacred Valley Capital",Movimientos!$B$1:$B$892,"&lt;="&amp;$B122)</f>
        <v>124.45</v>
      </c>
      <c r="L122" s="24">
        <f>SUMIFS('Saldos Iniciales'!$D:$D,'Saldos Iniciales'!$A:$A,"YWC Capital")+SUMIFS(Movimientos!$K$1:$K$892,Movimientos!$C$1:$C$892,"YWC Capital",Movimientos!$B$1:$B$892,"&lt;="&amp;$B122)</f>
        <v>2177.87</v>
      </c>
      <c r="M122" s="24">
        <f>SUMIFS('Saldos Iniciales'!$D:$D,'Saldos Iniciales'!$A:$A,"Soweto")+SUMIFS(Movimientos!$K$1:$K$892,Movimientos!$C$1:$C$892,"Soweto",Movimientos!$B$1:$B$892,"&lt;="&amp;$B122)</f>
        <v>754424.72</v>
      </c>
      <c r="N122" s="24">
        <f>SUMIFS('Saldos Iniciales'!$D:$D,'Saldos Iniciales'!$A:$A,"Green Stone Trust")+SUMIFS(Movimientos!$K$1:$K$892,Movimientos!$C$1:$C$892,"Green Stone Trust",Movimientos!$B$1:$B$892,"&lt;="&amp;$B122)</f>
        <v>1968.99</v>
      </c>
      <c r="O122" s="24">
        <f>SUMIFS('Saldos Iniciales'!$D:$D,'Saldos Iniciales'!$A:$A,"EC Auto")+SUMIFS(Movimientos!$K$1:$K$892,Movimientos!$C$1:$C$892,"EC Auto",Movimientos!$B$1:$B$892,"&lt;="&amp;$B122)</f>
        <v>901.34</v>
      </c>
      <c r="P122" s="24">
        <f>SUMIFS('Saldos Iniciales'!$D:$D,'Saldos Iniciales'!$A:$A,"Arbor Capital Properties")+SUMIFS(Movimientos!$K$1:$K$892,Movimientos!$C$1:$C$892,"Arbor Capital Properties",Movimientos!$B$1:$B$892,"&lt;="&amp;$B122)</f>
        <v>1396.08</v>
      </c>
      <c r="Q122" s="24">
        <f>SUMIFS('Saldos Iniciales'!$D:$D,'Saldos Iniciales'!$A:$A,"2515 Overbrook")+SUMIFS(Movimientos!$K$1:$K$892,Movimientos!$C$1:$C$892,"2515 Overbrook",Movimientos!$B$1:$B$892,"&lt;="&amp;$B122)</f>
        <v>33670.709999999963</v>
      </c>
      <c r="R122" s="24">
        <f>SUMIFS('Saldos Iniciales'!$D:$D,'Saldos Iniciales'!$A:$A,"112 Florida Ave")+SUMIFS(Movimientos!$K$1:$K$892,Movimientos!$C$1:$C$892,"112 Florida Ave",Movimientos!$B$1:$B$892,"&lt;="&amp;$B122)</f>
        <v>29709.170000000006</v>
      </c>
      <c r="S122" s="24">
        <f>SUMIFS('Saldos Iniciales'!$D:$D,'Saldos Iniciales'!$A:$A,"3628 Thomas Ave")+SUMIFS(Movimientos!$K$1:$K$892,Movimientos!$C$1:$C$892,"3628 Thomas Ave",Movimientos!$B$1:$B$892,"&lt;="&amp;$B122)</f>
        <v>19336.039999999997</v>
      </c>
      <c r="T122" s="24">
        <f>SUMIFS('Saldos Iniciales'!$D:$D,'Saldos Iniciales'!$A:$A,"Green Harbor Trust")+SUMIFS(Movimientos!$K$1:$K$892,Movimientos!$C$1:$C$892,"Green Harbor Trust",Movimientos!$B$1:$B$892,"&lt;="&amp;$B122)</f>
        <v>345</v>
      </c>
      <c r="U122" s="24">
        <f>SUMIFS('Saldos Iniciales'!$D:$D,'Saldos Iniciales'!$A:$A,"Go Blue")+SUMIFS(Movimientos!$K$1:$K$892,Movimientos!$C$1:$C$892,"Go Blue",Movimientos!$B$1:$B$892,"&lt;="&amp;$B122)</f>
        <v>9560.0000000000018</v>
      </c>
      <c r="V122" s="25">
        <f t="shared" ref="V122:V123" si="28">SUM(C122:U122)</f>
        <v>4996544.08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Group")+SUMIFS(Movimientos!$K$1:$K$892,Movimientos!$C$1:$C$892,"CFT Group",Movimientos!$B$1:$B$892,"&lt;="&amp;$B123)</f>
        <v>743430.83000000054</v>
      </c>
      <c r="D123" s="24">
        <f>SUMIFS('Saldos Iniciales'!$D:$D,'Saldos Iniciales'!$A:$A,"M1B")+SUMIFS(Movimientos!$K$1:$K$892,Movimientos!$C$1:$C$892,"M1B",Movimientos!$B$1:$B$892,"&lt;="&amp;$B123)</f>
        <v>93280.230000000171</v>
      </c>
      <c r="E123" s="24">
        <f>SUMIFS('Saldos Iniciales'!$D:$D,'Saldos Iniciales'!$A:$A,"Durand")+SUMIFS(Movimientos!$K$1:$K$892,Movimientos!$C$1:$C$892,"Durand",Movimientos!$B$1:$B$892,"&lt;="&amp;$B123)</f>
        <v>1669.89</v>
      </c>
      <c r="F123" s="24">
        <f>SUMIFS('Saldos Iniciales'!$D:$D,'Saldos Iniciales'!$A:$A,"A&amp;M Imports")+SUMIFS(Movimientos!$K$1:$K$892,Movimientos!$C$1:$C$892,"A&amp;M Imports",Movimientos!$B$1:$B$892,"&lt;="&amp;$B123)</f>
        <v>1418445.91</v>
      </c>
      <c r="G123" s="24">
        <f>SUMIFS('Saldos Iniciales'!$D:$D,'Saldos Iniciales'!$A:$A,"SSP Capital")+SUMIFS(Movimientos!$K$1:$K$892,Movimientos!$C$1:$C$892,"SSP Capital",Movimientos!$B$1:$B$892,"&lt;="&amp;$B123)</f>
        <v>1553167.1899999995</v>
      </c>
      <c r="H123" s="24">
        <f>SUMIFS('Saldos Iniciales'!$D:$D,'Saldos Iniciales'!$A:$A,"Cross Family Trust")+SUMIFS(Movimientos!$K$1:$K$892,Movimientos!$C$1:$C$892,"Cross Family Trust",Movimientos!$B$1:$B$892,"&lt;="&amp;$B123)</f>
        <v>221496.38</v>
      </c>
      <c r="I123" s="24">
        <f>SUMIFS('Saldos Iniciales'!$D:$D,'Saldos Iniciales'!$A:$A,"Cross Security Trust")+SUMIFS(Movimientos!$K$1:$K$892,Movimientos!$C$1:$C$892,"Cross Security Trust",Movimientos!$B$1:$B$892,"&lt;="&amp;$B123)</f>
        <v>98169.25999999998</v>
      </c>
      <c r="J123" s="24">
        <f>SUMIFS('Saldos Iniciales'!$D:$D,'Saldos Iniciales'!$A:$A,"Electrama")+SUMIFS(Movimientos!$K$1:$K$892,Movimientos!$C$1:$C$892,"Electrama",Movimientos!$B$1:$B$892,"&lt;="&amp;$B123)</f>
        <v>13270.02</v>
      </c>
      <c r="K123" s="24">
        <f>SUMIFS('Saldos Iniciales'!$D:$D,'Saldos Iniciales'!$A:$A,"Sacred Valley Capital")+SUMIFS(Movimientos!$K$1:$K$892,Movimientos!$C$1:$C$892,"Sacred Valley Capital",Movimientos!$B$1:$B$892,"&lt;="&amp;$B123)</f>
        <v>124.45</v>
      </c>
      <c r="L123" s="24">
        <f>SUMIFS('Saldos Iniciales'!$D:$D,'Saldos Iniciales'!$A:$A,"YWC Capital")+SUMIFS(Movimientos!$K$1:$K$892,Movimientos!$C$1:$C$892,"YWC Capital",Movimientos!$B$1:$B$892,"&lt;="&amp;$B123)</f>
        <v>2177.87</v>
      </c>
      <c r="M123" s="24">
        <f>SUMIFS('Saldos Iniciales'!$D:$D,'Saldos Iniciales'!$A:$A,"Soweto")+SUMIFS(Movimientos!$K$1:$K$892,Movimientos!$C$1:$C$892,"Soweto",Movimientos!$B$1:$B$892,"&lt;="&amp;$B123)</f>
        <v>754424.72</v>
      </c>
      <c r="N123" s="24">
        <f>SUMIFS('Saldos Iniciales'!$D:$D,'Saldos Iniciales'!$A:$A,"Green Stone Trust")+SUMIFS(Movimientos!$K$1:$K$892,Movimientos!$C$1:$C$892,"Green Stone Trust",Movimientos!$B$1:$B$892,"&lt;="&amp;$B123)</f>
        <v>1968.99</v>
      </c>
      <c r="O123" s="24">
        <f>SUMIFS('Saldos Iniciales'!$D:$D,'Saldos Iniciales'!$A:$A,"EC Auto")+SUMIFS(Movimientos!$K$1:$K$892,Movimientos!$C$1:$C$892,"EC Auto",Movimientos!$B$1:$B$892,"&lt;="&amp;$B123)</f>
        <v>901.34</v>
      </c>
      <c r="P123" s="24">
        <f>SUMIFS('Saldos Iniciales'!$D:$D,'Saldos Iniciales'!$A:$A,"Arbor Capital Properties")+SUMIFS(Movimientos!$K$1:$K$892,Movimientos!$C$1:$C$892,"Arbor Capital Properties",Movimientos!$B$1:$B$892,"&lt;="&amp;$B123)</f>
        <v>1396.08</v>
      </c>
      <c r="Q123" s="24">
        <f>SUMIFS('Saldos Iniciales'!$D:$D,'Saldos Iniciales'!$A:$A,"2515 Overbrook")+SUMIFS(Movimientos!$K$1:$K$892,Movimientos!$C$1:$C$892,"2515 Overbrook",Movimientos!$B$1:$B$892,"&lt;="&amp;$B123)</f>
        <v>33670.709999999963</v>
      </c>
      <c r="R123" s="24">
        <f>SUMIFS('Saldos Iniciales'!$D:$D,'Saldos Iniciales'!$A:$A,"112 Florida Ave")+SUMIFS(Movimientos!$K$1:$K$892,Movimientos!$C$1:$C$892,"112 Florida Ave",Movimientos!$B$1:$B$892,"&lt;="&amp;$B123)</f>
        <v>29709.170000000006</v>
      </c>
      <c r="S123" s="24">
        <f>SUMIFS('Saldos Iniciales'!$D:$D,'Saldos Iniciales'!$A:$A,"3628 Thomas Ave")+SUMIFS(Movimientos!$K$1:$K$892,Movimientos!$C$1:$C$892,"3628 Thomas Ave",Movimientos!$B$1:$B$892,"&lt;="&amp;$B123)</f>
        <v>19336.039999999997</v>
      </c>
      <c r="T123" s="24">
        <f>SUMIFS('Saldos Iniciales'!$D:$D,'Saldos Iniciales'!$A:$A,"Green Harbor Trust")+SUMIFS(Movimientos!$K$1:$K$892,Movimientos!$C$1:$C$892,"Green Harbor Trust",Movimientos!$B$1:$B$892,"&lt;="&amp;$B123)</f>
        <v>345</v>
      </c>
      <c r="U123" s="24">
        <f>SUMIFS('Saldos Iniciales'!$D:$D,'Saldos Iniciales'!$A:$A,"Go Blue")+SUMIFS(Movimientos!$K$1:$K$892,Movimientos!$C$1:$C$892,"Go Blue",Movimientos!$B$1:$B$892,"&lt;="&amp;$B123)</f>
        <v>9560.0000000000018</v>
      </c>
      <c r="V123" s="25">
        <f t="shared" si="28"/>
        <v>4996544.08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Group")+SUMIFS(Movimientos!$K$1:$K$892,Movimientos!$C$1:$C$892,"CFT Group",Movimientos!$B$1:$B$892,"&lt;="&amp;$B124)</f>
        <v>740452.88000000059</v>
      </c>
      <c r="D124" s="24">
        <f>SUMIFS('Saldos Iniciales'!$D:$D,'Saldos Iniciales'!$A:$A,"M1B")+SUMIFS(Movimientos!$K$1:$K$892,Movimientos!$C$1:$C$892,"M1B",Movimientos!$B$1:$B$892,"&lt;="&amp;$B124)</f>
        <v>93280.230000000171</v>
      </c>
      <c r="E124" s="24">
        <f>SUMIFS('Saldos Iniciales'!$D:$D,'Saldos Iniciales'!$A:$A,"Durand")+SUMIFS(Movimientos!$K$1:$K$892,Movimientos!$C$1:$C$892,"Durand",Movimientos!$B$1:$B$892,"&lt;="&amp;$B124)</f>
        <v>1669.89</v>
      </c>
      <c r="F124" s="24">
        <f>SUMIFS('Saldos Iniciales'!$D:$D,'Saldos Iniciales'!$A:$A,"A&amp;M Imports")+SUMIFS(Movimientos!$K$1:$K$892,Movimientos!$C$1:$C$892,"A&amp;M Imports",Movimientos!$B$1:$B$892,"&lt;="&amp;$B124)</f>
        <v>1419898.24</v>
      </c>
      <c r="G124" s="24">
        <f>SUMIFS('Saldos Iniciales'!$D:$D,'Saldos Iniciales'!$A:$A,"SSP Capital")+SUMIFS(Movimientos!$K$1:$K$892,Movimientos!$C$1:$C$892,"SSP Capital",Movimientos!$B$1:$B$892,"&lt;="&amp;$B124)</f>
        <v>1555601.2099999995</v>
      </c>
      <c r="H124" s="24">
        <f>SUMIFS('Saldos Iniciales'!$D:$D,'Saldos Iniciales'!$A:$A,"Cross Family Trust")+SUMIFS(Movimientos!$K$1:$K$892,Movimientos!$C$1:$C$892,"Cross Family Trust",Movimientos!$B$1:$B$892,"&lt;="&amp;$B124)</f>
        <v>221496.38</v>
      </c>
      <c r="I124" s="24">
        <f>SUMIFS('Saldos Iniciales'!$D:$D,'Saldos Iniciales'!$A:$A,"Cross Security Trust")+SUMIFS(Movimientos!$K$1:$K$892,Movimientos!$C$1:$C$892,"Cross Security Trust",Movimientos!$B$1:$B$892,"&lt;="&amp;$B124)</f>
        <v>98169.25999999998</v>
      </c>
      <c r="J124" s="24">
        <f>SUMIFS('Saldos Iniciales'!$D:$D,'Saldos Iniciales'!$A:$A,"Electrama")+SUMIFS(Movimientos!$K$1:$K$892,Movimientos!$C$1:$C$892,"Electrama",Movimientos!$B$1:$B$892,"&lt;="&amp;$B124)</f>
        <v>13270.02</v>
      </c>
      <c r="K124" s="24">
        <f>SUMIFS('Saldos Iniciales'!$D:$D,'Saldos Iniciales'!$A:$A,"Sacred Valley Capital")+SUMIFS(Movimientos!$K$1:$K$892,Movimientos!$C$1:$C$892,"Sacred Valley Capital",Movimientos!$B$1:$B$892,"&lt;="&amp;$B124)</f>
        <v>124.45</v>
      </c>
      <c r="L124" s="24">
        <f>SUMIFS('Saldos Iniciales'!$D:$D,'Saldos Iniciales'!$A:$A,"YWC Capital")+SUMIFS(Movimientos!$K$1:$K$892,Movimientos!$C$1:$C$892,"YWC Capital",Movimientos!$B$1:$B$892,"&lt;="&amp;$B124)</f>
        <v>2177.87</v>
      </c>
      <c r="M124" s="24">
        <f>SUMIFS('Saldos Iniciales'!$D:$D,'Saldos Iniciales'!$A:$A,"Soweto")+SUMIFS(Movimientos!$K$1:$K$892,Movimientos!$C$1:$C$892,"Soweto",Movimientos!$B$1:$B$892,"&lt;="&amp;$B124)</f>
        <v>754424.72</v>
      </c>
      <c r="N124" s="24">
        <f>SUMIFS('Saldos Iniciales'!$D:$D,'Saldos Iniciales'!$A:$A,"Green Stone Trust")+SUMIFS(Movimientos!$K$1:$K$892,Movimientos!$C$1:$C$892,"Green Stone Trust",Movimientos!$B$1:$B$892,"&lt;="&amp;$B124)</f>
        <v>1968.99</v>
      </c>
      <c r="O124" s="24">
        <f>SUMIFS('Saldos Iniciales'!$D:$D,'Saldos Iniciales'!$A:$A,"EC Auto")+SUMIFS(Movimientos!$K$1:$K$892,Movimientos!$C$1:$C$892,"EC Auto",Movimientos!$B$1:$B$892,"&lt;="&amp;$B124)</f>
        <v>901.34</v>
      </c>
      <c r="P124" s="24">
        <f>SUMIFS('Saldos Iniciales'!$D:$D,'Saldos Iniciales'!$A:$A,"Arbor Capital Properties")+SUMIFS(Movimientos!$K$1:$K$892,Movimientos!$C$1:$C$892,"Arbor Capital Properties",Movimientos!$B$1:$B$892,"&lt;="&amp;$B124)</f>
        <v>1396.08</v>
      </c>
      <c r="Q124" s="24">
        <f>SUMIFS('Saldos Iniciales'!$D:$D,'Saldos Iniciales'!$A:$A,"2515 Overbrook")+SUMIFS(Movimientos!$K$1:$K$892,Movimientos!$C$1:$C$892,"2515 Overbrook",Movimientos!$B$1:$B$892,"&lt;="&amp;$B124)</f>
        <v>33570.709999999963</v>
      </c>
      <c r="R124" s="24">
        <f>SUMIFS('Saldos Iniciales'!$D:$D,'Saldos Iniciales'!$A:$A,"112 Florida Ave")+SUMIFS(Movimientos!$K$1:$K$892,Movimientos!$C$1:$C$892,"112 Florida Ave",Movimientos!$B$1:$B$892,"&lt;="&amp;$B124)</f>
        <v>26559.170000000006</v>
      </c>
      <c r="S124" s="24">
        <f>SUMIFS('Saldos Iniciales'!$D:$D,'Saldos Iniciales'!$A:$A,"3628 Thomas Ave")+SUMIFS(Movimientos!$K$1:$K$892,Movimientos!$C$1:$C$892,"3628 Thomas Ave",Movimientos!$B$1:$B$892,"&lt;="&amp;$B124)</f>
        <v>23736.039999999997</v>
      </c>
      <c r="T124" s="24">
        <f>SUMIFS('Saldos Iniciales'!$D:$D,'Saldos Iniciales'!$A:$A,"Green Harbor Trust")+SUMIFS(Movimientos!$K$1:$K$892,Movimientos!$C$1:$C$892,"Green Harbor Trust",Movimientos!$B$1:$B$892,"&lt;="&amp;$B124)</f>
        <v>345</v>
      </c>
      <c r="U124" s="24">
        <f>SUMIFS('Saldos Iniciales'!$D:$D,'Saldos Iniciales'!$A:$A,"Go Blue")+SUMIFS(Movimientos!$K$1:$K$892,Movimientos!$C$1:$C$892,"Go Blue",Movimientos!$B$1:$B$892,"&lt;="&amp;$B124)</f>
        <v>9560.0000000000018</v>
      </c>
      <c r="V124" s="25">
        <f t="shared" ref="V124:V125" si="29">SUM(C124:U124)</f>
        <v>4998602.4800000004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Group")+SUMIFS(Movimientos!$K$1:$K$892,Movimientos!$C$1:$C$892,"CFT Group",Movimientos!$B$1:$B$892,"&lt;="&amp;$B125)</f>
        <v>757677.3900000006</v>
      </c>
      <c r="D125" s="24">
        <f>SUMIFS('Saldos Iniciales'!$D:$D,'Saldos Iniciales'!$A:$A,"M1B")+SUMIFS(Movimientos!$K$1:$K$892,Movimientos!$C$1:$C$892,"M1B",Movimientos!$B$1:$B$892,"&lt;="&amp;$B125)</f>
        <v>93280.230000000171</v>
      </c>
      <c r="E125" s="24">
        <f>SUMIFS('Saldos Iniciales'!$D:$D,'Saldos Iniciales'!$A:$A,"Durand")+SUMIFS(Movimientos!$K$1:$K$892,Movimientos!$C$1:$C$892,"Durand",Movimientos!$B$1:$B$892,"&lt;="&amp;$B125)</f>
        <v>1669.89</v>
      </c>
      <c r="F125" s="24">
        <f>SUMIFS('Saldos Iniciales'!$D:$D,'Saldos Iniciales'!$A:$A,"A&amp;M Imports")+SUMIFS(Movimientos!$K$1:$K$892,Movimientos!$C$1:$C$892,"A&amp;M Imports",Movimientos!$B$1:$B$892,"&lt;="&amp;$B125)</f>
        <v>1419898.24</v>
      </c>
      <c r="G125" s="24">
        <f>SUMIFS('Saldos Iniciales'!$D:$D,'Saldos Iniciales'!$A:$A,"SSP Capital")+SUMIFS(Movimientos!$K$1:$K$892,Movimientos!$C$1:$C$892,"SSP Capital",Movimientos!$B$1:$B$892,"&lt;="&amp;$B125)</f>
        <v>1484962.6199999996</v>
      </c>
      <c r="H125" s="24">
        <f>SUMIFS('Saldos Iniciales'!$D:$D,'Saldos Iniciales'!$A:$A,"Cross Family Trust")+SUMIFS(Movimientos!$K$1:$K$892,Movimientos!$C$1:$C$892,"Cross Family Trust",Movimientos!$B$1:$B$892,"&lt;="&amp;$B125)</f>
        <v>215496.38</v>
      </c>
      <c r="I125" s="24">
        <f>SUMIFS('Saldos Iniciales'!$D:$D,'Saldos Iniciales'!$A:$A,"Cross Security Trust")+SUMIFS(Movimientos!$K$1:$K$892,Movimientos!$C$1:$C$892,"Cross Security Trust",Movimientos!$B$1:$B$892,"&lt;="&amp;$B125)</f>
        <v>98169.25999999998</v>
      </c>
      <c r="J125" s="24">
        <f>SUMIFS('Saldos Iniciales'!$D:$D,'Saldos Iniciales'!$A:$A,"Electrama")+SUMIFS(Movimientos!$K$1:$K$892,Movimientos!$C$1:$C$892,"Electrama",Movimientos!$B$1:$B$892,"&lt;="&amp;$B125)</f>
        <v>13270.02</v>
      </c>
      <c r="K125" s="24">
        <f>SUMIFS('Saldos Iniciales'!$D:$D,'Saldos Iniciales'!$A:$A,"Sacred Valley Capital")+SUMIFS(Movimientos!$K$1:$K$892,Movimientos!$C$1:$C$892,"Sacred Valley Capital",Movimientos!$B$1:$B$892,"&lt;="&amp;$B125)</f>
        <v>94.5</v>
      </c>
      <c r="L125" s="24">
        <f>SUMIFS('Saldos Iniciales'!$D:$D,'Saldos Iniciales'!$A:$A,"YWC Capital")+SUMIFS(Movimientos!$K$1:$K$892,Movimientos!$C$1:$C$892,"YWC Capital",Movimientos!$B$1:$B$892,"&lt;="&amp;$B125)</f>
        <v>2147.92</v>
      </c>
      <c r="M125" s="24">
        <f>SUMIFS('Saldos Iniciales'!$D:$D,'Saldos Iniciales'!$A:$A,"Soweto")+SUMIFS(Movimientos!$K$1:$K$892,Movimientos!$C$1:$C$892,"Soweto",Movimientos!$B$1:$B$892,"&lt;="&amp;$B125)</f>
        <v>754424.72</v>
      </c>
      <c r="N125" s="24">
        <f>SUMIFS('Saldos Iniciales'!$D:$D,'Saldos Iniciales'!$A:$A,"Green Stone Trust")+SUMIFS(Movimientos!$K$1:$K$892,Movimientos!$C$1:$C$892,"Green Stone Trust",Movimientos!$B$1:$B$892,"&lt;="&amp;$B125)</f>
        <v>1968.99</v>
      </c>
      <c r="O125" s="24">
        <f>SUMIFS('Saldos Iniciales'!$D:$D,'Saldos Iniciales'!$A:$A,"EC Auto")+SUMIFS(Movimientos!$K$1:$K$892,Movimientos!$C$1:$C$892,"EC Auto",Movimientos!$B$1:$B$892,"&lt;="&amp;$B125)</f>
        <v>901.34</v>
      </c>
      <c r="P125" s="24">
        <f>SUMIFS('Saldos Iniciales'!$D:$D,'Saldos Iniciales'!$A:$A,"Arbor Capital Properties")+SUMIFS(Movimientos!$K$1:$K$892,Movimientos!$C$1:$C$892,"Arbor Capital Properties",Movimientos!$B$1:$B$892,"&lt;="&amp;$B125)</f>
        <v>1380.08</v>
      </c>
      <c r="Q125" s="24">
        <f>SUMIFS('Saldos Iniciales'!$D:$D,'Saldos Iniciales'!$A:$A,"2515 Overbrook")+SUMIFS(Movimientos!$K$1:$K$892,Movimientos!$C$1:$C$892,"2515 Overbrook",Movimientos!$B$1:$B$892,"&lt;="&amp;$B125)</f>
        <v>25027.379999999961</v>
      </c>
      <c r="R125" s="24">
        <f>SUMIFS('Saldos Iniciales'!$D:$D,'Saldos Iniciales'!$A:$A,"112 Florida Ave")+SUMIFS(Movimientos!$K$1:$K$892,Movimientos!$C$1:$C$892,"112 Florida Ave",Movimientos!$B$1:$B$892,"&lt;="&amp;$B125)</f>
        <v>16760.540000000008</v>
      </c>
      <c r="S125" s="24">
        <f>SUMIFS('Saldos Iniciales'!$D:$D,'Saldos Iniciales'!$A:$A,"3628 Thomas Ave")+SUMIFS(Movimientos!$K$1:$K$892,Movimientos!$C$1:$C$892,"3628 Thomas Ave",Movimientos!$B$1:$B$892,"&lt;="&amp;$B125)</f>
        <v>14962.999999999996</v>
      </c>
      <c r="T125" s="24">
        <f>SUMIFS('Saldos Iniciales'!$D:$D,'Saldos Iniciales'!$A:$A,"Green Harbor Trust")+SUMIFS(Movimientos!$K$1:$K$892,Movimientos!$C$1:$C$892,"Green Harbor Trust",Movimientos!$B$1:$B$892,"&lt;="&amp;$B125)</f>
        <v>345</v>
      </c>
      <c r="U125" s="24">
        <f>SUMIFS('Saldos Iniciales'!$D:$D,'Saldos Iniciales'!$A:$A,"Go Blue")+SUMIFS(Movimientos!$K$1:$K$892,Movimientos!$C$1:$C$892,"Go Blue",Movimientos!$B$1:$B$892,"&lt;="&amp;$B125)</f>
        <v>9549.7500000000018</v>
      </c>
      <c r="V125" s="25">
        <f t="shared" si="29"/>
        <v>4911987.25</v>
      </c>
    </row>
    <row r="126" spans="1:22" x14ac:dyDescent="0.3">
      <c r="A126" s="22">
        <f t="shared" ref="A126" si="30">+A125+1</f>
        <v>125</v>
      </c>
      <c r="B126" s="23">
        <v>46267</v>
      </c>
      <c r="C126" s="24">
        <f>SUMIFS('Saldos Iniciales'!$D:$D,'Saldos Iniciales'!$A:$A,"CFT Group")+SUMIFS(Movimientos!$K$1:$K$892,Movimientos!$C$1:$C$892,"CFT Group",Movimientos!$B$1:$B$892,"&lt;="&amp;$B126)</f>
        <v>1468396.1200000006</v>
      </c>
      <c r="D126" s="24">
        <f>SUMIFS('Saldos Iniciales'!$D:$D,'Saldos Iniciales'!$A:$A,"M1B")+SUMIFS(Movimientos!$K$1:$K$892,Movimientos!$C$1:$C$892,"M1B",Movimientos!$B$1:$B$892,"&lt;="&amp;$B126)</f>
        <v>93280.230000000171</v>
      </c>
      <c r="E126" s="24">
        <f>SUMIFS('Saldos Iniciales'!$D:$D,'Saldos Iniciales'!$A:$A,"Durand")+SUMIFS(Movimientos!$K$1:$K$892,Movimientos!$C$1:$C$892,"Durand",Movimientos!$B$1:$B$892,"&lt;="&amp;$B126)</f>
        <v>1669.89</v>
      </c>
      <c r="F126" s="24">
        <f>SUMIFS('Saldos Iniciales'!$D:$D,'Saldos Iniciales'!$A:$A,"A&amp;M Imports")+SUMIFS(Movimientos!$K$1:$K$892,Movimientos!$C$1:$C$892,"A&amp;M Imports",Movimientos!$B$1:$B$892,"&lt;="&amp;$B126)</f>
        <v>1419898.24</v>
      </c>
      <c r="G126" s="24">
        <f>SUMIFS('Saldos Iniciales'!$D:$D,'Saldos Iniciales'!$A:$A,"SSP Capital")+SUMIFS(Movimientos!$K$1:$K$892,Movimientos!$C$1:$C$892,"SSP Capital",Movimientos!$B$1:$B$892,"&lt;="&amp;$B126)</f>
        <v>1484962.6199999996</v>
      </c>
      <c r="H126" s="24">
        <f>SUMIFS('Saldos Iniciales'!$D:$D,'Saldos Iniciales'!$A:$A,"Cross Family Trust")+SUMIFS(Movimientos!$K$1:$K$892,Movimientos!$C$1:$C$892,"Cross Family Trust",Movimientos!$B$1:$B$892,"&lt;="&amp;$B126)</f>
        <v>249778.14</v>
      </c>
      <c r="I126" s="24">
        <f>SUMIFS('Saldos Iniciales'!$D:$D,'Saldos Iniciales'!$A:$A,"Cross Security Trust")+SUMIFS(Movimientos!$K$1:$K$892,Movimientos!$C$1:$C$892,"Cross Security Trust",Movimientos!$B$1:$B$892,"&lt;="&amp;$B126)</f>
        <v>98169.25999999998</v>
      </c>
      <c r="J126" s="24">
        <f>SUMIFS('Saldos Iniciales'!$D:$D,'Saldos Iniciales'!$A:$A,"Electrama")+SUMIFS(Movimientos!$K$1:$K$892,Movimientos!$C$1:$C$892,"Electrama",Movimientos!$B$1:$B$892,"&lt;="&amp;$B126)</f>
        <v>13270.02</v>
      </c>
      <c r="K126" s="24">
        <f>SUMIFS('Saldos Iniciales'!$D:$D,'Saldos Iniciales'!$A:$A,"Sacred Valley Capital")+SUMIFS(Movimientos!$K$1:$K$892,Movimientos!$C$1:$C$892,"Sacred Valley Capital",Movimientos!$B$1:$B$892,"&lt;="&amp;$B126)</f>
        <v>94.5</v>
      </c>
      <c r="L126" s="24">
        <f>SUMIFS('Saldos Iniciales'!$D:$D,'Saldos Iniciales'!$A:$A,"YWC Capital")+SUMIFS(Movimientos!$K$1:$K$892,Movimientos!$C$1:$C$892,"YWC Capital",Movimientos!$B$1:$B$892,"&lt;="&amp;$B126)</f>
        <v>2147.92</v>
      </c>
      <c r="M126" s="24">
        <f>SUMIFS('Saldos Iniciales'!$D:$D,'Saldos Iniciales'!$A:$A,"Soweto")+SUMIFS(Movimientos!$K$1:$K$892,Movimientos!$C$1:$C$892,"Soweto",Movimientos!$B$1:$B$892,"&lt;="&amp;$B126)</f>
        <v>18005.290000000015</v>
      </c>
      <c r="N126" s="24">
        <f>SUMIFS('Saldos Iniciales'!$D:$D,'Saldos Iniciales'!$A:$A,"Green Stone Trust")+SUMIFS(Movimientos!$K$1:$K$892,Movimientos!$C$1:$C$892,"Green Stone Trust",Movimientos!$B$1:$B$892,"&lt;="&amp;$B126)</f>
        <v>1968.99</v>
      </c>
      <c r="O126" s="24">
        <f>SUMIFS('Saldos Iniciales'!$D:$D,'Saldos Iniciales'!$A:$A,"EC Auto")+SUMIFS(Movimientos!$K$1:$K$892,Movimientos!$C$1:$C$892,"EC Auto",Movimientos!$B$1:$B$892,"&lt;="&amp;$B126)</f>
        <v>901.34</v>
      </c>
      <c r="P126" s="24">
        <f>SUMIFS('Saldos Iniciales'!$D:$D,'Saldos Iniciales'!$A:$A,"Arbor Capital Properties")+SUMIFS(Movimientos!$K$1:$K$892,Movimientos!$C$1:$C$892,"Arbor Capital Properties",Movimientos!$B$1:$B$892,"&lt;="&amp;$B126)</f>
        <v>1380.08</v>
      </c>
      <c r="Q126" s="24">
        <f>SUMIFS('Saldos Iniciales'!$D:$D,'Saldos Iniciales'!$A:$A,"2515 Overbrook")+SUMIFS(Movimientos!$K$1:$K$892,Movimientos!$C$1:$C$892,"2515 Overbrook",Movimientos!$B$1:$B$892,"&lt;="&amp;$B126)</f>
        <v>25027.379999999961</v>
      </c>
      <c r="R126" s="24">
        <f>SUMIFS('Saldos Iniciales'!$D:$D,'Saldos Iniciales'!$A:$A,"112 Florida Ave")+SUMIFS(Movimientos!$K$1:$K$892,Movimientos!$C$1:$C$892,"112 Florida Ave",Movimientos!$B$1:$B$892,"&lt;="&amp;$B126)</f>
        <v>16760.540000000008</v>
      </c>
      <c r="S126" s="24">
        <f>SUMIFS('Saldos Iniciales'!$D:$D,'Saldos Iniciales'!$A:$A,"3628 Thomas Ave")+SUMIFS(Movimientos!$K$1:$K$892,Movimientos!$C$1:$C$892,"3628 Thomas Ave",Movimientos!$B$1:$B$892,"&lt;="&amp;$B126)</f>
        <v>14162.999999999996</v>
      </c>
      <c r="T126" s="24">
        <f>SUMIFS('Saldos Iniciales'!$D:$D,'Saldos Iniciales'!$A:$A,"Green Harbor Trust")+SUMIFS(Movimientos!$K$1:$K$892,Movimientos!$C$1:$C$892,"Green Harbor Trust",Movimientos!$B$1:$B$892,"&lt;="&amp;$B126)</f>
        <v>345</v>
      </c>
      <c r="U126" s="24">
        <f>SUMIFS('Saldos Iniciales'!$D:$D,'Saldos Iniciales'!$A:$A,"Go Blue")+SUMIFS(Movimientos!$K$1:$K$892,Movimientos!$C$1:$C$892,"Go Blue",Movimientos!$B$1:$B$892,"&lt;="&amp;$B126)</f>
        <v>5861.1200000000026</v>
      </c>
      <c r="V126" s="25">
        <f t="shared" ref="V126" si="31">SUM(C126:U126)</f>
        <v>4916079.6799999988</v>
      </c>
    </row>
  </sheetData>
  <conditionalFormatting sqref="C2:V126">
    <cfRule type="cellIs" dxfId="2" priority="1" operator="lessThan">
      <formula>0</formula>
    </cfRule>
  </conditionalFormatting>
  <conditionalFormatting sqref="V2:V126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376"/>
  <sheetViews>
    <sheetView tabSelected="1" zoomScale="80" zoomScaleNormal="80" workbookViewId="0">
      <pane ySplit="1" topLeftCell="A2346" activePane="bottomLeft" state="frozen"/>
      <selection pane="bottomLeft" activeCell="F2355" sqref="F2355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3363755.7500000005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1090141.6299999999</v>
      </c>
    </row>
    <row r="1412" spans="1:4" x14ac:dyDescent="0.3">
      <c r="A1412" t="s">
        <v>21</v>
      </c>
      <c r="C1412" s="16">
        <v>46217</v>
      </c>
      <c r="D1412">
        <v>1856542.8899999992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3363755.7500000005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1089804.7499999998</v>
      </c>
    </row>
    <row r="1431" spans="1:4" x14ac:dyDescent="0.3">
      <c r="A1431" t="s">
        <v>21</v>
      </c>
      <c r="C1431" s="16">
        <v>46218</v>
      </c>
      <c r="D1431">
        <v>1856513.4499999993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3110339.0700000008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1029804.7499999998</v>
      </c>
    </row>
    <row r="1450" spans="1:4" x14ac:dyDescent="0.3">
      <c r="A1450" t="s">
        <v>21</v>
      </c>
      <c r="C1450" s="16">
        <v>46219</v>
      </c>
      <c r="D1450">
        <v>1678189.7499999995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3110339.0700000008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1029804.7499999998</v>
      </c>
    </row>
    <row r="1469" spans="1:4" x14ac:dyDescent="0.3">
      <c r="A1469" t="s">
        <v>21</v>
      </c>
      <c r="C1469" s="16">
        <v>46220</v>
      </c>
      <c r="D1469">
        <v>1748189.7499999995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3110339.0700000008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1029804.7499999998</v>
      </c>
    </row>
    <row r="1488" spans="1:4" x14ac:dyDescent="0.3">
      <c r="A1488" t="s">
        <v>21</v>
      </c>
      <c r="C1488" s="16">
        <v>46221</v>
      </c>
      <c r="D1488">
        <v>1748189.7499999995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3110339.0700000008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1029804.7499999998</v>
      </c>
    </row>
    <row r="1507" spans="1:4" x14ac:dyDescent="0.3">
      <c r="A1507" t="s">
        <v>21</v>
      </c>
      <c r="C1507" s="16">
        <v>46222</v>
      </c>
      <c r="D1507">
        <v>1748189.7499999995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3110339.0700000008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1029804.7499999998</v>
      </c>
    </row>
    <row r="1526" spans="1:4" x14ac:dyDescent="0.3">
      <c r="A1526" t="s">
        <v>21</v>
      </c>
      <c r="C1526" s="16">
        <v>46223</v>
      </c>
      <c r="D1526">
        <v>1744257.8699999994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3110339.0700000008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1029804.7499999998</v>
      </c>
    </row>
    <row r="1545" spans="1:4" x14ac:dyDescent="0.3">
      <c r="A1545" t="s">
        <v>21</v>
      </c>
      <c r="C1545" s="16">
        <v>46224</v>
      </c>
      <c r="D1545">
        <v>1744257.8699999994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2255755.7400000007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1002754.9899999998</v>
      </c>
    </row>
    <row r="1564" spans="1:4" x14ac:dyDescent="0.3">
      <c r="A1564" t="s">
        <v>21</v>
      </c>
      <c r="C1564" s="16">
        <v>46225</v>
      </c>
      <c r="D1564">
        <v>2022877.8699999996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2255750.7400000007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1042744.6899999997</v>
      </c>
    </row>
    <row r="1583" spans="1:4" x14ac:dyDescent="0.3">
      <c r="A1583" t="s">
        <v>21</v>
      </c>
      <c r="C1583" s="16">
        <v>46226</v>
      </c>
      <c r="D1583">
        <v>2022877.8699999996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2255750.7400000007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1042744.6899999997</v>
      </c>
    </row>
    <row r="1602" spans="1:4" x14ac:dyDescent="0.3">
      <c r="A1602" t="s">
        <v>21</v>
      </c>
      <c r="C1602" s="16">
        <v>46227</v>
      </c>
      <c r="D1602">
        <v>2022877.8699999996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2255750.7400000007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1042744.6899999997</v>
      </c>
    </row>
    <row r="1621" spans="1:4" x14ac:dyDescent="0.3">
      <c r="A1621" t="s">
        <v>21</v>
      </c>
      <c r="C1621" s="16">
        <v>46228</v>
      </c>
      <c r="D1621">
        <v>2022877.8699999996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2255750.7400000007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1042744.6899999997</v>
      </c>
    </row>
    <row r="1640" spans="1:4" x14ac:dyDescent="0.3">
      <c r="A1640" t="s">
        <v>21</v>
      </c>
      <c r="C1640" s="16">
        <v>46229</v>
      </c>
      <c r="D1640">
        <v>2022877.8699999996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2255750.7400000007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1392744.6899999997</v>
      </c>
    </row>
    <row r="1659" spans="1:4" x14ac:dyDescent="0.3">
      <c r="A1659" t="s">
        <v>21</v>
      </c>
      <c r="C1659" s="16">
        <v>46230</v>
      </c>
      <c r="D1659">
        <v>2022877.8699999996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2255750.7400000007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1415636.7399999998</v>
      </c>
    </row>
    <row r="1678" spans="1:4" x14ac:dyDescent="0.3">
      <c r="A1678" t="s">
        <v>21</v>
      </c>
      <c r="C1678" s="16">
        <v>46231</v>
      </c>
      <c r="D1678">
        <v>1857997.0999999996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2270539.1300000008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1434634.5999999999</v>
      </c>
    </row>
    <row r="1697" spans="1:4" x14ac:dyDescent="0.3">
      <c r="A1697" t="s">
        <v>21</v>
      </c>
      <c r="C1697" s="16">
        <v>46232</v>
      </c>
      <c r="D1697">
        <v>1857997.0999999996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2470350.7000000002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1458426.0399999998</v>
      </c>
    </row>
    <row r="1716" spans="1:4" x14ac:dyDescent="0.3">
      <c r="A1716" t="s">
        <v>21</v>
      </c>
      <c r="C1716" s="16">
        <v>46233</v>
      </c>
      <c r="D1716">
        <v>1857993.8499999996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2468032.08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1458426.0399999998</v>
      </c>
    </row>
    <row r="1735" spans="1:4" x14ac:dyDescent="0.3">
      <c r="A1735" t="s">
        <v>21</v>
      </c>
      <c r="C1735" s="16">
        <v>46234</v>
      </c>
      <c r="D1735">
        <v>1514477.1199999996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2468032.08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1458426.0399999998</v>
      </c>
    </row>
    <row r="1754" spans="1:4" x14ac:dyDescent="0.3">
      <c r="A1754" t="s">
        <v>21</v>
      </c>
      <c r="C1754" s="16">
        <v>46235</v>
      </c>
      <c r="D1754">
        <v>1514477.1199999996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2468032.08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1458426.0399999998</v>
      </c>
    </row>
    <row r="1773" spans="1:4" x14ac:dyDescent="0.3">
      <c r="A1773" t="s">
        <v>21</v>
      </c>
      <c r="C1773" s="16">
        <v>46236</v>
      </c>
      <c r="D1773">
        <v>1514477.1199999996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2468032.08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1458426.0399999998</v>
      </c>
    </row>
    <row r="1792" spans="1:4" x14ac:dyDescent="0.3">
      <c r="A1792" t="s">
        <v>21</v>
      </c>
      <c r="C1792" s="16">
        <v>46237</v>
      </c>
      <c r="D1792">
        <v>1514477.1199999996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2468032.08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1458426.0399999998</v>
      </c>
    </row>
    <row r="1811" spans="1:4" x14ac:dyDescent="0.3">
      <c r="A1811" t="s">
        <v>21</v>
      </c>
      <c r="C1811" s="16">
        <v>46238</v>
      </c>
      <c r="D1811">
        <v>1513867.4199999995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2468032.08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1452426.0399999998</v>
      </c>
    </row>
    <row r="1830" spans="1:4" x14ac:dyDescent="0.3">
      <c r="A1830" t="s">
        <v>21</v>
      </c>
      <c r="C1830" s="16">
        <v>46239</v>
      </c>
      <c r="D1830">
        <v>1512187.6399999997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14540.45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1153390.4100000001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1349451.94</v>
      </c>
    </row>
    <row r="1849" spans="1:4" x14ac:dyDescent="0.3">
      <c r="A1849" t="s">
        <v>21</v>
      </c>
      <c r="C1849" s="16">
        <v>46240</v>
      </c>
      <c r="D1849">
        <v>2102073.7899999996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88067.39</v>
      </c>
    </row>
    <row r="1852" spans="1:4" x14ac:dyDescent="0.3">
      <c r="A1852" t="s">
        <v>24</v>
      </c>
      <c r="C1852" s="16">
        <v>46240</v>
      </c>
      <c r="D1852">
        <v>13270.02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1153390.4100000001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1349451.94</v>
      </c>
    </row>
    <row r="1868" spans="1:4" x14ac:dyDescent="0.3">
      <c r="A1868" t="s">
        <v>21</v>
      </c>
      <c r="C1868" s="16">
        <v>46241</v>
      </c>
      <c r="D1868">
        <v>2102073.7899999996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88067.39</v>
      </c>
    </row>
    <row r="1871" spans="1:4" x14ac:dyDescent="0.3">
      <c r="A1871" t="s">
        <v>24</v>
      </c>
      <c r="C1871" s="16">
        <v>46241</v>
      </c>
      <c r="D1871">
        <v>13270.02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1153390.4100000001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1349451.94</v>
      </c>
    </row>
    <row r="1887" spans="1:4" x14ac:dyDescent="0.3">
      <c r="A1887" t="s">
        <v>21</v>
      </c>
      <c r="C1887" s="16">
        <v>46242</v>
      </c>
      <c r="D1887">
        <v>2102073.7899999996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88067.39</v>
      </c>
    </row>
    <row r="1890" spans="1:4" x14ac:dyDescent="0.3">
      <c r="A1890" t="s">
        <v>24</v>
      </c>
      <c r="C1890" s="16">
        <v>46242</v>
      </c>
      <c r="D1890">
        <v>13270.02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1153390.4100000001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1349451.94</v>
      </c>
    </row>
    <row r="1906" spans="1:4" x14ac:dyDescent="0.3">
      <c r="A1906" t="s">
        <v>21</v>
      </c>
      <c r="C1906" s="16">
        <v>46243</v>
      </c>
      <c r="D1906">
        <v>2102073.7899999996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88067.39</v>
      </c>
    </row>
    <row r="1909" spans="1:4" x14ac:dyDescent="0.3">
      <c r="A1909" t="s">
        <v>24</v>
      </c>
      <c r="C1909" s="16">
        <v>46243</v>
      </c>
      <c r="D1909">
        <v>13270.02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1260076.9800000002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1349451.94</v>
      </c>
    </row>
    <row r="1925" spans="1:4" x14ac:dyDescent="0.3">
      <c r="A1925" t="s">
        <v>21</v>
      </c>
      <c r="C1925" s="16">
        <v>46244</v>
      </c>
      <c r="D1925">
        <v>2098801.8999999994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88067.39</v>
      </c>
    </row>
    <row r="1928" spans="1:4" x14ac:dyDescent="0.3">
      <c r="A1928" t="s">
        <v>24</v>
      </c>
      <c r="C1928" s="16">
        <v>46244</v>
      </c>
      <c r="D1928">
        <v>13270.02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1260076.9800000002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1349451.94</v>
      </c>
    </row>
    <row r="1944" spans="1:4" x14ac:dyDescent="0.3">
      <c r="A1944" t="s">
        <v>21</v>
      </c>
      <c r="C1944" s="16">
        <v>46245</v>
      </c>
      <c r="D1944">
        <v>1622920.8199999996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88067.39</v>
      </c>
    </row>
    <row r="1947" spans="1:4" x14ac:dyDescent="0.3">
      <c r="A1947" t="s">
        <v>24</v>
      </c>
      <c r="C1947" s="16">
        <v>46245</v>
      </c>
      <c r="D1947">
        <v>13270.02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1260076.9800000002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1349451.94</v>
      </c>
    </row>
    <row r="1963" spans="1:4" x14ac:dyDescent="0.3">
      <c r="A1963" t="s">
        <v>21</v>
      </c>
      <c r="C1963" s="16">
        <v>46246</v>
      </c>
      <c r="D1963">
        <v>1622914.8199999996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158067.38999999998</v>
      </c>
    </row>
    <row r="1966" spans="1:4" x14ac:dyDescent="0.3">
      <c r="A1966" t="s">
        <v>24</v>
      </c>
      <c r="C1966" s="16">
        <v>46246</v>
      </c>
      <c r="D1966">
        <v>13270.02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754424.72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1041223.5800000004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1289451.94</v>
      </c>
    </row>
    <row r="1982" spans="1:4" x14ac:dyDescent="0.3">
      <c r="A1982" t="s">
        <v>21</v>
      </c>
      <c r="C1982" s="16">
        <v>46247</v>
      </c>
      <c r="D1982">
        <v>1418808.6399999997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158067.38999999998</v>
      </c>
    </row>
    <row r="1985" spans="1:4" x14ac:dyDescent="0.3">
      <c r="A1985" t="s">
        <v>24</v>
      </c>
      <c r="C1985" s="16">
        <v>46247</v>
      </c>
      <c r="D1985">
        <v>13270.02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754424.72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941223.58000000042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1289451.94</v>
      </c>
    </row>
    <row r="2001" spans="1:4" x14ac:dyDescent="0.3">
      <c r="A2001" t="s">
        <v>21</v>
      </c>
      <c r="C2001" s="16">
        <v>46248</v>
      </c>
      <c r="D2001">
        <v>1418808.6399999997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158071.25999999998</v>
      </c>
    </row>
    <row r="2004" spans="1:4" x14ac:dyDescent="0.3">
      <c r="A2004" t="s">
        <v>24</v>
      </c>
      <c r="C2004" s="16">
        <v>46248</v>
      </c>
      <c r="D2004">
        <v>13270.02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754424.72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941223.58000000042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1289451.94</v>
      </c>
    </row>
    <row r="2020" spans="1:4" x14ac:dyDescent="0.3">
      <c r="A2020" t="s">
        <v>21</v>
      </c>
      <c r="C2020" s="16">
        <v>46249</v>
      </c>
      <c r="D2020">
        <v>1418808.6399999997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158071.25999999998</v>
      </c>
    </row>
    <row r="2023" spans="1:4" x14ac:dyDescent="0.3">
      <c r="A2023" t="s">
        <v>24</v>
      </c>
      <c r="C2023" s="16">
        <v>46249</v>
      </c>
      <c r="D2023">
        <v>13270.02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754424.72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941223.58000000042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1289451.94</v>
      </c>
    </row>
    <row r="2039" spans="1:4" x14ac:dyDescent="0.3">
      <c r="A2039" t="s">
        <v>21</v>
      </c>
      <c r="C2039" s="16">
        <v>46250</v>
      </c>
      <c r="D2039">
        <v>1418808.6399999997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158071.25999999998</v>
      </c>
    </row>
    <row r="2042" spans="1:4" x14ac:dyDescent="0.3">
      <c r="A2042" t="s">
        <v>24</v>
      </c>
      <c r="C2042" s="16">
        <v>46250</v>
      </c>
      <c r="D2042">
        <v>13270.02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754424.72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941223.58000000042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1289031.3399999999</v>
      </c>
    </row>
    <row r="2058" spans="1:4" x14ac:dyDescent="0.3">
      <c r="A2058" t="s">
        <v>21</v>
      </c>
      <c r="C2058" s="16">
        <v>46251</v>
      </c>
      <c r="D2058">
        <v>1383977.5499999996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158071.25999999998</v>
      </c>
    </row>
    <row r="2061" spans="1:4" x14ac:dyDescent="0.3">
      <c r="A2061" t="s">
        <v>24</v>
      </c>
      <c r="C2061" s="16">
        <v>46251</v>
      </c>
      <c r="D2061">
        <v>13270.02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754424.72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1047085.3600000005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1289031.3399999999</v>
      </c>
    </row>
    <row r="2077" spans="1:4" x14ac:dyDescent="0.3">
      <c r="A2077" t="s">
        <v>21</v>
      </c>
      <c r="C2077" s="16">
        <v>46252</v>
      </c>
      <c r="D2077">
        <v>1381487.1899999995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158071.25999999998</v>
      </c>
    </row>
    <row r="2080" spans="1:4" x14ac:dyDescent="0.3">
      <c r="A2080" t="s">
        <v>24</v>
      </c>
      <c r="C2080" s="16">
        <v>46252</v>
      </c>
      <c r="D2080">
        <v>13270.02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754424.72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1047085.3600000005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1289031.3399999999</v>
      </c>
    </row>
    <row r="2096" spans="1:4" x14ac:dyDescent="0.3">
      <c r="A2096" t="s">
        <v>21</v>
      </c>
      <c r="C2096" s="16">
        <v>46253</v>
      </c>
      <c r="D2096">
        <v>1880583.4899999998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158071.25999999998</v>
      </c>
    </row>
    <row r="2099" spans="1:4" x14ac:dyDescent="0.3">
      <c r="A2099" t="s">
        <v>24</v>
      </c>
      <c r="C2099" s="16">
        <v>46253</v>
      </c>
      <c r="D2099">
        <v>13270.02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754424.72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702210.36000000045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1229031.3399999999</v>
      </c>
    </row>
    <row r="2115" spans="1:4" x14ac:dyDescent="0.3">
      <c r="A2115" t="s">
        <v>21</v>
      </c>
      <c r="C2115" s="16">
        <v>46254</v>
      </c>
      <c r="D2115">
        <v>1744052.5799999996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158071.25999999998</v>
      </c>
    </row>
    <row r="2118" spans="1:4" x14ac:dyDescent="0.3">
      <c r="A2118" t="s">
        <v>24</v>
      </c>
      <c r="C2118" s="16">
        <v>46254</v>
      </c>
      <c r="D2118">
        <v>13270.02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754424.72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702210.36000000045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1229031.3399999999</v>
      </c>
    </row>
    <row r="2134" spans="1:4" x14ac:dyDescent="0.3">
      <c r="A2134" t="s">
        <v>21</v>
      </c>
      <c r="C2134" s="16">
        <v>46255</v>
      </c>
      <c r="D2134">
        <v>1744052.5799999996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158071.25999999998</v>
      </c>
    </row>
    <row r="2137" spans="1:4" x14ac:dyDescent="0.3">
      <c r="A2137" t="s">
        <v>24</v>
      </c>
      <c r="C2137" s="16">
        <v>46255</v>
      </c>
      <c r="D2137">
        <v>13270.02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754424.72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702210.36000000045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1229031.3399999999</v>
      </c>
    </row>
    <row r="2153" spans="1:4" x14ac:dyDescent="0.3">
      <c r="A2153" t="s">
        <v>21</v>
      </c>
      <c r="C2153" s="16">
        <v>46256</v>
      </c>
      <c r="D2153">
        <v>1744052.5799999996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158071.25999999998</v>
      </c>
    </row>
    <row r="2156" spans="1:4" x14ac:dyDescent="0.3">
      <c r="A2156" t="s">
        <v>24</v>
      </c>
      <c r="C2156" s="16">
        <v>46256</v>
      </c>
      <c r="D2156">
        <v>13270.02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754424.72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702210.36000000045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1229031.3399999999</v>
      </c>
    </row>
    <row r="2172" spans="1:4" x14ac:dyDescent="0.3">
      <c r="A2172" t="s">
        <v>21</v>
      </c>
      <c r="C2172" s="16">
        <v>46257</v>
      </c>
      <c r="D2172">
        <v>1744052.5799999996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158071.25999999998</v>
      </c>
    </row>
    <row r="2175" spans="1:4" x14ac:dyDescent="0.3">
      <c r="A2175" t="s">
        <v>24</v>
      </c>
      <c r="C2175" s="16">
        <v>46257</v>
      </c>
      <c r="D2175">
        <v>13270.02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754424.72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372210.36000000045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1234763.3299999998</v>
      </c>
    </row>
    <row r="2191" spans="1:4" x14ac:dyDescent="0.3">
      <c r="A2191" t="s">
        <v>21</v>
      </c>
      <c r="C2191" s="16">
        <v>46258</v>
      </c>
      <c r="D2191">
        <v>1743289.5899999996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158071.25999999998</v>
      </c>
    </row>
    <row r="2194" spans="1:4" x14ac:dyDescent="0.3">
      <c r="A2194" t="s">
        <v>24</v>
      </c>
      <c r="C2194" s="16">
        <v>46258</v>
      </c>
      <c r="D2194">
        <v>13270.02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754424.72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  <row r="2206" spans="1:4" x14ac:dyDescent="0.3">
      <c r="A2206" t="s">
        <v>17</v>
      </c>
      <c r="C2206" s="16">
        <v>46259</v>
      </c>
      <c r="D2206">
        <v>526096.53000000049</v>
      </c>
    </row>
    <row r="2207" spans="1:4" x14ac:dyDescent="0.3">
      <c r="A2207" t="s">
        <v>18</v>
      </c>
      <c r="C2207" s="16">
        <v>46259</v>
      </c>
      <c r="D2207">
        <v>90643.10000000018</v>
      </c>
    </row>
    <row r="2208" spans="1:4" x14ac:dyDescent="0.3">
      <c r="A2208" t="s">
        <v>19</v>
      </c>
      <c r="C2208" s="16">
        <v>46259</v>
      </c>
      <c r="D2208">
        <v>1669.89</v>
      </c>
    </row>
    <row r="2209" spans="1:4" x14ac:dyDescent="0.3">
      <c r="A2209" t="s">
        <v>20</v>
      </c>
      <c r="C2209" s="16">
        <v>46259</v>
      </c>
      <c r="D2209">
        <v>1252108.94</v>
      </c>
    </row>
    <row r="2210" spans="1:4" x14ac:dyDescent="0.3">
      <c r="A2210" t="s">
        <v>21</v>
      </c>
      <c r="C2210" s="16">
        <v>46259</v>
      </c>
      <c r="D2210">
        <v>1743289.5899999996</v>
      </c>
    </row>
    <row r="2211" spans="1:4" x14ac:dyDescent="0.3">
      <c r="A2211" t="s">
        <v>22</v>
      </c>
      <c r="C2211" s="16">
        <v>46259</v>
      </c>
      <c r="D2211">
        <v>221496.38</v>
      </c>
    </row>
    <row r="2212" spans="1:4" x14ac:dyDescent="0.3">
      <c r="A2212" t="s">
        <v>23</v>
      </c>
      <c r="C2212" s="16">
        <v>46259</v>
      </c>
      <c r="D2212">
        <v>158071.25999999998</v>
      </c>
    </row>
    <row r="2213" spans="1:4" x14ac:dyDescent="0.3">
      <c r="A2213" t="s">
        <v>24</v>
      </c>
      <c r="C2213" s="16">
        <v>46259</v>
      </c>
      <c r="D2213">
        <v>13270.02</v>
      </c>
    </row>
    <row r="2214" spans="1:4" x14ac:dyDescent="0.3">
      <c r="A2214" t="s">
        <v>25</v>
      </c>
      <c r="C2214" s="16">
        <v>46259</v>
      </c>
      <c r="D2214">
        <v>24.450000000000003</v>
      </c>
    </row>
    <row r="2215" spans="1:4" x14ac:dyDescent="0.3">
      <c r="A2215" t="s">
        <v>26</v>
      </c>
      <c r="C2215" s="16">
        <v>46259</v>
      </c>
      <c r="D2215">
        <v>2177.87</v>
      </c>
    </row>
    <row r="2216" spans="1:4" x14ac:dyDescent="0.3">
      <c r="A2216" t="s">
        <v>27</v>
      </c>
      <c r="C2216" s="16">
        <v>46259</v>
      </c>
      <c r="D2216">
        <v>754424.72</v>
      </c>
    </row>
    <row r="2217" spans="1:4" x14ac:dyDescent="0.3">
      <c r="A2217" t="s">
        <v>28</v>
      </c>
      <c r="C2217" s="16">
        <v>46259</v>
      </c>
      <c r="D2217">
        <v>1968.99</v>
      </c>
    </row>
    <row r="2218" spans="1:4" x14ac:dyDescent="0.3">
      <c r="A2218" t="s">
        <v>29</v>
      </c>
      <c r="C2218" s="16">
        <v>46259</v>
      </c>
      <c r="D2218">
        <v>901.34</v>
      </c>
    </row>
    <row r="2219" spans="1:4" x14ac:dyDescent="0.3">
      <c r="A2219" t="s">
        <v>30</v>
      </c>
      <c r="C2219" s="16">
        <v>46259</v>
      </c>
      <c r="D2219">
        <v>1396.08</v>
      </c>
    </row>
    <row r="2220" spans="1:4" x14ac:dyDescent="0.3">
      <c r="A2220" t="s">
        <v>31</v>
      </c>
      <c r="C2220" s="16">
        <v>46259</v>
      </c>
      <c r="D2220">
        <v>13685.709999999959</v>
      </c>
    </row>
    <row r="2221" spans="1:4" x14ac:dyDescent="0.3">
      <c r="A2221" t="s">
        <v>32</v>
      </c>
      <c r="C2221" s="16">
        <v>46259</v>
      </c>
      <c r="D2221">
        <v>8724.1700000000037</v>
      </c>
    </row>
    <row r="2222" spans="1:4" x14ac:dyDescent="0.3">
      <c r="A2222" t="s">
        <v>33</v>
      </c>
      <c r="C2222" s="16">
        <v>46259</v>
      </c>
      <c r="D2222">
        <v>19336.039999999997</v>
      </c>
    </row>
    <row r="2223" spans="1:4" x14ac:dyDescent="0.3">
      <c r="A2223" t="s">
        <v>34</v>
      </c>
      <c r="C2223" s="16">
        <v>46259</v>
      </c>
      <c r="D2223">
        <v>345</v>
      </c>
    </row>
    <row r="2224" spans="1:4" x14ac:dyDescent="0.3">
      <c r="A2224" t="s">
        <v>35</v>
      </c>
      <c r="C2224" s="16">
        <v>46259</v>
      </c>
      <c r="D2224">
        <v>12519.840000000004</v>
      </c>
    </row>
    <row r="2225" spans="1:4" x14ac:dyDescent="0.3">
      <c r="A2225" t="s">
        <v>17</v>
      </c>
      <c r="C2225" s="16">
        <v>46260</v>
      </c>
      <c r="D2225">
        <v>526096.53000000049</v>
      </c>
    </row>
    <row r="2226" spans="1:4" x14ac:dyDescent="0.3">
      <c r="A2226" t="s">
        <v>18</v>
      </c>
      <c r="C2226" s="16">
        <v>46260</v>
      </c>
      <c r="D2226">
        <v>90643.10000000018</v>
      </c>
    </row>
    <row r="2227" spans="1:4" x14ac:dyDescent="0.3">
      <c r="A2227" t="s">
        <v>19</v>
      </c>
      <c r="C2227" s="16">
        <v>46260</v>
      </c>
      <c r="D2227">
        <v>1669.89</v>
      </c>
    </row>
    <row r="2228" spans="1:4" x14ac:dyDescent="0.3">
      <c r="A2228" t="s">
        <v>20</v>
      </c>
      <c r="C2228" s="16">
        <v>46260</v>
      </c>
      <c r="D2228">
        <v>1269654.47</v>
      </c>
    </row>
    <row r="2229" spans="1:4" x14ac:dyDescent="0.3">
      <c r="A2229" t="s">
        <v>21</v>
      </c>
      <c r="C2229" s="16">
        <v>46260</v>
      </c>
      <c r="D2229">
        <v>1743289.5899999996</v>
      </c>
    </row>
    <row r="2230" spans="1:4" x14ac:dyDescent="0.3">
      <c r="A2230" t="s">
        <v>22</v>
      </c>
      <c r="C2230" s="16">
        <v>46260</v>
      </c>
      <c r="D2230">
        <v>221496.38</v>
      </c>
    </row>
    <row r="2231" spans="1:4" x14ac:dyDescent="0.3">
      <c r="A2231" t="s">
        <v>23</v>
      </c>
      <c r="C2231" s="16">
        <v>46260</v>
      </c>
      <c r="D2231">
        <v>158071.25999999998</v>
      </c>
    </row>
    <row r="2232" spans="1:4" x14ac:dyDescent="0.3">
      <c r="A2232" t="s">
        <v>24</v>
      </c>
      <c r="C2232" s="16">
        <v>46260</v>
      </c>
      <c r="D2232">
        <v>13270.02</v>
      </c>
    </row>
    <row r="2233" spans="1:4" x14ac:dyDescent="0.3">
      <c r="A2233" t="s">
        <v>25</v>
      </c>
      <c r="C2233" s="16">
        <v>46260</v>
      </c>
      <c r="D2233">
        <v>24.450000000000003</v>
      </c>
    </row>
    <row r="2234" spans="1:4" x14ac:dyDescent="0.3">
      <c r="A2234" t="s">
        <v>26</v>
      </c>
      <c r="C2234" s="16">
        <v>46260</v>
      </c>
      <c r="D2234">
        <v>2177.87</v>
      </c>
    </row>
    <row r="2235" spans="1:4" x14ac:dyDescent="0.3">
      <c r="A2235" t="s">
        <v>27</v>
      </c>
      <c r="C2235" s="16">
        <v>46260</v>
      </c>
      <c r="D2235">
        <v>754424.72</v>
      </c>
    </row>
    <row r="2236" spans="1:4" x14ac:dyDescent="0.3">
      <c r="A2236" t="s">
        <v>28</v>
      </c>
      <c r="C2236" s="16">
        <v>46260</v>
      </c>
      <c r="D2236">
        <v>1968.99</v>
      </c>
    </row>
    <row r="2237" spans="1:4" x14ac:dyDescent="0.3">
      <c r="A2237" t="s">
        <v>29</v>
      </c>
      <c r="C2237" s="16">
        <v>46260</v>
      </c>
      <c r="D2237">
        <v>901.34</v>
      </c>
    </row>
    <row r="2238" spans="1:4" x14ac:dyDescent="0.3">
      <c r="A2238" t="s">
        <v>30</v>
      </c>
      <c r="C2238" s="16">
        <v>46260</v>
      </c>
      <c r="D2238">
        <v>1396.08</v>
      </c>
    </row>
    <row r="2239" spans="1:4" x14ac:dyDescent="0.3">
      <c r="A2239" t="s">
        <v>31</v>
      </c>
      <c r="C2239" s="16">
        <v>46260</v>
      </c>
      <c r="D2239">
        <v>13685.709999999959</v>
      </c>
    </row>
    <row r="2240" spans="1:4" x14ac:dyDescent="0.3">
      <c r="A2240" t="s">
        <v>32</v>
      </c>
      <c r="C2240" s="16">
        <v>46260</v>
      </c>
      <c r="D2240">
        <v>8724.1700000000037</v>
      </c>
    </row>
    <row r="2241" spans="1:4" x14ac:dyDescent="0.3">
      <c r="A2241" t="s">
        <v>33</v>
      </c>
      <c r="C2241" s="16">
        <v>46260</v>
      </c>
      <c r="D2241">
        <v>19336.039999999997</v>
      </c>
    </row>
    <row r="2242" spans="1:4" x14ac:dyDescent="0.3">
      <c r="A2242" t="s">
        <v>34</v>
      </c>
      <c r="C2242" s="16">
        <v>46260</v>
      </c>
      <c r="D2242">
        <v>345</v>
      </c>
    </row>
    <row r="2243" spans="1:4" x14ac:dyDescent="0.3">
      <c r="A2243" t="s">
        <v>35</v>
      </c>
      <c r="C2243" s="16">
        <v>46260</v>
      </c>
      <c r="D2243">
        <v>12519.840000000004</v>
      </c>
    </row>
    <row r="2244" spans="1:4" x14ac:dyDescent="0.3">
      <c r="A2244" t="s">
        <v>17</v>
      </c>
      <c r="C2244" s="16">
        <v>46261</v>
      </c>
      <c r="D2244">
        <v>578093.59000000043</v>
      </c>
    </row>
    <row r="2245" spans="1:4" x14ac:dyDescent="0.3">
      <c r="A2245" t="s">
        <v>18</v>
      </c>
      <c r="C2245" s="16">
        <v>46261</v>
      </c>
      <c r="D2245">
        <v>90643.10000000018</v>
      </c>
    </row>
    <row r="2246" spans="1:4" x14ac:dyDescent="0.3">
      <c r="A2246" t="s">
        <v>19</v>
      </c>
      <c r="C2246" s="16">
        <v>46261</v>
      </c>
      <c r="D2246">
        <v>1669.89</v>
      </c>
    </row>
    <row r="2247" spans="1:4" x14ac:dyDescent="0.3">
      <c r="A2247" t="s">
        <v>20</v>
      </c>
      <c r="C2247" s="16">
        <v>46261</v>
      </c>
      <c r="D2247">
        <v>1394654.47</v>
      </c>
    </row>
    <row r="2248" spans="1:4" x14ac:dyDescent="0.3">
      <c r="A2248" t="s">
        <v>21</v>
      </c>
      <c r="C2248" s="16">
        <v>46261</v>
      </c>
      <c r="D2248">
        <v>1719364.7199999997</v>
      </c>
    </row>
    <row r="2249" spans="1:4" x14ac:dyDescent="0.3">
      <c r="A2249" t="s">
        <v>22</v>
      </c>
      <c r="C2249" s="16">
        <v>46261</v>
      </c>
      <c r="D2249">
        <v>221496.38</v>
      </c>
    </row>
    <row r="2250" spans="1:4" x14ac:dyDescent="0.3">
      <c r="A2250" t="s">
        <v>23</v>
      </c>
      <c r="C2250" s="16">
        <v>46261</v>
      </c>
      <c r="D2250">
        <v>158071.25999999998</v>
      </c>
    </row>
    <row r="2251" spans="1:4" x14ac:dyDescent="0.3">
      <c r="A2251" t="s">
        <v>24</v>
      </c>
      <c r="C2251" s="16">
        <v>46261</v>
      </c>
      <c r="D2251">
        <v>13270.02</v>
      </c>
    </row>
    <row r="2252" spans="1:4" x14ac:dyDescent="0.3">
      <c r="A2252" t="s">
        <v>25</v>
      </c>
      <c r="C2252" s="16">
        <v>46261</v>
      </c>
      <c r="D2252">
        <v>124.45</v>
      </c>
    </row>
    <row r="2253" spans="1:4" x14ac:dyDescent="0.3">
      <c r="A2253" t="s">
        <v>26</v>
      </c>
      <c r="C2253" s="16">
        <v>46261</v>
      </c>
      <c r="D2253">
        <v>2177.87</v>
      </c>
    </row>
    <row r="2254" spans="1:4" x14ac:dyDescent="0.3">
      <c r="A2254" t="s">
        <v>27</v>
      </c>
      <c r="C2254" s="16">
        <v>46261</v>
      </c>
      <c r="D2254">
        <v>754424.72</v>
      </c>
    </row>
    <row r="2255" spans="1:4" x14ac:dyDescent="0.3">
      <c r="A2255" t="s">
        <v>28</v>
      </c>
      <c r="C2255" s="16">
        <v>46261</v>
      </c>
      <c r="D2255">
        <v>1968.99</v>
      </c>
    </row>
    <row r="2256" spans="1:4" x14ac:dyDescent="0.3">
      <c r="A2256" t="s">
        <v>29</v>
      </c>
      <c r="C2256" s="16">
        <v>46261</v>
      </c>
      <c r="D2256">
        <v>901.34</v>
      </c>
    </row>
    <row r="2257" spans="1:4" x14ac:dyDescent="0.3">
      <c r="A2257" t="s">
        <v>30</v>
      </c>
      <c r="C2257" s="16">
        <v>46261</v>
      </c>
      <c r="D2257">
        <v>1396.08</v>
      </c>
    </row>
    <row r="2258" spans="1:4" x14ac:dyDescent="0.3">
      <c r="A2258" t="s">
        <v>31</v>
      </c>
      <c r="C2258" s="16">
        <v>46261</v>
      </c>
      <c r="D2258">
        <v>33685.709999999963</v>
      </c>
    </row>
    <row r="2259" spans="1:4" x14ac:dyDescent="0.3">
      <c r="A2259" t="s">
        <v>32</v>
      </c>
      <c r="C2259" s="16">
        <v>46261</v>
      </c>
      <c r="D2259">
        <v>29724.170000000006</v>
      </c>
    </row>
    <row r="2260" spans="1:4" x14ac:dyDescent="0.3">
      <c r="A2260" t="s">
        <v>33</v>
      </c>
      <c r="C2260" s="16">
        <v>46261</v>
      </c>
      <c r="D2260">
        <v>19336.039999999997</v>
      </c>
    </row>
    <row r="2261" spans="1:4" x14ac:dyDescent="0.3">
      <c r="A2261" t="s">
        <v>34</v>
      </c>
      <c r="C2261" s="16">
        <v>46261</v>
      </c>
      <c r="D2261">
        <v>345</v>
      </c>
    </row>
    <row r="2262" spans="1:4" x14ac:dyDescent="0.3">
      <c r="A2262" t="s">
        <v>35</v>
      </c>
      <c r="C2262" s="16">
        <v>46261</v>
      </c>
      <c r="D2262">
        <v>9608.7000000000025</v>
      </c>
    </row>
    <row r="2263" spans="1:4" x14ac:dyDescent="0.3">
      <c r="A2263" t="s">
        <v>17</v>
      </c>
      <c r="C2263" s="16">
        <v>46262</v>
      </c>
      <c r="D2263">
        <v>743430.83000000054</v>
      </c>
    </row>
    <row r="2264" spans="1:4" x14ac:dyDescent="0.3">
      <c r="A2264" t="s">
        <v>18</v>
      </c>
      <c r="C2264" s="16">
        <v>46262</v>
      </c>
      <c r="D2264">
        <v>93280.230000000171</v>
      </c>
    </row>
    <row r="2265" spans="1:4" x14ac:dyDescent="0.3">
      <c r="A2265" t="s">
        <v>19</v>
      </c>
      <c r="C2265" s="16">
        <v>46262</v>
      </c>
      <c r="D2265">
        <v>1669.89</v>
      </c>
    </row>
    <row r="2266" spans="1:4" x14ac:dyDescent="0.3">
      <c r="A2266" t="s">
        <v>20</v>
      </c>
      <c r="C2266" s="16">
        <v>46262</v>
      </c>
      <c r="D2266">
        <v>1418445.91</v>
      </c>
    </row>
    <row r="2267" spans="1:4" x14ac:dyDescent="0.3">
      <c r="A2267" t="s">
        <v>21</v>
      </c>
      <c r="C2267" s="16">
        <v>46262</v>
      </c>
      <c r="D2267">
        <v>1553167.1899999995</v>
      </c>
    </row>
    <row r="2268" spans="1:4" x14ac:dyDescent="0.3">
      <c r="A2268" t="s">
        <v>22</v>
      </c>
      <c r="C2268" s="16">
        <v>46262</v>
      </c>
      <c r="D2268">
        <v>221496.38</v>
      </c>
    </row>
    <row r="2269" spans="1:4" x14ac:dyDescent="0.3">
      <c r="A2269" t="s">
        <v>23</v>
      </c>
      <c r="C2269" s="16">
        <v>46262</v>
      </c>
      <c r="D2269">
        <v>98169.25999999998</v>
      </c>
    </row>
    <row r="2270" spans="1:4" x14ac:dyDescent="0.3">
      <c r="A2270" t="s">
        <v>24</v>
      </c>
      <c r="C2270" s="16">
        <v>46262</v>
      </c>
      <c r="D2270">
        <v>13270.02</v>
      </c>
    </row>
    <row r="2271" spans="1:4" x14ac:dyDescent="0.3">
      <c r="A2271" t="s">
        <v>25</v>
      </c>
      <c r="C2271" s="16">
        <v>46262</v>
      </c>
      <c r="D2271">
        <v>124.45</v>
      </c>
    </row>
    <row r="2272" spans="1:4" x14ac:dyDescent="0.3">
      <c r="A2272" t="s">
        <v>26</v>
      </c>
      <c r="C2272" s="16">
        <v>46262</v>
      </c>
      <c r="D2272">
        <v>2177.87</v>
      </c>
    </row>
    <row r="2273" spans="1:4" x14ac:dyDescent="0.3">
      <c r="A2273" t="s">
        <v>27</v>
      </c>
      <c r="C2273" s="16">
        <v>46262</v>
      </c>
      <c r="D2273">
        <v>754424.72</v>
      </c>
    </row>
    <row r="2274" spans="1:4" x14ac:dyDescent="0.3">
      <c r="A2274" t="s">
        <v>28</v>
      </c>
      <c r="C2274" s="16">
        <v>46262</v>
      </c>
      <c r="D2274">
        <v>1968.99</v>
      </c>
    </row>
    <row r="2275" spans="1:4" x14ac:dyDescent="0.3">
      <c r="A2275" t="s">
        <v>29</v>
      </c>
      <c r="C2275" s="16">
        <v>46262</v>
      </c>
      <c r="D2275">
        <v>901.34</v>
      </c>
    </row>
    <row r="2276" spans="1:4" x14ac:dyDescent="0.3">
      <c r="A2276" t="s">
        <v>30</v>
      </c>
      <c r="C2276" s="16">
        <v>46262</v>
      </c>
      <c r="D2276">
        <v>1396.08</v>
      </c>
    </row>
    <row r="2277" spans="1:4" x14ac:dyDescent="0.3">
      <c r="A2277" t="s">
        <v>31</v>
      </c>
      <c r="C2277" s="16">
        <v>46262</v>
      </c>
      <c r="D2277">
        <v>33670.709999999963</v>
      </c>
    </row>
    <row r="2278" spans="1:4" x14ac:dyDescent="0.3">
      <c r="A2278" t="s">
        <v>32</v>
      </c>
      <c r="C2278" s="16">
        <v>46262</v>
      </c>
      <c r="D2278">
        <v>29709.170000000006</v>
      </c>
    </row>
    <row r="2279" spans="1:4" x14ac:dyDescent="0.3">
      <c r="A2279" t="s">
        <v>33</v>
      </c>
      <c r="C2279" s="16">
        <v>46262</v>
      </c>
      <c r="D2279">
        <v>19336.039999999997</v>
      </c>
    </row>
    <row r="2280" spans="1:4" x14ac:dyDescent="0.3">
      <c r="A2280" t="s">
        <v>34</v>
      </c>
      <c r="C2280" s="16">
        <v>46262</v>
      </c>
      <c r="D2280">
        <v>345</v>
      </c>
    </row>
    <row r="2281" spans="1:4" x14ac:dyDescent="0.3">
      <c r="A2281" t="s">
        <v>35</v>
      </c>
      <c r="C2281" s="16">
        <v>46262</v>
      </c>
      <c r="D2281">
        <v>9560.0000000000018</v>
      </c>
    </row>
    <row r="2282" spans="1:4" x14ac:dyDescent="0.3">
      <c r="A2282" t="s">
        <v>17</v>
      </c>
      <c r="C2282" s="16">
        <v>46263</v>
      </c>
      <c r="D2282">
        <v>743430.83000000054</v>
      </c>
    </row>
    <row r="2283" spans="1:4" x14ac:dyDescent="0.3">
      <c r="A2283" t="s">
        <v>18</v>
      </c>
      <c r="C2283" s="16">
        <v>46263</v>
      </c>
      <c r="D2283">
        <v>93280.230000000171</v>
      </c>
    </row>
    <row r="2284" spans="1:4" x14ac:dyDescent="0.3">
      <c r="A2284" t="s">
        <v>19</v>
      </c>
      <c r="C2284" s="16">
        <v>46263</v>
      </c>
      <c r="D2284">
        <v>1669.89</v>
      </c>
    </row>
    <row r="2285" spans="1:4" x14ac:dyDescent="0.3">
      <c r="A2285" t="s">
        <v>20</v>
      </c>
      <c r="C2285" s="16">
        <v>46263</v>
      </c>
      <c r="D2285">
        <v>1418445.91</v>
      </c>
    </row>
    <row r="2286" spans="1:4" x14ac:dyDescent="0.3">
      <c r="A2286" t="s">
        <v>21</v>
      </c>
      <c r="C2286" s="16">
        <v>46263</v>
      </c>
      <c r="D2286">
        <v>1553167.1899999995</v>
      </c>
    </row>
    <row r="2287" spans="1:4" x14ac:dyDescent="0.3">
      <c r="A2287" t="s">
        <v>22</v>
      </c>
      <c r="C2287" s="16">
        <v>46263</v>
      </c>
      <c r="D2287">
        <v>221496.38</v>
      </c>
    </row>
    <row r="2288" spans="1:4" x14ac:dyDescent="0.3">
      <c r="A2288" t="s">
        <v>23</v>
      </c>
      <c r="C2288" s="16">
        <v>46263</v>
      </c>
      <c r="D2288">
        <v>98169.25999999998</v>
      </c>
    </row>
    <row r="2289" spans="1:4" x14ac:dyDescent="0.3">
      <c r="A2289" t="s">
        <v>24</v>
      </c>
      <c r="C2289" s="16">
        <v>46263</v>
      </c>
      <c r="D2289">
        <v>13270.02</v>
      </c>
    </row>
    <row r="2290" spans="1:4" x14ac:dyDescent="0.3">
      <c r="A2290" t="s">
        <v>25</v>
      </c>
      <c r="C2290" s="16">
        <v>46263</v>
      </c>
      <c r="D2290">
        <v>124.45</v>
      </c>
    </row>
    <row r="2291" spans="1:4" x14ac:dyDescent="0.3">
      <c r="A2291" t="s">
        <v>26</v>
      </c>
      <c r="C2291" s="16">
        <v>46263</v>
      </c>
      <c r="D2291">
        <v>2177.87</v>
      </c>
    </row>
    <row r="2292" spans="1:4" x14ac:dyDescent="0.3">
      <c r="A2292" t="s">
        <v>27</v>
      </c>
      <c r="C2292" s="16">
        <v>46263</v>
      </c>
      <c r="D2292">
        <v>754424.72</v>
      </c>
    </row>
    <row r="2293" spans="1:4" x14ac:dyDescent="0.3">
      <c r="A2293" t="s">
        <v>28</v>
      </c>
      <c r="C2293" s="16">
        <v>46263</v>
      </c>
      <c r="D2293">
        <v>1968.99</v>
      </c>
    </row>
    <row r="2294" spans="1:4" x14ac:dyDescent="0.3">
      <c r="A2294" t="s">
        <v>29</v>
      </c>
      <c r="C2294" s="16">
        <v>46263</v>
      </c>
      <c r="D2294">
        <v>901.34</v>
      </c>
    </row>
    <row r="2295" spans="1:4" x14ac:dyDescent="0.3">
      <c r="A2295" t="s">
        <v>30</v>
      </c>
      <c r="C2295" s="16">
        <v>46263</v>
      </c>
      <c r="D2295">
        <v>1396.08</v>
      </c>
    </row>
    <row r="2296" spans="1:4" x14ac:dyDescent="0.3">
      <c r="A2296" t="s">
        <v>31</v>
      </c>
      <c r="C2296" s="16">
        <v>46263</v>
      </c>
      <c r="D2296">
        <v>33670.709999999963</v>
      </c>
    </row>
    <row r="2297" spans="1:4" x14ac:dyDescent="0.3">
      <c r="A2297" t="s">
        <v>32</v>
      </c>
      <c r="C2297" s="16">
        <v>46263</v>
      </c>
      <c r="D2297">
        <v>29709.170000000006</v>
      </c>
    </row>
    <row r="2298" spans="1:4" x14ac:dyDescent="0.3">
      <c r="A2298" t="s">
        <v>33</v>
      </c>
      <c r="C2298" s="16">
        <v>46263</v>
      </c>
      <c r="D2298">
        <v>19336.039999999997</v>
      </c>
    </row>
    <row r="2299" spans="1:4" x14ac:dyDescent="0.3">
      <c r="A2299" t="s">
        <v>34</v>
      </c>
      <c r="C2299" s="16">
        <v>46263</v>
      </c>
      <c r="D2299">
        <v>345</v>
      </c>
    </row>
    <row r="2300" spans="1:4" x14ac:dyDescent="0.3">
      <c r="A2300" t="s">
        <v>35</v>
      </c>
      <c r="C2300" s="16">
        <v>46263</v>
      </c>
      <c r="D2300">
        <v>9560.0000000000018</v>
      </c>
    </row>
    <row r="2301" spans="1:4" x14ac:dyDescent="0.3">
      <c r="A2301" t="s">
        <v>17</v>
      </c>
      <c r="C2301" s="16">
        <v>46264</v>
      </c>
      <c r="D2301">
        <v>743430.83000000054</v>
      </c>
    </row>
    <row r="2302" spans="1:4" x14ac:dyDescent="0.3">
      <c r="A2302" t="s">
        <v>18</v>
      </c>
      <c r="C2302" s="16">
        <v>46264</v>
      </c>
      <c r="D2302">
        <v>93280.230000000171</v>
      </c>
    </row>
    <row r="2303" spans="1:4" x14ac:dyDescent="0.3">
      <c r="A2303" t="s">
        <v>19</v>
      </c>
      <c r="C2303" s="16">
        <v>46264</v>
      </c>
      <c r="D2303">
        <v>1669.89</v>
      </c>
    </row>
    <row r="2304" spans="1:4" x14ac:dyDescent="0.3">
      <c r="A2304" t="s">
        <v>20</v>
      </c>
      <c r="C2304" s="16">
        <v>46264</v>
      </c>
      <c r="D2304">
        <v>1418445.91</v>
      </c>
    </row>
    <row r="2305" spans="1:4" x14ac:dyDescent="0.3">
      <c r="A2305" t="s">
        <v>21</v>
      </c>
      <c r="C2305" s="16">
        <v>46264</v>
      </c>
      <c r="D2305">
        <v>1553167.1899999995</v>
      </c>
    </row>
    <row r="2306" spans="1:4" x14ac:dyDescent="0.3">
      <c r="A2306" t="s">
        <v>22</v>
      </c>
      <c r="C2306" s="16">
        <v>46264</v>
      </c>
      <c r="D2306">
        <v>221496.38</v>
      </c>
    </row>
    <row r="2307" spans="1:4" x14ac:dyDescent="0.3">
      <c r="A2307" t="s">
        <v>23</v>
      </c>
      <c r="C2307" s="16">
        <v>46264</v>
      </c>
      <c r="D2307">
        <v>98169.25999999998</v>
      </c>
    </row>
    <row r="2308" spans="1:4" x14ac:dyDescent="0.3">
      <c r="A2308" t="s">
        <v>24</v>
      </c>
      <c r="C2308" s="16">
        <v>46264</v>
      </c>
      <c r="D2308">
        <v>13270.02</v>
      </c>
    </row>
    <row r="2309" spans="1:4" x14ac:dyDescent="0.3">
      <c r="A2309" t="s">
        <v>25</v>
      </c>
      <c r="C2309" s="16">
        <v>46264</v>
      </c>
      <c r="D2309">
        <v>124.45</v>
      </c>
    </row>
    <row r="2310" spans="1:4" x14ac:dyDescent="0.3">
      <c r="A2310" t="s">
        <v>26</v>
      </c>
      <c r="C2310" s="16">
        <v>46264</v>
      </c>
      <c r="D2310">
        <v>2177.87</v>
      </c>
    </row>
    <row r="2311" spans="1:4" x14ac:dyDescent="0.3">
      <c r="A2311" t="s">
        <v>27</v>
      </c>
      <c r="C2311" s="16">
        <v>46264</v>
      </c>
      <c r="D2311">
        <v>754424.72</v>
      </c>
    </row>
    <row r="2312" spans="1:4" x14ac:dyDescent="0.3">
      <c r="A2312" t="s">
        <v>28</v>
      </c>
      <c r="C2312" s="16">
        <v>46264</v>
      </c>
      <c r="D2312">
        <v>1968.99</v>
      </c>
    </row>
    <row r="2313" spans="1:4" x14ac:dyDescent="0.3">
      <c r="A2313" t="s">
        <v>29</v>
      </c>
      <c r="C2313" s="16">
        <v>46264</v>
      </c>
      <c r="D2313">
        <v>901.34</v>
      </c>
    </row>
    <row r="2314" spans="1:4" x14ac:dyDescent="0.3">
      <c r="A2314" t="s">
        <v>30</v>
      </c>
      <c r="C2314" s="16">
        <v>46264</v>
      </c>
      <c r="D2314">
        <v>1396.08</v>
      </c>
    </row>
    <row r="2315" spans="1:4" x14ac:dyDescent="0.3">
      <c r="A2315" t="s">
        <v>31</v>
      </c>
      <c r="C2315" s="16">
        <v>46264</v>
      </c>
      <c r="D2315">
        <v>33670.709999999963</v>
      </c>
    </row>
    <row r="2316" spans="1:4" x14ac:dyDescent="0.3">
      <c r="A2316" t="s">
        <v>32</v>
      </c>
      <c r="C2316" s="16">
        <v>46264</v>
      </c>
      <c r="D2316">
        <v>29709.170000000006</v>
      </c>
    </row>
    <row r="2317" spans="1:4" x14ac:dyDescent="0.3">
      <c r="A2317" t="s">
        <v>33</v>
      </c>
      <c r="C2317" s="16">
        <v>46264</v>
      </c>
      <c r="D2317">
        <v>19336.039999999997</v>
      </c>
    </row>
    <row r="2318" spans="1:4" x14ac:dyDescent="0.3">
      <c r="A2318" t="s">
        <v>34</v>
      </c>
      <c r="C2318" s="16">
        <v>46264</v>
      </c>
      <c r="D2318">
        <v>345</v>
      </c>
    </row>
    <row r="2319" spans="1:4" x14ac:dyDescent="0.3">
      <c r="A2319" t="s">
        <v>35</v>
      </c>
      <c r="C2319" s="16">
        <v>46264</v>
      </c>
      <c r="D2319">
        <v>9560.0000000000018</v>
      </c>
    </row>
    <row r="2320" spans="1:4" x14ac:dyDescent="0.3">
      <c r="A2320" t="s">
        <v>17</v>
      </c>
      <c r="C2320" s="16">
        <v>46265</v>
      </c>
      <c r="D2320">
        <v>740452.88000000059</v>
      </c>
    </row>
    <row r="2321" spans="1:4" x14ac:dyDescent="0.3">
      <c r="A2321" t="s">
        <v>18</v>
      </c>
      <c r="C2321" s="16">
        <v>46265</v>
      </c>
      <c r="D2321">
        <v>93280.230000000171</v>
      </c>
    </row>
    <row r="2322" spans="1:4" x14ac:dyDescent="0.3">
      <c r="A2322" t="s">
        <v>19</v>
      </c>
      <c r="C2322" s="16">
        <v>46265</v>
      </c>
      <c r="D2322">
        <v>1669.89</v>
      </c>
    </row>
    <row r="2323" spans="1:4" x14ac:dyDescent="0.3">
      <c r="A2323" t="s">
        <v>20</v>
      </c>
      <c r="C2323" s="16">
        <v>46265</v>
      </c>
      <c r="D2323">
        <v>1419898.24</v>
      </c>
    </row>
    <row r="2324" spans="1:4" x14ac:dyDescent="0.3">
      <c r="A2324" t="s">
        <v>21</v>
      </c>
      <c r="C2324" s="16">
        <v>46265</v>
      </c>
      <c r="D2324">
        <v>1555601.2099999995</v>
      </c>
    </row>
    <row r="2325" spans="1:4" x14ac:dyDescent="0.3">
      <c r="A2325" t="s">
        <v>22</v>
      </c>
      <c r="C2325" s="16">
        <v>46265</v>
      </c>
      <c r="D2325">
        <v>221496.38</v>
      </c>
    </row>
    <row r="2326" spans="1:4" x14ac:dyDescent="0.3">
      <c r="A2326" t="s">
        <v>23</v>
      </c>
      <c r="C2326" s="16">
        <v>46265</v>
      </c>
      <c r="D2326">
        <v>98169.25999999998</v>
      </c>
    </row>
    <row r="2327" spans="1:4" x14ac:dyDescent="0.3">
      <c r="A2327" t="s">
        <v>24</v>
      </c>
      <c r="C2327" s="16">
        <v>46265</v>
      </c>
      <c r="D2327">
        <v>13270.02</v>
      </c>
    </row>
    <row r="2328" spans="1:4" x14ac:dyDescent="0.3">
      <c r="A2328" t="s">
        <v>25</v>
      </c>
      <c r="C2328" s="16">
        <v>46265</v>
      </c>
      <c r="D2328">
        <v>124.45</v>
      </c>
    </row>
    <row r="2329" spans="1:4" x14ac:dyDescent="0.3">
      <c r="A2329" t="s">
        <v>26</v>
      </c>
      <c r="C2329" s="16">
        <v>46265</v>
      </c>
      <c r="D2329">
        <v>2177.87</v>
      </c>
    </row>
    <row r="2330" spans="1:4" x14ac:dyDescent="0.3">
      <c r="A2330" t="s">
        <v>27</v>
      </c>
      <c r="C2330" s="16">
        <v>46265</v>
      </c>
      <c r="D2330">
        <v>754424.72</v>
      </c>
    </row>
    <row r="2331" spans="1:4" x14ac:dyDescent="0.3">
      <c r="A2331" t="s">
        <v>28</v>
      </c>
      <c r="C2331" s="16">
        <v>46265</v>
      </c>
      <c r="D2331">
        <v>1968.99</v>
      </c>
    </row>
    <row r="2332" spans="1:4" x14ac:dyDescent="0.3">
      <c r="A2332" t="s">
        <v>29</v>
      </c>
      <c r="C2332" s="16">
        <v>46265</v>
      </c>
      <c r="D2332">
        <v>901.34</v>
      </c>
    </row>
    <row r="2333" spans="1:4" x14ac:dyDescent="0.3">
      <c r="A2333" t="s">
        <v>30</v>
      </c>
      <c r="C2333" s="16">
        <v>46265</v>
      </c>
      <c r="D2333">
        <v>1396.08</v>
      </c>
    </row>
    <row r="2334" spans="1:4" x14ac:dyDescent="0.3">
      <c r="A2334" t="s">
        <v>31</v>
      </c>
      <c r="C2334" s="16">
        <v>46265</v>
      </c>
      <c r="D2334">
        <v>33570.709999999963</v>
      </c>
    </row>
    <row r="2335" spans="1:4" x14ac:dyDescent="0.3">
      <c r="A2335" t="s">
        <v>32</v>
      </c>
      <c r="C2335" s="16">
        <v>46265</v>
      </c>
      <c r="D2335">
        <v>26559.170000000006</v>
      </c>
    </row>
    <row r="2336" spans="1:4" x14ac:dyDescent="0.3">
      <c r="A2336" t="s">
        <v>33</v>
      </c>
      <c r="C2336" s="16">
        <v>46265</v>
      </c>
      <c r="D2336">
        <v>23736.039999999997</v>
      </c>
    </row>
    <row r="2337" spans="1:4" x14ac:dyDescent="0.3">
      <c r="A2337" t="s">
        <v>34</v>
      </c>
      <c r="C2337" s="16">
        <v>46265</v>
      </c>
      <c r="D2337">
        <v>345</v>
      </c>
    </row>
    <row r="2338" spans="1:4" x14ac:dyDescent="0.3">
      <c r="A2338" t="s">
        <v>35</v>
      </c>
      <c r="C2338" s="16">
        <v>46265</v>
      </c>
      <c r="D2338">
        <v>9560.0000000000018</v>
      </c>
    </row>
    <row r="2339" spans="1:4" x14ac:dyDescent="0.3">
      <c r="A2339" t="s">
        <v>17</v>
      </c>
      <c r="C2339" s="16">
        <v>46266</v>
      </c>
      <c r="D2339">
        <v>757677.3900000006</v>
      </c>
    </row>
    <row r="2340" spans="1:4" x14ac:dyDescent="0.3">
      <c r="A2340" t="s">
        <v>18</v>
      </c>
      <c r="C2340" s="16">
        <v>46266</v>
      </c>
      <c r="D2340">
        <v>93280.230000000171</v>
      </c>
    </row>
    <row r="2341" spans="1:4" x14ac:dyDescent="0.3">
      <c r="A2341" t="s">
        <v>19</v>
      </c>
      <c r="C2341" s="16">
        <v>46266</v>
      </c>
      <c r="D2341">
        <v>1669.89</v>
      </c>
    </row>
    <row r="2342" spans="1:4" x14ac:dyDescent="0.3">
      <c r="A2342" t="s">
        <v>20</v>
      </c>
      <c r="C2342" s="16">
        <v>46266</v>
      </c>
      <c r="D2342">
        <v>1419898.24</v>
      </c>
    </row>
    <row r="2343" spans="1:4" x14ac:dyDescent="0.3">
      <c r="A2343" t="s">
        <v>21</v>
      </c>
      <c r="C2343" s="16">
        <v>46266</v>
      </c>
      <c r="D2343">
        <v>1484962.6199999996</v>
      </c>
    </row>
    <row r="2344" spans="1:4" x14ac:dyDescent="0.3">
      <c r="A2344" t="s">
        <v>22</v>
      </c>
      <c r="C2344" s="16">
        <v>46266</v>
      </c>
      <c r="D2344">
        <v>215496.38</v>
      </c>
    </row>
    <row r="2345" spans="1:4" x14ac:dyDescent="0.3">
      <c r="A2345" t="s">
        <v>23</v>
      </c>
      <c r="C2345" s="16">
        <v>46266</v>
      </c>
      <c r="D2345">
        <v>98169.25999999998</v>
      </c>
    </row>
    <row r="2346" spans="1:4" x14ac:dyDescent="0.3">
      <c r="A2346" t="s">
        <v>24</v>
      </c>
      <c r="C2346" s="16">
        <v>46266</v>
      </c>
      <c r="D2346">
        <v>13270.02</v>
      </c>
    </row>
    <row r="2347" spans="1:4" x14ac:dyDescent="0.3">
      <c r="A2347" t="s">
        <v>25</v>
      </c>
      <c r="C2347" s="16">
        <v>46266</v>
      </c>
      <c r="D2347">
        <v>94.5</v>
      </c>
    </row>
    <row r="2348" spans="1:4" x14ac:dyDescent="0.3">
      <c r="A2348" t="s">
        <v>26</v>
      </c>
      <c r="C2348" s="16">
        <v>46266</v>
      </c>
      <c r="D2348">
        <v>2147.92</v>
      </c>
    </row>
    <row r="2349" spans="1:4" x14ac:dyDescent="0.3">
      <c r="A2349" t="s">
        <v>27</v>
      </c>
      <c r="C2349" s="16">
        <v>46266</v>
      </c>
      <c r="D2349">
        <v>754424.72</v>
      </c>
    </row>
    <row r="2350" spans="1:4" x14ac:dyDescent="0.3">
      <c r="A2350" t="s">
        <v>28</v>
      </c>
      <c r="C2350" s="16">
        <v>46266</v>
      </c>
      <c r="D2350">
        <v>1968.99</v>
      </c>
    </row>
    <row r="2351" spans="1:4" x14ac:dyDescent="0.3">
      <c r="A2351" t="s">
        <v>29</v>
      </c>
      <c r="C2351" s="16">
        <v>46266</v>
      </c>
      <c r="D2351">
        <v>901.34</v>
      </c>
    </row>
    <row r="2352" spans="1:4" x14ac:dyDescent="0.3">
      <c r="A2352" t="s">
        <v>30</v>
      </c>
      <c r="C2352" s="16">
        <v>46266</v>
      </c>
      <c r="D2352">
        <v>1380.08</v>
      </c>
    </row>
    <row r="2353" spans="1:4" x14ac:dyDescent="0.3">
      <c r="A2353" t="s">
        <v>31</v>
      </c>
      <c r="C2353" s="16">
        <v>46266</v>
      </c>
      <c r="D2353">
        <v>25027.379999999961</v>
      </c>
    </row>
    <row r="2354" spans="1:4" x14ac:dyDescent="0.3">
      <c r="A2354" t="s">
        <v>32</v>
      </c>
      <c r="C2354" s="16">
        <v>46266</v>
      </c>
      <c r="D2354">
        <v>16760.540000000008</v>
      </c>
    </row>
    <row r="2355" spans="1:4" x14ac:dyDescent="0.3">
      <c r="A2355" t="s">
        <v>33</v>
      </c>
      <c r="C2355" s="16">
        <v>46266</v>
      </c>
      <c r="D2355">
        <v>14962.999999999996</v>
      </c>
    </row>
    <row r="2356" spans="1:4" x14ac:dyDescent="0.3">
      <c r="A2356" t="s">
        <v>34</v>
      </c>
      <c r="C2356" s="16">
        <v>46266</v>
      </c>
      <c r="D2356">
        <v>345</v>
      </c>
    </row>
    <row r="2357" spans="1:4" x14ac:dyDescent="0.3">
      <c r="A2357" t="s">
        <v>35</v>
      </c>
      <c r="C2357" s="16">
        <v>46266</v>
      </c>
      <c r="D2357">
        <v>9549.7500000000018</v>
      </c>
    </row>
    <row r="2358" spans="1:4" x14ac:dyDescent="0.3">
      <c r="A2358" t="s">
        <v>17</v>
      </c>
      <c r="C2358" s="16">
        <v>46267</v>
      </c>
      <c r="D2358">
        <v>1468396.1200000006</v>
      </c>
    </row>
    <row r="2359" spans="1:4" x14ac:dyDescent="0.3">
      <c r="A2359" t="s">
        <v>18</v>
      </c>
      <c r="C2359" s="16">
        <v>46267</v>
      </c>
      <c r="D2359">
        <v>93280.230000000171</v>
      </c>
    </row>
    <row r="2360" spans="1:4" x14ac:dyDescent="0.3">
      <c r="A2360" t="s">
        <v>19</v>
      </c>
      <c r="C2360" s="16">
        <v>46267</v>
      </c>
      <c r="D2360">
        <v>1669.89</v>
      </c>
    </row>
    <row r="2361" spans="1:4" x14ac:dyDescent="0.3">
      <c r="A2361" t="s">
        <v>20</v>
      </c>
      <c r="C2361" s="16">
        <v>46267</v>
      </c>
      <c r="D2361">
        <v>1419898.24</v>
      </c>
    </row>
    <row r="2362" spans="1:4" x14ac:dyDescent="0.3">
      <c r="A2362" t="s">
        <v>21</v>
      </c>
      <c r="C2362" s="16">
        <v>46267</v>
      </c>
      <c r="D2362">
        <v>1484962.6199999996</v>
      </c>
    </row>
    <row r="2363" spans="1:4" x14ac:dyDescent="0.3">
      <c r="A2363" t="s">
        <v>22</v>
      </c>
      <c r="C2363" s="16">
        <v>46267</v>
      </c>
      <c r="D2363">
        <v>249778.14</v>
      </c>
    </row>
    <row r="2364" spans="1:4" x14ac:dyDescent="0.3">
      <c r="A2364" t="s">
        <v>23</v>
      </c>
      <c r="C2364" s="16">
        <v>46267</v>
      </c>
      <c r="D2364">
        <v>98169.25999999998</v>
      </c>
    </row>
    <row r="2365" spans="1:4" x14ac:dyDescent="0.3">
      <c r="A2365" t="s">
        <v>24</v>
      </c>
      <c r="C2365" s="16">
        <v>46267</v>
      </c>
      <c r="D2365">
        <v>13270.02</v>
      </c>
    </row>
    <row r="2366" spans="1:4" x14ac:dyDescent="0.3">
      <c r="A2366" t="s">
        <v>25</v>
      </c>
      <c r="C2366" s="16">
        <v>46267</v>
      </c>
      <c r="D2366">
        <v>94.5</v>
      </c>
    </row>
    <row r="2367" spans="1:4" x14ac:dyDescent="0.3">
      <c r="A2367" t="s">
        <v>26</v>
      </c>
      <c r="C2367" s="16">
        <v>46267</v>
      </c>
      <c r="D2367">
        <v>2147.92</v>
      </c>
    </row>
    <row r="2368" spans="1:4" x14ac:dyDescent="0.3">
      <c r="A2368" t="s">
        <v>27</v>
      </c>
      <c r="C2368" s="16">
        <v>46267</v>
      </c>
      <c r="D2368">
        <v>18005.290000000015</v>
      </c>
    </row>
    <row r="2369" spans="1:4" x14ac:dyDescent="0.3">
      <c r="A2369" t="s">
        <v>28</v>
      </c>
      <c r="C2369" s="16">
        <v>46267</v>
      </c>
      <c r="D2369">
        <v>1968.99</v>
      </c>
    </row>
    <row r="2370" spans="1:4" x14ac:dyDescent="0.3">
      <c r="A2370" t="s">
        <v>29</v>
      </c>
      <c r="C2370" s="16">
        <v>46267</v>
      </c>
      <c r="D2370">
        <v>901.34</v>
      </c>
    </row>
    <row r="2371" spans="1:4" x14ac:dyDescent="0.3">
      <c r="A2371" t="s">
        <v>30</v>
      </c>
      <c r="C2371" s="16">
        <v>46267</v>
      </c>
      <c r="D2371">
        <v>1380.08</v>
      </c>
    </row>
    <row r="2372" spans="1:4" x14ac:dyDescent="0.3">
      <c r="A2372" t="s">
        <v>31</v>
      </c>
      <c r="C2372" s="16">
        <v>46267</v>
      </c>
      <c r="D2372">
        <v>25027.379999999961</v>
      </c>
    </row>
    <row r="2373" spans="1:4" x14ac:dyDescent="0.3">
      <c r="A2373" t="s">
        <v>32</v>
      </c>
      <c r="C2373" s="16">
        <v>46267</v>
      </c>
      <c r="D2373">
        <v>16760.540000000008</v>
      </c>
    </row>
    <row r="2374" spans="1:4" x14ac:dyDescent="0.3">
      <c r="A2374" t="s">
        <v>33</v>
      </c>
      <c r="C2374" s="16">
        <v>46267</v>
      </c>
      <c r="D2374">
        <v>14162.999999999996</v>
      </c>
    </row>
    <row r="2375" spans="1:4" x14ac:dyDescent="0.3">
      <c r="A2375" t="s">
        <v>34</v>
      </c>
      <c r="C2375" s="16">
        <v>46267</v>
      </c>
      <c r="D2375">
        <v>345</v>
      </c>
    </row>
    <row r="2376" spans="1:4" x14ac:dyDescent="0.3">
      <c r="A2376" t="s">
        <v>35</v>
      </c>
      <c r="C2376" s="16">
        <v>46267</v>
      </c>
      <c r="D2376">
        <v>5861.1200000000026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2026-09-04T16:54:22Z</dcterms:modified>
  <dc:language>en-US</dc:language>
</cp:coreProperties>
</file>