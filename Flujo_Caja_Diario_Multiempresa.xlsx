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056" documentId="8_{BBC9EA4E-7F3B-475F-B61B-890F681C3A1C}" xr6:coauthVersionLast="47" xr6:coauthVersionMax="47" xr10:uidLastSave="{633D114A-00DC-4A4A-BC9D-3028F2B2B974}"/>
  <bookViews>
    <workbookView xWindow="-108" yWindow="-108" windowWidth="23256" windowHeight="12576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4" i="1" l="1"/>
  <c r="N444" i="1"/>
  <c r="O444" i="1"/>
  <c r="P444" i="1"/>
  <c r="M445" i="1"/>
  <c r="N445" i="1"/>
  <c r="O445" i="1"/>
  <c r="P445" i="1"/>
  <c r="M446" i="1"/>
  <c r="N446" i="1"/>
  <c r="O446" i="1"/>
  <c r="P446" i="1"/>
  <c r="M447" i="1"/>
  <c r="N447" i="1"/>
  <c r="O447" i="1"/>
  <c r="P447" i="1"/>
  <c r="M448" i="1"/>
  <c r="N448" i="1"/>
  <c r="O448" i="1"/>
  <c r="P448" i="1"/>
  <c r="M449" i="1"/>
  <c r="N449" i="1"/>
  <c r="O449" i="1"/>
  <c r="P449" i="1"/>
  <c r="M450" i="1"/>
  <c r="N450" i="1"/>
  <c r="O450" i="1"/>
  <c r="P450" i="1"/>
  <c r="M451" i="1"/>
  <c r="N451" i="1"/>
  <c r="O451" i="1"/>
  <c r="P451" i="1"/>
  <c r="M452" i="1"/>
  <c r="N452" i="1"/>
  <c r="O452" i="1"/>
  <c r="P452" i="1"/>
  <c r="M453" i="1"/>
  <c r="N453" i="1"/>
  <c r="O453" i="1"/>
  <c r="P453" i="1"/>
  <c r="M454" i="1"/>
  <c r="N454" i="1"/>
  <c r="O454" i="1"/>
  <c r="P454" i="1"/>
  <c r="M455" i="1"/>
  <c r="N455" i="1"/>
  <c r="O455" i="1"/>
  <c r="P455" i="1"/>
  <c r="M456" i="1"/>
  <c r="N456" i="1"/>
  <c r="O456" i="1"/>
  <c r="P456" i="1" s="1"/>
  <c r="M457" i="1"/>
  <c r="N457" i="1"/>
  <c r="O457" i="1"/>
  <c r="P457" i="1"/>
  <c r="M458" i="1"/>
  <c r="N458" i="1"/>
  <c r="O458" i="1"/>
  <c r="P458" i="1"/>
  <c r="M459" i="1"/>
  <c r="N459" i="1"/>
  <c r="O459" i="1"/>
  <c r="P459" i="1"/>
  <c r="M460" i="1"/>
  <c r="N460" i="1"/>
  <c r="P460" i="1" s="1"/>
  <c r="O460" i="1"/>
  <c r="M461" i="1"/>
  <c r="N461" i="1"/>
  <c r="O461" i="1"/>
  <c r="P461" i="1"/>
  <c r="M462" i="1"/>
  <c r="N462" i="1"/>
  <c r="P462" i="1" s="1"/>
  <c r="O462" i="1"/>
  <c r="M463" i="1"/>
  <c r="N463" i="1"/>
  <c r="O463" i="1"/>
  <c r="P463" i="1"/>
  <c r="M464" i="1"/>
  <c r="N464" i="1"/>
  <c r="P464" i="1" s="1"/>
  <c r="O464" i="1"/>
  <c r="M465" i="1"/>
  <c r="N465" i="1"/>
  <c r="O465" i="1"/>
  <c r="P465" i="1"/>
  <c r="M466" i="1"/>
  <c r="N466" i="1"/>
  <c r="O466" i="1"/>
  <c r="P466" i="1"/>
  <c r="M467" i="1"/>
  <c r="N467" i="1"/>
  <c r="O467" i="1"/>
  <c r="P467" i="1"/>
  <c r="M468" i="1"/>
  <c r="N468" i="1"/>
  <c r="O468" i="1"/>
  <c r="P468" i="1"/>
  <c r="M469" i="1"/>
  <c r="N469" i="1"/>
  <c r="O469" i="1"/>
  <c r="P469" i="1"/>
  <c r="M470" i="1"/>
  <c r="N470" i="1"/>
  <c r="O470" i="1"/>
  <c r="P470" i="1"/>
  <c r="M471" i="1"/>
  <c r="N471" i="1"/>
  <c r="O471" i="1"/>
  <c r="P471" i="1"/>
  <c r="M472" i="1"/>
  <c r="N472" i="1"/>
  <c r="O472" i="1"/>
  <c r="P472" i="1"/>
  <c r="M473" i="1"/>
  <c r="N473" i="1"/>
  <c r="O473" i="1"/>
  <c r="P473" i="1"/>
  <c r="M474" i="1"/>
  <c r="N474" i="1"/>
  <c r="O474" i="1"/>
  <c r="P474" i="1"/>
  <c r="M475" i="1"/>
  <c r="N475" i="1"/>
  <c r="O475" i="1"/>
  <c r="P475" i="1"/>
  <c r="M476" i="1"/>
  <c r="N476" i="1"/>
  <c r="O476" i="1"/>
  <c r="P476" i="1"/>
  <c r="M477" i="1"/>
  <c r="N477" i="1"/>
  <c r="O477" i="1"/>
  <c r="P477" i="1"/>
  <c r="M478" i="1"/>
  <c r="N478" i="1"/>
  <c r="O478" i="1"/>
  <c r="P478" i="1"/>
  <c r="M479" i="1"/>
  <c r="N479" i="1"/>
  <c r="O479" i="1"/>
  <c r="P479" i="1"/>
  <c r="M480" i="1"/>
  <c r="N480" i="1"/>
  <c r="O480" i="1"/>
  <c r="P480" i="1"/>
  <c r="M481" i="1"/>
  <c r="N481" i="1"/>
  <c r="O481" i="1"/>
  <c r="P481" i="1"/>
  <c r="M482" i="1"/>
  <c r="N482" i="1"/>
  <c r="O482" i="1"/>
  <c r="P482" i="1"/>
  <c r="M483" i="1"/>
  <c r="N483" i="1"/>
  <c r="O483" i="1"/>
  <c r="P483" i="1"/>
  <c r="M484" i="1"/>
  <c r="N484" i="1"/>
  <c r="O484" i="1"/>
  <c r="P484" i="1"/>
  <c r="M485" i="1"/>
  <c r="N485" i="1"/>
  <c r="O485" i="1"/>
  <c r="P485" i="1"/>
  <c r="M486" i="1"/>
  <c r="N486" i="1"/>
  <c r="O486" i="1"/>
  <c r="P486" i="1"/>
  <c r="M487" i="1"/>
  <c r="N487" i="1"/>
  <c r="O487" i="1"/>
  <c r="P487" i="1"/>
  <c r="M488" i="1"/>
  <c r="N488" i="1"/>
  <c r="O488" i="1"/>
  <c r="P488" i="1"/>
  <c r="M489" i="1"/>
  <c r="N489" i="1"/>
  <c r="O489" i="1"/>
  <c r="P489" i="1"/>
  <c r="M490" i="1"/>
  <c r="N490" i="1"/>
  <c r="O490" i="1"/>
  <c r="P490" i="1"/>
  <c r="M491" i="1"/>
  <c r="N491" i="1"/>
  <c r="O491" i="1"/>
  <c r="P491" i="1"/>
  <c r="M492" i="1"/>
  <c r="N492" i="1"/>
  <c r="O492" i="1"/>
  <c r="P492" i="1"/>
  <c r="M493" i="1"/>
  <c r="N493" i="1"/>
  <c r="O493" i="1"/>
  <c r="P493" i="1"/>
  <c r="M494" i="1"/>
  <c r="N494" i="1"/>
  <c r="O494" i="1"/>
  <c r="P494" i="1"/>
  <c r="M495" i="1"/>
  <c r="N495" i="1"/>
  <c r="O495" i="1"/>
  <c r="P495" i="1"/>
  <c r="M496" i="1"/>
  <c r="N496" i="1"/>
  <c r="O496" i="1"/>
  <c r="P496" i="1"/>
  <c r="M497" i="1"/>
  <c r="N497" i="1"/>
  <c r="O497" i="1"/>
  <c r="P497" i="1"/>
  <c r="M498" i="1"/>
  <c r="N498" i="1"/>
  <c r="O498" i="1"/>
  <c r="P498" i="1"/>
  <c r="M499" i="1"/>
  <c r="N499" i="1"/>
  <c r="O499" i="1"/>
  <c r="P499" i="1"/>
  <c r="M500" i="1"/>
  <c r="N500" i="1"/>
  <c r="O500" i="1"/>
  <c r="P500" i="1"/>
  <c r="M501" i="1"/>
  <c r="N501" i="1"/>
  <c r="O501" i="1"/>
  <c r="P501" i="1"/>
  <c r="M502" i="1"/>
  <c r="N502" i="1"/>
  <c r="O502" i="1"/>
  <c r="P502" i="1"/>
  <c r="M503" i="1"/>
  <c r="N503" i="1"/>
  <c r="O503" i="1"/>
  <c r="P503" i="1"/>
  <c r="M504" i="1"/>
  <c r="N504" i="1"/>
  <c r="P504" i="1" s="1"/>
  <c r="O504" i="1"/>
  <c r="M505" i="1"/>
  <c r="N505" i="1"/>
  <c r="O505" i="1"/>
  <c r="P505" i="1"/>
  <c r="M506" i="1"/>
  <c r="N506" i="1"/>
  <c r="O506" i="1"/>
  <c r="P506" i="1"/>
  <c r="M507" i="1"/>
  <c r="N507" i="1"/>
  <c r="O507" i="1"/>
  <c r="P507" i="1"/>
  <c r="M508" i="1"/>
  <c r="N508" i="1"/>
  <c r="O508" i="1"/>
  <c r="P508" i="1"/>
  <c r="M509" i="1"/>
  <c r="N509" i="1"/>
  <c r="O509" i="1"/>
  <c r="P509" i="1"/>
  <c r="M510" i="1"/>
  <c r="N510" i="1"/>
  <c r="O510" i="1"/>
  <c r="P510" i="1" s="1"/>
  <c r="M511" i="1"/>
  <c r="N511" i="1"/>
  <c r="O511" i="1"/>
  <c r="P511" i="1"/>
  <c r="M512" i="1"/>
  <c r="N512" i="1"/>
  <c r="O512" i="1"/>
  <c r="P512" i="1" s="1"/>
  <c r="M513" i="1"/>
  <c r="N513" i="1"/>
  <c r="O513" i="1"/>
  <c r="P513" i="1"/>
  <c r="M514" i="1"/>
  <c r="N514" i="1"/>
  <c r="P514" i="1" s="1"/>
  <c r="O514" i="1"/>
  <c r="M515" i="1"/>
  <c r="N515" i="1"/>
  <c r="O515" i="1"/>
  <c r="P515" i="1"/>
  <c r="M516" i="1"/>
  <c r="N516" i="1"/>
  <c r="O516" i="1"/>
  <c r="P516" i="1"/>
  <c r="M517" i="1"/>
  <c r="N517" i="1"/>
  <c r="O517" i="1"/>
  <c r="P517" i="1"/>
  <c r="M518" i="1"/>
  <c r="N518" i="1"/>
  <c r="O518" i="1"/>
  <c r="P518" i="1" s="1"/>
  <c r="M519" i="1"/>
  <c r="N519" i="1"/>
  <c r="O519" i="1"/>
  <c r="P519" i="1"/>
  <c r="M520" i="1"/>
  <c r="N520" i="1"/>
  <c r="O520" i="1"/>
  <c r="P520" i="1"/>
  <c r="M521" i="1"/>
  <c r="N521" i="1"/>
  <c r="O521" i="1"/>
  <c r="P521" i="1"/>
  <c r="M522" i="1"/>
  <c r="N522" i="1"/>
  <c r="O522" i="1"/>
  <c r="P522" i="1"/>
  <c r="M523" i="1"/>
  <c r="N523" i="1"/>
  <c r="O523" i="1"/>
  <c r="P523" i="1"/>
  <c r="M524" i="1"/>
  <c r="N524" i="1"/>
  <c r="O524" i="1"/>
  <c r="P524" i="1"/>
  <c r="M525" i="1"/>
  <c r="N525" i="1"/>
  <c r="O525" i="1"/>
  <c r="P525" i="1"/>
  <c r="M526" i="1"/>
  <c r="N526" i="1"/>
  <c r="O526" i="1"/>
  <c r="P526" i="1" s="1"/>
  <c r="M527" i="1"/>
  <c r="N527" i="1"/>
  <c r="O527" i="1"/>
  <c r="P527" i="1"/>
  <c r="M528" i="1"/>
  <c r="N528" i="1"/>
  <c r="O528" i="1"/>
  <c r="P528" i="1" s="1"/>
  <c r="M529" i="1"/>
  <c r="N529" i="1"/>
  <c r="O529" i="1"/>
  <c r="P529" i="1"/>
  <c r="M530" i="1"/>
  <c r="N530" i="1"/>
  <c r="O530" i="1"/>
  <c r="P530" i="1" s="1"/>
  <c r="M531" i="1"/>
  <c r="N531" i="1"/>
  <c r="O531" i="1"/>
  <c r="P531" i="1"/>
  <c r="M532" i="1"/>
  <c r="N532" i="1"/>
  <c r="O532" i="1"/>
  <c r="P532" i="1" s="1"/>
  <c r="M533" i="1"/>
  <c r="N533" i="1"/>
  <c r="O533" i="1"/>
  <c r="P533" i="1"/>
  <c r="M534" i="1"/>
  <c r="N534" i="1"/>
  <c r="O534" i="1"/>
  <c r="P534" i="1" s="1"/>
  <c r="M535" i="1"/>
  <c r="N535" i="1"/>
  <c r="O535" i="1"/>
  <c r="P535" i="1"/>
  <c r="M536" i="1"/>
  <c r="N536" i="1"/>
  <c r="O536" i="1"/>
  <c r="P536" i="1" s="1"/>
  <c r="M537" i="1"/>
  <c r="N537" i="1"/>
  <c r="O537" i="1"/>
  <c r="P537" i="1"/>
  <c r="M538" i="1"/>
  <c r="N538" i="1"/>
  <c r="O538" i="1"/>
  <c r="P538" i="1" s="1"/>
  <c r="M435" i="1"/>
  <c r="N435" i="1"/>
  <c r="P435" i="1" s="1"/>
  <c r="O435" i="1"/>
  <c r="M436" i="1"/>
  <c r="N436" i="1"/>
  <c r="P436" i="1" s="1"/>
  <c r="O436" i="1"/>
  <c r="M437" i="1"/>
  <c r="N437" i="1"/>
  <c r="O437" i="1"/>
  <c r="P437" i="1"/>
  <c r="M438" i="1"/>
  <c r="N438" i="1"/>
  <c r="O438" i="1"/>
  <c r="P438" i="1" s="1"/>
  <c r="M439" i="1"/>
  <c r="N439" i="1"/>
  <c r="O439" i="1"/>
  <c r="P439" i="1"/>
  <c r="M440" i="1"/>
  <c r="N440" i="1"/>
  <c r="O440" i="1"/>
  <c r="P440" i="1" s="1"/>
  <c r="M441" i="1"/>
  <c r="N441" i="1"/>
  <c r="O441" i="1"/>
  <c r="P441" i="1"/>
  <c r="M442" i="1"/>
  <c r="N442" i="1"/>
  <c r="O442" i="1"/>
  <c r="P442" i="1" s="1"/>
  <c r="M443" i="1"/>
  <c r="N443" i="1"/>
  <c r="O443" i="1"/>
  <c r="P443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432" i="1"/>
  <c r="M432" i="1"/>
  <c r="N432" i="1"/>
  <c r="O432" i="1"/>
  <c r="P432" i="1" s="1"/>
  <c r="K433" i="1"/>
  <c r="M433" i="1"/>
  <c r="N433" i="1"/>
  <c r="O433" i="1"/>
  <c r="P433" i="1"/>
  <c r="K434" i="1"/>
  <c r="M434" i="1"/>
  <c r="N434" i="1"/>
  <c r="O434" i="1"/>
  <c r="P434" i="1"/>
  <c r="I488" i="1"/>
  <c r="I515" i="1"/>
  <c r="I529" i="1"/>
  <c r="C488" i="1"/>
  <c r="C515" i="1"/>
  <c r="C529" i="1"/>
  <c r="I475" i="1"/>
  <c r="I514" i="1"/>
  <c r="I528" i="1"/>
  <c r="C475" i="1"/>
  <c r="C514" i="1"/>
  <c r="C528" i="1"/>
  <c r="A75" i="6"/>
  <c r="H532" i="1"/>
  <c r="H533" i="1"/>
  <c r="H534" i="1"/>
  <c r="H535" i="1"/>
  <c r="H536" i="1"/>
  <c r="H537" i="1"/>
  <c r="H538" i="1"/>
  <c r="H530" i="1"/>
  <c r="I530" i="1"/>
  <c r="I531" i="1"/>
  <c r="I532" i="1"/>
  <c r="I533" i="1"/>
  <c r="I534" i="1"/>
  <c r="I535" i="1"/>
  <c r="I536" i="1"/>
  <c r="I537" i="1"/>
  <c r="I538" i="1"/>
  <c r="C530" i="1"/>
  <c r="C531" i="1"/>
  <c r="C532" i="1"/>
  <c r="C533" i="1"/>
  <c r="C534" i="1"/>
  <c r="C535" i="1"/>
  <c r="C536" i="1"/>
  <c r="C537" i="1"/>
  <c r="C538" i="1"/>
  <c r="A72" i="6"/>
  <c r="A73" i="6"/>
  <c r="A74" i="6"/>
  <c r="I444" i="1"/>
  <c r="I472" i="1"/>
  <c r="I473" i="1"/>
  <c r="I474" i="1"/>
  <c r="I478" i="1"/>
  <c r="I479" i="1"/>
  <c r="I480" i="1"/>
  <c r="I481" i="1"/>
  <c r="I482" i="1"/>
  <c r="I484" i="1"/>
  <c r="C444" i="1"/>
  <c r="C472" i="1"/>
  <c r="C473" i="1"/>
  <c r="C474" i="1"/>
  <c r="C478" i="1"/>
  <c r="C479" i="1"/>
  <c r="C480" i="1"/>
  <c r="C481" i="1"/>
  <c r="C482" i="1"/>
  <c r="C484" i="1"/>
  <c r="I516" i="1" l="1"/>
  <c r="I517" i="1"/>
  <c r="I518" i="1"/>
  <c r="I519" i="1"/>
  <c r="I520" i="1"/>
  <c r="I521" i="1"/>
  <c r="I522" i="1"/>
  <c r="I523" i="1"/>
  <c r="I524" i="1"/>
  <c r="I525" i="1"/>
  <c r="I526" i="1"/>
  <c r="I527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A70" i="6"/>
  <c r="A71" i="6"/>
  <c r="I485" i="1"/>
  <c r="I489" i="1"/>
  <c r="I490" i="1"/>
  <c r="I486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487" i="1"/>
  <c r="I504" i="1"/>
  <c r="I505" i="1"/>
  <c r="I506" i="1"/>
  <c r="I507" i="1"/>
  <c r="I508" i="1"/>
  <c r="I509" i="1"/>
  <c r="I510" i="1"/>
  <c r="I511" i="1"/>
  <c r="I512" i="1"/>
  <c r="I513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444" i="1"/>
  <c r="E472" i="1"/>
  <c r="E473" i="1"/>
  <c r="E474" i="1"/>
  <c r="E478" i="1"/>
  <c r="E479" i="1"/>
  <c r="E480" i="1"/>
  <c r="E481" i="1"/>
  <c r="E482" i="1"/>
  <c r="E484" i="1"/>
  <c r="E530" i="1"/>
  <c r="E531" i="1"/>
  <c r="E532" i="1"/>
  <c r="E533" i="1"/>
  <c r="E534" i="1"/>
  <c r="E535" i="1"/>
  <c r="E536" i="1"/>
  <c r="E537" i="1"/>
  <c r="E538" i="1"/>
  <c r="E475" i="1"/>
  <c r="E514" i="1"/>
  <c r="E528" i="1"/>
  <c r="E488" i="1"/>
  <c r="E515" i="1"/>
  <c r="E529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444" i="1"/>
  <c r="H472" i="1"/>
  <c r="H473" i="1"/>
  <c r="H474" i="1"/>
  <c r="H478" i="1"/>
  <c r="H479" i="1"/>
  <c r="H480" i="1"/>
  <c r="H481" i="1"/>
  <c r="H482" i="1"/>
  <c r="H484" i="1"/>
  <c r="H531" i="1"/>
  <c r="H475" i="1"/>
  <c r="H514" i="1"/>
  <c r="H528" i="1"/>
  <c r="H488" i="1"/>
  <c r="H515" i="1"/>
  <c r="H529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O539" i="1"/>
  <c r="P539" i="1" s="1"/>
  <c r="O540" i="1"/>
  <c r="P540" i="1" s="1"/>
  <c r="O541" i="1"/>
  <c r="P541" i="1" s="1"/>
  <c r="O542" i="1"/>
  <c r="P542" i="1" s="1"/>
  <c r="O543" i="1"/>
  <c r="P543" i="1" s="1"/>
  <c r="O544" i="1"/>
  <c r="P544" i="1" s="1"/>
  <c r="O545" i="1"/>
  <c r="P545" i="1" s="1"/>
  <c r="O546" i="1"/>
  <c r="P546" i="1" s="1"/>
  <c r="O547" i="1"/>
  <c r="P547" i="1" s="1"/>
  <c r="O548" i="1"/>
  <c r="P548" i="1" s="1"/>
  <c r="O549" i="1"/>
  <c r="P549" i="1" s="1"/>
  <c r="O550" i="1"/>
  <c r="P550" i="1" s="1"/>
  <c r="O551" i="1"/>
  <c r="P551" i="1" s="1"/>
  <c r="O552" i="1"/>
  <c r="P552" i="1" s="1"/>
  <c r="O553" i="1"/>
  <c r="P553" i="1" s="1"/>
  <c r="O554" i="1"/>
  <c r="P554" i="1" s="1"/>
  <c r="O555" i="1"/>
  <c r="P555" i="1" s="1"/>
  <c r="O556" i="1"/>
  <c r="O557" i="1"/>
  <c r="P557" i="1" s="1"/>
  <c r="O558" i="1"/>
  <c r="P558" i="1" s="1"/>
  <c r="O559" i="1"/>
  <c r="P559" i="1" s="1"/>
  <c r="O560" i="1"/>
  <c r="P560" i="1" s="1"/>
  <c r="O561" i="1"/>
  <c r="P561" i="1" s="1"/>
  <c r="O562" i="1"/>
  <c r="P562" i="1" s="1"/>
  <c r="O563" i="1"/>
  <c r="P563" i="1" s="1"/>
  <c r="O564" i="1"/>
  <c r="P564" i="1" s="1"/>
  <c r="O565" i="1"/>
  <c r="P565" i="1" s="1"/>
  <c r="O566" i="1"/>
  <c r="P566" i="1" s="1"/>
  <c r="O567" i="1"/>
  <c r="P567" i="1" s="1"/>
  <c r="O568" i="1"/>
  <c r="P568" i="1" s="1"/>
  <c r="O569" i="1"/>
  <c r="P569" i="1" s="1"/>
  <c r="O570" i="1"/>
  <c r="P570" i="1" s="1"/>
  <c r="O571" i="1"/>
  <c r="P571" i="1" s="1"/>
  <c r="O572" i="1"/>
  <c r="P572" i="1" s="1"/>
  <c r="O573" i="1"/>
  <c r="P573" i="1" s="1"/>
  <c r="O574" i="1"/>
  <c r="P574" i="1" s="1"/>
  <c r="O575" i="1"/>
  <c r="P575" i="1" s="1"/>
  <c r="O576" i="1"/>
  <c r="P576" i="1" s="1"/>
  <c r="O577" i="1"/>
  <c r="P577" i="1" s="1"/>
  <c r="O578" i="1"/>
  <c r="P578" i="1" s="1"/>
  <c r="O579" i="1"/>
  <c r="P579" i="1" s="1"/>
  <c r="O580" i="1"/>
  <c r="P580" i="1" s="1"/>
  <c r="O581" i="1"/>
  <c r="P581" i="1" s="1"/>
  <c r="O582" i="1"/>
  <c r="P582" i="1" s="1"/>
  <c r="O583" i="1"/>
  <c r="P583" i="1" s="1"/>
  <c r="O584" i="1"/>
  <c r="P584" i="1" s="1"/>
  <c r="O585" i="1"/>
  <c r="P585" i="1" s="1"/>
  <c r="O586" i="1"/>
  <c r="P586" i="1" s="1"/>
  <c r="O587" i="1"/>
  <c r="P587" i="1" s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P597" i="1" s="1"/>
  <c r="O598" i="1"/>
  <c r="P598" i="1" s="1"/>
  <c r="O599" i="1"/>
  <c r="P599" i="1" s="1"/>
  <c r="O600" i="1"/>
  <c r="P600" i="1" s="1"/>
  <c r="O601" i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P610" i="1" s="1"/>
  <c r="O611" i="1"/>
  <c r="P611" i="1" s="1"/>
  <c r="O612" i="1"/>
  <c r="P612" i="1" s="1"/>
  <c r="O613" i="1"/>
  <c r="P613" i="1" s="1"/>
  <c r="O614" i="1"/>
  <c r="P614" i="1" s="1"/>
  <c r="O615" i="1"/>
  <c r="P615" i="1" s="1"/>
  <c r="O616" i="1"/>
  <c r="P616" i="1" s="1"/>
  <c r="O617" i="1"/>
  <c r="P617" i="1" s="1"/>
  <c r="O618" i="1"/>
  <c r="P618" i="1" s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P629" i="1" s="1"/>
  <c r="O630" i="1"/>
  <c r="P630" i="1" s="1"/>
  <c r="O631" i="1"/>
  <c r="P631" i="1" s="1"/>
  <c r="O632" i="1"/>
  <c r="P632" i="1" s="1"/>
  <c r="O633" i="1"/>
  <c r="P633" i="1" s="1"/>
  <c r="O634" i="1"/>
  <c r="P634" i="1" s="1"/>
  <c r="O635" i="1"/>
  <c r="P635" i="1" s="1"/>
  <c r="O636" i="1"/>
  <c r="P636" i="1" s="1"/>
  <c r="O637" i="1"/>
  <c r="P637" i="1" s="1"/>
  <c r="O638" i="1"/>
  <c r="P638" i="1" s="1"/>
  <c r="O639" i="1"/>
  <c r="P639" i="1" s="1"/>
  <c r="O640" i="1"/>
  <c r="P640" i="1" s="1"/>
  <c r="O641" i="1"/>
  <c r="P641" i="1" s="1"/>
  <c r="O642" i="1"/>
  <c r="P642" i="1" s="1"/>
  <c r="O643" i="1"/>
  <c r="P643" i="1" s="1"/>
  <c r="O644" i="1"/>
  <c r="P644" i="1" s="1"/>
  <c r="O645" i="1"/>
  <c r="P645" i="1" s="1"/>
  <c r="O646" i="1"/>
  <c r="P646" i="1" s="1"/>
  <c r="O647" i="1"/>
  <c r="P647" i="1" s="1"/>
  <c r="O648" i="1"/>
  <c r="P648" i="1" s="1"/>
  <c r="O649" i="1"/>
  <c r="P649" i="1" s="1"/>
  <c r="O650" i="1"/>
  <c r="P650" i="1" s="1"/>
  <c r="O651" i="1"/>
  <c r="P651" i="1" s="1"/>
  <c r="O652" i="1"/>
  <c r="O653" i="1"/>
  <c r="P653" i="1" s="1"/>
  <c r="O654" i="1"/>
  <c r="P654" i="1" s="1"/>
  <c r="O655" i="1"/>
  <c r="P655" i="1" s="1"/>
  <c r="O656" i="1"/>
  <c r="P656" i="1" s="1"/>
  <c r="O657" i="1"/>
  <c r="P657" i="1" s="1"/>
  <c r="O658" i="1"/>
  <c r="P658" i="1" s="1"/>
  <c r="O659" i="1"/>
  <c r="P659" i="1" s="1"/>
  <c r="O660" i="1"/>
  <c r="P660" i="1" s="1"/>
  <c r="O661" i="1"/>
  <c r="P661" i="1" s="1"/>
  <c r="O662" i="1"/>
  <c r="P662" i="1" s="1"/>
  <c r="O663" i="1"/>
  <c r="P663" i="1" s="1"/>
  <c r="O664" i="1"/>
  <c r="P664" i="1" s="1"/>
  <c r="O665" i="1"/>
  <c r="P665" i="1" s="1"/>
  <c r="O666" i="1"/>
  <c r="P666" i="1" s="1"/>
  <c r="O667" i="1"/>
  <c r="P667" i="1" s="1"/>
  <c r="O668" i="1"/>
  <c r="P668" i="1" s="1"/>
  <c r="O669" i="1"/>
  <c r="P669" i="1" s="1"/>
  <c r="O670" i="1"/>
  <c r="P670" i="1" s="1"/>
  <c r="O671" i="1"/>
  <c r="P671" i="1" s="1"/>
  <c r="O672" i="1"/>
  <c r="P672" i="1" s="1"/>
  <c r="O673" i="1"/>
  <c r="P673" i="1" s="1"/>
  <c r="O674" i="1"/>
  <c r="P674" i="1" s="1"/>
  <c r="O675" i="1"/>
  <c r="P675" i="1" s="1"/>
  <c r="O676" i="1"/>
  <c r="P676" i="1" s="1"/>
  <c r="O677" i="1"/>
  <c r="P677" i="1" s="1"/>
  <c r="O678" i="1"/>
  <c r="P678" i="1" s="1"/>
  <c r="O679" i="1"/>
  <c r="P679" i="1" s="1"/>
  <c r="O680" i="1"/>
  <c r="P680" i="1" s="1"/>
  <c r="O681" i="1"/>
  <c r="P681" i="1" s="1"/>
  <c r="O682" i="1"/>
  <c r="P682" i="1" s="1"/>
  <c r="O683" i="1"/>
  <c r="P683" i="1" s="1"/>
  <c r="O684" i="1"/>
  <c r="P684" i="1" s="1"/>
  <c r="O685" i="1"/>
  <c r="P685" i="1" s="1"/>
  <c r="O686" i="1"/>
  <c r="P686" i="1" s="1"/>
  <c r="O687" i="1"/>
  <c r="P687" i="1" s="1"/>
  <c r="O688" i="1"/>
  <c r="P688" i="1" s="1"/>
  <c r="O689" i="1"/>
  <c r="P689" i="1" s="1"/>
  <c r="O690" i="1"/>
  <c r="P690" i="1" s="1"/>
  <c r="O691" i="1"/>
  <c r="P691" i="1" s="1"/>
  <c r="O692" i="1"/>
  <c r="P692" i="1" s="1"/>
  <c r="O693" i="1"/>
  <c r="P693" i="1" s="1"/>
  <c r="O694" i="1"/>
  <c r="P694" i="1" s="1"/>
  <c r="O695" i="1"/>
  <c r="P695" i="1" s="1"/>
  <c r="O696" i="1"/>
  <c r="P696" i="1" s="1"/>
  <c r="O697" i="1"/>
  <c r="P697" i="1" s="1"/>
  <c r="O698" i="1"/>
  <c r="P698" i="1" s="1"/>
  <c r="O699" i="1"/>
  <c r="P699" i="1" s="1"/>
  <c r="O700" i="1"/>
  <c r="P700" i="1" s="1"/>
  <c r="O701" i="1"/>
  <c r="P701" i="1" s="1"/>
  <c r="O702" i="1"/>
  <c r="P702" i="1" s="1"/>
  <c r="O703" i="1"/>
  <c r="P703" i="1" s="1"/>
  <c r="O704" i="1"/>
  <c r="P704" i="1" s="1"/>
  <c r="O705" i="1"/>
  <c r="O706" i="1"/>
  <c r="P706" i="1" s="1"/>
  <c r="O707" i="1"/>
  <c r="P707" i="1" s="1"/>
  <c r="O708" i="1"/>
  <c r="O709" i="1"/>
  <c r="P709" i="1" s="1"/>
  <c r="O710" i="1"/>
  <c r="P710" i="1" s="1"/>
  <c r="O711" i="1"/>
  <c r="P711" i="1" s="1"/>
  <c r="O712" i="1"/>
  <c r="P712" i="1" s="1"/>
  <c r="O713" i="1"/>
  <c r="P713" i="1" s="1"/>
  <c r="O714" i="1"/>
  <c r="P714" i="1" s="1"/>
  <c r="O715" i="1"/>
  <c r="P715" i="1" s="1"/>
  <c r="O716" i="1"/>
  <c r="P716" i="1" s="1"/>
  <c r="O717" i="1"/>
  <c r="P717" i="1" s="1"/>
  <c r="O718" i="1"/>
  <c r="P718" i="1" s="1"/>
  <c r="O719" i="1"/>
  <c r="P719" i="1" s="1"/>
  <c r="O720" i="1"/>
  <c r="P720" i="1" s="1"/>
  <c r="O721" i="1"/>
  <c r="P721" i="1" s="1"/>
  <c r="O722" i="1"/>
  <c r="P722" i="1" s="1"/>
  <c r="O723" i="1"/>
  <c r="P723" i="1" s="1"/>
  <c r="O724" i="1"/>
  <c r="P724" i="1" s="1"/>
  <c r="P556" i="1"/>
  <c r="P601" i="1"/>
  <c r="P652" i="1"/>
  <c r="P705" i="1"/>
  <c r="P708" i="1"/>
  <c r="C485" i="1"/>
  <c r="C489" i="1"/>
  <c r="C490" i="1"/>
  <c r="C486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487" i="1"/>
  <c r="C504" i="1"/>
  <c r="C505" i="1"/>
  <c r="C506" i="1"/>
  <c r="C507" i="1"/>
  <c r="C508" i="1"/>
  <c r="C509" i="1"/>
  <c r="C510" i="1"/>
  <c r="C511" i="1"/>
  <c r="C512" i="1"/>
  <c r="C513" i="1"/>
  <c r="E485" i="1"/>
  <c r="E489" i="1"/>
  <c r="E490" i="1"/>
  <c r="E486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487" i="1"/>
  <c r="E504" i="1"/>
  <c r="E505" i="1"/>
  <c r="E506" i="1"/>
  <c r="E507" i="1"/>
  <c r="E508" i="1"/>
  <c r="E509" i="1"/>
  <c r="E510" i="1"/>
  <c r="E511" i="1"/>
  <c r="E512" i="1"/>
  <c r="E513" i="1"/>
  <c r="H485" i="1"/>
  <c r="H489" i="1"/>
  <c r="H490" i="1"/>
  <c r="H486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487" i="1"/>
  <c r="H504" i="1"/>
  <c r="H505" i="1"/>
  <c r="H506" i="1"/>
  <c r="H507" i="1"/>
  <c r="H508" i="1"/>
  <c r="H509" i="1"/>
  <c r="H510" i="1"/>
  <c r="H511" i="1"/>
  <c r="H512" i="1"/>
  <c r="H513" i="1"/>
  <c r="H35" i="3"/>
  <c r="I35" i="3" s="1"/>
  <c r="I483" i="1"/>
  <c r="C483" i="1"/>
  <c r="E483" i="1"/>
  <c r="H483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I2" i="3" l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6" i="1"/>
  <c r="I477" i="1"/>
  <c r="C476" i="1"/>
  <c r="C477" i="1"/>
  <c r="E476" i="1"/>
  <c r="E477" i="1"/>
  <c r="H476" i="1"/>
  <c r="H477" i="1"/>
  <c r="H471" i="1"/>
  <c r="I471" i="1"/>
  <c r="C471" i="1"/>
  <c r="E471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O13" i="3" l="1"/>
  <c r="P28" i="3"/>
  <c r="P23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O19" i="3" l="1"/>
  <c r="P19" i="3"/>
  <c r="O32" i="3"/>
  <c r="M388" i="1"/>
  <c r="M387" i="1"/>
  <c r="M386" i="1"/>
  <c r="J19" i="3"/>
  <c r="M415" i="1"/>
  <c r="M422" i="1"/>
  <c r="J32" i="3"/>
  <c r="P18" i="3"/>
  <c r="K18" i="3"/>
  <c r="O18" i="3"/>
  <c r="M389" i="1"/>
  <c r="I367" i="1"/>
  <c r="I369" i="1"/>
  <c r="I370" i="1"/>
  <c r="I371" i="1"/>
  <c r="I372" i="1"/>
  <c r="I373" i="1"/>
  <c r="C369" i="1"/>
  <c r="C370" i="1"/>
  <c r="C371" i="1"/>
  <c r="C372" i="1"/>
  <c r="C373" i="1"/>
  <c r="E369" i="1"/>
  <c r="E370" i="1"/>
  <c r="E371" i="1"/>
  <c r="E372" i="1"/>
  <c r="E373" i="1"/>
  <c r="H369" i="1"/>
  <c r="H370" i="1"/>
  <c r="H371" i="1"/>
  <c r="H372" i="1"/>
  <c r="H373" i="1"/>
  <c r="M373" i="1" l="1"/>
  <c r="K5" i="3"/>
  <c r="J5" i="3"/>
  <c r="M372" i="1"/>
  <c r="M426" i="1"/>
  <c r="J8" i="3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P25" i="3" l="1"/>
  <c r="O25" i="3"/>
  <c r="J25" i="3"/>
  <c r="K25" i="3"/>
  <c r="M239" i="1"/>
  <c r="P361" i="1"/>
  <c r="P362" i="1"/>
  <c r="C238" i="1"/>
  <c r="E238" i="1"/>
  <c r="H238" i="1"/>
  <c r="I238" i="1"/>
  <c r="K238" i="1"/>
  <c r="C236" i="1"/>
  <c r="T16" i="3" s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P11" i="3" l="1"/>
  <c r="K23" i="3"/>
  <c r="O30" i="3"/>
  <c r="O22" i="3"/>
  <c r="P33" i="3"/>
  <c r="O8" i="3"/>
  <c r="J28" i="3"/>
  <c r="P30" i="3"/>
  <c r="K28" i="3"/>
  <c r="K30" i="3"/>
  <c r="J33" i="3"/>
  <c r="O23" i="3"/>
  <c r="J22" i="3"/>
  <c r="P22" i="3"/>
  <c r="K22" i="3"/>
  <c r="O28" i="3"/>
  <c r="T27" i="3"/>
  <c r="T2" i="3"/>
  <c r="T24" i="3"/>
  <c r="U15" i="3"/>
  <c r="U5" i="3"/>
  <c r="T4" i="3"/>
  <c r="T8" i="3"/>
  <c r="U23" i="3"/>
  <c r="U30" i="3"/>
  <c r="T32" i="3"/>
  <c r="T13" i="3"/>
  <c r="T25" i="3"/>
  <c r="T28" i="3"/>
  <c r="T9" i="3"/>
  <c r="T5" i="3"/>
  <c r="U27" i="3"/>
  <c r="V27" i="3" s="1"/>
  <c r="U34" i="3"/>
  <c r="T20" i="3"/>
  <c r="T29" i="3"/>
  <c r="T34" i="3"/>
  <c r="U26" i="3"/>
  <c r="U22" i="3"/>
  <c r="U35" i="3"/>
  <c r="T12" i="3"/>
  <c r="T21" i="3"/>
  <c r="T35" i="3"/>
  <c r="U18" i="3"/>
  <c r="T33" i="3"/>
  <c r="U9" i="3"/>
  <c r="U17" i="3"/>
  <c r="U25" i="3"/>
  <c r="U33" i="3"/>
  <c r="T7" i="3"/>
  <c r="T15" i="3"/>
  <c r="T23" i="3"/>
  <c r="U7" i="3"/>
  <c r="U11" i="3"/>
  <c r="U19" i="3"/>
  <c r="U3" i="3"/>
  <c r="U12" i="3"/>
  <c r="U20" i="3"/>
  <c r="U28" i="3"/>
  <c r="V28" i="3" s="1"/>
  <c r="U2" i="3"/>
  <c r="U4" i="3"/>
  <c r="V4" i="3" s="1"/>
  <c r="U13" i="3"/>
  <c r="U21" i="3"/>
  <c r="U29" i="3"/>
  <c r="U6" i="3"/>
  <c r="U8" i="3"/>
  <c r="U16" i="3"/>
  <c r="V16" i="3" s="1"/>
  <c r="U24" i="3"/>
  <c r="U32" i="3"/>
  <c r="T6" i="3"/>
  <c r="O35" i="3"/>
  <c r="O20" i="3"/>
  <c r="J26" i="3"/>
  <c r="O26" i="3"/>
  <c r="J27" i="3"/>
  <c r="O24" i="3"/>
  <c r="K4" i="3"/>
  <c r="O21" i="3"/>
  <c r="P26" i="3"/>
  <c r="P13" i="3"/>
  <c r="O5" i="3"/>
  <c r="P21" i="3"/>
  <c r="K35" i="3"/>
  <c r="K26" i="3"/>
  <c r="P2" i="3"/>
  <c r="P24" i="3"/>
  <c r="O11" i="3"/>
  <c r="O4" i="3"/>
  <c r="K24" i="3"/>
  <c r="J4" i="3"/>
  <c r="J9" i="3"/>
  <c r="J24" i="3"/>
  <c r="K27" i="3"/>
  <c r="K20" i="3"/>
  <c r="J11" i="3"/>
  <c r="K21" i="3"/>
  <c r="P20" i="3"/>
  <c r="J20" i="3"/>
  <c r="K11" i="3"/>
  <c r="K17" i="3"/>
  <c r="O17" i="3"/>
  <c r="M237" i="1"/>
  <c r="S42" i="6"/>
  <c r="G36" i="6"/>
  <c r="M35" i="6"/>
  <c r="F35" i="6"/>
  <c r="R37" i="6"/>
  <c r="P5" i="3"/>
  <c r="N37" i="6"/>
  <c r="P32" i="3"/>
  <c r="O42" i="6"/>
  <c r="N42" i="6"/>
  <c r="J39" i="6"/>
  <c r="K36" i="6"/>
  <c r="Q37" i="6"/>
  <c r="K38" i="6"/>
  <c r="O36" i="6"/>
  <c r="K13" i="3"/>
  <c r="K42" i="6"/>
  <c r="Q33" i="6"/>
  <c r="R34" i="6"/>
  <c r="P34" i="6"/>
  <c r="K16" i="3"/>
  <c r="U33" i="6"/>
  <c r="P17" i="3"/>
  <c r="O9" i="3"/>
  <c r="P35" i="3"/>
  <c r="P38" i="6"/>
  <c r="K41" i="6"/>
  <c r="C37" i="6"/>
  <c r="Q40" i="6"/>
  <c r="S40" i="6"/>
  <c r="D33" i="6"/>
  <c r="E39" i="6"/>
  <c r="J13" i="3"/>
  <c r="T42" i="6"/>
  <c r="H38" i="6"/>
  <c r="K37" i="6"/>
  <c r="I42" i="6"/>
  <c r="D40" i="6"/>
  <c r="D34" i="6"/>
  <c r="U39" i="6"/>
  <c r="M33" i="6"/>
  <c r="M40" i="6"/>
  <c r="I34" i="6"/>
  <c r="U40" i="6"/>
  <c r="R38" i="6"/>
  <c r="P39" i="6"/>
  <c r="M234" i="1"/>
  <c r="P4" i="3"/>
  <c r="Q42" i="6"/>
  <c r="K7" i="3"/>
  <c r="U38" i="6"/>
  <c r="T33" i="6"/>
  <c r="T41" i="6"/>
  <c r="K19" i="3"/>
  <c r="E41" i="6"/>
  <c r="T36" i="6"/>
  <c r="N39" i="6"/>
  <c r="N41" i="6"/>
  <c r="D36" i="6"/>
  <c r="P27" i="3"/>
  <c r="R42" i="6"/>
  <c r="U37" i="6"/>
  <c r="H34" i="6"/>
  <c r="F40" i="6"/>
  <c r="K33" i="3"/>
  <c r="O34" i="6"/>
  <c r="S35" i="6"/>
  <c r="U41" i="6"/>
  <c r="O27" i="3"/>
  <c r="T37" i="6"/>
  <c r="G42" i="6"/>
  <c r="L41" i="6"/>
  <c r="M34" i="6"/>
  <c r="J37" i="6"/>
  <c r="F34" i="6"/>
  <c r="G33" i="6"/>
  <c r="C41" i="6"/>
  <c r="U42" i="6"/>
  <c r="H33" i="6"/>
  <c r="H39" i="6"/>
  <c r="T40" i="6"/>
  <c r="M41" i="6"/>
  <c r="M36" i="6"/>
  <c r="F37" i="6"/>
  <c r="J35" i="6"/>
  <c r="E37" i="6"/>
  <c r="D39" i="6"/>
  <c r="K39" i="6"/>
  <c r="C40" i="6"/>
  <c r="L38" i="6"/>
  <c r="N33" i="6"/>
  <c r="C35" i="6"/>
  <c r="M42" i="6"/>
  <c r="Q39" i="6"/>
  <c r="F42" i="6"/>
  <c r="G40" i="6"/>
  <c r="O37" i="6"/>
  <c r="G41" i="6"/>
  <c r="E35" i="6"/>
  <c r="F38" i="6"/>
  <c r="J6" i="3"/>
  <c r="G34" i="6"/>
  <c r="O35" i="6"/>
  <c r="S38" i="6"/>
  <c r="N40" i="6"/>
  <c r="H41" i="6"/>
  <c r="H42" i="6"/>
  <c r="C33" i="6"/>
  <c r="I35" i="6"/>
  <c r="I37" i="6"/>
  <c r="R36" i="6"/>
  <c r="M39" i="6"/>
  <c r="J34" i="6"/>
  <c r="R41" i="6"/>
  <c r="Q41" i="6"/>
  <c r="P41" i="6"/>
  <c r="K33" i="6"/>
  <c r="J40" i="6"/>
  <c r="M38" i="6"/>
  <c r="F33" i="6"/>
  <c r="D37" i="6"/>
  <c r="R39" i="6"/>
  <c r="N36" i="6"/>
  <c r="D38" i="6"/>
  <c r="K34" i="6"/>
  <c r="S39" i="6"/>
  <c r="K40" i="6"/>
  <c r="H37" i="6"/>
  <c r="P6" i="3"/>
  <c r="M37" i="6"/>
  <c r="G39" i="6"/>
  <c r="J41" i="6"/>
  <c r="L36" i="6"/>
  <c r="E38" i="6"/>
  <c r="O38" i="6"/>
  <c r="T35" i="6"/>
  <c r="L34" i="6"/>
  <c r="S36" i="6"/>
  <c r="L42" i="6"/>
  <c r="P36" i="6"/>
  <c r="Q38" i="6"/>
  <c r="L33" i="6"/>
  <c r="N38" i="6"/>
  <c r="C34" i="6"/>
  <c r="O39" i="6"/>
  <c r="U35" i="6"/>
  <c r="L40" i="6"/>
  <c r="H36" i="6"/>
  <c r="T34" i="6"/>
  <c r="E42" i="6"/>
  <c r="E40" i="6"/>
  <c r="H35" i="6"/>
  <c r="H40" i="6"/>
  <c r="D35" i="6"/>
  <c r="L35" i="6"/>
  <c r="L39" i="6"/>
  <c r="G35" i="6"/>
  <c r="E33" i="6"/>
  <c r="U34" i="6"/>
  <c r="K35" i="6"/>
  <c r="N34" i="6"/>
  <c r="R40" i="6"/>
  <c r="S33" i="6"/>
  <c r="Q35" i="6"/>
  <c r="E34" i="6"/>
  <c r="S34" i="6"/>
  <c r="R33" i="6"/>
  <c r="G37" i="6"/>
  <c r="T39" i="6"/>
  <c r="R35" i="6"/>
  <c r="D41" i="6"/>
  <c r="D42" i="6"/>
  <c r="G38" i="6"/>
  <c r="S37" i="6"/>
  <c r="I40" i="6"/>
  <c r="L37" i="6"/>
  <c r="T38" i="6"/>
  <c r="I36" i="6"/>
  <c r="P33" i="6"/>
  <c r="C42" i="6"/>
  <c r="I33" i="6"/>
  <c r="I38" i="6"/>
  <c r="F39" i="6"/>
  <c r="C38" i="6"/>
  <c r="C39" i="6"/>
  <c r="I41" i="6"/>
  <c r="Q36" i="6"/>
  <c r="E36" i="6"/>
  <c r="O33" i="6"/>
  <c r="O40" i="6"/>
  <c r="F36" i="6"/>
  <c r="J36" i="6"/>
  <c r="N35" i="6"/>
  <c r="U36" i="6"/>
  <c r="J33" i="6"/>
  <c r="Q34" i="6"/>
  <c r="P37" i="6"/>
  <c r="K6" i="3"/>
  <c r="C36" i="6"/>
  <c r="J42" i="6"/>
  <c r="P40" i="6"/>
  <c r="P35" i="6"/>
  <c r="I39" i="6"/>
  <c r="S41" i="6"/>
  <c r="O6" i="3"/>
  <c r="F41" i="6"/>
  <c r="O41" i="6"/>
  <c r="J38" i="6"/>
  <c r="P42" i="6"/>
  <c r="J16" i="3"/>
  <c r="P16" i="3"/>
  <c r="M236" i="1"/>
  <c r="O16" i="3"/>
  <c r="M235" i="1"/>
  <c r="J15" i="3"/>
  <c r="P15" i="3"/>
  <c r="O15" i="3"/>
  <c r="K15" i="3"/>
  <c r="O7" i="3"/>
  <c r="P7" i="3"/>
  <c r="M238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T31" i="3" s="1"/>
  <c r="C339" i="1"/>
  <c r="C348" i="1"/>
  <c r="C349" i="1"/>
  <c r="C350" i="1"/>
  <c r="C351" i="1"/>
  <c r="C340" i="1"/>
  <c r="T14" i="3" s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T10" i="3" s="1"/>
  <c r="C333" i="1"/>
  <c r="P8" i="3" s="1"/>
  <c r="C334" i="1"/>
  <c r="C335" i="1"/>
  <c r="O2" i="3" s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P9" i="3" s="1"/>
  <c r="C309" i="1"/>
  <c r="C310" i="1"/>
  <c r="C311" i="1"/>
  <c r="C307" i="1"/>
  <c r="C306" i="1"/>
  <c r="C283" i="1"/>
  <c r="V9" i="3" l="1"/>
  <c r="V21" i="3"/>
  <c r="V24" i="3"/>
  <c r="V2" i="3"/>
  <c r="V8" i="3"/>
  <c r="V20" i="3"/>
  <c r="V25" i="3"/>
  <c r="V32" i="3"/>
  <c r="T17" i="3"/>
  <c r="V17" i="3" s="1"/>
  <c r="O33" i="3"/>
  <c r="J30" i="3"/>
  <c r="P29" i="3"/>
  <c r="O29" i="3"/>
  <c r="V29" i="3"/>
  <c r="V13" i="3"/>
  <c r="O34" i="3"/>
  <c r="P34" i="3"/>
  <c r="V23" i="3"/>
  <c r="P12" i="3"/>
  <c r="O12" i="3"/>
  <c r="P3" i="3"/>
  <c r="O3" i="3"/>
  <c r="V15" i="3"/>
  <c r="V5" i="3"/>
  <c r="V12" i="3"/>
  <c r="U14" i="3"/>
  <c r="V14" i="3" s="1"/>
  <c r="V33" i="3"/>
  <c r="V35" i="3"/>
  <c r="V34" i="3"/>
  <c r="U75" i="6"/>
  <c r="M354" i="1"/>
  <c r="U10" i="3"/>
  <c r="V10" i="3" s="1"/>
  <c r="U31" i="3"/>
  <c r="V31" i="3" s="1"/>
  <c r="V7" i="3"/>
  <c r="T72" i="6"/>
  <c r="D75" i="6"/>
  <c r="I71" i="6"/>
  <c r="H72" i="6"/>
  <c r="E74" i="6"/>
  <c r="D72" i="6"/>
  <c r="Q72" i="6"/>
  <c r="O74" i="6"/>
  <c r="O75" i="6"/>
  <c r="I74" i="6"/>
  <c r="L75" i="6"/>
  <c r="H74" i="6"/>
  <c r="I72" i="6"/>
  <c r="G75" i="6"/>
  <c r="J35" i="3"/>
  <c r="T18" i="3"/>
  <c r="V18" i="3" s="1"/>
  <c r="T26" i="3"/>
  <c r="V26" i="3" s="1"/>
  <c r="T3" i="3"/>
  <c r="V3" i="3" s="1"/>
  <c r="T11" i="3"/>
  <c r="V11" i="3" s="1"/>
  <c r="T19" i="3"/>
  <c r="V19" i="3" s="1"/>
  <c r="T22" i="3"/>
  <c r="V22" i="3" s="1"/>
  <c r="T30" i="3"/>
  <c r="V30" i="3" s="1"/>
  <c r="N74" i="6"/>
  <c r="M72" i="6"/>
  <c r="J72" i="6"/>
  <c r="F73" i="6"/>
  <c r="H73" i="6"/>
  <c r="I75" i="6"/>
  <c r="K74" i="6"/>
  <c r="N72" i="6"/>
  <c r="M75" i="6"/>
  <c r="G72" i="6"/>
  <c r="P74" i="6"/>
  <c r="C74" i="6"/>
  <c r="O73" i="6"/>
  <c r="U73" i="6"/>
  <c r="L73" i="6"/>
  <c r="G73" i="6"/>
  <c r="F74" i="6"/>
  <c r="L74" i="6"/>
  <c r="T74" i="6"/>
  <c r="N75" i="6"/>
  <c r="E75" i="6"/>
  <c r="Q74" i="6"/>
  <c r="D74" i="6"/>
  <c r="I73" i="6"/>
  <c r="P72" i="6"/>
  <c r="M74" i="6"/>
  <c r="O72" i="6"/>
  <c r="K73" i="6"/>
  <c r="V6" i="3"/>
  <c r="C73" i="6"/>
  <c r="J74" i="6"/>
  <c r="F75" i="6"/>
  <c r="M73" i="6"/>
  <c r="J73" i="6"/>
  <c r="F72" i="6"/>
  <c r="P73" i="6"/>
  <c r="U72" i="6"/>
  <c r="L72" i="6"/>
  <c r="R74" i="6"/>
  <c r="R73" i="6"/>
  <c r="U74" i="6"/>
  <c r="S75" i="6"/>
  <c r="C72" i="6"/>
  <c r="Q75" i="6"/>
  <c r="E72" i="6"/>
  <c r="T73" i="6"/>
  <c r="R72" i="6"/>
  <c r="N73" i="6"/>
  <c r="P75" i="6"/>
  <c r="S72" i="6"/>
  <c r="S73" i="6"/>
  <c r="K75" i="6"/>
  <c r="R75" i="6"/>
  <c r="E73" i="6"/>
  <c r="D73" i="6"/>
  <c r="K72" i="6"/>
  <c r="Q73" i="6"/>
  <c r="G74" i="6"/>
  <c r="H75" i="6"/>
  <c r="S74" i="6"/>
  <c r="T75" i="6"/>
  <c r="C75" i="6"/>
  <c r="J75" i="6"/>
  <c r="L43" i="6"/>
  <c r="L45" i="6"/>
  <c r="R62" i="6"/>
  <c r="Q43" i="6"/>
  <c r="K71" i="6"/>
  <c r="U70" i="6"/>
  <c r="L71" i="6"/>
  <c r="C71" i="6"/>
  <c r="M328" i="1"/>
  <c r="M320" i="1"/>
  <c r="M343" i="1"/>
  <c r="J44" i="6"/>
  <c r="E70" i="6"/>
  <c r="E71" i="6"/>
  <c r="F71" i="6"/>
  <c r="H71" i="6"/>
  <c r="S71" i="6"/>
  <c r="P71" i="6"/>
  <c r="G53" i="6"/>
  <c r="F64" i="6"/>
  <c r="M56" i="6"/>
  <c r="D46" i="6"/>
  <c r="O71" i="6"/>
  <c r="J71" i="6"/>
  <c r="G70" i="6"/>
  <c r="F70" i="6"/>
  <c r="J70" i="6"/>
  <c r="G71" i="6"/>
  <c r="H70" i="6"/>
  <c r="D71" i="6"/>
  <c r="L70" i="6"/>
  <c r="K70" i="6"/>
  <c r="T71" i="6"/>
  <c r="Q71" i="6"/>
  <c r="M341" i="1"/>
  <c r="E69" i="6"/>
  <c r="O55" i="6"/>
  <c r="G59" i="6"/>
  <c r="N68" i="6"/>
  <c r="M70" i="6"/>
  <c r="Q70" i="6"/>
  <c r="R70" i="6"/>
  <c r="S70" i="6"/>
  <c r="M352" i="1"/>
  <c r="M337" i="1"/>
  <c r="I54" i="6"/>
  <c r="S43" i="6"/>
  <c r="M61" i="6"/>
  <c r="C70" i="6"/>
  <c r="I70" i="6"/>
  <c r="O70" i="6"/>
  <c r="U71" i="6"/>
  <c r="S62" i="6"/>
  <c r="J57" i="6"/>
  <c r="N70" i="6"/>
  <c r="R71" i="6"/>
  <c r="T70" i="6"/>
  <c r="H66" i="6"/>
  <c r="P43" i="6"/>
  <c r="P70" i="6"/>
  <c r="D70" i="6"/>
  <c r="M71" i="6"/>
  <c r="N71" i="6"/>
  <c r="E50" i="6"/>
  <c r="Q63" i="6"/>
  <c r="T62" i="6"/>
  <c r="H49" i="6"/>
  <c r="Q59" i="6"/>
  <c r="G61" i="6"/>
  <c r="F61" i="6"/>
  <c r="C66" i="6"/>
  <c r="I48" i="6"/>
  <c r="L68" i="6"/>
  <c r="N67" i="6"/>
  <c r="S65" i="6"/>
  <c r="C50" i="6"/>
  <c r="G52" i="6"/>
  <c r="K29" i="3"/>
  <c r="M309" i="1"/>
  <c r="M361" i="1"/>
  <c r="K56" i="6"/>
  <c r="O58" i="6"/>
  <c r="T66" i="6"/>
  <c r="K44" i="6"/>
  <c r="D45" i="6"/>
  <c r="G47" i="6"/>
  <c r="I67" i="6"/>
  <c r="T51" i="6"/>
  <c r="H62" i="6"/>
  <c r="J10" i="3"/>
  <c r="P10" i="3"/>
  <c r="K10" i="3"/>
  <c r="M332" i="1"/>
  <c r="M358" i="1"/>
  <c r="Q64" i="6"/>
  <c r="O65" i="6"/>
  <c r="T53" i="6"/>
  <c r="E64" i="6"/>
  <c r="L64" i="6"/>
  <c r="N46" i="6"/>
  <c r="R59" i="6"/>
  <c r="O68" i="6"/>
  <c r="T44" i="6"/>
  <c r="H64" i="6"/>
  <c r="F63" i="6"/>
  <c r="K58" i="6"/>
  <c r="Q50" i="6"/>
  <c r="L50" i="6"/>
  <c r="J64" i="6"/>
  <c r="K32" i="3"/>
  <c r="M310" i="1"/>
  <c r="M377" i="1"/>
  <c r="M378" i="1"/>
  <c r="M413" i="1"/>
  <c r="M355" i="1"/>
  <c r="M356" i="1"/>
  <c r="M357" i="1"/>
  <c r="M333" i="1"/>
  <c r="M419" i="1"/>
  <c r="M374" i="1"/>
  <c r="M370" i="1"/>
  <c r="M369" i="1"/>
  <c r="K8" i="3"/>
  <c r="M349" i="1"/>
  <c r="K57" i="6"/>
  <c r="E53" i="6"/>
  <c r="G45" i="6"/>
  <c r="M55" i="6"/>
  <c r="D64" i="6"/>
  <c r="J50" i="6"/>
  <c r="Q56" i="6"/>
  <c r="K61" i="6"/>
  <c r="P69" i="6"/>
  <c r="L44" i="6"/>
  <c r="R45" i="6"/>
  <c r="P68" i="6"/>
  <c r="F68" i="6"/>
  <c r="M350" i="1"/>
  <c r="G54" i="6"/>
  <c r="M327" i="1"/>
  <c r="I66" i="6"/>
  <c r="Q66" i="6"/>
  <c r="S45" i="6"/>
  <c r="M50" i="6"/>
  <c r="I47" i="6"/>
  <c r="K51" i="6"/>
  <c r="C64" i="6"/>
  <c r="U57" i="6"/>
  <c r="P66" i="6"/>
  <c r="O10" i="3"/>
  <c r="N59" i="6"/>
  <c r="D51" i="6"/>
  <c r="S55" i="6"/>
  <c r="M319" i="1"/>
  <c r="J55" i="6"/>
  <c r="L56" i="6"/>
  <c r="Q60" i="6"/>
  <c r="C55" i="6"/>
  <c r="O48" i="6"/>
  <c r="U46" i="6"/>
  <c r="I56" i="6"/>
  <c r="M46" i="6"/>
  <c r="J65" i="6"/>
  <c r="C67" i="6"/>
  <c r="J59" i="6"/>
  <c r="U48" i="6"/>
  <c r="P67" i="6"/>
  <c r="C58" i="6"/>
  <c r="T50" i="6"/>
  <c r="G66" i="6"/>
  <c r="I68" i="6"/>
  <c r="F58" i="6"/>
  <c r="E49" i="6"/>
  <c r="S60" i="6"/>
  <c r="T67" i="6"/>
  <c r="I69" i="6"/>
  <c r="D50" i="6"/>
  <c r="P50" i="6"/>
  <c r="H53" i="6"/>
  <c r="R46" i="6"/>
  <c r="N65" i="6"/>
  <c r="S46" i="6"/>
  <c r="P58" i="6"/>
  <c r="D47" i="6"/>
  <c r="F60" i="6"/>
  <c r="N69" i="6"/>
  <c r="S47" i="6"/>
  <c r="O49" i="6"/>
  <c r="K53" i="6"/>
  <c r="M65" i="6"/>
  <c r="J51" i="6"/>
  <c r="I50" i="6"/>
  <c r="I61" i="6"/>
  <c r="N49" i="6"/>
  <c r="K65" i="6"/>
  <c r="R51" i="6"/>
  <c r="P51" i="6"/>
  <c r="F57" i="6"/>
  <c r="G44" i="6"/>
  <c r="L58" i="6"/>
  <c r="D55" i="6"/>
  <c r="R56" i="6"/>
  <c r="Q68" i="6"/>
  <c r="M308" i="1"/>
  <c r="M410" i="1"/>
  <c r="M429" i="1"/>
  <c r="M430" i="1"/>
  <c r="M360" i="1"/>
  <c r="M359" i="1"/>
  <c r="M342" i="1"/>
  <c r="K12" i="3"/>
  <c r="M326" i="1"/>
  <c r="M318" i="1"/>
  <c r="M348" i="1"/>
  <c r="M60" i="6"/>
  <c r="T65" i="6"/>
  <c r="T45" i="6"/>
  <c r="P53" i="6"/>
  <c r="K49" i="6"/>
  <c r="Q69" i="6"/>
  <c r="M43" i="6"/>
  <c r="C53" i="6"/>
  <c r="H57" i="6"/>
  <c r="C43" i="6"/>
  <c r="I65" i="6"/>
  <c r="R53" i="6"/>
  <c r="N64" i="6"/>
  <c r="M69" i="6"/>
  <c r="P52" i="6"/>
  <c r="G56" i="6"/>
  <c r="R68" i="6"/>
  <c r="P56" i="6"/>
  <c r="I62" i="6"/>
  <c r="L65" i="6"/>
  <c r="G55" i="6"/>
  <c r="S59" i="6"/>
  <c r="S48" i="6"/>
  <c r="P57" i="6"/>
  <c r="H45" i="6"/>
  <c r="J49" i="6"/>
  <c r="R69" i="6"/>
  <c r="I60" i="6"/>
  <c r="N50" i="6"/>
  <c r="E60" i="6"/>
  <c r="Q53" i="6"/>
  <c r="P61" i="6"/>
  <c r="L61" i="6"/>
  <c r="H69" i="6"/>
  <c r="H63" i="6"/>
  <c r="J63" i="6"/>
  <c r="H56" i="6"/>
  <c r="S54" i="6"/>
  <c r="D57" i="6"/>
  <c r="C52" i="6"/>
  <c r="P46" i="6"/>
  <c r="C48" i="6"/>
  <c r="O62" i="6"/>
  <c r="E61" i="6"/>
  <c r="F48" i="6"/>
  <c r="E44" i="6"/>
  <c r="F54" i="6"/>
  <c r="D68" i="6"/>
  <c r="N66" i="6"/>
  <c r="O47" i="6"/>
  <c r="F49" i="6"/>
  <c r="F45" i="6"/>
  <c r="D66" i="6"/>
  <c r="C61" i="6"/>
  <c r="U59" i="6"/>
  <c r="O51" i="6"/>
  <c r="C54" i="6"/>
  <c r="U54" i="6"/>
  <c r="F43" i="6"/>
  <c r="N51" i="6"/>
  <c r="U55" i="6"/>
  <c r="R50" i="6"/>
  <c r="I46" i="6"/>
  <c r="H54" i="6"/>
  <c r="M353" i="1"/>
  <c r="M338" i="1"/>
  <c r="M339" i="1"/>
  <c r="Q47" i="6"/>
  <c r="H47" i="6"/>
  <c r="R57" i="6"/>
  <c r="O66" i="6"/>
  <c r="U53" i="6"/>
  <c r="O52" i="6"/>
  <c r="G60" i="6"/>
  <c r="U56" i="6"/>
  <c r="E62" i="6"/>
  <c r="M49" i="6"/>
  <c r="N53" i="6"/>
  <c r="E55" i="6"/>
  <c r="H51" i="6"/>
  <c r="M64" i="6"/>
  <c r="T52" i="6"/>
  <c r="O56" i="6"/>
  <c r="J62" i="6"/>
  <c r="T56" i="6"/>
  <c r="Q65" i="6"/>
  <c r="C68" i="6"/>
  <c r="U69" i="6"/>
  <c r="R44" i="6"/>
  <c r="M54" i="6"/>
  <c r="I49" i="6"/>
  <c r="T58" i="6"/>
  <c r="H60" i="6"/>
  <c r="T47" i="6"/>
  <c r="D63" i="6"/>
  <c r="D52" i="6"/>
  <c r="P65" i="6"/>
  <c r="Q52" i="6"/>
  <c r="E56" i="6"/>
  <c r="U66" i="6"/>
  <c r="Q55" i="6"/>
  <c r="M63" i="6"/>
  <c r="P45" i="6"/>
  <c r="O63" i="6"/>
  <c r="H43" i="6"/>
  <c r="T55" i="6"/>
  <c r="N58" i="6"/>
  <c r="S53" i="6"/>
  <c r="N45" i="6"/>
  <c r="O44" i="6"/>
  <c r="J48" i="6"/>
  <c r="D59" i="6"/>
  <c r="N44" i="6"/>
  <c r="L55" i="6"/>
  <c r="F51" i="6"/>
  <c r="I64" i="6"/>
  <c r="L53" i="6"/>
  <c r="J46" i="6"/>
  <c r="K48" i="6"/>
  <c r="C56" i="6"/>
  <c r="E45" i="6"/>
  <c r="T48" i="6"/>
  <c r="O53" i="6"/>
  <c r="C63" i="6"/>
  <c r="C65" i="6"/>
  <c r="L60" i="6"/>
  <c r="Q58" i="6"/>
  <c r="S50" i="6"/>
  <c r="M324" i="1"/>
  <c r="L54" i="6"/>
  <c r="G57" i="6"/>
  <c r="S52" i="6"/>
  <c r="D48" i="6"/>
  <c r="K55" i="6"/>
  <c r="F56" i="6"/>
  <c r="T49" i="6"/>
  <c r="G65" i="6"/>
  <c r="Q62" i="6"/>
  <c r="E43" i="6"/>
  <c r="F67" i="6"/>
  <c r="J56" i="6"/>
  <c r="S67" i="6"/>
  <c r="Q45" i="6"/>
  <c r="G64" i="6"/>
  <c r="Q57" i="6"/>
  <c r="C45" i="6"/>
  <c r="U68" i="6"/>
  <c r="J68" i="6"/>
  <c r="R64" i="6"/>
  <c r="E52" i="6"/>
  <c r="G58" i="6"/>
  <c r="N48" i="6"/>
  <c r="L59" i="6"/>
  <c r="S66" i="6"/>
  <c r="S44" i="6"/>
  <c r="H59" i="6"/>
  <c r="R61" i="6"/>
  <c r="J67" i="6"/>
  <c r="G43" i="6"/>
  <c r="E67" i="6"/>
  <c r="L66" i="6"/>
  <c r="N43" i="6"/>
  <c r="P59" i="6"/>
  <c r="S69" i="6"/>
  <c r="H46" i="6"/>
  <c r="L51" i="6"/>
  <c r="D65" i="6"/>
  <c r="P64" i="6"/>
  <c r="T60" i="6"/>
  <c r="U44" i="6"/>
  <c r="D67" i="6"/>
  <c r="O64" i="6"/>
  <c r="S58" i="6"/>
  <c r="I51" i="6"/>
  <c r="F69" i="6"/>
  <c r="E54" i="6"/>
  <c r="U47" i="6"/>
  <c r="C46" i="6"/>
  <c r="D56" i="6"/>
  <c r="J53" i="6"/>
  <c r="F53" i="6"/>
  <c r="P54" i="6"/>
  <c r="K68" i="6"/>
  <c r="R67" i="6"/>
  <c r="D53" i="6"/>
  <c r="M325" i="1"/>
  <c r="M283" i="1"/>
  <c r="K34" i="3"/>
  <c r="M408" i="1"/>
  <c r="M424" i="1"/>
  <c r="M416" i="1"/>
  <c r="M404" i="1"/>
  <c r="M407" i="1"/>
  <c r="M425" i="1"/>
  <c r="M403" i="1"/>
  <c r="M402" i="1"/>
  <c r="M405" i="1"/>
  <c r="M406" i="1"/>
  <c r="M409" i="1"/>
  <c r="M418" i="1"/>
  <c r="M417" i="1"/>
  <c r="M364" i="1"/>
  <c r="M366" i="1"/>
  <c r="M367" i="1"/>
  <c r="M365" i="1"/>
  <c r="M312" i="1"/>
  <c r="I44" i="6"/>
  <c r="P55" i="6"/>
  <c r="S63" i="6"/>
  <c r="M306" i="1"/>
  <c r="M331" i="1"/>
  <c r="M323" i="1"/>
  <c r="R63" i="6"/>
  <c r="O43" i="6"/>
  <c r="U60" i="6"/>
  <c r="E63" i="6"/>
  <c r="K47" i="6"/>
  <c r="G50" i="6"/>
  <c r="R55" i="6"/>
  <c r="R47" i="6"/>
  <c r="T43" i="6"/>
  <c r="K66" i="6"/>
  <c r="P63" i="6"/>
  <c r="J43" i="6"/>
  <c r="H58" i="6"/>
  <c r="R65" i="6"/>
  <c r="E48" i="6"/>
  <c r="R49" i="6"/>
  <c r="E58" i="6"/>
  <c r="O54" i="6"/>
  <c r="I43" i="6"/>
  <c r="H67" i="6"/>
  <c r="M58" i="6"/>
  <c r="O46" i="6"/>
  <c r="I59" i="6"/>
  <c r="Q51" i="6"/>
  <c r="J61" i="6"/>
  <c r="O60" i="6"/>
  <c r="P49" i="6"/>
  <c r="P48" i="6"/>
  <c r="T46" i="6"/>
  <c r="T61" i="6"/>
  <c r="Q54" i="6"/>
  <c r="P44" i="6"/>
  <c r="F59" i="6"/>
  <c r="I63" i="6"/>
  <c r="O45" i="6"/>
  <c r="R43" i="6"/>
  <c r="F47" i="6"/>
  <c r="O61" i="6"/>
  <c r="C62" i="6"/>
  <c r="S57" i="6"/>
  <c r="J69" i="6"/>
  <c r="U45" i="6"/>
  <c r="L46" i="6"/>
  <c r="J54" i="6"/>
  <c r="T54" i="6"/>
  <c r="U43" i="6"/>
  <c r="I53" i="6"/>
  <c r="M68" i="6"/>
  <c r="K67" i="6"/>
  <c r="K69" i="6"/>
  <c r="L63" i="6"/>
  <c r="C59" i="6"/>
  <c r="J60" i="6"/>
  <c r="E66" i="6"/>
  <c r="O50" i="6"/>
  <c r="U62" i="6"/>
  <c r="E47" i="6"/>
  <c r="C49" i="6"/>
  <c r="M47" i="6"/>
  <c r="J45" i="6"/>
  <c r="N56" i="6"/>
  <c r="H61" i="6"/>
  <c r="H48" i="6"/>
  <c r="H52" i="6"/>
  <c r="M317" i="1"/>
  <c r="M316" i="1"/>
  <c r="M347" i="1"/>
  <c r="K31" i="3"/>
  <c r="J31" i="3"/>
  <c r="O31" i="3"/>
  <c r="P31" i="3"/>
  <c r="H65" i="6"/>
  <c r="F55" i="6"/>
  <c r="F65" i="6"/>
  <c r="M336" i="1"/>
  <c r="M315" i="1"/>
  <c r="M346" i="1"/>
  <c r="N52" i="6"/>
  <c r="M307" i="1"/>
  <c r="J7" i="3"/>
  <c r="O14" i="3"/>
  <c r="J23" i="3"/>
  <c r="J29" i="3"/>
  <c r="J18" i="3"/>
  <c r="J21" i="3"/>
  <c r="J17" i="3"/>
  <c r="J34" i="3"/>
  <c r="M335" i="1"/>
  <c r="K2" i="3"/>
  <c r="M412" i="1"/>
  <c r="M420" i="1"/>
  <c r="M431" i="1"/>
  <c r="M411" i="1"/>
  <c r="M376" i="1"/>
  <c r="M421" i="1"/>
  <c r="M375" i="1"/>
  <c r="M371" i="1"/>
  <c r="M330" i="1"/>
  <c r="M322" i="1"/>
  <c r="M314" i="1"/>
  <c r="K3" i="3"/>
  <c r="K14" i="3"/>
  <c r="J14" i="3"/>
  <c r="P14" i="3"/>
  <c r="M340" i="1"/>
  <c r="M427" i="1"/>
  <c r="M345" i="1"/>
  <c r="M52" i="6"/>
  <c r="M51" i="6"/>
  <c r="U67" i="6"/>
  <c r="U49" i="6"/>
  <c r="K64" i="6"/>
  <c r="I57" i="6"/>
  <c r="S64" i="6"/>
  <c r="J47" i="6"/>
  <c r="I52" i="6"/>
  <c r="Q61" i="6"/>
  <c r="S56" i="6"/>
  <c r="T59" i="6"/>
  <c r="K60" i="6"/>
  <c r="K52" i="6"/>
  <c r="U52" i="6"/>
  <c r="N47" i="6"/>
  <c r="L47" i="6"/>
  <c r="Q46" i="6"/>
  <c r="L69" i="6"/>
  <c r="O67" i="6"/>
  <c r="I45" i="6"/>
  <c r="O57" i="6"/>
  <c r="G67" i="6"/>
  <c r="C69" i="6"/>
  <c r="P62" i="6"/>
  <c r="P60" i="6"/>
  <c r="K59" i="6"/>
  <c r="H50" i="6"/>
  <c r="T64" i="6"/>
  <c r="E57" i="6"/>
  <c r="D54" i="6"/>
  <c r="C57" i="6"/>
  <c r="U58" i="6"/>
  <c r="K43" i="6"/>
  <c r="C44" i="6"/>
  <c r="U61" i="6"/>
  <c r="U51" i="6"/>
  <c r="M66" i="6"/>
  <c r="S49" i="6"/>
  <c r="Q49" i="6"/>
  <c r="K62" i="6"/>
  <c r="E68" i="6"/>
  <c r="K46" i="6"/>
  <c r="M44" i="6"/>
  <c r="H55" i="6"/>
  <c r="U64" i="6"/>
  <c r="Q67" i="6"/>
  <c r="R66" i="6"/>
  <c r="M62" i="6"/>
  <c r="T68" i="6"/>
  <c r="C60" i="6"/>
  <c r="R52" i="6"/>
  <c r="M48" i="6"/>
  <c r="Q48" i="6"/>
  <c r="I58" i="6"/>
  <c r="G62" i="6"/>
  <c r="F44" i="6"/>
  <c r="H44" i="6"/>
  <c r="S68" i="6"/>
  <c r="F52" i="6"/>
  <c r="G46" i="6"/>
  <c r="G48" i="6"/>
  <c r="U50" i="6"/>
  <c r="M67" i="6"/>
  <c r="K9" i="3"/>
  <c r="T69" i="6"/>
  <c r="N60" i="6"/>
  <c r="O69" i="6"/>
  <c r="M311" i="1"/>
  <c r="J12" i="3"/>
  <c r="M398" i="1"/>
  <c r="M390" i="1"/>
  <c r="M428" i="1"/>
  <c r="M400" i="1"/>
  <c r="M392" i="1"/>
  <c r="M391" i="1"/>
  <c r="M395" i="1"/>
  <c r="M393" i="1"/>
  <c r="M394" i="1"/>
  <c r="M399" i="1"/>
  <c r="M397" i="1"/>
  <c r="M396" i="1"/>
  <c r="M423" i="1"/>
  <c r="M401" i="1"/>
  <c r="M334" i="1"/>
  <c r="M329" i="1"/>
  <c r="M321" i="1"/>
  <c r="J3" i="3"/>
  <c r="M313" i="1"/>
  <c r="M368" i="1"/>
  <c r="M379" i="1"/>
  <c r="M382" i="1"/>
  <c r="M383" i="1"/>
  <c r="M380" i="1"/>
  <c r="M414" i="1"/>
  <c r="M381" i="1"/>
  <c r="M384" i="1"/>
  <c r="M385" i="1"/>
  <c r="M363" i="1"/>
  <c r="M362" i="1"/>
  <c r="M351" i="1"/>
  <c r="M344" i="1"/>
  <c r="J2" i="3"/>
  <c r="D43" i="6"/>
  <c r="J52" i="6"/>
  <c r="I55" i="6"/>
  <c r="F66" i="6"/>
  <c r="G63" i="6"/>
  <c r="Q44" i="6"/>
  <c r="R58" i="6"/>
  <c r="F46" i="6"/>
  <c r="D60" i="6"/>
  <c r="R54" i="6"/>
  <c r="S51" i="6"/>
  <c r="F50" i="6"/>
  <c r="D49" i="6"/>
  <c r="D58" i="6"/>
  <c r="E65" i="6"/>
  <c r="C47" i="6"/>
  <c r="C51" i="6"/>
  <c r="K54" i="6"/>
  <c r="G69" i="6"/>
  <c r="U65" i="6"/>
  <c r="M59" i="6"/>
  <c r="J66" i="6"/>
  <c r="R48" i="6"/>
  <c r="N61" i="6"/>
  <c r="N63" i="6"/>
  <c r="M45" i="6"/>
  <c r="F62" i="6"/>
  <c r="K50" i="6"/>
  <c r="T63" i="6"/>
  <c r="J58" i="6"/>
  <c r="S61" i="6"/>
  <c r="G49" i="6"/>
  <c r="L49" i="6"/>
  <c r="N54" i="6"/>
  <c r="L67" i="6"/>
  <c r="L62" i="6"/>
  <c r="L57" i="6"/>
  <c r="L52" i="6"/>
  <c r="H68" i="6"/>
  <c r="N57" i="6"/>
  <c r="N55" i="6"/>
  <c r="K45" i="6"/>
  <c r="P47" i="6"/>
  <c r="D44" i="6"/>
  <c r="K63" i="6"/>
  <c r="M57" i="6"/>
  <c r="G68" i="6"/>
  <c r="R60" i="6"/>
  <c r="D61" i="6"/>
  <c r="E46" i="6"/>
  <c r="G51" i="6"/>
  <c r="N62" i="6"/>
  <c r="M53" i="6"/>
  <c r="D69" i="6"/>
  <c r="L48" i="6"/>
  <c r="O59" i="6"/>
  <c r="D62" i="6"/>
  <c r="E51" i="6"/>
  <c r="T57" i="6"/>
  <c r="U63" i="6"/>
  <c r="E59" i="6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75" i="6" l="1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s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<sst xmlns="http://schemas.openxmlformats.org/spreadsheetml/2006/main" count="4691" uniqueCount="179">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</sst>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0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0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1" fillId="2" borderId="1" xfId="1" applyFont="1" applyFill="1" applyBorder="1" applyAlignment="1">
      <alignment horizontal="right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</cellXfs>
  <cellStyles count="2">
    <cellStyle name="Millares" xfId="1" builtinId="3"/>
    <cellStyle name="Normal" xfId="0" builtinId="0"/>
  </cellStyles>
  <dxfs count="43">
    <dxf>
      <numFmt numFmtId="19" formatCode="dd/mm/yyyy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numFmt numFmtId="0" formatCode="General"/>
    </dxf>
    <dxf>
      <numFmt numFmtId="0" formatCode="General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724" totalsRowShown="0">
  <autoFilter ref="A1:P724" xr:uid="{00000000-0009-0000-0100-000001000000}"/>
  <sortState xmlns:xlrd2="http://schemas.microsoft.com/office/spreadsheetml/2017/richdata2" ref="A2:P724">
    <sortCondition ref="B1:B724"/>
  </sortState>
  <tableColumns count="16">
    <tableColumn id="1" xr3:uid="{00000000-0010-0000-0000-000001000000}" name="ID"/>
    <tableColumn id="2" xr3:uid="{00000000-0010-0000-0000-000002000000}" name="Fecha" dataDxfId="39"/>
    <tableColumn id="3" xr3:uid="{00000000-0010-0000-0000-000003000000}" name="Empresa"/>
    <tableColumn id="4" xr3:uid="{00000000-0010-0000-0000-000004000000}" name="Cuenta Bancaria" dataDxfId="38"/>
    <tableColumn id="12" xr3:uid="{4E4C6484-6819-4411-A0F3-4017EFF8C28C}" name="Banco" dataDxfId="37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6"/>
    <tableColumn id="6" xr3:uid="{00000000-0010-0000-0000-000006000000}" name="Categoria / Concepto" dataDxfId="35"/>
    <tableColumn id="7" xr3:uid="{00000000-0010-0000-0000-000007000000}" name="Descripcion" dataDxfId="34">
      <calculatedColumnFormula>IFERROR(_xlfn.XLOOKUP(G2,Listas!E:E,Listas!F:F,""),"")</calculatedColumnFormula>
    </tableColumn>
    <tableColumn id="13" xr3:uid="{44ABE6CE-2513-45FC-BD14-32E930AFDBBD}" name="Ext/Int" dataDxfId="33"/>
    <tableColumn id="8" xr3:uid="{00000000-0010-0000-0000-000008000000}" name="Monto (S/)" dataDxfId="32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1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0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29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28" dataDxfId="26" headerRowBorderDxfId="27" tableBorderDxfId="25">
  <autoFilter ref="A1:V500" xr:uid="{F415436C-AC07-4BC7-AF63-CF4210A06BB4}"/>
  <tableColumns count="22">
    <tableColumn id="1" xr3:uid="{63FFD75C-E666-43DD-8029-F430E7835BEE}" name="Día" dataDxfId="24"/>
    <tableColumn id="2" xr3:uid="{3C0A637E-5BCF-4DAA-A47B-1062D26CE0FC}" name="Fecha" dataDxfId="23"/>
    <tableColumn id="3" xr3:uid="{AA52C2CE-0BC6-4D55-8E20-0938296D1C23}" name="CFT Group" dataDxfId="22"/>
    <tableColumn id="4" xr3:uid="{EE7D0652-E6C8-4122-A765-D1B09096A21E}" name="M1B" dataDxfId="21"/>
    <tableColumn id="5" xr3:uid="{B4646433-2F6C-4447-A177-6AD7A4B88B6F}" name="Durand" dataDxfId="20"/>
    <tableColumn id="6" xr3:uid="{DCA1C6D9-C3E1-43F4-A721-4008460687C7}" name="A&amp;M Imports" dataDxfId="19"/>
    <tableColumn id="7" xr3:uid="{D4A7DE77-6043-4E65-8D3F-445DF17D93F1}" name="SSP Capital" dataDxfId="18"/>
    <tableColumn id="8" xr3:uid="{64A897BF-46B4-411E-BA9D-FE799CF2FEFB}" name="Cross Family Trust" dataDxfId="17"/>
    <tableColumn id="9" xr3:uid="{22730D08-F998-46A3-A6B6-4BF23E38D8F9}" name="Cross Security Trust" dataDxfId="16"/>
    <tableColumn id="10" xr3:uid="{BB5B9930-003E-4DC5-8E5D-067C1CF1A456}" name="Electrama" dataDxfId="15"/>
    <tableColumn id="11" xr3:uid="{72B1FF5A-A2B1-4F18-A8C8-32EEB09E3A17}" name="Sacred Valley Capital" dataDxfId="14"/>
    <tableColumn id="12" xr3:uid="{8285724C-9042-463F-8339-13C60DCBF2F4}" name="YWC Capital" dataDxfId="13"/>
    <tableColumn id="13" xr3:uid="{A6BA6873-5C5A-44C1-A199-00F91718164E}" name="Soweto" dataDxfId="12"/>
    <tableColumn id="14" xr3:uid="{50FB5920-A571-4DC5-9E26-0EF4F33A880F}" name="Green Stone Trust" dataDxfId="11"/>
    <tableColumn id="15" xr3:uid="{F3DE628D-3663-4B8C-88C3-8ED6C47CDAD0}" name="EC Auto" dataDxfId="10"/>
    <tableColumn id="16" xr3:uid="{63079263-2DC8-47D4-869E-EF7FF8CC83E2}" name="Arbor Capital Properties" dataDxfId="9"/>
    <tableColumn id="17" xr3:uid="{F0CCDB07-528A-4A91-A40E-B313EA61AC5A}" name="2515 Overbrook" dataDxfId="8"/>
    <tableColumn id="18" xr3:uid="{A92B8B5E-42D0-409B-819B-93575E6B5338}" name="112 Florida Ave" dataDxfId="7"/>
    <tableColumn id="19" xr3:uid="{E8590E2C-955F-4887-9F19-BD4E50391F39}" name="3628 Thomas Ave" dataDxfId="6"/>
    <tableColumn id="20" xr3:uid="{C99311AE-E772-4C28-A5BF-F01473FDC99C}" name="Green Harbor Trust" dataDxfId="5"/>
    <tableColumn id="21" xr3:uid="{531291F0-F871-4ED7-85FB-D95349130FEE}" name="Go Blue" dataDxfId="4"/>
    <tableColumn id="22" xr3:uid="{9970DF30-CB1E-4EE7-A51A-8EEDF7EFDE4C}" name="TOTAL CONSOLIDADO" dataDxfId="3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407" tableType="queryTable" totalsRowShown="0" headerRowDxfId="42">
  <autoFilter ref="A1:D1407" xr:uid="{2C5E576C-56D5-4661-AEE8-C56EAF46506C}"/>
  <tableColumns count="4">
    <tableColumn id="1" xr3:uid="{C5F72CE6-A217-4AAA-B890-634003E10415}" uniqueName="1" name="Empresa" queryTableFieldId="1" dataDxfId="41"/>
    <tableColumn id="4" xr3:uid="{1BFD00E9-36EE-42D9-A985-B1FC2CE4E317}" uniqueName="4" name="Saldo inicial" queryTableFieldId="4" dataDxfId="40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2" activePane="bottomLeft" state="frozen"/>
      <selection pane="bottomLeft" activeCell="D22" sqref="D22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128</v>
      </c>
      <c r="D21" s="10">
        <v>92.02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>
        <v>0</v>
      </c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 t="s">
        <v>35</v>
      </c>
      <c r="B35" s="8" t="s">
        <v>174</v>
      </c>
      <c r="C35" s="9" t="s">
        <v>129</v>
      </c>
      <c r="D35" s="10">
        <v>5293.35</v>
      </c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38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724"/>
  <sheetViews>
    <sheetView topLeftCell="K1" zoomScale="70" zoomScaleNormal="70" workbookViewId="0">
      <pane ySplit="1" topLeftCell="A520" activePane="bottomLeft" state="frozen"/>
      <selection pane="bottomLeft" activeCell="O536" sqref="O536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24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53.77734375" style="41" bestFit="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26.109375" style="44" customWidth="1"/>
    <col min="14" max="14" width="14.21875" style="67" bestFit="1" customWidth="1"/>
    <col min="15" max="15" width="13.77734375" style="67" bestFit="1" customWidth="1"/>
    <col min="16" max="16" width="16" style="28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2" t="s">
        <v>8</v>
      </c>
      <c r="N1" s="66" t="s">
        <v>9</v>
      </c>
      <c r="O1" s="66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7">
        <f>IF(tblMovimientos[[#This Row],[Tipo de Movimiento]]="Ingreso",tblMovimientos[[#This Row],[Monto (S/)]],"0")</f>
        <v>400000</v>
      </c>
      <c r="O2" s="67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7">
        <f>IF(tblMovimientos[[#This Row],[Tipo de Movimiento]]="Ingreso",tblMovimientos[[#This Row],[Monto (S/)]],"0")</f>
        <v>12901.71</v>
      </c>
      <c r="O3" s="67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7" t="str">
        <f>IF(tblMovimientos[[#This Row],[Tipo de Movimiento]]="Ingreso",tblMovimientos[[#This Row],[Monto (S/)]],"0")</f>
        <v>0</v>
      </c>
      <c r="O4" s="67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7" t="str">
        <f>IF(tblMovimientos[[#This Row],[Tipo de Movimiento]]="Ingreso",tblMovimientos[[#This Row],[Monto (S/)]],"0")</f>
        <v>0</v>
      </c>
      <c r="O5" s="67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7" t="str">
        <f>IF(tblMovimientos[[#This Row],[Tipo de Movimiento]]="Ingreso",tblMovimientos[[#This Row],[Monto (S/)]],"0")</f>
        <v>0</v>
      </c>
      <c r="O6" s="67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7">
        <f>IF(tblMovimientos[[#This Row],[Tipo de Movimiento]]="Ingreso",tblMovimientos[[#This Row],[Monto (S/)]],"0")</f>
        <v>5250</v>
      </c>
      <c r="O7" s="67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7" t="str">
        <f>IF(tblMovimientos[[#This Row],[Tipo de Movimiento]]="Ingreso",tblMovimientos[[#This Row],[Monto (S/)]],"0")</f>
        <v>0</v>
      </c>
      <c r="O8" s="67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7" t="str">
        <f>IF(tblMovimientos[[#This Row],[Tipo de Movimiento]]="Ingreso",tblMovimientos[[#This Row],[Monto (S/)]],"0")</f>
        <v>0</v>
      </c>
      <c r="O9" s="67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7" t="str">
        <f>IF(tblMovimientos[[#This Row],[Tipo de Movimiento]]="Ingreso",tblMovimientos[[#This Row],[Monto (S/)]],"0")</f>
        <v>0</v>
      </c>
      <c r="O10" s="67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7">
        <f>IF(tblMovimientos[[#This Row],[Tipo de Movimiento]]="Ingreso",tblMovimientos[[#This Row],[Monto (S/)]],"0")</f>
        <v>6750</v>
      </c>
      <c r="O11" s="67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7" t="str">
        <f>IF(tblMovimientos[[#This Row],[Tipo de Movimiento]]="Ingreso",tblMovimientos[[#This Row],[Monto (S/)]],"0")</f>
        <v>0</v>
      </c>
      <c r="O12" s="67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7">
        <f>IF(tblMovimientos[[#This Row],[Tipo de Movimiento]]="Ingreso",tblMovimientos[[#This Row],[Monto (S/)]],"0")</f>
        <v>5050</v>
      </c>
      <c r="O13" s="67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7" t="str">
        <f>IF(tblMovimientos[[#This Row],[Tipo de Movimiento]]="Ingreso",tblMovimientos[[#This Row],[Monto (S/)]],"0")</f>
        <v>0</v>
      </c>
      <c r="O14" s="67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7">
        <f>IF(tblMovimientos[[#This Row],[Tipo de Movimiento]]="Ingreso",tblMovimientos[[#This Row],[Monto (S/)]],"0")</f>
        <v>6748.49</v>
      </c>
      <c r="O15" s="67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7" t="str">
        <f>IF(tblMovimientos[[#This Row],[Tipo de Movimiento]]="Ingreso",tblMovimientos[[#This Row],[Monto (S/)]],"0")</f>
        <v>0</v>
      </c>
      <c r="O16" s="67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7" t="str">
        <f>IF(tblMovimientos[[#This Row],[Tipo de Movimiento]]="Ingreso",tblMovimientos[[#This Row],[Monto (S/)]],"0")</f>
        <v>0</v>
      </c>
      <c r="O17" s="67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7" t="str">
        <f>IF(tblMovimientos[[#This Row],[Tipo de Movimiento]]="Ingreso",tblMovimientos[[#This Row],[Monto (S/)]],"0")</f>
        <v>0</v>
      </c>
      <c r="O18" s="67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7" t="str">
        <f>IF(tblMovimientos[[#This Row],[Tipo de Movimiento]]="Ingreso",tblMovimientos[[#This Row],[Monto (S/)]],"0")</f>
        <v>0</v>
      </c>
      <c r="O19" s="67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7">
        <f>IF(tblMovimientos[[#This Row],[Tipo de Movimiento]]="Ingreso",tblMovimientos[[#This Row],[Monto (S/)]],"0")</f>
        <v>800000</v>
      </c>
      <c r="O20" s="67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7" t="str">
        <f>IF(tblMovimientos[[#This Row],[Tipo de Movimiento]]="Ingreso",tblMovimientos[[#This Row],[Monto (S/)]],"0")</f>
        <v>0</v>
      </c>
      <c r="O21" s="67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7" t="str">
        <f>IF(tblMovimientos[[#This Row],[Tipo de Movimiento]]="Ingreso",tblMovimientos[[#This Row],[Monto (S/)]],"0")</f>
        <v>0</v>
      </c>
      <c r="O22" s="67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7">
        <f>IF(tblMovimientos[[#This Row],[Tipo de Movimiento]]="Ingreso",tblMovimientos[[#This Row],[Monto (S/)]],"0")</f>
        <v>700000</v>
      </c>
      <c r="O23" s="67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7">
        <f>IF(tblMovimientos[[#This Row],[Tipo de Movimiento]]="Ingreso",tblMovimientos[[#This Row],[Monto (S/)]],"0")</f>
        <v>500000</v>
      </c>
      <c r="O24" s="67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7" t="str">
        <f>IF(tblMovimientos[[#This Row],[Tipo de Movimiento]]="Ingreso",tblMovimientos[[#This Row],[Monto (S/)]],"0")</f>
        <v>0</v>
      </c>
      <c r="O25" s="67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7" t="str">
        <f>IF(tblMovimientos[[#This Row],[Tipo de Movimiento]]="Ingreso",tblMovimientos[[#This Row],[Monto (S/)]],"0")</f>
        <v>0</v>
      </c>
      <c r="O26" s="67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7">
        <f>IF(tblMovimientos[[#This Row],[Tipo de Movimiento]]="Ingreso",tblMovimientos[[#This Row],[Monto (S/)]],"0")</f>
        <v>110000</v>
      </c>
      <c r="O27" s="67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7" t="str">
        <f>IF(tblMovimientos[[#This Row],[Tipo de Movimiento]]="Ingreso",tblMovimientos[[#This Row],[Monto (S/)]],"0")</f>
        <v>0</v>
      </c>
      <c r="O28" s="67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7" t="str">
        <f>IF(tblMovimientos[[#This Row],[Tipo de Movimiento]]="Ingreso",tblMovimientos[[#This Row],[Monto (S/)]],"0")</f>
        <v>0</v>
      </c>
      <c r="O29" s="67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7" t="str">
        <f>IF(tblMovimientos[[#This Row],[Tipo de Movimiento]]="Ingreso",tblMovimientos[[#This Row],[Monto (S/)]],"0")</f>
        <v>0</v>
      </c>
      <c r="O30" s="67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7" t="str">
        <f>IF(tblMovimientos[[#This Row],[Tipo de Movimiento]]="Ingreso",tblMovimientos[[#This Row],[Monto (S/)]],"0")</f>
        <v>0</v>
      </c>
      <c r="O31" s="67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7">
        <f>IF(tblMovimientos[[#This Row],[Tipo de Movimiento]]="Ingreso",tblMovimientos[[#This Row],[Monto (S/)]],"0")</f>
        <v>800000</v>
      </c>
      <c r="O32" s="67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7">
        <f>IF(tblMovimientos[[#This Row],[Tipo de Movimiento]]="Ingreso",tblMovimientos[[#This Row],[Monto (S/)]],"0")</f>
        <v>3000</v>
      </c>
      <c r="O33" s="67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7" t="str">
        <f>IF(tblMovimientos[[#This Row],[Tipo de Movimiento]]="Ingreso",tblMovimientos[[#This Row],[Monto (S/)]],"0")</f>
        <v>0</v>
      </c>
      <c r="O34" s="67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7" t="str">
        <f>IF(tblMovimientos[[#This Row],[Tipo de Movimiento]]="Ingreso",tblMovimientos[[#This Row],[Monto (S/)]],"0")</f>
        <v>0</v>
      </c>
      <c r="O35" s="67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7" t="str">
        <f>IF(tblMovimientos[[#This Row],[Tipo de Movimiento]]="Ingreso",tblMovimientos[[#This Row],[Monto (S/)]],"0")</f>
        <v>0</v>
      </c>
      <c r="O36" s="67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7">
        <f>IF(tblMovimientos[[#This Row],[Tipo de Movimiento]]="Ingreso",tblMovimientos[[#This Row],[Monto (S/)]],"0")</f>
        <v>575000</v>
      </c>
      <c r="O37" s="67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7" t="str">
        <f>IF(tblMovimientos[[#This Row],[Tipo de Movimiento]]="Ingreso",tblMovimientos[[#This Row],[Monto (S/)]],"0")</f>
        <v>0</v>
      </c>
      <c r="O38" s="67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7" t="str">
        <f>IF(tblMovimientos[[#This Row],[Tipo de Movimiento]]="Ingreso",tblMovimientos[[#This Row],[Monto (S/)]],"0")</f>
        <v>0</v>
      </c>
      <c r="O39" s="67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7">
        <f>IF(tblMovimientos[[#This Row],[Tipo de Movimiento]]="Ingreso",tblMovimientos[[#This Row],[Monto (S/)]],"0")</f>
        <v>15321.74</v>
      </c>
      <c r="O40" s="67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7" t="str">
        <f>IF(tblMovimientos[[#This Row],[Tipo de Movimiento]]="Ingreso",tblMovimientos[[#This Row],[Monto (S/)]],"0")</f>
        <v>0</v>
      </c>
      <c r="O41" s="67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7" t="str">
        <f>IF(tblMovimientos[[#This Row],[Tipo de Movimiento]]="Ingreso",tblMovimientos[[#This Row],[Monto (S/)]],"0")</f>
        <v>0</v>
      </c>
      <c r="O42" s="67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7" t="str">
        <f>IF(tblMovimientos[[#This Row],[Tipo de Movimiento]]="Ingreso",tblMovimientos[[#This Row],[Monto (S/)]],"0")</f>
        <v>0</v>
      </c>
      <c r="O43" s="67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7" t="str">
        <f>IF(tblMovimientos[[#This Row],[Tipo de Movimiento]]="Ingreso",tblMovimientos[[#This Row],[Monto (S/)]],"0")</f>
        <v>0</v>
      </c>
      <c r="O44" s="67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7">
        <f>IF(tblMovimientos[[#This Row],[Tipo de Movimiento]]="Ingreso",tblMovimientos[[#This Row],[Monto (S/)]],"0")</f>
        <v>10000</v>
      </c>
      <c r="O45" s="67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7">
        <f>IF(tblMovimientos[[#This Row],[Tipo de Movimiento]]="Ingreso",tblMovimientos[[#This Row],[Monto (S/)]],"0")</f>
        <v>10000</v>
      </c>
      <c r="O46" s="67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7" t="str">
        <f>IF(tblMovimientos[[#This Row],[Tipo de Movimiento]]="Ingreso",tblMovimientos[[#This Row],[Monto (S/)]],"0")</f>
        <v>0</v>
      </c>
      <c r="O47" s="67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7">
        <f>IF(tblMovimientos[[#This Row],[Tipo de Movimiento]]="Ingreso",tblMovimientos[[#This Row],[Monto (S/)]],"0")</f>
        <v>570000</v>
      </c>
      <c r="O48" s="67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7" t="str">
        <f>IF(tblMovimientos[[#This Row],[Tipo de Movimiento]]="Ingreso",tblMovimientos[[#This Row],[Monto (S/)]],"0")</f>
        <v>0</v>
      </c>
      <c r="O49" s="67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7" t="str">
        <f>IF(tblMovimientos[[#This Row],[Tipo de Movimiento]]="Ingreso",tblMovimientos[[#This Row],[Monto (S/)]],"0")</f>
        <v>0</v>
      </c>
      <c r="O50" s="67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7" t="str">
        <f>IF(tblMovimientos[[#This Row],[Tipo de Movimiento]]="Ingreso",tblMovimientos[[#This Row],[Monto (S/)]],"0")</f>
        <v>0</v>
      </c>
      <c r="O51" s="67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7" t="str">
        <f>IF(tblMovimientos[[#This Row],[Tipo de Movimiento]]="Ingreso",tblMovimientos[[#This Row],[Monto (S/)]],"0")</f>
        <v>0</v>
      </c>
      <c r="O52" s="67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7" t="str">
        <f>IF(tblMovimientos[[#This Row],[Tipo de Movimiento]]="Ingreso",tblMovimientos[[#This Row],[Monto (S/)]],"0")</f>
        <v>0</v>
      </c>
      <c r="O53" s="67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7" t="str">
        <f>IF(tblMovimientos[[#This Row],[Tipo de Movimiento]]="Ingreso",tblMovimientos[[#This Row],[Monto (S/)]],"0")</f>
        <v>0</v>
      </c>
      <c r="O54" s="67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7">
        <f>IF(tblMovimientos[[#This Row],[Tipo de Movimiento]]="Ingreso",tblMovimientos[[#This Row],[Monto (S/)]],"0")</f>
        <v>700000</v>
      </c>
      <c r="O55" s="67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7" t="str">
        <f>IF(tblMovimientos[[#This Row],[Tipo de Movimiento]]="Ingreso",tblMovimientos[[#This Row],[Monto (S/)]],"0")</f>
        <v>0</v>
      </c>
      <c r="O56" s="67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7">
        <f>IF(tblMovimientos[[#This Row],[Tipo de Movimiento]]="Ingreso",tblMovimientos[[#This Row],[Monto (S/)]],"0")</f>
        <v>500000</v>
      </c>
      <c r="O57" s="67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7">
        <f>IF(tblMovimientos[[#This Row],[Tipo de Movimiento]]="Ingreso",tblMovimientos[[#This Row],[Monto (S/)]],"0")</f>
        <v>17697.939999999999</v>
      </c>
      <c r="O58" s="67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7">
        <f>IF(tblMovimientos[[#This Row],[Tipo de Movimiento]]="Ingreso",tblMovimientos[[#This Row],[Monto (S/)]],"0")</f>
        <v>65164.32</v>
      </c>
      <c r="O59" s="67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7" t="str">
        <f>IF(tblMovimientos[[#This Row],[Tipo de Movimiento]]="Ingreso",tblMovimientos[[#This Row],[Monto (S/)]],"0")</f>
        <v>0</v>
      </c>
      <c r="O60" s="67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7" t="str">
        <f>IF(tblMovimientos[[#This Row],[Tipo de Movimiento]]="Ingreso",tblMovimientos[[#This Row],[Monto (S/)]],"0")</f>
        <v>0</v>
      </c>
      <c r="O61" s="67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7" t="str">
        <f>IF(tblMovimientos[[#This Row],[Tipo de Movimiento]]="Ingreso",tblMovimientos[[#This Row],[Monto (S/)]],"0")</f>
        <v>0</v>
      </c>
      <c r="O62" s="67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7" t="str">
        <f>IF(tblMovimientos[[#This Row],[Tipo de Movimiento]]="Ingreso",tblMovimientos[[#This Row],[Monto (S/)]],"0")</f>
        <v>0</v>
      </c>
      <c r="O63" s="67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7">
        <f>IF(tblMovimientos[[#This Row],[Tipo de Movimiento]]="Ingreso",tblMovimientos[[#This Row],[Monto (S/)]],"0")</f>
        <v>2552.06</v>
      </c>
      <c r="O64" s="67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7">
        <f>IF(tblMovimientos[[#This Row],[Tipo de Movimiento]]="Ingreso",tblMovimientos[[#This Row],[Monto (S/)]],"0")</f>
        <v>15000</v>
      </c>
      <c r="O65" s="67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7" t="str">
        <f>IF(tblMovimientos[[#This Row],[Tipo de Movimiento]]="Ingreso",tblMovimientos[[#This Row],[Monto (S/)]],"0")</f>
        <v>0</v>
      </c>
      <c r="O66" s="67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7" t="str">
        <f>IF(tblMovimientos[[#This Row],[Tipo de Movimiento]]="Ingreso",tblMovimientos[[#This Row],[Monto (S/)]],"0")</f>
        <v>0</v>
      </c>
      <c r="O67" s="67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7" t="str">
        <f>IF(tblMovimientos[[#This Row],[Tipo de Movimiento]]="Ingreso",tblMovimientos[[#This Row],[Monto (S/)]],"0")</f>
        <v>0</v>
      </c>
      <c r="O68" s="67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7">
        <f>IF(tblMovimientos[[#This Row],[Tipo de Movimiento]]="Ingreso",tblMovimientos[[#This Row],[Monto (S/)]],"0")</f>
        <v>576000</v>
      </c>
      <c r="O69" s="67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7" t="str">
        <f>IF(tblMovimientos[[#This Row],[Tipo de Movimiento]]="Ingreso",tblMovimientos[[#This Row],[Monto (S/)]],"0")</f>
        <v>0</v>
      </c>
      <c r="O70" s="67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7" t="str">
        <f>IF(tblMovimientos[[#This Row],[Tipo de Movimiento]]="Ingreso",tblMovimientos[[#This Row],[Monto (S/)]],"0")</f>
        <v>0</v>
      </c>
      <c r="O71" s="67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7" t="str">
        <f>IF(tblMovimientos[[#This Row],[Tipo de Movimiento]]="Ingreso",tblMovimientos[[#This Row],[Monto (S/)]],"0")</f>
        <v>0</v>
      </c>
      <c r="O72" s="67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7" t="str">
        <f>IF(tblMovimientos[[#This Row],[Tipo de Movimiento]]="Ingreso",tblMovimientos[[#This Row],[Monto (S/)]],"0")</f>
        <v>0</v>
      </c>
      <c r="O73" s="67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7" t="str">
        <f>IF(tblMovimientos[[#This Row],[Tipo de Movimiento]]="Ingreso",tblMovimientos[[#This Row],[Monto (S/)]],"0")</f>
        <v>0</v>
      </c>
      <c r="O74" s="67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7">
        <f>IF(tblMovimientos[[#This Row],[Tipo de Movimiento]]="Ingreso",tblMovimientos[[#This Row],[Monto (S/)]],"0")</f>
        <v>239975</v>
      </c>
      <c r="O75" s="67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7" t="str">
        <f>IF(tblMovimientos[[#This Row],[Tipo de Movimiento]]="Ingreso",tblMovimientos[[#This Row],[Monto (S/)]],"0")</f>
        <v>0</v>
      </c>
      <c r="O76" s="67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7" t="str">
        <f>IF(tblMovimientos[[#This Row],[Tipo de Movimiento]]="Ingreso",tblMovimientos[[#This Row],[Monto (S/)]],"0")</f>
        <v>0</v>
      </c>
      <c r="O77" s="67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7" t="str">
        <f>IF(tblMovimientos[[#This Row],[Tipo de Movimiento]]="Ingreso",tblMovimientos[[#This Row],[Monto (S/)]],"0")</f>
        <v>0</v>
      </c>
      <c r="O78" s="67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7">
        <f>IF(tblMovimientos[[#This Row],[Tipo de Movimiento]]="Ingreso",tblMovimientos[[#This Row],[Monto (S/)]],"0")</f>
        <v>93805.54</v>
      </c>
      <c r="O79" s="67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7" t="str">
        <f>IF(tblMovimientos[[#This Row],[Tipo de Movimiento]]="Ingreso",tblMovimientos[[#This Row],[Monto (S/)]],"0")</f>
        <v>0</v>
      </c>
      <c r="O80" s="67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7" t="str">
        <f>IF(tblMovimientos[[#This Row],[Tipo de Movimiento]]="Ingreso",tblMovimientos[[#This Row],[Monto (S/)]],"0")</f>
        <v>0</v>
      </c>
      <c r="O81" s="67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7" t="str">
        <f>IF(tblMovimientos[[#This Row],[Tipo de Movimiento]]="Ingreso",tblMovimientos[[#This Row],[Monto (S/)]],"0")</f>
        <v>0</v>
      </c>
      <c r="O82" s="67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7">
        <f>IF(tblMovimientos[[#This Row],[Tipo de Movimiento]]="Ingreso",tblMovimientos[[#This Row],[Monto (S/)]],"0")</f>
        <v>16493.77</v>
      </c>
      <c r="O83" s="67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7" t="str">
        <f>IF(tblMovimientos[[#This Row],[Tipo de Movimiento]]="Ingreso",tblMovimientos[[#This Row],[Monto (S/)]],"0")</f>
        <v>0</v>
      </c>
      <c r="O84" s="67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7">
        <f>IF(tblMovimientos[[#This Row],[Tipo de Movimiento]]="Ingreso",tblMovimientos[[#This Row],[Monto (S/)]],"0")</f>
        <v>1.78</v>
      </c>
      <c r="O85" s="67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7" t="str">
        <f>IF(tblMovimientos[[#This Row],[Tipo de Movimiento]]="Ingreso",tblMovimientos[[#This Row],[Monto (S/)]],"0")</f>
        <v>0</v>
      </c>
      <c r="O86" s="67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7" t="str">
        <f>IF(tblMovimientos[[#This Row],[Tipo de Movimiento]]="Ingreso",tblMovimientos[[#This Row],[Monto (S/)]],"0")</f>
        <v>0</v>
      </c>
      <c r="O87" s="67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7" t="str">
        <f>IF(tblMovimientos[[#This Row],[Tipo de Movimiento]]="Ingreso",tblMovimientos[[#This Row],[Monto (S/)]],"0")</f>
        <v>0</v>
      </c>
      <c r="O88" s="67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7" t="str">
        <f>IF(tblMovimientos[[#This Row],[Tipo de Movimiento]]="Ingreso",tblMovimientos[[#This Row],[Monto (S/)]],"0")</f>
        <v>0</v>
      </c>
      <c r="O89" s="67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7" t="str">
        <f>IF(tblMovimientos[[#This Row],[Tipo de Movimiento]]="Ingreso",tblMovimientos[[#This Row],[Monto (S/)]],"0")</f>
        <v>0</v>
      </c>
      <c r="O90" s="67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7" t="str">
        <f>IF(tblMovimientos[[#This Row],[Tipo de Movimiento]]="Ingreso",tblMovimientos[[#This Row],[Monto (S/)]],"0")</f>
        <v>0</v>
      </c>
      <c r="O91" s="67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7" t="str">
        <f>IF(tblMovimientos[[#This Row],[Tipo de Movimiento]]="Ingreso",tblMovimientos[[#This Row],[Monto (S/)]],"0")</f>
        <v>0</v>
      </c>
      <c r="O92" s="67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7" t="str">
        <f>IF(tblMovimientos[[#This Row],[Tipo de Movimiento]]="Ingreso",tblMovimientos[[#This Row],[Monto (S/)]],"0")</f>
        <v>0</v>
      </c>
      <c r="O93" s="67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7" t="str">
        <f>IF(tblMovimientos[[#This Row],[Tipo de Movimiento]]="Ingreso",tblMovimientos[[#This Row],[Monto (S/)]],"0")</f>
        <v>0</v>
      </c>
      <c r="O94" s="67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7" t="str">
        <f>IF(tblMovimientos[[#This Row],[Tipo de Movimiento]]="Ingreso",tblMovimientos[[#This Row],[Monto (S/)]],"0")</f>
        <v>0</v>
      </c>
      <c r="O95" s="67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7">
        <f>IF(tblMovimientos[[#This Row],[Tipo de Movimiento]]="Ingreso",tblMovimientos[[#This Row],[Monto (S/)]],"0")</f>
        <v>920.07</v>
      </c>
      <c r="O96" s="67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7">
        <f>IF(tblMovimientos[[#This Row],[Tipo de Movimiento]]="Ingreso",tblMovimientos[[#This Row],[Monto (S/)]],"0")</f>
        <v>50000</v>
      </c>
      <c r="O97" s="67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7" t="str">
        <f>IF(tblMovimientos[[#This Row],[Tipo de Movimiento]]="Ingreso",tblMovimientos[[#This Row],[Monto (S/)]],"0")</f>
        <v>0</v>
      </c>
      <c r="O98" s="67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7" t="str">
        <f>IF(tblMovimientos[[#This Row],[Tipo de Movimiento]]="Ingreso",tblMovimientos[[#This Row],[Monto (S/)]],"0")</f>
        <v>0</v>
      </c>
      <c r="O99" s="67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7" t="str">
        <f>IF(tblMovimientos[[#This Row],[Tipo de Movimiento]]="Ingreso",tblMovimientos[[#This Row],[Monto (S/)]],"0")</f>
        <v>0</v>
      </c>
      <c r="O100" s="67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7" t="str">
        <f>IF(tblMovimientos[[#This Row],[Tipo de Movimiento]]="Ingreso",tblMovimientos[[#This Row],[Monto (S/)]],"0")</f>
        <v>0</v>
      </c>
      <c r="O101" s="67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7" t="str">
        <f>IF(tblMovimientos[[#This Row],[Tipo de Movimiento]]="Ingreso",tblMovimientos[[#This Row],[Monto (S/)]],"0")</f>
        <v>0</v>
      </c>
      <c r="O102" s="67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7" t="str">
        <f>IF(tblMovimientos[[#This Row],[Tipo de Movimiento]]="Ingreso",tblMovimientos[[#This Row],[Monto (S/)]],"0")</f>
        <v>0</v>
      </c>
      <c r="O103" s="67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7" t="str">
        <f>IF(tblMovimientos[[#This Row],[Tipo de Movimiento]]="Ingreso",tblMovimientos[[#This Row],[Monto (S/)]],"0")</f>
        <v>0</v>
      </c>
      <c r="O104" s="67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7" t="str">
        <f>IF(tblMovimientos[[#This Row],[Tipo de Movimiento]]="Ingreso",tblMovimientos[[#This Row],[Monto (S/)]],"0")</f>
        <v>0</v>
      </c>
      <c r="O105" s="67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7" t="str">
        <f>IF(tblMovimientos[[#This Row],[Tipo de Movimiento]]="Ingreso",tblMovimientos[[#This Row],[Monto (S/)]],"0")</f>
        <v>0</v>
      </c>
      <c r="O106" s="67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7" t="str">
        <f>IF(tblMovimientos[[#This Row],[Tipo de Movimiento]]="Ingreso",tblMovimientos[[#This Row],[Monto (S/)]],"0")</f>
        <v>0</v>
      </c>
      <c r="O107" s="67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7" t="str">
        <f>IF(tblMovimientos[[#This Row],[Tipo de Movimiento]]="Ingreso",tblMovimientos[[#This Row],[Monto (S/)]],"0")</f>
        <v>0</v>
      </c>
      <c r="O108" s="67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7" t="str">
        <f>IF(tblMovimientos[[#This Row],[Tipo de Movimiento]]="Ingreso",tblMovimientos[[#This Row],[Monto (S/)]],"0")</f>
        <v>0</v>
      </c>
      <c r="O109" s="67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7" t="str">
        <f>IF(tblMovimientos[[#This Row],[Tipo de Movimiento]]="Ingreso",tblMovimientos[[#This Row],[Monto (S/)]],"0")</f>
        <v>0</v>
      </c>
      <c r="O110" s="67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7" t="str">
        <f>IF(tblMovimientos[[#This Row],[Tipo de Movimiento]]="Ingreso",tblMovimientos[[#This Row],[Monto (S/)]],"0")</f>
        <v>0</v>
      </c>
      <c r="O111" s="67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7" t="str">
        <f>IF(tblMovimientos[[#This Row],[Tipo de Movimiento]]="Ingreso",tblMovimientos[[#This Row],[Monto (S/)]],"0")</f>
        <v>0</v>
      </c>
      <c r="O112" s="67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7" t="str">
        <f>IF(tblMovimientos[[#This Row],[Tipo de Movimiento]]="Ingreso",tblMovimientos[[#This Row],[Monto (S/)]],"0")</f>
        <v>0</v>
      </c>
      <c r="O113" s="67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7" t="str">
        <f>IF(tblMovimientos[[#This Row],[Tipo de Movimiento]]="Ingreso",tblMovimientos[[#This Row],[Monto (S/)]],"0")</f>
        <v>0</v>
      </c>
      <c r="O114" s="67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7" t="str">
        <f>IF(tblMovimientos[[#This Row],[Tipo de Movimiento]]="Ingreso",tblMovimientos[[#This Row],[Monto (S/)]],"0")</f>
        <v>0</v>
      </c>
      <c r="O115" s="67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7" t="str">
        <f>IF(tblMovimientos[[#This Row],[Tipo de Movimiento]]="Ingreso",tblMovimientos[[#This Row],[Monto (S/)]],"0")</f>
        <v>0</v>
      </c>
      <c r="O116" s="67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7" t="str">
        <f>IF(tblMovimientos[[#This Row],[Tipo de Movimiento]]="Ingreso",tblMovimientos[[#This Row],[Monto (S/)]],"0")</f>
        <v>0</v>
      </c>
      <c r="O117" s="67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7" t="str">
        <f>IF(tblMovimientos[[#This Row],[Tipo de Movimiento]]="Ingreso",tblMovimientos[[#This Row],[Monto (S/)]],"0")</f>
        <v>0</v>
      </c>
      <c r="O118" s="67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7" t="str">
        <f>IF(tblMovimientos[[#This Row],[Tipo de Movimiento]]="Ingreso",tblMovimientos[[#This Row],[Monto (S/)]],"0")</f>
        <v>0</v>
      </c>
      <c r="O119" s="67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7" t="str">
        <f>IF(tblMovimientos[[#This Row],[Tipo de Movimiento]]="Ingreso",tblMovimientos[[#This Row],[Monto (S/)]],"0")</f>
        <v>0</v>
      </c>
      <c r="O120" s="67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7" t="str">
        <f>IF(tblMovimientos[[#This Row],[Tipo de Movimiento]]="Ingreso",tblMovimientos[[#This Row],[Monto (S/)]],"0")</f>
        <v>0</v>
      </c>
      <c r="O121" s="67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7" t="str">
        <f>IF(tblMovimientos[[#This Row],[Tipo de Movimiento]]="Ingreso",tblMovimientos[[#This Row],[Monto (S/)]],"0")</f>
        <v>0</v>
      </c>
      <c r="O122" s="67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7" t="str">
        <f>IF(tblMovimientos[[#This Row],[Tipo de Movimiento]]="Ingreso",tblMovimientos[[#This Row],[Monto (S/)]],"0")</f>
        <v>0</v>
      </c>
      <c r="O123" s="67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7" t="str">
        <f>IF(tblMovimientos[[#This Row],[Tipo de Movimiento]]="Ingreso",tblMovimientos[[#This Row],[Monto (S/)]],"0")</f>
        <v>0</v>
      </c>
      <c r="O124" s="67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7">
        <f>IF(tblMovimientos[[#This Row],[Tipo de Movimiento]]="Ingreso",tblMovimientos[[#This Row],[Monto (S/)]],"0")</f>
        <v>650000</v>
      </c>
      <c r="O125" s="67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7" t="str">
        <f>IF(tblMovimientos[[#This Row],[Tipo de Movimiento]]="Ingreso",tblMovimientos[[#This Row],[Monto (S/)]],"0")</f>
        <v>0</v>
      </c>
      <c r="O126" s="67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7" t="str">
        <f>IF(tblMovimientos[[#This Row],[Tipo de Movimiento]]="Ingreso",tblMovimientos[[#This Row],[Monto (S/)]],"0")</f>
        <v>0</v>
      </c>
      <c r="O127" s="67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7">
        <f>IF(tblMovimientos[[#This Row],[Tipo de Movimiento]]="Ingreso",tblMovimientos[[#This Row],[Monto (S/)]],"0")</f>
        <v>30000</v>
      </c>
      <c r="O128" s="67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7" t="str">
        <f>IF(tblMovimientos[[#This Row],[Tipo de Movimiento]]="Ingreso",tblMovimientos[[#This Row],[Monto (S/)]],"0")</f>
        <v>0</v>
      </c>
      <c r="O129" s="67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7" t="str">
        <f>IF(tblMovimientos[[#This Row],[Tipo de Movimiento]]="Ingreso",tblMovimientos[[#This Row],[Monto (S/)]],"0")</f>
        <v>0</v>
      </c>
      <c r="O130" s="67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7" t="str">
        <f>IF(tblMovimientos[[#This Row],[Tipo de Movimiento]]="Ingreso",tblMovimientos[[#This Row],[Monto (S/)]],"0")</f>
        <v>0</v>
      </c>
      <c r="O131" s="67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7" t="str">
        <f>IF(tblMovimientos[[#This Row],[Tipo de Movimiento]]="Ingreso",tblMovimientos[[#This Row],[Monto (S/)]],"0")</f>
        <v>0</v>
      </c>
      <c r="O132" s="67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7" t="str">
        <f>IF(tblMovimientos[[#This Row],[Tipo de Movimiento]]="Ingreso",tblMovimientos[[#This Row],[Monto (S/)]],"0")</f>
        <v>0</v>
      </c>
      <c r="O133" s="67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7" t="str">
        <f>IF(tblMovimientos[[#This Row],[Tipo de Movimiento]]="Ingreso",tblMovimientos[[#This Row],[Monto (S/)]],"0")</f>
        <v>0</v>
      </c>
      <c r="O134" s="67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7" t="str">
        <f>IF(tblMovimientos[[#This Row],[Tipo de Movimiento]]="Ingreso",tblMovimientos[[#This Row],[Monto (S/)]],"0")</f>
        <v>0</v>
      </c>
      <c r="O135" s="67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7" t="str">
        <f>IF(tblMovimientos[[#This Row],[Tipo de Movimiento]]="Ingreso",tblMovimientos[[#This Row],[Monto (S/)]],"0")</f>
        <v>0</v>
      </c>
      <c r="O136" s="67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7" t="str">
        <f>IF(tblMovimientos[[#This Row],[Tipo de Movimiento]]="Ingreso",tblMovimientos[[#This Row],[Monto (S/)]],"0")</f>
        <v>0</v>
      </c>
      <c r="O137" s="67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7" t="str">
        <f>IF(tblMovimientos[[#This Row],[Tipo de Movimiento]]="Ingreso",tblMovimientos[[#This Row],[Monto (S/)]],"0")</f>
        <v>0</v>
      </c>
      <c r="O138" s="67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7" t="str">
        <f>IF(tblMovimientos[[#This Row],[Tipo de Movimiento]]="Ingreso",tblMovimientos[[#This Row],[Monto (S/)]],"0")</f>
        <v>0</v>
      </c>
      <c r="O139" s="67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7" t="str">
        <f>IF(tblMovimientos[[#This Row],[Tipo de Movimiento]]="Ingreso",tblMovimientos[[#This Row],[Monto (S/)]],"0")</f>
        <v>0</v>
      </c>
      <c r="O140" s="67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7" t="str">
        <f>IF(tblMovimientos[[#This Row],[Tipo de Movimiento]]="Ingreso",tblMovimientos[[#This Row],[Monto (S/)]],"0")</f>
        <v>0</v>
      </c>
      <c r="O141" s="67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7" t="str">
        <f>IF(tblMovimientos[[#This Row],[Tipo de Movimiento]]="Ingreso",tblMovimientos[[#This Row],[Monto (S/)]],"0")</f>
        <v>0</v>
      </c>
      <c r="O142" s="67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7">
        <f>IF(tblMovimientos[[#This Row],[Tipo de Movimiento]]="Ingreso",tblMovimientos[[#This Row],[Monto (S/)]],"0")</f>
        <v>50000</v>
      </c>
      <c r="O143" s="67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7" t="str">
        <f>IF(tblMovimientos[[#This Row],[Tipo de Movimiento]]="Ingreso",tblMovimientos[[#This Row],[Monto (S/)]],"0")</f>
        <v>0</v>
      </c>
      <c r="O144" s="67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7">
        <f>IF(tblMovimientos[[#This Row],[Tipo de Movimiento]]="Ingreso",tblMovimientos[[#This Row],[Monto (S/)]],"0")</f>
        <v>2200</v>
      </c>
      <c r="O145" s="67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7">
        <f>IF(tblMovimientos[[#This Row],[Tipo de Movimiento]]="Ingreso",tblMovimientos[[#This Row],[Monto (S/)]],"0")</f>
        <v>25274</v>
      </c>
      <c r="O146" s="67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7">
        <f>IF(tblMovimientos[[#This Row],[Tipo de Movimiento]]="Ingreso",tblMovimientos[[#This Row],[Monto (S/)]],"0")</f>
        <v>650000</v>
      </c>
      <c r="O147" s="67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7" t="str">
        <f>IF(tblMovimientos[[#This Row],[Tipo de Movimiento]]="Ingreso",tblMovimientos[[#This Row],[Monto (S/)]],"0")</f>
        <v>0</v>
      </c>
      <c r="O148" s="67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7" t="str">
        <f>IF(tblMovimientos[[#This Row],[Tipo de Movimiento]]="Ingreso",tblMovimientos[[#This Row],[Monto (S/)]],"0")</f>
        <v>0</v>
      </c>
      <c r="O149" s="67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7" t="str">
        <f>IF(tblMovimientos[[#This Row],[Tipo de Movimiento]]="Ingreso",tblMovimientos[[#This Row],[Monto (S/)]],"0")</f>
        <v>0</v>
      </c>
      <c r="O150" s="67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7" t="str">
        <f>IF(tblMovimientos[[#This Row],[Tipo de Movimiento]]="Ingreso",tblMovimientos[[#This Row],[Monto (S/)]],"0")</f>
        <v>0</v>
      </c>
      <c r="O151" s="67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7" t="str">
        <f>IF(tblMovimientos[[#This Row],[Tipo de Movimiento]]="Ingreso",tblMovimientos[[#This Row],[Monto (S/)]],"0")</f>
        <v>0</v>
      </c>
      <c r="O152" s="67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7" t="str">
        <f>IF(tblMovimientos[[#This Row],[Tipo de Movimiento]]="Ingreso",tblMovimientos[[#This Row],[Monto (S/)]],"0")</f>
        <v>0</v>
      </c>
      <c r="O153" s="67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7" t="str">
        <f>IF(tblMovimientos[[#This Row],[Tipo de Movimiento]]="Ingreso",tblMovimientos[[#This Row],[Monto (S/)]],"0")</f>
        <v>0</v>
      </c>
      <c r="O154" s="67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7" t="str">
        <f>IF(tblMovimientos[[#This Row],[Tipo de Movimiento]]="Ingreso",tblMovimientos[[#This Row],[Monto (S/)]],"0")</f>
        <v>0</v>
      </c>
      <c r="O155" s="67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7" t="str">
        <f>IF(tblMovimientos[[#This Row],[Tipo de Movimiento]]="Ingreso",tblMovimientos[[#This Row],[Monto (S/)]],"0")</f>
        <v>0</v>
      </c>
      <c r="O156" s="67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7" t="str">
        <f>IF(tblMovimientos[[#This Row],[Tipo de Movimiento]]="Ingreso",tblMovimientos[[#This Row],[Monto (S/)]],"0")</f>
        <v>0</v>
      </c>
      <c r="O157" s="67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7" t="str">
        <f>IF(tblMovimientos[[#This Row],[Tipo de Movimiento]]="Ingreso",tblMovimientos[[#This Row],[Monto (S/)]],"0")</f>
        <v>0</v>
      </c>
      <c r="O158" s="67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7" t="str">
        <f>IF(tblMovimientos[[#This Row],[Tipo de Movimiento]]="Ingreso",tblMovimientos[[#This Row],[Monto (S/)]],"0")</f>
        <v>0</v>
      </c>
      <c r="O159" s="67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7" t="str">
        <f>IF(tblMovimientos[[#This Row],[Tipo de Movimiento]]="Ingreso",tblMovimientos[[#This Row],[Monto (S/)]],"0")</f>
        <v>0</v>
      </c>
      <c r="O160" s="67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7" t="str">
        <f>IF(tblMovimientos[[#This Row],[Tipo de Movimiento]]="Ingreso",tblMovimientos[[#This Row],[Monto (S/)]],"0")</f>
        <v>0</v>
      </c>
      <c r="O161" s="67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7" t="str">
        <f>IF(tblMovimientos[[#This Row],[Tipo de Movimiento]]="Ingreso",tblMovimientos[[#This Row],[Monto (S/)]],"0")</f>
        <v>0</v>
      </c>
      <c r="O162" s="67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7">
        <f>IF(tblMovimientos[[#This Row],[Tipo de Movimiento]]="Ingreso",tblMovimientos[[#This Row],[Monto (S/)]],"0")</f>
        <v>350000</v>
      </c>
      <c r="O163" s="67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7" t="str">
        <f>IF(tblMovimientos[[#This Row],[Tipo de Movimiento]]="Ingreso",tblMovimientos[[#This Row],[Monto (S/)]],"0")</f>
        <v>0</v>
      </c>
      <c r="O164" s="67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7" t="str">
        <f>IF(tblMovimientos[[#This Row],[Tipo de Movimiento]]="Ingreso",tblMovimientos[[#This Row],[Monto (S/)]],"0")</f>
        <v>0</v>
      </c>
      <c r="O165" s="67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7" t="str">
        <f>IF(tblMovimientos[[#This Row],[Tipo de Movimiento]]="Ingreso",tblMovimientos[[#This Row],[Monto (S/)]],"0")</f>
        <v>0</v>
      </c>
      <c r="O166" s="67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7" t="str">
        <f>IF(tblMovimientos[[#This Row],[Tipo de Movimiento]]="Ingreso",tblMovimientos[[#This Row],[Monto (S/)]],"0")</f>
        <v>0</v>
      </c>
      <c r="O167" s="67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7" t="str">
        <f>IF(tblMovimientos[[#This Row],[Tipo de Movimiento]]="Ingreso",tblMovimientos[[#This Row],[Monto (S/)]],"0")</f>
        <v>0</v>
      </c>
      <c r="O168" s="67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7" t="str">
        <f>IF(tblMovimientos[[#This Row],[Tipo de Movimiento]]="Ingreso",tblMovimientos[[#This Row],[Monto (S/)]],"0")</f>
        <v>0</v>
      </c>
      <c r="O169" s="67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7">
        <f>IF(tblMovimientos[[#This Row],[Tipo de Movimiento]]="Ingreso",tblMovimientos[[#This Row],[Monto (S/)]],"0")</f>
        <v>600000</v>
      </c>
      <c r="O170" s="67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7">
        <f>IF(tblMovimientos[[#This Row],[Tipo de Movimiento]]="Ingreso",tblMovimientos[[#This Row],[Monto (S/)]],"0")</f>
        <v>75000</v>
      </c>
      <c r="O171" s="67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7" t="str">
        <f>IF(tblMovimientos[[#This Row],[Tipo de Movimiento]]="Ingreso",tblMovimientos[[#This Row],[Monto (S/)]],"0")</f>
        <v>0</v>
      </c>
      <c r="O172" s="67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7">
        <f>IF(tblMovimientos[[#This Row],[Tipo de Movimiento]]="Ingreso",tblMovimientos[[#This Row],[Monto (S/)]],"0")</f>
        <v>110832.53</v>
      </c>
      <c r="O173" s="67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7">
        <f>IF(tblMovimientos[[#This Row],[Tipo de Movimiento]]="Ingreso",tblMovimientos[[#This Row],[Monto (S/)]],"0")</f>
        <v>600000</v>
      </c>
      <c r="O174" s="67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7">
        <f>IF(tblMovimientos[[#This Row],[Tipo de Movimiento]]="Ingreso",tblMovimientos[[#This Row],[Monto (S/)]],"0")</f>
        <v>17540.53</v>
      </c>
      <c r="O175" s="67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7">
        <f>IF(tblMovimientos[[#This Row],[Tipo de Movimiento]]="Ingreso",tblMovimientos[[#This Row],[Monto (S/)]],"0")</f>
        <v>6217.37</v>
      </c>
      <c r="O176" s="67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7">
        <f>IF(tblMovimientos[[#This Row],[Tipo de Movimiento]]="Ingreso",tblMovimientos[[#This Row],[Monto (S/)]],"0")</f>
        <v>4400</v>
      </c>
      <c r="O177" s="67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7" t="str">
        <f>IF(tblMovimientos[[#This Row],[Tipo de Movimiento]]="Ingreso",tblMovimientos[[#This Row],[Monto (S/)]],"0")</f>
        <v>0</v>
      </c>
      <c r="O178" s="67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7">
        <f>IF(tblMovimientos[[#This Row],[Tipo de Movimiento]]="Ingreso",tblMovimientos[[#This Row],[Monto (S/)]],"0")</f>
        <v>10000</v>
      </c>
      <c r="O179" s="67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7" t="str">
        <f>IF(tblMovimientos[[#This Row],[Tipo de Movimiento]]="Ingreso",tblMovimientos[[#This Row],[Monto (S/)]],"0")</f>
        <v>0</v>
      </c>
      <c r="O180" s="67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7" t="str">
        <f>IF(tblMovimientos[[#This Row],[Tipo de Movimiento]]="Ingreso",tblMovimientos[[#This Row],[Monto (S/)]],"0")</f>
        <v>0</v>
      </c>
      <c r="O181" s="67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7" t="str">
        <f>IF(tblMovimientos[[#This Row],[Tipo de Movimiento]]="Ingreso",tblMovimientos[[#This Row],[Monto (S/)]],"0")</f>
        <v>0</v>
      </c>
      <c r="O182" s="67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7">
        <f>IF(tblMovimientos[[#This Row],[Tipo de Movimiento]]="Ingreso",tblMovimientos[[#This Row],[Monto (S/)]],"0")</f>
        <v>10000</v>
      </c>
      <c r="O183" s="67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7" t="str">
        <f>IF(tblMovimientos[[#This Row],[Tipo de Movimiento]]="Ingreso",tblMovimientos[[#This Row],[Monto (S/)]],"0")</f>
        <v>0</v>
      </c>
      <c r="O184" s="67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7">
        <f>IF(tblMovimientos[[#This Row],[Tipo de Movimiento]]="Ingreso",tblMovimientos[[#This Row],[Monto (S/)]],"0")</f>
        <v>21979.11</v>
      </c>
      <c r="O185" s="67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7" t="str">
        <f>IF(tblMovimientos[[#This Row],[Tipo de Movimiento]]="Ingreso",tblMovimientos[[#This Row],[Monto (S/)]],"0")</f>
        <v>0</v>
      </c>
      <c r="O186" s="67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7" t="str">
        <f>IF(tblMovimientos[[#This Row],[Tipo de Movimiento]]="Ingreso",tblMovimientos[[#This Row],[Monto (S/)]],"0")</f>
        <v>0</v>
      </c>
      <c r="O187" s="67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7">
        <f>IF(tblMovimientos[[#This Row],[Tipo de Movimiento]]="Ingreso",tblMovimientos[[#This Row],[Monto (S/)]],"0")</f>
        <v>68444.820000000007</v>
      </c>
      <c r="O188" s="67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7">
        <f>IF(tblMovimientos[[#This Row],[Tipo de Movimiento]]="Ingreso",tblMovimientos[[#This Row],[Monto (S/)]],"0")</f>
        <v>20000</v>
      </c>
      <c r="O189" s="67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7">
        <f>IF(tblMovimientos[[#This Row],[Tipo de Movimiento]]="Ingreso",tblMovimientos[[#This Row],[Monto (S/)]],"0")</f>
        <v>2637.12</v>
      </c>
      <c r="O190" s="67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7" t="str">
        <f>IF(tblMovimientos[[#This Row],[Tipo de Movimiento]]="Ingreso",tblMovimientos[[#This Row],[Monto (S/)]],"0")</f>
        <v>0</v>
      </c>
      <c r="O191" s="67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7">
        <f>IF(tblMovimientos[[#This Row],[Tipo de Movimiento]]="Ingreso",tblMovimientos[[#This Row],[Monto (S/)]],"0")</f>
        <v>1200000</v>
      </c>
      <c r="O192" s="67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7" t="str">
        <f>IF(tblMovimientos[[#This Row],[Tipo de Movimiento]]="Ingreso",tblMovimientos[[#This Row],[Monto (S/)]],"0")</f>
        <v>0</v>
      </c>
      <c r="O193" s="67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7" t="str">
        <f>IF(tblMovimientos[[#This Row],[Tipo de Movimiento]]="Ingreso",tblMovimientos[[#This Row],[Monto (S/)]],"0")</f>
        <v>0</v>
      </c>
      <c r="O194" s="67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7" t="str">
        <f>IF(tblMovimientos[[#This Row],[Tipo de Movimiento]]="Ingreso",tblMovimientos[[#This Row],[Monto (S/)]],"0")</f>
        <v>0</v>
      </c>
      <c r="O195" s="67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7" t="str">
        <f>IF(tblMovimientos[[#This Row],[Tipo de Movimiento]]="Ingreso",tblMovimientos[[#This Row],[Monto (S/)]],"0")</f>
        <v>0</v>
      </c>
      <c r="O196" s="67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7" t="str">
        <f>IF(tblMovimientos[[#This Row],[Tipo de Movimiento]]="Ingreso",tblMovimientos[[#This Row],[Monto (S/)]],"0")</f>
        <v>0</v>
      </c>
      <c r="O197" s="67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7" t="str">
        <f>IF(tblMovimientos[[#This Row],[Tipo de Movimiento]]="Ingreso",tblMovimientos[[#This Row],[Monto (S/)]],"0")</f>
        <v>0</v>
      </c>
      <c r="O198" s="67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7" t="str">
        <f>IF(tblMovimientos[[#This Row],[Tipo de Movimiento]]="Ingreso",tblMovimientos[[#This Row],[Monto (S/)]],"0")</f>
        <v>0</v>
      </c>
      <c r="O199" s="67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7">
        <f>IF(tblMovimientos[[#This Row],[Tipo de Movimiento]]="Ingreso",tblMovimientos[[#This Row],[Monto (S/)]],"0")</f>
        <v>300000</v>
      </c>
      <c r="O200" s="67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7" t="str">
        <f>IF(tblMovimientos[[#This Row],[Tipo de Movimiento]]="Ingreso",tblMovimientos[[#This Row],[Monto (S/)]],"0")</f>
        <v>0</v>
      </c>
      <c r="O201" s="67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7" t="str">
        <f>IF(tblMovimientos[[#This Row],[Tipo de Movimiento]]="Ingreso",tblMovimientos[[#This Row],[Monto (S/)]],"0")</f>
        <v>0</v>
      </c>
      <c r="O202" s="67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7" t="str">
        <f>IF(tblMovimientos[[#This Row],[Tipo de Movimiento]]="Ingreso",tblMovimientos[[#This Row],[Monto (S/)]],"0")</f>
        <v>0</v>
      </c>
      <c r="O203" s="67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7" t="str">
        <f>IF(tblMovimientos[[#This Row],[Tipo de Movimiento]]="Ingreso",tblMovimientos[[#This Row],[Monto (S/)]],"0")</f>
        <v>0</v>
      </c>
      <c r="O204" s="67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7" t="str">
        <f>IF(tblMovimientos[[#This Row],[Tipo de Movimiento]]="Ingreso",tblMovimientos[[#This Row],[Monto (S/)]],"0")</f>
        <v>0</v>
      </c>
      <c r="O205" s="67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7" t="str">
        <f>IF(tblMovimientos[[#This Row],[Tipo de Movimiento]]="Ingreso",tblMovimientos[[#This Row],[Monto (S/)]],"0")</f>
        <v>0</v>
      </c>
      <c r="O206" s="67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7" t="str">
        <f>IF(tblMovimientos[[#This Row],[Tipo de Movimiento]]="Ingreso",tblMovimientos[[#This Row],[Monto (S/)]],"0")</f>
        <v>0</v>
      </c>
      <c r="O207" s="67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7" t="str">
        <f>IF(tblMovimientos[[#This Row],[Tipo de Movimiento]]="Ingreso",tblMovimientos[[#This Row],[Monto (S/)]],"0")</f>
        <v>0</v>
      </c>
      <c r="O208" s="67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7" t="str">
        <f>IF(tblMovimientos[[#This Row],[Tipo de Movimiento]]="Ingreso",tblMovimientos[[#This Row],[Monto (S/)]],"0")</f>
        <v>0</v>
      </c>
      <c r="O209" s="67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7" t="str">
        <f>IF(tblMovimientos[[#This Row],[Tipo de Movimiento]]="Ingreso",tblMovimientos[[#This Row],[Monto (S/)]],"0")</f>
        <v>0</v>
      </c>
      <c r="O210" s="67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7" t="str">
        <f>IF(tblMovimientos[[#This Row],[Tipo de Movimiento]]="Ingreso",tblMovimientos[[#This Row],[Monto (S/)]],"0")</f>
        <v>0</v>
      </c>
      <c r="O211" s="67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7" t="str">
        <f>IF(tblMovimientos[[#This Row],[Tipo de Movimiento]]="Ingreso",tblMovimientos[[#This Row],[Monto (S/)]],"0")</f>
        <v>0</v>
      </c>
      <c r="O212" s="67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7">
        <f>IF(tblMovimientos[[#This Row],[Tipo de Movimiento]]="Ingreso",tblMovimientos[[#This Row],[Monto (S/)]],"0")</f>
        <v>46804.94</v>
      </c>
      <c r="O213" s="67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7">
        <f>IF(tblMovimientos[[#This Row],[Tipo de Movimiento]]="Ingreso",tblMovimientos[[#This Row],[Monto (S/)]],"0")</f>
        <v>1452.33</v>
      </c>
      <c r="O214" s="67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7" t="str">
        <f>IF(tblMovimientos[[#This Row],[Tipo de Movimiento]]="Ingreso",tblMovimientos[[#This Row],[Monto (S/)]],"0")</f>
        <v>0</v>
      </c>
      <c r="O215" s="67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7" t="str">
        <f>IF(tblMovimientos[[#This Row],[Tipo de Movimiento]]="Ingreso",tblMovimientos[[#This Row],[Monto (S/)]],"0")</f>
        <v>0</v>
      </c>
      <c r="O216" s="67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7" t="str">
        <f>IF(tblMovimientos[[#This Row],[Tipo de Movimiento]]="Ingreso",tblMovimientos[[#This Row],[Monto (S/)]],"0")</f>
        <v>0</v>
      </c>
      <c r="O217" s="67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7">
        <f>IF(tblMovimientos[[#This Row],[Tipo de Movimiento]]="Ingreso",tblMovimientos[[#This Row],[Monto (S/)]],"0")</f>
        <v>2291.75</v>
      </c>
      <c r="O218" s="67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7" t="str">
        <f>IF(tblMovimientos[[#This Row],[Tipo de Movimiento]]="Ingreso",tblMovimientos[[#This Row],[Monto (S/)]],"0")</f>
        <v>0</v>
      </c>
      <c r="O219" s="67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7" t="str">
        <f>IF(tblMovimientos[[#This Row],[Tipo de Movimiento]]="Ingreso",tblMovimientos[[#This Row],[Monto (S/)]],"0")</f>
        <v>0</v>
      </c>
      <c r="O220" s="67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7">
        <f>IF(tblMovimientos[[#This Row],[Tipo de Movimiento]]="Ingreso",tblMovimientos[[#This Row],[Monto (S/)]],"0")</f>
        <v>380000</v>
      </c>
      <c r="O221" s="67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7" t="str">
        <f>IF(tblMovimientos[[#This Row],[Tipo de Movimiento]]="Ingreso",tblMovimientos[[#This Row],[Monto (S/)]],"0")</f>
        <v>0</v>
      </c>
      <c r="O222" s="67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7" t="str">
        <f>IF(tblMovimientos[[#This Row],[Tipo de Movimiento]]="Ingreso",tblMovimientos[[#This Row],[Monto (S/)]],"0")</f>
        <v>0</v>
      </c>
      <c r="O223" s="67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7" t="str">
        <f>IF(tblMovimientos[[#This Row],[Tipo de Movimiento]]="Ingreso",tblMovimientos[[#This Row],[Monto (S/)]],"0")</f>
        <v>0</v>
      </c>
      <c r="O224" s="67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7" t="str">
        <f>IF(tblMovimientos[[#This Row],[Tipo de Movimiento]]="Ingreso",tblMovimientos[[#This Row],[Monto (S/)]],"0")</f>
        <v>0</v>
      </c>
      <c r="O225" s="67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7" t="str">
        <f>IF(tblMovimientos[[#This Row],[Tipo de Movimiento]]="Ingreso",tblMovimientos[[#This Row],[Monto (S/)]],"0")</f>
        <v>0</v>
      </c>
      <c r="O226" s="67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7" t="str">
        <f>IF(tblMovimientos[[#This Row],[Tipo de Movimiento]]="Ingreso",tblMovimientos[[#This Row],[Monto (S/)]],"0")</f>
        <v>0</v>
      </c>
      <c r="O227" s="67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7" t="str">
        <f>IF(tblMovimientos[[#This Row],[Tipo de Movimiento]]="Ingreso",tblMovimientos[[#This Row],[Monto (S/)]],"0")</f>
        <v>0</v>
      </c>
      <c r="O228" s="67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7" t="str">
        <f>IF(tblMovimientos[[#This Row],[Tipo de Movimiento]]="Ingreso",tblMovimientos[[#This Row],[Monto (S/)]],"0")</f>
        <v>0</v>
      </c>
      <c r="O229" s="67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7">
        <f>IF(tblMovimientos[[#This Row],[Tipo de Movimiento]]="Ingreso",tblMovimientos[[#This Row],[Monto (S/)]],"0")</f>
        <v>6979.11</v>
      </c>
      <c r="O230" s="67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7" t="str">
        <f>IF(tblMovimientos[[#This Row],[Tipo de Movimiento]]="Ingreso",tblMovimientos[[#This Row],[Monto (S/)]],"0")</f>
        <v>0</v>
      </c>
      <c r="O231" s="67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7" t="str">
        <f>IF(tblMovimientos[[#This Row],[Tipo de Movimiento]]="Ingreso",tblMovimientos[[#This Row],[Monto (S/)]],"0")</f>
        <v>0</v>
      </c>
      <c r="O232" s="67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7" t="str">
        <f>IF(tblMovimientos[[#This Row],[Tipo de Movimiento]]="Ingreso",tblMovimientos[[#This Row],[Monto (S/)]],"0")</f>
        <v>0</v>
      </c>
      <c r="O233" s="67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Iniciales'!$B$2:$B$38,D234)+SUMIFS($K$1:$K$724,$C$1:$C$724,C234,$D$1:$D$724,D234,$B$1:$B$724,"&lt;="&amp;B234)</f>
        <v>5000</v>
      </c>
      <c r="N234" s="67" t="str">
        <f>IF(tblMovimientos[[#This Row],[Tipo de Movimiento]]="Ingreso",tblMovimientos[[#This Row],[Monto (S/)]],"0")</f>
        <v>0</v>
      </c>
      <c r="O234" s="67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Iniciales'!$B$2:$B$38,D235)+SUMIFS($K$1:$K$724,$C$1:$C$724,C235,$D$1:$D$724,D235,$B$1:$B$724,"&lt;="&amp;B235)</f>
        <v>5000</v>
      </c>
      <c r="N235" s="67" t="str">
        <f>IF(tblMovimientos[[#This Row],[Tipo de Movimiento]]="Ingreso",tblMovimientos[[#This Row],[Monto (S/)]],"0")</f>
        <v>0</v>
      </c>
      <c r="O235" s="67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Iniciales'!$B$2:$B$38,D236)+SUMIFS($K$1:$K$724,$C$1:$C$724,C236,$D$1:$D$724,D236,$B$1:$B$724,"&lt;="&amp;B236)</f>
        <v>57206.89</v>
      </c>
      <c r="N236" s="67" t="str">
        <f>IF(tblMovimientos[[#This Row],[Tipo de Movimiento]]="Ingreso",tblMovimientos[[#This Row],[Monto (S/)]],"0")</f>
        <v>0</v>
      </c>
      <c r="O236" s="67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Iniciales'!$B$2:$B$38,D237)+SUMIFS($K$1:$K$724,$C$1:$C$724,C237,$D$1:$D$724,D237,$B$1:$B$724,"&lt;="&amp;B237)</f>
        <v>6365</v>
      </c>
      <c r="N237" s="67" t="str">
        <f>IF(tblMovimientos[[#This Row],[Tipo de Movimiento]]="Ingreso",tblMovimientos[[#This Row],[Monto (S/)]],"0")</f>
        <v>0</v>
      </c>
      <c r="O237" s="67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Iniciales'!$B$2:$B$38,D238)+SUMIFS($K$1:$K$724,$C$1:$C$724,C238,$D$1:$D$724,D238,$B$1:$B$724,"&lt;="&amp;B238)</f>
        <v>1669.89</v>
      </c>
      <c r="N238" s="67" t="str">
        <f>IF(tblMovimientos[[#This Row],[Tipo de Movimiento]]="Ingreso",tblMovimientos[[#This Row],[Monto (S/)]],"0")</f>
        <v>0</v>
      </c>
      <c r="O238" s="67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Iniciales'!$B$2:$B$38,D239)+SUMIFS($K$1:$K$724,$C$1:$C$724,C239,$D$1:$D$724,D239,$B$1:$B$724,"&lt;="&amp;B239)</f>
        <v>1968.99</v>
      </c>
      <c r="N239" s="67" t="str">
        <f>IF(tblMovimientos[[#This Row],[Tipo de Movimiento]]="Ingreso",tblMovimientos[[#This Row],[Monto (S/)]],"0")</f>
        <v>0</v>
      </c>
      <c r="O239" s="67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7" t="str">
        <f>IF(tblMovimientos[[#This Row],[Tipo de Movimiento]]="Ingreso",tblMovimientos[[#This Row],[Monto (S/)]],"0")</f>
        <v>0</v>
      </c>
      <c r="O240" s="67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7" t="str">
        <f>IF(tblMovimientos[[#This Row],[Tipo de Movimiento]]="Ingreso",tblMovimientos[[#This Row],[Monto (S/)]],"0")</f>
        <v>0</v>
      </c>
      <c r="O241" s="67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7" t="str">
        <f>IF(tblMovimientos[[#This Row],[Tipo de Movimiento]]="Ingreso",tblMovimientos[[#This Row],[Monto (S/)]],"0")</f>
        <v>0</v>
      </c>
      <c r="O242" s="67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7" t="str">
        <f>IF(tblMovimientos[[#This Row],[Tipo de Movimiento]]="Ingreso",tblMovimientos[[#This Row],[Monto (S/)]],"0")</f>
        <v>0</v>
      </c>
      <c r="O243" s="67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7" t="str">
        <f>IF(tblMovimientos[[#This Row],[Tipo de Movimiento]]="Ingreso",tblMovimientos[[#This Row],[Monto (S/)]],"0")</f>
        <v>0</v>
      </c>
      <c r="O244" s="67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7" t="str">
        <f>IF(tblMovimientos[[#This Row],[Tipo de Movimiento]]="Ingreso",tblMovimientos[[#This Row],[Monto (S/)]],"0")</f>
        <v>0</v>
      </c>
      <c r="O245" s="67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7" t="str">
        <f>IF(tblMovimientos[[#This Row],[Tipo de Movimiento]]="Ingreso",tblMovimientos[[#This Row],[Monto (S/)]],"0")</f>
        <v>0</v>
      </c>
      <c r="O246" s="67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7">
        <f>IF(tblMovimientos[[#This Row],[Tipo de Movimiento]]="Ingreso",tblMovimientos[[#This Row],[Monto (S/)]],"0")</f>
        <v>15307.88</v>
      </c>
      <c r="O247" s="67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7" t="str">
        <f>IF(tblMovimientos[[#This Row],[Tipo de Movimiento]]="Ingreso",tblMovimientos[[#This Row],[Monto (S/)]],"0")</f>
        <v>0</v>
      </c>
      <c r="O248" s="67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7" t="str">
        <f>IF(tblMovimientos[[#This Row],[Tipo de Movimiento]]="Ingreso",tblMovimientos[[#This Row],[Monto (S/)]],"0")</f>
        <v>0</v>
      </c>
      <c r="O249" s="67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7" t="str">
        <f>IF(tblMovimientos[[#This Row],[Tipo de Movimiento]]="Ingreso",tblMovimientos[[#This Row],[Monto (S/)]],"0")</f>
        <v>0</v>
      </c>
      <c r="O250" s="67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7" t="str">
        <f>IF(tblMovimientos[[#This Row],[Tipo de Movimiento]]="Ingreso",tblMovimientos[[#This Row],[Monto (S/)]],"0")</f>
        <v>0</v>
      </c>
      <c r="O251" s="67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7">
        <f>IF(tblMovimientos[[#This Row],[Tipo de Movimiento]]="Ingreso",tblMovimientos[[#This Row],[Monto (S/)]],"0")</f>
        <v>185000</v>
      </c>
      <c r="O252" s="67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7" t="str">
        <f>IF(tblMovimientos[[#This Row],[Tipo de Movimiento]]="Ingreso",tblMovimientos[[#This Row],[Monto (S/)]],"0")</f>
        <v>0</v>
      </c>
      <c r="O253" s="67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7" t="str">
        <f>IF(tblMovimientos[[#This Row],[Tipo de Movimiento]]="Ingreso",tblMovimientos[[#This Row],[Monto (S/)]],"0")</f>
        <v>0</v>
      </c>
      <c r="O254" s="67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7" t="str">
        <f>IF(tblMovimientos[[#This Row],[Tipo de Movimiento]]="Ingreso",tblMovimientos[[#This Row],[Monto (S/)]],"0")</f>
        <v>0</v>
      </c>
      <c r="O255" s="67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7" t="str">
        <f>IF(tblMovimientos[[#This Row],[Tipo de Movimiento]]="Ingreso",tblMovimientos[[#This Row],[Monto (S/)]],"0")</f>
        <v>0</v>
      </c>
      <c r="O256" s="67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7" t="str">
        <f>IF(tblMovimientos[[#This Row],[Tipo de Movimiento]]="Ingreso",tblMovimientos[[#This Row],[Monto (S/)]],"0")</f>
        <v>0</v>
      </c>
      <c r="O257" s="67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7">
        <f>IF(tblMovimientos[[#This Row],[Tipo de Movimiento]]="Ingreso",tblMovimientos[[#This Row],[Monto (S/)]],"0")</f>
        <v>150000</v>
      </c>
      <c r="O258" s="67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7" t="str">
        <f>IF(tblMovimientos[[#This Row],[Tipo de Movimiento]]="Ingreso",tblMovimientos[[#This Row],[Monto (S/)]],"0")</f>
        <v>0</v>
      </c>
      <c r="O259" s="67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7">
        <f>IF(tblMovimientos[[#This Row],[Tipo de Movimiento]]="Ingreso",tblMovimientos[[#This Row],[Monto (S/)]],"0")</f>
        <v>9000</v>
      </c>
      <c r="O260" s="67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7" t="str">
        <f>IF(tblMovimientos[[#This Row],[Tipo de Movimiento]]="Ingreso",tblMovimientos[[#This Row],[Monto (S/)]],"0")</f>
        <v>0</v>
      </c>
      <c r="O261" s="67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7" t="str">
        <f>IF(tblMovimientos[[#This Row],[Tipo de Movimiento]]="Ingreso",tblMovimientos[[#This Row],[Monto (S/)]],"0")</f>
        <v>0</v>
      </c>
      <c r="O262" s="67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7" t="str">
        <f>IF(tblMovimientos[[#This Row],[Tipo de Movimiento]]="Ingreso",tblMovimientos[[#This Row],[Monto (S/)]],"0")</f>
        <v>0</v>
      </c>
      <c r="O263" s="67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7" t="str">
        <f>IF(tblMovimientos[[#This Row],[Tipo de Movimiento]]="Ingreso",tblMovimientos[[#This Row],[Monto (S/)]],"0")</f>
        <v>0</v>
      </c>
      <c r="O264" s="67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7" t="str">
        <f>IF(tblMovimientos[[#This Row],[Tipo de Movimiento]]="Ingreso",tblMovimientos[[#This Row],[Monto (S/)]],"0")</f>
        <v>0</v>
      </c>
      <c r="O265" s="67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7">
        <f>IF(tblMovimientos[[#This Row],[Tipo de Movimiento]]="Ingreso",tblMovimientos[[#This Row],[Monto (S/)]],"0")</f>
        <v>9000</v>
      </c>
      <c r="O266" s="67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7" t="str">
        <f>IF(tblMovimientos[[#This Row],[Tipo de Movimiento]]="Ingreso",tblMovimientos[[#This Row],[Monto (S/)]],"0")</f>
        <v>0</v>
      </c>
      <c r="O267" s="67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7" t="str">
        <f>IF(tblMovimientos[[#This Row],[Tipo de Movimiento]]="Ingreso",tblMovimientos[[#This Row],[Monto (S/)]],"0")</f>
        <v>0</v>
      </c>
      <c r="O268" s="67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7" t="str">
        <f>IF(tblMovimientos[[#This Row],[Tipo de Movimiento]]="Ingreso",tblMovimientos[[#This Row],[Monto (S/)]],"0")</f>
        <v>0</v>
      </c>
      <c r="O269" s="67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7" t="str">
        <f>IF(tblMovimientos[[#This Row],[Tipo de Movimiento]]="Ingreso",tblMovimientos[[#This Row],[Monto (S/)]],"0")</f>
        <v>0</v>
      </c>
      <c r="O270" s="67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7" t="str">
        <f>IF(tblMovimientos[[#This Row],[Tipo de Movimiento]]="Ingreso",tblMovimientos[[#This Row],[Monto (S/)]],"0")</f>
        <v>0</v>
      </c>
      <c r="O271" s="67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7" t="str">
        <f>IF(tblMovimientos[[#This Row],[Tipo de Movimiento]]="Ingreso",tblMovimientos[[#This Row],[Monto (S/)]],"0")</f>
        <v>0</v>
      </c>
      <c r="O272" s="67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7" t="str">
        <f>IF(tblMovimientos[[#This Row],[Tipo de Movimiento]]="Ingreso",tblMovimientos[[#This Row],[Monto (S/)]],"0")</f>
        <v>0</v>
      </c>
      <c r="O273" s="67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7" t="str">
        <f>IF(tblMovimientos[[#This Row],[Tipo de Movimiento]]="Ingreso",tblMovimientos[[#This Row],[Monto (S/)]],"0")</f>
        <v>0</v>
      </c>
      <c r="O274" s="67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7" t="str">
        <f>IF(tblMovimientos[[#This Row],[Tipo de Movimiento]]="Ingreso",tblMovimientos[[#This Row],[Monto (S/)]],"0")</f>
        <v>0</v>
      </c>
      <c r="O275" s="67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7">
        <f>IF(tblMovimientos[[#This Row],[Tipo de Movimiento]]="Ingreso",tblMovimientos[[#This Row],[Monto (S/)]],"0")</f>
        <v>113987.15</v>
      </c>
      <c r="O276" s="67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7">
        <f>IF(tblMovimientos[[#This Row],[Tipo de Movimiento]]="Ingreso",tblMovimientos[[#This Row],[Monto (S/)]],"0")</f>
        <v>255000</v>
      </c>
      <c r="O277" s="67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7">
        <f>IF(tblMovimientos[[#This Row],[Tipo de Movimiento]]="Ingreso",tblMovimientos[[#This Row],[Monto (S/)]],"0")</f>
        <v>1000000</v>
      </c>
      <c r="O278" s="67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7">
        <f>IF(tblMovimientos[[#This Row],[Tipo de Movimiento]]="Ingreso",tblMovimientos[[#This Row],[Monto (S/)]],"0")</f>
        <v>14761.57</v>
      </c>
      <c r="O279" s="67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7">
        <f>IF(tblMovimientos[[#This Row],[Tipo de Movimiento]]="Ingreso",tblMovimientos[[#This Row],[Monto (S/)]],"0")</f>
        <v>99279.52</v>
      </c>
      <c r="O280" s="67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7">
        <f>IF(tblMovimientos[[#This Row],[Tipo de Movimiento]]="Ingreso",tblMovimientos[[#This Row],[Monto (S/)]],"0")</f>
        <v>87085.14</v>
      </c>
      <c r="O281" s="67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7" t="str">
        <f>IF(tblMovimientos[[#This Row],[Tipo de Movimiento]]="Ingreso",tblMovimientos[[#This Row],[Monto (S/)]],"0")</f>
        <v>0</v>
      </c>
      <c r="O282" s="67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Iniciales'!$B$2:$B$38,D283)+SUMIFS($K$1:$K$724,$C$1:$C$724,C283,$D$1:$D$724,D283,$B$1:$B$724,"&lt;="&amp;B283)</f>
        <v>48774.73</v>
      </c>
      <c r="N283" s="67" t="str">
        <f>IF(tblMovimientos[[#This Row],[Tipo de Movimiento]]="Ingreso",tblMovimientos[[#This Row],[Monto (S/)]],"0")</f>
        <v>0</v>
      </c>
      <c r="O283" s="67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7" t="str">
        <f>IF(tblMovimientos[[#This Row],[Tipo de Movimiento]]="Ingreso",tblMovimientos[[#This Row],[Monto (S/)]],"0")</f>
        <v>0</v>
      </c>
      <c r="O284" s="67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7" t="str">
        <f>IF(tblMovimientos[[#This Row],[Tipo de Movimiento]]="Ingreso",tblMovimientos[[#This Row],[Monto (S/)]],"0")</f>
        <v>0</v>
      </c>
      <c r="O285" s="67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7" t="str">
        <f>IF(tblMovimientos[[#This Row],[Tipo de Movimiento]]="Ingreso",tblMovimientos[[#This Row],[Monto (S/)]],"0")</f>
        <v>0</v>
      </c>
      <c r="O286" s="67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7" t="str">
        <f>IF(tblMovimientos[[#This Row],[Tipo de Movimiento]]="Ingreso",tblMovimientos[[#This Row],[Monto (S/)]],"0")</f>
        <v>0</v>
      </c>
      <c r="O287" s="67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7" t="str">
        <f>IF(tblMovimientos[[#This Row],[Tipo de Movimiento]]="Ingreso",tblMovimientos[[#This Row],[Monto (S/)]],"0")</f>
        <v>0</v>
      </c>
      <c r="O288" s="67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7" t="str">
        <f>IF(tblMovimientos[[#This Row],[Tipo de Movimiento]]="Ingreso",tblMovimientos[[#This Row],[Monto (S/)]],"0")</f>
        <v>0</v>
      </c>
      <c r="O289" s="67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7" t="str">
        <f>IF(tblMovimientos[[#This Row],[Tipo de Movimiento]]="Ingreso",tblMovimientos[[#This Row],[Monto (S/)]],"0")</f>
        <v>0</v>
      </c>
      <c r="O290" s="67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7" t="str">
        <f>IF(tblMovimientos[[#This Row],[Tipo de Movimiento]]="Ingreso",tblMovimientos[[#This Row],[Monto (S/)]],"0")</f>
        <v>0</v>
      </c>
      <c r="O291" s="67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7" t="str">
        <f>IF(tblMovimientos[[#This Row],[Tipo de Movimiento]]="Ingreso",tblMovimientos[[#This Row],[Monto (S/)]],"0")</f>
        <v>0</v>
      </c>
      <c r="O292" s="67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7" t="str">
        <f>IF(tblMovimientos[[#This Row],[Tipo de Movimiento]]="Ingreso",tblMovimientos[[#This Row],[Monto (S/)]],"0")</f>
        <v>0</v>
      </c>
      <c r="O293" s="67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7" t="str">
        <f>IF(tblMovimientos[[#This Row],[Tipo de Movimiento]]="Ingreso",tblMovimientos[[#This Row],[Monto (S/)]],"0")</f>
        <v>0</v>
      </c>
      <c r="O294" s="67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7">
        <f>IF(tblMovimientos[[#This Row],[Tipo de Movimiento]]="Ingreso",tblMovimientos[[#This Row],[Monto (S/)]],"0")</f>
        <v>50000</v>
      </c>
      <c r="O295" s="67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7" t="str">
        <f>IF(tblMovimientos[[#This Row],[Tipo de Movimiento]]="Ingreso",tblMovimientos[[#This Row],[Monto (S/)]],"0")</f>
        <v>0</v>
      </c>
      <c r="O296" s="67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7" t="str">
        <f>IF(tblMovimientos[[#This Row],[Tipo de Movimiento]]="Ingreso",tblMovimientos[[#This Row],[Monto (S/)]],"0")</f>
        <v>0</v>
      </c>
      <c r="O297" s="67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7" t="str">
        <f>IF(tblMovimientos[[#This Row],[Tipo de Movimiento]]="Ingreso",tblMovimientos[[#This Row],[Monto (S/)]],"0")</f>
        <v>0</v>
      </c>
      <c r="O298" s="67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7" t="str">
        <f>IF(tblMovimientos[[#This Row],[Tipo de Movimiento]]="Ingreso",tblMovimientos[[#This Row],[Monto (S/)]],"0")</f>
        <v>0</v>
      </c>
      <c r="O299" s="67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7" t="str">
        <f>IF(tblMovimientos[[#This Row],[Tipo de Movimiento]]="Ingreso",tblMovimientos[[#This Row],[Monto (S/)]],"0")</f>
        <v>0</v>
      </c>
      <c r="O300" s="67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7" t="str">
        <f>IF(tblMovimientos[[#This Row],[Tipo de Movimiento]]="Ingreso",tblMovimientos[[#This Row],[Monto (S/)]],"0")</f>
        <v>0</v>
      </c>
      <c r="O301" s="67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7" t="str">
        <f>IF(tblMovimientos[[#This Row],[Tipo de Movimiento]]="Ingreso",tblMovimientos[[#This Row],[Monto (S/)]],"0")</f>
        <v>0</v>
      </c>
      <c r="O302" s="67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7" t="str">
        <f>IF(tblMovimientos[[#This Row],[Tipo de Movimiento]]="Ingreso",tblMovimientos[[#This Row],[Monto (S/)]],"0")</f>
        <v>0</v>
      </c>
      <c r="O303" s="67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7">
        <f>IF(tblMovimientos[[#This Row],[Tipo de Movimiento]]="Ingreso",tblMovimientos[[#This Row],[Monto (S/)]],"0")</f>
        <v>50000</v>
      </c>
      <c r="O304" s="67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7" t="str">
        <f>IF(tblMovimientos[[#This Row],[Tipo de Movimiento]]="Ingreso",tblMovimientos[[#This Row],[Monto (S/)]],"0")</f>
        <v>0</v>
      </c>
      <c r="O305" s="67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Iniciales'!$B$2:$B$38,D306)+SUMIFS($K$1:$K$724,$C$1:$C$724,C306,$D$1:$D$724,D306,$B$1:$B$724,"&lt;="&amp;B306)</f>
        <v>48774.73</v>
      </c>
      <c r="N306" s="67" t="str">
        <f>IF(tblMovimientos[[#This Row],[Tipo de Movimiento]]="Ingreso",tblMovimientos[[#This Row],[Monto (S/)]],"0")</f>
        <v>0</v>
      </c>
      <c r="O306" s="67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>IF(F307="Ingreso",J307,-J307)</f>
        <v>50000</v>
      </c>
      <c r="L307" s="15" t="s">
        <v>128</v>
      </c>
      <c r="M307" s="44">
        <f>SUMIFS('Saldos Iniciales'!$D$2:$D$38,'Saldos Iniciales'!$A$2:$A$38,C307,'Saldos Iniciales'!$B$2:$B$38,D307)+SUMIFS($K$1:$K$724,$C$1:$C$724,C307,$D$1:$D$724,D307,$B$1:$B$724,"&lt;="&amp;B307)</f>
        <v>48774.73</v>
      </c>
      <c r="N307" s="67">
        <f>IF(tblMovimientos[[#This Row],[Tipo de Movimiento]]="Ingreso",tblMovimientos[[#This Row],[Monto (S/)]],"0")</f>
        <v>50000</v>
      </c>
      <c r="O307" s="67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>IF(F308="Ingreso",J308,-J308)</f>
        <v>-1383</v>
      </c>
      <c r="L308" s="15" t="s">
        <v>128</v>
      </c>
      <c r="M308" s="44">
        <f>SUMIFS('Saldos Iniciales'!$D$2:$D$38,'Saldos Iniciales'!$A$2:$A$38,C308,'Saldos Iniciales'!$B$2:$B$38,D308)+SUMIFS($K$1:$K$724,$C$1:$C$724,C308,$D$1:$D$724,D308,$B$1:$B$724,"&lt;="&amp;B308)</f>
        <v>14961.88</v>
      </c>
      <c r="N308" s="67" t="str">
        <f>IF(tblMovimientos[[#This Row],[Tipo de Movimiento]]="Ingreso",tblMovimientos[[#This Row],[Monto (S/)]],"0")</f>
        <v>0</v>
      </c>
      <c r="O308" s="67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>IF(F309="Ingreso",J309,-J309)</f>
        <v>2000</v>
      </c>
      <c r="L309" s="15" t="s">
        <v>128</v>
      </c>
      <c r="M309" s="44">
        <f>SUMIFS('Saldos Iniciales'!$D$2:$D$38,'Saldos Iniciales'!$A$2:$A$38,C309,'Saldos Iniciales'!$B$2:$B$38,D309)+SUMIFS($K$1:$K$724,$C$1:$C$724,C309,$D$1:$D$724,D309,$B$1:$B$724,"&lt;="&amp;B309)</f>
        <v>27459.549999999963</v>
      </c>
      <c r="N309" s="67">
        <f>IF(tblMovimientos[[#This Row],[Tipo de Movimiento]]="Ingreso",tblMovimientos[[#This Row],[Monto (S/)]],"0")</f>
        <v>2000</v>
      </c>
      <c r="O309" s="67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>IF(F310="Ingreso",J310,-J310)</f>
        <v>-259.13</v>
      </c>
      <c r="L310" s="15" t="s">
        <v>128</v>
      </c>
      <c r="M310" s="44">
        <f>SUMIFS('Saldos Iniciales'!$D$2:$D$38,'Saldos Iniciales'!$A$2:$A$38,C310,'Saldos Iniciales'!$B$2:$B$38,D310)+SUMIFS($K$1:$K$724,$C$1:$C$724,C310,$D$1:$D$724,D310,$B$1:$B$724,"&lt;="&amp;B310)</f>
        <v>24484.85</v>
      </c>
      <c r="N310" s="67" t="str">
        <f>IF(tblMovimientos[[#This Row],[Tipo de Movimiento]]="Ingreso",tblMovimientos[[#This Row],[Monto (S/)]],"0")</f>
        <v>0</v>
      </c>
      <c r="O310" s="67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>IF(F311="Ingreso",J311,-J311)</f>
        <v>2970000</v>
      </c>
      <c r="L311" s="15" t="s">
        <v>128</v>
      </c>
      <c r="M311" s="44">
        <f>SUMIFS('Saldos Iniciales'!$D$2:$D$38,'Saldos Iniciales'!$A$2:$A$38,C311,'Saldos Iniciales'!$B$2:$B$38,D311)+SUMIFS($K$1:$K$724,$C$1:$C$724,C311,$D$1:$D$724,D311,$B$1:$B$724,"&lt;="&amp;B311)</f>
        <v>2988249.7999999993</v>
      </c>
      <c r="N311" s="67">
        <f>IF(tblMovimientos[[#This Row],[Tipo de Movimiento]]="Ingreso",tblMovimientos[[#This Row],[Monto (S/)]],"0")</f>
        <v>2970000</v>
      </c>
      <c r="O311" s="67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>IF(F312="Ingreso",J312,-J312)</f>
        <v>-50</v>
      </c>
      <c r="L312" s="15" t="s">
        <v>128</v>
      </c>
      <c r="M312" s="44">
        <f>SUMIFS('Saldos Iniciales'!$D$2:$D$38,'Saldos Iniciales'!$A$2:$A$38,C312,'Saldos Iniciales'!$B$2:$B$38,D312)+SUMIFS($K$1:$K$724,$C$1:$C$724,C312,$D$1:$D$724,D312,$B$1:$B$724,"&lt;="&amp;B312)</f>
        <v>48724.73</v>
      </c>
      <c r="N312" s="67" t="str">
        <f>IF(tblMovimientos[[#This Row],[Tipo de Movimiento]]="Ingreso",tblMovimientos[[#This Row],[Monto (S/)]],"0")</f>
        <v>0</v>
      </c>
      <c r="O312" s="67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>IF(F313="Ingreso",J313,-J313)</f>
        <v>270000</v>
      </c>
      <c r="L313" s="15" t="s">
        <v>128</v>
      </c>
      <c r="M313" s="44">
        <f>SUMIFS('Saldos Iniciales'!$D$2:$D$38,'Saldos Iniciales'!$A$2:$A$38,C313,'Saldos Iniciales'!$B$2:$B$38,D313)+SUMIFS($K$1:$K$724,$C$1:$C$724,C313,$D$1:$D$724,D313,$B$1:$B$724,"&lt;="&amp;B313)</f>
        <v>968878.52000000025</v>
      </c>
      <c r="N313" s="67">
        <f>IF(tblMovimientos[[#This Row],[Tipo de Movimiento]]="Ingreso",tblMovimientos[[#This Row],[Monto (S/)]],"0")</f>
        <v>270000</v>
      </c>
      <c r="O313" s="67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>IF(F314="Ingreso",J314,-J314)</f>
        <v>-2366.67</v>
      </c>
      <c r="L314" s="15" t="s">
        <v>128</v>
      </c>
      <c r="M314" s="44">
        <f>SUMIFS('Saldos Iniciales'!$D$2:$D$38,'Saldos Iniciales'!$A$2:$A$38,C314,'Saldos Iniciales'!$B$2:$B$38,D314)+SUMIFS($K$1:$K$724,$C$1:$C$724,C314,$D$1:$D$724,D314,$B$1:$B$724,"&lt;="&amp;B314)</f>
        <v>968878.52000000025</v>
      </c>
      <c r="N314" s="67" t="str">
        <f>IF(tblMovimientos[[#This Row],[Tipo de Movimiento]]="Ingreso",tblMovimientos[[#This Row],[Monto (S/)]],"0")</f>
        <v>0</v>
      </c>
      <c r="O314" s="67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>IF(F315="Ingreso",J315,-J315)</f>
        <v>-3500</v>
      </c>
      <c r="L315" s="15" t="s">
        <v>128</v>
      </c>
      <c r="M315" s="44">
        <f>SUMIFS('Saldos Iniciales'!$D$2:$D$38,'Saldos Iniciales'!$A$2:$A$38,C315,'Saldos Iniciales'!$B$2:$B$38,D315)+SUMIFS($K$1:$K$724,$C$1:$C$724,C315,$D$1:$D$724,D315,$B$1:$B$724,"&lt;="&amp;B315)</f>
        <v>968878.52000000025</v>
      </c>
      <c r="N315" s="67" t="str">
        <f>IF(tblMovimientos[[#This Row],[Tipo de Movimiento]]="Ingreso",tblMovimientos[[#This Row],[Monto (S/)]],"0")</f>
        <v>0</v>
      </c>
      <c r="O315" s="67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>IF(F316="Ingreso",J316,-J316)</f>
        <v>-10608.89</v>
      </c>
      <c r="L316" s="15" t="s">
        <v>128</v>
      </c>
      <c r="M316" s="44">
        <f>SUMIFS('Saldos Iniciales'!$D$2:$D$38,'Saldos Iniciales'!$A$2:$A$38,C316,'Saldos Iniciales'!$B$2:$B$38,D316)+SUMIFS($K$1:$K$724,$C$1:$C$724,C316,$D$1:$D$724,D316,$B$1:$B$724,"&lt;="&amp;B316)</f>
        <v>968878.52000000025</v>
      </c>
      <c r="N316" s="67" t="str">
        <f>IF(tblMovimientos[[#This Row],[Tipo de Movimiento]]="Ingreso",tblMovimientos[[#This Row],[Monto (S/)]],"0")</f>
        <v>0</v>
      </c>
      <c r="O316" s="67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>IF(F317="Ingreso",J317,-J317)</f>
        <v>-12055.56</v>
      </c>
      <c r="L317" s="15" t="s">
        <v>128</v>
      </c>
      <c r="M317" s="44">
        <f>SUMIFS('Saldos Iniciales'!$D$2:$D$38,'Saldos Iniciales'!$A$2:$A$38,C317,'Saldos Iniciales'!$B$2:$B$38,D317)+SUMIFS($K$1:$K$724,$C$1:$C$724,C317,$D$1:$D$724,D317,$B$1:$B$724,"&lt;="&amp;B317)</f>
        <v>968878.52000000025</v>
      </c>
      <c r="N317" s="67" t="str">
        <f>IF(tblMovimientos[[#This Row],[Tipo de Movimiento]]="Ingreso",tblMovimientos[[#This Row],[Monto (S/)]],"0")</f>
        <v>0</v>
      </c>
      <c r="O317" s="67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>IF(F318="Ingreso",J318,-J318)</f>
        <v>-22166.67</v>
      </c>
      <c r="L318" s="15" t="s">
        <v>128</v>
      </c>
      <c r="M318" s="44">
        <f>SUMIFS('Saldos Iniciales'!$D$2:$D$38,'Saldos Iniciales'!$A$2:$A$38,C318,'Saldos Iniciales'!$B$2:$B$38,D318)+SUMIFS($K$1:$K$724,$C$1:$C$724,C318,$D$1:$D$724,D318,$B$1:$B$724,"&lt;="&amp;B318)</f>
        <v>968878.52000000025</v>
      </c>
      <c r="N318" s="67" t="str">
        <f>IF(tblMovimientos[[#This Row],[Tipo de Movimiento]]="Ingreso",tblMovimientos[[#This Row],[Monto (S/)]],"0")</f>
        <v>0</v>
      </c>
      <c r="O318" s="67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>IF(F319="Ingreso",J319,-J319)</f>
        <v>-24111.11</v>
      </c>
      <c r="L319" s="15" t="s">
        <v>128</v>
      </c>
      <c r="M319" s="44">
        <f>SUMIFS('Saldos Iniciales'!$D$2:$D$38,'Saldos Iniciales'!$A$2:$A$38,C319,'Saldos Iniciales'!$B$2:$B$38,D319)+SUMIFS($K$1:$K$724,$C$1:$C$724,C319,$D$1:$D$724,D319,$B$1:$B$724,"&lt;="&amp;B319)</f>
        <v>968878.52000000025</v>
      </c>
      <c r="N319" s="67" t="str">
        <f>IF(tblMovimientos[[#This Row],[Tipo de Movimiento]]="Ingreso",tblMovimientos[[#This Row],[Monto (S/)]],"0")</f>
        <v>0</v>
      </c>
      <c r="O319" s="67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>IF(F320="Ingreso",J320,-J320)</f>
        <v>-40000</v>
      </c>
      <c r="L320" s="15" t="s">
        <v>128</v>
      </c>
      <c r="M320" s="44">
        <f>SUMIFS('Saldos Iniciales'!$D$2:$D$38,'Saldos Iniciales'!$A$2:$A$38,C320,'Saldos Iniciales'!$B$2:$B$38,D320)+SUMIFS($K$1:$K$724,$C$1:$C$724,C320,$D$1:$D$724,D320,$B$1:$B$724,"&lt;="&amp;B320)</f>
        <v>968878.52000000025</v>
      </c>
      <c r="N320" s="67" t="str">
        <f>IF(tblMovimientos[[#This Row],[Tipo de Movimiento]]="Ingreso",tblMovimientos[[#This Row],[Monto (S/)]],"0")</f>
        <v>0</v>
      </c>
      <c r="O320" s="67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>IF(F321="Ingreso",J321,-J321)</f>
        <v>-60000</v>
      </c>
      <c r="L321" s="15" t="s">
        <v>128</v>
      </c>
      <c r="M321" s="44">
        <f>SUMIFS('Saldos Iniciales'!$D$2:$D$38,'Saldos Iniciales'!$A$2:$A$38,C321,'Saldos Iniciales'!$B$2:$B$38,D321)+SUMIFS($K$1:$K$724,$C$1:$C$724,C321,$D$1:$D$724,D321,$B$1:$B$724,"&lt;="&amp;B321)</f>
        <v>968878.52000000025</v>
      </c>
      <c r="N321" s="67" t="str">
        <f>IF(tblMovimientos[[#This Row],[Tipo de Movimiento]]="Ingreso",tblMovimientos[[#This Row],[Monto (S/)]],"0")</f>
        <v>0</v>
      </c>
      <c r="O321" s="67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>IF(F322="Ingreso",J322,-J322)</f>
        <v>-100000</v>
      </c>
      <c r="L322" s="15" t="s">
        <v>128</v>
      </c>
      <c r="M322" s="44">
        <f>SUMIFS('Saldos Iniciales'!$D$2:$D$38,'Saldos Iniciales'!$A$2:$A$38,C322,'Saldos Iniciales'!$B$2:$B$38,D322)+SUMIFS($K$1:$K$724,$C$1:$C$724,C322,$D$1:$D$724,D322,$B$1:$B$724,"&lt;="&amp;B322)</f>
        <v>968878.52000000025</v>
      </c>
      <c r="N322" s="67" t="str">
        <f>IF(tblMovimientos[[#This Row],[Tipo de Movimiento]]="Ingreso",tblMovimientos[[#This Row],[Monto (S/)]],"0")</f>
        <v>0</v>
      </c>
      <c r="O322" s="67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>IF(F323="Ingreso",J323,-J323)</f>
        <v>-150000</v>
      </c>
      <c r="L323" s="15" t="s">
        <v>128</v>
      </c>
      <c r="M323" s="44">
        <f>SUMIFS('Saldos Iniciales'!$D$2:$D$38,'Saldos Iniciales'!$A$2:$A$38,C323,'Saldos Iniciales'!$B$2:$B$38,D323)+SUMIFS($K$1:$K$724,$C$1:$C$724,C323,$D$1:$D$724,D323,$B$1:$B$724,"&lt;="&amp;B323)</f>
        <v>968878.52000000025</v>
      </c>
      <c r="N323" s="67" t="str">
        <f>IF(tblMovimientos[[#This Row],[Tipo de Movimiento]]="Ingreso",tblMovimientos[[#This Row],[Monto (S/)]],"0")</f>
        <v>0</v>
      </c>
      <c r="O323" s="67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>IF(F324="Ingreso",J324,-J324)</f>
        <v>-200000</v>
      </c>
      <c r="L324" s="15" t="s">
        <v>128</v>
      </c>
      <c r="M324" s="44">
        <f>SUMIFS('Saldos Iniciales'!$D$2:$D$38,'Saldos Iniciales'!$A$2:$A$38,C324,'Saldos Iniciales'!$B$2:$B$38,D324)+SUMIFS($K$1:$K$724,$C$1:$C$724,C324,$D$1:$D$724,D324,$B$1:$B$724,"&lt;="&amp;B324)</f>
        <v>968878.52000000025</v>
      </c>
      <c r="N324" s="67" t="str">
        <f>IF(tblMovimientos[[#This Row],[Tipo de Movimiento]]="Ingreso",tblMovimientos[[#This Row],[Monto (S/)]],"0")</f>
        <v>0</v>
      </c>
      <c r="O324" s="67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>IF(F325="Ingreso",J325,-J325)</f>
        <v>-200000</v>
      </c>
      <c r="L325" s="15" t="s">
        <v>128</v>
      </c>
      <c r="M325" s="44">
        <f>SUMIFS('Saldos Iniciales'!$D$2:$D$38,'Saldos Iniciales'!$A$2:$A$38,C325,'Saldos Iniciales'!$B$2:$B$38,D325)+SUMIFS($K$1:$K$724,$C$1:$C$724,C325,$D$1:$D$724,D325,$B$1:$B$724,"&lt;="&amp;B325)</f>
        <v>968878.52000000025</v>
      </c>
      <c r="N325" s="67" t="str">
        <f>IF(tblMovimientos[[#This Row],[Tipo de Movimiento]]="Ingreso",tblMovimientos[[#This Row],[Monto (S/)]],"0")</f>
        <v>0</v>
      </c>
      <c r="O325" s="67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>IF(F326="Ingreso",J326,-J326)</f>
        <v>-26250</v>
      </c>
      <c r="L326" s="15" t="s">
        <v>128</v>
      </c>
      <c r="M326" s="44">
        <f>SUMIFS('Saldos Iniciales'!$D$2:$D$38,'Saldos Iniciales'!$A$2:$A$38,C326,'Saldos Iniciales'!$B$2:$B$38,D326)+SUMIFS($K$1:$K$724,$C$1:$C$724,C326,$D$1:$D$724,D326,$B$1:$B$724,"&lt;="&amp;B326)</f>
        <v>2502067.6299999994</v>
      </c>
      <c r="N326" s="67" t="str">
        <f>IF(tblMovimientos[[#This Row],[Tipo de Movimiento]]="Ingreso",tblMovimientos[[#This Row],[Monto (S/)]],"0")</f>
        <v>0</v>
      </c>
      <c r="O326" s="67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>IF(F327="Ingreso",J327,-J327)</f>
        <v>-32435</v>
      </c>
      <c r="L327" s="15" t="s">
        <v>128</v>
      </c>
      <c r="M327" s="44">
        <f>SUMIFS('Saldos Iniciales'!$D$2:$D$38,'Saldos Iniciales'!$A$2:$A$38,C327,'Saldos Iniciales'!$B$2:$B$38,D327)+SUMIFS($K$1:$K$724,$C$1:$C$724,C327,$D$1:$D$724,D327,$B$1:$B$724,"&lt;="&amp;B327)</f>
        <v>2502067.6299999994</v>
      </c>
      <c r="N327" s="67" t="str">
        <f>IF(tblMovimientos[[#This Row],[Tipo de Movimiento]]="Ingreso",tblMovimientos[[#This Row],[Monto (S/)]],"0")</f>
        <v>0</v>
      </c>
      <c r="O327" s="67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>IF(F328="Ingreso",J328,-J328)</f>
        <v>-49583.34</v>
      </c>
      <c r="L328" s="15" t="s">
        <v>128</v>
      </c>
      <c r="M328" s="44">
        <f>SUMIFS('Saldos Iniciales'!$D$2:$D$38,'Saldos Iniciales'!$A$2:$A$38,C328,'Saldos Iniciales'!$B$2:$B$38,D328)+SUMIFS($K$1:$K$724,$C$1:$C$724,C328,$D$1:$D$724,D328,$B$1:$B$724,"&lt;="&amp;B328)</f>
        <v>2502067.6299999994</v>
      </c>
      <c r="N328" s="67" t="str">
        <f>IF(tblMovimientos[[#This Row],[Tipo de Movimiento]]="Ingreso",tblMovimientos[[#This Row],[Monto (S/)]],"0")</f>
        <v>0</v>
      </c>
      <c r="O328" s="67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>IF(F329="Ingreso",J329,-J329)</f>
        <v>-23313.83</v>
      </c>
      <c r="L329" s="15" t="s">
        <v>128</v>
      </c>
      <c r="M329" s="44">
        <f>SUMIFS('Saldos Iniciales'!$D$2:$D$38,'Saldos Iniciales'!$A$2:$A$38,C329,'Saldos Iniciales'!$B$2:$B$38,D329)+SUMIFS($K$1:$K$724,$C$1:$C$724,C329,$D$1:$D$724,D329,$B$1:$B$724,"&lt;="&amp;B329)</f>
        <v>2502067.6299999994</v>
      </c>
      <c r="N329" s="67" t="str">
        <f>IF(tblMovimientos[[#This Row],[Tipo de Movimiento]]="Ingreso",tblMovimientos[[#This Row],[Monto (S/)]],"0")</f>
        <v>0</v>
      </c>
      <c r="O329" s="67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>IF(F330="Ingreso",J330,-J330)</f>
        <v>-54600</v>
      </c>
      <c r="L330" s="15" t="s">
        <v>128</v>
      </c>
      <c r="M330" s="44">
        <f>SUMIFS('Saldos Iniciales'!$D$2:$D$38,'Saldos Iniciales'!$A$2:$A$38,C330,'Saldos Iniciales'!$B$2:$B$38,D330)+SUMIFS($K$1:$K$724,$C$1:$C$724,C330,$D$1:$D$724,D330,$B$1:$B$724,"&lt;="&amp;B330)</f>
        <v>2502067.6299999994</v>
      </c>
      <c r="N330" s="67" t="str">
        <f>IF(tblMovimientos[[#This Row],[Tipo de Movimiento]]="Ingreso",tblMovimientos[[#This Row],[Monto (S/)]],"0")</f>
        <v>0</v>
      </c>
      <c r="O330" s="67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>IF(F331="Ingreso",J331,-J331)</f>
        <v>-300000</v>
      </c>
      <c r="L331" s="15" t="s">
        <v>128</v>
      </c>
      <c r="M331" s="44">
        <f>SUMIFS('Saldos Iniciales'!$D$2:$D$38,'Saldos Iniciales'!$A$2:$A$38,C331,'Saldos Iniciales'!$B$2:$B$38,D331)+SUMIFS($K$1:$K$724,$C$1:$C$724,C331,$D$1:$D$724,D331,$B$1:$B$724,"&lt;="&amp;B331)</f>
        <v>2502067.6299999994</v>
      </c>
      <c r="N331" s="67" t="str">
        <f>IF(tblMovimientos[[#This Row],[Tipo de Movimiento]]="Ingreso",tblMovimientos[[#This Row],[Monto (S/)]],"0")</f>
        <v>0</v>
      </c>
      <c r="O331" s="67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>IF(F332="Ingreso",J332,-J332)</f>
        <v>-29.42</v>
      </c>
      <c r="L332" s="15" t="s">
        <v>128</v>
      </c>
      <c r="M332" s="44">
        <f>SUMIFS('Saldos Iniciales'!$D$2:$D$38,'Saldos Iniciales'!$A$2:$A$38,C332,'Saldos Iniciales'!$B$2:$B$38,D332)+SUMIFS($K$1:$K$724,$C$1:$C$724,C332,$D$1:$D$724,D332,$B$1:$B$724,"&lt;="&amp;B332)</f>
        <v>533.58000000000004</v>
      </c>
      <c r="N332" s="67" t="str">
        <f>IF(tblMovimientos[[#This Row],[Tipo de Movimiento]]="Ingreso",tblMovimientos[[#This Row],[Monto (S/)]],"0")</f>
        <v>0</v>
      </c>
      <c r="O332" s="67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>IF(F333="Ingreso",J333,-J333)</f>
        <v>-60000</v>
      </c>
      <c r="L333" s="15" t="s">
        <v>128</v>
      </c>
      <c r="M333" s="44">
        <f>SUMIFS('Saldos Iniciales'!$D$2:$D$38,'Saldos Iniciales'!$A$2:$A$38,C333,'Saldos Iniciales'!$B$2:$B$38,D333)+SUMIFS($K$1:$K$724,$C$1:$C$724,C333,$D$1:$D$724,D333,$B$1:$B$724,"&lt;="&amp;B333)</f>
        <v>503904.80999999982</v>
      </c>
      <c r="N333" s="67" t="str">
        <f>IF(tblMovimientos[[#This Row],[Tipo de Movimiento]]="Ingreso",tblMovimientos[[#This Row],[Monto (S/)]],"0")</f>
        <v>0</v>
      </c>
      <c r="O333" s="67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>IF(F334="Ingreso",J334,-J334)</f>
        <v>-721.4</v>
      </c>
      <c r="L334" s="15" t="s">
        <v>128</v>
      </c>
      <c r="M334" s="44">
        <f>SUMIFS('Saldos Iniciales'!$D$2:$D$38,'Saldos Iniciales'!$A$2:$A$38,C334,'Saldos Iniciales'!$B$2:$B$38,D334)+SUMIFS($K$1:$K$724,$C$1:$C$724,C334,$D$1:$D$724,D334,$B$1:$B$724,"&lt;="&amp;B334)</f>
        <v>503904.80999999982</v>
      </c>
      <c r="N334" s="67" t="str">
        <f>IF(tblMovimientos[[#This Row],[Tipo de Movimiento]]="Ingreso",tblMovimientos[[#This Row],[Monto (S/)]],"0")</f>
        <v>0</v>
      </c>
      <c r="O334" s="67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>IF(F335="Ingreso",J335,-J335)</f>
        <v>-270000</v>
      </c>
      <c r="L335" s="15" t="s">
        <v>128</v>
      </c>
      <c r="M335" s="44">
        <f>SUMIFS('Saldos Iniciales'!$D$2:$D$38,'Saldos Iniciales'!$A$2:$A$38,C335,'Saldos Iniciales'!$B$2:$B$38,D335)+SUMIFS($K$1:$K$724,$C$1:$C$724,C335,$D$1:$D$724,D335,$B$1:$B$724,"&lt;="&amp;B335)</f>
        <v>11841.389999999985</v>
      </c>
      <c r="N335" s="67" t="str">
        <f>IF(tblMovimientos[[#This Row],[Tipo de Movimiento]]="Ingreso",tblMovimientos[[#This Row],[Monto (S/)]],"0")</f>
        <v>0</v>
      </c>
      <c r="O335" s="67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>IF(F336="Ingreso",J336,-J336)</f>
        <v>-12000</v>
      </c>
      <c r="L336" s="15" t="s">
        <v>128</v>
      </c>
      <c r="M336" s="44">
        <f>SUMIFS('Saldos Iniciales'!$D$2:$D$38,'Saldos Iniciales'!$A$2:$A$38,C336,'Saldos Iniciales'!$B$2:$B$38,D336)+SUMIFS($K$1:$K$724,$C$1:$C$724,C336,$D$1:$D$724,D336,$B$1:$B$724,"&lt;="&amp;B336)</f>
        <v>11841.389999999985</v>
      </c>
      <c r="N336" s="67" t="str">
        <f>IF(tblMovimientos[[#This Row],[Tipo de Movimiento]]="Ingreso",tblMovimientos[[#This Row],[Monto (S/)]],"0")</f>
        <v>0</v>
      </c>
      <c r="O336" s="67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>IF(F337="Ingreso",J337,-J337)</f>
        <v>-15000</v>
      </c>
      <c r="L337" s="15" t="s">
        <v>128</v>
      </c>
      <c r="M337" s="44">
        <f>SUMIFS('Saldos Iniciales'!$D$2:$D$38,'Saldos Iniciales'!$A$2:$A$38,C337,'Saldos Iniciales'!$B$2:$B$38,D337)+SUMIFS($K$1:$K$724,$C$1:$C$724,C337,$D$1:$D$724,D337,$B$1:$B$724,"&lt;="&amp;B337)</f>
        <v>11841.389999999985</v>
      </c>
      <c r="N337" s="67" t="str">
        <f>IF(tblMovimientos[[#This Row],[Tipo de Movimiento]]="Ingreso",tblMovimientos[[#This Row],[Monto (S/)]],"0")</f>
        <v>0</v>
      </c>
      <c r="O337" s="67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Iniciales'!$B$2:$B$38,D338)+SUMIFS($K$1:$K$724,$C$1:$C$724,C338,$D$1:$D$724,D338,$B$1:$B$724,"&lt;="&amp;B338)</f>
        <v>29459.549999999963</v>
      </c>
      <c r="N338" s="67">
        <f>IF(tblMovimientos[[#This Row],[Tipo de Movimiento]]="Ingreso",tblMovimientos[[#This Row],[Monto (S/)]],"0")</f>
        <v>2000</v>
      </c>
      <c r="O338" s="67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>IF(F339="Ingreso",J339,-J339)</f>
        <v>-4000</v>
      </c>
      <c r="L339" s="15" t="s">
        <v>128</v>
      </c>
      <c r="M339" s="44">
        <f>SUMIFS('Saldos Iniciales'!$D$2:$D$38,'Saldos Iniciales'!$A$2:$A$38,C339,'Saldos Iniciales'!$B$2:$B$38,D339)+SUMIFS($K$1:$K$724,$C$1:$C$724,C339,$D$1:$D$724,D339,$B$1:$B$724,"&lt;="&amp;B339)</f>
        <v>20484.849999999999</v>
      </c>
      <c r="N339" s="67" t="str">
        <f>IF(tblMovimientos[[#This Row],[Tipo de Movimiento]]="Ingreso",tblMovimientos[[#This Row],[Monto (S/)]],"0")</f>
        <v>0</v>
      </c>
      <c r="O339" s="67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>IF(F340="Ingreso",J340,-J340)</f>
        <v>54600</v>
      </c>
      <c r="L340" s="15" t="s">
        <v>128</v>
      </c>
      <c r="M340" s="44">
        <f>SUMIFS('Saldos Iniciales'!$D$2:$D$38,'Saldos Iniciales'!$A$2:$A$38,C340,'Saldos Iniciales'!$B$2:$B$38,D340)+SUMIFS($K$1:$K$724,$C$1:$C$724,C340,$D$1:$D$724,D340,$B$1:$B$724,"&lt;="&amp;B340)</f>
        <v>804412.95</v>
      </c>
      <c r="N340" s="67">
        <f>IF(tblMovimientos[[#This Row],[Tipo de Movimiento]]="Ingreso",tblMovimientos[[#This Row],[Monto (S/)]],"0")</f>
        <v>54600</v>
      </c>
      <c r="O340" s="67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>IF(F341="Ingreso",J341,-J341)</f>
        <v>-522</v>
      </c>
      <c r="L341" s="15" t="s">
        <v>128</v>
      </c>
      <c r="M341" s="44">
        <f>SUMIFS('Saldos Iniciales'!$D$2:$D$38,'Saldos Iniciales'!$A$2:$A$38,C341,'Saldos Iniciales'!$B$2:$B$38,D341)+SUMIFS($K$1:$K$724,$C$1:$C$724,C341,$D$1:$D$724,D341,$B$1:$B$724,"&lt;="&amp;B341)</f>
        <v>46041.01</v>
      </c>
      <c r="N341" s="67" t="str">
        <f>IF(tblMovimientos[[#This Row],[Tipo de Movimiento]]="Ingreso",tblMovimientos[[#This Row],[Monto (S/)]],"0")</f>
        <v>0</v>
      </c>
      <c r="O341" s="67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>IF(F342="Ingreso",J342,-J342)</f>
        <v>-2161.7199999999998</v>
      </c>
      <c r="L342" s="15" t="s">
        <v>128</v>
      </c>
      <c r="M342" s="44">
        <f>SUMIFS('Saldos Iniciales'!$D$2:$D$38,'Saldos Iniciales'!$A$2:$A$38,C342,'Saldos Iniciales'!$B$2:$B$38,D342)+SUMIFS($K$1:$K$724,$C$1:$C$724,C342,$D$1:$D$724,D342,$B$1:$B$724,"&lt;="&amp;B342)</f>
        <v>46041.01</v>
      </c>
      <c r="N342" s="67" t="str">
        <f>IF(tblMovimientos[[#This Row],[Tipo de Movimiento]]="Ingreso",tblMovimientos[[#This Row],[Monto (S/)]],"0")</f>
        <v>0</v>
      </c>
      <c r="O342" s="67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>IF(F343="Ingreso",J343,-J343)</f>
        <v>-2490.36</v>
      </c>
      <c r="L343" s="15" t="s">
        <v>128</v>
      </c>
      <c r="M343" s="44">
        <f>SUMIFS('Saldos Iniciales'!$D$2:$D$38,'Saldos Iniciales'!$A$2:$A$38,C343,'Saldos Iniciales'!$B$2:$B$38,D343)+SUMIFS($K$1:$K$724,$C$1:$C$724,C343,$D$1:$D$724,D343,$B$1:$B$724,"&lt;="&amp;B343)</f>
        <v>12471.52</v>
      </c>
      <c r="N343" s="67" t="str">
        <f>IF(tblMovimientos[[#This Row],[Tipo de Movimiento]]="Ingreso",tblMovimientos[[#This Row],[Monto (S/)]],"0")</f>
        <v>0</v>
      </c>
      <c r="O343" s="67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>IF(F344="Ingreso",J344,-J344)</f>
        <v>100392.81</v>
      </c>
      <c r="L344" s="15" t="s">
        <v>128</v>
      </c>
      <c r="M344" s="44">
        <f>SUMIFS('Saldos Iniciales'!$D$2:$D$38,'Saldos Iniciales'!$A$2:$A$38,C344,'Saldos Iniciales'!$B$2:$B$38,D344)+SUMIFS($K$1:$K$724,$C$1:$C$724,C344,$D$1:$D$724,D344,$B$1:$B$724,"&lt;="&amp;B344)</f>
        <v>112224.19999999998</v>
      </c>
      <c r="N344" s="67">
        <f>IF(tblMovimientos[[#This Row],[Tipo de Movimiento]]="Ingreso",tblMovimientos[[#This Row],[Monto (S/)]],"0")</f>
        <v>100392.81</v>
      </c>
      <c r="O344" s="67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>IF(F345="Ingreso",J345,-J345)</f>
        <v>-5</v>
      </c>
      <c r="L345" s="15" t="s">
        <v>128</v>
      </c>
      <c r="M345" s="44">
        <f>SUMIFS('Saldos Iniciales'!$D$2:$D$38,'Saldos Iniciales'!$A$2:$A$38,C345,'Saldos Iniciales'!$B$2:$B$38,D345)+SUMIFS($K$1:$K$724,$C$1:$C$724,C345,$D$1:$D$724,D345,$B$1:$B$724,"&lt;="&amp;B345)</f>
        <v>112224.19999999998</v>
      </c>
      <c r="N345" s="67" t="str">
        <f>IF(tblMovimientos[[#This Row],[Tipo de Movimiento]]="Ingreso",tblMovimientos[[#This Row],[Monto (S/)]],"0")</f>
        <v>0</v>
      </c>
      <c r="O345" s="67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>IF(F346="Ingreso",J346,-J346)</f>
        <v>-5</v>
      </c>
      <c r="L346" s="15" t="s">
        <v>128</v>
      </c>
      <c r="M346" s="44">
        <f>SUMIFS('Saldos Iniciales'!$D$2:$D$38,'Saldos Iniciales'!$A$2:$A$38,C346,'Saldos Iniciales'!$B$2:$B$38,D346)+SUMIFS($K$1:$K$724,$C$1:$C$724,C346,$D$1:$D$724,D346,$B$1:$B$724,"&lt;="&amp;B346)</f>
        <v>112224.19999999998</v>
      </c>
      <c r="N346" s="67" t="str">
        <f>IF(tblMovimientos[[#This Row],[Tipo de Movimiento]]="Ingreso",tblMovimientos[[#This Row],[Monto (S/)]],"0")</f>
        <v>0</v>
      </c>
      <c r="O346" s="67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>IF(F347="Ingreso",J347,-J347)</f>
        <v>15000</v>
      </c>
      <c r="L347" s="15" t="s">
        <v>128</v>
      </c>
      <c r="M347" s="44">
        <f>SUMIFS('Saldos Iniciales'!$D$2:$D$38,'Saldos Iniciales'!$A$2:$A$38,C347,'Saldos Iniciales'!$B$2:$B$38,D347)+SUMIFS($K$1:$K$724,$C$1:$C$724,C347,$D$1:$D$724,D347,$B$1:$B$724,"&lt;="&amp;B347)</f>
        <v>20321.43</v>
      </c>
      <c r="N347" s="67">
        <f>IF(tblMovimientos[[#This Row],[Tipo de Movimiento]]="Ingreso",tblMovimientos[[#This Row],[Monto (S/)]],"0")</f>
        <v>15000</v>
      </c>
      <c r="O347" s="67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>IF(F348="Ingreso",J348,-J348)</f>
        <v>-173.5</v>
      </c>
      <c r="L348" s="15" t="s">
        <v>128</v>
      </c>
      <c r="M348" s="44">
        <f>SUMIFS('Saldos Iniciales'!$D$2:$D$38,'Saldos Iniciales'!$A$2:$A$38,C348,'Saldos Iniciales'!$B$2:$B$38,D348)+SUMIFS($K$1:$K$724,$C$1:$C$724,C348,$D$1:$D$724,D348,$B$1:$B$724,"&lt;="&amp;B348)</f>
        <v>19811.349999999999</v>
      </c>
      <c r="N348" s="67" t="str">
        <f>IF(tblMovimientos[[#This Row],[Tipo de Movimiento]]="Ingreso",tblMovimientos[[#This Row],[Monto (S/)]],"0")</f>
        <v>0</v>
      </c>
      <c r="O348" s="67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>IF(F349="Ingreso",J349,-J349)</f>
        <v>-220</v>
      </c>
      <c r="L349" s="15" t="s">
        <v>128</v>
      </c>
      <c r="M349" s="44">
        <f>SUMIFS('Saldos Iniciales'!$D$2:$D$38,'Saldos Iniciales'!$A$2:$A$38,C349,'Saldos Iniciales'!$B$2:$B$38,D349)+SUMIFS($K$1:$K$724,$C$1:$C$724,C349,$D$1:$D$724,D349,$B$1:$B$724,"&lt;="&amp;B349)</f>
        <v>19811.349999999999</v>
      </c>
      <c r="N349" s="67" t="str">
        <f>IF(tblMovimientos[[#This Row],[Tipo de Movimiento]]="Ingreso",tblMovimientos[[#This Row],[Monto (S/)]],"0")</f>
        <v>0</v>
      </c>
      <c r="O349" s="67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>IF(F350="Ingreso",J350,-J350)</f>
        <v>-80</v>
      </c>
      <c r="L350" s="15" t="s">
        <v>128</v>
      </c>
      <c r="M350" s="44">
        <f>SUMIFS('Saldos Iniciales'!$D$2:$D$38,'Saldos Iniciales'!$A$2:$A$38,C350,'Saldos Iniciales'!$B$2:$B$38,D350)+SUMIFS($K$1:$K$724,$C$1:$C$724,C350,$D$1:$D$724,D350,$B$1:$B$724,"&lt;="&amp;B350)</f>
        <v>19811.349999999999</v>
      </c>
      <c r="N350" s="67" t="str">
        <f>IF(tblMovimientos[[#This Row],[Tipo de Movimiento]]="Ingreso",tblMovimientos[[#This Row],[Monto (S/)]],"0")</f>
        <v>0</v>
      </c>
      <c r="O350" s="67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>IF(F351="Ingreso",J351,-J351)</f>
        <v>-200</v>
      </c>
      <c r="L351" s="15" t="s">
        <v>128</v>
      </c>
      <c r="M351" s="44">
        <f>SUMIFS('Saldos Iniciales'!$D$2:$D$38,'Saldos Iniciales'!$A$2:$A$38,C351,'Saldos Iniciales'!$B$2:$B$38,D351)+SUMIFS($K$1:$K$724,$C$1:$C$724,C351,$D$1:$D$724,D351,$B$1:$B$724,"&lt;="&amp;B351)</f>
        <v>19811.349999999999</v>
      </c>
      <c r="N351" s="67" t="str">
        <f>IF(tblMovimientos[[#This Row],[Tipo de Movimiento]]="Ingreso",tblMovimientos[[#This Row],[Monto (S/)]],"0")</f>
        <v>0</v>
      </c>
      <c r="O351" s="67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>IF(F352="Ingreso",J352,-J352)</f>
        <v>-1000</v>
      </c>
      <c r="L352" s="15" t="s">
        <v>128</v>
      </c>
      <c r="M352" s="44">
        <f>SUMIFS('Saldos Iniciales'!$D$2:$D$38,'Saldos Iniciales'!$A$2:$A$38,C352,'Saldos Iniciales'!$B$2:$B$38,D352)+SUMIFS($K$1:$K$724,$C$1:$C$724,C352,$D$1:$D$724,D352,$B$1:$B$724,"&lt;="&amp;B352)</f>
        <v>45041.01</v>
      </c>
      <c r="N352" s="67" t="str">
        <f>IF(tblMovimientos[[#This Row],[Tipo de Movimiento]]="Ingreso",tblMovimientos[[#This Row],[Monto (S/)]],"0")</f>
        <v>0</v>
      </c>
      <c r="O352" s="67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>IF(F353="Ingreso",J353,-J353)</f>
        <v>-2383.4899999999998</v>
      </c>
      <c r="L353" s="15" t="s">
        <v>128</v>
      </c>
      <c r="M353" s="44">
        <f>SUMIFS('Saldos Iniciales'!$D$2:$D$38,'Saldos Iniciales'!$A$2:$A$38,C353,'Saldos Iniciales'!$B$2:$B$38,D353)+SUMIFS($K$1:$K$724,$C$1:$C$724,C353,$D$1:$D$724,D353,$B$1:$B$724,"&lt;="&amp;B353)</f>
        <v>10088.029999999999</v>
      </c>
      <c r="N353" s="67" t="str">
        <f>IF(tblMovimientos[[#This Row],[Tipo de Movimiento]]="Ingreso",tblMovimientos[[#This Row],[Monto (S/)]],"0")</f>
        <v>0</v>
      </c>
      <c r="O353" s="67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>IF(F354="Ingreso",J354,-J354)</f>
        <v>12000</v>
      </c>
      <c r="L354" s="15" t="s">
        <v>128</v>
      </c>
      <c r="M354" s="44">
        <f>SUMIFS('Saldos Iniciales'!$D$2:$D$38,'Saldos Iniciales'!$A$2:$A$38,C354,'Saldos Iniciales'!$B$2:$B$38,D354)+SUMIFS($K$1:$K$724,$C$1:$C$724,C354,$D$1:$D$724,D354,$B$1:$B$724,"&lt;="&amp;B354)</f>
        <v>124224.19999999998</v>
      </c>
      <c r="N354" s="67">
        <f>IF(tblMovimientos[[#This Row],[Tipo de Movimiento]]="Ingreso",tblMovimientos[[#This Row],[Monto (S/)]],"0")</f>
        <v>12000</v>
      </c>
      <c r="O354" s="67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>IF(F355="Ingreso",J355,-J355)</f>
        <v>-2200</v>
      </c>
      <c r="L355" s="15" t="s">
        <v>128</v>
      </c>
      <c r="M355" s="44">
        <f>SUMIFS('Saldos Iniciales'!$D$2:$D$38,'Saldos Iniciales'!$A$2:$A$38,C355,'Saldos Iniciales'!$B$2:$B$38,D355)+SUMIFS($K$1:$K$724,$C$1:$C$724,C355,$D$1:$D$724,D355,$B$1:$B$724,"&lt;="&amp;B355)</f>
        <v>16681.349999999999</v>
      </c>
      <c r="N355" s="67" t="str">
        <f>IF(tblMovimientos[[#This Row],[Tipo de Movimiento]]="Ingreso",tblMovimientos[[#This Row],[Monto (S/)]],"0")</f>
        <v>0</v>
      </c>
      <c r="O355" s="67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>IF(F356="Ingreso",J356,-J356)</f>
        <v>-900</v>
      </c>
      <c r="L356" s="15" t="s">
        <v>128</v>
      </c>
      <c r="M356" s="44">
        <f>SUMIFS('Saldos Iniciales'!$D$2:$D$38,'Saldos Iniciales'!$A$2:$A$38,C356,'Saldos Iniciales'!$B$2:$B$38,D356)+SUMIFS($K$1:$K$724,$C$1:$C$724,C356,$D$1:$D$724,D356,$B$1:$B$724,"&lt;="&amp;B356)</f>
        <v>16681.349999999999</v>
      </c>
      <c r="N356" s="67" t="str">
        <f>IF(tblMovimientos[[#This Row],[Tipo de Movimiento]]="Ingreso",tblMovimientos[[#This Row],[Monto (S/)]],"0")</f>
        <v>0</v>
      </c>
      <c r="O356" s="67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>IF(F357="Ingreso",J357,-J357)</f>
        <v>-30</v>
      </c>
      <c r="L357" s="15" t="s">
        <v>128</v>
      </c>
      <c r="M357" s="44">
        <f>SUMIFS('Saldos Iniciales'!$D$2:$D$38,'Saldos Iniciales'!$A$2:$A$38,C357,'Saldos Iniciales'!$B$2:$B$38,D357)+SUMIFS($K$1:$K$724,$C$1:$C$724,C357,$D$1:$D$724,D357,$B$1:$B$724,"&lt;="&amp;B357)</f>
        <v>16681.349999999999</v>
      </c>
      <c r="N357" s="67" t="str">
        <f>IF(tblMovimientos[[#This Row],[Tipo de Movimiento]]="Ingreso",tblMovimientos[[#This Row],[Monto (S/)]],"0")</f>
        <v>0</v>
      </c>
      <c r="O357" s="67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>IF(F358="Ingreso",J358,-J358)</f>
        <v>-166.66</v>
      </c>
      <c r="L358" s="15" t="s">
        <v>128</v>
      </c>
      <c r="M358" s="44">
        <f>SUMIFS('Saldos Iniciales'!$D$2:$D$38,'Saldos Iniciales'!$A$2:$A$38,C358,'Saldos Iniciales'!$B$2:$B$38,D358)+SUMIFS($K$1:$K$724,$C$1:$C$724,C358,$D$1:$D$724,D358,$B$1:$B$724,"&lt;="&amp;B358)</f>
        <v>366.92000000000007</v>
      </c>
      <c r="N358" s="67" t="str">
        <f>IF(tblMovimientos[[#This Row],[Tipo de Movimiento]]="Ingreso",tblMovimientos[[#This Row],[Monto (S/)]],"0")</f>
        <v>0</v>
      </c>
      <c r="O358" s="67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>IF(F359="Ingreso",J359,-J359)</f>
        <v>-737.04</v>
      </c>
      <c r="L359" s="15" t="s">
        <v>128</v>
      </c>
      <c r="M359" s="44">
        <f>SUMIFS('Saldos Iniciales'!$D$2:$D$38,'Saldos Iniciales'!$A$2:$A$38,C359,'Saldos Iniciales'!$B$2:$B$38,D359)+SUMIFS($K$1:$K$724,$C$1:$C$724,C359,$D$1:$D$724,D359,$B$1:$B$724,"&lt;="&amp;B359)</f>
        <v>9259.99</v>
      </c>
      <c r="N359" s="67" t="str">
        <f>IF(tblMovimientos[[#This Row],[Tipo de Movimiento]]="Ingreso",tblMovimientos[[#This Row],[Monto (S/)]],"0")</f>
        <v>0</v>
      </c>
      <c r="O359" s="67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>IF(F360="Ingreso",J360,-J360)</f>
        <v>-91</v>
      </c>
      <c r="L360" s="15" t="s">
        <v>128</v>
      </c>
      <c r="M360" s="44">
        <f>SUMIFS('Saldos Iniciales'!$D$2:$D$38,'Saldos Iniciales'!$A$2:$A$38,C360,'Saldos Iniciales'!$B$2:$B$38,D360)+SUMIFS($K$1:$K$724,$C$1:$C$724,C360,$D$1:$D$724,D360,$B$1:$B$724,"&lt;="&amp;B360)</f>
        <v>9259.99</v>
      </c>
      <c r="N360" s="67" t="str">
        <f>IF(tblMovimientos[[#This Row],[Tipo de Movimiento]]="Ingreso",tblMovimientos[[#This Row],[Monto (S/)]],"0")</f>
        <v>0</v>
      </c>
      <c r="O360" s="67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>IF(F361="Ingreso",J361,-J361)</f>
        <v>1250</v>
      </c>
      <c r="L361" s="15" t="s">
        <v>128</v>
      </c>
      <c r="M361" s="44">
        <f>SUMIFS('Saldos Iniciales'!$D$2:$D$38,'Saldos Iniciales'!$A$2:$A$38,C361,'Saldos Iniciales'!$B$2:$B$38,D361)+SUMIFS($K$1:$K$724,$C$1:$C$724,C361,$D$1:$D$724,D361,$B$1:$B$724,"&lt;="&amp;B361)</f>
        <v>30709.549999999963</v>
      </c>
      <c r="N361" s="67">
        <f>IF(tblMovimientos[[#This Row],[Tipo de Movimiento]]="Ingreso",tblMovimientos[[#This Row],[Monto (S/)]],"0")</f>
        <v>1250</v>
      </c>
      <c r="O361" s="67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>IF(F362="Ingreso",J362,-J362)</f>
        <v>114973.39</v>
      </c>
      <c r="L362" s="15" t="s">
        <v>128</v>
      </c>
      <c r="M362" s="44">
        <f>SUMIFS('Saldos Iniciales'!$D$2:$D$38,'Saldos Iniciales'!$A$2:$A$38,C362,'Saldos Iniciales'!$B$2:$B$38,D362)+SUMIFS($K$1:$K$724,$C$1:$C$724,C362,$D$1:$D$724,D362,$B$1:$B$724,"&lt;="&amp;B362)</f>
        <v>7483851.9100000001</v>
      </c>
      <c r="N362" s="67">
        <f>IF(tblMovimientos[[#This Row],[Tipo de Movimiento]]="Ingreso",tblMovimientos[[#This Row],[Monto (S/)]],"0")</f>
        <v>114973.39</v>
      </c>
      <c r="O362" s="67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>IF(F363="Ingreso",J363,-J363)</f>
        <v>6400000</v>
      </c>
      <c r="L363" s="15" t="s">
        <v>128</v>
      </c>
      <c r="M363" s="58">
        <f>SUMIFS('Saldos Iniciales'!$D$2:$D$38,'Saldos Iniciales'!$A$2:$A$38,C363,'Saldos Iniciales'!$B$2:$B$38,D363)+SUMIFS($K$1:$K$724,$C$1:$C$724,C363,$D$1:$D$724,D363,$B$1:$B$724,"&lt;="&amp;B363)</f>
        <v>7483851.9100000001</v>
      </c>
      <c r="N363" s="67">
        <f>IF(tblMovimientos[[#This Row],[Tipo de Movimiento]]="Ingreso",tblMovimientos[[#This Row],[Monto (S/)]],"0")</f>
        <v>6400000</v>
      </c>
      <c r="O363" s="67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>IF(F364="Ingreso",J364,-J364)</f>
        <v>-224.68</v>
      </c>
      <c r="L364" s="15" t="s">
        <v>128</v>
      </c>
      <c r="M364" s="44">
        <f>SUMIFS('Saldos Iniciales'!$D$2:$D$38,'Saldos Iniciales'!$A$2:$A$38,C364,'Saldos Iniciales'!$B$2:$B$38,D364)+SUMIFS($K$1:$K$724,$C$1:$C$724,C364,$D$1:$D$724,D364,$B$1:$B$724,"&lt;="&amp;B364)</f>
        <v>44816.33</v>
      </c>
      <c r="N364" s="67" t="str">
        <f>IF(tblMovimientos[[#This Row],[Tipo de Movimiento]]="Ingreso",tblMovimientos[[#This Row],[Monto (S/)]],"0")</f>
        <v>0</v>
      </c>
      <c r="O364" s="67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>IF(F365="Ingreso",J365,-J365)</f>
        <v>-42.79</v>
      </c>
      <c r="L365" s="15" t="s">
        <v>128</v>
      </c>
      <c r="M365" s="44">
        <f>SUMIFS('Saldos Iniciales'!$D$2:$D$38,'Saldos Iniciales'!$A$2:$A$38,C365,'Saldos Iniciales'!$B$2:$B$38,D365)+SUMIFS($K$1:$K$724,$C$1:$C$724,C365,$D$1:$D$724,D365,$B$1:$B$724,"&lt;="&amp;B365)</f>
        <v>44687.96</v>
      </c>
      <c r="N365" s="67" t="str">
        <f>IF(tblMovimientos[[#This Row],[Tipo de Movimiento]]="Ingreso",tblMovimientos[[#This Row],[Monto (S/)]],"0")</f>
        <v>0</v>
      </c>
      <c r="O365" s="67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>IF(F366="Ingreso",J366,-J366)</f>
        <v>-42.79</v>
      </c>
      <c r="L366" s="15" t="s">
        <v>128</v>
      </c>
      <c r="M366" s="58">
        <f>SUMIFS('Saldos Iniciales'!$D$2:$D$38,'Saldos Iniciales'!$A$2:$A$38,C366,'Saldos Iniciales'!$B$2:$B$38,D366)+SUMIFS($K$1:$K$724,$C$1:$C$724,C366,$D$1:$D$724,D366,$B$1:$B$724,"&lt;="&amp;B366)</f>
        <v>44687.96</v>
      </c>
      <c r="N366" s="67" t="str">
        <f>IF(tblMovimientos[[#This Row],[Tipo de Movimiento]]="Ingreso",tblMovimientos[[#This Row],[Monto (S/)]],"0")</f>
        <v>0</v>
      </c>
      <c r="O366" s="67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>IF(F367="Ingreso",J367,-J367)</f>
        <v>-42.79</v>
      </c>
      <c r="L367" s="15" t="s">
        <v>128</v>
      </c>
      <c r="M367" s="44">
        <f>SUMIFS('Saldos Iniciales'!$D$2:$D$38,'Saldos Iniciales'!$A$2:$A$38,C367,'Saldos Iniciales'!$B$2:$B$38,D367)+SUMIFS($K$1:$K$724,$C$1:$C$724,C367,$D$1:$D$724,D367,$B$1:$B$724,"&lt;="&amp;B367)</f>
        <v>44687.96</v>
      </c>
      <c r="N367" s="67" t="str">
        <f>IF(tblMovimientos[[#This Row],[Tipo de Movimiento]]="Ingreso",tblMovimientos[[#This Row],[Monto (S/)]],"0")</f>
        <v>0</v>
      </c>
      <c r="O367" s="67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>IF(F368="Ingreso",J368,-J368)</f>
        <v>62409.45</v>
      </c>
      <c r="L368" s="15" t="s">
        <v>128</v>
      </c>
      <c r="M368" s="44">
        <f>SUMIFS('Saldos Iniciales'!$D$2:$D$38,'Saldos Iniciales'!$A$2:$A$38,C368,'Saldos Iniciales'!$B$2:$B$38,D368)+SUMIFS($K$1:$K$724,$C$1:$C$724,C368,$D$1:$D$724,D368,$B$1:$B$724,"&lt;="&amp;B368)</f>
        <v>7546261.3600000003</v>
      </c>
      <c r="N368" s="67">
        <f>IF(tblMovimientos[[#This Row],[Tipo de Movimiento]]="Ingreso",tblMovimientos[[#This Row],[Monto (S/)]],"0")</f>
        <v>62409.45</v>
      </c>
      <c r="O368" s="67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>IF(F369="Ingreso",J369,-J369)</f>
        <v>23134.93</v>
      </c>
      <c r="L369" s="15" t="s">
        <v>128</v>
      </c>
      <c r="M369" s="44">
        <f>SUMIFS('Saldos Iniciales'!$D$2:$D$38,'Saldos Iniciales'!$A$2:$A$38,C369,'Saldos Iniciales'!$B$2:$B$38,D369)+SUMIFS($K$1:$K$724,$C$1:$C$724,C369,$D$1:$D$724,D369,$B$1:$B$724,"&lt;="&amp;B369)</f>
        <v>532766.72999999986</v>
      </c>
      <c r="N369" s="67">
        <f>IF(tblMovimientos[[#This Row],[Tipo de Movimiento]]="Ingreso",tblMovimientos[[#This Row],[Monto (S/)]],"0")</f>
        <v>23134.93</v>
      </c>
      <c r="O369" s="67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Iniciales'!$B$2:$B$38,D370)+SUMIFS($K$1:$K$724,$C$1:$C$724,C370,$D$1:$D$724,D370,$B$1:$B$724,"&lt;="&amp;B370)</f>
        <v>532766.72999999986</v>
      </c>
      <c r="N370" s="67">
        <f>IF(tblMovimientos[[#This Row],[Tipo de Movimiento]]="Ingreso",tblMovimientos[[#This Row],[Monto (S/)]],"0")</f>
        <v>5726.99</v>
      </c>
      <c r="O370" s="67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>IF(F371="Ingreso",J371,-J371)</f>
        <v>67069.119999999995</v>
      </c>
      <c r="L371" s="15" t="s">
        <v>128</v>
      </c>
      <c r="M371" s="44">
        <f>SUMIFS('Saldos Iniciales'!$D$2:$D$38,'Saldos Iniciales'!$A$2:$A$38,C371,'Saldos Iniciales'!$B$2:$B$38,D371)+SUMIFS($K$1:$K$724,$C$1:$C$724,C371,$D$1:$D$724,D371,$B$1:$B$724,"&lt;="&amp;B371)</f>
        <v>191293.31999999998</v>
      </c>
      <c r="N371" s="67">
        <f>IF(tblMovimientos[[#This Row],[Tipo de Movimiento]]="Ingreso",tblMovimientos[[#This Row],[Monto (S/)]],"0")</f>
        <v>67069.119999999995</v>
      </c>
      <c r="O371" s="67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>IF(F372="Ingreso",J372,-J372)</f>
        <v>457.74</v>
      </c>
      <c r="L372" s="15" t="s">
        <v>128</v>
      </c>
      <c r="M372" s="58">
        <f>SUMIFS('Saldos Iniciales'!$D$2:$D$38,'Saldos Iniciales'!$A$2:$A$38,C372,'Saldos Iniciales'!$B$2:$B$38,D372)+SUMIFS($K$1:$K$724,$C$1:$C$724,C372,$D$1:$D$724,D372,$B$1:$B$724,"&lt;="&amp;B372)</f>
        <v>67386.190000000177</v>
      </c>
      <c r="N372" s="67">
        <f>IF(tblMovimientos[[#This Row],[Tipo de Movimiento]]="Ingreso",tblMovimientos[[#This Row],[Monto (S/)]],"0")</f>
        <v>457.74</v>
      </c>
      <c r="O372" s="67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>IF(F373="Ingreso",J373,-J373)</f>
        <v>2552.06</v>
      </c>
      <c r="L373" s="15" t="s">
        <v>128</v>
      </c>
      <c r="M373" s="44">
        <f>SUMIFS('Saldos Iniciales'!$D$2:$D$38,'Saldos Iniciales'!$A$2:$A$38,C373,'Saldos Iniciales'!$B$2:$B$38,D373)+SUMIFS($K$1:$K$724,$C$1:$C$724,C373,$D$1:$D$724,D373,$B$1:$B$724,"&lt;="&amp;B373)</f>
        <v>67386.190000000177</v>
      </c>
      <c r="N373" s="67">
        <f>IF(tblMovimientos[[#This Row],[Tipo de Movimiento]]="Ingreso",tblMovimientos[[#This Row],[Monto (S/)]],"0")</f>
        <v>2552.06</v>
      </c>
      <c r="O373" s="67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>IF(F374="Ingreso",J374,-J374)</f>
        <v>-60000</v>
      </c>
      <c r="L374" s="15" t="s">
        <v>128</v>
      </c>
      <c r="M374" s="44">
        <f>SUMIFS('Saldos Iniciales'!$D$2:$D$38,'Saldos Iniciales'!$A$2:$A$38,C374,'Saldos Iniciales'!$B$2:$B$38,D374)+SUMIFS($K$1:$K$724,$C$1:$C$724,C374,$D$1:$D$724,D374,$B$1:$B$724,"&lt;="&amp;B374)</f>
        <v>472766.72999999986</v>
      </c>
      <c r="N374" s="67" t="str">
        <f>IF(tblMovimientos[[#This Row],[Tipo de Movimiento]]="Ingreso",tblMovimientos[[#This Row],[Monto (S/)]],"0")</f>
        <v>0</v>
      </c>
      <c r="O374" s="67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>IF(F375="Ingreso",J375,-J375)</f>
        <v>-150000</v>
      </c>
      <c r="L375" s="15" t="s">
        <v>128</v>
      </c>
      <c r="M375" s="44">
        <f>SUMIFS('Saldos Iniciales'!$D$2:$D$38,'Saldos Iniciales'!$A$2:$A$38,C375,'Saldos Iniciales'!$B$2:$B$38,D375)+SUMIFS($K$1:$K$724,$C$1:$C$724,C375,$D$1:$D$724,D375,$B$1:$B$724,"&lt;="&amp;B375)</f>
        <v>29293.319999999978</v>
      </c>
      <c r="N375" s="67" t="str">
        <f>IF(tblMovimientos[[#This Row],[Tipo de Movimiento]]="Ingreso",tblMovimientos[[#This Row],[Monto (S/)]],"0")</f>
        <v>0</v>
      </c>
      <c r="O375" s="67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>IF(F376="Ingreso",J376,-J376)</f>
        <v>-12000</v>
      </c>
      <c r="L376" s="15" t="s">
        <v>128</v>
      </c>
      <c r="M376" s="44">
        <f>SUMIFS('Saldos Iniciales'!$D$2:$D$38,'Saldos Iniciales'!$A$2:$A$38,C376,'Saldos Iniciales'!$B$2:$B$38,D376)+SUMIFS($K$1:$K$724,$C$1:$C$724,C376,$D$1:$D$724,D376,$B$1:$B$724,"&lt;="&amp;B376)</f>
        <v>29293.319999999978</v>
      </c>
      <c r="N376" s="67" t="str">
        <f>IF(tblMovimientos[[#This Row],[Tipo de Movimiento]]="Ingreso",tblMovimientos[[#This Row],[Monto (S/)]],"0")</f>
        <v>0</v>
      </c>
      <c r="O376" s="67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>IF(F377="Ingreso",J377,-J377)</f>
        <v>12000</v>
      </c>
      <c r="L377" s="15" t="s">
        <v>128</v>
      </c>
      <c r="M377" s="44">
        <f>SUMIFS('Saldos Iniciales'!$D$2:$D$38,'Saldos Iniciales'!$A$2:$A$38,C377,'Saldos Iniciales'!$B$2:$B$38,D377)+SUMIFS($K$1:$K$724,$C$1:$C$724,C377,$D$1:$D$724,D377,$B$1:$B$724,"&lt;="&amp;B377)</f>
        <v>28473.599999999999</v>
      </c>
      <c r="N377" s="67">
        <f>IF(tblMovimientos[[#This Row],[Tipo de Movimiento]]="Ingreso",tblMovimientos[[#This Row],[Monto (S/)]],"0")</f>
        <v>12000</v>
      </c>
      <c r="O377" s="67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>IF(F378="Ingreso",J378,-J378)</f>
        <v>-207.75</v>
      </c>
      <c r="L378" s="15" t="s">
        <v>128</v>
      </c>
      <c r="M378" s="58">
        <f>SUMIFS('Saldos Iniciales'!$D$2:$D$38,'Saldos Iniciales'!$A$2:$A$38,C378,'Saldos Iniciales'!$B$2:$B$38,D378)+SUMIFS($K$1:$K$724,$C$1:$C$724,C378,$D$1:$D$724,D378,$B$1:$B$724,"&lt;="&amp;B378)</f>
        <v>28473.599999999999</v>
      </c>
      <c r="N378" s="67" t="str">
        <f>IF(tblMovimientos[[#This Row],[Tipo de Movimiento]]="Ingreso",tblMovimientos[[#This Row],[Monto (S/)]],"0")</f>
        <v>0</v>
      </c>
      <c r="O378" s="67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>IF(F379="Ingreso",J379,-J379)</f>
        <v>10000</v>
      </c>
      <c r="L379" s="15" t="s">
        <v>128</v>
      </c>
      <c r="M379" s="44">
        <f>SUMIFS('Saldos Iniciales'!$D$2:$D$38,'Saldos Iniciales'!$A$2:$A$38,C379,'Saldos Iniciales'!$B$2:$B$38,D379)+SUMIFS($K$1:$K$724,$C$1:$C$724,C379,$D$1:$D$724,D379,$B$1:$B$724,"&lt;="&amp;B379)</f>
        <v>6264386.3600000003</v>
      </c>
      <c r="N379" s="67">
        <f>IF(tblMovimientos[[#This Row],[Tipo de Movimiento]]="Ingreso",tblMovimientos[[#This Row],[Monto (S/)]],"0")</f>
        <v>10000</v>
      </c>
      <c r="O379" s="67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>IF(F380="Ingreso",J380,-J380)</f>
        <v>150000</v>
      </c>
      <c r="L380" s="15" t="s">
        <v>128</v>
      </c>
      <c r="M380" s="44">
        <f>SUMIFS('Saldos Iniciales'!$D$2:$D$38,'Saldos Iniciales'!$A$2:$A$38,C380,'Saldos Iniciales'!$B$2:$B$38,D380)+SUMIFS($K$1:$K$724,$C$1:$C$724,C380,$D$1:$D$724,D380,$B$1:$B$724,"&lt;="&amp;B380)</f>
        <v>6264386.3600000003</v>
      </c>
      <c r="N380" s="67">
        <f>IF(tblMovimientos[[#This Row],[Tipo de Movimiento]]="Ingreso",tblMovimientos[[#This Row],[Monto (S/)]],"0")</f>
        <v>150000</v>
      </c>
      <c r="O380" s="67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>IF(F381="Ingreso",J381,-J381)</f>
        <v>500000</v>
      </c>
      <c r="L381" s="15" t="s">
        <v>128</v>
      </c>
      <c r="M381" s="44">
        <f>SUMIFS('Saldos Iniciales'!$D$2:$D$38,'Saldos Iniciales'!$A$2:$A$38,C381,'Saldos Iniciales'!$B$2:$B$38,D381)+SUMIFS($K$1:$K$724,$C$1:$C$724,C381,$D$1:$D$724,D381,$B$1:$B$724,"&lt;="&amp;B381)</f>
        <v>6264386.3600000003</v>
      </c>
      <c r="N381" s="67">
        <f>IF(tblMovimientos[[#This Row],[Tipo de Movimiento]]="Ingreso",tblMovimientos[[#This Row],[Monto (S/)]],"0")</f>
        <v>500000</v>
      </c>
      <c r="O381" s="67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>IF(F382="Ingreso",J382,-J382)</f>
        <v>-10000</v>
      </c>
      <c r="L382" s="15" t="s">
        <v>128</v>
      </c>
      <c r="M382" s="44">
        <f>SUMIFS('Saldos Iniciales'!$D$2:$D$38,'Saldos Iniciales'!$A$2:$A$38,C382,'Saldos Iniciales'!$B$2:$B$38,D382)+SUMIFS($K$1:$K$724,$C$1:$C$724,C382,$D$1:$D$724,D382,$B$1:$B$724,"&lt;="&amp;B382)</f>
        <v>6264386.3600000003</v>
      </c>
      <c r="N382" s="67" t="str">
        <f>IF(tblMovimientos[[#This Row],[Tipo de Movimiento]]="Ingreso",tblMovimientos[[#This Row],[Monto (S/)]],"0")</f>
        <v>0</v>
      </c>
      <c r="O382" s="67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>IF(F383="Ingreso",J383,-J383)</f>
        <v>-10833.33</v>
      </c>
      <c r="L383" s="15" t="s">
        <v>128</v>
      </c>
      <c r="M383" s="44">
        <f>SUMIFS('Saldos Iniciales'!$D$2:$D$38,'Saldos Iniciales'!$A$2:$A$38,C383,'Saldos Iniciales'!$B$2:$B$38,D383)+SUMIFS($K$1:$K$724,$C$1:$C$724,C383,$D$1:$D$724,D383,$B$1:$B$724,"&lt;="&amp;B383)</f>
        <v>6264386.3600000003</v>
      </c>
      <c r="N383" s="67" t="str">
        <f>IF(tblMovimientos[[#This Row],[Tipo de Movimiento]]="Ingreso",tblMovimientos[[#This Row],[Monto (S/)]],"0")</f>
        <v>0</v>
      </c>
      <c r="O383" s="67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>IF(F384="Ingreso",J384,-J384)</f>
        <v>-71041.67</v>
      </c>
      <c r="L384" s="15" t="s">
        <v>128</v>
      </c>
      <c r="M384" s="58">
        <f>SUMIFS('Saldos Iniciales'!$D$2:$D$38,'Saldos Iniciales'!$A$2:$A$38,C384,'Saldos Iniciales'!$B$2:$B$38,D384)+SUMIFS($K$1:$K$724,$C$1:$C$724,C384,$D$1:$D$724,D384,$B$1:$B$724,"&lt;="&amp;B384)</f>
        <v>6264386.3600000003</v>
      </c>
      <c r="N384" s="67" t="str">
        <f>IF(tblMovimientos[[#This Row],[Tipo de Movimiento]]="Ingreso",tblMovimientos[[#This Row],[Monto (S/)]],"0")</f>
        <v>0</v>
      </c>
      <c r="O384" s="67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>IF(F385="Ingreso",J385,-J385)</f>
        <v>-1850000</v>
      </c>
      <c r="L385" s="15" t="s">
        <v>128</v>
      </c>
      <c r="M385" s="44">
        <f>SUMIFS('Saldos Iniciales'!$D$2:$D$38,'Saldos Iniciales'!$A$2:$A$38,C385,'Saldos Iniciales'!$B$2:$B$38,D385)+SUMIFS($K$1:$K$724,$C$1:$C$724,C385,$D$1:$D$724,D385,$B$1:$B$724,"&lt;="&amp;B385)</f>
        <v>6264386.3600000003</v>
      </c>
      <c r="N385" s="67" t="str">
        <f>IF(tblMovimientos[[#This Row],[Tipo de Movimiento]]="Ingreso",tblMovimientos[[#This Row],[Monto (S/)]],"0")</f>
        <v>0</v>
      </c>
      <c r="O385" s="67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>IF(F386="Ingreso",J386,-J386)</f>
        <v>150000</v>
      </c>
      <c r="L386" s="15" t="s">
        <v>128</v>
      </c>
      <c r="M386" s="44">
        <f>SUMIFS('Saldos Iniciales'!$D$2:$D$38,'Saldos Iniciales'!$A$2:$A$38,C386,'Saldos Iniciales'!$B$2:$B$38,D386)+SUMIFS($K$1:$K$724,$C$1:$C$724,C386,$D$1:$D$724,D386,$B$1:$B$724,"&lt;="&amp;B386)</f>
        <v>1881717.6</v>
      </c>
      <c r="N386" s="67">
        <f>IF(tblMovimientos[[#This Row],[Tipo de Movimiento]]="Ingreso",tblMovimientos[[#This Row],[Monto (S/)]],"0")</f>
        <v>150000</v>
      </c>
      <c r="O386" s="67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>IF(F387="Ingreso",J387,-J387)</f>
        <v>2380000</v>
      </c>
      <c r="L387" s="15" t="s">
        <v>128</v>
      </c>
      <c r="M387" s="44">
        <f>SUMIFS('Saldos Iniciales'!$D$2:$D$38,'Saldos Iniciales'!$A$2:$A$38,C387,'Saldos Iniciales'!$B$2:$B$38,D387)+SUMIFS($K$1:$K$724,$C$1:$C$724,C387,$D$1:$D$724,D387,$B$1:$B$724,"&lt;="&amp;B387)</f>
        <v>1881717.6</v>
      </c>
      <c r="N387" s="67">
        <f>IF(tblMovimientos[[#This Row],[Tipo de Movimiento]]="Ingreso",tblMovimientos[[#This Row],[Monto (S/)]],"0")</f>
        <v>2380000</v>
      </c>
      <c r="O387" s="67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>IF(F388="Ingreso",J388,-J388)</f>
        <v>-150000</v>
      </c>
      <c r="L388" s="15" t="s">
        <v>128</v>
      </c>
      <c r="M388" s="44">
        <f>SUMIFS('Saldos Iniciales'!$D$2:$D$38,'Saldos Iniciales'!$A$2:$A$38,C388,'Saldos Iniciales'!$B$2:$B$38,D388)+SUMIFS($K$1:$K$724,$C$1:$C$724,C388,$D$1:$D$724,D388,$B$1:$B$724,"&lt;="&amp;B388)</f>
        <v>1881717.6</v>
      </c>
      <c r="N388" s="67" t="str">
        <f>IF(tblMovimientos[[#This Row],[Tipo de Movimiento]]="Ingreso",tblMovimientos[[#This Row],[Monto (S/)]],"0")</f>
        <v>0</v>
      </c>
      <c r="O388" s="67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>IF(F389="Ingreso",J389,-J389)</f>
        <v>-500000</v>
      </c>
      <c r="L389" s="15" t="s">
        <v>128</v>
      </c>
      <c r="M389" s="44">
        <f>SUMIFS('Saldos Iniciales'!$D$2:$D$38,'Saldos Iniciales'!$A$2:$A$38,C389,'Saldos Iniciales'!$B$2:$B$38,D389)+SUMIFS($K$1:$K$724,$C$1:$C$724,C389,$D$1:$D$724,D389,$B$1:$B$724,"&lt;="&amp;B389)</f>
        <v>1881717.6</v>
      </c>
      <c r="N389" s="67" t="str">
        <f>IF(tblMovimientos[[#This Row],[Tipo de Movimiento]]="Ingreso",tblMovimientos[[#This Row],[Monto (S/)]],"0")</f>
        <v>0</v>
      </c>
      <c r="O389" s="67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>IF(F390="Ingreso",J390,-J390)</f>
        <v>1850000</v>
      </c>
      <c r="L390" s="15" t="s">
        <v>128</v>
      </c>
      <c r="M390" s="58">
        <f>SUMIFS('Saldos Iniciales'!$D$2:$D$38,'Saldos Iniciales'!$A$2:$A$38,C390,'Saldos Iniciales'!$B$2:$B$38,D390)+SUMIFS($K$1:$K$724,$C$1:$C$724,C390,$D$1:$D$724,D390,$B$1:$B$724,"&lt;="&amp;B390)</f>
        <v>1109351.6499999994</v>
      </c>
      <c r="N390" s="67">
        <f>IF(tblMovimientos[[#This Row],[Tipo de Movimiento]]="Ingreso",tblMovimientos[[#This Row],[Monto (S/)]],"0")</f>
        <v>1850000</v>
      </c>
      <c r="O390" s="67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>IF(F391="Ingreso",J391,-J391)</f>
        <v>-4071.45</v>
      </c>
      <c r="L391" s="15" t="s">
        <v>128</v>
      </c>
      <c r="M391" s="44">
        <f>SUMIFS('Saldos Iniciales'!$D$2:$D$38,'Saldos Iniciales'!$A$2:$A$38,C391,'Saldos Iniciales'!$B$2:$B$38,D391)+SUMIFS($K$1:$K$724,$C$1:$C$724,C391,$D$1:$D$724,D391,$B$1:$B$724,"&lt;="&amp;B391)</f>
        <v>1109351.6499999994</v>
      </c>
      <c r="N391" s="67" t="str">
        <f>IF(tblMovimientos[[#This Row],[Tipo de Movimiento]]="Ingreso",tblMovimientos[[#This Row],[Monto (S/)]],"0")</f>
        <v>0</v>
      </c>
      <c r="O391" s="67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>IF(F392="Ingreso",J392,-J392)</f>
        <v>-8400</v>
      </c>
      <c r="L392" s="15" t="s">
        <v>128</v>
      </c>
      <c r="M392" s="44">
        <f>SUMIFS('Saldos Iniciales'!$D$2:$D$38,'Saldos Iniciales'!$A$2:$A$38,C392,'Saldos Iniciales'!$B$2:$B$38,D392)+SUMIFS($K$1:$K$724,$C$1:$C$724,C392,$D$1:$D$724,D392,$B$1:$B$724,"&lt;="&amp;B392)</f>
        <v>1109351.6499999994</v>
      </c>
      <c r="N392" s="67" t="str">
        <f>IF(tblMovimientos[[#This Row],[Tipo de Movimiento]]="Ingreso",tblMovimientos[[#This Row],[Monto (S/)]],"0")</f>
        <v>0</v>
      </c>
      <c r="O392" s="67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>IF(F393="Ingreso",J393,-J393)</f>
        <v>-8666.67</v>
      </c>
      <c r="L393" s="15" t="s">
        <v>128</v>
      </c>
      <c r="M393" s="44">
        <f>SUMIFS('Saldos Iniciales'!$D$2:$D$38,'Saldos Iniciales'!$A$2:$A$38,C393,'Saldos Iniciales'!$B$2:$B$38,D393)+SUMIFS($K$1:$K$724,$C$1:$C$724,C393,$D$1:$D$724,D393,$B$1:$B$724,"&lt;="&amp;B393)</f>
        <v>1109351.6499999994</v>
      </c>
      <c r="N393" s="67" t="str">
        <f>IF(tblMovimientos[[#This Row],[Tipo de Movimiento]]="Ingreso",tblMovimientos[[#This Row],[Monto (S/)]],"0")</f>
        <v>0</v>
      </c>
      <c r="O393" s="67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>IF(F394="Ingreso",J394,-J394)</f>
        <v>-10753.2</v>
      </c>
      <c r="L394" s="15" t="s">
        <v>128</v>
      </c>
      <c r="M394" s="44">
        <f>SUMIFS('Saldos Iniciales'!$D$2:$D$38,'Saldos Iniciales'!$A$2:$A$38,C394,'Saldos Iniciales'!$B$2:$B$38,D394)+SUMIFS($K$1:$K$724,$C$1:$C$724,C394,$D$1:$D$724,D394,$B$1:$B$724,"&lt;="&amp;B394)</f>
        <v>1109351.6499999994</v>
      </c>
      <c r="N394" s="67" t="str">
        <f>IF(tblMovimientos[[#This Row],[Tipo de Movimiento]]="Ingreso",tblMovimientos[[#This Row],[Monto (S/)]],"0")</f>
        <v>0</v>
      </c>
      <c r="O394" s="67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>IF(F395="Ingreso",J395,-J395)</f>
        <v>-33463.550000000003</v>
      </c>
      <c r="L395" s="15" t="s">
        <v>128</v>
      </c>
      <c r="M395" s="44">
        <f>SUMIFS('Saldos Iniciales'!$D$2:$D$38,'Saldos Iniciales'!$A$2:$A$38,C395,'Saldos Iniciales'!$B$2:$B$38,D395)+SUMIFS($K$1:$K$724,$C$1:$C$724,C395,$D$1:$D$724,D395,$B$1:$B$724,"&lt;="&amp;B395)</f>
        <v>1109351.6499999994</v>
      </c>
      <c r="N395" s="67" t="str">
        <f>IF(tblMovimientos[[#This Row],[Tipo de Movimiento]]="Ingreso",tblMovimientos[[#This Row],[Monto (S/)]],"0")</f>
        <v>0</v>
      </c>
      <c r="O395" s="67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>IF(F396="Ingreso",J396,-J396)</f>
        <v>-47361.11</v>
      </c>
      <c r="L396" s="15" t="s">
        <v>128</v>
      </c>
      <c r="M396" s="58">
        <f>SUMIFS('Saldos Iniciales'!$D$2:$D$38,'Saldos Iniciales'!$A$2:$A$38,C396,'Saldos Iniciales'!$B$2:$B$38,D396)+SUMIFS($K$1:$K$724,$C$1:$C$724,C396,$D$1:$D$724,D396,$B$1:$B$724,"&lt;="&amp;B396)</f>
        <v>1109351.6499999994</v>
      </c>
      <c r="N396" s="67" t="str">
        <f>IF(tblMovimientos[[#This Row],[Tipo de Movimiento]]="Ingreso",tblMovimientos[[#This Row],[Monto (S/)]],"0")</f>
        <v>0</v>
      </c>
      <c r="O396" s="67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>IF(F397="Ingreso",J397,-J397)</f>
        <v>-310000</v>
      </c>
      <c r="L397" s="15" t="s">
        <v>128</v>
      </c>
      <c r="M397" s="44">
        <f>SUMIFS('Saldos Iniciales'!$D$2:$D$38,'Saldos Iniciales'!$A$2:$A$38,C397,'Saldos Iniciales'!$B$2:$B$38,D397)+SUMIFS($K$1:$K$724,$C$1:$C$724,C397,$D$1:$D$724,D397,$B$1:$B$724,"&lt;="&amp;B397)</f>
        <v>1109351.6499999994</v>
      </c>
      <c r="N397" s="67" t="str">
        <f>IF(tblMovimientos[[#This Row],[Tipo de Movimiento]]="Ingreso",tblMovimientos[[#This Row],[Monto (S/)]],"0")</f>
        <v>0</v>
      </c>
      <c r="O397" s="67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>IF(F398="Ingreso",J398,-J398)</f>
        <v>-90000</v>
      </c>
      <c r="L398" s="15" t="s">
        <v>128</v>
      </c>
      <c r="M398" s="44">
        <f>SUMIFS('Saldos Iniciales'!$D$2:$D$38,'Saldos Iniciales'!$A$2:$A$38,C398,'Saldos Iniciales'!$B$2:$B$38,D398)+SUMIFS($K$1:$K$724,$C$1:$C$724,C398,$D$1:$D$724,D398,$B$1:$B$724,"&lt;="&amp;B398)</f>
        <v>1109351.6499999994</v>
      </c>
      <c r="N398" s="67" t="str">
        <f>IF(tblMovimientos[[#This Row],[Tipo de Movimiento]]="Ingreso",tblMovimientos[[#This Row],[Monto (S/)]],"0")</f>
        <v>0</v>
      </c>
      <c r="O398" s="67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>IF(F399="Ingreso",J399,-J399)</f>
        <v>-150000</v>
      </c>
      <c r="L399" s="15" t="s">
        <v>128</v>
      </c>
      <c r="M399" s="44">
        <f>SUMIFS('Saldos Iniciales'!$D$2:$D$38,'Saldos Iniciales'!$A$2:$A$38,C399,'Saldos Iniciales'!$B$2:$B$38,D399)+SUMIFS($K$1:$K$724,$C$1:$C$724,C399,$D$1:$D$724,D399,$B$1:$B$724,"&lt;="&amp;B399)</f>
        <v>1109351.6499999994</v>
      </c>
      <c r="N399" s="67" t="str">
        <f>IF(tblMovimientos[[#This Row],[Tipo de Movimiento]]="Ingreso",tblMovimientos[[#This Row],[Monto (S/)]],"0")</f>
        <v>0</v>
      </c>
      <c r="O399" s="67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>IF(F400="Ingreso",J400,-J400)</f>
        <v>-200000</v>
      </c>
      <c r="L400" s="15" t="s">
        <v>128</v>
      </c>
      <c r="M400" s="44">
        <f>SUMIFS('Saldos Iniciales'!$D$2:$D$38,'Saldos Iniciales'!$A$2:$A$38,C400,'Saldos Iniciales'!$B$2:$B$38,D400)+SUMIFS($K$1:$K$724,$C$1:$C$724,C400,$D$1:$D$724,D400,$B$1:$B$724,"&lt;="&amp;B400)</f>
        <v>1109351.6499999994</v>
      </c>
      <c r="N400" s="67" t="str">
        <f>IF(tblMovimientos[[#This Row],[Tipo de Movimiento]]="Ingreso",tblMovimientos[[#This Row],[Monto (S/)]],"0")</f>
        <v>0</v>
      </c>
      <c r="O400" s="67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>IF(F401="Ingreso",J401,-J401)</f>
        <v>-2380000</v>
      </c>
      <c r="L401" s="15" t="s">
        <v>128</v>
      </c>
      <c r="M401" s="44">
        <f>SUMIFS('Saldos Iniciales'!$D$2:$D$38,'Saldos Iniciales'!$A$2:$A$38,C401,'Saldos Iniciales'!$B$2:$B$38,D401)+SUMIFS($K$1:$K$724,$C$1:$C$724,C401,$D$1:$D$724,D401,$B$1:$B$724,"&lt;="&amp;B401)</f>
        <v>1109351.6499999994</v>
      </c>
      <c r="N401" s="67" t="str">
        <f>IF(tblMovimientos[[#This Row],[Tipo de Movimiento]]="Ingreso",tblMovimientos[[#This Row],[Monto (S/)]],"0")</f>
        <v>0</v>
      </c>
      <c r="O401" s="67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Iniciales'!$B$2:$B$38,D402)+SUMIFS($K$1:$K$724,$C$1:$C$724,C402,$D$1:$D$724,D402,$B$1:$B$724,"&lt;="&amp;B402)</f>
        <v>32732.080000000002</v>
      </c>
      <c r="N402" s="67" t="str">
        <f>IF(tblMovimientos[[#This Row],[Tipo de Movimiento]]="Ingreso",tblMovimientos[[#This Row],[Monto (S/)]],"0")</f>
        <v>0</v>
      </c>
      <c r="O402" s="67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>IF(F403="Ingreso",J403,-J403)</f>
        <v>-15</v>
      </c>
      <c r="L403" s="15" t="s">
        <v>128</v>
      </c>
      <c r="M403" s="44">
        <f>SUMIFS('Saldos Iniciales'!$D$2:$D$38,'Saldos Iniciales'!$A$2:$A$38,C403,'Saldos Iniciales'!$B$2:$B$38,D403)+SUMIFS($K$1:$K$724,$C$1:$C$724,C403,$D$1:$D$724,D403,$B$1:$B$724,"&lt;="&amp;B403)</f>
        <v>32732.080000000002</v>
      </c>
      <c r="N403" s="67" t="str">
        <f>IF(tblMovimientos[[#This Row],[Tipo de Movimiento]]="Ingreso",tblMovimientos[[#This Row],[Monto (S/)]],"0")</f>
        <v>0</v>
      </c>
      <c r="O403" s="67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>IF(F404="Ingreso",J404,-J404)</f>
        <v>-2500</v>
      </c>
      <c r="L404" s="15" t="s">
        <v>128</v>
      </c>
      <c r="M404" s="44">
        <f>SUMIFS('Saldos Iniciales'!$D$2:$D$38,'Saldos Iniciales'!$A$2:$A$38,C404,'Saldos Iniciales'!$B$2:$B$38,D404)+SUMIFS($K$1:$K$724,$C$1:$C$724,C404,$D$1:$D$724,D404,$B$1:$B$724,"&lt;="&amp;B404)</f>
        <v>32732.080000000002</v>
      </c>
      <c r="N404" s="67" t="str">
        <f>IF(tblMovimientos[[#This Row],[Tipo de Movimiento]]="Ingreso",tblMovimientos[[#This Row],[Monto (S/)]],"0")</f>
        <v>0</v>
      </c>
      <c r="O404" s="67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>IF(F405="Ingreso",J405,-J405)</f>
        <v>-15</v>
      </c>
      <c r="L405" s="15" t="s">
        <v>128</v>
      </c>
      <c r="M405" s="44">
        <f>SUMIFS('Saldos Iniciales'!$D$2:$D$38,'Saldos Iniciales'!$A$2:$A$38,C405,'Saldos Iniciales'!$B$2:$B$38,D405)+SUMIFS($K$1:$K$724,$C$1:$C$724,C405,$D$1:$D$724,D405,$B$1:$B$724,"&lt;="&amp;B405)</f>
        <v>32732.080000000002</v>
      </c>
      <c r="N405" s="67" t="str">
        <f>IF(tblMovimientos[[#This Row],[Tipo de Movimiento]]="Ingreso",tblMovimientos[[#This Row],[Monto (S/)]],"0")</f>
        <v>0</v>
      </c>
      <c r="O405" s="67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>IF(F406="Ingreso",J406,-J406)</f>
        <v>-2577.2800000000002</v>
      </c>
      <c r="L406" s="15" t="s">
        <v>128</v>
      </c>
      <c r="M406" s="44">
        <f>SUMIFS('Saldos Iniciales'!$D$2:$D$38,'Saldos Iniciales'!$A$2:$A$38,C406,'Saldos Iniciales'!$B$2:$B$38,D406)+SUMIFS($K$1:$K$724,$C$1:$C$724,C406,$D$1:$D$724,D406,$B$1:$B$724,"&lt;="&amp;B406)</f>
        <v>32732.080000000002</v>
      </c>
      <c r="N406" s="67" t="str">
        <f>IF(tblMovimientos[[#This Row],[Tipo de Movimiento]]="Ingreso",tblMovimientos[[#This Row],[Monto (S/)]],"0")</f>
        <v>0</v>
      </c>
      <c r="O406" s="67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>IF(F407="Ingreso",J407,-J407)</f>
        <v>-15</v>
      </c>
      <c r="L407" s="15" t="s">
        <v>128</v>
      </c>
      <c r="M407" s="44">
        <f>SUMIFS('Saldos Iniciales'!$D$2:$D$38,'Saldos Iniciales'!$A$2:$A$38,C407,'Saldos Iniciales'!$B$2:$B$38,D407)+SUMIFS($K$1:$K$724,$C$1:$C$724,C407,$D$1:$D$724,D407,$B$1:$B$724,"&lt;="&amp;B407)</f>
        <v>32732.080000000002</v>
      </c>
      <c r="N407" s="67" t="str">
        <f>IF(tblMovimientos[[#This Row],[Tipo de Movimiento]]="Ingreso",tblMovimientos[[#This Row],[Monto (S/)]],"0")</f>
        <v>0</v>
      </c>
      <c r="O407" s="67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>IF(F408="Ingreso",J408,-J408)</f>
        <v>-4922</v>
      </c>
      <c r="L408" s="15" t="s">
        <v>128</v>
      </c>
      <c r="M408" s="58">
        <f>SUMIFS('Saldos Iniciales'!$D$2:$D$38,'Saldos Iniciales'!$A$2:$A$38,C408,'Saldos Iniciales'!$B$2:$B$38,D408)+SUMIFS($K$1:$K$724,$C$1:$C$724,C408,$D$1:$D$724,D408,$B$1:$B$724,"&lt;="&amp;B408)</f>
        <v>32732.080000000002</v>
      </c>
      <c r="N408" s="67" t="str">
        <f>IF(tblMovimientos[[#This Row],[Tipo de Movimiento]]="Ingreso",tblMovimientos[[#This Row],[Monto (S/)]],"0")</f>
        <v>0</v>
      </c>
      <c r="O408" s="67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>IF(F409="Ingreso",J409,-J409)</f>
        <v>-15</v>
      </c>
      <c r="L409" s="15" t="s">
        <v>128</v>
      </c>
      <c r="M409" s="44">
        <f>SUMIFS('Saldos Iniciales'!$D$2:$D$38,'Saldos Iniciales'!$A$2:$A$38,C409,'Saldos Iniciales'!$B$2:$B$38,D409)+SUMIFS($K$1:$K$724,$C$1:$C$724,C409,$D$1:$D$724,D409,$B$1:$B$724,"&lt;="&amp;B409)</f>
        <v>32732.080000000002</v>
      </c>
      <c r="N409" s="67" t="str">
        <f>IF(tblMovimientos[[#This Row],[Tipo de Movimiento]]="Ingreso",tblMovimientos[[#This Row],[Monto (S/)]],"0")</f>
        <v>0</v>
      </c>
      <c r="O409" s="67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>IF(F410="Ingreso",J410,-J410)</f>
        <v>-762.99</v>
      </c>
      <c r="L410" s="15" t="s">
        <v>128</v>
      </c>
      <c r="M410" s="44">
        <f>SUMIFS('Saldos Iniciales'!$D$2:$D$38,'Saldos Iniciales'!$A$2:$A$38,C410,'Saldos Iniciales'!$B$2:$B$38,D410)+SUMIFS($K$1:$K$724,$C$1:$C$724,C410,$D$1:$D$724,D410,$B$1:$B$724,"&lt;="&amp;B410)</f>
        <v>8497</v>
      </c>
      <c r="N410" s="67" t="str">
        <f>IF(tblMovimientos[[#This Row],[Tipo de Movimiento]]="Ingreso",tblMovimientos[[#This Row],[Monto (S/)]],"0")</f>
        <v>0</v>
      </c>
      <c r="O410" s="67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>IF(F411="Ingreso",J411,-J411)</f>
        <v>-850</v>
      </c>
      <c r="L411" s="15" t="s">
        <v>128</v>
      </c>
      <c r="M411" s="44">
        <f>SUMIFS('Saldos Iniciales'!$D$2:$D$38,'Saldos Iniciales'!$A$2:$A$38,C411,'Saldos Iniciales'!$B$2:$B$38,D411)+SUMIFS($K$1:$K$724,$C$1:$C$724,C411,$D$1:$D$724,D411,$B$1:$B$724,"&lt;="&amp;B411)</f>
        <v>28413.319999999978</v>
      </c>
      <c r="N411" s="67" t="str">
        <f>IF(tblMovimientos[[#This Row],[Tipo de Movimiento]]="Ingreso",tblMovimientos[[#This Row],[Monto (S/)]],"0")</f>
        <v>0</v>
      </c>
      <c r="O411" s="67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>IF(F412="Ingreso",J412,-J412)</f>
        <v>-30</v>
      </c>
      <c r="L412" s="15" t="s">
        <v>128</v>
      </c>
      <c r="M412" s="44">
        <f>SUMIFS('Saldos Iniciales'!$D$2:$D$38,'Saldos Iniciales'!$A$2:$A$38,C412,'Saldos Iniciales'!$B$2:$B$38,D412)+SUMIFS($K$1:$K$724,$C$1:$C$724,C412,$D$1:$D$724,D412,$B$1:$B$724,"&lt;="&amp;B412)</f>
        <v>28413.319999999978</v>
      </c>
      <c r="N412" s="67" t="str">
        <f>IF(tblMovimientos[[#This Row],[Tipo de Movimiento]]="Ingreso",tblMovimientos[[#This Row],[Monto (S/)]],"0")</f>
        <v>0</v>
      </c>
      <c r="O412" s="67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>IF(F413="Ingreso",J413,-J413)</f>
        <v>-15</v>
      </c>
      <c r="L413" s="15" t="s">
        <v>128</v>
      </c>
      <c r="M413" s="44">
        <f>SUMIFS('Saldos Iniciales'!$D$2:$D$38,'Saldos Iniciales'!$A$2:$A$38,C413,'Saldos Iniciales'!$B$2:$B$38,D413)+SUMIFS($K$1:$K$724,$C$1:$C$724,C413,$D$1:$D$724,D413,$B$1:$B$724,"&lt;="&amp;B413)</f>
        <v>28458.6</v>
      </c>
      <c r="N413" s="67" t="str">
        <f>IF(tblMovimientos[[#This Row],[Tipo de Movimiento]]="Ingreso",tblMovimientos[[#This Row],[Monto (S/)]],"0")</f>
        <v>0</v>
      </c>
      <c r="O413" s="67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>IF(F414="Ingreso",J414,-J414)</f>
        <v>-10000</v>
      </c>
      <c r="L414" s="15" t="s">
        <v>128</v>
      </c>
      <c r="M414" s="58">
        <f>SUMIFS('Saldos Iniciales'!$D$2:$D$38,'Saldos Iniciales'!$A$2:$A$38,C414,'Saldos Iniciales'!$B$2:$B$38,D414)+SUMIFS($K$1:$K$724,$C$1:$C$724,C414,$D$1:$D$724,D414,$B$1:$B$724,"&lt;="&amp;B414)</f>
        <v>6254386.3600000003</v>
      </c>
      <c r="N414" s="67" t="str">
        <f>IF(tblMovimientos[[#This Row],[Tipo de Movimiento]]="Ingreso",tblMovimientos[[#This Row],[Monto (S/)]],"0")</f>
        <v>0</v>
      </c>
      <c r="O414" s="67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>IF(F415="Ingreso",J415,-J415)</f>
        <v>-600000</v>
      </c>
      <c r="L415" s="15" t="s">
        <v>128</v>
      </c>
      <c r="M415" s="44">
        <f>SUMIFS('Saldos Iniciales'!$D$2:$D$38,'Saldos Iniciales'!$A$2:$A$38,C415,'Saldos Iniciales'!$B$2:$B$38,D415)+SUMIFS($K$1:$K$724,$C$1:$C$724,C415,$D$1:$D$724,D415,$B$1:$B$724,"&lt;="&amp;B415)</f>
        <v>1281717.6000000001</v>
      </c>
      <c r="N415" s="67" t="str">
        <f>IF(tblMovimientos[[#This Row],[Tipo de Movimiento]]="Ingreso",tblMovimientos[[#This Row],[Monto (S/)]],"0")</f>
        <v>0</v>
      </c>
      <c r="O415" s="67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>IF(F416="Ingreso",J416,-J416)</f>
        <v>-3091.79</v>
      </c>
      <c r="L416" s="15" t="s">
        <v>128</v>
      </c>
      <c r="M416" s="44">
        <f>SUMIFS('Saldos Iniciales'!$D$2:$D$38,'Saldos Iniciales'!$A$2:$A$38,C416,'Saldos Iniciales'!$B$2:$B$38,D416)+SUMIFS($K$1:$K$724,$C$1:$C$724,C416,$D$1:$D$724,D416,$B$1:$B$724,"&lt;="&amp;B416)</f>
        <v>24625.29</v>
      </c>
      <c r="N416" s="67" t="str">
        <f>IF(tblMovimientos[[#This Row],[Tipo de Movimiento]]="Ingreso",tblMovimientos[[#This Row],[Monto (S/)]],"0")</f>
        <v>0</v>
      </c>
      <c r="O416" s="67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>IF(F417="Ingreso",J417,-J417)</f>
        <v>-15</v>
      </c>
      <c r="L417" s="15" t="s">
        <v>128</v>
      </c>
      <c r="M417" s="44">
        <f>SUMIFS('Saldos Iniciales'!$D$2:$D$38,'Saldos Iniciales'!$A$2:$A$38,C417,'Saldos Iniciales'!$B$2:$B$38,D417)+SUMIFS($K$1:$K$724,$C$1:$C$724,C417,$D$1:$D$724,D417,$B$1:$B$724,"&lt;="&amp;B417)</f>
        <v>24625.29</v>
      </c>
      <c r="N417" s="67" t="str">
        <f>IF(tblMovimientos[[#This Row],[Tipo de Movimiento]]="Ingreso",tblMovimientos[[#This Row],[Monto (S/)]],"0")</f>
        <v>0</v>
      </c>
      <c r="O417" s="67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>IF(F418="Ingreso",J418,-J418)</f>
        <v>-5000</v>
      </c>
      <c r="L418" s="15" t="s">
        <v>128</v>
      </c>
      <c r="M418" s="44">
        <f>SUMIFS('Saldos Iniciales'!$D$2:$D$38,'Saldos Iniciales'!$A$2:$A$38,C418,'Saldos Iniciales'!$B$2:$B$38,D418)+SUMIFS($K$1:$K$724,$C$1:$C$724,C418,$D$1:$D$724,D418,$B$1:$B$724,"&lt;="&amp;B418)</f>
        <v>24625.29</v>
      </c>
      <c r="N418" s="67" t="str">
        <f>IF(tblMovimientos[[#This Row],[Tipo de Movimiento]]="Ingreso",tblMovimientos[[#This Row],[Monto (S/)]],"0")</f>
        <v>0</v>
      </c>
      <c r="O418" s="67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>IF(F419="Ingreso",J419,-J419)</f>
        <v>16978.900000000001</v>
      </c>
      <c r="L419" s="15" t="s">
        <v>128</v>
      </c>
      <c r="M419" s="44">
        <f>SUMIFS('Saldos Iniciales'!$D$2:$D$38,'Saldos Iniciales'!$A$2:$A$38,C419,'Saldos Iniciales'!$B$2:$B$38,D419)+SUMIFS($K$1:$K$724,$C$1:$C$724,C419,$D$1:$D$724,D419,$B$1:$B$724,"&lt;="&amp;B419)</f>
        <v>489745.62999999989</v>
      </c>
      <c r="N419" s="67">
        <f>IF(tblMovimientos[[#This Row],[Tipo de Movimiento]]="Ingreso",tblMovimientos[[#This Row],[Monto (S/)]],"0")</f>
        <v>16978.900000000001</v>
      </c>
      <c r="O419" s="67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>IF(F420="Ingreso",J420,-J420)</f>
        <v>6021.16</v>
      </c>
      <c r="L420" s="15" t="s">
        <v>128</v>
      </c>
      <c r="M420" s="58">
        <f>SUMIFS('Saldos Iniciales'!$D$2:$D$38,'Saldos Iniciales'!$A$2:$A$38,C420,'Saldos Iniciales'!$B$2:$B$38,D420)+SUMIFS($K$1:$K$724,$C$1:$C$724,C420,$D$1:$D$724,D420,$B$1:$B$724,"&lt;="&amp;B420)</f>
        <v>39532.419999999984</v>
      </c>
      <c r="N420" s="67">
        <f>IF(tblMovimientos[[#This Row],[Tipo de Movimiento]]="Ingreso",tblMovimientos[[#This Row],[Monto (S/)]],"0")</f>
        <v>6021.16</v>
      </c>
      <c r="O420" s="67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>IF(F421="Ingreso",J421,-J421)</f>
        <v>5097.9399999999996</v>
      </c>
      <c r="L421" s="15" t="s">
        <v>128</v>
      </c>
      <c r="M421" s="44">
        <f>SUMIFS('Saldos Iniciales'!$D$2:$D$38,'Saldos Iniciales'!$A$2:$A$38,C421,'Saldos Iniciales'!$B$2:$B$38,D421)+SUMIFS($K$1:$K$724,$C$1:$C$724,C421,$D$1:$D$724,D421,$B$1:$B$724,"&lt;="&amp;B421)</f>
        <v>39532.419999999984</v>
      </c>
      <c r="N421" s="67">
        <f>IF(tblMovimientos[[#This Row],[Tipo de Movimiento]]="Ingreso",tblMovimientos[[#This Row],[Monto (S/)]],"0")</f>
        <v>5097.9399999999996</v>
      </c>
      <c r="O421" s="67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>IF(F422="Ingreso",J422,-J422)</f>
        <v>-1000000</v>
      </c>
      <c r="L422" s="15" t="s">
        <v>128</v>
      </c>
      <c r="M422" s="44">
        <f>SUMIFS('Saldos Iniciales'!$D$2:$D$38,'Saldos Iniciales'!$A$2:$A$38,C422,'Saldos Iniciales'!$B$2:$B$38,D422)+SUMIFS($K$1:$K$724,$C$1:$C$724,C422,$D$1:$D$724,D422,$B$1:$B$724,"&lt;="&amp;B422)</f>
        <v>281717.59999999998</v>
      </c>
      <c r="N422" s="67" t="str">
        <f>IF(tblMovimientos[[#This Row],[Tipo de Movimiento]]="Ingreso",tblMovimientos[[#This Row],[Monto (S/)]],"0")</f>
        <v>0</v>
      </c>
      <c r="O422" s="67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>IF(F423="Ingreso",J423,-J423)</f>
        <v>-164221.79999999999</v>
      </c>
      <c r="L423" s="15" t="s">
        <v>128</v>
      </c>
      <c r="M423" s="44">
        <f>SUMIFS('Saldos Iniciales'!$D$2:$D$38,'Saldos Iniciales'!$A$2:$A$38,C423,'Saldos Iniciales'!$B$2:$B$38,D423)+SUMIFS($K$1:$K$724,$C$1:$C$724,C423,$D$1:$D$724,D423,$B$1:$B$724,"&lt;="&amp;B423)</f>
        <v>945129.84999999939</v>
      </c>
      <c r="N423" s="67" t="str">
        <f>IF(tblMovimientos[[#This Row],[Tipo de Movimiento]]="Ingreso",tblMovimientos[[#This Row],[Monto (S/)]],"0")</f>
        <v>0</v>
      </c>
      <c r="O423" s="67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>IF(F424="Ingreso",J424,-J424)</f>
        <v>-45.86</v>
      </c>
      <c r="L424" s="15" t="s">
        <v>128</v>
      </c>
      <c r="M424" s="44">
        <f>SUMIFS('Saldos Iniciales'!$D$2:$D$38,'Saldos Iniciales'!$A$2:$A$38,C424,'Saldos Iniciales'!$B$2:$B$38,D424)+SUMIFS($K$1:$K$724,$C$1:$C$724,C424,$D$1:$D$724,D424,$B$1:$B$724,"&lt;="&amp;B424)</f>
        <v>18579.43</v>
      </c>
      <c r="N424" s="67" t="str">
        <f>IF(tblMovimientos[[#This Row],[Tipo de Movimiento]]="Ingreso",tblMovimientos[[#This Row],[Monto (S/)]],"0")</f>
        <v>0</v>
      </c>
      <c r="O424" s="67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>IF(F425="Ingreso",J425,-J425)</f>
        <v>-6000</v>
      </c>
      <c r="L425" s="15" t="s">
        <v>128</v>
      </c>
      <c r="M425" s="44">
        <f>SUMIFS('Saldos Iniciales'!$D$2:$D$38,'Saldos Iniciales'!$A$2:$A$38,C425,'Saldos Iniciales'!$B$2:$B$38,D425)+SUMIFS($K$1:$K$724,$C$1:$C$724,C425,$D$1:$D$724,D425,$B$1:$B$724,"&lt;="&amp;B425)</f>
        <v>18579.43</v>
      </c>
      <c r="N425" s="67" t="str">
        <f>IF(tblMovimientos[[#This Row],[Tipo de Movimiento]]="Ingreso",tblMovimientos[[#This Row],[Monto (S/)]],"0")</f>
        <v>0</v>
      </c>
      <c r="O425" s="67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>IF(F426="Ingreso",J426,-J426)</f>
        <v>6753.49</v>
      </c>
      <c r="L426" s="15" t="s">
        <v>128</v>
      </c>
      <c r="M426" s="58">
        <f>SUMIFS('Saldos Iniciales'!$D$2:$D$38,'Saldos Iniciales'!$A$2:$A$38,C426,'Saldos Iniciales'!$B$2:$B$38,D426)+SUMIFS($K$1:$K$724,$C$1:$C$724,C426,$D$1:$D$724,D426,$B$1:$B$724,"&lt;="&amp;B426)</f>
        <v>74139.680000000168</v>
      </c>
      <c r="N426" s="67">
        <f>IF(tblMovimientos[[#This Row],[Tipo de Movimiento]]="Ingreso",tblMovimientos[[#This Row],[Monto (S/)]],"0")</f>
        <v>6753.49</v>
      </c>
      <c r="O426" s="67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>IF(F427="Ingreso",J427,-J427)</f>
        <v>2267.66</v>
      </c>
      <c r="L427" s="15" t="s">
        <v>128</v>
      </c>
      <c r="M427" s="44">
        <f>SUMIFS('Saldos Iniciales'!$D$2:$D$38,'Saldos Iniciales'!$A$2:$A$38,C427,'Saldos Iniciales'!$B$2:$B$38,D427)+SUMIFS($K$1:$K$724,$C$1:$C$724,C427,$D$1:$D$724,D427,$B$1:$B$724,"&lt;="&amp;B427)</f>
        <v>806680.61</v>
      </c>
      <c r="N427" s="67">
        <f>IF(tblMovimientos[[#This Row],[Tipo de Movimiento]]="Ingreso",tblMovimientos[[#This Row],[Monto (S/)]],"0")</f>
        <v>2267.66</v>
      </c>
      <c r="O427" s="67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>IF(F428="Ingreso",J428,-J428)</f>
        <v>-73431.09</v>
      </c>
      <c r="L428" s="15" t="s">
        <v>128</v>
      </c>
      <c r="M428" s="44">
        <f>SUMIFS('Saldos Iniciales'!$D$2:$D$38,'Saldos Iniciales'!$A$2:$A$38,C428,'Saldos Iniciales'!$B$2:$B$38,D428)+SUMIFS($K$1:$K$724,$C$1:$C$724,C428,$D$1:$D$724,D428,$B$1:$B$724,"&lt;="&amp;B428)</f>
        <v>871698.75999999943</v>
      </c>
      <c r="N428" s="67" t="str">
        <f>IF(tblMovimientos[[#This Row],[Tipo de Movimiento]]="Ingreso",tblMovimientos[[#This Row],[Monto (S/)]],"0")</f>
        <v>0</v>
      </c>
      <c r="O428" s="67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>IF(F429="Ingreso",J429,-J429)</f>
        <v>-526.75</v>
      </c>
      <c r="L429" s="15" t="s">
        <v>128</v>
      </c>
      <c r="M429" s="44">
        <f>SUMIFS('Saldos Iniciales'!$D$2:$D$38,'Saldos Iniciales'!$A$2:$A$38,C429,'Saldos Iniciales'!$B$2:$B$38,D429)+SUMIFS($K$1:$K$724,$C$1:$C$724,C429,$D$1:$D$724,D429,$B$1:$B$724,"&lt;="&amp;B429)</f>
        <v>7777.24</v>
      </c>
      <c r="N429" s="67" t="str">
        <f>IF(tblMovimientos[[#This Row],[Tipo de Movimiento]]="Ingreso",tblMovimientos[[#This Row],[Monto (S/)]],"0")</f>
        <v>0</v>
      </c>
      <c r="O429" s="67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>IF(F430="Ingreso",J430,-J430)</f>
        <v>-193.01</v>
      </c>
      <c r="L430" s="15" t="s">
        <v>128</v>
      </c>
      <c r="M430" s="44">
        <f>SUMIFS('Saldos Iniciales'!$D$2:$D$38,'Saldos Iniciales'!$A$2:$A$38,C430,'Saldos Iniciales'!$B$2:$B$38,D430)+SUMIFS($K$1:$K$724,$C$1:$C$724,C430,$D$1:$D$724,D430,$B$1:$B$724,"&lt;="&amp;B430)</f>
        <v>7777.24</v>
      </c>
      <c r="N430" s="67" t="str">
        <f>IF(tblMovimientos[[#This Row],[Tipo de Movimiento]]="Ingreso",tblMovimientos[[#This Row],[Monto (S/)]],"0")</f>
        <v>0</v>
      </c>
      <c r="O430" s="67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>IF(F431="Ingreso",J431,-J431)</f>
        <v>-2977.94</v>
      </c>
      <c r="L431" s="15" t="s">
        <v>128</v>
      </c>
      <c r="M431" s="44">
        <f>SUMIFS('Saldos Iniciales'!$D$2:$D$38,'Saldos Iniciales'!$A$2:$A$38,C431,'Saldos Iniciales'!$B$2:$B$38,D431)+SUMIFS($K$1:$K$724,$C$1:$C$724,C431,$D$1:$D$724,D431,$B$1:$B$724,"&lt;="&amp;B431)</f>
        <v>35943.359999999986</v>
      </c>
      <c r="N431" s="67" t="str">
        <f>IF(tblMovimientos[[#This Row],[Tipo de Movimiento]]="Ingreso",tblMovimientos[[#This Row],[Monto (S/)]],"0")</f>
        <v>0</v>
      </c>
      <c r="O431" s="67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>IF(F432="Ingreso",J432,-J432)</f>
        <v>-611.12</v>
      </c>
      <c r="L432" s="15" t="s">
        <v>128</v>
      </c>
      <c r="M432" s="58">
        <f>SUMIFS('Saldos Iniciales'!$D$2:$D$38,'Saldos Iniciales'!$A$2:$A$38,C432,'Saldos Iniciales'!$B$2:$B$38,D432)+SUMIFS($K$1:$K$724,$C$1:$C$724,C432,$D$1:$D$724,D432,$B$1:$B$724,"&lt;="&amp;B432)</f>
        <v>35943.359999999986</v>
      </c>
      <c r="N432" s="67" t="str">
        <f>IF(tblMovimientos[[#This Row],[Tipo de Movimiento]]="Ingreso",tblMovimientos[[#This Row],[Monto (S/)]],"0")</f>
        <v>0</v>
      </c>
      <c r="O432" s="67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>IF(F433="Ingreso",J433,-J433)</f>
        <v>-6000</v>
      </c>
      <c r="L433" s="15" t="s">
        <v>128</v>
      </c>
      <c r="M433" s="44">
        <f>SUMIFS('Saldos Iniciales'!$D$2:$D$38,'Saldos Iniciales'!$A$2:$A$38,C433,'Saldos Iniciales'!$B$2:$B$38,D433)+SUMIFS($K$1:$K$724,$C$1:$C$724,C433,$D$1:$D$724,D433,$B$1:$B$724,"&lt;="&amp;B433)</f>
        <v>45206.89</v>
      </c>
      <c r="N433" s="67" t="str">
        <f>IF(tblMovimientos[[#This Row],[Tipo de Movimiento]]="Ingreso",tblMovimientos[[#This Row],[Monto (S/)]],"0")</f>
        <v>0</v>
      </c>
      <c r="O433" s="67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Iniciales'!$B$2:$B$38,D434)+SUMIFS($K$1:$K$724,$C$1:$C$724,C434,$D$1:$D$724,D434,$B$1:$B$724,"&lt;="&amp;B434)</f>
        <v>18404.43</v>
      </c>
      <c r="N434" s="67" t="str">
        <f>IF(tblMovimientos[[#This Row],[Tipo de Movimiento]]="Ingreso",tblMovimientos[[#This Row],[Monto (S/)]],"0")</f>
        <v>0</v>
      </c>
      <c r="O434" s="67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ref="K435:K498" si="0">IF(F435="Ingreso",J435,-J435)</f>
        <v>16785.27</v>
      </c>
      <c r="L435" s="15" t="s">
        <v>129</v>
      </c>
      <c r="M435" s="44">
        <f>SUMIFS('Saldos Iniciales'!$D$2:$D$38,'Saldos Iniciales'!$A$2:$A$38,C435,'Saldos Iniciales'!$B$2:$B$38,D435)+SUMIFS($K$1:$K$724,$C$1:$C$724,C435,$D$1:$D$724,D435,$B$1:$B$724,"&lt;="&amp;B435)</f>
        <v>507936.37999999989</v>
      </c>
      <c r="N435" s="67">
        <f>IF(tblMovimientos[[#This Row],[Tipo de Movimiento]]="Ingreso",tblMovimientos[[#This Row],[Monto (S/)]],"0")</f>
        <v>16785.27</v>
      </c>
      <c r="O435" s="67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0"/>
        <v>1405.48</v>
      </c>
      <c r="L436" s="15" t="s">
        <v>129</v>
      </c>
      <c r="M436" s="44">
        <f>SUMIFS('Saldos Iniciales'!$D$2:$D$38,'Saldos Iniciales'!$A$2:$A$38,C436,'Saldos Iniciales'!$B$2:$B$38,D436)+SUMIFS($K$1:$K$724,$C$1:$C$724,C436,$D$1:$D$724,D436,$B$1:$B$724,"&lt;="&amp;B436)</f>
        <v>507936.37999999989</v>
      </c>
      <c r="N436" s="67">
        <f>IF(tblMovimientos[[#This Row],[Tipo de Movimiento]]="Ingreso",tblMovimientos[[#This Row],[Monto (S/)]],"0")</f>
        <v>1405.48</v>
      </c>
      <c r="O436" s="67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0"/>
        <v>-29.95</v>
      </c>
      <c r="L437" s="15" t="s">
        <v>129</v>
      </c>
      <c r="M437" s="44">
        <f>SUMIFS('Saldos Iniciales'!$D$2:$D$38,'Saldos Iniciales'!$A$2:$A$38,C437,'Saldos Iniciales'!$B$2:$B$38,D437)+SUMIFS($K$1:$K$724,$C$1:$C$724,C437,$D$1:$D$724,D437,$B$1:$B$724,"&lt;="&amp;B437)</f>
        <v>54.400000000000006</v>
      </c>
      <c r="N437" s="67" t="str">
        <f>IF(tblMovimientos[[#This Row],[Tipo de Movimiento]]="Ingreso",tblMovimientos[[#This Row],[Monto (S/)]],"0")</f>
        <v>0</v>
      </c>
      <c r="O437" s="67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0"/>
        <v>-29.95</v>
      </c>
      <c r="L438" s="15" t="s">
        <v>129</v>
      </c>
      <c r="M438" s="44">
        <f>SUMIFS('Saldos Iniciales'!$D$2:$D$38,'Saldos Iniciales'!$A$2:$A$38,C438,'Saldos Iniciales'!$B$2:$B$38,D438)+SUMIFS($K$1:$K$724,$C$1:$C$724,C438,$D$1:$D$724,D438,$B$1:$B$724,"&lt;="&amp;B438)</f>
        <v>2207.8200000000002</v>
      </c>
      <c r="N438" s="67" t="str">
        <f>IF(tblMovimientos[[#This Row],[Tipo de Movimiento]]="Ingreso",tblMovimientos[[#This Row],[Monto (S/)]],"0")</f>
        <v>0</v>
      </c>
      <c r="O438" s="67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0"/>
        <v>-16</v>
      </c>
      <c r="L439" s="15" t="s">
        <v>129</v>
      </c>
      <c r="M439" s="44">
        <f>SUMIFS('Saldos Iniciales'!$D$2:$D$38,'Saldos Iniciales'!$A$2:$A$38,C439,'Saldos Iniciales'!$B$2:$B$38,D439)+SUMIFS($K$1:$K$724,$C$1:$C$724,C439,$D$1:$D$724,D439,$B$1:$B$724,"&lt;="&amp;B439)</f>
        <v>1412.08</v>
      </c>
      <c r="N439" s="67" t="str">
        <f>IF(tblMovimientos[[#This Row],[Tipo de Movimiento]]="Ingreso",tblMovimientos[[#This Row],[Monto (S/)]],"0")</f>
        <v>0</v>
      </c>
      <c r="O439" s="67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0"/>
        <v>-8533.33</v>
      </c>
      <c r="L440" s="15" t="s">
        <v>129</v>
      </c>
      <c r="M440" s="44">
        <f>SUMIFS('Saldos Iniciales'!$D$2:$D$38,'Saldos Iniciales'!$A$2:$A$38,C440,'Saldos Iniciales'!$B$2:$B$38,D440)+SUMIFS($K$1:$K$724,$C$1:$C$724,C440,$D$1:$D$724,D440,$B$1:$B$724,"&lt;="&amp;B440)</f>
        <v>22176.219999999961</v>
      </c>
      <c r="N440" s="67" t="str">
        <f>IF(tblMovimientos[[#This Row],[Tipo de Movimiento]]="Ingreso",tblMovimientos[[#This Row],[Monto (S/)]],"0")</f>
        <v>0</v>
      </c>
      <c r="O440" s="67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0"/>
        <v>-10</v>
      </c>
      <c r="L441" s="15" t="s">
        <v>129</v>
      </c>
      <c r="M441" s="44">
        <f>SUMIFS('Saldos Iniciales'!$D$2:$D$38,'Saldos Iniciales'!$A$2:$A$38,C441,'Saldos Iniciales'!$B$2:$B$38,D441)+SUMIFS($K$1:$K$724,$C$1:$C$724,C441,$D$1:$D$724,D441,$B$1:$B$724,"&lt;="&amp;B441)</f>
        <v>320.42</v>
      </c>
      <c r="N441" s="67" t="str">
        <f>IF(tblMovimientos[[#This Row],[Tipo de Movimiento]]="Ingreso",tblMovimientos[[#This Row],[Monto (S/)]],"0")</f>
        <v>0</v>
      </c>
      <c r="O441" s="67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0"/>
        <v>-9798.6299999999992</v>
      </c>
      <c r="L442" s="15" t="s">
        <v>129</v>
      </c>
      <c r="M442" s="44">
        <f>SUMIFS('Saldos Iniciales'!$D$2:$D$38,'Saldos Iniciales'!$A$2:$A$38,C442,'Saldos Iniciales'!$B$2:$B$38,D442)+SUMIFS($K$1:$K$724,$C$1:$C$724,C442,$D$1:$D$724,D442,$B$1:$B$724,"&lt;="&amp;B442)</f>
        <v>10522.800000000003</v>
      </c>
      <c r="N442" s="67" t="str">
        <f>IF(tblMovimientos[[#This Row],[Tipo de Movimiento]]="Ingreso",tblMovimientos[[#This Row],[Monto (S/)]],"0")</f>
        <v>0</v>
      </c>
      <c r="O442" s="67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0"/>
        <v>-8773.0400000000009</v>
      </c>
      <c r="L443" s="15" t="s">
        <v>129</v>
      </c>
      <c r="M443" s="44">
        <f>SUMIFS('Saldos Iniciales'!$D$2:$D$38,'Saldos Iniciales'!$A$2:$A$38,C443,'Saldos Iniciales'!$B$2:$B$38,D443)+SUMIFS($K$1:$K$724,$C$1:$C$724,C443,$D$1:$D$724,D443,$B$1:$B$724,"&lt;="&amp;B443)</f>
        <v>19685.559999999998</v>
      </c>
      <c r="N443" s="67" t="str">
        <f>IF(tblMovimientos[[#This Row],[Tipo de Movimiento]]="Ingreso",tblMovimientos[[#This Row],[Monto (S/)]],"0")</f>
        <v>0</v>
      </c>
      <c r="O443" s="67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8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0"/>
        <v>-258.5</v>
      </c>
      <c r="L444" s="15" t="s">
        <v>129</v>
      </c>
      <c r="M444" s="44">
        <f>SUMIFS('Saldos Iniciales'!$D$2:$D$38,'Saldos Iniciales'!$A$2:$A$38,C444,'Saldos Iniciales'!$B$2:$B$38,D444)+SUMIFS($K$1:$K$724,$C$1:$C$724,C444,$D$1:$D$724,D444,$B$1:$B$724,"&lt;="&amp;B444)</f>
        <v>5034.8500000000004</v>
      </c>
      <c r="N444" s="67" t="str">
        <f>IF(tblMovimientos[[#This Row],[Tipo de Movimiento]]="Ingreso",tblMovimientos[[#This Row],[Monto (S/)]],"0")</f>
        <v>0</v>
      </c>
      <c r="O444" s="67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0"/>
        <v>15280.15</v>
      </c>
      <c r="L445" s="15" t="s">
        <v>129</v>
      </c>
      <c r="M445" s="44">
        <f>SUMIFS('Saldos Iniciales'!$D$2:$D$38,'Saldos Iniciales'!$A$2:$A$38,C445,'Saldos Iniciales'!$B$2:$B$38,D445)+SUMIFS($K$1:$K$724,$C$1:$C$724,C445,$D$1:$D$724,D445,$B$1:$B$724,"&lt;="&amp;B445)</f>
        <v>23057.39</v>
      </c>
      <c r="N445" s="67">
        <f>IF(tblMovimientos[[#This Row],[Tipo de Movimiento]]="Ingreso",tblMovimientos[[#This Row],[Monto (S/)]],"0")</f>
        <v>15280.15</v>
      </c>
      <c r="O445" s="67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0"/>
        <v>-60000</v>
      </c>
      <c r="L446" s="15" t="s">
        <v>129</v>
      </c>
      <c r="M446" s="44">
        <f>SUMIFS('Saldos Iniciales'!$D$2:$D$38,'Saldos Iniciales'!$A$2:$A$38,C446,'Saldos Iniciales'!$B$2:$B$38,D446)+SUMIFS($K$1:$K$724,$C$1:$C$724,C446,$D$1:$D$724,D446,$B$1:$B$724,"&lt;="&amp;B446)</f>
        <v>350475.62999999989</v>
      </c>
      <c r="N446" s="67" t="str">
        <f>IF(tblMovimientos[[#This Row],[Tipo de Movimiento]]="Ingreso",tblMovimientos[[#This Row],[Monto (S/)]],"0")</f>
        <v>0</v>
      </c>
      <c r="O446" s="67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0"/>
        <v>-15280.15</v>
      </c>
      <c r="L447" s="15" t="s">
        <v>129</v>
      </c>
      <c r="M447" s="44">
        <f>SUMIFS('Saldos Iniciales'!$D$2:$D$38,'Saldos Iniciales'!$A$2:$A$38,C447,'Saldos Iniciales'!$B$2:$B$38,D447)+SUMIFS($K$1:$K$724,$C$1:$C$724,C447,$D$1:$D$724,D447,$B$1:$B$724,"&lt;="&amp;B447)</f>
        <v>350475.62999999989</v>
      </c>
      <c r="N447" s="67" t="str">
        <f>IF(tblMovimientos[[#This Row],[Tipo de Movimiento]]="Ingreso",tblMovimientos[[#This Row],[Monto (S/)]],"0")</f>
        <v>0</v>
      </c>
      <c r="O447" s="67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0"/>
        <v>-82180.600000000006</v>
      </c>
      <c r="L448" s="15" t="s">
        <v>129</v>
      </c>
      <c r="M448" s="44">
        <f>SUMIFS('Saldos Iniciales'!$D$2:$D$38,'Saldos Iniciales'!$A$2:$A$38,C448,'Saldos Iniciales'!$B$2:$B$38,D448)+SUMIFS($K$1:$K$724,$C$1:$C$724,C448,$D$1:$D$724,D448,$B$1:$B$724,"&lt;="&amp;B448)</f>
        <v>350475.62999999989</v>
      </c>
      <c r="N448" s="67" t="str">
        <f>IF(tblMovimientos[[#This Row],[Tipo de Movimiento]]="Ingreso",tblMovimientos[[#This Row],[Monto (S/)]],"0")</f>
        <v>0</v>
      </c>
      <c r="O448" s="67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0"/>
        <v>4400</v>
      </c>
      <c r="L449" s="15" t="s">
        <v>129</v>
      </c>
      <c r="M449" s="44">
        <f>SUMIFS('Saldos Iniciales'!$D$2:$D$38,'Saldos Iniciales'!$A$2:$A$38,C449,'Saldos Iniciales'!$B$2:$B$38,D449)+SUMIFS($K$1:$K$724,$C$1:$C$724,C449,$D$1:$D$724,D449,$B$1:$B$724,"&lt;="&amp;B449)</f>
        <v>24085.559999999998</v>
      </c>
      <c r="N449" s="67">
        <f>IF(tblMovimientos[[#This Row],[Tipo de Movimiento]]="Ingreso",tblMovimientos[[#This Row],[Monto (S/)]],"0")</f>
        <v>4400</v>
      </c>
      <c r="O449" s="67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0"/>
        <v>-3000</v>
      </c>
      <c r="L450" s="15" t="s">
        <v>129</v>
      </c>
      <c r="M450" s="44">
        <f>SUMIFS('Saldos Iniciales'!$D$2:$D$38,'Saldos Iniciales'!$A$2:$A$38,C450,'Saldos Iniciales'!$B$2:$B$38,D450)+SUMIFS($K$1:$K$724,$C$1:$C$724,C450,$D$1:$D$724,D450,$B$1:$B$724,"&lt;="&amp;B450)</f>
        <v>5551386.3600000003</v>
      </c>
      <c r="N450" s="67" t="str">
        <f>IF(tblMovimientos[[#This Row],[Tipo de Movimiento]]="Ingreso",tblMovimientos[[#This Row],[Monto (S/)]],"0")</f>
        <v>0</v>
      </c>
      <c r="O450" s="67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0"/>
        <v>-55000</v>
      </c>
      <c r="L451" s="15" t="s">
        <v>129</v>
      </c>
      <c r="M451" s="44">
        <f>SUMIFS('Saldos Iniciales'!$D$2:$D$38,'Saldos Iniciales'!$A$2:$A$38,C451,'Saldos Iniciales'!$B$2:$B$38,D451)+SUMIFS($K$1:$K$724,$C$1:$C$724,C451,$D$1:$D$724,D451,$B$1:$B$724,"&lt;="&amp;B451)</f>
        <v>5551386.3600000003</v>
      </c>
      <c r="N451" s="67" t="str">
        <f>IF(tblMovimientos[[#This Row],[Tipo de Movimiento]]="Ingreso",tblMovimientos[[#This Row],[Monto (S/)]],"0")</f>
        <v>0</v>
      </c>
      <c r="O451" s="67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0"/>
        <v>-60000</v>
      </c>
      <c r="L452" s="15" t="s">
        <v>129</v>
      </c>
      <c r="M452" s="44">
        <f>SUMIFS('Saldos Iniciales'!$D$2:$D$38,'Saldos Iniciales'!$A$2:$A$38,C452,'Saldos Iniciales'!$B$2:$B$38,D452)+SUMIFS($K$1:$K$724,$C$1:$C$724,C452,$D$1:$D$724,D452,$B$1:$B$724,"&lt;="&amp;B452)</f>
        <v>5551386.3600000003</v>
      </c>
      <c r="N452" s="67" t="str">
        <f>IF(tblMovimientos[[#This Row],[Tipo de Movimiento]]="Ingreso",tblMovimientos[[#This Row],[Monto (S/)]],"0")</f>
        <v>0</v>
      </c>
      <c r="O452" s="67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0"/>
        <v>-85000</v>
      </c>
      <c r="L453" s="15" t="s">
        <v>129</v>
      </c>
      <c r="M453" s="44">
        <f>SUMIFS('Saldos Iniciales'!$D$2:$D$38,'Saldos Iniciales'!$A$2:$A$38,C453,'Saldos Iniciales'!$B$2:$B$38,D453)+SUMIFS($K$1:$K$724,$C$1:$C$724,C453,$D$1:$D$724,D453,$B$1:$B$724,"&lt;="&amp;B453)</f>
        <v>5551386.3600000003</v>
      </c>
      <c r="N453" s="67" t="str">
        <f>IF(tblMovimientos[[#This Row],[Tipo de Movimiento]]="Ingreso",tblMovimientos[[#This Row],[Monto (S/)]],"0")</f>
        <v>0</v>
      </c>
      <c r="O453" s="67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0"/>
        <v>-100000</v>
      </c>
      <c r="L454" s="15" t="s">
        <v>129</v>
      </c>
      <c r="M454" s="44">
        <f>SUMIFS('Saldos Iniciales'!$D$2:$D$38,'Saldos Iniciales'!$A$2:$A$38,C454,'Saldos Iniciales'!$B$2:$B$38,D454)+SUMIFS($K$1:$K$724,$C$1:$C$724,C454,$D$1:$D$724,D454,$B$1:$B$724,"&lt;="&amp;B454)</f>
        <v>5551386.3600000003</v>
      </c>
      <c r="N454" s="67" t="str">
        <f>IF(tblMovimientos[[#This Row],[Tipo de Movimiento]]="Ingreso",tblMovimientos[[#This Row],[Monto (S/)]],"0")</f>
        <v>0</v>
      </c>
      <c r="O454" s="67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0"/>
        <v>-100000</v>
      </c>
      <c r="L455" s="15" t="s">
        <v>129</v>
      </c>
      <c r="M455" s="44">
        <f>SUMIFS('Saldos Iniciales'!$D$2:$D$38,'Saldos Iniciales'!$A$2:$A$38,C455,'Saldos Iniciales'!$B$2:$B$38,D455)+SUMIFS($K$1:$K$724,$C$1:$C$724,C455,$D$1:$D$724,D455,$B$1:$B$724,"&lt;="&amp;B455)</f>
        <v>5551386.3600000003</v>
      </c>
      <c r="N455" s="67" t="str">
        <f>IF(tblMovimientos[[#This Row],[Tipo de Movimiento]]="Ingreso",tblMovimientos[[#This Row],[Monto (S/)]],"0")</f>
        <v>0</v>
      </c>
      <c r="O455" s="67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0"/>
        <v>-100000</v>
      </c>
      <c r="L456" s="15" t="s">
        <v>129</v>
      </c>
      <c r="M456" s="44">
        <f>SUMIFS('Saldos Iniciales'!$D$2:$D$38,'Saldos Iniciales'!$A$2:$A$38,C456,'Saldos Iniciales'!$B$2:$B$38,D456)+SUMIFS($K$1:$K$724,$C$1:$C$724,C456,$D$1:$D$724,D456,$B$1:$B$724,"&lt;="&amp;B456)</f>
        <v>5551386.3600000003</v>
      </c>
      <c r="N456" s="67" t="str">
        <f>IF(tblMovimientos[[#This Row],[Tipo de Movimiento]]="Ingreso",tblMovimientos[[#This Row],[Monto (S/)]],"0")</f>
        <v>0</v>
      </c>
      <c r="O456" s="67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0"/>
        <v>-200000</v>
      </c>
      <c r="L457" s="15" t="s">
        <v>129</v>
      </c>
      <c r="M457" s="44">
        <f>SUMIFS('Saldos Iniciales'!$D$2:$D$38,'Saldos Iniciales'!$A$2:$A$38,C457,'Saldos Iniciales'!$B$2:$B$38,D457)+SUMIFS($K$1:$K$724,$C$1:$C$724,C457,$D$1:$D$724,D457,$B$1:$B$724,"&lt;="&amp;B457)</f>
        <v>5551386.3600000003</v>
      </c>
      <c r="N457" s="67" t="str">
        <f>IF(tblMovimientos[[#This Row],[Tipo de Movimiento]]="Ingreso",tblMovimientos[[#This Row],[Monto (S/)]],"0")</f>
        <v>0</v>
      </c>
      <c r="O457" s="67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0"/>
        <v>-20000</v>
      </c>
      <c r="L458" s="15" t="s">
        <v>129</v>
      </c>
      <c r="M458" s="44">
        <f>SUMIFS('Saldos Iniciales'!$D$2:$D$38,'Saldos Iniciales'!$A$2:$A$38,C458,'Saldos Iniciales'!$B$2:$B$38,D458)+SUMIFS($K$1:$K$724,$C$1:$C$724,C458,$D$1:$D$724,D458,$B$1:$B$724,"&lt;="&amp;B458)</f>
        <v>111717.6</v>
      </c>
      <c r="N458" s="67" t="str">
        <f>IF(tblMovimientos[[#This Row],[Tipo de Movimiento]]="Ingreso",tblMovimientos[[#This Row],[Monto (S/)]],"0")</f>
        <v>0</v>
      </c>
      <c r="O458" s="67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0"/>
        <v>-150000</v>
      </c>
      <c r="L459" s="15" t="s">
        <v>129</v>
      </c>
      <c r="M459" s="44">
        <f>SUMIFS('Saldos Iniciales'!$D$2:$D$38,'Saldos Iniciales'!$A$2:$A$38,C459,'Saldos Iniciales'!$B$2:$B$38,D459)+SUMIFS($K$1:$K$724,$C$1:$C$724,C459,$D$1:$D$724,D459,$B$1:$B$724,"&lt;="&amp;B459)</f>
        <v>111717.6</v>
      </c>
      <c r="N459" s="67" t="str">
        <f>IF(tblMovimientos[[#This Row],[Tipo de Movimiento]]="Ingreso",tblMovimientos[[#This Row],[Monto (S/)]],"0")</f>
        <v>0</v>
      </c>
      <c r="O459" s="67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0"/>
        <v>150000</v>
      </c>
      <c r="L460" s="15" t="s">
        <v>129</v>
      </c>
      <c r="M460" s="44">
        <f>SUMIFS('Saldos Iniciales'!$D$2:$D$38,'Saldos Iniciales'!$A$2:$A$38,C460,'Saldos Iniciales'!$B$2:$B$38,D460)+SUMIFS($K$1:$K$724,$C$1:$C$724,C460,$D$1:$D$724,D460,$B$1:$B$724,"&lt;="&amp;B460)</f>
        <v>921698.75999999943</v>
      </c>
      <c r="N460" s="67">
        <f>IF(tblMovimientos[[#This Row],[Tipo de Movimiento]]="Ingreso",tblMovimientos[[#This Row],[Monto (S/)]],"0")</f>
        <v>150000</v>
      </c>
      <c r="O460" s="67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0"/>
        <v>-100000</v>
      </c>
      <c r="L461" s="15" t="s">
        <v>129</v>
      </c>
      <c r="M461" s="44">
        <f>SUMIFS('Saldos Iniciales'!$D$2:$D$38,'Saldos Iniciales'!$A$2:$A$38,C461,'Saldos Iniciales'!$B$2:$B$38,D461)+SUMIFS($K$1:$K$724,$C$1:$C$724,C461,$D$1:$D$724,D461,$B$1:$B$724,"&lt;="&amp;B461)</f>
        <v>921698.75999999943</v>
      </c>
      <c r="N461" s="67" t="str">
        <f>IF(tblMovimientos[[#This Row],[Tipo de Movimiento]]="Ingreso",tblMovimientos[[#This Row],[Monto (S/)]],"0")</f>
        <v>0</v>
      </c>
      <c r="O461" s="67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0"/>
        <v>20000</v>
      </c>
      <c r="L462" s="15" t="s">
        <v>129</v>
      </c>
      <c r="M462" s="44">
        <f>SUMIFS('Saldos Iniciales'!$D$2:$D$38,'Saldos Iniciales'!$A$2:$A$38,C462,'Saldos Iniciales'!$B$2:$B$38,D462)+SUMIFS($K$1:$K$724,$C$1:$C$724,C462,$D$1:$D$724,D462,$B$1:$B$724,"&lt;="&amp;B462)</f>
        <v>345</v>
      </c>
      <c r="N462" s="67">
        <f>IF(tblMovimientos[[#This Row],[Tipo de Movimiento]]="Ingreso",tblMovimientos[[#This Row],[Monto (S/)]],"0")</f>
        <v>20000</v>
      </c>
      <c r="O462" s="67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0"/>
        <v>-20000</v>
      </c>
      <c r="L463" s="15" t="s">
        <v>129</v>
      </c>
      <c r="M463" s="44">
        <f>SUMIFS('Saldos Iniciales'!$D$2:$D$38,'Saldos Iniciales'!$A$2:$A$38,C463,'Saldos Iniciales'!$B$2:$B$38,D463)+SUMIFS($K$1:$K$724,$C$1:$C$724,C463,$D$1:$D$724,D463,$B$1:$B$724,"&lt;="&amp;B463)</f>
        <v>345</v>
      </c>
      <c r="N463" s="67" t="str">
        <f>IF(tblMovimientos[[#This Row],[Tipo de Movimiento]]="Ingreso",tblMovimientos[[#This Row],[Monto (S/)]],"0")</f>
        <v>0</v>
      </c>
      <c r="O463" s="67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0"/>
        <v>20000</v>
      </c>
      <c r="L464" s="15" t="s">
        <v>129</v>
      </c>
      <c r="M464" s="44">
        <f>SUMIFS('Saldos Iniciales'!$D$2:$D$38,'Saldos Iniciales'!$A$2:$A$38,C464,'Saldos Iniciales'!$B$2:$B$38,D464)+SUMIFS($K$1:$K$724,$C$1:$C$724,C464,$D$1:$D$724,D464,$B$1:$B$724,"&lt;="&amp;B464)</f>
        <v>31206.370000000003</v>
      </c>
      <c r="N464" s="67">
        <f>IF(tblMovimientos[[#This Row],[Tipo de Movimiento]]="Ingreso",tblMovimientos[[#This Row],[Monto (S/)]],"0")</f>
        <v>20000</v>
      </c>
      <c r="O464" s="67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0"/>
        <v>-2830.5</v>
      </c>
      <c r="L465" s="15" t="s">
        <v>129</v>
      </c>
      <c r="M465" s="44">
        <f>SUMIFS('Saldos Iniciales'!$D$2:$D$38,'Saldos Iniciales'!$A$2:$A$38,C465,'Saldos Iniciales'!$B$2:$B$38,D465)+SUMIFS($K$1:$K$724,$C$1:$C$724,C465,$D$1:$D$724,D465,$B$1:$B$724,"&lt;="&amp;B465)</f>
        <v>31206.370000000003</v>
      </c>
      <c r="N465" s="67" t="str">
        <f>IF(tblMovimientos[[#This Row],[Tipo de Movimiento]]="Ingreso",tblMovimientos[[#This Row],[Monto (S/)]],"0")</f>
        <v>0</v>
      </c>
      <c r="O465" s="67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0"/>
        <v>-350</v>
      </c>
      <c r="L466" s="15" t="s">
        <v>129</v>
      </c>
      <c r="M466" s="44">
        <f>SUMIFS('Saldos Iniciales'!$D$2:$D$38,'Saldos Iniciales'!$A$2:$A$38,C466,'Saldos Iniciales'!$B$2:$B$38,D466)+SUMIFS($K$1:$K$724,$C$1:$C$724,C466,$D$1:$D$724,D466,$B$1:$B$724,"&lt;="&amp;B466)</f>
        <v>31206.370000000003</v>
      </c>
      <c r="N466" s="67" t="str">
        <f>IF(tblMovimientos[[#This Row],[Tipo de Movimiento]]="Ingreso",tblMovimientos[[#This Row],[Monto (S/)]],"0")</f>
        <v>0</v>
      </c>
      <c r="O466" s="67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0"/>
        <v>-610</v>
      </c>
      <c r="L467" s="15" t="s">
        <v>129</v>
      </c>
      <c r="M467" s="44">
        <f>SUMIFS('Saldos Iniciales'!$D$2:$D$38,'Saldos Iniciales'!$A$2:$A$38,C467,'Saldos Iniciales'!$B$2:$B$38,D467)+SUMIFS($K$1:$K$724,$C$1:$C$724,C467,$D$1:$D$724,D467,$B$1:$B$724,"&lt;="&amp;B467)</f>
        <v>31206.370000000003</v>
      </c>
      <c r="N467" s="67" t="str">
        <f>IF(tblMovimientos[[#This Row],[Tipo de Movimiento]]="Ingreso",tblMovimientos[[#This Row],[Monto (S/)]],"0")</f>
        <v>0</v>
      </c>
      <c r="O467" s="67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0"/>
        <v>-15</v>
      </c>
      <c r="L468" s="15" t="s">
        <v>129</v>
      </c>
      <c r="M468" s="44">
        <f>SUMIFS('Saldos Iniciales'!$D$2:$D$38,'Saldos Iniciales'!$A$2:$A$38,C468,'Saldos Iniciales'!$B$2:$B$38,D468)+SUMIFS($K$1:$K$724,$C$1:$C$724,C468,$D$1:$D$724,D468,$B$1:$B$724,"&lt;="&amp;B468)</f>
        <v>31206.370000000003</v>
      </c>
      <c r="N468" s="67" t="str">
        <f>IF(tblMovimientos[[#This Row],[Tipo de Movimiento]]="Ingreso",tblMovimientos[[#This Row],[Monto (S/)]],"0")</f>
        <v>0</v>
      </c>
      <c r="O468" s="67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0"/>
        <v>-82.98</v>
      </c>
      <c r="L469" s="15" t="s">
        <v>129</v>
      </c>
      <c r="M469" s="44">
        <f>SUMIFS('Saldos Iniciales'!$D$2:$D$38,'Saldos Iniciales'!$A$2:$A$38,C469,'Saldos Iniciales'!$B$2:$B$38,D469)+SUMIFS($K$1:$K$724,$C$1:$C$724,C469,$D$1:$D$724,D469,$B$1:$B$724,"&lt;="&amp;B469)</f>
        <v>31206.370000000003</v>
      </c>
      <c r="N469" s="67" t="str">
        <f>IF(tblMovimientos[[#This Row],[Tipo de Movimiento]]="Ingreso",tblMovimientos[[#This Row],[Monto (S/)]],"0")</f>
        <v>0</v>
      </c>
      <c r="O469" s="67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0"/>
        <v>-3309.58</v>
      </c>
      <c r="L470" s="15" t="s">
        <v>129</v>
      </c>
      <c r="M470" s="44">
        <f>SUMIFS('Saldos Iniciales'!$D$2:$D$38,'Saldos Iniciales'!$A$2:$A$38,C470,'Saldos Iniciales'!$B$2:$B$38,D470)+SUMIFS($K$1:$K$724,$C$1:$C$724,C470,$D$1:$D$724,D470,$B$1:$B$724,"&lt;="&amp;B470)</f>
        <v>31206.370000000003</v>
      </c>
      <c r="N470" s="67" t="str">
        <f>IF(tblMovimientos[[#This Row],[Tipo de Movimiento]]="Ingreso",tblMovimientos[[#This Row],[Monto (S/)]],"0")</f>
        <v>0</v>
      </c>
      <c r="O470" s="67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46206</v>
      </c>
      <c r="C471" s="46" t="str">
        <f>_xlfn.XLOOKUP(tblMovimientos[[#This Row],[Cuenta Bancaria]],Listas!$B:$B,Listas!$A:$A,"")</f>
        <v>Go Blue</v>
      </c>
      <c r="D471" s="41" t="s">
        <v>126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38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2363.85</v>
      </c>
      <c r="K471" s="5">
        <f t="shared" si="0"/>
        <v>-2363.85</v>
      </c>
      <c r="L471" s="15" t="s">
        <v>129</v>
      </c>
      <c r="M471" s="44">
        <f>SUMIFS('Saldos Iniciales'!$D$2:$D$38,'Saldos Iniciales'!$A$2:$A$38,C471,'Saldos Iniciales'!$B$2:$B$38,D471)+SUMIFS($K$1:$K$724,$C$1:$C$724,C471,$D$1:$D$724,D471,$B$1:$B$724,"&lt;="&amp;B471)</f>
        <v>28842.52</v>
      </c>
      <c r="N471" s="67" t="str">
        <f>IF(tblMovimientos[[#This Row],[Tipo de Movimiento]]="Ingreso",tblMovimientos[[#This Row],[Monto (S/)]],"0")</f>
        <v>0</v>
      </c>
      <c r="O471" s="67">
        <f>IF(tblMovimientos[[#This Row],[Tipo de Movimiento]]="Egreso",tblMovimientos[[#This Row],[Monto (S/)]],"0")</f>
        <v>2363.85</v>
      </c>
      <c r="P471" s="28">
        <f>IF(tblMovimientos[[#This Row],[Tipo de Movimiento]]="Ingreso",tblMovimientos[[#This Row],[Ingreso]],-tblMovimientos[[#This Row],[Egreso]])</f>
        <v>-2363.85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174</v>
      </c>
      <c r="E472" s="69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229.15</v>
      </c>
      <c r="K472" s="5">
        <f t="shared" si="0"/>
        <v>-229.15</v>
      </c>
      <c r="L472" s="15" t="s">
        <v>129</v>
      </c>
      <c r="M472" s="44">
        <f>SUMIFS('Saldos Iniciales'!$D$2:$D$38,'Saldos Iniciales'!$A$2:$A$38,C472,'Saldos Iniciales'!$B$2:$B$38,D472)+SUMIFS($K$1:$K$724,$C$1:$C$724,C472,$D$1:$D$724,D472,$B$1:$B$724,"&lt;="&amp;B472)</f>
        <v>4276.5200000000004</v>
      </c>
      <c r="N472" s="67" t="str">
        <f>IF(tblMovimientos[[#This Row],[Tipo de Movimiento]]="Ingreso",tblMovimientos[[#This Row],[Monto (S/)]],"0")</f>
        <v>0</v>
      </c>
      <c r="O472" s="67">
        <f>IF(tblMovimientos[[#This Row],[Tipo de Movimiento]]="Egreso",tblMovimientos[[#This Row],[Monto (S/)]],"0")</f>
        <v>229.15</v>
      </c>
      <c r="P472" s="28">
        <f>IF(tblMovimientos[[#This Row],[Tipo de Movimiento]]="Ingreso",tblMovimientos[[#This Row],[Ingreso]],-tblMovimientos[[#This Row],[Egreso]])</f>
        <v>-229.15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8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499.22</v>
      </c>
      <c r="K473" s="5">
        <f t="shared" si="0"/>
        <v>-499.22</v>
      </c>
      <c r="L473" s="15" t="s">
        <v>129</v>
      </c>
      <c r="M473" s="44">
        <f>SUMIFS('Saldos Iniciales'!$D$2:$D$38,'Saldos Iniciales'!$A$2:$A$38,C473,'Saldos Iniciales'!$B$2:$B$38,D473)+SUMIFS($K$1:$K$724,$C$1:$C$724,C473,$D$1:$D$724,D473,$B$1:$B$724,"&lt;="&amp;B473)</f>
        <v>4276.5200000000004</v>
      </c>
      <c r="N473" s="67" t="str">
        <f>IF(tblMovimientos[[#This Row],[Tipo de Movimiento]]="Ingreso",tblMovimientos[[#This Row],[Monto (S/)]],"0")</f>
        <v>0</v>
      </c>
      <c r="O473" s="67">
        <f>IF(tblMovimientos[[#This Row],[Tipo de Movimiento]]="Egreso",tblMovimientos[[#This Row],[Monto (S/)]],"0")</f>
        <v>499.22</v>
      </c>
      <c r="P473" s="28">
        <f>IF(tblMovimientos[[#This Row],[Tipo de Movimiento]]="Ingreso",tblMovimientos[[#This Row],[Ingreso]],-tblMovimientos[[#This Row],[Egreso]])</f>
        <v>-499.22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8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29.96</v>
      </c>
      <c r="K474" s="5">
        <f t="shared" si="0"/>
        <v>-29.96</v>
      </c>
      <c r="L474" s="15" t="s">
        <v>129</v>
      </c>
      <c r="M474" s="44">
        <f>SUMIFS('Saldos Iniciales'!$D$2:$D$38,'Saldos Iniciales'!$A$2:$A$38,C474,'Saldos Iniciales'!$B$2:$B$38,D474)+SUMIFS($K$1:$K$724,$C$1:$C$724,C474,$D$1:$D$724,D474,$B$1:$B$724,"&lt;="&amp;B474)</f>
        <v>4276.5200000000004</v>
      </c>
      <c r="N474" s="67" t="str">
        <f>IF(tblMovimientos[[#This Row],[Tipo de Movimiento]]="Ingreso",tblMovimientos[[#This Row],[Monto (S/)]],"0")</f>
        <v>0</v>
      </c>
      <c r="O474" s="67">
        <f>IF(tblMovimientos[[#This Row],[Tipo de Movimiento]]="Egreso",tblMovimientos[[#This Row],[Monto (S/)]],"0")</f>
        <v>29.96</v>
      </c>
      <c r="P474" s="28">
        <f>IF(tblMovimientos[[#This Row],[Tipo de Movimiento]]="Ingreso",tblMovimientos[[#This Row],[Ingreso]],-tblMovimientos[[#This Row],[Egreso]])</f>
        <v>-29.96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Electrama</v>
      </c>
      <c r="D475" s="41" t="s">
        <v>113</v>
      </c>
      <c r="E475" s="68" t="str">
        <f>_xlfn.XLOOKUP(tblMovimientos[[#This Row],[Cuenta Bancaria]],Listas!$B:$B,Listas!$C:$C,"")</f>
        <v>Chase Bank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40</v>
      </c>
      <c r="K475" s="5">
        <f t="shared" si="0"/>
        <v>-40</v>
      </c>
      <c r="L475" s="15" t="s">
        <v>129</v>
      </c>
      <c r="M475" s="44">
        <f>SUMIFS('Saldos Iniciales'!$D$2:$D$38,'Saldos Iniciales'!$A$2:$A$38,C475,'Saldos Iniciales'!$B$2:$B$38,D475)+SUMIFS($K$1:$K$724,$C$1:$C$724,C475,$D$1:$D$724,D475,$B$1:$B$724,"&lt;="&amp;B475)</f>
        <v>471.15999999999985</v>
      </c>
      <c r="N475" s="67" t="str">
        <f>IF(tblMovimientos[[#This Row],[Tipo de Movimiento]]="Ingreso",tblMovimientos[[#This Row],[Monto (S/)]],"0")</f>
        <v>0</v>
      </c>
      <c r="O475" s="67">
        <f>IF(tblMovimientos[[#This Row],[Tipo de Movimiento]]="Egreso",tblMovimientos[[#This Row],[Monto (S/)]],"0")</f>
        <v>40</v>
      </c>
      <c r="P475" s="28">
        <f>IF(tblMovimientos[[#This Row],[Tipo de Movimiento]]="Ingreso",tblMovimientos[[#This Row],[Ingreso]],-tblMovimientos[[#This Row],[Egreso]])</f>
        <v>-40</v>
      </c>
    </row>
    <row r="476" spans="1:16" x14ac:dyDescent="0.3">
      <c r="B476" s="39">
        <v>46209</v>
      </c>
      <c r="C476" s="46" t="str">
        <f>_xlfn.XLOOKUP(tblMovimientos[[#This Row],[Cuenta Bancaria]],Listas!$B:$B,Listas!$A:$A,"")</f>
        <v>SSP Capital</v>
      </c>
      <c r="D476" s="41" t="s">
        <v>101</v>
      </c>
      <c r="E476" s="4" t="str">
        <f>_xlfn.XLOOKUP(tblMovimientos[[#This Row],[Cuenta Bancaria]],Listas!$B:$B,Listas!$C:$C,"")</f>
        <v>Bank of America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538.41999999999996</v>
      </c>
      <c r="K476" s="5">
        <f t="shared" si="0"/>
        <v>-538.41999999999996</v>
      </c>
      <c r="L476" s="15" t="s">
        <v>129</v>
      </c>
      <c r="M476" s="44">
        <f>SUMIFS('Saldos Iniciales'!$D$2:$D$38,'Saldos Iniciales'!$A$2:$A$38,C476,'Saldos Iniciales'!$B$2:$B$38,D476)+SUMIFS($K$1:$K$724,$C$1:$C$724,C476,$D$1:$D$724,D476,$B$1:$B$724,"&lt;="&amp;B476)</f>
        <v>22518.97</v>
      </c>
      <c r="N476" s="67" t="str">
        <f>IF(tblMovimientos[[#This Row],[Tipo de Movimiento]]="Ingreso",tblMovimientos[[#This Row],[Monto (S/)]],"0")</f>
        <v>0</v>
      </c>
      <c r="O476" s="67">
        <f>IF(tblMovimientos[[#This Row],[Tipo de Movimiento]]="Egreso",tblMovimientos[[#This Row],[Monto (S/)]],"0")</f>
        <v>538.41999999999996</v>
      </c>
      <c r="P476" s="28">
        <f>IF(tblMovimientos[[#This Row],[Tipo de Movimiento]]="Ingreso",tblMovimientos[[#This Row],[Ingreso]],-tblMovimientos[[#This Row],[Egreso]])</f>
        <v>-538.41999999999996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Go Blue</v>
      </c>
      <c r="D477" s="41" t="s">
        <v>126</v>
      </c>
      <c r="E477" s="4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17151.490000000002</v>
      </c>
      <c r="K477" s="5">
        <f t="shared" si="0"/>
        <v>-17151.490000000002</v>
      </c>
      <c r="L477" s="15" t="s">
        <v>129</v>
      </c>
      <c r="M477" s="44">
        <f>SUMIFS('Saldos Iniciales'!$D$2:$D$38,'Saldos Iniciales'!$A$2:$A$38,C477,'Saldos Iniciales'!$B$2:$B$38,D477)+SUMIFS($K$1:$K$724,$C$1:$C$724,C477,$D$1:$D$724,D477,$B$1:$B$724,"&lt;="&amp;B477)</f>
        <v>11691.029999999999</v>
      </c>
      <c r="N477" s="67" t="str">
        <f>IF(tblMovimientos[[#This Row],[Tipo de Movimiento]]="Ingreso",tblMovimientos[[#This Row],[Monto (S/)]],"0")</f>
        <v>0</v>
      </c>
      <c r="O477" s="67">
        <f>IF(tblMovimientos[[#This Row],[Tipo de Movimiento]]="Egreso",tblMovimientos[[#This Row],[Monto (S/)]],"0")</f>
        <v>17151.490000000002</v>
      </c>
      <c r="P477" s="28">
        <f>IF(tblMovimientos[[#This Row],[Tipo de Movimiento]]="Ingreso",tblMovimientos[[#This Row],[Ingreso]],-tblMovimientos[[#This Row],[Egreso]])</f>
        <v>-17151.490000000002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174</v>
      </c>
      <c r="E478" s="68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30</v>
      </c>
      <c r="K478" s="5">
        <f t="shared" si="0"/>
        <v>-30</v>
      </c>
      <c r="L478" s="15" t="s">
        <v>129</v>
      </c>
      <c r="M478" s="44">
        <f>SUMIFS('Saldos Iniciales'!$D$2:$D$38,'Saldos Iniciales'!$A$2:$A$38,C478,'Saldos Iniciales'!$B$2:$B$38,D478)+SUMIFS($K$1:$K$724,$C$1:$C$724,C478,$D$1:$D$724,D478,$B$1:$B$724,"&lt;="&amp;B478)</f>
        <v>3474.3100000000004</v>
      </c>
      <c r="N478" s="67" t="str">
        <f>IF(tblMovimientos[[#This Row],[Tipo de Movimiento]]="Ingreso",tblMovimientos[[#This Row],[Monto (S/)]],"0")</f>
        <v>0</v>
      </c>
      <c r="O478" s="67">
        <f>IF(tblMovimientos[[#This Row],[Tipo de Movimiento]]="Egreso",tblMovimientos[[#This Row],[Monto (S/)]],"0")</f>
        <v>30</v>
      </c>
      <c r="P478" s="28">
        <f>IF(tblMovimientos[[#This Row],[Tipo de Movimiento]]="Ingreso",tblMovimientos[[#This Row],[Ingreso]],-tblMovimientos[[#This Row],[Egreso]])</f>
        <v>-30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8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18</v>
      </c>
      <c r="K479" s="5">
        <f t="shared" si="0"/>
        <v>-18</v>
      </c>
      <c r="L479" s="15" t="s">
        <v>129</v>
      </c>
      <c r="M479" s="44">
        <f>SUMIFS('Saldos Iniciales'!$D$2:$D$38,'Saldos Iniciales'!$A$2:$A$38,C479,'Saldos Iniciales'!$B$2:$B$38,D479)+SUMIFS($K$1:$K$724,$C$1:$C$724,C479,$D$1:$D$724,D479,$B$1:$B$724,"&lt;="&amp;B479)</f>
        <v>3474.3100000000004</v>
      </c>
      <c r="N479" s="67" t="str">
        <f>IF(tblMovimientos[[#This Row],[Tipo de Movimiento]]="Ingreso",tblMovimientos[[#This Row],[Monto (S/)]],"0")</f>
        <v>0</v>
      </c>
      <c r="O479" s="67">
        <f>IF(tblMovimientos[[#This Row],[Tipo de Movimiento]]="Egreso",tblMovimientos[[#This Row],[Monto (S/)]],"0")</f>
        <v>18</v>
      </c>
      <c r="P479" s="28">
        <f>IF(tblMovimientos[[#This Row],[Tipo de Movimiento]]="Ingreso",tblMovimientos[[#This Row],[Ingreso]],-tblMovimientos[[#This Row],[Egreso]])</f>
        <v>-18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8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458.35</v>
      </c>
      <c r="K480" s="5">
        <f t="shared" si="0"/>
        <v>-458.35</v>
      </c>
      <c r="L480" s="15" t="s">
        <v>129</v>
      </c>
      <c r="M480" s="44">
        <f>SUMIFS('Saldos Iniciales'!$D$2:$D$38,'Saldos Iniciales'!$A$2:$A$38,C480,'Saldos Iniciales'!$B$2:$B$38,D480)+SUMIFS($K$1:$K$724,$C$1:$C$724,C480,$D$1:$D$724,D480,$B$1:$B$724,"&lt;="&amp;B480)</f>
        <v>3474.3100000000004</v>
      </c>
      <c r="N480" s="67" t="str">
        <f>IF(tblMovimientos[[#This Row],[Tipo de Movimiento]]="Ingreso",tblMovimientos[[#This Row],[Monto (S/)]],"0")</f>
        <v>0</v>
      </c>
      <c r="O480" s="67">
        <f>IF(tblMovimientos[[#This Row],[Tipo de Movimiento]]="Egreso",tblMovimientos[[#This Row],[Monto (S/)]],"0")</f>
        <v>458.35</v>
      </c>
      <c r="P480" s="28">
        <f>IF(tblMovimientos[[#This Row],[Tipo de Movimiento]]="Ingreso",tblMovimientos[[#This Row],[Ingreso]],-tblMovimientos[[#This Row],[Egreso]])</f>
        <v>-458.35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8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24</v>
      </c>
      <c r="K481" s="5">
        <f t="shared" si="0"/>
        <v>-24</v>
      </c>
      <c r="L481" s="15" t="s">
        <v>129</v>
      </c>
      <c r="M481" s="44">
        <f>SUMIFS('Saldos Iniciales'!$D$2:$D$38,'Saldos Iniciales'!$A$2:$A$38,C481,'Saldos Iniciales'!$B$2:$B$38,D481)+SUMIFS($K$1:$K$724,$C$1:$C$724,C481,$D$1:$D$724,D481,$B$1:$B$724,"&lt;="&amp;B481)</f>
        <v>3474.3100000000004</v>
      </c>
      <c r="N481" s="67" t="str">
        <f>IF(tblMovimientos[[#This Row],[Tipo de Movimiento]]="Ingreso",tblMovimientos[[#This Row],[Monto (S/)]],"0")</f>
        <v>0</v>
      </c>
      <c r="O481" s="67">
        <f>IF(tblMovimientos[[#This Row],[Tipo de Movimiento]]="Egreso",tblMovimientos[[#This Row],[Monto (S/)]],"0")</f>
        <v>24</v>
      </c>
      <c r="P481" s="28">
        <f>IF(tblMovimientos[[#This Row],[Tipo de Movimiento]]="Ingreso",tblMovimientos[[#This Row],[Ingreso]],-tblMovimientos[[#This Row],[Egreso]])</f>
        <v>-24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8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271.86</v>
      </c>
      <c r="K482" s="5">
        <f t="shared" si="0"/>
        <v>-271.86</v>
      </c>
      <c r="L482" s="15" t="s">
        <v>129</v>
      </c>
      <c r="M482" s="44">
        <f>SUMIFS('Saldos Iniciales'!$D$2:$D$38,'Saldos Iniciales'!$A$2:$A$38,C482,'Saldos Iniciales'!$B$2:$B$38,D482)+SUMIFS($K$1:$K$724,$C$1:$C$724,C482,$D$1:$D$724,D482,$B$1:$B$724,"&lt;="&amp;B482)</f>
        <v>3474.3100000000004</v>
      </c>
      <c r="N482" s="67" t="str">
        <f>IF(tblMovimientos[[#This Row],[Tipo de Movimiento]]="Ingreso",tblMovimientos[[#This Row],[Monto (S/)]],"0")</f>
        <v>0</v>
      </c>
      <c r="O482" s="67">
        <f>IF(tblMovimientos[[#This Row],[Tipo de Movimiento]]="Egreso",tblMovimientos[[#This Row],[Monto (S/)]],"0")</f>
        <v>271.86</v>
      </c>
      <c r="P482" s="28">
        <f>IF(tblMovimientos[[#This Row],[Tipo de Movimiento]]="Ingreso",tblMovimientos[[#This Row],[Ingreso]],-tblMovimientos[[#This Row],[Egreso]])</f>
        <v>-271.86</v>
      </c>
    </row>
    <row r="483" spans="2:16" x14ac:dyDescent="0.3">
      <c r="B483" s="39">
        <v>46210</v>
      </c>
      <c r="C483" s="46" t="str">
        <f>_xlfn.XLOOKUP(tblMovimientos[[#This Row],[Cuenta Bancaria]],Listas!$B:$B,Listas!$A:$A,"")</f>
        <v>Go Blue</v>
      </c>
      <c r="D483" s="41" t="s">
        <v>126</v>
      </c>
      <c r="E483" s="4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614.75</v>
      </c>
      <c r="K483" s="5">
        <f t="shared" si="0"/>
        <v>-614.75</v>
      </c>
      <c r="L483" s="15" t="s">
        <v>129</v>
      </c>
      <c r="M483" s="44">
        <f>SUMIFS('Saldos Iniciales'!$D$2:$D$38,'Saldos Iniciales'!$A$2:$A$38,C483,'Saldos Iniciales'!$B$2:$B$38,D483)+SUMIFS($K$1:$K$724,$C$1:$C$724,C483,$D$1:$D$724,D483,$B$1:$B$724,"&lt;="&amp;B483)</f>
        <v>11076.279999999999</v>
      </c>
      <c r="N483" s="67" t="str">
        <f>IF(tblMovimientos[[#This Row],[Tipo de Movimiento]]="Ingreso",tblMovimientos[[#This Row],[Monto (S/)]],"0")</f>
        <v>0</v>
      </c>
      <c r="O483" s="67">
        <f>IF(tblMovimientos[[#This Row],[Tipo de Movimiento]]="Egreso",tblMovimientos[[#This Row],[Monto (S/)]],"0")</f>
        <v>614.75</v>
      </c>
      <c r="P483" s="28">
        <f>IF(tblMovimientos[[#This Row],[Tipo de Movimiento]]="Ingreso",tblMovimientos[[#This Row],[Ingreso]],-tblMovimientos[[#This Row],[Egreso]])</f>
        <v>-614.75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174</v>
      </c>
      <c r="E484" s="68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52</v>
      </c>
      <c r="K484" s="5">
        <f t="shared" si="0"/>
        <v>-52</v>
      </c>
      <c r="L484" s="15" t="s">
        <v>129</v>
      </c>
      <c r="M484" s="44">
        <f>SUMIFS('Saldos Iniciales'!$D$2:$D$38,'Saldos Iniciales'!$A$2:$A$38,C484,'Saldos Iniciales'!$B$2:$B$38,D484)+SUMIFS($K$1:$K$724,$C$1:$C$724,C484,$D$1:$D$724,D484,$B$1:$B$724,"&lt;="&amp;B484)</f>
        <v>3422.3100000000004</v>
      </c>
      <c r="N484" s="67" t="str">
        <f>IF(tblMovimientos[[#This Row],[Tipo de Movimiento]]="Ingreso",tblMovimientos[[#This Row],[Monto (S/)]],"0")</f>
        <v>0</v>
      </c>
      <c r="O484" s="67">
        <f>IF(tblMovimientos[[#This Row],[Tipo de Movimiento]]="Egreso",tblMovimientos[[#This Row],[Monto (S/)]],"0")</f>
        <v>52</v>
      </c>
      <c r="P484" s="28">
        <f>IF(tblMovimientos[[#This Row],[Tipo de Movimiento]]="Ingreso",tblMovimientos[[#This Row],[Ingreso]],-tblMovimientos[[#This Row],[Egreso]])</f>
        <v>-52</v>
      </c>
    </row>
    <row r="485" spans="2:16" x14ac:dyDescent="0.3">
      <c r="B485" s="39">
        <v>46211</v>
      </c>
      <c r="C485" s="46" t="str">
        <f>_xlfn.XLOOKUP(tblMovimientos[[#This Row],[Cuenta Bancaria]],Listas!$B:$B,Listas!$A:$A,"")</f>
        <v>SSP Capital</v>
      </c>
      <c r="D485" s="41" t="s">
        <v>101</v>
      </c>
      <c r="E485" s="68" t="str">
        <f>_xlfn.XLOOKUP(tblMovimientos[[#This Row],[Cuenta Bancaria]],Listas!$B:$B,Listas!$C:$C,"")</f>
        <v>Bank of America</v>
      </c>
      <c r="F485" s="41" t="s">
        <v>10</v>
      </c>
      <c r="G485" s="41" t="s">
        <v>41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7679.78</v>
      </c>
      <c r="K485" s="5">
        <f t="shared" si="0"/>
        <v>-7679.78</v>
      </c>
      <c r="L485" s="15" t="s">
        <v>129</v>
      </c>
      <c r="M485" s="44">
        <f>SUMIFS('Saldos Iniciales'!$D$2:$D$38,'Saldos Iniciales'!$A$2:$A$38,C485,'Saldos Iniciales'!$B$2:$B$38,D485)+SUMIFS($K$1:$K$724,$C$1:$C$724,C485,$D$1:$D$724,D485,$B$1:$B$724,"&lt;="&amp;B485)</f>
        <v>14839.189999999999</v>
      </c>
      <c r="N485" s="67" t="str">
        <f>IF(tblMovimientos[[#This Row],[Tipo de Movimiento]]="Ingreso",tblMovimientos[[#This Row],[Monto (S/)]],"0")</f>
        <v>0</v>
      </c>
      <c r="O485" s="67">
        <f>IF(tblMovimientos[[#This Row],[Tipo de Movimiento]]="Egreso",tblMovimientos[[#This Row],[Monto (S/)]],"0")</f>
        <v>7679.78</v>
      </c>
      <c r="P485" s="28">
        <f>IF(tblMovimientos[[#This Row],[Tipo de Movimiento]]="Ingreso",tblMovimientos[[#This Row],[Ingreso]],-tblMovimientos[[#This Row],[Egreso]])</f>
        <v>-7679.78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112 Florida Ave</v>
      </c>
      <c r="D486" s="41" t="s">
        <v>123</v>
      </c>
      <c r="E486" s="68" t="str">
        <f>_xlfn.XLOOKUP(tblMovimientos[[#This Row],[Cuenta Bancaria]],Listas!$B:$B,Listas!$C:$C,"")</f>
        <v>Bank of America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4000</v>
      </c>
      <c r="K486" s="5">
        <f t="shared" si="0"/>
        <v>-4000</v>
      </c>
      <c r="L486" s="15" t="s">
        <v>129</v>
      </c>
      <c r="M486" s="44">
        <f>SUMIFS('Saldos Iniciales'!$D$2:$D$38,'Saldos Iniciales'!$A$2:$A$38,C486,'Saldos Iniciales'!$B$2:$B$38,D486)+SUMIFS($K$1:$K$724,$C$1:$C$724,C486,$D$1:$D$724,D486,$B$1:$B$724,"&lt;="&amp;B486)</f>
        <v>6522.8000000000029</v>
      </c>
      <c r="N486" s="67" t="str">
        <f>IF(tblMovimientos[[#This Row],[Tipo de Movimiento]]="Ingreso",tblMovimientos[[#This Row],[Monto (S/)]],"0")</f>
        <v>0</v>
      </c>
      <c r="O486" s="67">
        <f>IF(tblMovimientos[[#This Row],[Tipo de Movimiento]]="Egreso",tblMovimientos[[#This Row],[Monto (S/)]],"0")</f>
        <v>4000</v>
      </c>
      <c r="P486" s="28">
        <f>IF(tblMovimientos[[#This Row],[Tipo de Movimiento]]="Ingreso",tblMovimientos[[#This Row],[Ingreso]],-tblMovimientos[[#This Row],[Egreso]])</f>
        <v>-4000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SSP Capital</v>
      </c>
      <c r="D487" s="41" t="s">
        <v>104</v>
      </c>
      <c r="E487" s="68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44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1650.84</v>
      </c>
      <c r="K487" s="5">
        <f t="shared" si="0"/>
        <v>-1650.84</v>
      </c>
      <c r="L487" s="15" t="s">
        <v>129</v>
      </c>
      <c r="M487" s="44">
        <f>SUMIFS('Saldos Iniciales'!$D$2:$D$38,'Saldos Iniciales'!$A$2:$A$38,C487,'Saldos Iniciales'!$B$2:$B$38,D487)+SUMIFS($K$1:$K$724,$C$1:$C$724,C487,$D$1:$D$724,D487,$B$1:$B$724,"&lt;="&amp;B487)</f>
        <v>920047.91999999946</v>
      </c>
      <c r="N487" s="67" t="str">
        <f>IF(tblMovimientos[[#This Row],[Tipo de Movimiento]]="Ingreso",tblMovimientos[[#This Row],[Monto (S/)]],"0")</f>
        <v>0</v>
      </c>
      <c r="O487" s="67">
        <f>IF(tblMovimientos[[#This Row],[Tipo de Movimiento]]="Egreso",tblMovimientos[[#This Row],[Monto (S/)]],"0")</f>
        <v>1650.84</v>
      </c>
      <c r="P487" s="28">
        <f>IF(tblMovimientos[[#This Row],[Tipo de Movimiento]]="Ingreso",tblMovimientos[[#This Row],[Ingreso]],-tblMovimientos[[#This Row],[Egreso]])</f>
        <v>-1650.84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Soweto</v>
      </c>
      <c r="D488" s="41" t="s">
        <v>116</v>
      </c>
      <c r="E488" s="68" t="str">
        <f>_xlfn.XLOOKUP(tblMovimientos[[#This Row],[Cuenta Bancaria]],Listas!$B:$B,Listas!$C:$C,"")</f>
        <v>Citibank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15</v>
      </c>
      <c r="K488" s="5">
        <f t="shared" si="0"/>
        <v>-15</v>
      </c>
      <c r="L488" s="15" t="s">
        <v>129</v>
      </c>
      <c r="M488" s="44">
        <f>SUMIFS('Saldos Iniciales'!$D$2:$D$38,'Saldos Iniciales'!$A$2:$A$38,C488,'Saldos Iniciales'!$B$2:$B$38,D488)+SUMIFS($K$1:$K$724,$C$1:$C$724,C488,$D$1:$D$724,D488,$B$1:$B$724,"&lt;="&amp;B488)</f>
        <v>3334.94</v>
      </c>
      <c r="N488" s="67" t="str">
        <f>IF(tblMovimientos[[#This Row],[Tipo de Movimiento]]="Ingreso",tblMovimientos[[#This Row],[Monto (S/)]],"0")</f>
        <v>0</v>
      </c>
      <c r="O488" s="67">
        <f>IF(tblMovimientos[[#This Row],[Tipo de Movimiento]]="Egreso",tblMovimientos[[#This Row],[Monto (S/)]],"0")</f>
        <v>15</v>
      </c>
      <c r="P488" s="28">
        <f>IF(tblMovimientos[[#This Row],[Tipo de Movimiento]]="Ingreso",tblMovimientos[[#This Row],[Ingreso]],-tblMovimientos[[#This Row],[Egreso]])</f>
        <v>-15</v>
      </c>
    </row>
    <row r="489" spans="2:16" x14ac:dyDescent="0.3">
      <c r="B489" s="39">
        <v>46212</v>
      </c>
      <c r="C489" s="46" t="str">
        <f>_xlfn.XLOOKUP(tblMovimientos[[#This Row],[Cuenta Bancaria]],Listas!$B:$B,Listas!$A:$A,"")</f>
        <v>SSP Capital</v>
      </c>
      <c r="D489" s="41" t="s">
        <v>101</v>
      </c>
      <c r="E489" s="68" t="str">
        <f>_xlfn.XLOOKUP(tblMovimientos[[#This Row],[Cuenta Bancaria]],Listas!$B:$B,Listas!$C:$C,"")</f>
        <v>Bank of America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1291.6500000000001</v>
      </c>
      <c r="K489" s="5">
        <f t="shared" si="0"/>
        <v>-1291.6500000000001</v>
      </c>
      <c r="L489" s="15" t="s">
        <v>129</v>
      </c>
      <c r="M489" s="44">
        <f>SUMIFS('Saldos Iniciales'!$D$2:$D$38,'Saldos Iniciales'!$A$2:$A$38,C489,'Saldos Iniciales'!$B$2:$B$38,D489)+SUMIFS($K$1:$K$724,$C$1:$C$724,C489,$D$1:$D$724,D489,$B$1:$B$724,"&lt;="&amp;B489)</f>
        <v>13547.539999999999</v>
      </c>
      <c r="N489" s="67" t="str">
        <f>IF(tblMovimientos[[#This Row],[Tipo de Movimiento]]="Ingreso",tblMovimientos[[#This Row],[Monto (S/)]],"0")</f>
        <v>0</v>
      </c>
      <c r="O489" s="67">
        <f>IF(tblMovimientos[[#This Row],[Tipo de Movimiento]]="Egreso",tblMovimientos[[#This Row],[Monto (S/)]],"0")</f>
        <v>1291.6500000000001</v>
      </c>
      <c r="P489" s="28">
        <f>IF(tblMovimientos[[#This Row],[Tipo de Movimiento]]="Ingreso",tblMovimientos[[#This Row],[Ingreso]],-tblMovimientos[[#This Row],[Egreso]])</f>
        <v>-1291.6500000000001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A&amp;M Imports</v>
      </c>
      <c r="D490" s="41" t="s">
        <v>100</v>
      </c>
      <c r="E490" s="68" t="str">
        <f>_xlfn.XLOOKUP(tblMovimientos[[#This Row],[Cuenta Bancaria]],Listas!$B:$B,Listas!$C:$C,"")</f>
        <v>Bank of America</v>
      </c>
      <c r="F490" s="41" t="s">
        <v>10</v>
      </c>
      <c r="G490" s="41" t="s">
        <v>61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60000</v>
      </c>
      <c r="K490" s="5">
        <f t="shared" si="0"/>
        <v>-60000</v>
      </c>
      <c r="L490" s="15" t="s">
        <v>129</v>
      </c>
      <c r="M490" s="44">
        <f>SUMIFS('Saldos Iniciales'!$D$2:$D$38,'Saldos Iniciales'!$A$2:$A$38,C490,'Saldos Iniciales'!$B$2:$B$38,D490)+SUMIFS($K$1:$K$724,$C$1:$C$724,C490,$D$1:$D$724,D490,$B$1:$B$724,"&lt;="&amp;B490)</f>
        <v>290475.62999999989</v>
      </c>
      <c r="N490" s="67" t="str">
        <f>IF(tblMovimientos[[#This Row],[Tipo de Movimiento]]="Ingreso",tblMovimientos[[#This Row],[Monto (S/)]],"0")</f>
        <v>0</v>
      </c>
      <c r="O490" s="67">
        <f>IF(tblMovimientos[[#This Row],[Tipo de Movimiento]]="Egreso",tblMovimientos[[#This Row],[Monto (S/)]],"0")</f>
        <v>60000</v>
      </c>
      <c r="P490" s="28">
        <f>IF(tblMovimientos[[#This Row],[Tipo de Movimiento]]="Ingreso",tblMovimientos[[#This Row],[Ingreso]],-tblMovimientos[[#This Row],[Egreso]])</f>
        <v>-60000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M1B</v>
      </c>
      <c r="D491" s="41" t="s">
        <v>97</v>
      </c>
      <c r="E491" s="68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5982</v>
      </c>
      <c r="K491" s="5">
        <f t="shared" si="0"/>
        <v>-5982</v>
      </c>
      <c r="L491" s="15" t="s">
        <v>129</v>
      </c>
      <c r="M491" s="44">
        <f>SUMIFS('Saldos Iniciales'!$D$2:$D$38,'Saldos Iniciales'!$A$2:$A$38,C491,'Saldos Iniciales'!$B$2:$B$38,D491)+SUMIFS($K$1:$K$724,$C$1:$C$724,C491,$D$1:$D$724,D491,$B$1:$B$724,"&lt;="&amp;B491)</f>
        <v>68157.680000000168</v>
      </c>
      <c r="N491" s="67" t="str">
        <f>IF(tblMovimientos[[#This Row],[Tipo de Movimiento]]="Ingreso",tblMovimientos[[#This Row],[Monto (S/)]],"0")</f>
        <v>0</v>
      </c>
      <c r="O491" s="67">
        <f>IF(tblMovimientos[[#This Row],[Tipo de Movimiento]]="Egreso",tblMovimientos[[#This Row],[Monto (S/)]],"0")</f>
        <v>5982</v>
      </c>
      <c r="P491" s="28">
        <f>IF(tblMovimientos[[#This Row],[Tipo de Movimiento]]="Ingreso",tblMovimientos[[#This Row],[Ingreso]],-tblMovimientos[[#This Row],[Egreso]])</f>
        <v>-5982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Go Blue</v>
      </c>
      <c r="D492" s="41" t="s">
        <v>174</v>
      </c>
      <c r="E492" s="68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47.47</v>
      </c>
      <c r="K492" s="5">
        <f t="shared" si="0"/>
        <v>-47.47</v>
      </c>
      <c r="L492" s="15" t="s">
        <v>129</v>
      </c>
      <c r="M492" s="44">
        <f>SUMIFS('Saldos Iniciales'!$D$2:$D$38,'Saldos Iniciales'!$A$2:$A$38,C492,'Saldos Iniciales'!$B$2:$B$38,D492)+SUMIFS($K$1:$K$724,$C$1:$C$724,C492,$D$1:$D$724,D492,$B$1:$B$724,"&lt;="&amp;B492)</f>
        <v>3338.84</v>
      </c>
      <c r="N492" s="67" t="str">
        <f>IF(tblMovimientos[[#This Row],[Tipo de Movimiento]]="Ingreso",tblMovimientos[[#This Row],[Monto (S/)]],"0")</f>
        <v>0</v>
      </c>
      <c r="O492" s="67">
        <f>IF(tblMovimientos[[#This Row],[Tipo de Movimiento]]="Egreso",tblMovimientos[[#This Row],[Monto (S/)]],"0")</f>
        <v>47.47</v>
      </c>
      <c r="P492" s="28">
        <f>IF(tblMovimientos[[#This Row],[Tipo de Movimiento]]="Ingreso",tblMovimientos[[#This Row],[Ingreso]],-tblMovimientos[[#This Row],[Egreso]])</f>
        <v>-47.47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8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36</v>
      </c>
      <c r="K493" s="5">
        <f t="shared" si="0"/>
        <v>-36</v>
      </c>
      <c r="L493" s="15" t="s">
        <v>129</v>
      </c>
      <c r="M493" s="44">
        <f>SUMIFS('Saldos Iniciales'!$D$2:$D$38,'Saldos Iniciales'!$A$2:$A$38,C493,'Saldos Iniciales'!$B$2:$B$38,D493)+SUMIFS($K$1:$K$724,$C$1:$C$724,C493,$D$1:$D$724,D493,$B$1:$B$724,"&lt;="&amp;B493)</f>
        <v>3338.84</v>
      </c>
      <c r="N493" s="67" t="str">
        <f>IF(tblMovimientos[[#This Row],[Tipo de Movimiento]]="Ingreso",tblMovimientos[[#This Row],[Monto (S/)]],"0")</f>
        <v>0</v>
      </c>
      <c r="O493" s="67">
        <f>IF(tblMovimientos[[#This Row],[Tipo de Movimiento]]="Egreso",tblMovimientos[[#This Row],[Monto (S/)]],"0")</f>
        <v>36</v>
      </c>
      <c r="P493" s="28">
        <f>IF(tblMovimientos[[#This Row],[Tipo de Movimiento]]="Ingreso",tblMovimientos[[#This Row],[Ingreso]],-tblMovimientos[[#This Row],[Egreso]])</f>
        <v>-36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CFT Group</v>
      </c>
      <c r="D494" s="41" t="s">
        <v>95</v>
      </c>
      <c r="E494" s="68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46</v>
      </c>
      <c r="H494" s="4" t="str">
        <f>IFERROR(_xlfn.XLOOKUP(G494,Listas!E:E,Listas!F:F,""),"")</f>
        <v>Financiamiento</v>
      </c>
      <c r="I494" s="46" t="str">
        <f>IFERROR(_xlfn.XLOOKUP(G494,Listas!E:E,Listas!G:G,""),"")</f>
        <v>Externo</v>
      </c>
      <c r="J494" s="43">
        <v>2975</v>
      </c>
      <c r="K494" s="5">
        <f t="shared" si="0"/>
        <v>-2975</v>
      </c>
      <c r="L494" s="15" t="s">
        <v>129</v>
      </c>
      <c r="M494" s="44">
        <f>SUMIFS('Saldos Iniciales'!$D$2:$D$38,'Saldos Iniciales'!$A$2:$A$38,C494,'Saldos Iniciales'!$B$2:$B$38,D494)+SUMIFS($K$1:$K$724,$C$1:$C$724,C494,$D$1:$D$724,D494,$B$1:$B$724,"&lt;="&amp;B494)</f>
        <v>4336744.6900000004</v>
      </c>
      <c r="N494" s="67" t="str">
        <f>IF(tblMovimientos[[#This Row],[Tipo de Movimiento]]="Ingreso",tblMovimientos[[#This Row],[Monto (S/)]],"0")</f>
        <v>0</v>
      </c>
      <c r="O494" s="67">
        <f>IF(tblMovimientos[[#This Row],[Tipo de Movimiento]]="Egreso",tblMovimientos[[#This Row],[Monto (S/)]],"0")</f>
        <v>2975</v>
      </c>
      <c r="P494" s="28">
        <f>IF(tblMovimientos[[#This Row],[Tipo de Movimiento]]="Ingreso",tblMovimientos[[#This Row],[Ingreso]],-tblMovimientos[[#This Row],[Egreso]])</f>
        <v>-2975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8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11666.67</v>
      </c>
      <c r="K495" s="5">
        <f t="shared" si="0"/>
        <v>-11666.67</v>
      </c>
      <c r="L495" s="15" t="s">
        <v>129</v>
      </c>
      <c r="M495" s="44">
        <f>SUMIFS('Saldos Iniciales'!$D$2:$D$38,'Saldos Iniciales'!$A$2:$A$38,C495,'Saldos Iniciales'!$B$2:$B$38,D495)+SUMIFS($K$1:$K$724,$C$1:$C$724,C495,$D$1:$D$724,D495,$B$1:$B$724,"&lt;="&amp;B495)</f>
        <v>4336744.6900000004</v>
      </c>
      <c r="N495" s="67" t="str">
        <f>IF(tblMovimientos[[#This Row],[Tipo de Movimiento]]="Ingreso",tblMovimientos[[#This Row],[Monto (S/)]],"0")</f>
        <v>0</v>
      </c>
      <c r="O495" s="67">
        <f>IF(tblMovimientos[[#This Row],[Tipo de Movimiento]]="Egreso",tblMovimientos[[#This Row],[Monto (S/)]],"0")</f>
        <v>11666.67</v>
      </c>
      <c r="P495" s="28">
        <f>IF(tblMovimientos[[#This Row],[Tipo de Movimiento]]="Ingreso",tblMovimientos[[#This Row],[Ingreso]],-tblMovimientos[[#This Row],[Egreso]])</f>
        <v>-11666.67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8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61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40000</v>
      </c>
      <c r="K496" s="5">
        <f t="shared" si="0"/>
        <v>-40000</v>
      </c>
      <c r="L496" s="15" t="s">
        <v>129</v>
      </c>
      <c r="M496" s="44">
        <f>SUMIFS('Saldos Iniciales'!$D$2:$D$38,'Saldos Iniciales'!$A$2:$A$38,C496,'Saldos Iniciales'!$B$2:$B$38,D496)+SUMIFS($K$1:$K$724,$C$1:$C$724,C496,$D$1:$D$724,D496,$B$1:$B$724,"&lt;="&amp;B496)</f>
        <v>4336744.6900000004</v>
      </c>
      <c r="N496" s="67" t="str">
        <f>IF(tblMovimientos[[#This Row],[Tipo de Movimiento]]="Ingreso",tblMovimientos[[#This Row],[Monto (S/)]],"0")</f>
        <v>0</v>
      </c>
      <c r="O496" s="67">
        <f>IF(tblMovimientos[[#This Row],[Tipo de Movimiento]]="Egreso",tblMovimientos[[#This Row],[Monto (S/)]],"0")</f>
        <v>40000</v>
      </c>
      <c r="P496" s="28">
        <f>IF(tblMovimientos[[#This Row],[Tipo de Movimiento]]="Ingreso",tblMovimientos[[#This Row],[Ingreso]],-tblMovimientos[[#This Row],[Egreso]])</f>
        <v>-40000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8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60000</v>
      </c>
      <c r="K497" s="5">
        <f t="shared" si="0"/>
        <v>-60000</v>
      </c>
      <c r="L497" s="15" t="s">
        <v>129</v>
      </c>
      <c r="M497" s="44">
        <f>SUMIFS('Saldos Iniciales'!$D$2:$D$38,'Saldos Iniciales'!$A$2:$A$38,C497,'Saldos Iniciales'!$B$2:$B$38,D497)+SUMIFS($K$1:$K$724,$C$1:$C$724,C497,$D$1:$D$724,D497,$B$1:$B$724,"&lt;="&amp;B497)</f>
        <v>4336744.6900000004</v>
      </c>
      <c r="N497" s="67" t="str">
        <f>IF(tblMovimientos[[#This Row],[Tipo de Movimiento]]="Ingreso",tblMovimientos[[#This Row],[Monto (S/)]],"0")</f>
        <v>0</v>
      </c>
      <c r="O497" s="67">
        <f>IF(tblMovimientos[[#This Row],[Tipo de Movimiento]]="Egreso",tblMovimientos[[#This Row],[Monto (S/)]],"0")</f>
        <v>60000</v>
      </c>
      <c r="P497" s="28">
        <f>IF(tblMovimientos[[#This Row],[Tipo de Movimiento]]="Ingreso",tblMovimientos[[#This Row],[Ingreso]],-tblMovimientos[[#This Row],[Egreso]])</f>
        <v>-60000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8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100000</v>
      </c>
      <c r="K498" s="5">
        <f t="shared" si="0"/>
        <v>-100000</v>
      </c>
      <c r="L498" s="15" t="s">
        <v>129</v>
      </c>
      <c r="M498" s="44">
        <f>SUMIFS('Saldos Iniciales'!$D$2:$D$38,'Saldos Iniciales'!$A$2:$A$38,C498,'Saldos Iniciales'!$B$2:$B$38,D498)+SUMIFS($K$1:$K$724,$C$1:$C$724,C498,$D$1:$D$724,D498,$B$1:$B$724,"&lt;="&amp;B498)</f>
        <v>4336744.6900000004</v>
      </c>
      <c r="N498" s="67" t="str">
        <f>IF(tblMovimientos[[#This Row],[Tipo de Movimiento]]="Ingreso",tblMovimientos[[#This Row],[Monto (S/)]],"0")</f>
        <v>0</v>
      </c>
      <c r="O498" s="67">
        <f>IF(tblMovimientos[[#This Row],[Tipo de Movimiento]]="Egreso",tblMovimientos[[#This Row],[Monto (S/)]],"0")</f>
        <v>100000</v>
      </c>
      <c r="P498" s="28">
        <f>IF(tblMovimientos[[#This Row],[Tipo de Movimiento]]="Ingreso",tblMovimientos[[#This Row],[Ingreso]],-tblMovimientos[[#This Row],[Egreso]])</f>
        <v>-100000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8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ref="K499:K538" si="1">IF(F499="Ingreso",J499,-J499)</f>
        <v>-100000</v>
      </c>
      <c r="L499" s="15" t="s">
        <v>129</v>
      </c>
      <c r="M499" s="44">
        <f>SUMIFS('Saldos Iniciales'!$D$2:$D$38,'Saldos Iniciales'!$A$2:$A$38,C499,'Saldos Iniciales'!$B$2:$B$38,D499)+SUMIFS($K$1:$K$724,$C$1:$C$724,C499,$D$1:$D$724,D499,$B$1:$B$724,"&lt;="&amp;B499)</f>
        <v>4336744.6900000004</v>
      </c>
      <c r="N499" s="67" t="str">
        <f>IF(tblMovimientos[[#This Row],[Tipo de Movimiento]]="Ingreso",tblMovimientos[[#This Row],[Monto (S/)]],"0")</f>
        <v>0</v>
      </c>
      <c r="O499" s="67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8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1"/>
        <v>-100000</v>
      </c>
      <c r="L500" s="15" t="s">
        <v>129</v>
      </c>
      <c r="M500" s="44">
        <f>SUMIFS('Saldos Iniciales'!$D$2:$D$38,'Saldos Iniciales'!$A$2:$A$38,C500,'Saldos Iniciales'!$B$2:$B$38,D500)+SUMIFS($K$1:$K$724,$C$1:$C$724,C500,$D$1:$D$724,D500,$B$1:$B$724,"&lt;="&amp;B500)</f>
        <v>4336744.6900000004</v>
      </c>
      <c r="N500" s="67" t="str">
        <f>IF(tblMovimientos[[#This Row],[Tipo de Movimiento]]="Ingreso",tblMovimientos[[#This Row],[Monto (S/)]],"0")</f>
        <v>0</v>
      </c>
      <c r="O500" s="67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9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48</v>
      </c>
      <c r="H501" s="46" t="str">
        <f>IFERROR(_xlfn.XLOOKUP(G501,Listas!E:E,Listas!F:F,""),"")</f>
        <v>Financiamiento</v>
      </c>
      <c r="I501" s="46" t="str">
        <f>IFERROR(_xlfn.XLOOKUP(G501,Listas!E:E,Listas!G:G,""),"")</f>
        <v>Externo</v>
      </c>
      <c r="J501" s="43">
        <v>200000</v>
      </c>
      <c r="K501" s="5">
        <f t="shared" si="1"/>
        <v>-200000</v>
      </c>
      <c r="L501" s="15" t="s">
        <v>129</v>
      </c>
      <c r="M501" s="44">
        <f>SUMIFS('Saldos Iniciales'!$D$2:$D$38,'Saldos Iniciales'!$A$2:$A$38,C501,'Saldos Iniciales'!$B$2:$B$38,D501)+SUMIFS($K$1:$K$724,$C$1:$C$724,C501,$D$1:$D$724,D501,$B$1:$B$724,"&lt;="&amp;B501)</f>
        <v>4336744.6900000004</v>
      </c>
      <c r="N501" s="67" t="str">
        <f>IF(tblMovimientos[[#This Row],[Tipo de Movimiento]]="Ingreso",tblMovimientos[[#This Row],[Monto (S/)]],"0")</f>
        <v>0</v>
      </c>
      <c r="O501" s="67">
        <f>IF(tblMovimientos[[#This Row],[Tipo de Movimiento]]="Egreso",tblMovimientos[[#This Row],[Monto (S/)]],"0")</f>
        <v>200000</v>
      </c>
      <c r="P501" s="28">
        <f>IF(tblMovimientos[[#This Row],[Tipo de Movimiento]]="Ingreso",tblMovimientos[[#This Row],[Ingreso]],-tblMovimientos[[#This Row],[Egreso]])</f>
        <v>-200000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8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62</v>
      </c>
      <c r="H502" s="4" t="str">
        <f>IFERROR(_xlfn.XLOOKUP(G502,Listas!E:E,Listas!F:F,""),"")</f>
        <v>Operativo</v>
      </c>
      <c r="I502" s="46" t="str">
        <f>IFERROR(_xlfn.XLOOKUP(G502,Listas!E:E,Listas!G:G,""),"")</f>
        <v>Interno</v>
      </c>
      <c r="J502" s="43">
        <v>600000</v>
      </c>
      <c r="K502" s="5">
        <f t="shared" si="1"/>
        <v>-600000</v>
      </c>
      <c r="L502" s="15" t="s">
        <v>129</v>
      </c>
      <c r="M502" s="44">
        <f>SUMIFS('Saldos Iniciales'!$D$2:$D$38,'Saldos Iniciales'!$A$2:$A$38,C502,'Saldos Iniciales'!$B$2:$B$38,D502)+SUMIFS($K$1:$K$724,$C$1:$C$724,C502,$D$1:$D$724,D502,$B$1:$B$724,"&lt;="&amp;B502)</f>
        <v>4336744.6900000004</v>
      </c>
      <c r="N502" s="67" t="str">
        <f>IF(tblMovimientos[[#This Row],[Tipo de Movimiento]]="Ingreso",tblMovimientos[[#This Row],[Monto (S/)]],"0")</f>
        <v>0</v>
      </c>
      <c r="O502" s="67">
        <f>IF(tblMovimientos[[#This Row],[Tipo de Movimiento]]="Egreso",tblMovimientos[[#This Row],[Monto (S/)]],"0")</f>
        <v>600000</v>
      </c>
      <c r="P502" s="28">
        <f>IF(tblMovimientos[[#This Row],[Tipo de Movimiento]]="Ingreso",tblMovimientos[[#This Row],[Ingreso]],-tblMovimientos[[#This Row],[Egreso]])</f>
        <v>-600000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Cross Family Trust</v>
      </c>
      <c r="D503" s="41" t="s">
        <v>111</v>
      </c>
      <c r="E503" s="68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53</v>
      </c>
      <c r="H503" s="4" t="str">
        <f>IFERROR(_xlfn.XLOOKUP(G503,Listas!E:E,Listas!F:F,""),"")</f>
        <v>Inversion</v>
      </c>
      <c r="I503" s="46" t="str">
        <f>IFERROR(_xlfn.XLOOKUP(G503,Listas!E:E,Listas!G:G,""),"")</f>
        <v>Interno</v>
      </c>
      <c r="J503" s="43">
        <v>20000</v>
      </c>
      <c r="K503" s="5">
        <f t="shared" si="1"/>
        <v>-20000</v>
      </c>
      <c r="L503" s="15" t="s">
        <v>129</v>
      </c>
      <c r="M503" s="44">
        <f>SUMIFS('Saldos Iniciales'!$D$2:$D$38,'Saldos Iniciales'!$A$2:$A$38,C503,'Saldos Iniciales'!$B$2:$B$38,D503)+SUMIFS($K$1:$K$724,$C$1:$C$724,C503,$D$1:$D$724,D503,$B$1:$B$724,"&lt;="&amp;B503)</f>
        <v>91717.6</v>
      </c>
      <c r="N503" s="67" t="str">
        <f>IF(tblMovimientos[[#This Row],[Tipo de Movimiento]]="Ingreso",tblMovimientos[[#This Row],[Monto (S/)]],"0")</f>
        <v>0</v>
      </c>
      <c r="O503" s="67">
        <f>IF(tblMovimientos[[#This Row],[Tipo de Movimiento]]="Egreso",tblMovimientos[[#This Row],[Monto (S/)]],"0")</f>
        <v>20000</v>
      </c>
      <c r="P503" s="28">
        <f>IF(tblMovimientos[[#This Row],[Tipo de Movimiento]]="Ingreso",tblMovimientos[[#This Row],[Ingreso]],-tblMovimientos[[#This Row],[Egreso]])</f>
        <v>-20000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SSP Capital</v>
      </c>
      <c r="D504" s="41" t="s">
        <v>104</v>
      </c>
      <c r="E504" s="68" t="str">
        <f>_xlfn.XLOOKUP(tblMovimientos[[#This Row],[Cuenta Bancaria]],Listas!$B:$B,Listas!$C:$C,"")</f>
        <v xml:space="preserve">Amerant Bank </v>
      </c>
      <c r="F504" s="41" t="s">
        <v>9</v>
      </c>
      <c r="G504" s="41" t="s">
        <v>75</v>
      </c>
      <c r="H504" s="4" t="str">
        <f>IFERROR(_xlfn.XLOOKUP(G504,Listas!E:E,Listas!F:F,""),"")</f>
        <v>Financiamiento</v>
      </c>
      <c r="I504" s="46" t="str">
        <f>IFERROR(_xlfn.XLOOKUP(G504,Listas!E:E,Listas!G:G,""),"")</f>
        <v>Interno</v>
      </c>
      <c r="J504" s="43">
        <v>600000</v>
      </c>
      <c r="K504" s="5">
        <f t="shared" si="1"/>
        <v>600000</v>
      </c>
      <c r="L504" s="15" t="s">
        <v>129</v>
      </c>
      <c r="M504" s="44">
        <f>SUMIFS('Saldos Iniciales'!$D$2:$D$38,'Saldos Iniciales'!$A$2:$A$38,C504,'Saldos Iniciales'!$B$2:$B$38,D504)+SUMIFS($K$1:$K$724,$C$1:$C$724,C504,$D$1:$D$724,D504,$B$1:$B$724,"&lt;="&amp;B504)</f>
        <v>1289236.6699999995</v>
      </c>
      <c r="N504" s="67">
        <f>IF(tblMovimientos[[#This Row],[Tipo de Movimiento]]="Ingreso",tblMovimientos[[#This Row],[Monto (S/)]],"0")</f>
        <v>600000</v>
      </c>
      <c r="O504" s="67" t="str">
        <f>IF(tblMovimientos[[#This Row],[Tipo de Movimiento]]="Egreso",tblMovimientos[[#This Row],[Monto (S/)]],"0")</f>
        <v>0</v>
      </c>
      <c r="P504" s="28">
        <f>IF(tblMovimientos[[#This Row],[Tipo de Movimiento]]="Ingreso",tblMovimientos[[#This Row],[Ingreso]],-tblMovimientos[[#This Row],[Egreso]])</f>
        <v>600000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8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295</v>
      </c>
      <c r="K505" s="5">
        <f t="shared" si="1"/>
        <v>-295</v>
      </c>
      <c r="L505" s="15" t="s">
        <v>129</v>
      </c>
      <c r="M505" s="44">
        <f>SUMIFS('Saldos Iniciales'!$D$2:$D$38,'Saldos Iniciales'!$A$2:$A$38,C505,'Saldos Iniciales'!$B$2:$B$38,D505)+SUMIFS($K$1:$K$724,$C$1:$C$724,C505,$D$1:$D$724,D505,$B$1:$B$724,"&lt;="&amp;B505)</f>
        <v>1289236.6699999995</v>
      </c>
      <c r="N505" s="67" t="str">
        <f>IF(tblMovimientos[[#This Row],[Tipo de Movimiento]]="Ingreso",tblMovimientos[[#This Row],[Monto (S/)]],"0")</f>
        <v>0</v>
      </c>
      <c r="O505" s="67">
        <f>IF(tblMovimientos[[#This Row],[Tipo de Movimiento]]="Egreso",tblMovimientos[[#This Row],[Monto (S/)]],"0")</f>
        <v>295</v>
      </c>
      <c r="P505" s="28">
        <f>IF(tblMovimientos[[#This Row],[Tipo de Movimiento]]="Ingreso",tblMovimientos[[#This Row],[Ingreso]],-tblMovimientos[[#This Row],[Egreso]])</f>
        <v>-295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8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24255</v>
      </c>
      <c r="K506" s="5">
        <f t="shared" si="1"/>
        <v>-24255</v>
      </c>
      <c r="L506" s="15" t="s">
        <v>129</v>
      </c>
      <c r="M506" s="44">
        <f>SUMIFS('Saldos Iniciales'!$D$2:$D$38,'Saldos Iniciales'!$A$2:$A$38,C506,'Saldos Iniciales'!$B$2:$B$38,D506)+SUMIFS($K$1:$K$724,$C$1:$C$724,C506,$D$1:$D$724,D506,$B$1:$B$724,"&lt;="&amp;B506)</f>
        <v>1289236.6699999995</v>
      </c>
      <c r="N506" s="67" t="str">
        <f>IF(tblMovimientos[[#This Row],[Tipo de Movimiento]]="Ingreso",tblMovimientos[[#This Row],[Monto (S/)]],"0")</f>
        <v>0</v>
      </c>
      <c r="O506" s="67">
        <f>IF(tblMovimientos[[#This Row],[Tipo de Movimiento]]="Egreso",tblMovimientos[[#This Row],[Monto (S/)]],"0")</f>
        <v>24255</v>
      </c>
      <c r="P506" s="28">
        <f>IF(tblMovimientos[[#This Row],[Tipo de Movimiento]]="Ingreso",tblMovimientos[[#This Row],[Ingreso]],-tblMovimientos[[#This Row],[Egreso]])</f>
        <v>-24255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8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66261.25</v>
      </c>
      <c r="K507" s="5">
        <f t="shared" si="1"/>
        <v>-66261.25</v>
      </c>
      <c r="L507" s="15" t="s">
        <v>129</v>
      </c>
      <c r="M507" s="44">
        <f>SUMIFS('Saldos Iniciales'!$D$2:$D$38,'Saldos Iniciales'!$A$2:$A$38,C507,'Saldos Iniciales'!$B$2:$B$38,D507)+SUMIFS($K$1:$K$724,$C$1:$C$724,C507,$D$1:$D$724,D507,$B$1:$B$724,"&lt;="&amp;B507)</f>
        <v>1289236.6699999995</v>
      </c>
      <c r="N507" s="67" t="str">
        <f>IF(tblMovimientos[[#This Row],[Tipo de Movimiento]]="Ingreso",tblMovimientos[[#This Row],[Monto (S/)]],"0")</f>
        <v>0</v>
      </c>
      <c r="O507" s="67">
        <f>IF(tblMovimientos[[#This Row],[Tipo de Movimiento]]="Egreso",tblMovimientos[[#This Row],[Monto (S/)]],"0")</f>
        <v>66261.25</v>
      </c>
      <c r="P507" s="28">
        <f>IF(tblMovimientos[[#This Row],[Tipo de Movimiento]]="Ingreso",tblMovimientos[[#This Row],[Ingreso]],-tblMovimientos[[#This Row],[Egreso]])</f>
        <v>-66261.25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8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60</v>
      </c>
      <c r="H508" s="4" t="str">
        <f>IFERROR(_xlfn.XLOOKUP(G508,Listas!E:E,Listas!F:F,""),"")</f>
        <v>Inversion</v>
      </c>
      <c r="I508" s="46" t="str">
        <f>IFERROR(_xlfn.XLOOKUP(G508,Listas!E:E,Listas!G:G,""),"")</f>
        <v>Interno</v>
      </c>
      <c r="J508" s="43">
        <v>140000</v>
      </c>
      <c r="K508" s="5">
        <f t="shared" si="1"/>
        <v>-140000</v>
      </c>
      <c r="L508" s="15" t="s">
        <v>129</v>
      </c>
      <c r="M508" s="44">
        <f>SUMIFS('Saldos Iniciales'!$D$2:$D$38,'Saldos Iniciales'!$A$2:$A$38,C508,'Saldos Iniciales'!$B$2:$B$38,D508)+SUMIFS($K$1:$K$724,$C$1:$C$724,C508,$D$1:$D$724,D508,$B$1:$B$724,"&lt;="&amp;B508)</f>
        <v>1289236.6699999995</v>
      </c>
      <c r="N508" s="67" t="str">
        <f>IF(tblMovimientos[[#This Row],[Tipo de Movimiento]]="Ingreso",tblMovimientos[[#This Row],[Monto (S/)]],"0")</f>
        <v>0</v>
      </c>
      <c r="O508" s="67">
        <f>IF(tblMovimientos[[#This Row],[Tipo de Movimiento]]="Egreso",tblMovimientos[[#This Row],[Monto (S/)]],"0")</f>
        <v>140000</v>
      </c>
      <c r="P508" s="28">
        <f>IF(tblMovimientos[[#This Row],[Tipo de Movimiento]]="Ingreso",tblMovimientos[[#This Row],[Ingreso]],-tblMovimientos[[#This Row],[Egreso]])</f>
        <v>-140000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Green Harbor Trust</v>
      </c>
      <c r="D509" s="41" t="s">
        <v>125</v>
      </c>
      <c r="E509" s="68" t="str">
        <f>_xlfn.XLOOKUP(tblMovimientos[[#This Row],[Cuenta Bancaria]],Listas!$B:$B,Listas!$C:$C,"")</f>
        <v xml:space="preserve">Amerant Bank </v>
      </c>
      <c r="F509" s="41" t="s">
        <v>9</v>
      </c>
      <c r="G509" s="41" t="s">
        <v>77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20000</v>
      </c>
      <c r="K509" s="5">
        <f t="shared" si="1"/>
        <v>20000</v>
      </c>
      <c r="L509" s="15" t="s">
        <v>129</v>
      </c>
      <c r="M509" s="44">
        <f>SUMIFS('Saldos Iniciales'!$D$2:$D$38,'Saldos Iniciales'!$A$2:$A$38,C509,'Saldos Iniciales'!$B$2:$B$38,D509)+SUMIFS($K$1:$K$724,$C$1:$C$724,C509,$D$1:$D$724,D509,$B$1:$B$724,"&lt;="&amp;B509)</f>
        <v>345</v>
      </c>
      <c r="N509" s="67">
        <f>IF(tblMovimientos[[#This Row],[Tipo de Movimiento]]="Ingreso",tblMovimientos[[#This Row],[Monto (S/)]],"0")</f>
        <v>20000</v>
      </c>
      <c r="O509" s="67" t="str">
        <f>IF(tblMovimientos[[#This Row],[Tipo de Movimiento]]="Egreso",tblMovimientos[[#This Row],[Monto (S/)]],"0")</f>
        <v>0</v>
      </c>
      <c r="P509" s="28">
        <f>IF(tblMovimientos[[#This Row],[Tipo de Movimiento]]="Ingreso",tblMovimientos[[#This Row],[Ingreso]],-tblMovimientos[[#This Row],[Egreso]])</f>
        <v>20000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8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59</v>
      </c>
      <c r="H510" s="4" t="str">
        <f>IFERROR(_xlfn.XLOOKUP(G510,Listas!E:E,Listas!F:F,""),"")</f>
        <v>Inversion</v>
      </c>
      <c r="I510" s="46" t="str">
        <f>IFERROR(_xlfn.XLOOKUP(G510,Listas!E:E,Listas!G:G,""),"")</f>
        <v>Externo</v>
      </c>
      <c r="J510" s="43">
        <v>20000</v>
      </c>
      <c r="K510" s="5">
        <f t="shared" si="1"/>
        <v>-20000</v>
      </c>
      <c r="L510" s="15" t="s">
        <v>129</v>
      </c>
      <c r="M510" s="44">
        <f>SUMIFS('Saldos Iniciales'!$D$2:$D$38,'Saldos Iniciales'!$A$2:$A$38,C510,'Saldos Iniciales'!$B$2:$B$38,D510)+SUMIFS($K$1:$K$724,$C$1:$C$724,C510,$D$1:$D$724,D510,$B$1:$B$724,"&lt;="&amp;B510)</f>
        <v>345</v>
      </c>
      <c r="N510" s="67" t="str">
        <f>IF(tblMovimientos[[#This Row],[Tipo de Movimiento]]="Ingreso",tblMovimientos[[#This Row],[Monto (S/)]],"0")</f>
        <v>0</v>
      </c>
      <c r="O510" s="67">
        <f>IF(tblMovimientos[[#This Row],[Tipo de Movimiento]]="Egreso",tblMovimientos[[#This Row],[Monto (S/)]],"0")</f>
        <v>20000</v>
      </c>
      <c r="P510" s="28">
        <f>IF(tblMovimientos[[#This Row],[Tipo de Movimiento]]="Ingreso",tblMovimientos[[#This Row],[Ingreso]],-tblMovimientos[[#This Row],[Egreso]])</f>
        <v>-20000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126</v>
      </c>
      <c r="E511" s="68" t="str">
        <f>_xlfn.XLOOKUP(tblMovimientos[[#This Row],[Cuenta Bancaria]],Listas!$B:$B,Listas!$C:$C,"")</f>
        <v xml:space="preserve">Amerant Bank </v>
      </c>
      <c r="F511" s="41" t="s">
        <v>9</v>
      </c>
      <c r="G511" s="41" t="s">
        <v>77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1"/>
        <v>20000</v>
      </c>
      <c r="L511" s="15" t="s">
        <v>129</v>
      </c>
      <c r="M511" s="44">
        <f>SUMIFS('Saldos Iniciales'!$D$2:$D$38,'Saldos Iniciales'!$A$2:$A$38,C511,'Saldos Iniciales'!$B$2:$B$38,D511)+SUMIFS($K$1:$K$724,$C$1:$C$724,C511,$D$1:$D$724,D511,$B$1:$B$724,"&lt;="&amp;B511)</f>
        <v>28561.279999999999</v>
      </c>
      <c r="N511" s="67">
        <f>IF(tblMovimientos[[#This Row],[Tipo de Movimiento]]="Ingreso",tblMovimientos[[#This Row],[Monto (S/)]],"0")</f>
        <v>20000</v>
      </c>
      <c r="O511" s="67" t="str">
        <f>IF(tblMovimientos[[#This Row],[Tipo de Movimiento]]="Egreso",tblMovimientos[[#This Row],[Monto (S/)]],"0")</f>
        <v>0</v>
      </c>
      <c r="P511" s="28">
        <f>IF(tblMovimientos[[#This Row],[Tipo de Movimiento]]="Ingreso",tblMovimientos[[#This Row],[Ingreso]],-tblMovimientos[[#This Row],[Egreso]])</f>
        <v>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8" t="str">
        <f>_xlfn.XLOOKUP(tblMovimientos[[#This Row],[Cuenta Bancaria]],Listas!$B:$B,Listas!$C:$C,"")</f>
        <v xml:space="preserve">Amerant Bank 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2500</v>
      </c>
      <c r="K512" s="5">
        <f t="shared" si="1"/>
        <v>-2500</v>
      </c>
      <c r="L512" s="15" t="s">
        <v>129</v>
      </c>
      <c r="M512" s="44">
        <f>SUMIFS('Saldos Iniciales'!$D$2:$D$38,'Saldos Iniciales'!$A$2:$A$38,C512,'Saldos Iniciales'!$B$2:$B$38,D512)+SUMIFS($K$1:$K$724,$C$1:$C$724,C512,$D$1:$D$724,D512,$B$1:$B$724,"&lt;="&amp;B512)</f>
        <v>28561.279999999999</v>
      </c>
      <c r="N512" s="67" t="str">
        <f>IF(tblMovimientos[[#This Row],[Tipo de Movimiento]]="Ingreso",tblMovimientos[[#This Row],[Monto (S/)]],"0")</f>
        <v>0</v>
      </c>
      <c r="O512" s="67">
        <f>IF(tblMovimientos[[#This Row],[Tipo de Movimiento]]="Egreso",tblMovimientos[[#This Row],[Monto (S/)]],"0")</f>
        <v>2500</v>
      </c>
      <c r="P512" s="28">
        <f>IF(tblMovimientos[[#This Row],[Tipo de Movimiento]]="Ingreso",tblMovimientos[[#This Row],[Ingreso]],-tblMovimientos[[#This Row],[Egreso]])</f>
        <v>-2500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8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44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15</v>
      </c>
      <c r="K513" s="5">
        <f t="shared" si="1"/>
        <v>-15</v>
      </c>
      <c r="L513" s="15" t="s">
        <v>129</v>
      </c>
      <c r="M513" s="44">
        <f>SUMIFS('Saldos Iniciales'!$D$2:$D$38,'Saldos Iniciales'!$A$2:$A$38,C513,'Saldos Iniciales'!$B$2:$B$38,D513)+SUMIFS($K$1:$K$724,$C$1:$C$724,C513,$D$1:$D$724,D513,$B$1:$B$724,"&lt;="&amp;B513)</f>
        <v>28561.279999999999</v>
      </c>
      <c r="N513" s="67" t="str">
        <f>IF(tblMovimientos[[#This Row],[Tipo de Movimiento]]="Ingreso",tblMovimientos[[#This Row],[Monto (S/)]],"0")</f>
        <v>0</v>
      </c>
      <c r="O513" s="67">
        <f>IF(tblMovimientos[[#This Row],[Tipo de Movimiento]]="Egreso",tblMovimientos[[#This Row],[Monto (S/)]],"0")</f>
        <v>15</v>
      </c>
      <c r="P513" s="28">
        <f>IF(tblMovimientos[[#This Row],[Tipo de Movimiento]]="Ingreso",tblMovimientos[[#This Row],[Ingreso]],-tblMovimientos[[#This Row],[Egreso]])</f>
        <v>-15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Electrama</v>
      </c>
      <c r="D514" s="41" t="s">
        <v>113</v>
      </c>
      <c r="E514" s="68" t="str">
        <f>_xlfn.XLOOKUP(tblMovimientos[[#This Row],[Cuenta Bancaria]],Listas!$B:$B,Listas!$C:$C,"")</f>
        <v>Chase Bank</v>
      </c>
      <c r="F514" s="41" t="s">
        <v>9</v>
      </c>
      <c r="G514" s="41" t="s">
        <v>66</v>
      </c>
      <c r="H514" s="4" t="str">
        <f>IFERROR(_xlfn.XLOOKUP(G514,Listas!E:E,Listas!F:F,""),"")</f>
        <v>Inversion</v>
      </c>
      <c r="I514" s="46" t="str">
        <f>IFERROR(_xlfn.XLOOKUP(G514,Listas!E:E,Listas!G:G,""),"")</f>
        <v>Externo</v>
      </c>
      <c r="J514" s="43">
        <v>14659.29</v>
      </c>
      <c r="K514" s="5">
        <f t="shared" si="1"/>
        <v>14659.29</v>
      </c>
      <c r="L514" s="15" t="s">
        <v>129</v>
      </c>
      <c r="M514" s="44">
        <f>SUMIFS('Saldos Iniciales'!$D$2:$D$38,'Saldos Iniciales'!$A$2:$A$38,C514,'Saldos Iniciales'!$B$2:$B$38,D514)+SUMIFS($K$1:$K$724,$C$1:$C$724,C514,$D$1:$D$724,D514,$B$1:$B$724,"&lt;="&amp;B514)</f>
        <v>15130.45</v>
      </c>
      <c r="N514" s="67">
        <f>IF(tblMovimientos[[#This Row],[Tipo de Movimiento]]="Ingreso",tblMovimientos[[#This Row],[Monto (S/)]],"0")</f>
        <v>14659.29</v>
      </c>
      <c r="O514" s="67" t="str">
        <f>IF(tblMovimientos[[#This Row],[Tipo de Movimiento]]="Egreso",tblMovimientos[[#This Row],[Monto (S/)]],"0")</f>
        <v>0</v>
      </c>
      <c r="P514" s="28">
        <f>IF(tblMovimientos[[#This Row],[Tipo de Movimiento]]="Ingreso",tblMovimientos[[#This Row],[Ingreso]],-tblMovimientos[[#This Row],[Egreso]])</f>
        <v>14659.29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Soweto</v>
      </c>
      <c r="D515" s="41" t="s">
        <v>116</v>
      </c>
      <c r="E515" s="68" t="str">
        <f>_xlfn.XLOOKUP(tblMovimientos[[#This Row],[Cuenta Bancaria]],Listas!$B:$B,Listas!$C:$C,"")</f>
        <v>Citibank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1451269.78</v>
      </c>
      <c r="K515" s="5">
        <f t="shared" si="1"/>
        <v>1451269.78</v>
      </c>
      <c r="L515" s="15" t="s">
        <v>129</v>
      </c>
      <c r="M515" s="44">
        <f>SUMIFS('Saldos Iniciales'!$D$2:$D$38,'Saldos Iniciales'!$A$2:$A$38,C515,'Saldos Iniciales'!$B$2:$B$38,D515)+SUMIFS($K$1:$K$724,$C$1:$C$724,C515,$D$1:$D$724,D515,$B$1:$B$724,"&lt;="&amp;B515)</f>
        <v>1454604.72</v>
      </c>
      <c r="N515" s="67">
        <f>IF(tblMovimientos[[#This Row],[Tipo de Movimiento]]="Ingreso",tblMovimientos[[#This Row],[Monto (S/)]],"0")</f>
        <v>1451269.78</v>
      </c>
      <c r="O515" s="67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1451269.78</v>
      </c>
    </row>
    <row r="516" spans="2:16" x14ac:dyDescent="0.3">
      <c r="B516" s="39">
        <v>46213</v>
      </c>
      <c r="C516" s="46" t="str">
        <f>_xlfn.XLOOKUP(tblMovimientos[[#This Row],[Cuenta Bancaria]],Listas!$B:$B,Listas!$A:$A,"")</f>
        <v>SSP Capital</v>
      </c>
      <c r="D516" s="41" t="s">
        <v>101</v>
      </c>
      <c r="E516" s="68" t="str">
        <f>_xlfn.XLOOKUP(tblMovimientos[[#This Row],[Cuenta Bancaria]],Listas!$B:$B,Listas!$C:$C,"")</f>
        <v>Bank of America</v>
      </c>
      <c r="F516" s="41" t="s">
        <v>10</v>
      </c>
      <c r="G516" s="41" t="s">
        <v>38</v>
      </c>
      <c r="H516" s="4" t="str">
        <f>IFERROR(_xlfn.XLOOKUP(G516,Listas!E:E,Listas!F:F,""),"")</f>
        <v>Operativo</v>
      </c>
      <c r="I516" s="46" t="str">
        <f>IFERROR(_xlfn.XLOOKUP(G516,Listas!E:E,Listas!G:G,""),"")</f>
        <v>Externo</v>
      </c>
      <c r="J516" s="43">
        <v>424</v>
      </c>
      <c r="K516" s="5">
        <f t="shared" si="1"/>
        <v>-424</v>
      </c>
      <c r="L516" s="15" t="s">
        <v>129</v>
      </c>
      <c r="M516" s="44">
        <f>SUMIFS('Saldos Iniciales'!$D$2:$D$38,'Saldos Iniciales'!$A$2:$A$38,C516,'Saldos Iniciales'!$B$2:$B$38,D516)+SUMIFS($K$1:$K$724,$C$1:$C$724,C516,$D$1:$D$724,D516,$B$1:$B$724,"&lt;="&amp;B516)</f>
        <v>13123.539999999999</v>
      </c>
      <c r="N516" s="67" t="str">
        <f>IF(tblMovimientos[[#This Row],[Tipo de Movimiento]]="Ingreso",tblMovimientos[[#This Row],[Monto (S/)]],"0")</f>
        <v>0</v>
      </c>
      <c r="O516" s="67">
        <f>IF(tblMovimientos[[#This Row],[Tipo de Movimiento]]="Egreso",tblMovimientos[[#This Row],[Monto (S/)]],"0")</f>
        <v>424</v>
      </c>
      <c r="P516" s="28">
        <f>IF(tblMovimientos[[#This Row],[Tipo de Movimiento]]="Ingreso",tblMovimientos[[#This Row],[Ingreso]],-tblMovimientos[[#This Row],[Egreso]])</f>
        <v>-424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A&amp;M Imports</v>
      </c>
      <c r="D517" s="41" t="s">
        <v>100</v>
      </c>
      <c r="E517" s="68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334</v>
      </c>
      <c r="K517" s="5">
        <f t="shared" si="1"/>
        <v>-334</v>
      </c>
      <c r="L517" s="15" t="s">
        <v>129</v>
      </c>
      <c r="M517" s="44">
        <f>SUMIFS('Saldos Iniciales'!$D$2:$D$38,'Saldos Iniciales'!$A$2:$A$38,C517,'Saldos Iniciales'!$B$2:$B$38,D517)+SUMIFS($K$1:$K$724,$C$1:$C$724,C517,$D$1:$D$724,D517,$B$1:$B$724,"&lt;="&amp;B517)</f>
        <v>290141.62999999989</v>
      </c>
      <c r="N517" s="67" t="str">
        <f>IF(tblMovimientos[[#This Row],[Tipo de Movimiento]]="Ingreso",tblMovimientos[[#This Row],[Monto (S/)]],"0")</f>
        <v>0</v>
      </c>
      <c r="O517" s="67">
        <f>IF(tblMovimientos[[#This Row],[Tipo de Movimiento]]="Egreso",tblMovimientos[[#This Row],[Monto (S/)]],"0")</f>
        <v>334</v>
      </c>
      <c r="P517" s="28">
        <f>IF(tblMovimientos[[#This Row],[Tipo de Movimiento]]="Ingreso",tblMovimientos[[#This Row],[Ingreso]],-tblMovimientos[[#This Row],[Egreso]])</f>
        <v>-334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CFT Group</v>
      </c>
      <c r="D518" s="41" t="s">
        <v>94</v>
      </c>
      <c r="E518" s="68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355</v>
      </c>
      <c r="K518" s="5">
        <f t="shared" si="1"/>
        <v>-355</v>
      </c>
      <c r="L518" s="15" t="s">
        <v>129</v>
      </c>
      <c r="M518" s="44">
        <f>SUMIFS('Saldos Iniciales'!$D$2:$D$38,'Saldos Iniciales'!$A$2:$A$38,C518,'Saldos Iniciales'!$B$2:$B$38,D518)+SUMIFS($K$1:$K$724,$C$1:$C$724,C518,$D$1:$D$724,D518,$B$1:$B$724,"&lt;="&amp;B518)</f>
        <v>35588.359999999986</v>
      </c>
      <c r="N518" s="67" t="str">
        <f>IF(tblMovimientos[[#This Row],[Tipo de Movimiento]]="Ingreso",tblMovimientos[[#This Row],[Monto (S/)]],"0")</f>
        <v>0</v>
      </c>
      <c r="O518" s="67">
        <f>IF(tblMovimientos[[#This Row],[Tipo de Movimiento]]="Egreso",tblMovimientos[[#This Row],[Monto (S/)]],"0")</f>
        <v>355</v>
      </c>
      <c r="P518" s="28">
        <f>IF(tblMovimientos[[#This Row],[Tipo de Movimiento]]="Ingreso",tblMovimientos[[#This Row],[Ingreso]],-tblMovimientos[[#This Row],[Egreso]])</f>
        <v>-355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Go Blue</v>
      </c>
      <c r="D519" s="41" t="s">
        <v>174</v>
      </c>
      <c r="E519" s="68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85</v>
      </c>
      <c r="H519" s="4" t="str">
        <f>IFERROR(_xlfn.XLOOKUP(G519,Listas!E:E,Listas!F:F,""),"")</f>
        <v>Operativo</v>
      </c>
      <c r="I519" s="46" t="str">
        <f>IFERROR(_xlfn.XLOOKUP(G519,Listas!E:E,Listas!G:G,""),"")</f>
        <v>Interno</v>
      </c>
      <c r="J519" s="43">
        <v>2000</v>
      </c>
      <c r="K519" s="5">
        <f t="shared" si="1"/>
        <v>2000</v>
      </c>
      <c r="L519" s="15" t="s">
        <v>129</v>
      </c>
      <c r="M519" s="44">
        <f>SUMIFS('Saldos Iniciales'!$D$2:$D$38,'Saldos Iniciales'!$A$2:$A$38,C519,'Saldos Iniciales'!$B$2:$B$38,D519)+SUMIFS($K$1:$K$724,$C$1:$C$724,C519,$D$1:$D$724,D519,$B$1:$B$724,"&lt;="&amp;B519)</f>
        <v>5338.84</v>
      </c>
      <c r="N519" s="67">
        <f>IF(tblMovimientos[[#This Row],[Tipo de Movimiento]]="Ingreso",tblMovimientos[[#This Row],[Monto (S/)]],"0")</f>
        <v>2000</v>
      </c>
      <c r="O519" s="67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CFT Group</v>
      </c>
      <c r="D520" s="41" t="s">
        <v>95</v>
      </c>
      <c r="E520" s="68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46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5000</v>
      </c>
      <c r="K520" s="5">
        <f t="shared" si="1"/>
        <v>-5000</v>
      </c>
      <c r="L520" s="15" t="s">
        <v>129</v>
      </c>
      <c r="M520" s="44">
        <f>SUMIFS('Saldos Iniciales'!$D$2:$D$38,'Saldos Iniciales'!$A$2:$A$38,C520,'Saldos Iniciales'!$B$2:$B$38,D520)+SUMIFS($K$1:$K$724,$C$1:$C$724,C520,$D$1:$D$724,D520,$B$1:$B$724,"&lt;="&amp;B520)</f>
        <v>4122911.3600000003</v>
      </c>
      <c r="N520" s="67" t="str">
        <f>IF(tblMovimientos[[#This Row],[Tipo de Movimiento]]="Ingreso",tblMovimientos[[#This Row],[Monto (S/)]],"0")</f>
        <v>0</v>
      </c>
      <c r="O520" s="67">
        <f>IF(tblMovimientos[[#This Row],[Tipo de Movimiento]]="Egreso",tblMovimientos[[#This Row],[Monto (S/)]],"0")</f>
        <v>5000</v>
      </c>
      <c r="P520" s="28">
        <f>IF(tblMovimientos[[#This Row],[Tipo de Movimiento]]="Ingreso",tblMovimientos[[#This Row],[Ingreso]],-tblMovimientos[[#This Row],[Egreso]])</f>
        <v>-5000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8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56000</v>
      </c>
      <c r="K521" s="5">
        <f t="shared" si="1"/>
        <v>-56000</v>
      </c>
      <c r="L521" s="15" t="s">
        <v>129</v>
      </c>
      <c r="M521" s="44">
        <f>SUMIFS('Saldos Iniciales'!$D$2:$D$38,'Saldos Iniciales'!$A$2:$A$38,C521,'Saldos Iniciales'!$B$2:$B$38,D521)+SUMIFS($K$1:$K$724,$C$1:$C$724,C521,$D$1:$D$724,D521,$B$1:$B$724,"&lt;="&amp;B521)</f>
        <v>4122911.3600000003</v>
      </c>
      <c r="N521" s="67" t="str">
        <f>IF(tblMovimientos[[#This Row],[Tipo de Movimiento]]="Ingreso",tblMovimientos[[#This Row],[Monto (S/)]],"0")</f>
        <v>0</v>
      </c>
      <c r="O521" s="67">
        <f>IF(tblMovimientos[[#This Row],[Tipo de Movimiento]]="Egreso",tblMovimientos[[#This Row],[Monto (S/)]],"0")</f>
        <v>56000</v>
      </c>
      <c r="P521" s="28">
        <f>IF(tblMovimientos[[#This Row],[Tipo de Movimiento]]="Ingreso",tblMovimientos[[#This Row],[Ingreso]],-tblMovimientos[[#This Row],[Egreso]])</f>
        <v>-56000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8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70000</v>
      </c>
      <c r="K522" s="5">
        <f t="shared" si="1"/>
        <v>-70000</v>
      </c>
      <c r="L522" s="15" t="s">
        <v>129</v>
      </c>
      <c r="M522" s="44">
        <f>SUMIFS('Saldos Iniciales'!$D$2:$D$38,'Saldos Iniciales'!$A$2:$A$38,C522,'Saldos Iniciales'!$B$2:$B$38,D522)+SUMIFS($K$1:$K$724,$C$1:$C$724,C522,$D$1:$D$724,D522,$B$1:$B$724,"&lt;="&amp;B522)</f>
        <v>4122911.3600000003</v>
      </c>
      <c r="N522" s="67" t="str">
        <f>IF(tblMovimientos[[#This Row],[Tipo de Movimiento]]="Ingreso",tblMovimientos[[#This Row],[Monto (S/)]],"0")</f>
        <v>0</v>
      </c>
      <c r="O522" s="67">
        <f>IF(tblMovimientos[[#This Row],[Tipo de Movimiento]]="Egreso",tblMovimientos[[#This Row],[Monto (S/)]],"0")</f>
        <v>70000</v>
      </c>
      <c r="P522" s="28">
        <f>IF(tblMovimientos[[#This Row],[Tipo de Movimiento]]="Ingreso",tblMovimientos[[#This Row],[Ingreso]],-tblMovimientos[[#This Row],[Egreso]])</f>
        <v>-70000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8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82833.33</v>
      </c>
      <c r="K523" s="5">
        <f t="shared" si="1"/>
        <v>-82833.33</v>
      </c>
      <c r="L523" s="15" t="s">
        <v>129</v>
      </c>
      <c r="M523" s="44">
        <f>SUMIFS('Saldos Iniciales'!$D$2:$D$38,'Saldos Iniciales'!$A$2:$A$38,C523,'Saldos Iniciales'!$B$2:$B$38,D523)+SUMIFS($K$1:$K$724,$C$1:$C$724,C523,$D$1:$D$724,D523,$B$1:$B$724,"&lt;="&amp;B523)</f>
        <v>4122911.3600000003</v>
      </c>
      <c r="N523" s="67" t="str">
        <f>IF(tblMovimientos[[#This Row],[Tipo de Movimiento]]="Ingreso",tblMovimientos[[#This Row],[Monto (S/)]],"0")</f>
        <v>0</v>
      </c>
      <c r="O523" s="67">
        <f>IF(tblMovimientos[[#This Row],[Tipo de Movimiento]]="Egreso",tblMovimientos[[#This Row],[Monto (S/)]],"0")</f>
        <v>82833.33</v>
      </c>
      <c r="P523" s="28">
        <f>IF(tblMovimientos[[#This Row],[Tipo de Movimiento]]="Ingreso",tblMovimientos[[#This Row],[Ingreso]],-tblMovimientos[[#This Row],[Egreso]])</f>
        <v>-82833.33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SSP Capital</v>
      </c>
      <c r="D524" s="41" t="s">
        <v>104</v>
      </c>
      <c r="E524" s="68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9583.33</v>
      </c>
      <c r="K524" s="5">
        <f t="shared" si="1"/>
        <v>-9583.33</v>
      </c>
      <c r="L524" s="15" t="s">
        <v>129</v>
      </c>
      <c r="M524" s="44">
        <f>SUMIFS('Saldos Iniciales'!$D$2:$D$38,'Saldos Iniciales'!$A$2:$A$38,C524,'Saldos Iniciales'!$B$2:$B$38,D524)+SUMIFS($K$1:$K$724,$C$1:$C$724,C524,$D$1:$D$724,D524,$B$1:$B$724,"&lt;="&amp;B524)</f>
        <v>1091819.9999999993</v>
      </c>
      <c r="N524" s="67" t="str">
        <f>IF(tblMovimientos[[#This Row],[Tipo de Movimiento]]="Ingreso",tblMovimientos[[#This Row],[Monto (S/)]],"0")</f>
        <v>0</v>
      </c>
      <c r="O524" s="67">
        <f>IF(tblMovimientos[[#This Row],[Tipo de Movimiento]]="Egreso",tblMovimientos[[#This Row],[Monto (S/)]],"0")</f>
        <v>9583.33</v>
      </c>
      <c r="P524" s="28">
        <f>IF(tblMovimientos[[#This Row],[Tipo de Movimiento]]="Ingreso",tblMovimientos[[#This Row],[Ingreso]],-tblMovimientos[[#This Row],[Egreso]])</f>
        <v>-9583.33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8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53666.67</v>
      </c>
      <c r="K525" s="5">
        <f t="shared" si="1"/>
        <v>-53666.67</v>
      </c>
      <c r="L525" s="15" t="s">
        <v>129</v>
      </c>
      <c r="M525" s="44">
        <f>SUMIFS('Saldos Iniciales'!$D$2:$D$38,'Saldos Iniciales'!$A$2:$A$38,C525,'Saldos Iniciales'!$B$2:$B$38,D525)+SUMIFS($K$1:$K$724,$C$1:$C$724,C525,$D$1:$D$724,D525,$B$1:$B$724,"&lt;="&amp;B525)</f>
        <v>1091819.9999999993</v>
      </c>
      <c r="N525" s="67" t="str">
        <f>IF(tblMovimientos[[#This Row],[Tipo de Movimiento]]="Ingreso",tblMovimientos[[#This Row],[Monto (S/)]],"0")</f>
        <v>0</v>
      </c>
      <c r="O525" s="67">
        <f>IF(tblMovimientos[[#This Row],[Tipo de Movimiento]]="Egreso",tblMovimientos[[#This Row],[Monto (S/)]],"0")</f>
        <v>53666.67</v>
      </c>
      <c r="P525" s="28">
        <f>IF(tblMovimientos[[#This Row],[Tipo de Movimiento]]="Ingreso",tblMovimientos[[#This Row],[Ingreso]],-tblMovimientos[[#This Row],[Egreso]])</f>
        <v>-53666.67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8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134166.67000000001</v>
      </c>
      <c r="K526" s="5">
        <f t="shared" si="1"/>
        <v>-134166.67000000001</v>
      </c>
      <c r="L526" s="15" t="s">
        <v>129</v>
      </c>
      <c r="M526" s="44">
        <f>SUMIFS('Saldos Iniciales'!$D$2:$D$38,'Saldos Iniciales'!$A$2:$A$38,C526,'Saldos Iniciales'!$B$2:$B$38,D526)+SUMIFS($K$1:$K$724,$C$1:$C$724,C526,$D$1:$D$724,D526,$B$1:$B$724,"&lt;="&amp;B526)</f>
        <v>1091819.9999999993</v>
      </c>
      <c r="N526" s="67" t="str">
        <f>IF(tblMovimientos[[#This Row],[Tipo de Movimiento]]="Ingreso",tblMovimientos[[#This Row],[Monto (S/)]],"0")</f>
        <v>0</v>
      </c>
      <c r="O526" s="67">
        <f>IF(tblMovimientos[[#This Row],[Tipo de Movimiento]]="Egreso",tblMovimientos[[#This Row],[Monto (S/)]],"0")</f>
        <v>134166.67000000001</v>
      </c>
      <c r="P526" s="28">
        <f>IF(tblMovimientos[[#This Row],[Tipo de Movimiento]]="Ingreso",tblMovimientos[[#This Row],[Ingreso]],-tblMovimientos[[#This Row],[Egreso]])</f>
        <v>-134166.67000000001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Go Blue</v>
      </c>
      <c r="D527" s="41" t="s">
        <v>126</v>
      </c>
      <c r="E527" s="68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64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1"/>
        <v>-2000</v>
      </c>
      <c r="L527" s="15" t="s">
        <v>129</v>
      </c>
      <c r="M527" s="44">
        <f>SUMIFS('Saldos Iniciales'!$D$2:$D$38,'Saldos Iniciales'!$A$2:$A$38,C527,'Saldos Iniciales'!$B$2:$B$38,D527)+SUMIFS($K$1:$K$724,$C$1:$C$724,C527,$D$1:$D$724,D527,$B$1:$B$724,"&lt;="&amp;B527)</f>
        <v>26561.279999999999</v>
      </c>
      <c r="N527" s="67" t="str">
        <f>IF(tblMovimientos[[#This Row],[Tipo de Movimiento]]="Ingreso",tblMovimientos[[#This Row],[Monto (S/)]],"0")</f>
        <v>0</v>
      </c>
      <c r="O527" s="67">
        <f>IF(tblMovimientos[[#This Row],[Tipo de Movimiento]]="Egreso",tblMovimientos[[#This Row],[Monto (S/)]],"0")</f>
        <v>2000</v>
      </c>
      <c r="P527" s="28">
        <f>IF(tblMovimientos[[#This Row],[Tipo de Movimiento]]="Ingreso",tblMovimientos[[#This Row],[Ingreso]],-tblMovimientos[[#This Row],[Egreso]])</f>
        <v>-2000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Electrama</v>
      </c>
      <c r="D528" s="41" t="s">
        <v>113</v>
      </c>
      <c r="E528" s="68" t="str">
        <f>_xlfn.XLOOKUP(tblMovimientos[[#This Row],[Cuenta Bancaria]],Listas!$B:$B,Listas!$C:$C,"")</f>
        <v>Chase Bank</v>
      </c>
      <c r="F528" s="41" t="s">
        <v>10</v>
      </c>
      <c r="G528" s="41" t="s">
        <v>38</v>
      </c>
      <c r="H528" s="4" t="str">
        <f>IFERROR(_xlfn.XLOOKUP(G528,Listas!E:E,Listas!F:F,""),"")</f>
        <v>Operativo</v>
      </c>
      <c r="I528" s="46" t="str">
        <f>IFERROR(_xlfn.XLOOKUP(G528,Listas!E:E,Listas!G:G,""),"")</f>
        <v>Externo</v>
      </c>
      <c r="J528" s="43">
        <v>550</v>
      </c>
      <c r="K528" s="5">
        <f t="shared" si="1"/>
        <v>-550</v>
      </c>
      <c r="L528" s="15" t="s">
        <v>129</v>
      </c>
      <c r="M528" s="44">
        <f>SUMIFS('Saldos Iniciales'!$D$2:$D$38,'Saldos Iniciales'!$A$2:$A$38,C528,'Saldos Iniciales'!$B$2:$B$38,D528)+SUMIFS($K$1:$K$724,$C$1:$C$724,C528,$D$1:$D$724,D528,$B$1:$B$724,"&lt;="&amp;B528)</f>
        <v>14580.45</v>
      </c>
      <c r="N528" s="67" t="str">
        <f>IF(tblMovimientos[[#This Row],[Tipo de Movimiento]]="Ingreso",tblMovimientos[[#This Row],[Monto (S/)]],"0")</f>
        <v>0</v>
      </c>
      <c r="O528" s="67">
        <f>IF(tblMovimientos[[#This Row],[Tipo de Movimiento]]="Egreso",tblMovimientos[[#This Row],[Monto (S/)]],"0")</f>
        <v>550</v>
      </c>
      <c r="P528" s="28">
        <f>IF(tblMovimientos[[#This Row],[Tipo de Movimiento]]="Ingreso",tblMovimientos[[#This Row],[Ingreso]],-tblMovimientos[[#This Row],[Egreso]])</f>
        <v>-550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Soweto</v>
      </c>
      <c r="D529" s="41" t="s">
        <v>116</v>
      </c>
      <c r="E529" s="68" t="str">
        <f>_xlfn.XLOOKUP(tblMovimientos[[#This Row],[Cuenta Bancaria]],Listas!$B:$B,Listas!$C:$C,"")</f>
        <v>Citibank</v>
      </c>
      <c r="F529" s="41" t="s">
        <v>10</v>
      </c>
      <c r="G529" s="41" t="s">
        <v>44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15</v>
      </c>
      <c r="K529" s="5">
        <f t="shared" si="1"/>
        <v>-15</v>
      </c>
      <c r="L529" s="15" t="s">
        <v>129</v>
      </c>
      <c r="M529" s="44">
        <f>SUMIFS('Saldos Iniciales'!$D$2:$D$38,'Saldos Iniciales'!$A$2:$A$38,C529,'Saldos Iniciales'!$B$2:$B$38,D529)+SUMIFS($K$1:$K$724,$C$1:$C$724,C529,$D$1:$D$724,D529,$B$1:$B$724,"&lt;="&amp;B529)</f>
        <v>1454589.72</v>
      </c>
      <c r="N529" s="67" t="str">
        <f>IF(tblMovimientos[[#This Row],[Tipo de Movimiento]]="Ingreso",tblMovimientos[[#This Row],[Monto (S/)]],"0")</f>
        <v>0</v>
      </c>
      <c r="O529" s="67">
        <f>IF(tblMovimientos[[#This Row],[Tipo de Movimiento]]="Egreso",tblMovimientos[[#This Row],[Monto (S/)]],"0")</f>
        <v>15</v>
      </c>
      <c r="P529" s="28">
        <f>IF(tblMovimientos[[#This Row],[Tipo de Movimiento]]="Ingreso",tblMovimientos[[#This Row],[Ingreso]],-tblMovimientos[[#This Row],[Egreso]])</f>
        <v>-15</v>
      </c>
    </row>
    <row r="530" spans="2:16" x14ac:dyDescent="0.3">
      <c r="B530" s="39">
        <v>46216</v>
      </c>
      <c r="C530" s="46" t="str">
        <f>_xlfn.XLOOKUP(tblMovimientos[[#This Row],[Cuenta Bancaria]],Listas!$B:$B,Listas!$A:$A,"")</f>
        <v>Go Blue</v>
      </c>
      <c r="D530" s="41" t="s">
        <v>174</v>
      </c>
      <c r="E530" s="68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38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24</v>
      </c>
      <c r="K530" s="5">
        <f t="shared" si="1"/>
        <v>-24</v>
      </c>
      <c r="L530" s="15" t="s">
        <v>129</v>
      </c>
      <c r="M530" s="44">
        <f>SUMIFS('Saldos Iniciales'!$D$2:$D$38,'Saldos Iniciales'!$A$2:$A$38,C530,'Saldos Iniciales'!$B$2:$B$38,D530)+SUMIFS($K$1:$K$724,$C$1:$C$724,C530,$D$1:$D$724,D530,$B$1:$B$724,"&lt;="&amp;B530)</f>
        <v>4458</v>
      </c>
      <c r="N530" s="67" t="str">
        <f>IF(tblMovimientos[[#This Row],[Tipo de Movimiento]]="Ingreso",tblMovimientos[[#This Row],[Monto (S/)]],"0")</f>
        <v>0</v>
      </c>
      <c r="O530" s="67">
        <f>IF(tblMovimientos[[#This Row],[Tipo de Movimiento]]="Egreso",tblMovimientos[[#This Row],[Monto (S/)]],"0")</f>
        <v>24</v>
      </c>
      <c r="P530" s="28">
        <f>IF(tblMovimientos[[#This Row],[Tipo de Movimiento]]="Ingreso",tblMovimientos[[#This Row],[Ingreso]],-tblMovimientos[[#This Row],[Egreso]])</f>
        <v>-24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8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764.97</v>
      </c>
      <c r="K531" s="5">
        <f t="shared" si="1"/>
        <v>-764.97</v>
      </c>
      <c r="L531" s="15" t="s">
        <v>129</v>
      </c>
      <c r="M531" s="44">
        <f>SUMIFS('Saldos Iniciales'!$D$2:$D$38,'Saldos Iniciales'!$A$2:$A$38,C531,'Saldos Iniciales'!$B$2:$B$38,D531)+SUMIFS($K$1:$K$724,$C$1:$C$724,C531,$D$1:$D$724,D531,$B$1:$B$724,"&lt;="&amp;B531)</f>
        <v>4458</v>
      </c>
      <c r="N531" s="67" t="str">
        <f>IF(tblMovimientos[[#This Row],[Tipo de Movimiento]]="Ingreso",tblMovimientos[[#This Row],[Monto (S/)]],"0")</f>
        <v>0</v>
      </c>
      <c r="O531" s="67">
        <f>IF(tblMovimientos[[#This Row],[Tipo de Movimiento]]="Egreso",tblMovimientos[[#This Row],[Monto (S/)]],"0")</f>
        <v>764.97</v>
      </c>
      <c r="P531" s="28">
        <f>IF(tblMovimientos[[#This Row],[Tipo de Movimiento]]="Ingreso",tblMovimientos[[#This Row],[Ingreso]],-tblMovimientos[[#This Row],[Egreso]])</f>
        <v>-764.97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8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24</v>
      </c>
      <c r="K532" s="5">
        <f t="shared" si="1"/>
        <v>-24</v>
      </c>
      <c r="L532" s="15" t="s">
        <v>129</v>
      </c>
      <c r="M532" s="44">
        <f>SUMIFS('Saldos Iniciales'!$D$2:$D$38,'Saldos Iniciales'!$A$2:$A$38,C532,'Saldos Iniciales'!$B$2:$B$38,D532)+SUMIFS($K$1:$K$724,$C$1:$C$724,C532,$D$1:$D$724,D532,$B$1:$B$724,"&lt;="&amp;B532)</f>
        <v>4458</v>
      </c>
      <c r="N532" s="67" t="str">
        <f>IF(tblMovimientos[[#This Row],[Tipo de Movimiento]]="Ingreso",tblMovimientos[[#This Row],[Monto (S/)]],"0")</f>
        <v>0</v>
      </c>
      <c r="O532" s="67">
        <f>IF(tblMovimientos[[#This Row],[Tipo de Movimiento]]="Egreso",tblMovimientos[[#This Row],[Monto (S/)]],"0")</f>
        <v>24</v>
      </c>
      <c r="P532" s="28">
        <f>IF(tblMovimientos[[#This Row],[Tipo de Movimiento]]="Ingreso",tblMovimientos[[#This Row],[Ingreso]],-tblMovimientos[[#This Row],[Egreso]])</f>
        <v>-24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8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29.47</v>
      </c>
      <c r="K533" s="5">
        <f t="shared" si="1"/>
        <v>-29.47</v>
      </c>
      <c r="L533" s="15" t="s">
        <v>129</v>
      </c>
      <c r="M533" s="44">
        <f>SUMIFS('Saldos Iniciales'!$D$2:$D$38,'Saldos Iniciales'!$A$2:$A$38,C533,'Saldos Iniciales'!$B$2:$B$38,D533)+SUMIFS($K$1:$K$724,$C$1:$C$724,C533,$D$1:$D$724,D533,$B$1:$B$724,"&lt;="&amp;B533)</f>
        <v>4458</v>
      </c>
      <c r="N533" s="67" t="str">
        <f>IF(tblMovimientos[[#This Row],[Tipo de Movimiento]]="Ingreso",tblMovimientos[[#This Row],[Monto (S/)]],"0")</f>
        <v>0</v>
      </c>
      <c r="O533" s="67">
        <f>IF(tblMovimientos[[#This Row],[Tipo de Movimiento]]="Egreso",tblMovimientos[[#This Row],[Monto (S/)]],"0")</f>
        <v>29.47</v>
      </c>
      <c r="P533" s="28">
        <f>IF(tblMovimientos[[#This Row],[Tipo de Movimiento]]="Ingreso",tblMovimientos[[#This Row],[Ingreso]],-tblMovimientos[[#This Row],[Egreso]])</f>
        <v>-29.47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8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38.4</v>
      </c>
      <c r="K534" s="5">
        <f t="shared" si="1"/>
        <v>-38.4</v>
      </c>
      <c r="L534" s="15" t="s">
        <v>129</v>
      </c>
      <c r="M534" s="44">
        <f>SUMIFS('Saldos Iniciales'!$D$2:$D$38,'Saldos Iniciales'!$A$2:$A$38,C534,'Saldos Iniciales'!$B$2:$B$38,D534)+SUMIFS($K$1:$K$724,$C$1:$C$724,C534,$D$1:$D$724,D534,$B$1:$B$724,"&lt;="&amp;B534)</f>
        <v>4458</v>
      </c>
      <c r="N534" s="67" t="str">
        <f>IF(tblMovimientos[[#This Row],[Tipo de Movimiento]]="Ingreso",tblMovimientos[[#This Row],[Monto (S/)]],"0")</f>
        <v>0</v>
      </c>
      <c r="O534" s="67">
        <f>IF(tblMovimientos[[#This Row],[Tipo de Movimiento]]="Egreso",tblMovimientos[[#This Row],[Monto (S/)]],"0")</f>
        <v>38.4</v>
      </c>
      <c r="P534" s="28">
        <f>IF(tblMovimientos[[#This Row],[Tipo de Movimiento]]="Ingreso",tblMovimientos[[#This Row],[Ingreso]],-tblMovimientos[[#This Row],[Egreso]])</f>
        <v>-38.4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EC Auto</v>
      </c>
      <c r="D535" s="41" t="s">
        <v>119</v>
      </c>
      <c r="E535" s="68" t="str">
        <f>_xlfn.XLOOKUP(tblMovimientos[[#This Row],[Cuenta Bancaria]],Listas!$B:$B,Listas!$C:$C,"")</f>
        <v xml:space="preserve">Amerant Bank </v>
      </c>
      <c r="F535" s="41" t="s">
        <v>9</v>
      </c>
      <c r="G535" s="41" t="s">
        <v>82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518.65</v>
      </c>
      <c r="K535" s="5">
        <f t="shared" si="1"/>
        <v>518.65</v>
      </c>
      <c r="L535" s="15" t="s">
        <v>129</v>
      </c>
      <c r="M535" s="44">
        <f>SUMIFS('Saldos Iniciales'!$D$2:$D$38,'Saldos Iniciales'!$A$2:$A$38,C535,'Saldos Iniciales'!$B$2:$B$38,D535)+SUMIFS($K$1:$K$724,$C$1:$C$724,C535,$D$1:$D$724,D535,$B$1:$B$724,"&lt;="&amp;B535)</f>
        <v>901.34</v>
      </c>
      <c r="N535" s="67">
        <f>IF(tblMovimientos[[#This Row],[Tipo de Movimiento]]="Ingreso",tblMovimientos[[#This Row],[Monto (S/)]],"0")</f>
        <v>518.65</v>
      </c>
      <c r="O535" s="67" t="str">
        <f>IF(tblMovimientos[[#This Row],[Tipo de Movimiento]]="Egreso",tblMovimientos[[#This Row],[Monto (S/)]],"0")</f>
        <v>0</v>
      </c>
      <c r="P535" s="28">
        <f>IF(tblMovimientos[[#This Row],[Tipo de Movimiento]]="Ingreso",tblMovimientos[[#This Row],[Ingreso]],-tblMovimientos[[#This Row],[Egreso]])</f>
        <v>518.65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Go Blue</v>
      </c>
      <c r="D536" s="41" t="s">
        <v>126</v>
      </c>
      <c r="E536" s="68" t="str">
        <f>_xlfn.XLOOKUP(tblMovimientos[[#This Row],[Cuenta Bancaria]],Listas!$B:$B,Listas!$C:$C,"")</f>
        <v xml:space="preserve">Amerant Bank 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1104.78</v>
      </c>
      <c r="K536" s="5">
        <f t="shared" si="1"/>
        <v>-1104.78</v>
      </c>
      <c r="L536" s="15" t="s">
        <v>129</v>
      </c>
      <c r="M536" s="44">
        <f>SUMIFS('Saldos Iniciales'!$D$2:$D$38,'Saldos Iniciales'!$A$2:$A$38,C536,'Saldos Iniciales'!$B$2:$B$38,D536)+SUMIFS($K$1:$K$724,$C$1:$C$724,C536,$D$1:$D$724,D536,$B$1:$B$724,"&lt;="&amp;B536)</f>
        <v>20740.239999999998</v>
      </c>
      <c r="N536" s="67" t="str">
        <f>IF(tblMovimientos[[#This Row],[Tipo de Movimiento]]="Ingreso",tblMovimientos[[#This Row],[Monto (S/)]],"0")</f>
        <v>0</v>
      </c>
      <c r="O536" s="67">
        <f>IF(tblMovimientos[[#This Row],[Tipo de Movimiento]]="Egreso",tblMovimientos[[#This Row],[Monto (S/)]],"0")</f>
        <v>1104.78</v>
      </c>
      <c r="P536" s="28">
        <f>IF(tblMovimientos[[#This Row],[Tipo de Movimiento]]="Ingreso",tblMovimientos[[#This Row],[Ingreso]],-tblMovimientos[[#This Row],[Egreso]])</f>
        <v>-1104.78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8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2209.56</v>
      </c>
      <c r="K537" s="5">
        <f t="shared" si="1"/>
        <v>-2209.56</v>
      </c>
      <c r="L537" s="15" t="s">
        <v>129</v>
      </c>
      <c r="M537" s="44">
        <f>SUMIFS('Saldos Iniciales'!$D$2:$D$38,'Saldos Iniciales'!$A$2:$A$38,C537,'Saldos Iniciales'!$B$2:$B$38,D537)+SUMIFS($K$1:$K$724,$C$1:$C$724,C537,$D$1:$D$724,D537,$B$1:$B$724,"&lt;="&amp;B537)</f>
        <v>20740.239999999998</v>
      </c>
      <c r="N537" s="67" t="str">
        <f>IF(tblMovimientos[[#This Row],[Tipo de Movimiento]]="Ingreso",tblMovimientos[[#This Row],[Monto (S/)]],"0")</f>
        <v>0</v>
      </c>
      <c r="O537" s="67">
        <f>IF(tblMovimientos[[#This Row],[Tipo de Movimiento]]="Egreso",tblMovimientos[[#This Row],[Monto (S/)]],"0")</f>
        <v>2209.56</v>
      </c>
      <c r="P537" s="28">
        <f>IF(tblMovimientos[[#This Row],[Tipo de Movimiento]]="Ingreso",tblMovimientos[[#This Row],[Ingreso]],-tblMovimientos[[#This Row],[Egreso]])</f>
        <v>-2209.56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8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2506.6999999999998</v>
      </c>
      <c r="K538" s="5">
        <f t="shared" si="1"/>
        <v>-2506.6999999999998</v>
      </c>
      <c r="L538" s="15" t="s">
        <v>129</v>
      </c>
      <c r="M538" s="44">
        <f>SUMIFS('Saldos Iniciales'!$D$2:$D$38,'Saldos Iniciales'!$A$2:$A$38,C538,'Saldos Iniciales'!$B$2:$B$38,D538)+SUMIFS($K$1:$K$724,$C$1:$C$724,C538,$D$1:$D$724,D538,$B$1:$B$724,"&lt;="&amp;B538)</f>
        <v>20740.239999999998</v>
      </c>
      <c r="N538" s="67" t="str">
        <f>IF(tblMovimientos[[#This Row],[Tipo de Movimiento]]="Ingreso",tblMovimientos[[#This Row],[Monto (S/)]],"0")</f>
        <v>0</v>
      </c>
      <c r="O538" s="67">
        <f>IF(tblMovimientos[[#This Row],[Tipo de Movimiento]]="Egreso",tblMovimientos[[#This Row],[Monto (S/)]],"0")</f>
        <v>2506.6999999999998</v>
      </c>
      <c r="P538" s="28">
        <f>IF(tblMovimientos[[#This Row],[Tipo de Movimiento]]="Ingreso",tblMovimientos[[#This Row],[Ingreso]],-tblMovimientos[[#This Row],[Egreso]])</f>
        <v>-2506.6999999999998</v>
      </c>
    </row>
    <row r="539" spans="2:16" x14ac:dyDescent="0.3">
      <c r="E539" s="68">
        <f>_xlfn.XLOOKUP(tblMovimientos[[#This Row],[Cuenta Bancaria]],Listas!$B:$B,Listas!$C:$C,"")</f>
        <v>0</v>
      </c>
      <c r="H539" s="4">
        <f>IFERROR(_xlfn.XLOOKUP(G539,Listas!E:E,Listas!F:F,""),"")</f>
        <v>0</v>
      </c>
      <c r="I539" s="68"/>
      <c r="N539" s="67" t="str">
        <f>IF(tblMovimientos[[#This Row],[Tipo de Movimiento]]="Ingreso",tblMovimientos[[#This Row],[Monto (S/)]],"0")</f>
        <v>0</v>
      </c>
      <c r="O539" s="67" t="str">
        <f>IF(tblMovimientos[[#This Row],[Tipo de Movimiento]]="Egreso",tblMovimientos[[#This Row],[Monto (S/)]],"0")</f>
        <v>0</v>
      </c>
      <c r="P539" s="28">
        <f>IF(tblMovimientos[[#This Row],[Tipo de Movimiento]]="Ingreso",tblMovimientos[[#This Row],[Ingreso]],-tblMovimientos[[#This Row],[Egreso]])</f>
        <v>0</v>
      </c>
    </row>
    <row r="540" spans="2:16" x14ac:dyDescent="0.3">
      <c r="E540" s="68">
        <f>_xlfn.XLOOKUP(tblMovimientos[[#This Row],[Cuenta Bancaria]],Listas!$B:$B,Listas!$C:$C,"")</f>
        <v>0</v>
      </c>
      <c r="H540" s="4">
        <f>IFERROR(_xlfn.XLOOKUP(G540,Listas!E:E,Listas!F:F,""),"")</f>
        <v>0</v>
      </c>
      <c r="I540" s="68"/>
      <c r="N540" s="67" t="str">
        <f>IF(tblMovimientos[[#This Row],[Tipo de Movimiento]]="Ingreso",tblMovimientos[[#This Row],[Monto (S/)]],"0")</f>
        <v>0</v>
      </c>
      <c r="O540" s="67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0</v>
      </c>
    </row>
    <row r="541" spans="2:16" x14ac:dyDescent="0.3">
      <c r="E541" s="68">
        <f>_xlfn.XLOOKUP(tblMovimientos[[#This Row],[Cuenta Bancaria]],Listas!$B:$B,Listas!$C:$C,"")</f>
        <v>0</v>
      </c>
      <c r="H541" s="4">
        <f>IFERROR(_xlfn.XLOOKUP(G541,Listas!E:E,Listas!F:F,""),"")</f>
        <v>0</v>
      </c>
      <c r="I541" s="68"/>
      <c r="N541" s="67" t="str">
        <f>IF(tblMovimientos[[#This Row],[Tipo de Movimiento]]="Ingreso",tblMovimientos[[#This Row],[Monto (S/)]],"0")</f>
        <v>0</v>
      </c>
      <c r="O541" s="67" t="str">
        <f>IF(tblMovimientos[[#This Row],[Tipo de Movimiento]]="Egreso",tblMovimientos[[#This Row],[Monto (S/)]],"0")</f>
        <v>0</v>
      </c>
      <c r="P541" s="28">
        <f>IF(tblMovimientos[[#This Row],[Tipo de Movimiento]]="Ingreso",tblMovimientos[[#This Row],[Ingreso]],-tblMovimientos[[#This Row],[Egreso]])</f>
        <v>0</v>
      </c>
    </row>
    <row r="542" spans="2:16" x14ac:dyDescent="0.3">
      <c r="E542" s="68">
        <f>_xlfn.XLOOKUP(tblMovimientos[[#This Row],[Cuenta Bancaria]],Listas!$B:$B,Listas!$C:$C,"")</f>
        <v>0</v>
      </c>
      <c r="H542" s="4">
        <f>IFERROR(_xlfn.XLOOKUP(G542,Listas!E:E,Listas!F:F,""),"")</f>
        <v>0</v>
      </c>
      <c r="I542" s="68"/>
      <c r="N542" s="67" t="str">
        <f>IF(tblMovimientos[[#This Row],[Tipo de Movimiento]]="Ingreso",tblMovimientos[[#This Row],[Monto (S/)]],"0")</f>
        <v>0</v>
      </c>
      <c r="O542" s="67" t="str">
        <f>IF(tblMovimientos[[#This Row],[Tipo de Movimiento]]="Egreso",tblMovimientos[[#This Row],[Monto (S/)]],"0")</f>
        <v>0</v>
      </c>
      <c r="P542" s="28">
        <f>IF(tblMovimientos[[#This Row],[Tipo de Movimiento]]="Ingreso",tblMovimientos[[#This Row],[Ingreso]],-tblMovimientos[[#This Row],[Egreso]])</f>
        <v>0</v>
      </c>
    </row>
    <row r="543" spans="2:16" x14ac:dyDescent="0.3">
      <c r="E543" s="68">
        <f>_xlfn.XLOOKUP(tblMovimientos[[#This Row],[Cuenta Bancaria]],Listas!$B:$B,Listas!$C:$C,"")</f>
        <v>0</v>
      </c>
      <c r="H543" s="4">
        <f>IFERROR(_xlfn.XLOOKUP(G543,Listas!E:E,Listas!F:F,""),"")</f>
        <v>0</v>
      </c>
      <c r="I543" s="68"/>
      <c r="N543" s="67" t="str">
        <f>IF(tblMovimientos[[#This Row],[Tipo de Movimiento]]="Ingreso",tblMovimientos[[#This Row],[Monto (S/)]],"0")</f>
        <v>0</v>
      </c>
      <c r="O543" s="67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0</v>
      </c>
    </row>
    <row r="544" spans="2:16" x14ac:dyDescent="0.3">
      <c r="E544" s="68">
        <f>_xlfn.XLOOKUP(tblMovimientos[[#This Row],[Cuenta Bancaria]],Listas!$B:$B,Listas!$C:$C,"")</f>
        <v>0</v>
      </c>
      <c r="H544" s="4">
        <f>IFERROR(_xlfn.XLOOKUP(G544,Listas!E:E,Listas!F:F,""),"")</f>
        <v>0</v>
      </c>
      <c r="I544" s="68"/>
      <c r="N544" s="67" t="str">
        <f>IF(tblMovimientos[[#This Row],[Tipo de Movimiento]]="Ingreso",tblMovimientos[[#This Row],[Monto (S/)]],"0")</f>
        <v>0</v>
      </c>
      <c r="O544" s="67" t="str">
        <f>IF(tblMovimientos[[#This Row],[Tipo de Movimiento]]="Egreso",tblMovimientos[[#This Row],[Monto (S/)]],"0")</f>
        <v>0</v>
      </c>
      <c r="P544" s="28">
        <f>IF(tblMovimientos[[#This Row],[Tipo de Movimiento]]="Ingreso",tblMovimientos[[#This Row],[Ingreso]],-tblMovimientos[[#This Row],[Egreso]])</f>
        <v>0</v>
      </c>
    </row>
    <row r="545" spans="5:16" x14ac:dyDescent="0.3">
      <c r="E545" s="68">
        <f>_xlfn.XLOOKUP(tblMovimientos[[#This Row],[Cuenta Bancaria]],Listas!$B:$B,Listas!$C:$C,"")</f>
        <v>0</v>
      </c>
      <c r="H545" s="4">
        <f>IFERROR(_xlfn.XLOOKUP(G545,Listas!E:E,Listas!F:F,""),"")</f>
        <v>0</v>
      </c>
      <c r="I545" s="68"/>
      <c r="N545" s="67" t="str">
        <f>IF(tblMovimientos[[#This Row],[Tipo de Movimiento]]="Ingreso",tblMovimientos[[#This Row],[Monto (S/)]],"0")</f>
        <v>0</v>
      </c>
      <c r="O545" s="67" t="str">
        <f>IF(tblMovimientos[[#This Row],[Tipo de Movimiento]]="Egreso",tblMovimientos[[#This Row],[Monto (S/)]],"0")</f>
        <v>0</v>
      </c>
      <c r="P545" s="28">
        <f>IF(tblMovimientos[[#This Row],[Tipo de Movimiento]]="Ingreso",tblMovimientos[[#This Row],[Ingreso]],-tblMovimientos[[#This Row],[Egreso]])</f>
        <v>0</v>
      </c>
    </row>
    <row r="546" spans="5:16" x14ac:dyDescent="0.3">
      <c r="E546" s="68">
        <f>_xlfn.XLOOKUP(tblMovimientos[[#This Row],[Cuenta Bancaria]],Listas!$B:$B,Listas!$C:$C,"")</f>
        <v>0</v>
      </c>
      <c r="H546" s="4">
        <f>IFERROR(_xlfn.XLOOKUP(G546,Listas!E:E,Listas!F:F,""),"")</f>
        <v>0</v>
      </c>
      <c r="I546" s="68"/>
      <c r="N546" s="67" t="str">
        <f>IF(tblMovimientos[[#This Row],[Tipo de Movimiento]]="Ingreso",tblMovimientos[[#This Row],[Monto (S/)]],"0")</f>
        <v>0</v>
      </c>
      <c r="O546" s="67" t="str">
        <f>IF(tblMovimientos[[#This Row],[Tipo de Movimiento]]="Egreso",tblMovimientos[[#This Row],[Monto (S/)]],"0")</f>
        <v>0</v>
      </c>
      <c r="P546" s="28">
        <f>IF(tblMovimientos[[#This Row],[Tipo de Movimiento]]="Ingreso",tblMovimientos[[#This Row],[Ingreso]],-tblMovimientos[[#This Row],[Egreso]])</f>
        <v>0</v>
      </c>
    </row>
    <row r="547" spans="5:16" x14ac:dyDescent="0.3">
      <c r="E547" s="68">
        <f>_xlfn.XLOOKUP(tblMovimientos[[#This Row],[Cuenta Bancaria]],Listas!$B:$B,Listas!$C:$C,"")</f>
        <v>0</v>
      </c>
      <c r="H547" s="4">
        <f>IFERROR(_xlfn.XLOOKUP(G547,Listas!E:E,Listas!F:F,""),"")</f>
        <v>0</v>
      </c>
      <c r="I547" s="68"/>
      <c r="N547" s="67" t="str">
        <f>IF(tblMovimientos[[#This Row],[Tipo de Movimiento]]="Ingreso",tblMovimientos[[#This Row],[Monto (S/)]],"0")</f>
        <v>0</v>
      </c>
      <c r="O547" s="67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0</v>
      </c>
    </row>
    <row r="548" spans="5:16" x14ac:dyDescent="0.3">
      <c r="E548" s="68">
        <f>_xlfn.XLOOKUP(tblMovimientos[[#This Row],[Cuenta Bancaria]],Listas!$B:$B,Listas!$C:$C,"")</f>
        <v>0</v>
      </c>
      <c r="H548" s="4">
        <f>IFERROR(_xlfn.XLOOKUP(G548,Listas!E:E,Listas!F:F,""),"")</f>
        <v>0</v>
      </c>
      <c r="I548" s="68"/>
      <c r="N548" s="67" t="str">
        <f>IF(tblMovimientos[[#This Row],[Tipo de Movimiento]]="Ingreso",tblMovimientos[[#This Row],[Monto (S/)]],"0")</f>
        <v>0</v>
      </c>
      <c r="O548" s="67" t="str">
        <f>IF(tblMovimientos[[#This Row],[Tipo de Movimiento]]="Egreso",tblMovimientos[[#This Row],[Monto (S/)]],"0")</f>
        <v>0</v>
      </c>
      <c r="P548" s="28">
        <f>IF(tblMovimientos[[#This Row],[Tipo de Movimiento]]="Ingreso",tblMovimientos[[#This Row],[Ingreso]],-tblMovimientos[[#This Row],[Egreso]])</f>
        <v>0</v>
      </c>
    </row>
    <row r="549" spans="5:16" x14ac:dyDescent="0.3">
      <c r="E549" s="68">
        <f>_xlfn.XLOOKUP(tblMovimientos[[#This Row],[Cuenta Bancaria]],Listas!$B:$B,Listas!$C:$C,"")</f>
        <v>0</v>
      </c>
      <c r="H549" s="4">
        <f>IFERROR(_xlfn.XLOOKUP(G549,Listas!E:E,Listas!F:F,""),"")</f>
        <v>0</v>
      </c>
      <c r="I549" s="68"/>
      <c r="N549" s="67" t="str">
        <f>IF(tblMovimientos[[#This Row],[Tipo de Movimiento]]="Ingreso",tblMovimientos[[#This Row],[Monto (S/)]],"0")</f>
        <v>0</v>
      </c>
      <c r="O549" s="67" t="str">
        <f>IF(tblMovimientos[[#This Row],[Tipo de Movimiento]]="Egreso",tblMovimientos[[#This Row],[Monto (S/)]],"0")</f>
        <v>0</v>
      </c>
      <c r="P549" s="28">
        <f>IF(tblMovimientos[[#This Row],[Tipo de Movimiento]]="Ingreso",tblMovimientos[[#This Row],[Ingreso]],-tblMovimientos[[#This Row],[Egreso]])</f>
        <v>0</v>
      </c>
    </row>
    <row r="550" spans="5:16" x14ac:dyDescent="0.3">
      <c r="E550" s="68">
        <f>_xlfn.XLOOKUP(tblMovimientos[[#This Row],[Cuenta Bancaria]],Listas!$B:$B,Listas!$C:$C,"")</f>
        <v>0</v>
      </c>
      <c r="H550" s="4">
        <f>IFERROR(_xlfn.XLOOKUP(G550,Listas!E:E,Listas!F:F,""),"")</f>
        <v>0</v>
      </c>
      <c r="I550" s="68"/>
      <c r="N550" s="67" t="str">
        <f>IF(tblMovimientos[[#This Row],[Tipo de Movimiento]]="Ingreso",tblMovimientos[[#This Row],[Monto (S/)]],"0")</f>
        <v>0</v>
      </c>
      <c r="O550" s="67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0</v>
      </c>
    </row>
    <row r="551" spans="5:16" x14ac:dyDescent="0.3">
      <c r="E551" s="68">
        <f>_xlfn.XLOOKUP(tblMovimientos[[#This Row],[Cuenta Bancaria]],Listas!$B:$B,Listas!$C:$C,"")</f>
        <v>0</v>
      </c>
      <c r="H551" s="4">
        <f>IFERROR(_xlfn.XLOOKUP(G551,Listas!E:E,Listas!F:F,""),"")</f>
        <v>0</v>
      </c>
      <c r="I551" s="68"/>
      <c r="N551" s="67" t="str">
        <f>IF(tblMovimientos[[#This Row],[Tipo de Movimiento]]="Ingreso",tblMovimientos[[#This Row],[Monto (S/)]],"0")</f>
        <v>0</v>
      </c>
      <c r="O551" s="67" t="str">
        <f>IF(tblMovimientos[[#This Row],[Tipo de Movimiento]]="Egreso",tblMovimientos[[#This Row],[Monto (S/)]],"0")</f>
        <v>0</v>
      </c>
      <c r="P551" s="28">
        <f>IF(tblMovimientos[[#This Row],[Tipo de Movimiento]]="Ingreso",tblMovimientos[[#This Row],[Ingreso]],-tblMovimientos[[#This Row],[Egreso]])</f>
        <v>0</v>
      </c>
    </row>
    <row r="552" spans="5:16" x14ac:dyDescent="0.3">
      <c r="E552" s="68">
        <f>_xlfn.XLOOKUP(tblMovimientos[[#This Row],[Cuenta Bancaria]],Listas!$B:$B,Listas!$C:$C,"")</f>
        <v>0</v>
      </c>
      <c r="H552" s="4">
        <f>IFERROR(_xlfn.XLOOKUP(G552,Listas!E:E,Listas!F:F,""),"")</f>
        <v>0</v>
      </c>
      <c r="I552" s="68"/>
      <c r="N552" s="67" t="str">
        <f>IF(tblMovimientos[[#This Row],[Tipo de Movimiento]]="Ingreso",tblMovimientos[[#This Row],[Monto (S/)]],"0")</f>
        <v>0</v>
      </c>
      <c r="O552" s="67" t="str">
        <f>IF(tblMovimientos[[#This Row],[Tipo de Movimiento]]="Egreso",tblMovimientos[[#This Row],[Monto (S/)]],"0")</f>
        <v>0</v>
      </c>
      <c r="P552" s="28">
        <f>IF(tblMovimientos[[#This Row],[Tipo de Movimiento]]="Ingreso",tblMovimientos[[#This Row],[Ingreso]],-tblMovimientos[[#This Row],[Egreso]])</f>
        <v>0</v>
      </c>
    </row>
    <row r="553" spans="5:16" x14ac:dyDescent="0.3">
      <c r="E553" s="68">
        <f>_xlfn.XLOOKUP(tblMovimientos[[#This Row],[Cuenta Bancaria]],Listas!$B:$B,Listas!$C:$C,"")</f>
        <v>0</v>
      </c>
      <c r="H553" s="4">
        <f>IFERROR(_xlfn.XLOOKUP(G553,Listas!E:E,Listas!F:F,""),"")</f>
        <v>0</v>
      </c>
      <c r="I553" s="68"/>
      <c r="N553" s="67" t="str">
        <f>IF(tblMovimientos[[#This Row],[Tipo de Movimiento]]="Ingreso",tblMovimientos[[#This Row],[Monto (S/)]],"0")</f>
        <v>0</v>
      </c>
      <c r="O553" s="67" t="str">
        <f>IF(tblMovimientos[[#This Row],[Tipo de Movimiento]]="Egreso",tblMovimientos[[#This Row],[Monto (S/)]],"0")</f>
        <v>0</v>
      </c>
      <c r="P553" s="28">
        <f>IF(tblMovimientos[[#This Row],[Tipo de Movimiento]]="Ingreso",tblMovimientos[[#This Row],[Ingreso]],-tblMovimientos[[#This Row],[Egreso]])</f>
        <v>0</v>
      </c>
    </row>
    <row r="554" spans="5:16" x14ac:dyDescent="0.3">
      <c r="E554" s="68">
        <f>_xlfn.XLOOKUP(tblMovimientos[[#This Row],[Cuenta Bancaria]],Listas!$B:$B,Listas!$C:$C,"")</f>
        <v>0</v>
      </c>
      <c r="H554" s="4">
        <f>IFERROR(_xlfn.XLOOKUP(G554,Listas!E:E,Listas!F:F,""),"")</f>
        <v>0</v>
      </c>
      <c r="I554" s="68"/>
      <c r="N554" s="67" t="str">
        <f>IF(tblMovimientos[[#This Row],[Tipo de Movimiento]]="Ingreso",tblMovimientos[[#This Row],[Monto (S/)]],"0")</f>
        <v>0</v>
      </c>
      <c r="O554" s="67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0</v>
      </c>
    </row>
    <row r="555" spans="5:16" x14ac:dyDescent="0.3">
      <c r="E555" s="68">
        <f>_xlfn.XLOOKUP(tblMovimientos[[#This Row],[Cuenta Bancaria]],Listas!$B:$B,Listas!$C:$C,"")</f>
        <v>0</v>
      </c>
      <c r="H555" s="4">
        <f>IFERROR(_xlfn.XLOOKUP(G555,Listas!E:E,Listas!F:F,""),"")</f>
        <v>0</v>
      </c>
      <c r="I555" s="68"/>
      <c r="N555" s="67" t="str">
        <f>IF(tblMovimientos[[#This Row],[Tipo de Movimiento]]="Ingreso",tblMovimientos[[#This Row],[Monto (S/)]],"0")</f>
        <v>0</v>
      </c>
      <c r="O555" s="67" t="str">
        <f>IF(tblMovimientos[[#This Row],[Tipo de Movimiento]]="Egreso",tblMovimientos[[#This Row],[Monto (S/)]],"0")</f>
        <v>0</v>
      </c>
      <c r="P555" s="28">
        <f>IF(tblMovimientos[[#This Row],[Tipo de Movimiento]]="Ingreso",tblMovimientos[[#This Row],[Ingreso]],-tblMovimientos[[#This Row],[Egreso]])</f>
        <v>0</v>
      </c>
    </row>
    <row r="556" spans="5:16" x14ac:dyDescent="0.3">
      <c r="E556" s="68">
        <f>_xlfn.XLOOKUP(tblMovimientos[[#This Row],[Cuenta Bancaria]],Listas!$B:$B,Listas!$C:$C,"")</f>
        <v>0</v>
      </c>
      <c r="H556" s="4">
        <f>IFERROR(_xlfn.XLOOKUP(G556,Listas!E:E,Listas!F:F,""),"")</f>
        <v>0</v>
      </c>
      <c r="I556" s="68"/>
      <c r="N556" s="67" t="str">
        <f>IF(tblMovimientos[[#This Row],[Tipo de Movimiento]]="Ingreso",tblMovimientos[[#This Row],[Monto (S/)]],"0")</f>
        <v>0</v>
      </c>
      <c r="O556" s="67" t="str">
        <f>IF(tblMovimientos[[#This Row],[Tipo de Movimiento]]="Egreso",tblMovimientos[[#This Row],[Monto (S/)]],"0")</f>
        <v>0</v>
      </c>
      <c r="P556" s="28">
        <f>IF(tblMovimientos[[#This Row],[Tipo de Movimiento]]="Ingreso",tblMovimientos[[#This Row],[Ingreso]],-tblMovimientos[[#This Row],[Egreso]])</f>
        <v>0</v>
      </c>
    </row>
    <row r="557" spans="5:16" x14ac:dyDescent="0.3">
      <c r="E557" s="68">
        <f>_xlfn.XLOOKUP(tblMovimientos[[#This Row],[Cuenta Bancaria]],Listas!$B:$B,Listas!$C:$C,"")</f>
        <v>0</v>
      </c>
      <c r="H557" s="4">
        <f>IFERROR(_xlfn.XLOOKUP(G557,Listas!E:E,Listas!F:F,""),"")</f>
        <v>0</v>
      </c>
      <c r="I557" s="68"/>
      <c r="N557" s="67" t="str">
        <f>IF(tblMovimientos[[#This Row],[Tipo de Movimiento]]="Ingreso",tblMovimientos[[#This Row],[Monto (S/)]],"0")</f>
        <v>0</v>
      </c>
      <c r="O557" s="67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0</v>
      </c>
    </row>
    <row r="558" spans="5:16" x14ac:dyDescent="0.3">
      <c r="E558" s="68">
        <f>_xlfn.XLOOKUP(tblMovimientos[[#This Row],[Cuenta Bancaria]],Listas!$B:$B,Listas!$C:$C,"")</f>
        <v>0</v>
      </c>
      <c r="H558" s="4">
        <f>IFERROR(_xlfn.XLOOKUP(G558,Listas!E:E,Listas!F:F,""),"")</f>
        <v>0</v>
      </c>
      <c r="I558" s="68"/>
      <c r="N558" s="67" t="str">
        <f>IF(tblMovimientos[[#This Row],[Tipo de Movimiento]]="Ingreso",tblMovimientos[[#This Row],[Monto (S/)]],"0")</f>
        <v>0</v>
      </c>
      <c r="O558" s="67" t="str">
        <f>IF(tblMovimientos[[#This Row],[Tipo de Movimiento]]="Egreso",tblMovimientos[[#This Row],[Monto (S/)]],"0")</f>
        <v>0</v>
      </c>
      <c r="P558" s="28">
        <f>IF(tblMovimientos[[#This Row],[Tipo de Movimiento]]="Ingreso",tblMovimientos[[#This Row],[Ingreso]],-tblMovimientos[[#This Row],[Egreso]])</f>
        <v>0</v>
      </c>
    </row>
    <row r="559" spans="5:16" x14ac:dyDescent="0.3">
      <c r="E559" s="68">
        <f>_xlfn.XLOOKUP(tblMovimientos[[#This Row],[Cuenta Bancaria]],Listas!$B:$B,Listas!$C:$C,"")</f>
        <v>0</v>
      </c>
      <c r="H559" s="4">
        <f>IFERROR(_xlfn.XLOOKUP(G559,Listas!E:E,Listas!F:F,""),"")</f>
        <v>0</v>
      </c>
      <c r="I559" s="68"/>
      <c r="N559" s="67" t="str">
        <f>IF(tblMovimientos[[#This Row],[Tipo de Movimiento]]="Ingreso",tblMovimientos[[#This Row],[Monto (S/)]],"0")</f>
        <v>0</v>
      </c>
      <c r="O559" s="67" t="str">
        <f>IF(tblMovimientos[[#This Row],[Tipo de Movimiento]]="Egreso",tblMovimientos[[#This Row],[Monto (S/)]],"0")</f>
        <v>0</v>
      </c>
      <c r="P559" s="28">
        <f>IF(tblMovimientos[[#This Row],[Tipo de Movimiento]]="Ingreso",tblMovimientos[[#This Row],[Ingreso]],-tblMovimientos[[#This Row],[Egreso]])</f>
        <v>0</v>
      </c>
    </row>
    <row r="560" spans="5:16" x14ac:dyDescent="0.3">
      <c r="E560" s="68">
        <f>_xlfn.XLOOKUP(tblMovimientos[[#This Row],[Cuenta Bancaria]],Listas!$B:$B,Listas!$C:$C,"")</f>
        <v>0</v>
      </c>
      <c r="H560" s="4">
        <f>IFERROR(_xlfn.XLOOKUP(G560,Listas!E:E,Listas!F:F,""),"")</f>
        <v>0</v>
      </c>
      <c r="I560" s="68"/>
      <c r="N560" s="67" t="str">
        <f>IF(tblMovimientos[[#This Row],[Tipo de Movimiento]]="Ingreso",tblMovimientos[[#This Row],[Monto (S/)]],"0")</f>
        <v>0</v>
      </c>
      <c r="O560" s="67" t="str">
        <f>IF(tblMovimientos[[#This Row],[Tipo de Movimiento]]="Egreso",tblMovimientos[[#This Row],[Monto (S/)]],"0")</f>
        <v>0</v>
      </c>
      <c r="P560" s="28">
        <f>IF(tblMovimientos[[#This Row],[Tipo de Movimiento]]="Ingreso",tblMovimientos[[#This Row],[Ingreso]],-tblMovimientos[[#This Row],[Egreso]])</f>
        <v>0</v>
      </c>
    </row>
    <row r="561" spans="5:16" x14ac:dyDescent="0.3">
      <c r="E561" s="68">
        <f>_xlfn.XLOOKUP(tblMovimientos[[#This Row],[Cuenta Bancaria]],Listas!$B:$B,Listas!$C:$C,"")</f>
        <v>0</v>
      </c>
      <c r="H561" s="4">
        <f>IFERROR(_xlfn.XLOOKUP(G561,Listas!E:E,Listas!F:F,""),"")</f>
        <v>0</v>
      </c>
      <c r="I561" s="68"/>
      <c r="N561" s="67" t="str">
        <f>IF(tblMovimientos[[#This Row],[Tipo de Movimiento]]="Ingreso",tblMovimientos[[#This Row],[Monto (S/)]],"0")</f>
        <v>0</v>
      </c>
      <c r="O561" s="67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0</v>
      </c>
    </row>
    <row r="562" spans="5:16" x14ac:dyDescent="0.3">
      <c r="E562" s="68">
        <f>_xlfn.XLOOKUP(tblMovimientos[[#This Row],[Cuenta Bancaria]],Listas!$B:$B,Listas!$C:$C,"")</f>
        <v>0</v>
      </c>
      <c r="H562" s="4">
        <f>IFERROR(_xlfn.XLOOKUP(G562,Listas!E:E,Listas!F:F,""),"")</f>
        <v>0</v>
      </c>
      <c r="I562" s="68"/>
      <c r="N562" s="67" t="str">
        <f>IF(tblMovimientos[[#This Row],[Tipo de Movimiento]]="Ingreso",tblMovimientos[[#This Row],[Monto (S/)]],"0")</f>
        <v>0</v>
      </c>
      <c r="O562" s="67" t="str">
        <f>IF(tblMovimientos[[#This Row],[Tipo de Movimiento]]="Egreso",tblMovimientos[[#This Row],[Monto (S/)]],"0")</f>
        <v>0</v>
      </c>
      <c r="P562" s="28">
        <f>IF(tblMovimientos[[#This Row],[Tipo de Movimiento]]="Ingreso",tblMovimientos[[#This Row],[Ingreso]],-tblMovimientos[[#This Row],[Egreso]])</f>
        <v>0</v>
      </c>
    </row>
    <row r="563" spans="5:16" x14ac:dyDescent="0.3">
      <c r="E563" s="68">
        <f>_xlfn.XLOOKUP(tblMovimientos[[#This Row],[Cuenta Bancaria]],Listas!$B:$B,Listas!$C:$C,"")</f>
        <v>0</v>
      </c>
      <c r="H563" s="4">
        <f>IFERROR(_xlfn.XLOOKUP(G563,Listas!E:E,Listas!F:F,""),"")</f>
        <v>0</v>
      </c>
      <c r="I563" s="68"/>
      <c r="N563" s="67" t="str">
        <f>IF(tblMovimientos[[#This Row],[Tipo de Movimiento]]="Ingreso",tblMovimientos[[#This Row],[Monto (S/)]],"0")</f>
        <v>0</v>
      </c>
      <c r="O563" s="67" t="str">
        <f>IF(tblMovimientos[[#This Row],[Tipo de Movimiento]]="Egreso",tblMovimientos[[#This Row],[Monto (S/)]],"0")</f>
        <v>0</v>
      </c>
      <c r="P563" s="28">
        <f>IF(tblMovimientos[[#This Row],[Tipo de Movimiento]]="Ingreso",tblMovimientos[[#This Row],[Ingreso]],-tblMovimientos[[#This Row],[Egreso]])</f>
        <v>0</v>
      </c>
    </row>
    <row r="564" spans="5:16" x14ac:dyDescent="0.3">
      <c r="E564" s="68">
        <f>_xlfn.XLOOKUP(tblMovimientos[[#This Row],[Cuenta Bancaria]],Listas!$B:$B,Listas!$C:$C,"")</f>
        <v>0</v>
      </c>
      <c r="H564" s="4">
        <f>IFERROR(_xlfn.XLOOKUP(G564,Listas!E:E,Listas!F:F,""),"")</f>
        <v>0</v>
      </c>
      <c r="I564" s="68"/>
      <c r="N564" s="67" t="str">
        <f>IF(tblMovimientos[[#This Row],[Tipo de Movimiento]]="Ingreso",tblMovimientos[[#This Row],[Monto (S/)]],"0")</f>
        <v>0</v>
      </c>
      <c r="O564" s="67" t="str">
        <f>IF(tblMovimientos[[#This Row],[Tipo de Movimiento]]="Egreso",tblMovimientos[[#This Row],[Monto (S/)]],"0")</f>
        <v>0</v>
      </c>
      <c r="P564" s="28">
        <f>IF(tblMovimientos[[#This Row],[Tipo de Movimiento]]="Ingreso",tblMovimientos[[#This Row],[Ingreso]],-tblMovimientos[[#This Row],[Egreso]])</f>
        <v>0</v>
      </c>
    </row>
    <row r="565" spans="5:16" x14ac:dyDescent="0.3">
      <c r="E565" s="68">
        <f>_xlfn.XLOOKUP(tblMovimientos[[#This Row],[Cuenta Bancaria]],Listas!$B:$B,Listas!$C:$C,"")</f>
        <v>0</v>
      </c>
      <c r="H565" s="4">
        <f>IFERROR(_xlfn.XLOOKUP(G565,Listas!E:E,Listas!F:F,""),"")</f>
        <v>0</v>
      </c>
      <c r="I565" s="68"/>
      <c r="N565" s="67" t="str">
        <f>IF(tblMovimientos[[#This Row],[Tipo de Movimiento]]="Ingreso",tblMovimientos[[#This Row],[Monto (S/)]],"0")</f>
        <v>0</v>
      </c>
      <c r="O565" s="67" t="str">
        <f>IF(tblMovimientos[[#This Row],[Tipo de Movimiento]]="Egreso",tblMovimientos[[#This Row],[Monto (S/)]],"0")</f>
        <v>0</v>
      </c>
      <c r="P565" s="28">
        <f>IF(tblMovimientos[[#This Row],[Tipo de Movimiento]]="Ingreso",tblMovimientos[[#This Row],[Ingreso]],-tblMovimientos[[#This Row],[Egreso]])</f>
        <v>0</v>
      </c>
    </row>
    <row r="566" spans="5:16" x14ac:dyDescent="0.3">
      <c r="E566" s="68">
        <f>_xlfn.XLOOKUP(tblMovimientos[[#This Row],[Cuenta Bancaria]],Listas!$B:$B,Listas!$C:$C,"")</f>
        <v>0</v>
      </c>
      <c r="H566" s="4">
        <f>IFERROR(_xlfn.XLOOKUP(G566,Listas!E:E,Listas!F:F,""),"")</f>
        <v>0</v>
      </c>
      <c r="I566" s="68"/>
      <c r="N566" s="67" t="str">
        <f>IF(tblMovimientos[[#This Row],[Tipo de Movimiento]]="Ingreso",tblMovimientos[[#This Row],[Monto (S/)]],"0")</f>
        <v>0</v>
      </c>
      <c r="O566" s="67" t="str">
        <f>IF(tblMovimientos[[#This Row],[Tipo de Movimiento]]="Egreso",tblMovimientos[[#This Row],[Monto (S/)]],"0")</f>
        <v>0</v>
      </c>
      <c r="P566" s="28">
        <f>IF(tblMovimientos[[#This Row],[Tipo de Movimiento]]="Ingreso",tblMovimientos[[#This Row],[Ingreso]],-tblMovimientos[[#This Row],[Egreso]])</f>
        <v>0</v>
      </c>
    </row>
    <row r="567" spans="5:16" x14ac:dyDescent="0.3">
      <c r="E567" s="68">
        <f>_xlfn.XLOOKUP(tblMovimientos[[#This Row],[Cuenta Bancaria]],Listas!$B:$B,Listas!$C:$C,"")</f>
        <v>0</v>
      </c>
      <c r="H567" s="4">
        <f>IFERROR(_xlfn.XLOOKUP(G567,Listas!E:E,Listas!F:F,""),"")</f>
        <v>0</v>
      </c>
      <c r="I567" s="68"/>
      <c r="N567" s="67" t="str">
        <f>IF(tblMovimientos[[#This Row],[Tipo de Movimiento]]="Ingreso",tblMovimientos[[#This Row],[Monto (S/)]],"0")</f>
        <v>0</v>
      </c>
      <c r="O567" s="67" t="str">
        <f>IF(tblMovimientos[[#This Row],[Tipo de Movimiento]]="Egreso",tblMovimientos[[#This Row],[Monto (S/)]],"0")</f>
        <v>0</v>
      </c>
      <c r="P567" s="28">
        <f>IF(tblMovimientos[[#This Row],[Tipo de Movimiento]]="Ingreso",tblMovimientos[[#This Row],[Ingreso]],-tblMovimientos[[#This Row],[Egreso]])</f>
        <v>0</v>
      </c>
    </row>
    <row r="568" spans="5:16" x14ac:dyDescent="0.3">
      <c r="E568" s="68">
        <f>_xlfn.XLOOKUP(tblMovimientos[[#This Row],[Cuenta Bancaria]],Listas!$B:$B,Listas!$C:$C,"")</f>
        <v>0</v>
      </c>
      <c r="H568" s="4">
        <f>IFERROR(_xlfn.XLOOKUP(G568,Listas!E:E,Listas!F:F,""),"")</f>
        <v>0</v>
      </c>
      <c r="I568" s="68"/>
      <c r="N568" s="67" t="str">
        <f>IF(tblMovimientos[[#This Row],[Tipo de Movimiento]]="Ingreso",tblMovimientos[[#This Row],[Monto (S/)]],"0")</f>
        <v>0</v>
      </c>
      <c r="O568" s="67" t="str">
        <f>IF(tblMovimientos[[#This Row],[Tipo de Movimiento]]="Egreso",tblMovimientos[[#This Row],[Monto (S/)]],"0")</f>
        <v>0</v>
      </c>
      <c r="P568" s="28">
        <f>IF(tblMovimientos[[#This Row],[Tipo de Movimiento]]="Ingreso",tblMovimientos[[#This Row],[Ingreso]],-tblMovimientos[[#This Row],[Egreso]])</f>
        <v>0</v>
      </c>
    </row>
    <row r="569" spans="5:16" x14ac:dyDescent="0.3">
      <c r="E569" s="68">
        <f>_xlfn.XLOOKUP(tblMovimientos[[#This Row],[Cuenta Bancaria]],Listas!$B:$B,Listas!$C:$C,"")</f>
        <v>0</v>
      </c>
      <c r="H569" s="4">
        <f>IFERROR(_xlfn.XLOOKUP(G569,Listas!E:E,Listas!F:F,""),"")</f>
        <v>0</v>
      </c>
      <c r="I569" s="68"/>
      <c r="N569" s="67" t="str">
        <f>IF(tblMovimientos[[#This Row],[Tipo de Movimiento]]="Ingreso",tblMovimientos[[#This Row],[Monto (S/)]],"0")</f>
        <v>0</v>
      </c>
      <c r="O569" s="67" t="str">
        <f>IF(tblMovimientos[[#This Row],[Tipo de Movimiento]]="Egreso",tblMovimientos[[#This Row],[Monto (S/)]],"0")</f>
        <v>0</v>
      </c>
      <c r="P569" s="28">
        <f>IF(tblMovimientos[[#This Row],[Tipo de Movimiento]]="Ingreso",tblMovimientos[[#This Row],[Ingreso]],-tblMovimientos[[#This Row],[Egreso]])</f>
        <v>0</v>
      </c>
    </row>
    <row r="570" spans="5:16" x14ac:dyDescent="0.3">
      <c r="E570" s="68">
        <f>_xlfn.XLOOKUP(tblMovimientos[[#This Row],[Cuenta Bancaria]],Listas!$B:$B,Listas!$C:$C,"")</f>
        <v>0</v>
      </c>
      <c r="H570" s="4">
        <f>IFERROR(_xlfn.XLOOKUP(G570,Listas!E:E,Listas!F:F,""),"")</f>
        <v>0</v>
      </c>
      <c r="I570" s="68"/>
      <c r="N570" s="67" t="str">
        <f>IF(tblMovimientos[[#This Row],[Tipo de Movimiento]]="Ingreso",tblMovimientos[[#This Row],[Monto (S/)]],"0")</f>
        <v>0</v>
      </c>
      <c r="O570" s="67" t="str">
        <f>IF(tblMovimientos[[#This Row],[Tipo de Movimiento]]="Egreso",tblMovimientos[[#This Row],[Monto (S/)]],"0")</f>
        <v>0</v>
      </c>
      <c r="P570" s="28">
        <f>IF(tblMovimientos[[#This Row],[Tipo de Movimiento]]="Ingreso",tblMovimientos[[#This Row],[Ingreso]],-tblMovimientos[[#This Row],[Egreso]])</f>
        <v>0</v>
      </c>
    </row>
    <row r="571" spans="5:16" x14ac:dyDescent="0.3">
      <c r="E571" s="68">
        <f>_xlfn.XLOOKUP(tblMovimientos[[#This Row],[Cuenta Bancaria]],Listas!$B:$B,Listas!$C:$C,"")</f>
        <v>0</v>
      </c>
      <c r="H571" s="4">
        <f>IFERROR(_xlfn.XLOOKUP(G571,Listas!E:E,Listas!F:F,""),"")</f>
        <v>0</v>
      </c>
      <c r="I571" s="68"/>
      <c r="N571" s="67" t="str">
        <f>IF(tblMovimientos[[#This Row],[Tipo de Movimiento]]="Ingreso",tblMovimientos[[#This Row],[Monto (S/)]],"0")</f>
        <v>0</v>
      </c>
      <c r="O571" s="67" t="str">
        <f>IF(tblMovimientos[[#This Row],[Tipo de Movimiento]]="Egreso",tblMovimientos[[#This Row],[Monto (S/)]],"0")</f>
        <v>0</v>
      </c>
      <c r="P571" s="28">
        <f>IF(tblMovimientos[[#This Row],[Tipo de Movimiento]]="Ingreso",tblMovimientos[[#This Row],[Ingreso]],-tblMovimientos[[#This Row],[Egreso]])</f>
        <v>0</v>
      </c>
    </row>
    <row r="572" spans="5:16" x14ac:dyDescent="0.3">
      <c r="E572" s="68">
        <f>_xlfn.XLOOKUP(tblMovimientos[[#This Row],[Cuenta Bancaria]],Listas!$B:$B,Listas!$C:$C,"")</f>
        <v>0</v>
      </c>
      <c r="H572" s="4">
        <f>IFERROR(_xlfn.XLOOKUP(G572,Listas!E:E,Listas!F:F,""),"")</f>
        <v>0</v>
      </c>
      <c r="I572" s="68"/>
      <c r="N572" s="67" t="str">
        <f>IF(tblMovimientos[[#This Row],[Tipo de Movimiento]]="Ingreso",tblMovimientos[[#This Row],[Monto (S/)]],"0")</f>
        <v>0</v>
      </c>
      <c r="O572" s="67" t="str">
        <f>IF(tblMovimientos[[#This Row],[Tipo de Movimiento]]="Egreso",tblMovimientos[[#This Row],[Monto (S/)]],"0")</f>
        <v>0</v>
      </c>
      <c r="P572" s="28">
        <f>IF(tblMovimientos[[#This Row],[Tipo de Movimiento]]="Ingreso",tblMovimientos[[#This Row],[Ingreso]],-tblMovimientos[[#This Row],[Egreso]])</f>
        <v>0</v>
      </c>
    </row>
    <row r="573" spans="5:16" x14ac:dyDescent="0.3">
      <c r="E573" s="68">
        <f>_xlfn.XLOOKUP(tblMovimientos[[#This Row],[Cuenta Bancaria]],Listas!$B:$B,Listas!$C:$C,"")</f>
        <v>0</v>
      </c>
      <c r="H573" s="4">
        <f>IFERROR(_xlfn.XLOOKUP(G573,Listas!E:E,Listas!F:F,""),"")</f>
        <v>0</v>
      </c>
      <c r="I573" s="68"/>
      <c r="N573" s="67" t="str">
        <f>IF(tblMovimientos[[#This Row],[Tipo de Movimiento]]="Ingreso",tblMovimientos[[#This Row],[Monto (S/)]],"0")</f>
        <v>0</v>
      </c>
      <c r="O573" s="67" t="str">
        <f>IF(tblMovimientos[[#This Row],[Tipo de Movimiento]]="Egreso",tblMovimientos[[#This Row],[Monto (S/)]],"0")</f>
        <v>0</v>
      </c>
      <c r="P573" s="28">
        <f>IF(tblMovimientos[[#This Row],[Tipo de Movimiento]]="Ingreso",tblMovimientos[[#This Row],[Ingreso]],-tblMovimientos[[#This Row],[Egreso]])</f>
        <v>0</v>
      </c>
    </row>
    <row r="574" spans="5:16" x14ac:dyDescent="0.3">
      <c r="E574" s="68">
        <f>_xlfn.XLOOKUP(tblMovimientos[[#This Row],[Cuenta Bancaria]],Listas!$B:$B,Listas!$C:$C,"")</f>
        <v>0</v>
      </c>
      <c r="H574" s="4">
        <f>IFERROR(_xlfn.XLOOKUP(G574,Listas!E:E,Listas!F:F,""),"")</f>
        <v>0</v>
      </c>
      <c r="I574" s="68"/>
      <c r="N574" s="67" t="str">
        <f>IF(tblMovimientos[[#This Row],[Tipo de Movimiento]]="Ingreso",tblMovimientos[[#This Row],[Monto (S/)]],"0")</f>
        <v>0</v>
      </c>
      <c r="O574" s="67" t="str">
        <f>IF(tblMovimientos[[#This Row],[Tipo de Movimiento]]="Egreso",tblMovimientos[[#This Row],[Monto (S/)]],"0")</f>
        <v>0</v>
      </c>
      <c r="P574" s="28">
        <f>IF(tblMovimientos[[#This Row],[Tipo de Movimiento]]="Ingreso",tblMovimientos[[#This Row],[Ingreso]],-tblMovimientos[[#This Row],[Egreso]])</f>
        <v>0</v>
      </c>
    </row>
    <row r="575" spans="5:16" x14ac:dyDescent="0.3">
      <c r="E575" s="68">
        <f>_xlfn.XLOOKUP(tblMovimientos[[#This Row],[Cuenta Bancaria]],Listas!$B:$B,Listas!$C:$C,"")</f>
        <v>0</v>
      </c>
      <c r="H575" s="4">
        <f>IFERROR(_xlfn.XLOOKUP(G575,Listas!E:E,Listas!F:F,""),"")</f>
        <v>0</v>
      </c>
      <c r="I575" s="68"/>
      <c r="N575" s="67" t="str">
        <f>IF(tblMovimientos[[#This Row],[Tipo de Movimiento]]="Ingreso",tblMovimientos[[#This Row],[Monto (S/)]],"0")</f>
        <v>0</v>
      </c>
      <c r="O575" s="67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0</v>
      </c>
    </row>
    <row r="576" spans="5:16" x14ac:dyDescent="0.3">
      <c r="E576" s="68">
        <f>_xlfn.XLOOKUP(tblMovimientos[[#This Row],[Cuenta Bancaria]],Listas!$B:$B,Listas!$C:$C,"")</f>
        <v>0</v>
      </c>
      <c r="H576" s="4">
        <f>IFERROR(_xlfn.XLOOKUP(G576,Listas!E:E,Listas!F:F,""),"")</f>
        <v>0</v>
      </c>
      <c r="I576" s="68"/>
      <c r="N576" s="67" t="str">
        <f>IF(tblMovimientos[[#This Row],[Tipo de Movimiento]]="Ingreso",tblMovimientos[[#This Row],[Monto (S/)]],"0")</f>
        <v>0</v>
      </c>
      <c r="O576" s="67" t="str">
        <f>IF(tblMovimientos[[#This Row],[Tipo de Movimiento]]="Egreso",tblMovimientos[[#This Row],[Monto (S/)]],"0")</f>
        <v>0</v>
      </c>
      <c r="P576" s="28">
        <f>IF(tblMovimientos[[#This Row],[Tipo de Movimiento]]="Ingreso",tblMovimientos[[#This Row],[Ingreso]],-tblMovimientos[[#This Row],[Egreso]])</f>
        <v>0</v>
      </c>
    </row>
    <row r="577" spans="5:16" x14ac:dyDescent="0.3">
      <c r="E577" s="68">
        <f>_xlfn.XLOOKUP(tblMovimientos[[#This Row],[Cuenta Bancaria]],Listas!$B:$B,Listas!$C:$C,"")</f>
        <v>0</v>
      </c>
      <c r="H577" s="4">
        <f>IFERROR(_xlfn.XLOOKUP(G577,Listas!E:E,Listas!F:F,""),"")</f>
        <v>0</v>
      </c>
      <c r="I577" s="68"/>
      <c r="N577" s="67" t="str">
        <f>IF(tblMovimientos[[#This Row],[Tipo de Movimiento]]="Ingreso",tblMovimientos[[#This Row],[Monto (S/)]],"0")</f>
        <v>0</v>
      </c>
      <c r="O577" s="67" t="str">
        <f>IF(tblMovimientos[[#This Row],[Tipo de Movimiento]]="Egreso",tblMovimientos[[#This Row],[Monto (S/)]],"0")</f>
        <v>0</v>
      </c>
      <c r="P577" s="28">
        <f>IF(tblMovimientos[[#This Row],[Tipo de Movimiento]]="Ingreso",tblMovimientos[[#This Row],[Ingreso]],-tblMovimientos[[#This Row],[Egreso]])</f>
        <v>0</v>
      </c>
    </row>
    <row r="578" spans="5:16" x14ac:dyDescent="0.3">
      <c r="E578" s="68">
        <f>_xlfn.XLOOKUP(tblMovimientos[[#This Row],[Cuenta Bancaria]],Listas!$B:$B,Listas!$C:$C,"")</f>
        <v>0</v>
      </c>
      <c r="H578" s="4">
        <f>IFERROR(_xlfn.XLOOKUP(G578,Listas!E:E,Listas!F:F,""),"")</f>
        <v>0</v>
      </c>
      <c r="I578" s="68"/>
      <c r="N578" s="67" t="str">
        <f>IF(tblMovimientos[[#This Row],[Tipo de Movimiento]]="Ingreso",tblMovimientos[[#This Row],[Monto (S/)]],"0")</f>
        <v>0</v>
      </c>
      <c r="O578" s="67" t="str">
        <f>IF(tblMovimientos[[#This Row],[Tipo de Movimiento]]="Egreso",tblMovimientos[[#This Row],[Monto (S/)]],"0")</f>
        <v>0</v>
      </c>
      <c r="P578" s="28">
        <f>IF(tblMovimientos[[#This Row],[Tipo de Movimiento]]="Ingreso",tblMovimientos[[#This Row],[Ingreso]],-tblMovimientos[[#This Row],[Egreso]])</f>
        <v>0</v>
      </c>
    </row>
    <row r="579" spans="5:16" x14ac:dyDescent="0.3">
      <c r="E579" s="68">
        <f>_xlfn.XLOOKUP(tblMovimientos[[#This Row],[Cuenta Bancaria]],Listas!$B:$B,Listas!$C:$C,"")</f>
        <v>0</v>
      </c>
      <c r="H579" s="4">
        <f>IFERROR(_xlfn.XLOOKUP(G579,Listas!E:E,Listas!F:F,""),"")</f>
        <v>0</v>
      </c>
      <c r="I579" s="68"/>
      <c r="N579" s="67" t="str">
        <f>IF(tblMovimientos[[#This Row],[Tipo de Movimiento]]="Ingreso",tblMovimientos[[#This Row],[Monto (S/)]],"0")</f>
        <v>0</v>
      </c>
      <c r="O579" s="67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0</v>
      </c>
    </row>
    <row r="580" spans="5:16" x14ac:dyDescent="0.3">
      <c r="E580" s="68">
        <f>_xlfn.XLOOKUP(tblMovimientos[[#This Row],[Cuenta Bancaria]],Listas!$B:$B,Listas!$C:$C,"")</f>
        <v>0</v>
      </c>
      <c r="H580" s="4">
        <f>IFERROR(_xlfn.XLOOKUP(G580,Listas!E:E,Listas!F:F,""),"")</f>
        <v>0</v>
      </c>
      <c r="I580" s="68"/>
      <c r="N580" s="67" t="str">
        <f>IF(tblMovimientos[[#This Row],[Tipo de Movimiento]]="Ingreso",tblMovimientos[[#This Row],[Monto (S/)]],"0")</f>
        <v>0</v>
      </c>
      <c r="O580" s="67" t="str">
        <f>IF(tblMovimientos[[#This Row],[Tipo de Movimiento]]="Egreso",tblMovimientos[[#This Row],[Monto (S/)]],"0")</f>
        <v>0</v>
      </c>
      <c r="P580" s="28">
        <f>IF(tblMovimientos[[#This Row],[Tipo de Movimiento]]="Ingreso",tblMovimientos[[#This Row],[Ingreso]],-tblMovimientos[[#This Row],[Egreso]])</f>
        <v>0</v>
      </c>
    </row>
    <row r="581" spans="5:16" x14ac:dyDescent="0.3">
      <c r="E581" s="68">
        <f>_xlfn.XLOOKUP(tblMovimientos[[#This Row],[Cuenta Bancaria]],Listas!$B:$B,Listas!$C:$C,"")</f>
        <v>0</v>
      </c>
      <c r="H581" s="4">
        <f>IFERROR(_xlfn.XLOOKUP(G581,Listas!E:E,Listas!F:F,""),"")</f>
        <v>0</v>
      </c>
      <c r="I581" s="68"/>
      <c r="N581" s="67" t="str">
        <f>IF(tblMovimientos[[#This Row],[Tipo de Movimiento]]="Ingreso",tblMovimientos[[#This Row],[Monto (S/)]],"0")</f>
        <v>0</v>
      </c>
      <c r="O581" s="67" t="str">
        <f>IF(tblMovimientos[[#This Row],[Tipo de Movimiento]]="Egreso",tblMovimientos[[#This Row],[Monto (S/)]],"0")</f>
        <v>0</v>
      </c>
      <c r="P581" s="28">
        <f>IF(tblMovimientos[[#This Row],[Tipo de Movimiento]]="Ingreso",tblMovimientos[[#This Row],[Ingreso]],-tblMovimientos[[#This Row],[Egreso]])</f>
        <v>0</v>
      </c>
    </row>
    <row r="582" spans="5:16" x14ac:dyDescent="0.3">
      <c r="E582" s="68">
        <f>_xlfn.XLOOKUP(tblMovimientos[[#This Row],[Cuenta Bancaria]],Listas!$B:$B,Listas!$C:$C,"")</f>
        <v>0</v>
      </c>
      <c r="H582" s="4">
        <f>IFERROR(_xlfn.XLOOKUP(G582,Listas!E:E,Listas!F:F,""),"")</f>
        <v>0</v>
      </c>
      <c r="I582" s="68"/>
      <c r="N582" s="67" t="str">
        <f>IF(tblMovimientos[[#This Row],[Tipo de Movimiento]]="Ingreso",tblMovimientos[[#This Row],[Monto (S/)]],"0")</f>
        <v>0</v>
      </c>
      <c r="O582" s="67" t="str">
        <f>IF(tblMovimientos[[#This Row],[Tipo de Movimiento]]="Egreso",tblMovimientos[[#This Row],[Monto (S/)]],"0")</f>
        <v>0</v>
      </c>
      <c r="P582" s="28">
        <f>IF(tblMovimientos[[#This Row],[Tipo de Movimiento]]="Ingreso",tblMovimientos[[#This Row],[Ingreso]],-tblMovimientos[[#This Row],[Egreso]])</f>
        <v>0</v>
      </c>
    </row>
    <row r="583" spans="5:16" x14ac:dyDescent="0.3">
      <c r="E583" s="68">
        <f>_xlfn.XLOOKUP(tblMovimientos[[#This Row],[Cuenta Bancaria]],Listas!$B:$B,Listas!$C:$C,"")</f>
        <v>0</v>
      </c>
      <c r="H583" s="4">
        <f>IFERROR(_xlfn.XLOOKUP(G583,Listas!E:E,Listas!F:F,""),"")</f>
        <v>0</v>
      </c>
      <c r="I583" s="68"/>
      <c r="N583" s="67" t="str">
        <f>IF(tblMovimientos[[#This Row],[Tipo de Movimiento]]="Ingreso",tblMovimientos[[#This Row],[Monto (S/)]],"0")</f>
        <v>0</v>
      </c>
      <c r="O583" s="67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0</v>
      </c>
    </row>
    <row r="584" spans="5:16" x14ac:dyDescent="0.3">
      <c r="E584" s="68">
        <f>_xlfn.XLOOKUP(tblMovimientos[[#This Row],[Cuenta Bancaria]],Listas!$B:$B,Listas!$C:$C,"")</f>
        <v>0</v>
      </c>
      <c r="H584" s="4">
        <f>IFERROR(_xlfn.XLOOKUP(G584,Listas!E:E,Listas!F:F,""),"")</f>
        <v>0</v>
      </c>
      <c r="I584" s="68"/>
      <c r="N584" s="67" t="str">
        <f>IF(tblMovimientos[[#This Row],[Tipo de Movimiento]]="Ingreso",tblMovimientos[[#This Row],[Monto (S/)]],"0")</f>
        <v>0</v>
      </c>
      <c r="O584" s="67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0</v>
      </c>
    </row>
    <row r="585" spans="5:16" x14ac:dyDescent="0.3">
      <c r="E585" s="68">
        <f>_xlfn.XLOOKUP(tblMovimientos[[#This Row],[Cuenta Bancaria]],Listas!$B:$B,Listas!$C:$C,"")</f>
        <v>0</v>
      </c>
      <c r="H585" s="4">
        <f>IFERROR(_xlfn.XLOOKUP(G585,Listas!E:E,Listas!F:F,""),"")</f>
        <v>0</v>
      </c>
      <c r="I585" s="68"/>
      <c r="N585" s="67" t="str">
        <f>IF(tblMovimientos[[#This Row],[Tipo de Movimiento]]="Ingreso",tblMovimientos[[#This Row],[Monto (S/)]],"0")</f>
        <v>0</v>
      </c>
      <c r="O585" s="67" t="str">
        <f>IF(tblMovimientos[[#This Row],[Tipo de Movimiento]]="Egreso",tblMovimientos[[#This Row],[Monto (S/)]],"0")</f>
        <v>0</v>
      </c>
      <c r="P585" s="28">
        <f>IF(tblMovimientos[[#This Row],[Tipo de Movimiento]]="Ingreso",tblMovimientos[[#This Row],[Ingreso]],-tblMovimientos[[#This Row],[Egreso]])</f>
        <v>0</v>
      </c>
    </row>
    <row r="586" spans="5:16" x14ac:dyDescent="0.3">
      <c r="E586" s="68">
        <f>_xlfn.XLOOKUP(tblMovimientos[[#This Row],[Cuenta Bancaria]],Listas!$B:$B,Listas!$C:$C,"")</f>
        <v>0</v>
      </c>
      <c r="H586" s="4">
        <f>IFERROR(_xlfn.XLOOKUP(G586,Listas!E:E,Listas!F:F,""),"")</f>
        <v>0</v>
      </c>
      <c r="I586" s="68"/>
      <c r="N586" s="67" t="str">
        <f>IF(tblMovimientos[[#This Row],[Tipo de Movimiento]]="Ingreso",tblMovimientos[[#This Row],[Monto (S/)]],"0")</f>
        <v>0</v>
      </c>
      <c r="O586" s="67" t="str">
        <f>IF(tblMovimientos[[#This Row],[Tipo de Movimiento]]="Egreso",tblMovimientos[[#This Row],[Monto (S/)]],"0")</f>
        <v>0</v>
      </c>
      <c r="P586" s="28">
        <f>IF(tblMovimientos[[#This Row],[Tipo de Movimiento]]="Ingreso",tblMovimientos[[#This Row],[Ingreso]],-tblMovimientos[[#This Row],[Egreso]])</f>
        <v>0</v>
      </c>
    </row>
    <row r="587" spans="5:16" x14ac:dyDescent="0.3">
      <c r="E587" s="68">
        <f>_xlfn.XLOOKUP(tblMovimientos[[#This Row],[Cuenta Bancaria]],Listas!$B:$B,Listas!$C:$C,"")</f>
        <v>0</v>
      </c>
      <c r="H587" s="4">
        <f>IFERROR(_xlfn.XLOOKUP(G587,Listas!E:E,Listas!F:F,""),"")</f>
        <v>0</v>
      </c>
      <c r="I587" s="68"/>
      <c r="N587" s="67" t="str">
        <f>IF(tblMovimientos[[#This Row],[Tipo de Movimiento]]="Ingreso",tblMovimientos[[#This Row],[Monto (S/)]],"0")</f>
        <v>0</v>
      </c>
      <c r="O587" s="67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0</v>
      </c>
    </row>
    <row r="588" spans="5:16" x14ac:dyDescent="0.3">
      <c r="E588" s="68">
        <f>_xlfn.XLOOKUP(tblMovimientos[[#This Row],[Cuenta Bancaria]],Listas!$B:$B,Listas!$C:$C,"")</f>
        <v>0</v>
      </c>
      <c r="H588" s="4">
        <f>IFERROR(_xlfn.XLOOKUP(G588,Listas!E:E,Listas!F:F,""),"")</f>
        <v>0</v>
      </c>
      <c r="I588" s="68"/>
      <c r="N588" s="67" t="str">
        <f>IF(tblMovimientos[[#This Row],[Tipo de Movimiento]]="Ingreso",tblMovimientos[[#This Row],[Monto (S/)]],"0")</f>
        <v>0</v>
      </c>
      <c r="O588" s="67" t="str">
        <f>IF(tblMovimientos[[#This Row],[Tipo de Movimiento]]="Egreso",tblMovimientos[[#This Row],[Monto (S/)]],"0")</f>
        <v>0</v>
      </c>
      <c r="P588" s="28">
        <f>IF(tblMovimientos[[#This Row],[Tipo de Movimiento]]="Ingreso",tblMovimientos[[#This Row],[Ingreso]],-tblMovimientos[[#This Row],[Egreso]])</f>
        <v>0</v>
      </c>
    </row>
    <row r="589" spans="5:16" x14ac:dyDescent="0.3">
      <c r="E589" s="68">
        <f>_xlfn.XLOOKUP(tblMovimientos[[#This Row],[Cuenta Bancaria]],Listas!$B:$B,Listas!$C:$C,"")</f>
        <v>0</v>
      </c>
      <c r="H589" s="4">
        <f>IFERROR(_xlfn.XLOOKUP(G589,Listas!E:E,Listas!F:F,""),"")</f>
        <v>0</v>
      </c>
      <c r="I589" s="68"/>
      <c r="N589" s="67" t="str">
        <f>IF(tblMovimientos[[#This Row],[Tipo de Movimiento]]="Ingreso",tblMovimientos[[#This Row],[Monto (S/)]],"0")</f>
        <v>0</v>
      </c>
      <c r="O589" s="67" t="str">
        <f>IF(tblMovimientos[[#This Row],[Tipo de Movimiento]]="Egreso",tblMovimientos[[#This Row],[Monto (S/)]],"0")</f>
        <v>0</v>
      </c>
      <c r="P589" s="28">
        <f>IF(tblMovimientos[[#This Row],[Tipo de Movimiento]]="Ingreso",tblMovimientos[[#This Row],[Ingreso]],-tblMovimientos[[#This Row],[Egreso]])</f>
        <v>0</v>
      </c>
    </row>
    <row r="590" spans="5:16" x14ac:dyDescent="0.3">
      <c r="E590" s="68">
        <f>_xlfn.XLOOKUP(tblMovimientos[[#This Row],[Cuenta Bancaria]],Listas!$B:$B,Listas!$C:$C,"")</f>
        <v>0</v>
      </c>
      <c r="H590" s="4">
        <f>IFERROR(_xlfn.XLOOKUP(G590,Listas!E:E,Listas!F:F,""),"")</f>
        <v>0</v>
      </c>
      <c r="I590" s="68"/>
      <c r="N590" s="67" t="str">
        <f>IF(tblMovimientos[[#This Row],[Tipo de Movimiento]]="Ingreso",tblMovimientos[[#This Row],[Monto (S/)]],"0")</f>
        <v>0</v>
      </c>
      <c r="O590" s="67" t="str">
        <f>IF(tblMovimientos[[#This Row],[Tipo de Movimiento]]="Egreso",tblMovimientos[[#This Row],[Monto (S/)]],"0")</f>
        <v>0</v>
      </c>
      <c r="P590" s="28">
        <f>IF(tblMovimientos[[#This Row],[Tipo de Movimiento]]="Ingreso",tblMovimientos[[#This Row],[Ingreso]],-tblMovimientos[[#This Row],[Egreso]])</f>
        <v>0</v>
      </c>
    </row>
    <row r="591" spans="5:16" x14ac:dyDescent="0.3">
      <c r="E591" s="68">
        <f>_xlfn.XLOOKUP(tblMovimientos[[#This Row],[Cuenta Bancaria]],Listas!$B:$B,Listas!$C:$C,"")</f>
        <v>0</v>
      </c>
      <c r="H591" s="4">
        <f>IFERROR(_xlfn.XLOOKUP(G591,Listas!E:E,Listas!F:F,""),"")</f>
        <v>0</v>
      </c>
      <c r="I591" s="68"/>
      <c r="N591" s="67" t="str">
        <f>IF(tblMovimientos[[#This Row],[Tipo de Movimiento]]="Ingreso",tblMovimientos[[#This Row],[Monto (S/)]],"0")</f>
        <v>0</v>
      </c>
      <c r="O591" s="67" t="str">
        <f>IF(tblMovimientos[[#This Row],[Tipo de Movimiento]]="Egreso",tblMovimientos[[#This Row],[Monto (S/)]],"0")</f>
        <v>0</v>
      </c>
      <c r="P591" s="28">
        <f>IF(tblMovimientos[[#This Row],[Tipo de Movimiento]]="Ingreso",tblMovimientos[[#This Row],[Ingreso]],-tblMovimientos[[#This Row],[Egreso]])</f>
        <v>0</v>
      </c>
    </row>
    <row r="592" spans="5:16" x14ac:dyDescent="0.3">
      <c r="E592" s="68">
        <f>_xlfn.XLOOKUP(tblMovimientos[[#This Row],[Cuenta Bancaria]],Listas!$B:$B,Listas!$C:$C,"")</f>
        <v>0</v>
      </c>
      <c r="H592" s="4">
        <f>IFERROR(_xlfn.XLOOKUP(G592,Listas!E:E,Listas!F:F,""),"")</f>
        <v>0</v>
      </c>
      <c r="I592" s="68"/>
      <c r="N592" s="67" t="str">
        <f>IF(tblMovimientos[[#This Row],[Tipo de Movimiento]]="Ingreso",tblMovimientos[[#This Row],[Monto (S/)]],"0")</f>
        <v>0</v>
      </c>
      <c r="O592" s="67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0</v>
      </c>
    </row>
    <row r="593" spans="5:16" x14ac:dyDescent="0.3">
      <c r="E593" s="68">
        <f>_xlfn.XLOOKUP(tblMovimientos[[#This Row],[Cuenta Bancaria]],Listas!$B:$B,Listas!$C:$C,"")</f>
        <v>0</v>
      </c>
      <c r="H593" s="4">
        <f>IFERROR(_xlfn.XLOOKUP(G593,Listas!E:E,Listas!F:F,""),"")</f>
        <v>0</v>
      </c>
      <c r="I593" s="68"/>
      <c r="N593" s="67" t="str">
        <f>IF(tblMovimientos[[#This Row],[Tipo de Movimiento]]="Ingreso",tblMovimientos[[#This Row],[Monto (S/)]],"0")</f>
        <v>0</v>
      </c>
      <c r="O593" s="67" t="str">
        <f>IF(tblMovimientos[[#This Row],[Tipo de Movimiento]]="Egreso",tblMovimientos[[#This Row],[Monto (S/)]],"0")</f>
        <v>0</v>
      </c>
      <c r="P593" s="28">
        <f>IF(tblMovimientos[[#This Row],[Tipo de Movimiento]]="Ingreso",tblMovimientos[[#This Row],[Ingreso]],-tblMovimientos[[#This Row],[Egreso]])</f>
        <v>0</v>
      </c>
    </row>
    <row r="594" spans="5:16" x14ac:dyDescent="0.3">
      <c r="E594" s="68">
        <f>_xlfn.XLOOKUP(tblMovimientos[[#This Row],[Cuenta Bancaria]],Listas!$B:$B,Listas!$C:$C,"")</f>
        <v>0</v>
      </c>
      <c r="H594" s="4">
        <f>IFERROR(_xlfn.XLOOKUP(G594,Listas!E:E,Listas!F:F,""),"")</f>
        <v>0</v>
      </c>
      <c r="I594" s="68"/>
      <c r="N594" s="67" t="str">
        <f>IF(tblMovimientos[[#This Row],[Tipo de Movimiento]]="Ingreso",tblMovimientos[[#This Row],[Monto (S/)]],"0")</f>
        <v>0</v>
      </c>
      <c r="O594" s="67" t="str">
        <f>IF(tblMovimientos[[#This Row],[Tipo de Movimiento]]="Egreso",tblMovimientos[[#This Row],[Monto (S/)]],"0")</f>
        <v>0</v>
      </c>
      <c r="P594" s="28">
        <f>IF(tblMovimientos[[#This Row],[Tipo de Movimiento]]="Ingreso",tblMovimientos[[#This Row],[Ingreso]],-tblMovimientos[[#This Row],[Egreso]])</f>
        <v>0</v>
      </c>
    </row>
    <row r="595" spans="5:16" x14ac:dyDescent="0.3">
      <c r="E595" s="68">
        <f>_xlfn.XLOOKUP(tblMovimientos[[#This Row],[Cuenta Bancaria]],Listas!$B:$B,Listas!$C:$C,"")</f>
        <v>0</v>
      </c>
      <c r="H595" s="4">
        <f>IFERROR(_xlfn.XLOOKUP(G595,Listas!E:E,Listas!F:F,""),"")</f>
        <v>0</v>
      </c>
      <c r="I595" s="68"/>
      <c r="N595" s="67" t="str">
        <f>IF(tblMovimientos[[#This Row],[Tipo de Movimiento]]="Ingreso",tblMovimientos[[#This Row],[Monto (S/)]],"0")</f>
        <v>0</v>
      </c>
      <c r="O595" s="67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0</v>
      </c>
    </row>
    <row r="596" spans="5:16" x14ac:dyDescent="0.3">
      <c r="E596" s="68">
        <f>_xlfn.XLOOKUP(tblMovimientos[[#This Row],[Cuenta Bancaria]],Listas!$B:$B,Listas!$C:$C,"")</f>
        <v>0</v>
      </c>
      <c r="H596" s="4">
        <f>IFERROR(_xlfn.XLOOKUP(G596,Listas!E:E,Listas!F:F,""),"")</f>
        <v>0</v>
      </c>
      <c r="I596" s="68"/>
      <c r="N596" s="67" t="str">
        <f>IF(tblMovimientos[[#This Row],[Tipo de Movimiento]]="Ingreso",tblMovimientos[[#This Row],[Monto (S/)]],"0")</f>
        <v>0</v>
      </c>
      <c r="O596" s="67" t="str">
        <f>IF(tblMovimientos[[#This Row],[Tipo de Movimiento]]="Egreso",tblMovimientos[[#This Row],[Monto (S/)]],"0")</f>
        <v>0</v>
      </c>
      <c r="P596" s="28">
        <f>IF(tblMovimientos[[#This Row],[Tipo de Movimiento]]="Ingreso",tblMovimientos[[#This Row],[Ingreso]],-tblMovimientos[[#This Row],[Egreso]])</f>
        <v>0</v>
      </c>
    </row>
    <row r="597" spans="5:16" x14ac:dyDescent="0.3">
      <c r="E597" s="68">
        <f>_xlfn.XLOOKUP(tblMovimientos[[#This Row],[Cuenta Bancaria]],Listas!$B:$B,Listas!$C:$C,"")</f>
        <v>0</v>
      </c>
      <c r="H597" s="4">
        <f>IFERROR(_xlfn.XLOOKUP(G597,Listas!E:E,Listas!F:F,""),"")</f>
        <v>0</v>
      </c>
      <c r="I597" s="68"/>
      <c r="N597" s="67" t="str">
        <f>IF(tblMovimientos[[#This Row],[Tipo de Movimiento]]="Ingreso",tblMovimientos[[#This Row],[Monto (S/)]],"0")</f>
        <v>0</v>
      </c>
      <c r="O597" s="67" t="str">
        <f>IF(tblMovimientos[[#This Row],[Tipo de Movimiento]]="Egreso",tblMovimientos[[#This Row],[Monto (S/)]],"0")</f>
        <v>0</v>
      </c>
      <c r="P597" s="28">
        <f>IF(tblMovimientos[[#This Row],[Tipo de Movimiento]]="Ingreso",tblMovimientos[[#This Row],[Ingreso]],-tblMovimientos[[#This Row],[Egreso]])</f>
        <v>0</v>
      </c>
    </row>
    <row r="598" spans="5:16" x14ac:dyDescent="0.3">
      <c r="E598" s="68">
        <f>_xlfn.XLOOKUP(tblMovimientos[[#This Row],[Cuenta Bancaria]],Listas!$B:$B,Listas!$C:$C,"")</f>
        <v>0</v>
      </c>
      <c r="H598" s="4">
        <f>IFERROR(_xlfn.XLOOKUP(G598,Listas!E:E,Listas!F:F,""),"")</f>
        <v>0</v>
      </c>
      <c r="I598" s="68"/>
      <c r="N598" s="67" t="str">
        <f>IF(tblMovimientos[[#This Row],[Tipo de Movimiento]]="Ingreso",tblMovimientos[[#This Row],[Monto (S/)]],"0")</f>
        <v>0</v>
      </c>
      <c r="O598" s="67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0</v>
      </c>
    </row>
    <row r="599" spans="5:16" x14ac:dyDescent="0.3">
      <c r="E599" s="68">
        <f>_xlfn.XLOOKUP(tblMovimientos[[#This Row],[Cuenta Bancaria]],Listas!$B:$B,Listas!$C:$C,"")</f>
        <v>0</v>
      </c>
      <c r="H599" s="4">
        <f>IFERROR(_xlfn.XLOOKUP(G599,Listas!E:E,Listas!F:F,""),"")</f>
        <v>0</v>
      </c>
      <c r="I599" s="68"/>
      <c r="N599" s="67" t="str">
        <f>IF(tblMovimientos[[#This Row],[Tipo de Movimiento]]="Ingreso",tblMovimientos[[#This Row],[Monto (S/)]],"0")</f>
        <v>0</v>
      </c>
      <c r="O599" s="67" t="str">
        <f>IF(tblMovimientos[[#This Row],[Tipo de Movimiento]]="Egreso",tblMovimientos[[#This Row],[Monto (S/)]],"0")</f>
        <v>0</v>
      </c>
      <c r="P599" s="28">
        <f>IF(tblMovimientos[[#This Row],[Tipo de Movimiento]]="Ingreso",tblMovimientos[[#This Row],[Ingreso]],-tblMovimientos[[#This Row],[Egreso]])</f>
        <v>0</v>
      </c>
    </row>
    <row r="600" spans="5:16" x14ac:dyDescent="0.3">
      <c r="E600" s="68">
        <f>_xlfn.XLOOKUP(tblMovimientos[[#This Row],[Cuenta Bancaria]],Listas!$B:$B,Listas!$C:$C,"")</f>
        <v>0</v>
      </c>
      <c r="H600" s="4">
        <f>IFERROR(_xlfn.XLOOKUP(G600,Listas!E:E,Listas!F:F,""),"")</f>
        <v>0</v>
      </c>
      <c r="I600" s="68"/>
      <c r="N600" s="67" t="str">
        <f>IF(tblMovimientos[[#This Row],[Tipo de Movimiento]]="Ingreso",tblMovimientos[[#This Row],[Monto (S/)]],"0")</f>
        <v>0</v>
      </c>
      <c r="O600" s="67" t="str">
        <f>IF(tblMovimientos[[#This Row],[Tipo de Movimiento]]="Egreso",tblMovimientos[[#This Row],[Monto (S/)]],"0")</f>
        <v>0</v>
      </c>
      <c r="P600" s="28">
        <f>IF(tblMovimientos[[#This Row],[Tipo de Movimiento]]="Ingreso",tblMovimientos[[#This Row],[Ingreso]],-tblMovimientos[[#This Row],[Egreso]])</f>
        <v>0</v>
      </c>
    </row>
    <row r="601" spans="5:16" x14ac:dyDescent="0.3">
      <c r="E601" s="68">
        <f>_xlfn.XLOOKUP(tblMovimientos[[#This Row],[Cuenta Bancaria]],Listas!$B:$B,Listas!$C:$C,"")</f>
        <v>0</v>
      </c>
      <c r="H601" s="4">
        <f>IFERROR(_xlfn.XLOOKUP(G601,Listas!E:E,Listas!F:F,""),"")</f>
        <v>0</v>
      </c>
      <c r="I601" s="68"/>
      <c r="N601" s="67" t="str">
        <f>IF(tblMovimientos[[#This Row],[Tipo de Movimiento]]="Ingreso",tblMovimientos[[#This Row],[Monto (S/)]],"0")</f>
        <v>0</v>
      </c>
      <c r="O601" s="67" t="str">
        <f>IF(tblMovimientos[[#This Row],[Tipo de Movimiento]]="Egreso",tblMovimientos[[#This Row],[Monto (S/)]],"0")</f>
        <v>0</v>
      </c>
      <c r="P601" s="28">
        <f>IF(tblMovimientos[[#This Row],[Tipo de Movimiento]]="Ingreso",tblMovimientos[[#This Row],[Ingreso]],-tblMovimientos[[#This Row],[Egreso]])</f>
        <v>0</v>
      </c>
    </row>
    <row r="602" spans="5:16" x14ac:dyDescent="0.3">
      <c r="E602" s="68">
        <f>_xlfn.XLOOKUP(tblMovimientos[[#This Row],[Cuenta Bancaria]],Listas!$B:$B,Listas!$C:$C,"")</f>
        <v>0</v>
      </c>
      <c r="H602" s="4">
        <f>IFERROR(_xlfn.XLOOKUP(G602,Listas!E:E,Listas!F:F,""),"")</f>
        <v>0</v>
      </c>
      <c r="I602" s="68"/>
      <c r="N602" s="67" t="str">
        <f>IF(tblMovimientos[[#This Row],[Tipo de Movimiento]]="Ingreso",tblMovimientos[[#This Row],[Monto (S/)]],"0")</f>
        <v>0</v>
      </c>
      <c r="O602" s="67" t="str">
        <f>IF(tblMovimientos[[#This Row],[Tipo de Movimiento]]="Egreso",tblMovimientos[[#This Row],[Monto (S/)]],"0")</f>
        <v>0</v>
      </c>
      <c r="P602" s="28">
        <f>IF(tblMovimientos[[#This Row],[Tipo de Movimiento]]="Ingreso",tblMovimientos[[#This Row],[Ingreso]],-tblMovimientos[[#This Row],[Egreso]])</f>
        <v>0</v>
      </c>
    </row>
    <row r="603" spans="5:16" x14ac:dyDescent="0.3">
      <c r="E603" s="68">
        <f>_xlfn.XLOOKUP(tblMovimientos[[#This Row],[Cuenta Bancaria]],Listas!$B:$B,Listas!$C:$C,"")</f>
        <v>0</v>
      </c>
      <c r="H603" s="4">
        <f>IFERROR(_xlfn.XLOOKUP(G603,Listas!E:E,Listas!F:F,""),"")</f>
        <v>0</v>
      </c>
      <c r="I603" s="68"/>
      <c r="N603" s="67" t="str">
        <f>IF(tblMovimientos[[#This Row],[Tipo de Movimiento]]="Ingreso",tblMovimientos[[#This Row],[Monto (S/)]],"0")</f>
        <v>0</v>
      </c>
      <c r="O603" s="67" t="str">
        <f>IF(tblMovimientos[[#This Row],[Tipo de Movimiento]]="Egreso",tblMovimientos[[#This Row],[Monto (S/)]],"0")</f>
        <v>0</v>
      </c>
      <c r="P603" s="28">
        <f>IF(tblMovimientos[[#This Row],[Tipo de Movimiento]]="Ingreso",tblMovimientos[[#This Row],[Ingreso]],-tblMovimientos[[#This Row],[Egreso]])</f>
        <v>0</v>
      </c>
    </row>
    <row r="604" spans="5:16" x14ac:dyDescent="0.3">
      <c r="E604" s="68">
        <f>_xlfn.XLOOKUP(tblMovimientos[[#This Row],[Cuenta Bancaria]],Listas!$B:$B,Listas!$C:$C,"")</f>
        <v>0</v>
      </c>
      <c r="H604" s="4">
        <f>IFERROR(_xlfn.XLOOKUP(G604,Listas!E:E,Listas!F:F,""),"")</f>
        <v>0</v>
      </c>
      <c r="I604" s="68"/>
      <c r="N604" s="67" t="str">
        <f>IF(tblMovimientos[[#This Row],[Tipo de Movimiento]]="Ingreso",tblMovimientos[[#This Row],[Monto (S/)]],"0")</f>
        <v>0</v>
      </c>
      <c r="O604" s="67" t="str">
        <f>IF(tblMovimientos[[#This Row],[Tipo de Movimiento]]="Egreso",tblMovimientos[[#This Row],[Monto (S/)]],"0")</f>
        <v>0</v>
      </c>
      <c r="P604" s="28">
        <f>IF(tblMovimientos[[#This Row],[Tipo de Movimiento]]="Ingreso",tblMovimientos[[#This Row],[Ingreso]],-tblMovimientos[[#This Row],[Egreso]])</f>
        <v>0</v>
      </c>
    </row>
    <row r="605" spans="5:16" x14ac:dyDescent="0.3">
      <c r="E605" s="68">
        <f>_xlfn.XLOOKUP(tblMovimientos[[#This Row],[Cuenta Bancaria]],Listas!$B:$B,Listas!$C:$C,"")</f>
        <v>0</v>
      </c>
      <c r="H605" s="4">
        <f>IFERROR(_xlfn.XLOOKUP(G605,Listas!E:E,Listas!F:F,""),"")</f>
        <v>0</v>
      </c>
      <c r="I605" s="68"/>
      <c r="N605" s="67" t="str">
        <f>IF(tblMovimientos[[#This Row],[Tipo de Movimiento]]="Ingreso",tblMovimientos[[#This Row],[Monto (S/)]],"0")</f>
        <v>0</v>
      </c>
      <c r="O605" s="67" t="str">
        <f>IF(tblMovimientos[[#This Row],[Tipo de Movimiento]]="Egreso",tblMovimientos[[#This Row],[Monto (S/)]],"0")</f>
        <v>0</v>
      </c>
      <c r="P605" s="28">
        <f>IF(tblMovimientos[[#This Row],[Tipo de Movimiento]]="Ingreso",tblMovimientos[[#This Row],[Ingreso]],-tblMovimientos[[#This Row],[Egreso]])</f>
        <v>0</v>
      </c>
    </row>
    <row r="606" spans="5:16" x14ac:dyDescent="0.3">
      <c r="E606" s="68">
        <f>_xlfn.XLOOKUP(tblMovimientos[[#This Row],[Cuenta Bancaria]],Listas!$B:$B,Listas!$C:$C,"")</f>
        <v>0</v>
      </c>
      <c r="H606" s="4">
        <f>IFERROR(_xlfn.XLOOKUP(G606,Listas!E:E,Listas!F:F,""),"")</f>
        <v>0</v>
      </c>
      <c r="I606" s="68"/>
      <c r="N606" s="67" t="str">
        <f>IF(tblMovimientos[[#This Row],[Tipo de Movimiento]]="Ingreso",tblMovimientos[[#This Row],[Monto (S/)]],"0")</f>
        <v>0</v>
      </c>
      <c r="O606" s="67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0</v>
      </c>
    </row>
    <row r="607" spans="5:16" x14ac:dyDescent="0.3">
      <c r="E607" s="68">
        <f>_xlfn.XLOOKUP(tblMovimientos[[#This Row],[Cuenta Bancaria]],Listas!$B:$B,Listas!$C:$C,"")</f>
        <v>0</v>
      </c>
      <c r="H607" s="4">
        <f>IFERROR(_xlfn.XLOOKUP(G607,Listas!E:E,Listas!F:F,""),"")</f>
        <v>0</v>
      </c>
      <c r="I607" s="68"/>
      <c r="N607" s="67" t="str">
        <f>IF(tblMovimientos[[#This Row],[Tipo de Movimiento]]="Ingreso",tblMovimientos[[#This Row],[Monto (S/)]],"0")</f>
        <v>0</v>
      </c>
      <c r="O607" s="67" t="str">
        <f>IF(tblMovimientos[[#This Row],[Tipo de Movimiento]]="Egreso",tblMovimientos[[#This Row],[Monto (S/)]],"0")</f>
        <v>0</v>
      </c>
      <c r="P607" s="28">
        <f>IF(tblMovimientos[[#This Row],[Tipo de Movimiento]]="Ingreso",tblMovimientos[[#This Row],[Ingreso]],-tblMovimientos[[#This Row],[Egreso]])</f>
        <v>0</v>
      </c>
    </row>
    <row r="608" spans="5:16" x14ac:dyDescent="0.3">
      <c r="E608" s="68">
        <f>_xlfn.XLOOKUP(tblMovimientos[[#This Row],[Cuenta Bancaria]],Listas!$B:$B,Listas!$C:$C,"")</f>
        <v>0</v>
      </c>
      <c r="H608" s="4">
        <f>IFERROR(_xlfn.XLOOKUP(G608,Listas!E:E,Listas!F:F,""),"")</f>
        <v>0</v>
      </c>
      <c r="I608" s="68"/>
      <c r="N608" s="67" t="str">
        <f>IF(tblMovimientos[[#This Row],[Tipo de Movimiento]]="Ingreso",tblMovimientos[[#This Row],[Monto (S/)]],"0")</f>
        <v>0</v>
      </c>
      <c r="O608" s="67" t="str">
        <f>IF(tblMovimientos[[#This Row],[Tipo de Movimiento]]="Egreso",tblMovimientos[[#This Row],[Monto (S/)]],"0")</f>
        <v>0</v>
      </c>
      <c r="P608" s="28">
        <f>IF(tblMovimientos[[#This Row],[Tipo de Movimiento]]="Ingreso",tblMovimientos[[#This Row],[Ingreso]],-tblMovimientos[[#This Row],[Egreso]])</f>
        <v>0</v>
      </c>
    </row>
    <row r="609" spans="5:16" x14ac:dyDescent="0.3">
      <c r="E609" s="68">
        <f>_xlfn.XLOOKUP(tblMovimientos[[#This Row],[Cuenta Bancaria]],Listas!$B:$B,Listas!$C:$C,"")</f>
        <v>0</v>
      </c>
      <c r="H609" s="4">
        <f>IFERROR(_xlfn.XLOOKUP(G609,Listas!E:E,Listas!F:F,""),"")</f>
        <v>0</v>
      </c>
      <c r="I609" s="68"/>
      <c r="N609" s="67" t="str">
        <f>IF(tblMovimientos[[#This Row],[Tipo de Movimiento]]="Ingreso",tblMovimientos[[#This Row],[Monto (S/)]],"0")</f>
        <v>0</v>
      </c>
      <c r="O609" s="67" t="str">
        <f>IF(tblMovimientos[[#This Row],[Tipo de Movimiento]]="Egreso",tblMovimientos[[#This Row],[Monto (S/)]],"0")</f>
        <v>0</v>
      </c>
      <c r="P609" s="28">
        <f>IF(tblMovimientos[[#This Row],[Tipo de Movimiento]]="Ingreso",tblMovimientos[[#This Row],[Ingreso]],-tblMovimientos[[#This Row],[Egreso]])</f>
        <v>0</v>
      </c>
    </row>
    <row r="610" spans="5:16" x14ac:dyDescent="0.3">
      <c r="E610" s="68">
        <f>_xlfn.XLOOKUP(tblMovimientos[[#This Row],[Cuenta Bancaria]],Listas!$B:$B,Listas!$C:$C,"")</f>
        <v>0</v>
      </c>
      <c r="H610" s="4">
        <f>IFERROR(_xlfn.XLOOKUP(G610,Listas!E:E,Listas!F:F,""),"")</f>
        <v>0</v>
      </c>
      <c r="I610" s="68"/>
      <c r="N610" s="67" t="str">
        <f>IF(tblMovimientos[[#This Row],[Tipo de Movimiento]]="Ingreso",tblMovimientos[[#This Row],[Monto (S/)]],"0")</f>
        <v>0</v>
      </c>
      <c r="O610" s="67" t="str">
        <f>IF(tblMovimientos[[#This Row],[Tipo de Movimiento]]="Egreso",tblMovimientos[[#This Row],[Monto (S/)]],"0")</f>
        <v>0</v>
      </c>
      <c r="P610" s="28">
        <f>IF(tblMovimientos[[#This Row],[Tipo de Movimiento]]="Ingreso",tblMovimientos[[#This Row],[Ingreso]],-tblMovimientos[[#This Row],[Egreso]])</f>
        <v>0</v>
      </c>
    </row>
    <row r="611" spans="5:16" x14ac:dyDescent="0.3">
      <c r="E611" s="68">
        <f>_xlfn.XLOOKUP(tblMovimientos[[#This Row],[Cuenta Bancaria]],Listas!$B:$B,Listas!$C:$C,"")</f>
        <v>0</v>
      </c>
      <c r="H611" s="4">
        <f>IFERROR(_xlfn.XLOOKUP(G611,Listas!E:E,Listas!F:F,""),"")</f>
        <v>0</v>
      </c>
      <c r="I611" s="68"/>
      <c r="N611" s="67" t="str">
        <f>IF(tblMovimientos[[#This Row],[Tipo de Movimiento]]="Ingreso",tblMovimientos[[#This Row],[Monto (S/)]],"0")</f>
        <v>0</v>
      </c>
      <c r="O611" s="67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0</v>
      </c>
    </row>
    <row r="612" spans="5:16" x14ac:dyDescent="0.3">
      <c r="E612" s="68">
        <f>_xlfn.XLOOKUP(tblMovimientos[[#This Row],[Cuenta Bancaria]],Listas!$B:$B,Listas!$C:$C,"")</f>
        <v>0</v>
      </c>
      <c r="H612" s="4">
        <f>IFERROR(_xlfn.XLOOKUP(G612,Listas!E:E,Listas!F:F,""),"")</f>
        <v>0</v>
      </c>
      <c r="I612" s="68"/>
      <c r="N612" s="67" t="str">
        <f>IF(tblMovimientos[[#This Row],[Tipo de Movimiento]]="Ingreso",tblMovimientos[[#This Row],[Monto (S/)]],"0")</f>
        <v>0</v>
      </c>
      <c r="O612" s="67" t="str">
        <f>IF(tblMovimientos[[#This Row],[Tipo de Movimiento]]="Egreso",tblMovimientos[[#This Row],[Monto (S/)]],"0")</f>
        <v>0</v>
      </c>
      <c r="P612" s="28">
        <f>IF(tblMovimientos[[#This Row],[Tipo de Movimiento]]="Ingreso",tblMovimientos[[#This Row],[Ingreso]],-tblMovimientos[[#This Row],[Egreso]])</f>
        <v>0</v>
      </c>
    </row>
    <row r="613" spans="5:16" x14ac:dyDescent="0.3">
      <c r="E613" s="68">
        <f>_xlfn.XLOOKUP(tblMovimientos[[#This Row],[Cuenta Bancaria]],Listas!$B:$B,Listas!$C:$C,"")</f>
        <v>0</v>
      </c>
      <c r="H613" s="4">
        <f>IFERROR(_xlfn.XLOOKUP(G613,Listas!E:E,Listas!F:F,""),"")</f>
        <v>0</v>
      </c>
      <c r="I613" s="68"/>
      <c r="N613" s="67" t="str">
        <f>IF(tblMovimientos[[#This Row],[Tipo de Movimiento]]="Ingreso",tblMovimientos[[#This Row],[Monto (S/)]],"0")</f>
        <v>0</v>
      </c>
      <c r="O613" s="67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0</v>
      </c>
    </row>
    <row r="614" spans="5:16" x14ac:dyDescent="0.3">
      <c r="E614" s="68">
        <f>_xlfn.XLOOKUP(tblMovimientos[[#This Row],[Cuenta Bancaria]],Listas!$B:$B,Listas!$C:$C,"")</f>
        <v>0</v>
      </c>
      <c r="H614" s="4">
        <f>IFERROR(_xlfn.XLOOKUP(G614,Listas!E:E,Listas!F:F,""),"")</f>
        <v>0</v>
      </c>
      <c r="I614" s="68"/>
      <c r="N614" s="67" t="str">
        <f>IF(tblMovimientos[[#This Row],[Tipo de Movimiento]]="Ingreso",tblMovimientos[[#This Row],[Monto (S/)]],"0")</f>
        <v>0</v>
      </c>
      <c r="O614" s="67" t="str">
        <f>IF(tblMovimientos[[#This Row],[Tipo de Movimiento]]="Egreso",tblMovimientos[[#This Row],[Monto (S/)]],"0")</f>
        <v>0</v>
      </c>
      <c r="P614" s="28">
        <f>IF(tblMovimientos[[#This Row],[Tipo de Movimiento]]="Ingreso",tblMovimientos[[#This Row],[Ingreso]],-tblMovimientos[[#This Row],[Egreso]])</f>
        <v>0</v>
      </c>
    </row>
    <row r="615" spans="5:16" x14ac:dyDescent="0.3">
      <c r="E615" s="68">
        <f>_xlfn.XLOOKUP(tblMovimientos[[#This Row],[Cuenta Bancaria]],Listas!$B:$B,Listas!$C:$C,"")</f>
        <v>0</v>
      </c>
      <c r="H615" s="4">
        <f>IFERROR(_xlfn.XLOOKUP(G615,Listas!E:E,Listas!F:F,""),"")</f>
        <v>0</v>
      </c>
      <c r="I615" s="68"/>
      <c r="N615" s="67" t="str">
        <f>IF(tblMovimientos[[#This Row],[Tipo de Movimiento]]="Ingreso",tblMovimientos[[#This Row],[Monto (S/)]],"0")</f>
        <v>0</v>
      </c>
      <c r="O615" s="67" t="str">
        <f>IF(tblMovimientos[[#This Row],[Tipo de Movimiento]]="Egreso",tblMovimientos[[#This Row],[Monto (S/)]],"0")</f>
        <v>0</v>
      </c>
      <c r="P615" s="28">
        <f>IF(tblMovimientos[[#This Row],[Tipo de Movimiento]]="Ingreso",tblMovimientos[[#This Row],[Ingreso]],-tblMovimientos[[#This Row],[Egreso]])</f>
        <v>0</v>
      </c>
    </row>
    <row r="616" spans="5:16" x14ac:dyDescent="0.3">
      <c r="E616" s="68">
        <f>_xlfn.XLOOKUP(tblMovimientos[[#This Row],[Cuenta Bancaria]],Listas!$B:$B,Listas!$C:$C,"")</f>
        <v>0</v>
      </c>
      <c r="H616" s="4">
        <f>IFERROR(_xlfn.XLOOKUP(G616,Listas!E:E,Listas!F:F,""),"")</f>
        <v>0</v>
      </c>
      <c r="I616" s="68"/>
      <c r="N616" s="67" t="str">
        <f>IF(tblMovimientos[[#This Row],[Tipo de Movimiento]]="Ingreso",tblMovimientos[[#This Row],[Monto (S/)]],"0")</f>
        <v>0</v>
      </c>
      <c r="O616" s="67" t="str">
        <f>IF(tblMovimientos[[#This Row],[Tipo de Movimiento]]="Egreso",tblMovimientos[[#This Row],[Monto (S/)]],"0")</f>
        <v>0</v>
      </c>
      <c r="P616" s="28">
        <f>IF(tblMovimientos[[#This Row],[Tipo de Movimiento]]="Ingreso",tblMovimientos[[#This Row],[Ingreso]],-tblMovimientos[[#This Row],[Egreso]])</f>
        <v>0</v>
      </c>
    </row>
    <row r="617" spans="5:16" x14ac:dyDescent="0.3">
      <c r="E617" s="68">
        <f>_xlfn.XLOOKUP(tblMovimientos[[#This Row],[Cuenta Bancaria]],Listas!$B:$B,Listas!$C:$C,"")</f>
        <v>0</v>
      </c>
      <c r="H617" s="4">
        <f>IFERROR(_xlfn.XLOOKUP(G617,Listas!E:E,Listas!F:F,""),"")</f>
        <v>0</v>
      </c>
      <c r="I617" s="68"/>
      <c r="N617" s="67" t="str">
        <f>IF(tblMovimientos[[#This Row],[Tipo de Movimiento]]="Ingreso",tblMovimientos[[#This Row],[Monto (S/)]],"0")</f>
        <v>0</v>
      </c>
      <c r="O617" s="67" t="str">
        <f>IF(tblMovimientos[[#This Row],[Tipo de Movimiento]]="Egreso",tblMovimientos[[#This Row],[Monto (S/)]],"0")</f>
        <v>0</v>
      </c>
      <c r="P617" s="28">
        <f>IF(tblMovimientos[[#This Row],[Tipo de Movimiento]]="Ingreso",tblMovimientos[[#This Row],[Ingreso]],-tblMovimientos[[#This Row],[Egreso]])</f>
        <v>0</v>
      </c>
    </row>
    <row r="618" spans="5:16" x14ac:dyDescent="0.3">
      <c r="E618" s="68">
        <f>_xlfn.XLOOKUP(tblMovimientos[[#This Row],[Cuenta Bancaria]],Listas!$B:$B,Listas!$C:$C,"")</f>
        <v>0</v>
      </c>
      <c r="H618" s="4">
        <f>IFERROR(_xlfn.XLOOKUP(G618,Listas!E:E,Listas!F:F,""),"")</f>
        <v>0</v>
      </c>
      <c r="I618" s="68"/>
      <c r="N618" s="67" t="str">
        <f>IF(tblMovimientos[[#This Row],[Tipo de Movimiento]]="Ingreso",tblMovimientos[[#This Row],[Monto (S/)]],"0")</f>
        <v>0</v>
      </c>
      <c r="O618" s="67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0</v>
      </c>
    </row>
    <row r="619" spans="5:16" x14ac:dyDescent="0.3">
      <c r="E619" s="68">
        <f>_xlfn.XLOOKUP(tblMovimientos[[#This Row],[Cuenta Bancaria]],Listas!$B:$B,Listas!$C:$C,"")</f>
        <v>0</v>
      </c>
      <c r="H619" s="4">
        <f>IFERROR(_xlfn.XLOOKUP(G619,Listas!E:E,Listas!F:F,""),"")</f>
        <v>0</v>
      </c>
      <c r="I619" s="68"/>
      <c r="N619" s="67" t="str">
        <f>IF(tblMovimientos[[#This Row],[Tipo de Movimiento]]="Ingreso",tblMovimientos[[#This Row],[Monto (S/)]],"0")</f>
        <v>0</v>
      </c>
      <c r="O619" s="67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0</v>
      </c>
    </row>
    <row r="620" spans="5:16" x14ac:dyDescent="0.3">
      <c r="E620" s="68">
        <f>_xlfn.XLOOKUP(tblMovimientos[[#This Row],[Cuenta Bancaria]],Listas!$B:$B,Listas!$C:$C,"")</f>
        <v>0</v>
      </c>
      <c r="H620" s="4">
        <f>IFERROR(_xlfn.XLOOKUP(G620,Listas!E:E,Listas!F:F,""),"")</f>
        <v>0</v>
      </c>
      <c r="I620" s="68"/>
      <c r="N620" s="67" t="str">
        <f>IF(tblMovimientos[[#This Row],[Tipo de Movimiento]]="Ingreso",tblMovimientos[[#This Row],[Monto (S/)]],"0")</f>
        <v>0</v>
      </c>
      <c r="O620" s="67" t="str">
        <f>IF(tblMovimientos[[#This Row],[Tipo de Movimiento]]="Egreso",tblMovimientos[[#This Row],[Monto (S/)]],"0")</f>
        <v>0</v>
      </c>
      <c r="P620" s="28">
        <f>IF(tblMovimientos[[#This Row],[Tipo de Movimiento]]="Ingreso",tblMovimientos[[#This Row],[Ingreso]],-tblMovimientos[[#This Row],[Egreso]])</f>
        <v>0</v>
      </c>
    </row>
    <row r="621" spans="5:16" x14ac:dyDescent="0.3">
      <c r="E621" s="68">
        <f>_xlfn.XLOOKUP(tblMovimientos[[#This Row],[Cuenta Bancaria]],Listas!$B:$B,Listas!$C:$C,"")</f>
        <v>0</v>
      </c>
      <c r="H621" s="4">
        <f>IFERROR(_xlfn.XLOOKUP(G621,Listas!E:E,Listas!F:F,""),"")</f>
        <v>0</v>
      </c>
      <c r="I621" s="68"/>
      <c r="N621" s="67" t="str">
        <f>IF(tblMovimientos[[#This Row],[Tipo de Movimiento]]="Ingreso",tblMovimientos[[#This Row],[Monto (S/)]],"0")</f>
        <v>0</v>
      </c>
      <c r="O621" s="67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0</v>
      </c>
    </row>
    <row r="622" spans="5:16" x14ac:dyDescent="0.3">
      <c r="E622" s="68">
        <f>_xlfn.XLOOKUP(tblMovimientos[[#This Row],[Cuenta Bancaria]],Listas!$B:$B,Listas!$C:$C,"")</f>
        <v>0</v>
      </c>
      <c r="H622" s="4">
        <f>IFERROR(_xlfn.XLOOKUP(G622,Listas!E:E,Listas!F:F,""),"")</f>
        <v>0</v>
      </c>
      <c r="I622" s="68"/>
      <c r="N622" s="67" t="str">
        <f>IF(tblMovimientos[[#This Row],[Tipo de Movimiento]]="Ingreso",tblMovimientos[[#This Row],[Monto (S/)]],"0")</f>
        <v>0</v>
      </c>
      <c r="O622" s="67" t="str">
        <f>IF(tblMovimientos[[#This Row],[Tipo de Movimiento]]="Egreso",tblMovimientos[[#This Row],[Monto (S/)]],"0")</f>
        <v>0</v>
      </c>
      <c r="P622" s="28">
        <f>IF(tblMovimientos[[#This Row],[Tipo de Movimiento]]="Ingreso",tblMovimientos[[#This Row],[Ingreso]],-tblMovimientos[[#This Row],[Egreso]])</f>
        <v>0</v>
      </c>
    </row>
    <row r="623" spans="5:16" x14ac:dyDescent="0.3">
      <c r="E623" s="68">
        <f>_xlfn.XLOOKUP(tblMovimientos[[#This Row],[Cuenta Bancaria]],Listas!$B:$B,Listas!$C:$C,"")</f>
        <v>0</v>
      </c>
      <c r="H623" s="4">
        <f>IFERROR(_xlfn.XLOOKUP(G623,Listas!E:E,Listas!F:F,""),"")</f>
        <v>0</v>
      </c>
      <c r="I623" s="68"/>
      <c r="N623" s="67" t="str">
        <f>IF(tblMovimientos[[#This Row],[Tipo de Movimiento]]="Ingreso",tblMovimientos[[#This Row],[Monto (S/)]],"0")</f>
        <v>0</v>
      </c>
      <c r="O623" s="67" t="str">
        <f>IF(tblMovimientos[[#This Row],[Tipo de Movimiento]]="Egreso",tblMovimientos[[#This Row],[Monto (S/)]],"0")</f>
        <v>0</v>
      </c>
      <c r="P623" s="28">
        <f>IF(tblMovimientos[[#This Row],[Tipo de Movimiento]]="Ingreso",tblMovimientos[[#This Row],[Ingreso]],-tblMovimientos[[#This Row],[Egreso]])</f>
        <v>0</v>
      </c>
    </row>
    <row r="624" spans="5:16" x14ac:dyDescent="0.3">
      <c r="E624" s="68">
        <f>_xlfn.XLOOKUP(tblMovimientos[[#This Row],[Cuenta Bancaria]],Listas!$B:$B,Listas!$C:$C,"")</f>
        <v>0</v>
      </c>
      <c r="H624" s="4">
        <f>IFERROR(_xlfn.XLOOKUP(G624,Listas!E:E,Listas!F:F,""),"")</f>
        <v>0</v>
      </c>
      <c r="I624" s="68"/>
      <c r="N624" s="67" t="str">
        <f>IF(tblMovimientos[[#This Row],[Tipo de Movimiento]]="Ingreso",tblMovimientos[[#This Row],[Monto (S/)]],"0")</f>
        <v>0</v>
      </c>
      <c r="O624" s="67" t="str">
        <f>IF(tblMovimientos[[#This Row],[Tipo de Movimiento]]="Egreso",tblMovimientos[[#This Row],[Monto (S/)]],"0")</f>
        <v>0</v>
      </c>
      <c r="P624" s="28">
        <f>IF(tblMovimientos[[#This Row],[Tipo de Movimiento]]="Ingreso",tblMovimientos[[#This Row],[Ingreso]],-tblMovimientos[[#This Row],[Egreso]])</f>
        <v>0</v>
      </c>
    </row>
    <row r="625" spans="5:16" x14ac:dyDescent="0.3">
      <c r="E625" s="68">
        <f>_xlfn.XLOOKUP(tblMovimientos[[#This Row],[Cuenta Bancaria]],Listas!$B:$B,Listas!$C:$C,"")</f>
        <v>0</v>
      </c>
      <c r="H625" s="4">
        <f>IFERROR(_xlfn.XLOOKUP(G625,Listas!E:E,Listas!F:F,""),"")</f>
        <v>0</v>
      </c>
      <c r="I625" s="68"/>
      <c r="N625" s="67" t="str">
        <f>IF(tblMovimientos[[#This Row],[Tipo de Movimiento]]="Ingreso",tblMovimientos[[#This Row],[Monto (S/)]],"0")</f>
        <v>0</v>
      </c>
      <c r="O625" s="67" t="str">
        <f>IF(tblMovimientos[[#This Row],[Tipo de Movimiento]]="Egreso",tblMovimientos[[#This Row],[Monto (S/)]],"0")</f>
        <v>0</v>
      </c>
      <c r="P625" s="28">
        <f>IF(tblMovimientos[[#This Row],[Tipo de Movimiento]]="Ingreso",tblMovimientos[[#This Row],[Ingreso]],-tblMovimientos[[#This Row],[Egreso]])</f>
        <v>0</v>
      </c>
    </row>
    <row r="626" spans="5:16" x14ac:dyDescent="0.3">
      <c r="E626" s="68">
        <f>_xlfn.XLOOKUP(tblMovimientos[[#This Row],[Cuenta Bancaria]],Listas!$B:$B,Listas!$C:$C,"")</f>
        <v>0</v>
      </c>
      <c r="H626" s="4">
        <f>IFERROR(_xlfn.XLOOKUP(G626,Listas!E:E,Listas!F:F,""),"")</f>
        <v>0</v>
      </c>
      <c r="I626" s="68"/>
      <c r="N626" s="67" t="str">
        <f>IF(tblMovimientos[[#This Row],[Tipo de Movimiento]]="Ingreso",tblMovimientos[[#This Row],[Monto (S/)]],"0")</f>
        <v>0</v>
      </c>
      <c r="O626" s="67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0</v>
      </c>
    </row>
    <row r="627" spans="5:16" x14ac:dyDescent="0.3">
      <c r="E627" s="68">
        <f>_xlfn.XLOOKUP(tblMovimientos[[#This Row],[Cuenta Bancaria]],Listas!$B:$B,Listas!$C:$C,"")</f>
        <v>0</v>
      </c>
      <c r="H627" s="4">
        <f>IFERROR(_xlfn.XLOOKUP(G627,Listas!E:E,Listas!F:F,""),"")</f>
        <v>0</v>
      </c>
      <c r="I627" s="68"/>
      <c r="N627" s="67" t="str">
        <f>IF(tblMovimientos[[#This Row],[Tipo de Movimiento]]="Ingreso",tblMovimientos[[#This Row],[Monto (S/)]],"0")</f>
        <v>0</v>
      </c>
      <c r="O627" s="67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0</v>
      </c>
    </row>
    <row r="628" spans="5:16" x14ac:dyDescent="0.3">
      <c r="E628" s="68">
        <f>_xlfn.XLOOKUP(tblMovimientos[[#This Row],[Cuenta Bancaria]],Listas!$B:$B,Listas!$C:$C,"")</f>
        <v>0</v>
      </c>
      <c r="H628" s="4">
        <f>IFERROR(_xlfn.XLOOKUP(G628,Listas!E:E,Listas!F:F,""),"")</f>
        <v>0</v>
      </c>
      <c r="I628" s="68"/>
      <c r="N628" s="67" t="str">
        <f>IF(tblMovimientos[[#This Row],[Tipo de Movimiento]]="Ingreso",tblMovimientos[[#This Row],[Monto (S/)]],"0")</f>
        <v>0</v>
      </c>
      <c r="O628" s="67" t="str">
        <f>IF(tblMovimientos[[#This Row],[Tipo de Movimiento]]="Egreso",tblMovimientos[[#This Row],[Monto (S/)]],"0")</f>
        <v>0</v>
      </c>
      <c r="P628" s="28">
        <f>IF(tblMovimientos[[#This Row],[Tipo de Movimiento]]="Ingreso",tblMovimientos[[#This Row],[Ingreso]],-tblMovimientos[[#This Row],[Egreso]])</f>
        <v>0</v>
      </c>
    </row>
    <row r="629" spans="5:16" x14ac:dyDescent="0.3">
      <c r="E629" s="68">
        <f>_xlfn.XLOOKUP(tblMovimientos[[#This Row],[Cuenta Bancaria]],Listas!$B:$B,Listas!$C:$C,"")</f>
        <v>0</v>
      </c>
      <c r="H629" s="4">
        <f>IFERROR(_xlfn.XLOOKUP(G629,Listas!E:E,Listas!F:F,""),"")</f>
        <v>0</v>
      </c>
      <c r="I629" s="68"/>
      <c r="N629" s="67" t="str">
        <f>IF(tblMovimientos[[#This Row],[Tipo de Movimiento]]="Ingreso",tblMovimientos[[#This Row],[Monto (S/)]],"0")</f>
        <v>0</v>
      </c>
      <c r="O629" s="67" t="str">
        <f>IF(tblMovimientos[[#This Row],[Tipo de Movimiento]]="Egreso",tblMovimientos[[#This Row],[Monto (S/)]],"0")</f>
        <v>0</v>
      </c>
      <c r="P629" s="28">
        <f>IF(tblMovimientos[[#This Row],[Tipo de Movimiento]]="Ingreso",tblMovimientos[[#This Row],[Ingreso]],-tblMovimientos[[#This Row],[Egreso]])</f>
        <v>0</v>
      </c>
    </row>
    <row r="630" spans="5:16" x14ac:dyDescent="0.3">
      <c r="E630" s="68">
        <f>_xlfn.XLOOKUP(tblMovimientos[[#This Row],[Cuenta Bancaria]],Listas!$B:$B,Listas!$C:$C,"")</f>
        <v>0</v>
      </c>
      <c r="H630" s="4">
        <f>IFERROR(_xlfn.XLOOKUP(G630,Listas!E:E,Listas!F:F,""),"")</f>
        <v>0</v>
      </c>
      <c r="I630" s="68"/>
      <c r="N630" s="67" t="str">
        <f>IF(tblMovimientos[[#This Row],[Tipo de Movimiento]]="Ingreso",tblMovimientos[[#This Row],[Monto (S/)]],"0")</f>
        <v>0</v>
      </c>
      <c r="O630" s="67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0</v>
      </c>
    </row>
    <row r="631" spans="5:16" x14ac:dyDescent="0.3">
      <c r="E631" s="68">
        <f>_xlfn.XLOOKUP(tblMovimientos[[#This Row],[Cuenta Bancaria]],Listas!$B:$B,Listas!$C:$C,"")</f>
        <v>0</v>
      </c>
      <c r="H631" s="4">
        <f>IFERROR(_xlfn.XLOOKUP(G631,Listas!E:E,Listas!F:F,""),"")</f>
        <v>0</v>
      </c>
      <c r="I631" s="68"/>
      <c r="N631" s="67" t="str">
        <f>IF(tblMovimientos[[#This Row],[Tipo de Movimiento]]="Ingreso",tblMovimientos[[#This Row],[Monto (S/)]],"0")</f>
        <v>0</v>
      </c>
      <c r="O631" s="67" t="str">
        <f>IF(tblMovimientos[[#This Row],[Tipo de Movimiento]]="Egreso",tblMovimientos[[#This Row],[Monto (S/)]],"0")</f>
        <v>0</v>
      </c>
      <c r="P631" s="28">
        <f>IF(tblMovimientos[[#This Row],[Tipo de Movimiento]]="Ingreso",tblMovimientos[[#This Row],[Ingreso]],-tblMovimientos[[#This Row],[Egreso]])</f>
        <v>0</v>
      </c>
    </row>
    <row r="632" spans="5:16" x14ac:dyDescent="0.3">
      <c r="E632" s="68">
        <f>_xlfn.XLOOKUP(tblMovimientos[[#This Row],[Cuenta Bancaria]],Listas!$B:$B,Listas!$C:$C,"")</f>
        <v>0</v>
      </c>
      <c r="H632" s="4">
        <f>IFERROR(_xlfn.XLOOKUP(G632,Listas!E:E,Listas!F:F,""),"")</f>
        <v>0</v>
      </c>
      <c r="I632" s="68"/>
      <c r="N632" s="67" t="str">
        <f>IF(tblMovimientos[[#This Row],[Tipo de Movimiento]]="Ingreso",tblMovimientos[[#This Row],[Monto (S/)]],"0")</f>
        <v>0</v>
      </c>
      <c r="O632" s="67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0</v>
      </c>
    </row>
    <row r="633" spans="5:16" x14ac:dyDescent="0.3">
      <c r="E633" s="68">
        <f>_xlfn.XLOOKUP(tblMovimientos[[#This Row],[Cuenta Bancaria]],Listas!$B:$B,Listas!$C:$C,"")</f>
        <v>0</v>
      </c>
      <c r="H633" s="4">
        <f>IFERROR(_xlfn.XLOOKUP(G633,Listas!E:E,Listas!F:F,""),"")</f>
        <v>0</v>
      </c>
      <c r="I633" s="68"/>
      <c r="N633" s="67" t="str">
        <f>IF(tblMovimientos[[#This Row],[Tipo de Movimiento]]="Ingreso",tblMovimientos[[#This Row],[Monto (S/)]],"0")</f>
        <v>0</v>
      </c>
      <c r="O633" s="67" t="str">
        <f>IF(tblMovimientos[[#This Row],[Tipo de Movimiento]]="Egreso",tblMovimientos[[#This Row],[Monto (S/)]],"0")</f>
        <v>0</v>
      </c>
      <c r="P633" s="28">
        <f>IF(tblMovimientos[[#This Row],[Tipo de Movimiento]]="Ingreso",tblMovimientos[[#This Row],[Ingreso]],-tblMovimientos[[#This Row],[Egreso]])</f>
        <v>0</v>
      </c>
    </row>
    <row r="634" spans="5:16" x14ac:dyDescent="0.3">
      <c r="E634" s="68">
        <f>_xlfn.XLOOKUP(tblMovimientos[[#This Row],[Cuenta Bancaria]],Listas!$B:$B,Listas!$C:$C,"")</f>
        <v>0</v>
      </c>
      <c r="H634" s="4">
        <f>IFERROR(_xlfn.XLOOKUP(G634,Listas!E:E,Listas!F:F,""),"")</f>
        <v>0</v>
      </c>
      <c r="I634" s="68"/>
      <c r="N634" s="67" t="str">
        <f>IF(tblMovimientos[[#This Row],[Tipo de Movimiento]]="Ingreso",tblMovimientos[[#This Row],[Monto (S/)]],"0")</f>
        <v>0</v>
      </c>
      <c r="O634" s="67" t="str">
        <f>IF(tblMovimientos[[#This Row],[Tipo de Movimiento]]="Egreso",tblMovimientos[[#This Row],[Monto (S/)]],"0")</f>
        <v>0</v>
      </c>
      <c r="P634" s="28">
        <f>IF(tblMovimientos[[#This Row],[Tipo de Movimiento]]="Ingreso",tblMovimientos[[#This Row],[Ingreso]],-tblMovimientos[[#This Row],[Egreso]])</f>
        <v>0</v>
      </c>
    </row>
    <row r="635" spans="5:16" x14ac:dyDescent="0.3">
      <c r="E635" s="68">
        <f>_xlfn.XLOOKUP(tblMovimientos[[#This Row],[Cuenta Bancaria]],Listas!$B:$B,Listas!$C:$C,"")</f>
        <v>0</v>
      </c>
      <c r="H635" s="4">
        <f>IFERROR(_xlfn.XLOOKUP(G635,Listas!E:E,Listas!F:F,""),"")</f>
        <v>0</v>
      </c>
      <c r="I635" s="68"/>
      <c r="N635" s="67" t="str">
        <f>IF(tblMovimientos[[#This Row],[Tipo de Movimiento]]="Ingreso",tblMovimientos[[#This Row],[Monto (S/)]],"0")</f>
        <v>0</v>
      </c>
      <c r="O635" s="67" t="str">
        <f>IF(tblMovimientos[[#This Row],[Tipo de Movimiento]]="Egreso",tblMovimientos[[#This Row],[Monto (S/)]],"0")</f>
        <v>0</v>
      </c>
      <c r="P635" s="28">
        <f>IF(tblMovimientos[[#This Row],[Tipo de Movimiento]]="Ingreso",tblMovimientos[[#This Row],[Ingreso]],-tblMovimientos[[#This Row],[Egreso]])</f>
        <v>0</v>
      </c>
    </row>
    <row r="636" spans="5:16" x14ac:dyDescent="0.3">
      <c r="E636" s="68">
        <f>_xlfn.XLOOKUP(tblMovimientos[[#This Row],[Cuenta Bancaria]],Listas!$B:$B,Listas!$C:$C,"")</f>
        <v>0</v>
      </c>
      <c r="H636" s="4">
        <f>IFERROR(_xlfn.XLOOKUP(G636,Listas!E:E,Listas!F:F,""),"")</f>
        <v>0</v>
      </c>
      <c r="I636" s="68"/>
      <c r="N636" s="67" t="str">
        <f>IF(tblMovimientos[[#This Row],[Tipo de Movimiento]]="Ingreso",tblMovimientos[[#This Row],[Monto (S/)]],"0")</f>
        <v>0</v>
      </c>
      <c r="O636" s="67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0</v>
      </c>
    </row>
    <row r="637" spans="5:16" x14ac:dyDescent="0.3">
      <c r="E637" s="68">
        <f>_xlfn.XLOOKUP(tblMovimientos[[#This Row],[Cuenta Bancaria]],Listas!$B:$B,Listas!$C:$C,"")</f>
        <v>0</v>
      </c>
      <c r="H637" s="4">
        <f>IFERROR(_xlfn.XLOOKUP(G637,Listas!E:E,Listas!F:F,""),"")</f>
        <v>0</v>
      </c>
      <c r="I637" s="68"/>
      <c r="N637" s="67" t="str">
        <f>IF(tblMovimientos[[#This Row],[Tipo de Movimiento]]="Ingreso",tblMovimientos[[#This Row],[Monto (S/)]],"0")</f>
        <v>0</v>
      </c>
      <c r="O637" s="67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0</v>
      </c>
    </row>
    <row r="638" spans="5:16" x14ac:dyDescent="0.3">
      <c r="E638" s="68">
        <f>_xlfn.XLOOKUP(tblMovimientos[[#This Row],[Cuenta Bancaria]],Listas!$B:$B,Listas!$C:$C,"")</f>
        <v>0</v>
      </c>
      <c r="H638" s="4">
        <f>IFERROR(_xlfn.XLOOKUP(G638,Listas!E:E,Listas!F:F,""),"")</f>
        <v>0</v>
      </c>
      <c r="I638" s="68"/>
      <c r="N638" s="67" t="str">
        <f>IF(tblMovimientos[[#This Row],[Tipo de Movimiento]]="Ingreso",tblMovimientos[[#This Row],[Monto (S/)]],"0")</f>
        <v>0</v>
      </c>
      <c r="O638" s="67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0</v>
      </c>
    </row>
    <row r="639" spans="5:16" x14ac:dyDescent="0.3">
      <c r="E639" s="68">
        <f>_xlfn.XLOOKUP(tblMovimientos[[#This Row],[Cuenta Bancaria]],Listas!$B:$B,Listas!$C:$C,"")</f>
        <v>0</v>
      </c>
      <c r="H639" s="4">
        <f>IFERROR(_xlfn.XLOOKUP(G639,Listas!E:E,Listas!F:F,""),"")</f>
        <v>0</v>
      </c>
      <c r="I639" s="68"/>
      <c r="N639" s="67" t="str">
        <f>IF(tblMovimientos[[#This Row],[Tipo de Movimiento]]="Ingreso",tblMovimientos[[#This Row],[Monto (S/)]],"0")</f>
        <v>0</v>
      </c>
      <c r="O639" s="67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0</v>
      </c>
    </row>
    <row r="640" spans="5:16" x14ac:dyDescent="0.3">
      <c r="E640" s="68">
        <f>_xlfn.XLOOKUP(tblMovimientos[[#This Row],[Cuenta Bancaria]],Listas!$B:$B,Listas!$C:$C,"")</f>
        <v>0</v>
      </c>
      <c r="H640" s="4">
        <f>IFERROR(_xlfn.XLOOKUP(G640,Listas!E:E,Listas!F:F,""),"")</f>
        <v>0</v>
      </c>
      <c r="I640" s="68"/>
      <c r="N640" s="67" t="str">
        <f>IF(tblMovimientos[[#This Row],[Tipo de Movimiento]]="Ingreso",tblMovimientos[[#This Row],[Monto (S/)]],"0")</f>
        <v>0</v>
      </c>
      <c r="O640" s="67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0</v>
      </c>
    </row>
    <row r="641" spans="5:16" x14ac:dyDescent="0.3">
      <c r="E641" s="68">
        <f>_xlfn.XLOOKUP(tblMovimientos[[#This Row],[Cuenta Bancaria]],Listas!$B:$B,Listas!$C:$C,"")</f>
        <v>0</v>
      </c>
      <c r="H641" s="4">
        <f>IFERROR(_xlfn.XLOOKUP(G641,Listas!E:E,Listas!F:F,""),"")</f>
        <v>0</v>
      </c>
      <c r="I641" s="68"/>
      <c r="N641" s="67" t="str">
        <f>IF(tblMovimientos[[#This Row],[Tipo de Movimiento]]="Ingreso",tblMovimientos[[#This Row],[Monto (S/)]],"0")</f>
        <v>0</v>
      </c>
      <c r="O641" s="67" t="str">
        <f>IF(tblMovimientos[[#This Row],[Tipo de Movimiento]]="Egreso",tblMovimientos[[#This Row],[Monto (S/)]],"0")</f>
        <v>0</v>
      </c>
      <c r="P641" s="28">
        <f>IF(tblMovimientos[[#This Row],[Tipo de Movimiento]]="Ingreso",tblMovimientos[[#This Row],[Ingreso]],-tblMovimientos[[#This Row],[Egreso]])</f>
        <v>0</v>
      </c>
    </row>
    <row r="642" spans="5:16" x14ac:dyDescent="0.3">
      <c r="E642" s="68">
        <f>_xlfn.XLOOKUP(tblMovimientos[[#This Row],[Cuenta Bancaria]],Listas!$B:$B,Listas!$C:$C,"")</f>
        <v>0</v>
      </c>
      <c r="H642" s="4">
        <f>IFERROR(_xlfn.XLOOKUP(G642,Listas!E:E,Listas!F:F,""),"")</f>
        <v>0</v>
      </c>
      <c r="I642" s="68"/>
      <c r="N642" s="67" t="str">
        <f>IF(tblMovimientos[[#This Row],[Tipo de Movimiento]]="Ingreso",tblMovimientos[[#This Row],[Monto (S/)]],"0")</f>
        <v>0</v>
      </c>
      <c r="O642" s="67" t="str">
        <f>IF(tblMovimientos[[#This Row],[Tipo de Movimiento]]="Egreso",tblMovimientos[[#This Row],[Monto (S/)]],"0")</f>
        <v>0</v>
      </c>
      <c r="P642" s="28">
        <f>IF(tblMovimientos[[#This Row],[Tipo de Movimiento]]="Ingreso",tblMovimientos[[#This Row],[Ingreso]],-tblMovimientos[[#This Row],[Egreso]])</f>
        <v>0</v>
      </c>
    </row>
    <row r="643" spans="5:16" x14ac:dyDescent="0.3">
      <c r="E643" s="68">
        <f>_xlfn.XLOOKUP(tblMovimientos[[#This Row],[Cuenta Bancaria]],Listas!$B:$B,Listas!$C:$C,"")</f>
        <v>0</v>
      </c>
      <c r="H643" s="4">
        <f>IFERROR(_xlfn.XLOOKUP(G643,Listas!E:E,Listas!F:F,""),"")</f>
        <v>0</v>
      </c>
      <c r="I643" s="68"/>
      <c r="N643" s="67" t="str">
        <f>IF(tblMovimientos[[#This Row],[Tipo de Movimiento]]="Ingreso",tblMovimientos[[#This Row],[Monto (S/)]],"0")</f>
        <v>0</v>
      </c>
      <c r="O643" s="67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0</v>
      </c>
    </row>
    <row r="644" spans="5:16" x14ac:dyDescent="0.3">
      <c r="E644" s="68">
        <f>_xlfn.XLOOKUP(tblMovimientos[[#This Row],[Cuenta Bancaria]],Listas!$B:$B,Listas!$C:$C,"")</f>
        <v>0</v>
      </c>
      <c r="H644" s="4">
        <f>IFERROR(_xlfn.XLOOKUP(G644,Listas!E:E,Listas!F:F,""),"")</f>
        <v>0</v>
      </c>
      <c r="I644" s="68"/>
      <c r="N644" s="67" t="str">
        <f>IF(tblMovimientos[[#This Row],[Tipo de Movimiento]]="Ingreso",tblMovimientos[[#This Row],[Monto (S/)]],"0")</f>
        <v>0</v>
      </c>
      <c r="O644" s="67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0</v>
      </c>
    </row>
    <row r="645" spans="5:16" x14ac:dyDescent="0.3">
      <c r="E645" s="68">
        <f>_xlfn.XLOOKUP(tblMovimientos[[#This Row],[Cuenta Bancaria]],Listas!$B:$B,Listas!$C:$C,"")</f>
        <v>0</v>
      </c>
      <c r="H645" s="4">
        <f>IFERROR(_xlfn.XLOOKUP(G645,Listas!E:E,Listas!F:F,""),"")</f>
        <v>0</v>
      </c>
      <c r="I645" s="68"/>
      <c r="N645" s="67" t="str">
        <f>IF(tblMovimientos[[#This Row],[Tipo de Movimiento]]="Ingreso",tblMovimientos[[#This Row],[Monto (S/)]],"0")</f>
        <v>0</v>
      </c>
      <c r="O645" s="67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0</v>
      </c>
    </row>
    <row r="646" spans="5:16" x14ac:dyDescent="0.3">
      <c r="E646" s="68">
        <f>_xlfn.XLOOKUP(tblMovimientos[[#This Row],[Cuenta Bancaria]],Listas!$B:$B,Listas!$C:$C,"")</f>
        <v>0</v>
      </c>
      <c r="H646" s="4">
        <f>IFERROR(_xlfn.XLOOKUP(G646,Listas!E:E,Listas!F:F,""),"")</f>
        <v>0</v>
      </c>
      <c r="I646" s="68"/>
      <c r="N646" s="67" t="str">
        <f>IF(tblMovimientos[[#This Row],[Tipo de Movimiento]]="Ingreso",tblMovimientos[[#This Row],[Monto (S/)]],"0")</f>
        <v>0</v>
      </c>
      <c r="O646" s="67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0</v>
      </c>
    </row>
    <row r="647" spans="5:16" x14ac:dyDescent="0.3">
      <c r="E647" s="68">
        <f>_xlfn.XLOOKUP(tblMovimientos[[#This Row],[Cuenta Bancaria]],Listas!$B:$B,Listas!$C:$C,"")</f>
        <v>0</v>
      </c>
      <c r="H647" s="4">
        <f>IFERROR(_xlfn.XLOOKUP(G647,Listas!E:E,Listas!F:F,""),"")</f>
        <v>0</v>
      </c>
      <c r="I647" s="68"/>
      <c r="N647" s="67" t="str">
        <f>IF(tblMovimientos[[#This Row],[Tipo de Movimiento]]="Ingreso",tblMovimientos[[#This Row],[Monto (S/)]],"0")</f>
        <v>0</v>
      </c>
      <c r="O647" s="67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0</v>
      </c>
    </row>
    <row r="648" spans="5:16" x14ac:dyDescent="0.3">
      <c r="E648" s="68">
        <f>_xlfn.XLOOKUP(tblMovimientos[[#This Row],[Cuenta Bancaria]],Listas!$B:$B,Listas!$C:$C,"")</f>
        <v>0</v>
      </c>
      <c r="H648" s="4">
        <f>IFERROR(_xlfn.XLOOKUP(G648,Listas!E:E,Listas!F:F,""),"")</f>
        <v>0</v>
      </c>
      <c r="I648" s="68"/>
      <c r="N648" s="67" t="str">
        <f>IF(tblMovimientos[[#This Row],[Tipo de Movimiento]]="Ingreso",tblMovimientos[[#This Row],[Monto (S/)]],"0")</f>
        <v>0</v>
      </c>
      <c r="O648" s="67" t="str">
        <f>IF(tblMovimientos[[#This Row],[Tipo de Movimiento]]="Egreso",tblMovimientos[[#This Row],[Monto (S/)]],"0")</f>
        <v>0</v>
      </c>
      <c r="P648" s="28">
        <f>IF(tblMovimientos[[#This Row],[Tipo de Movimiento]]="Ingreso",tblMovimientos[[#This Row],[Ingreso]],-tblMovimientos[[#This Row],[Egreso]])</f>
        <v>0</v>
      </c>
    </row>
    <row r="649" spans="5:16" x14ac:dyDescent="0.3">
      <c r="E649" s="68">
        <f>_xlfn.XLOOKUP(tblMovimientos[[#This Row],[Cuenta Bancaria]],Listas!$B:$B,Listas!$C:$C,"")</f>
        <v>0</v>
      </c>
      <c r="H649" s="4">
        <f>IFERROR(_xlfn.XLOOKUP(G649,Listas!E:E,Listas!F:F,""),"")</f>
        <v>0</v>
      </c>
      <c r="I649" s="68"/>
      <c r="N649" s="67" t="str">
        <f>IF(tblMovimientos[[#This Row],[Tipo de Movimiento]]="Ingreso",tblMovimientos[[#This Row],[Monto (S/)]],"0")</f>
        <v>0</v>
      </c>
      <c r="O649" s="67" t="str">
        <f>IF(tblMovimientos[[#This Row],[Tipo de Movimiento]]="Egreso",tblMovimientos[[#This Row],[Monto (S/)]],"0")</f>
        <v>0</v>
      </c>
      <c r="P649" s="28">
        <f>IF(tblMovimientos[[#This Row],[Tipo de Movimiento]]="Ingreso",tblMovimientos[[#This Row],[Ingreso]],-tblMovimientos[[#This Row],[Egreso]])</f>
        <v>0</v>
      </c>
    </row>
    <row r="650" spans="5:16" x14ac:dyDescent="0.3">
      <c r="E650" s="68">
        <f>_xlfn.XLOOKUP(tblMovimientos[[#This Row],[Cuenta Bancaria]],Listas!$B:$B,Listas!$C:$C,"")</f>
        <v>0</v>
      </c>
      <c r="H650" s="4">
        <f>IFERROR(_xlfn.XLOOKUP(G650,Listas!E:E,Listas!F:F,""),"")</f>
        <v>0</v>
      </c>
      <c r="I650" s="68"/>
      <c r="N650" s="67" t="str">
        <f>IF(tblMovimientos[[#This Row],[Tipo de Movimiento]]="Ingreso",tblMovimientos[[#This Row],[Monto (S/)]],"0")</f>
        <v>0</v>
      </c>
      <c r="O650" s="67" t="str">
        <f>IF(tblMovimientos[[#This Row],[Tipo de Movimiento]]="Egreso",tblMovimientos[[#This Row],[Monto (S/)]],"0")</f>
        <v>0</v>
      </c>
      <c r="P650" s="28">
        <f>IF(tblMovimientos[[#This Row],[Tipo de Movimiento]]="Ingreso",tblMovimientos[[#This Row],[Ingreso]],-tblMovimientos[[#This Row],[Egreso]])</f>
        <v>0</v>
      </c>
    </row>
    <row r="651" spans="5:16" x14ac:dyDescent="0.3">
      <c r="E651" s="68">
        <f>_xlfn.XLOOKUP(tblMovimientos[[#This Row],[Cuenta Bancaria]],Listas!$B:$B,Listas!$C:$C,"")</f>
        <v>0</v>
      </c>
      <c r="H651" s="4">
        <f>IFERROR(_xlfn.XLOOKUP(G651,Listas!E:E,Listas!F:F,""),"")</f>
        <v>0</v>
      </c>
      <c r="I651" s="68"/>
      <c r="N651" s="67" t="str">
        <f>IF(tblMovimientos[[#This Row],[Tipo de Movimiento]]="Ingreso",tblMovimientos[[#This Row],[Monto (S/)]],"0")</f>
        <v>0</v>
      </c>
      <c r="O651" s="67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0</v>
      </c>
    </row>
    <row r="652" spans="5:16" x14ac:dyDescent="0.3">
      <c r="E652" s="68">
        <f>_xlfn.XLOOKUP(tblMovimientos[[#This Row],[Cuenta Bancaria]],Listas!$B:$B,Listas!$C:$C,"")</f>
        <v>0</v>
      </c>
      <c r="H652" s="4">
        <f>IFERROR(_xlfn.XLOOKUP(G652,Listas!E:E,Listas!F:F,""),"")</f>
        <v>0</v>
      </c>
      <c r="I652" s="68"/>
      <c r="N652" s="67" t="str">
        <f>IF(tblMovimientos[[#This Row],[Tipo de Movimiento]]="Ingreso",tblMovimientos[[#This Row],[Monto (S/)]],"0")</f>
        <v>0</v>
      </c>
      <c r="O652" s="67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0</v>
      </c>
    </row>
    <row r="653" spans="5:16" x14ac:dyDescent="0.3">
      <c r="E653" s="68">
        <f>_xlfn.XLOOKUP(tblMovimientos[[#This Row],[Cuenta Bancaria]],Listas!$B:$B,Listas!$C:$C,"")</f>
        <v>0</v>
      </c>
      <c r="H653" s="4">
        <f>IFERROR(_xlfn.XLOOKUP(G653,Listas!E:E,Listas!F:F,""),"")</f>
        <v>0</v>
      </c>
      <c r="I653" s="68"/>
      <c r="N653" s="67" t="str">
        <f>IF(tblMovimientos[[#This Row],[Tipo de Movimiento]]="Ingreso",tblMovimientos[[#This Row],[Monto (S/)]],"0")</f>
        <v>0</v>
      </c>
      <c r="O653" s="67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0</v>
      </c>
    </row>
    <row r="654" spans="5:16" x14ac:dyDescent="0.3">
      <c r="E654" s="68">
        <f>_xlfn.XLOOKUP(tblMovimientos[[#This Row],[Cuenta Bancaria]],Listas!$B:$B,Listas!$C:$C,"")</f>
        <v>0</v>
      </c>
      <c r="H654" s="4">
        <f>IFERROR(_xlfn.XLOOKUP(G654,Listas!E:E,Listas!F:F,""),"")</f>
        <v>0</v>
      </c>
      <c r="I654" s="68"/>
      <c r="N654" s="67" t="str">
        <f>IF(tblMovimientos[[#This Row],[Tipo de Movimiento]]="Ingreso",tblMovimientos[[#This Row],[Monto (S/)]],"0")</f>
        <v>0</v>
      </c>
      <c r="O654" s="67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0</v>
      </c>
    </row>
    <row r="655" spans="5:16" x14ac:dyDescent="0.3">
      <c r="E655" s="68">
        <f>_xlfn.XLOOKUP(tblMovimientos[[#This Row],[Cuenta Bancaria]],Listas!$B:$B,Listas!$C:$C,"")</f>
        <v>0</v>
      </c>
      <c r="H655" s="4">
        <f>IFERROR(_xlfn.XLOOKUP(G655,Listas!E:E,Listas!F:F,""),"")</f>
        <v>0</v>
      </c>
      <c r="I655" s="68"/>
      <c r="N655" s="67" t="str">
        <f>IF(tblMovimientos[[#This Row],[Tipo de Movimiento]]="Ingreso",tblMovimientos[[#This Row],[Monto (S/)]],"0")</f>
        <v>0</v>
      </c>
      <c r="O655" s="67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0</v>
      </c>
    </row>
    <row r="656" spans="5:16" x14ac:dyDescent="0.3">
      <c r="E656" s="68">
        <f>_xlfn.XLOOKUP(tblMovimientos[[#This Row],[Cuenta Bancaria]],Listas!$B:$B,Listas!$C:$C,"")</f>
        <v>0</v>
      </c>
      <c r="H656" s="4">
        <f>IFERROR(_xlfn.XLOOKUP(G656,Listas!E:E,Listas!F:F,""),"")</f>
        <v>0</v>
      </c>
      <c r="I656" s="68"/>
      <c r="N656" s="67" t="str">
        <f>IF(tblMovimientos[[#This Row],[Tipo de Movimiento]]="Ingreso",tblMovimientos[[#This Row],[Monto (S/)]],"0")</f>
        <v>0</v>
      </c>
      <c r="O656" s="67" t="str">
        <f>IF(tblMovimientos[[#This Row],[Tipo de Movimiento]]="Egreso",tblMovimientos[[#This Row],[Monto (S/)]],"0")</f>
        <v>0</v>
      </c>
      <c r="P656" s="28">
        <f>IF(tblMovimientos[[#This Row],[Tipo de Movimiento]]="Ingreso",tblMovimientos[[#This Row],[Ingreso]],-tblMovimientos[[#This Row],[Egreso]])</f>
        <v>0</v>
      </c>
    </row>
    <row r="657" spans="5:16" x14ac:dyDescent="0.3">
      <c r="E657" s="68">
        <f>_xlfn.XLOOKUP(tblMovimientos[[#This Row],[Cuenta Bancaria]],Listas!$B:$B,Listas!$C:$C,"")</f>
        <v>0</v>
      </c>
      <c r="H657" s="4">
        <f>IFERROR(_xlfn.XLOOKUP(G657,Listas!E:E,Listas!F:F,""),"")</f>
        <v>0</v>
      </c>
      <c r="I657" s="68"/>
      <c r="N657" s="67" t="str">
        <f>IF(tblMovimientos[[#This Row],[Tipo de Movimiento]]="Ingreso",tblMovimientos[[#This Row],[Monto (S/)]],"0")</f>
        <v>0</v>
      </c>
      <c r="O657" s="67" t="str">
        <f>IF(tblMovimientos[[#This Row],[Tipo de Movimiento]]="Egreso",tblMovimientos[[#This Row],[Monto (S/)]],"0")</f>
        <v>0</v>
      </c>
      <c r="P657" s="28">
        <f>IF(tblMovimientos[[#This Row],[Tipo de Movimiento]]="Ingreso",tblMovimientos[[#This Row],[Ingreso]],-tblMovimientos[[#This Row],[Egreso]])</f>
        <v>0</v>
      </c>
    </row>
    <row r="658" spans="5:16" x14ac:dyDescent="0.3">
      <c r="E658" s="68">
        <f>_xlfn.XLOOKUP(tblMovimientos[[#This Row],[Cuenta Bancaria]],Listas!$B:$B,Listas!$C:$C,"")</f>
        <v>0</v>
      </c>
      <c r="H658" s="4">
        <f>IFERROR(_xlfn.XLOOKUP(G658,Listas!E:E,Listas!F:F,""),"")</f>
        <v>0</v>
      </c>
      <c r="I658" s="68"/>
      <c r="N658" s="67" t="str">
        <f>IF(tblMovimientos[[#This Row],[Tipo de Movimiento]]="Ingreso",tblMovimientos[[#This Row],[Monto (S/)]],"0")</f>
        <v>0</v>
      </c>
      <c r="O658" s="67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0</v>
      </c>
    </row>
    <row r="659" spans="5:16" x14ac:dyDescent="0.3">
      <c r="E659" s="68">
        <f>_xlfn.XLOOKUP(tblMovimientos[[#This Row],[Cuenta Bancaria]],Listas!$B:$B,Listas!$C:$C,"")</f>
        <v>0</v>
      </c>
      <c r="H659" s="4">
        <f>IFERROR(_xlfn.XLOOKUP(G659,Listas!E:E,Listas!F:F,""),"")</f>
        <v>0</v>
      </c>
      <c r="I659" s="68"/>
      <c r="N659" s="67" t="str">
        <f>IF(tblMovimientos[[#This Row],[Tipo de Movimiento]]="Ingreso",tblMovimientos[[#This Row],[Monto (S/)]],"0")</f>
        <v>0</v>
      </c>
      <c r="O659" s="67" t="str">
        <f>IF(tblMovimientos[[#This Row],[Tipo de Movimiento]]="Egreso",tblMovimientos[[#This Row],[Monto (S/)]],"0")</f>
        <v>0</v>
      </c>
      <c r="P659" s="28">
        <f>IF(tblMovimientos[[#This Row],[Tipo de Movimiento]]="Ingreso",tblMovimientos[[#This Row],[Ingreso]],-tblMovimientos[[#This Row],[Egreso]])</f>
        <v>0</v>
      </c>
    </row>
    <row r="660" spans="5:16" x14ac:dyDescent="0.3">
      <c r="E660" s="68">
        <f>_xlfn.XLOOKUP(tblMovimientos[[#This Row],[Cuenta Bancaria]],Listas!$B:$B,Listas!$C:$C,"")</f>
        <v>0</v>
      </c>
      <c r="H660" s="4">
        <f>IFERROR(_xlfn.XLOOKUP(G660,Listas!E:E,Listas!F:F,""),"")</f>
        <v>0</v>
      </c>
      <c r="I660" s="68"/>
      <c r="N660" s="67" t="str">
        <f>IF(tblMovimientos[[#This Row],[Tipo de Movimiento]]="Ingreso",tblMovimientos[[#This Row],[Monto (S/)]],"0")</f>
        <v>0</v>
      </c>
      <c r="O660" s="67" t="str">
        <f>IF(tblMovimientos[[#This Row],[Tipo de Movimiento]]="Egreso",tblMovimientos[[#This Row],[Monto (S/)]],"0")</f>
        <v>0</v>
      </c>
      <c r="P660" s="28">
        <f>IF(tblMovimientos[[#This Row],[Tipo de Movimiento]]="Ingreso",tblMovimientos[[#This Row],[Ingreso]],-tblMovimientos[[#This Row],[Egreso]])</f>
        <v>0</v>
      </c>
    </row>
    <row r="661" spans="5:16" x14ac:dyDescent="0.3">
      <c r="E661" s="68">
        <f>_xlfn.XLOOKUP(tblMovimientos[[#This Row],[Cuenta Bancaria]],Listas!$B:$B,Listas!$C:$C,"")</f>
        <v>0</v>
      </c>
      <c r="H661" s="4">
        <f>IFERROR(_xlfn.XLOOKUP(G661,Listas!E:E,Listas!F:F,""),"")</f>
        <v>0</v>
      </c>
      <c r="I661" s="68"/>
      <c r="N661" s="67" t="str">
        <f>IF(tblMovimientos[[#This Row],[Tipo de Movimiento]]="Ingreso",tblMovimientos[[#This Row],[Monto (S/)]],"0")</f>
        <v>0</v>
      </c>
      <c r="O661" s="67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0</v>
      </c>
    </row>
    <row r="662" spans="5:16" x14ac:dyDescent="0.3">
      <c r="E662" s="68">
        <f>_xlfn.XLOOKUP(tblMovimientos[[#This Row],[Cuenta Bancaria]],Listas!$B:$B,Listas!$C:$C,"")</f>
        <v>0</v>
      </c>
      <c r="H662" s="4">
        <f>IFERROR(_xlfn.XLOOKUP(G662,Listas!E:E,Listas!F:F,""),"")</f>
        <v>0</v>
      </c>
      <c r="I662" s="68"/>
      <c r="N662" s="67" t="str">
        <f>IF(tblMovimientos[[#This Row],[Tipo de Movimiento]]="Ingreso",tblMovimientos[[#This Row],[Monto (S/)]],"0")</f>
        <v>0</v>
      </c>
      <c r="O662" s="67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0</v>
      </c>
    </row>
    <row r="663" spans="5:16" x14ac:dyDescent="0.3">
      <c r="E663" s="68">
        <f>_xlfn.XLOOKUP(tblMovimientos[[#This Row],[Cuenta Bancaria]],Listas!$B:$B,Listas!$C:$C,"")</f>
        <v>0</v>
      </c>
      <c r="H663" s="4">
        <f>IFERROR(_xlfn.XLOOKUP(G663,Listas!E:E,Listas!F:F,""),"")</f>
        <v>0</v>
      </c>
      <c r="I663" s="68"/>
      <c r="N663" s="67" t="str">
        <f>IF(tblMovimientos[[#This Row],[Tipo de Movimiento]]="Ingreso",tblMovimientos[[#This Row],[Monto (S/)]],"0")</f>
        <v>0</v>
      </c>
      <c r="O663" s="67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0</v>
      </c>
    </row>
    <row r="664" spans="5:16" x14ac:dyDescent="0.3">
      <c r="E664" s="68">
        <f>_xlfn.XLOOKUP(tblMovimientos[[#This Row],[Cuenta Bancaria]],Listas!$B:$B,Listas!$C:$C,"")</f>
        <v>0</v>
      </c>
      <c r="H664" s="4">
        <f>IFERROR(_xlfn.XLOOKUP(G664,Listas!E:E,Listas!F:F,""),"")</f>
        <v>0</v>
      </c>
      <c r="I664" s="68"/>
      <c r="N664" s="67" t="str">
        <f>IF(tblMovimientos[[#This Row],[Tipo de Movimiento]]="Ingreso",tblMovimientos[[#This Row],[Monto (S/)]],"0")</f>
        <v>0</v>
      </c>
      <c r="O664" s="67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0</v>
      </c>
    </row>
    <row r="665" spans="5:16" x14ac:dyDescent="0.3">
      <c r="E665" s="68">
        <f>_xlfn.XLOOKUP(tblMovimientos[[#This Row],[Cuenta Bancaria]],Listas!$B:$B,Listas!$C:$C,"")</f>
        <v>0</v>
      </c>
      <c r="H665" s="4">
        <f>IFERROR(_xlfn.XLOOKUP(G665,Listas!E:E,Listas!F:F,""),"")</f>
        <v>0</v>
      </c>
      <c r="I665" s="68"/>
      <c r="N665" s="67" t="str">
        <f>IF(tblMovimientos[[#This Row],[Tipo de Movimiento]]="Ingreso",tblMovimientos[[#This Row],[Monto (S/)]],"0")</f>
        <v>0</v>
      </c>
      <c r="O665" s="67" t="str">
        <f>IF(tblMovimientos[[#This Row],[Tipo de Movimiento]]="Egreso",tblMovimientos[[#This Row],[Monto (S/)]],"0")</f>
        <v>0</v>
      </c>
      <c r="P665" s="28">
        <f>IF(tblMovimientos[[#This Row],[Tipo de Movimiento]]="Ingreso",tblMovimientos[[#This Row],[Ingreso]],-tblMovimientos[[#This Row],[Egreso]])</f>
        <v>0</v>
      </c>
    </row>
    <row r="666" spans="5:16" x14ac:dyDescent="0.3">
      <c r="E666" s="68">
        <f>_xlfn.XLOOKUP(tblMovimientos[[#This Row],[Cuenta Bancaria]],Listas!$B:$B,Listas!$C:$C,"")</f>
        <v>0</v>
      </c>
      <c r="H666" s="4">
        <f>IFERROR(_xlfn.XLOOKUP(G666,Listas!E:E,Listas!F:F,""),"")</f>
        <v>0</v>
      </c>
      <c r="I666" s="68"/>
      <c r="N666" s="67" t="str">
        <f>IF(tblMovimientos[[#This Row],[Tipo de Movimiento]]="Ingreso",tblMovimientos[[#This Row],[Monto (S/)]],"0")</f>
        <v>0</v>
      </c>
      <c r="O666" s="67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0</v>
      </c>
    </row>
    <row r="667" spans="5:16" x14ac:dyDescent="0.3">
      <c r="E667" s="68">
        <f>_xlfn.XLOOKUP(tblMovimientos[[#This Row],[Cuenta Bancaria]],Listas!$B:$B,Listas!$C:$C,"")</f>
        <v>0</v>
      </c>
      <c r="H667" s="4">
        <f>IFERROR(_xlfn.XLOOKUP(G667,Listas!E:E,Listas!F:F,""),"")</f>
        <v>0</v>
      </c>
      <c r="I667" s="68"/>
      <c r="N667" s="67" t="str">
        <f>IF(tblMovimientos[[#This Row],[Tipo de Movimiento]]="Ingreso",tblMovimientos[[#This Row],[Monto (S/)]],"0")</f>
        <v>0</v>
      </c>
      <c r="O667" s="67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0</v>
      </c>
    </row>
    <row r="668" spans="5:16" x14ac:dyDescent="0.3">
      <c r="E668" s="68">
        <f>_xlfn.XLOOKUP(tblMovimientos[[#This Row],[Cuenta Bancaria]],Listas!$B:$B,Listas!$C:$C,"")</f>
        <v>0</v>
      </c>
      <c r="H668" s="4">
        <f>IFERROR(_xlfn.XLOOKUP(G668,Listas!E:E,Listas!F:F,""),"")</f>
        <v>0</v>
      </c>
      <c r="I668" s="68"/>
      <c r="N668" s="67" t="str">
        <f>IF(tblMovimientos[[#This Row],[Tipo de Movimiento]]="Ingreso",tblMovimientos[[#This Row],[Monto (S/)]],"0")</f>
        <v>0</v>
      </c>
      <c r="O668" s="67" t="str">
        <f>IF(tblMovimientos[[#This Row],[Tipo de Movimiento]]="Egreso",tblMovimientos[[#This Row],[Monto (S/)]],"0")</f>
        <v>0</v>
      </c>
      <c r="P668" s="28">
        <f>IF(tblMovimientos[[#This Row],[Tipo de Movimiento]]="Ingreso",tblMovimientos[[#This Row],[Ingreso]],-tblMovimientos[[#This Row],[Egreso]])</f>
        <v>0</v>
      </c>
    </row>
    <row r="669" spans="5:16" x14ac:dyDescent="0.3">
      <c r="E669" s="68">
        <f>_xlfn.XLOOKUP(tblMovimientos[[#This Row],[Cuenta Bancaria]],Listas!$B:$B,Listas!$C:$C,"")</f>
        <v>0</v>
      </c>
      <c r="H669" s="4">
        <f>IFERROR(_xlfn.XLOOKUP(G669,Listas!E:E,Listas!F:F,""),"")</f>
        <v>0</v>
      </c>
      <c r="I669" s="68"/>
      <c r="N669" s="67" t="str">
        <f>IF(tblMovimientos[[#This Row],[Tipo de Movimiento]]="Ingreso",tblMovimientos[[#This Row],[Monto (S/)]],"0")</f>
        <v>0</v>
      </c>
      <c r="O669" s="67" t="str">
        <f>IF(tblMovimientos[[#This Row],[Tipo de Movimiento]]="Egreso",tblMovimientos[[#This Row],[Monto (S/)]],"0")</f>
        <v>0</v>
      </c>
      <c r="P669" s="28">
        <f>IF(tblMovimientos[[#This Row],[Tipo de Movimiento]]="Ingreso",tblMovimientos[[#This Row],[Ingreso]],-tblMovimientos[[#This Row],[Egreso]])</f>
        <v>0</v>
      </c>
    </row>
    <row r="670" spans="5:16" x14ac:dyDescent="0.3">
      <c r="E670" s="68">
        <f>_xlfn.XLOOKUP(tblMovimientos[[#This Row],[Cuenta Bancaria]],Listas!$B:$B,Listas!$C:$C,"")</f>
        <v>0</v>
      </c>
      <c r="H670" s="4">
        <f>IFERROR(_xlfn.XLOOKUP(G670,Listas!E:E,Listas!F:F,""),"")</f>
        <v>0</v>
      </c>
      <c r="I670" s="68"/>
      <c r="N670" s="67" t="str">
        <f>IF(tblMovimientos[[#This Row],[Tipo de Movimiento]]="Ingreso",tblMovimientos[[#This Row],[Monto (S/)]],"0")</f>
        <v>0</v>
      </c>
      <c r="O670" s="67" t="str">
        <f>IF(tblMovimientos[[#This Row],[Tipo de Movimiento]]="Egreso",tblMovimientos[[#This Row],[Monto (S/)]],"0")</f>
        <v>0</v>
      </c>
      <c r="P670" s="28">
        <f>IF(tblMovimientos[[#This Row],[Tipo de Movimiento]]="Ingreso",tblMovimientos[[#This Row],[Ingreso]],-tblMovimientos[[#This Row],[Egreso]])</f>
        <v>0</v>
      </c>
    </row>
    <row r="671" spans="5:16" x14ac:dyDescent="0.3">
      <c r="E671" s="68">
        <f>_xlfn.XLOOKUP(tblMovimientos[[#This Row],[Cuenta Bancaria]],Listas!$B:$B,Listas!$C:$C,"")</f>
        <v>0</v>
      </c>
      <c r="H671" s="4">
        <f>IFERROR(_xlfn.XLOOKUP(G671,Listas!E:E,Listas!F:F,""),"")</f>
        <v>0</v>
      </c>
      <c r="I671" s="68"/>
      <c r="N671" s="67" t="str">
        <f>IF(tblMovimientos[[#This Row],[Tipo de Movimiento]]="Ingreso",tblMovimientos[[#This Row],[Monto (S/)]],"0")</f>
        <v>0</v>
      </c>
      <c r="O671" s="67" t="str">
        <f>IF(tblMovimientos[[#This Row],[Tipo de Movimiento]]="Egreso",tblMovimientos[[#This Row],[Monto (S/)]],"0")</f>
        <v>0</v>
      </c>
      <c r="P671" s="28">
        <f>IF(tblMovimientos[[#This Row],[Tipo de Movimiento]]="Ingreso",tblMovimientos[[#This Row],[Ingreso]],-tblMovimientos[[#This Row],[Egreso]])</f>
        <v>0</v>
      </c>
    </row>
    <row r="672" spans="5:16" x14ac:dyDescent="0.3">
      <c r="E672" s="68">
        <f>_xlfn.XLOOKUP(tblMovimientos[[#This Row],[Cuenta Bancaria]],Listas!$B:$B,Listas!$C:$C,"")</f>
        <v>0</v>
      </c>
      <c r="H672" s="4">
        <f>IFERROR(_xlfn.XLOOKUP(G672,Listas!E:E,Listas!F:F,""),"")</f>
        <v>0</v>
      </c>
      <c r="I672" s="68"/>
      <c r="N672" s="67" t="str">
        <f>IF(tblMovimientos[[#This Row],[Tipo de Movimiento]]="Ingreso",tblMovimientos[[#This Row],[Monto (S/)]],"0")</f>
        <v>0</v>
      </c>
      <c r="O672" s="67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0</v>
      </c>
    </row>
    <row r="673" spans="5:16" x14ac:dyDescent="0.3">
      <c r="E673" s="68">
        <f>_xlfn.XLOOKUP(tblMovimientos[[#This Row],[Cuenta Bancaria]],Listas!$B:$B,Listas!$C:$C,"")</f>
        <v>0</v>
      </c>
      <c r="H673" s="4">
        <f>IFERROR(_xlfn.XLOOKUP(G673,Listas!E:E,Listas!F:F,""),"")</f>
        <v>0</v>
      </c>
      <c r="I673" s="68"/>
      <c r="N673" s="67" t="str">
        <f>IF(tblMovimientos[[#This Row],[Tipo de Movimiento]]="Ingreso",tblMovimientos[[#This Row],[Monto (S/)]],"0")</f>
        <v>0</v>
      </c>
      <c r="O673" s="67" t="str">
        <f>IF(tblMovimientos[[#This Row],[Tipo de Movimiento]]="Egreso",tblMovimientos[[#This Row],[Monto (S/)]],"0")</f>
        <v>0</v>
      </c>
      <c r="P673" s="28">
        <f>IF(tblMovimientos[[#This Row],[Tipo de Movimiento]]="Ingreso",tblMovimientos[[#This Row],[Ingreso]],-tblMovimientos[[#This Row],[Egreso]])</f>
        <v>0</v>
      </c>
    </row>
    <row r="674" spans="5:16" x14ac:dyDescent="0.3">
      <c r="E674" s="68">
        <f>_xlfn.XLOOKUP(tblMovimientos[[#This Row],[Cuenta Bancaria]],Listas!$B:$B,Listas!$C:$C,"")</f>
        <v>0</v>
      </c>
      <c r="H674" s="4">
        <f>IFERROR(_xlfn.XLOOKUP(G674,Listas!E:E,Listas!F:F,""),"")</f>
        <v>0</v>
      </c>
      <c r="I674" s="68"/>
      <c r="N674" s="67" t="str">
        <f>IF(tblMovimientos[[#This Row],[Tipo de Movimiento]]="Ingreso",tblMovimientos[[#This Row],[Monto (S/)]],"0")</f>
        <v>0</v>
      </c>
      <c r="O674" s="67" t="str">
        <f>IF(tblMovimientos[[#This Row],[Tipo de Movimiento]]="Egreso",tblMovimientos[[#This Row],[Monto (S/)]],"0")</f>
        <v>0</v>
      </c>
      <c r="P674" s="28">
        <f>IF(tblMovimientos[[#This Row],[Tipo de Movimiento]]="Ingreso",tblMovimientos[[#This Row],[Ingreso]],-tblMovimientos[[#This Row],[Egreso]])</f>
        <v>0</v>
      </c>
    </row>
    <row r="675" spans="5:16" x14ac:dyDescent="0.3">
      <c r="E675" s="68">
        <f>_xlfn.XLOOKUP(tblMovimientos[[#This Row],[Cuenta Bancaria]],Listas!$B:$B,Listas!$C:$C,"")</f>
        <v>0</v>
      </c>
      <c r="H675" s="4">
        <f>IFERROR(_xlfn.XLOOKUP(G675,Listas!E:E,Listas!F:F,""),"")</f>
        <v>0</v>
      </c>
      <c r="I675" s="68"/>
      <c r="N675" s="67" t="str">
        <f>IF(tblMovimientos[[#This Row],[Tipo de Movimiento]]="Ingreso",tblMovimientos[[#This Row],[Monto (S/)]],"0")</f>
        <v>0</v>
      </c>
      <c r="O675" s="67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0</v>
      </c>
    </row>
    <row r="676" spans="5:16" x14ac:dyDescent="0.3">
      <c r="E676" s="68">
        <f>_xlfn.XLOOKUP(tblMovimientos[[#This Row],[Cuenta Bancaria]],Listas!$B:$B,Listas!$C:$C,"")</f>
        <v>0</v>
      </c>
      <c r="H676" s="4">
        <f>IFERROR(_xlfn.XLOOKUP(G676,Listas!E:E,Listas!F:F,""),"")</f>
        <v>0</v>
      </c>
      <c r="I676" s="68"/>
      <c r="N676" s="67" t="str">
        <f>IF(tblMovimientos[[#This Row],[Tipo de Movimiento]]="Ingreso",tblMovimientos[[#This Row],[Monto (S/)]],"0")</f>
        <v>0</v>
      </c>
      <c r="O676" s="67" t="str">
        <f>IF(tblMovimientos[[#This Row],[Tipo de Movimiento]]="Egreso",tblMovimientos[[#This Row],[Monto (S/)]],"0")</f>
        <v>0</v>
      </c>
      <c r="P676" s="28">
        <f>IF(tblMovimientos[[#This Row],[Tipo de Movimiento]]="Ingreso",tblMovimientos[[#This Row],[Ingreso]],-tblMovimientos[[#This Row],[Egreso]])</f>
        <v>0</v>
      </c>
    </row>
    <row r="677" spans="5:16" x14ac:dyDescent="0.3">
      <c r="E677" s="68">
        <f>_xlfn.XLOOKUP(tblMovimientos[[#This Row],[Cuenta Bancaria]],Listas!$B:$B,Listas!$C:$C,"")</f>
        <v>0</v>
      </c>
      <c r="H677" s="4">
        <f>IFERROR(_xlfn.XLOOKUP(G677,Listas!E:E,Listas!F:F,""),"")</f>
        <v>0</v>
      </c>
      <c r="I677" s="68"/>
      <c r="N677" s="67" t="str">
        <f>IF(tblMovimientos[[#This Row],[Tipo de Movimiento]]="Ingreso",tblMovimientos[[#This Row],[Monto (S/)]],"0")</f>
        <v>0</v>
      </c>
      <c r="O677" s="67" t="str">
        <f>IF(tblMovimientos[[#This Row],[Tipo de Movimiento]]="Egreso",tblMovimientos[[#This Row],[Monto (S/)]],"0")</f>
        <v>0</v>
      </c>
      <c r="P677" s="28">
        <f>IF(tblMovimientos[[#This Row],[Tipo de Movimiento]]="Ingreso",tblMovimientos[[#This Row],[Ingreso]],-tblMovimientos[[#This Row],[Egreso]])</f>
        <v>0</v>
      </c>
    </row>
    <row r="678" spans="5:16" x14ac:dyDescent="0.3">
      <c r="E678" s="68">
        <f>_xlfn.XLOOKUP(tblMovimientos[[#This Row],[Cuenta Bancaria]],Listas!$B:$B,Listas!$C:$C,"")</f>
        <v>0</v>
      </c>
      <c r="H678" s="4">
        <f>IFERROR(_xlfn.XLOOKUP(G678,Listas!E:E,Listas!F:F,""),"")</f>
        <v>0</v>
      </c>
      <c r="I678" s="68"/>
      <c r="N678" s="67" t="str">
        <f>IF(tblMovimientos[[#This Row],[Tipo de Movimiento]]="Ingreso",tblMovimientos[[#This Row],[Monto (S/)]],"0")</f>
        <v>0</v>
      </c>
      <c r="O678" s="67" t="str">
        <f>IF(tblMovimientos[[#This Row],[Tipo de Movimiento]]="Egreso",tblMovimientos[[#This Row],[Monto (S/)]],"0")</f>
        <v>0</v>
      </c>
      <c r="P678" s="28">
        <f>IF(tblMovimientos[[#This Row],[Tipo de Movimiento]]="Ingreso",tblMovimientos[[#This Row],[Ingreso]],-tblMovimientos[[#This Row],[Egreso]])</f>
        <v>0</v>
      </c>
    </row>
    <row r="679" spans="5:16" x14ac:dyDescent="0.3">
      <c r="E679" s="68">
        <f>_xlfn.XLOOKUP(tblMovimientos[[#This Row],[Cuenta Bancaria]],Listas!$B:$B,Listas!$C:$C,"")</f>
        <v>0</v>
      </c>
      <c r="H679" s="4">
        <f>IFERROR(_xlfn.XLOOKUP(G679,Listas!E:E,Listas!F:F,""),"")</f>
        <v>0</v>
      </c>
      <c r="I679" s="68"/>
      <c r="N679" s="67" t="str">
        <f>IF(tblMovimientos[[#This Row],[Tipo de Movimiento]]="Ingreso",tblMovimientos[[#This Row],[Monto (S/)]],"0")</f>
        <v>0</v>
      </c>
      <c r="O679" s="67" t="str">
        <f>IF(tblMovimientos[[#This Row],[Tipo de Movimiento]]="Egreso",tblMovimientos[[#This Row],[Monto (S/)]],"0")</f>
        <v>0</v>
      </c>
      <c r="P679" s="28">
        <f>IF(tblMovimientos[[#This Row],[Tipo de Movimiento]]="Ingreso",tblMovimientos[[#This Row],[Ingreso]],-tblMovimientos[[#This Row],[Egreso]])</f>
        <v>0</v>
      </c>
    </row>
    <row r="680" spans="5:16" x14ac:dyDescent="0.3">
      <c r="E680" s="68">
        <f>_xlfn.XLOOKUP(tblMovimientos[[#This Row],[Cuenta Bancaria]],Listas!$B:$B,Listas!$C:$C,"")</f>
        <v>0</v>
      </c>
      <c r="H680" s="4">
        <f>IFERROR(_xlfn.XLOOKUP(G680,Listas!E:E,Listas!F:F,""),"")</f>
        <v>0</v>
      </c>
      <c r="I680" s="68"/>
      <c r="N680" s="67" t="str">
        <f>IF(tblMovimientos[[#This Row],[Tipo de Movimiento]]="Ingreso",tblMovimientos[[#This Row],[Monto (S/)]],"0")</f>
        <v>0</v>
      </c>
      <c r="O680" s="67" t="str">
        <f>IF(tblMovimientos[[#This Row],[Tipo de Movimiento]]="Egreso",tblMovimientos[[#This Row],[Monto (S/)]],"0")</f>
        <v>0</v>
      </c>
      <c r="P680" s="28">
        <f>IF(tblMovimientos[[#This Row],[Tipo de Movimiento]]="Ingreso",tblMovimientos[[#This Row],[Ingreso]],-tblMovimientos[[#This Row],[Egreso]])</f>
        <v>0</v>
      </c>
    </row>
    <row r="681" spans="5:16" x14ac:dyDescent="0.3">
      <c r="E681" s="68">
        <f>_xlfn.XLOOKUP(tblMovimientos[[#This Row],[Cuenta Bancaria]],Listas!$B:$B,Listas!$C:$C,"")</f>
        <v>0</v>
      </c>
      <c r="H681" s="4">
        <f>IFERROR(_xlfn.XLOOKUP(G681,Listas!E:E,Listas!F:F,""),"")</f>
        <v>0</v>
      </c>
      <c r="I681" s="68"/>
      <c r="N681" s="67" t="str">
        <f>IF(tblMovimientos[[#This Row],[Tipo de Movimiento]]="Ingreso",tblMovimientos[[#This Row],[Monto (S/)]],"0")</f>
        <v>0</v>
      </c>
      <c r="O681" s="67" t="str">
        <f>IF(tblMovimientos[[#This Row],[Tipo de Movimiento]]="Egreso",tblMovimientos[[#This Row],[Monto (S/)]],"0")</f>
        <v>0</v>
      </c>
      <c r="P681" s="28">
        <f>IF(tblMovimientos[[#This Row],[Tipo de Movimiento]]="Ingreso",tblMovimientos[[#This Row],[Ingreso]],-tblMovimientos[[#This Row],[Egreso]])</f>
        <v>0</v>
      </c>
    </row>
    <row r="682" spans="5:16" x14ac:dyDescent="0.3">
      <c r="E682" s="68">
        <f>_xlfn.XLOOKUP(tblMovimientos[[#This Row],[Cuenta Bancaria]],Listas!$B:$B,Listas!$C:$C,"")</f>
        <v>0</v>
      </c>
      <c r="H682" s="4">
        <f>IFERROR(_xlfn.XLOOKUP(G682,Listas!E:E,Listas!F:F,""),"")</f>
        <v>0</v>
      </c>
      <c r="I682" s="68"/>
      <c r="N682" s="67" t="str">
        <f>IF(tblMovimientos[[#This Row],[Tipo de Movimiento]]="Ingreso",tblMovimientos[[#This Row],[Monto (S/)]],"0")</f>
        <v>0</v>
      </c>
      <c r="O682" s="67" t="str">
        <f>IF(tblMovimientos[[#This Row],[Tipo de Movimiento]]="Egreso",tblMovimientos[[#This Row],[Monto (S/)]],"0")</f>
        <v>0</v>
      </c>
      <c r="P682" s="28">
        <f>IF(tblMovimientos[[#This Row],[Tipo de Movimiento]]="Ingreso",tblMovimientos[[#This Row],[Ingreso]],-tblMovimientos[[#This Row],[Egreso]])</f>
        <v>0</v>
      </c>
    </row>
    <row r="683" spans="5:16" x14ac:dyDescent="0.3">
      <c r="E683" s="68">
        <f>_xlfn.XLOOKUP(tblMovimientos[[#This Row],[Cuenta Bancaria]],Listas!$B:$B,Listas!$C:$C,"")</f>
        <v>0</v>
      </c>
      <c r="H683" s="4">
        <f>IFERROR(_xlfn.XLOOKUP(G683,Listas!E:E,Listas!F:F,""),"")</f>
        <v>0</v>
      </c>
      <c r="I683" s="68"/>
      <c r="N683" s="67" t="str">
        <f>IF(tblMovimientos[[#This Row],[Tipo de Movimiento]]="Ingreso",tblMovimientos[[#This Row],[Monto (S/)]],"0")</f>
        <v>0</v>
      </c>
      <c r="O683" s="67" t="str">
        <f>IF(tblMovimientos[[#This Row],[Tipo de Movimiento]]="Egreso",tblMovimientos[[#This Row],[Monto (S/)]],"0")</f>
        <v>0</v>
      </c>
      <c r="P683" s="28">
        <f>IF(tblMovimientos[[#This Row],[Tipo de Movimiento]]="Ingreso",tblMovimientos[[#This Row],[Ingreso]],-tblMovimientos[[#This Row],[Egreso]])</f>
        <v>0</v>
      </c>
    </row>
    <row r="684" spans="5:16" x14ac:dyDescent="0.3">
      <c r="E684" s="68">
        <f>_xlfn.XLOOKUP(tblMovimientos[[#This Row],[Cuenta Bancaria]],Listas!$B:$B,Listas!$C:$C,"")</f>
        <v>0</v>
      </c>
      <c r="H684" s="4">
        <f>IFERROR(_xlfn.XLOOKUP(G684,Listas!E:E,Listas!F:F,""),"")</f>
        <v>0</v>
      </c>
      <c r="I684" s="68"/>
      <c r="N684" s="67" t="str">
        <f>IF(tblMovimientos[[#This Row],[Tipo de Movimiento]]="Ingreso",tblMovimientos[[#This Row],[Monto (S/)]],"0")</f>
        <v>0</v>
      </c>
      <c r="O684" s="67" t="str">
        <f>IF(tblMovimientos[[#This Row],[Tipo de Movimiento]]="Egreso",tblMovimientos[[#This Row],[Monto (S/)]],"0")</f>
        <v>0</v>
      </c>
      <c r="P684" s="28">
        <f>IF(tblMovimientos[[#This Row],[Tipo de Movimiento]]="Ingreso",tblMovimientos[[#This Row],[Ingreso]],-tblMovimientos[[#This Row],[Egreso]])</f>
        <v>0</v>
      </c>
    </row>
    <row r="685" spans="5:16" x14ac:dyDescent="0.3">
      <c r="E685" s="68">
        <f>_xlfn.XLOOKUP(tblMovimientos[[#This Row],[Cuenta Bancaria]],Listas!$B:$B,Listas!$C:$C,"")</f>
        <v>0</v>
      </c>
      <c r="H685" s="4">
        <f>IFERROR(_xlfn.XLOOKUP(G685,Listas!E:E,Listas!F:F,""),"")</f>
        <v>0</v>
      </c>
      <c r="I685" s="68"/>
      <c r="N685" s="67" t="str">
        <f>IF(tblMovimientos[[#This Row],[Tipo de Movimiento]]="Ingreso",tblMovimientos[[#This Row],[Monto (S/)]],"0")</f>
        <v>0</v>
      </c>
      <c r="O685" s="67" t="str">
        <f>IF(tblMovimientos[[#This Row],[Tipo de Movimiento]]="Egreso",tblMovimientos[[#This Row],[Monto (S/)]],"0")</f>
        <v>0</v>
      </c>
      <c r="P685" s="28">
        <f>IF(tblMovimientos[[#This Row],[Tipo de Movimiento]]="Ingreso",tblMovimientos[[#This Row],[Ingreso]],-tblMovimientos[[#This Row],[Egreso]])</f>
        <v>0</v>
      </c>
    </row>
    <row r="686" spans="5:16" x14ac:dyDescent="0.3">
      <c r="E686" s="68">
        <f>_xlfn.XLOOKUP(tblMovimientos[[#This Row],[Cuenta Bancaria]],Listas!$B:$B,Listas!$C:$C,"")</f>
        <v>0</v>
      </c>
      <c r="H686" s="4">
        <f>IFERROR(_xlfn.XLOOKUP(G686,Listas!E:E,Listas!F:F,""),"")</f>
        <v>0</v>
      </c>
      <c r="I686" s="68"/>
      <c r="N686" s="67" t="str">
        <f>IF(tblMovimientos[[#This Row],[Tipo de Movimiento]]="Ingreso",tblMovimientos[[#This Row],[Monto (S/)]],"0")</f>
        <v>0</v>
      </c>
      <c r="O686" s="67" t="str">
        <f>IF(tblMovimientos[[#This Row],[Tipo de Movimiento]]="Egreso",tblMovimientos[[#This Row],[Monto (S/)]],"0")</f>
        <v>0</v>
      </c>
      <c r="P686" s="28">
        <f>IF(tblMovimientos[[#This Row],[Tipo de Movimiento]]="Ingreso",tblMovimientos[[#This Row],[Ingreso]],-tblMovimientos[[#This Row],[Egreso]])</f>
        <v>0</v>
      </c>
    </row>
    <row r="687" spans="5:16" x14ac:dyDescent="0.3">
      <c r="E687" s="68">
        <f>_xlfn.XLOOKUP(tblMovimientos[[#This Row],[Cuenta Bancaria]],Listas!$B:$B,Listas!$C:$C,"")</f>
        <v>0</v>
      </c>
      <c r="H687" s="4">
        <f>IFERROR(_xlfn.XLOOKUP(G687,Listas!E:E,Listas!F:F,""),"")</f>
        <v>0</v>
      </c>
      <c r="I687" s="68"/>
      <c r="N687" s="67" t="str">
        <f>IF(tblMovimientos[[#This Row],[Tipo de Movimiento]]="Ingreso",tblMovimientos[[#This Row],[Monto (S/)]],"0")</f>
        <v>0</v>
      </c>
      <c r="O687" s="67" t="str">
        <f>IF(tblMovimientos[[#This Row],[Tipo de Movimiento]]="Egreso",tblMovimientos[[#This Row],[Monto (S/)]],"0")</f>
        <v>0</v>
      </c>
      <c r="P687" s="28">
        <f>IF(tblMovimientos[[#This Row],[Tipo de Movimiento]]="Ingreso",tblMovimientos[[#This Row],[Ingreso]],-tblMovimientos[[#This Row],[Egreso]])</f>
        <v>0</v>
      </c>
    </row>
    <row r="688" spans="5:16" x14ac:dyDescent="0.3">
      <c r="E688" s="68">
        <f>_xlfn.XLOOKUP(tblMovimientos[[#This Row],[Cuenta Bancaria]],Listas!$B:$B,Listas!$C:$C,"")</f>
        <v>0</v>
      </c>
      <c r="H688" s="4">
        <f>IFERROR(_xlfn.XLOOKUP(G688,Listas!E:E,Listas!F:F,""),"")</f>
        <v>0</v>
      </c>
      <c r="I688" s="68"/>
      <c r="N688" s="67" t="str">
        <f>IF(tblMovimientos[[#This Row],[Tipo de Movimiento]]="Ingreso",tblMovimientos[[#This Row],[Monto (S/)]],"0")</f>
        <v>0</v>
      </c>
      <c r="O688" s="67" t="str">
        <f>IF(tblMovimientos[[#This Row],[Tipo de Movimiento]]="Egreso",tblMovimientos[[#This Row],[Monto (S/)]],"0")</f>
        <v>0</v>
      </c>
      <c r="P688" s="28">
        <f>IF(tblMovimientos[[#This Row],[Tipo de Movimiento]]="Ingreso",tblMovimientos[[#This Row],[Ingreso]],-tblMovimientos[[#This Row],[Egreso]])</f>
        <v>0</v>
      </c>
    </row>
    <row r="689" spans="5:16" x14ac:dyDescent="0.3">
      <c r="E689" s="68">
        <f>_xlfn.XLOOKUP(tblMovimientos[[#This Row],[Cuenta Bancaria]],Listas!$B:$B,Listas!$C:$C,"")</f>
        <v>0</v>
      </c>
      <c r="H689" s="4">
        <f>IFERROR(_xlfn.XLOOKUP(G689,Listas!E:E,Listas!F:F,""),"")</f>
        <v>0</v>
      </c>
      <c r="I689" s="68"/>
      <c r="N689" s="67" t="str">
        <f>IF(tblMovimientos[[#This Row],[Tipo de Movimiento]]="Ingreso",tblMovimientos[[#This Row],[Monto (S/)]],"0")</f>
        <v>0</v>
      </c>
      <c r="O689" s="67" t="str">
        <f>IF(tblMovimientos[[#This Row],[Tipo de Movimiento]]="Egreso",tblMovimientos[[#This Row],[Monto (S/)]],"0")</f>
        <v>0</v>
      </c>
      <c r="P689" s="28">
        <f>IF(tblMovimientos[[#This Row],[Tipo de Movimiento]]="Ingreso",tblMovimientos[[#This Row],[Ingreso]],-tblMovimientos[[#This Row],[Egreso]])</f>
        <v>0</v>
      </c>
    </row>
    <row r="690" spans="5:16" x14ac:dyDescent="0.3">
      <c r="E690" s="68">
        <f>_xlfn.XLOOKUP(tblMovimientos[[#This Row],[Cuenta Bancaria]],Listas!$B:$B,Listas!$C:$C,"")</f>
        <v>0</v>
      </c>
      <c r="H690" s="4">
        <f>IFERROR(_xlfn.XLOOKUP(G690,Listas!E:E,Listas!F:F,""),"")</f>
        <v>0</v>
      </c>
      <c r="I690" s="68"/>
      <c r="N690" s="67" t="str">
        <f>IF(tblMovimientos[[#This Row],[Tipo de Movimiento]]="Ingreso",tblMovimientos[[#This Row],[Monto (S/)]],"0")</f>
        <v>0</v>
      </c>
      <c r="O690" s="67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0</v>
      </c>
    </row>
    <row r="691" spans="5:16" x14ac:dyDescent="0.3">
      <c r="E691" s="68">
        <f>_xlfn.XLOOKUP(tblMovimientos[[#This Row],[Cuenta Bancaria]],Listas!$B:$B,Listas!$C:$C,"")</f>
        <v>0</v>
      </c>
      <c r="H691" s="4">
        <f>IFERROR(_xlfn.XLOOKUP(G691,Listas!E:E,Listas!F:F,""),"")</f>
        <v>0</v>
      </c>
      <c r="I691" s="68"/>
      <c r="N691" s="67" t="str">
        <f>IF(tblMovimientos[[#This Row],[Tipo de Movimiento]]="Ingreso",tblMovimientos[[#This Row],[Monto (S/)]],"0")</f>
        <v>0</v>
      </c>
      <c r="O691" s="67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0</v>
      </c>
    </row>
    <row r="692" spans="5:16" x14ac:dyDescent="0.3">
      <c r="E692" s="68">
        <f>_xlfn.XLOOKUP(tblMovimientos[[#This Row],[Cuenta Bancaria]],Listas!$B:$B,Listas!$C:$C,"")</f>
        <v>0</v>
      </c>
      <c r="H692" s="4">
        <f>IFERROR(_xlfn.XLOOKUP(G692,Listas!E:E,Listas!F:F,""),"")</f>
        <v>0</v>
      </c>
      <c r="I692" s="68"/>
      <c r="N692" s="67" t="str">
        <f>IF(tblMovimientos[[#This Row],[Tipo de Movimiento]]="Ingreso",tblMovimientos[[#This Row],[Monto (S/)]],"0")</f>
        <v>0</v>
      </c>
      <c r="O692" s="67" t="str">
        <f>IF(tblMovimientos[[#This Row],[Tipo de Movimiento]]="Egreso",tblMovimientos[[#This Row],[Monto (S/)]],"0")</f>
        <v>0</v>
      </c>
      <c r="P692" s="28">
        <f>IF(tblMovimientos[[#This Row],[Tipo de Movimiento]]="Ingreso",tblMovimientos[[#This Row],[Ingreso]],-tblMovimientos[[#This Row],[Egreso]])</f>
        <v>0</v>
      </c>
    </row>
    <row r="693" spans="5:16" x14ac:dyDescent="0.3">
      <c r="E693" s="68">
        <f>_xlfn.XLOOKUP(tblMovimientos[[#This Row],[Cuenta Bancaria]],Listas!$B:$B,Listas!$C:$C,"")</f>
        <v>0</v>
      </c>
      <c r="H693" s="4">
        <f>IFERROR(_xlfn.XLOOKUP(G693,Listas!E:E,Listas!F:F,""),"")</f>
        <v>0</v>
      </c>
      <c r="I693" s="68"/>
      <c r="N693" s="67" t="str">
        <f>IF(tblMovimientos[[#This Row],[Tipo de Movimiento]]="Ingreso",tblMovimientos[[#This Row],[Monto (S/)]],"0")</f>
        <v>0</v>
      </c>
      <c r="O693" s="67" t="str">
        <f>IF(tblMovimientos[[#This Row],[Tipo de Movimiento]]="Egreso",tblMovimientos[[#This Row],[Monto (S/)]],"0")</f>
        <v>0</v>
      </c>
      <c r="P693" s="28">
        <f>IF(tblMovimientos[[#This Row],[Tipo de Movimiento]]="Ingreso",tblMovimientos[[#This Row],[Ingreso]],-tblMovimientos[[#This Row],[Egreso]])</f>
        <v>0</v>
      </c>
    </row>
    <row r="694" spans="5:16" x14ac:dyDescent="0.3">
      <c r="E694" s="68">
        <f>_xlfn.XLOOKUP(tblMovimientos[[#This Row],[Cuenta Bancaria]],Listas!$B:$B,Listas!$C:$C,"")</f>
        <v>0</v>
      </c>
      <c r="H694" s="4">
        <f>IFERROR(_xlfn.XLOOKUP(G694,Listas!E:E,Listas!F:F,""),"")</f>
        <v>0</v>
      </c>
      <c r="I694" s="68"/>
      <c r="N694" s="67" t="str">
        <f>IF(tblMovimientos[[#This Row],[Tipo de Movimiento]]="Ingreso",tblMovimientos[[#This Row],[Monto (S/)]],"0")</f>
        <v>0</v>
      </c>
      <c r="O694" s="67" t="str">
        <f>IF(tblMovimientos[[#This Row],[Tipo de Movimiento]]="Egreso",tblMovimientos[[#This Row],[Monto (S/)]],"0")</f>
        <v>0</v>
      </c>
      <c r="P694" s="28">
        <f>IF(tblMovimientos[[#This Row],[Tipo de Movimiento]]="Ingreso",tblMovimientos[[#This Row],[Ingreso]],-tblMovimientos[[#This Row],[Egreso]])</f>
        <v>0</v>
      </c>
    </row>
    <row r="695" spans="5:16" x14ac:dyDescent="0.3">
      <c r="E695" s="68">
        <f>_xlfn.XLOOKUP(tblMovimientos[[#This Row],[Cuenta Bancaria]],Listas!$B:$B,Listas!$C:$C,"")</f>
        <v>0</v>
      </c>
      <c r="H695" s="4">
        <f>IFERROR(_xlfn.XLOOKUP(G695,Listas!E:E,Listas!F:F,""),"")</f>
        <v>0</v>
      </c>
      <c r="I695" s="68"/>
      <c r="N695" s="67" t="str">
        <f>IF(tblMovimientos[[#This Row],[Tipo de Movimiento]]="Ingreso",tblMovimientos[[#This Row],[Monto (S/)]],"0")</f>
        <v>0</v>
      </c>
      <c r="O695" s="67" t="str">
        <f>IF(tblMovimientos[[#This Row],[Tipo de Movimiento]]="Egreso",tblMovimientos[[#This Row],[Monto (S/)]],"0")</f>
        <v>0</v>
      </c>
      <c r="P695" s="28">
        <f>IF(tblMovimientos[[#This Row],[Tipo de Movimiento]]="Ingreso",tblMovimientos[[#This Row],[Ingreso]],-tblMovimientos[[#This Row],[Egreso]])</f>
        <v>0</v>
      </c>
    </row>
    <row r="696" spans="5:16" x14ac:dyDescent="0.3">
      <c r="E696" s="68">
        <f>_xlfn.XLOOKUP(tblMovimientos[[#This Row],[Cuenta Bancaria]],Listas!$B:$B,Listas!$C:$C,"")</f>
        <v>0</v>
      </c>
      <c r="H696" s="4">
        <f>IFERROR(_xlfn.XLOOKUP(G696,Listas!E:E,Listas!F:F,""),"")</f>
        <v>0</v>
      </c>
      <c r="I696" s="68"/>
      <c r="N696" s="67" t="str">
        <f>IF(tblMovimientos[[#This Row],[Tipo de Movimiento]]="Ingreso",tblMovimientos[[#This Row],[Monto (S/)]],"0")</f>
        <v>0</v>
      </c>
      <c r="O696" s="67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0</v>
      </c>
    </row>
    <row r="697" spans="5:16" x14ac:dyDescent="0.3">
      <c r="E697" s="68">
        <f>_xlfn.XLOOKUP(tblMovimientos[[#This Row],[Cuenta Bancaria]],Listas!$B:$B,Listas!$C:$C,"")</f>
        <v>0</v>
      </c>
      <c r="H697" s="4">
        <f>IFERROR(_xlfn.XLOOKUP(G697,Listas!E:E,Listas!F:F,""),"")</f>
        <v>0</v>
      </c>
      <c r="I697" s="68"/>
      <c r="N697" s="67" t="str">
        <f>IF(tblMovimientos[[#This Row],[Tipo de Movimiento]]="Ingreso",tblMovimientos[[#This Row],[Monto (S/)]],"0")</f>
        <v>0</v>
      </c>
      <c r="O697" s="67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0</v>
      </c>
    </row>
    <row r="698" spans="5:16" x14ac:dyDescent="0.3">
      <c r="E698" s="68">
        <f>_xlfn.XLOOKUP(tblMovimientos[[#This Row],[Cuenta Bancaria]],Listas!$B:$B,Listas!$C:$C,"")</f>
        <v>0</v>
      </c>
      <c r="H698" s="4">
        <f>IFERROR(_xlfn.XLOOKUP(G698,Listas!E:E,Listas!F:F,""),"")</f>
        <v>0</v>
      </c>
      <c r="I698" s="68"/>
      <c r="N698" s="67" t="str">
        <f>IF(tblMovimientos[[#This Row],[Tipo de Movimiento]]="Ingreso",tblMovimientos[[#This Row],[Monto (S/)]],"0")</f>
        <v>0</v>
      </c>
      <c r="O698" s="67" t="str">
        <f>IF(tblMovimientos[[#This Row],[Tipo de Movimiento]]="Egreso",tblMovimientos[[#This Row],[Monto (S/)]],"0")</f>
        <v>0</v>
      </c>
      <c r="P698" s="28">
        <f>IF(tblMovimientos[[#This Row],[Tipo de Movimiento]]="Ingreso",tblMovimientos[[#This Row],[Ingreso]],-tblMovimientos[[#This Row],[Egreso]])</f>
        <v>0</v>
      </c>
    </row>
    <row r="699" spans="5:16" x14ac:dyDescent="0.3">
      <c r="E699" s="68">
        <f>_xlfn.XLOOKUP(tblMovimientos[[#This Row],[Cuenta Bancaria]],Listas!$B:$B,Listas!$C:$C,"")</f>
        <v>0</v>
      </c>
      <c r="H699" s="4">
        <f>IFERROR(_xlfn.XLOOKUP(G699,Listas!E:E,Listas!F:F,""),"")</f>
        <v>0</v>
      </c>
      <c r="I699" s="68"/>
      <c r="N699" s="67" t="str">
        <f>IF(tblMovimientos[[#This Row],[Tipo de Movimiento]]="Ingreso",tblMovimientos[[#This Row],[Monto (S/)]],"0")</f>
        <v>0</v>
      </c>
      <c r="O699" s="67" t="str">
        <f>IF(tblMovimientos[[#This Row],[Tipo de Movimiento]]="Egreso",tblMovimientos[[#This Row],[Monto (S/)]],"0")</f>
        <v>0</v>
      </c>
      <c r="P699" s="28">
        <f>IF(tblMovimientos[[#This Row],[Tipo de Movimiento]]="Ingreso",tblMovimientos[[#This Row],[Ingreso]],-tblMovimientos[[#This Row],[Egreso]])</f>
        <v>0</v>
      </c>
    </row>
    <row r="700" spans="5:16" x14ac:dyDescent="0.3">
      <c r="E700" s="68">
        <f>_xlfn.XLOOKUP(tblMovimientos[[#This Row],[Cuenta Bancaria]],Listas!$B:$B,Listas!$C:$C,"")</f>
        <v>0</v>
      </c>
      <c r="H700" s="4">
        <f>IFERROR(_xlfn.XLOOKUP(G700,Listas!E:E,Listas!F:F,""),"")</f>
        <v>0</v>
      </c>
      <c r="I700" s="68"/>
      <c r="N700" s="67" t="str">
        <f>IF(tblMovimientos[[#This Row],[Tipo de Movimiento]]="Ingreso",tblMovimientos[[#This Row],[Monto (S/)]],"0")</f>
        <v>0</v>
      </c>
      <c r="O700" s="67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0</v>
      </c>
    </row>
    <row r="701" spans="5:16" x14ac:dyDescent="0.3">
      <c r="E701" s="68">
        <f>_xlfn.XLOOKUP(tblMovimientos[[#This Row],[Cuenta Bancaria]],Listas!$B:$B,Listas!$C:$C,"")</f>
        <v>0</v>
      </c>
      <c r="H701" s="4">
        <f>IFERROR(_xlfn.XLOOKUP(G701,Listas!E:E,Listas!F:F,""),"")</f>
        <v>0</v>
      </c>
      <c r="I701" s="68"/>
      <c r="N701" s="67" t="str">
        <f>IF(tblMovimientos[[#This Row],[Tipo de Movimiento]]="Ingreso",tblMovimientos[[#This Row],[Monto (S/)]],"0")</f>
        <v>0</v>
      </c>
      <c r="O701" s="67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0</v>
      </c>
    </row>
    <row r="702" spans="5:16" x14ac:dyDescent="0.3">
      <c r="E702" s="68">
        <f>_xlfn.XLOOKUP(tblMovimientos[[#This Row],[Cuenta Bancaria]],Listas!$B:$B,Listas!$C:$C,"")</f>
        <v>0</v>
      </c>
      <c r="H702" s="4">
        <f>IFERROR(_xlfn.XLOOKUP(G702,Listas!E:E,Listas!F:F,""),"")</f>
        <v>0</v>
      </c>
      <c r="I702" s="68"/>
      <c r="N702" s="67" t="str">
        <f>IF(tblMovimientos[[#This Row],[Tipo de Movimiento]]="Ingreso",tblMovimientos[[#This Row],[Monto (S/)]],"0")</f>
        <v>0</v>
      </c>
      <c r="O702" s="67" t="str">
        <f>IF(tblMovimientos[[#This Row],[Tipo de Movimiento]]="Egreso",tblMovimientos[[#This Row],[Monto (S/)]],"0")</f>
        <v>0</v>
      </c>
      <c r="P702" s="28">
        <f>IF(tblMovimientos[[#This Row],[Tipo de Movimiento]]="Ingreso",tblMovimientos[[#This Row],[Ingreso]],-tblMovimientos[[#This Row],[Egreso]])</f>
        <v>0</v>
      </c>
    </row>
    <row r="703" spans="5:16" x14ac:dyDescent="0.3">
      <c r="E703" s="68">
        <f>_xlfn.XLOOKUP(tblMovimientos[[#This Row],[Cuenta Bancaria]],Listas!$B:$B,Listas!$C:$C,"")</f>
        <v>0</v>
      </c>
      <c r="H703" s="4">
        <f>IFERROR(_xlfn.XLOOKUP(G703,Listas!E:E,Listas!F:F,""),"")</f>
        <v>0</v>
      </c>
      <c r="I703" s="68"/>
      <c r="N703" s="67" t="str">
        <f>IF(tblMovimientos[[#This Row],[Tipo de Movimiento]]="Ingreso",tblMovimientos[[#This Row],[Monto (S/)]],"0")</f>
        <v>0</v>
      </c>
      <c r="O703" s="67" t="str">
        <f>IF(tblMovimientos[[#This Row],[Tipo de Movimiento]]="Egreso",tblMovimientos[[#This Row],[Monto (S/)]],"0")</f>
        <v>0</v>
      </c>
      <c r="P703" s="28">
        <f>IF(tblMovimientos[[#This Row],[Tipo de Movimiento]]="Ingreso",tblMovimientos[[#This Row],[Ingreso]],-tblMovimientos[[#This Row],[Egreso]])</f>
        <v>0</v>
      </c>
    </row>
    <row r="704" spans="5:16" x14ac:dyDescent="0.3">
      <c r="E704" s="68">
        <f>_xlfn.XLOOKUP(tblMovimientos[[#This Row],[Cuenta Bancaria]],Listas!$B:$B,Listas!$C:$C,"")</f>
        <v>0</v>
      </c>
      <c r="H704" s="4">
        <f>IFERROR(_xlfn.XLOOKUP(G704,Listas!E:E,Listas!F:F,""),"")</f>
        <v>0</v>
      </c>
      <c r="I704" s="68"/>
      <c r="N704" s="67" t="str">
        <f>IF(tblMovimientos[[#This Row],[Tipo de Movimiento]]="Ingreso",tblMovimientos[[#This Row],[Monto (S/)]],"0")</f>
        <v>0</v>
      </c>
      <c r="O704" s="67" t="str">
        <f>IF(tblMovimientos[[#This Row],[Tipo de Movimiento]]="Egreso",tblMovimientos[[#This Row],[Monto (S/)]],"0")</f>
        <v>0</v>
      </c>
      <c r="P704" s="28">
        <f>IF(tblMovimientos[[#This Row],[Tipo de Movimiento]]="Ingreso",tblMovimientos[[#This Row],[Ingreso]],-tblMovimientos[[#This Row],[Egreso]])</f>
        <v>0</v>
      </c>
    </row>
    <row r="705" spans="5:16" x14ac:dyDescent="0.3">
      <c r="E705" s="68">
        <f>_xlfn.XLOOKUP(tblMovimientos[[#This Row],[Cuenta Bancaria]],Listas!$B:$B,Listas!$C:$C,"")</f>
        <v>0</v>
      </c>
      <c r="H705" s="4">
        <f>IFERROR(_xlfn.XLOOKUP(G705,Listas!E:E,Listas!F:F,""),"")</f>
        <v>0</v>
      </c>
      <c r="I705" s="68"/>
      <c r="N705" s="67" t="str">
        <f>IF(tblMovimientos[[#This Row],[Tipo de Movimiento]]="Ingreso",tblMovimientos[[#This Row],[Monto (S/)]],"0")</f>
        <v>0</v>
      </c>
      <c r="O705" s="67" t="str">
        <f>IF(tblMovimientos[[#This Row],[Tipo de Movimiento]]="Egreso",tblMovimientos[[#This Row],[Monto (S/)]],"0")</f>
        <v>0</v>
      </c>
      <c r="P705" s="28">
        <f>IF(tblMovimientos[[#This Row],[Tipo de Movimiento]]="Ingreso",tblMovimientos[[#This Row],[Ingreso]],-tblMovimientos[[#This Row],[Egreso]])</f>
        <v>0</v>
      </c>
    </row>
    <row r="706" spans="5:16" x14ac:dyDescent="0.3">
      <c r="E706" s="68">
        <f>_xlfn.XLOOKUP(tblMovimientos[[#This Row],[Cuenta Bancaria]],Listas!$B:$B,Listas!$C:$C,"")</f>
        <v>0</v>
      </c>
      <c r="H706" s="4">
        <f>IFERROR(_xlfn.XLOOKUP(G706,Listas!E:E,Listas!F:F,""),"")</f>
        <v>0</v>
      </c>
      <c r="I706" s="68"/>
      <c r="N706" s="67" t="str">
        <f>IF(tblMovimientos[[#This Row],[Tipo de Movimiento]]="Ingreso",tblMovimientos[[#This Row],[Monto (S/)]],"0")</f>
        <v>0</v>
      </c>
      <c r="O706" s="67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0</v>
      </c>
    </row>
    <row r="707" spans="5:16" x14ac:dyDescent="0.3">
      <c r="E707" s="68">
        <f>_xlfn.XLOOKUP(tblMovimientos[[#This Row],[Cuenta Bancaria]],Listas!$B:$B,Listas!$C:$C,"")</f>
        <v>0</v>
      </c>
      <c r="H707" s="4">
        <f>IFERROR(_xlfn.XLOOKUP(G707,Listas!E:E,Listas!F:F,""),"")</f>
        <v>0</v>
      </c>
      <c r="I707" s="68"/>
      <c r="N707" s="67" t="str">
        <f>IF(tblMovimientos[[#This Row],[Tipo de Movimiento]]="Ingreso",tblMovimientos[[#This Row],[Monto (S/)]],"0")</f>
        <v>0</v>
      </c>
      <c r="O707" s="67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0</v>
      </c>
    </row>
    <row r="708" spans="5:16" x14ac:dyDescent="0.3">
      <c r="E708" s="68">
        <f>_xlfn.XLOOKUP(tblMovimientos[[#This Row],[Cuenta Bancaria]],Listas!$B:$B,Listas!$C:$C,"")</f>
        <v>0</v>
      </c>
      <c r="H708" s="4">
        <f>IFERROR(_xlfn.XLOOKUP(G708,Listas!E:E,Listas!F:F,""),"")</f>
        <v>0</v>
      </c>
      <c r="I708" s="68"/>
      <c r="N708" s="67" t="str">
        <f>IF(tblMovimientos[[#This Row],[Tipo de Movimiento]]="Ingreso",tblMovimientos[[#This Row],[Monto (S/)]],"0")</f>
        <v>0</v>
      </c>
      <c r="O708" s="67" t="str">
        <f>IF(tblMovimientos[[#This Row],[Tipo de Movimiento]]="Egreso",tblMovimientos[[#This Row],[Monto (S/)]],"0")</f>
        <v>0</v>
      </c>
      <c r="P708" s="28">
        <f>IF(tblMovimientos[[#This Row],[Tipo de Movimiento]]="Ingreso",tblMovimientos[[#This Row],[Ingreso]],-tblMovimientos[[#This Row],[Egreso]])</f>
        <v>0</v>
      </c>
    </row>
    <row r="709" spans="5:16" x14ac:dyDescent="0.3">
      <c r="E709" s="68">
        <f>_xlfn.XLOOKUP(tblMovimientos[[#This Row],[Cuenta Bancaria]],Listas!$B:$B,Listas!$C:$C,"")</f>
        <v>0</v>
      </c>
      <c r="H709" s="4">
        <f>IFERROR(_xlfn.XLOOKUP(G709,Listas!E:E,Listas!F:F,""),"")</f>
        <v>0</v>
      </c>
      <c r="I709" s="68"/>
      <c r="N709" s="67" t="str">
        <f>IF(tblMovimientos[[#This Row],[Tipo de Movimiento]]="Ingreso",tblMovimientos[[#This Row],[Monto (S/)]],"0")</f>
        <v>0</v>
      </c>
      <c r="O709" s="67" t="str">
        <f>IF(tblMovimientos[[#This Row],[Tipo de Movimiento]]="Egreso",tblMovimientos[[#This Row],[Monto (S/)]],"0")</f>
        <v>0</v>
      </c>
      <c r="P709" s="28">
        <f>IF(tblMovimientos[[#This Row],[Tipo de Movimiento]]="Ingreso",tblMovimientos[[#This Row],[Ingreso]],-tblMovimientos[[#This Row],[Egreso]])</f>
        <v>0</v>
      </c>
    </row>
    <row r="710" spans="5:16" x14ac:dyDescent="0.3">
      <c r="E710" s="68">
        <f>_xlfn.XLOOKUP(tblMovimientos[[#This Row],[Cuenta Bancaria]],Listas!$B:$B,Listas!$C:$C,"")</f>
        <v>0</v>
      </c>
      <c r="H710" s="4">
        <f>IFERROR(_xlfn.XLOOKUP(G710,Listas!E:E,Listas!F:F,""),"")</f>
        <v>0</v>
      </c>
      <c r="I710" s="68"/>
      <c r="N710" s="67" t="str">
        <f>IF(tblMovimientos[[#This Row],[Tipo de Movimiento]]="Ingreso",tblMovimientos[[#This Row],[Monto (S/)]],"0")</f>
        <v>0</v>
      </c>
      <c r="O710" s="67" t="str">
        <f>IF(tblMovimientos[[#This Row],[Tipo de Movimiento]]="Egreso",tblMovimientos[[#This Row],[Monto (S/)]],"0")</f>
        <v>0</v>
      </c>
      <c r="P710" s="28">
        <f>IF(tblMovimientos[[#This Row],[Tipo de Movimiento]]="Ingreso",tblMovimientos[[#This Row],[Ingreso]],-tblMovimientos[[#This Row],[Egreso]])</f>
        <v>0</v>
      </c>
    </row>
    <row r="711" spans="5:16" x14ac:dyDescent="0.3">
      <c r="E711" s="68">
        <f>_xlfn.XLOOKUP(tblMovimientos[[#This Row],[Cuenta Bancaria]],Listas!$B:$B,Listas!$C:$C,"")</f>
        <v>0</v>
      </c>
      <c r="H711" s="4">
        <f>IFERROR(_xlfn.XLOOKUP(G711,Listas!E:E,Listas!F:F,""),"")</f>
        <v>0</v>
      </c>
      <c r="I711" s="68"/>
      <c r="N711" s="67" t="str">
        <f>IF(tblMovimientos[[#This Row],[Tipo de Movimiento]]="Ingreso",tblMovimientos[[#This Row],[Monto (S/)]],"0")</f>
        <v>0</v>
      </c>
      <c r="O711" s="67" t="str">
        <f>IF(tblMovimientos[[#This Row],[Tipo de Movimiento]]="Egreso",tblMovimientos[[#This Row],[Monto (S/)]],"0")</f>
        <v>0</v>
      </c>
      <c r="P711" s="28">
        <f>IF(tblMovimientos[[#This Row],[Tipo de Movimiento]]="Ingreso",tblMovimientos[[#This Row],[Ingreso]],-tblMovimientos[[#This Row],[Egreso]])</f>
        <v>0</v>
      </c>
    </row>
    <row r="712" spans="5:16" x14ac:dyDescent="0.3">
      <c r="E712" s="68">
        <f>_xlfn.XLOOKUP(tblMovimientos[[#This Row],[Cuenta Bancaria]],Listas!$B:$B,Listas!$C:$C,"")</f>
        <v>0</v>
      </c>
      <c r="H712" s="4">
        <f>IFERROR(_xlfn.XLOOKUP(G712,Listas!E:E,Listas!F:F,""),"")</f>
        <v>0</v>
      </c>
      <c r="I712" s="68"/>
      <c r="N712" s="67" t="str">
        <f>IF(tblMovimientos[[#This Row],[Tipo de Movimiento]]="Ingreso",tblMovimientos[[#This Row],[Monto (S/)]],"0")</f>
        <v>0</v>
      </c>
      <c r="O712" s="67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0</v>
      </c>
    </row>
    <row r="713" spans="5:16" x14ac:dyDescent="0.3">
      <c r="E713" s="68">
        <f>_xlfn.XLOOKUP(tblMovimientos[[#This Row],[Cuenta Bancaria]],Listas!$B:$B,Listas!$C:$C,"")</f>
        <v>0</v>
      </c>
      <c r="H713" s="4">
        <f>IFERROR(_xlfn.XLOOKUP(G713,Listas!E:E,Listas!F:F,""),"")</f>
        <v>0</v>
      </c>
      <c r="I713" s="68"/>
      <c r="N713" s="67" t="str">
        <f>IF(tblMovimientos[[#This Row],[Tipo de Movimiento]]="Ingreso",tblMovimientos[[#This Row],[Monto (S/)]],"0")</f>
        <v>0</v>
      </c>
      <c r="O713" s="67" t="str">
        <f>IF(tblMovimientos[[#This Row],[Tipo de Movimiento]]="Egreso",tblMovimientos[[#This Row],[Monto (S/)]],"0")</f>
        <v>0</v>
      </c>
      <c r="P713" s="28">
        <f>IF(tblMovimientos[[#This Row],[Tipo de Movimiento]]="Ingreso",tblMovimientos[[#This Row],[Ingreso]],-tblMovimientos[[#This Row],[Egreso]])</f>
        <v>0</v>
      </c>
    </row>
    <row r="714" spans="5:16" x14ac:dyDescent="0.3">
      <c r="E714" s="68">
        <f>_xlfn.XLOOKUP(tblMovimientos[[#This Row],[Cuenta Bancaria]],Listas!$B:$B,Listas!$C:$C,"")</f>
        <v>0</v>
      </c>
      <c r="H714" s="4">
        <f>IFERROR(_xlfn.XLOOKUP(G714,Listas!E:E,Listas!F:F,""),"")</f>
        <v>0</v>
      </c>
      <c r="I714" s="68"/>
      <c r="N714" s="67" t="str">
        <f>IF(tblMovimientos[[#This Row],[Tipo de Movimiento]]="Ingreso",tblMovimientos[[#This Row],[Monto (S/)]],"0")</f>
        <v>0</v>
      </c>
      <c r="O714" s="67" t="str">
        <f>IF(tblMovimientos[[#This Row],[Tipo de Movimiento]]="Egreso",tblMovimientos[[#This Row],[Monto (S/)]],"0")</f>
        <v>0</v>
      </c>
      <c r="P714" s="28">
        <f>IF(tblMovimientos[[#This Row],[Tipo de Movimiento]]="Ingreso",tblMovimientos[[#This Row],[Ingreso]],-tblMovimientos[[#This Row],[Egreso]])</f>
        <v>0</v>
      </c>
    </row>
    <row r="715" spans="5:16" x14ac:dyDescent="0.3">
      <c r="E715" s="68">
        <f>_xlfn.XLOOKUP(tblMovimientos[[#This Row],[Cuenta Bancaria]],Listas!$B:$B,Listas!$C:$C,"")</f>
        <v>0</v>
      </c>
      <c r="H715" s="4">
        <f>IFERROR(_xlfn.XLOOKUP(G715,Listas!E:E,Listas!F:F,""),"")</f>
        <v>0</v>
      </c>
      <c r="I715" s="68"/>
      <c r="N715" s="67" t="str">
        <f>IF(tblMovimientos[[#This Row],[Tipo de Movimiento]]="Ingreso",tblMovimientos[[#This Row],[Monto (S/)]],"0")</f>
        <v>0</v>
      </c>
      <c r="O715" s="67" t="str">
        <f>IF(tblMovimientos[[#This Row],[Tipo de Movimiento]]="Egreso",tblMovimientos[[#This Row],[Monto (S/)]],"0")</f>
        <v>0</v>
      </c>
      <c r="P715" s="28">
        <f>IF(tblMovimientos[[#This Row],[Tipo de Movimiento]]="Ingreso",tblMovimientos[[#This Row],[Ingreso]],-tblMovimientos[[#This Row],[Egreso]])</f>
        <v>0</v>
      </c>
    </row>
    <row r="716" spans="5:16" x14ac:dyDescent="0.3">
      <c r="E716" s="68">
        <f>_xlfn.XLOOKUP(tblMovimientos[[#This Row],[Cuenta Bancaria]],Listas!$B:$B,Listas!$C:$C,"")</f>
        <v>0</v>
      </c>
      <c r="H716" s="4">
        <f>IFERROR(_xlfn.XLOOKUP(G716,Listas!E:E,Listas!F:F,""),"")</f>
        <v>0</v>
      </c>
      <c r="I716" s="68"/>
      <c r="N716" s="67" t="str">
        <f>IF(tblMovimientos[[#This Row],[Tipo de Movimiento]]="Ingreso",tblMovimientos[[#This Row],[Monto (S/)]],"0")</f>
        <v>0</v>
      </c>
      <c r="O716" s="67" t="str">
        <f>IF(tblMovimientos[[#This Row],[Tipo de Movimiento]]="Egreso",tblMovimientos[[#This Row],[Monto (S/)]],"0")</f>
        <v>0</v>
      </c>
      <c r="P716" s="28">
        <f>IF(tblMovimientos[[#This Row],[Tipo de Movimiento]]="Ingreso",tblMovimientos[[#This Row],[Ingreso]],-tblMovimientos[[#This Row],[Egreso]])</f>
        <v>0</v>
      </c>
    </row>
    <row r="717" spans="5:16" x14ac:dyDescent="0.3">
      <c r="E717" s="68">
        <f>_xlfn.XLOOKUP(tblMovimientos[[#This Row],[Cuenta Bancaria]],Listas!$B:$B,Listas!$C:$C,"")</f>
        <v>0</v>
      </c>
      <c r="H717" s="4">
        <f>IFERROR(_xlfn.XLOOKUP(G717,Listas!E:E,Listas!F:F,""),"")</f>
        <v>0</v>
      </c>
      <c r="I717" s="68"/>
      <c r="N717" s="67" t="str">
        <f>IF(tblMovimientos[[#This Row],[Tipo de Movimiento]]="Ingreso",tblMovimientos[[#This Row],[Monto (S/)]],"0")</f>
        <v>0</v>
      </c>
      <c r="O717" s="67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0</v>
      </c>
    </row>
    <row r="718" spans="5:16" x14ac:dyDescent="0.3">
      <c r="E718" s="68">
        <f>_xlfn.XLOOKUP(tblMovimientos[[#This Row],[Cuenta Bancaria]],Listas!$B:$B,Listas!$C:$C,"")</f>
        <v>0</v>
      </c>
      <c r="H718" s="4">
        <f>IFERROR(_xlfn.XLOOKUP(G718,Listas!E:E,Listas!F:F,""),"")</f>
        <v>0</v>
      </c>
      <c r="I718" s="68"/>
      <c r="N718" s="67" t="str">
        <f>IF(tblMovimientos[[#This Row],[Tipo de Movimiento]]="Ingreso",tblMovimientos[[#This Row],[Monto (S/)]],"0")</f>
        <v>0</v>
      </c>
      <c r="O718" s="67" t="str">
        <f>IF(tblMovimientos[[#This Row],[Tipo de Movimiento]]="Egreso",tblMovimientos[[#This Row],[Monto (S/)]],"0")</f>
        <v>0</v>
      </c>
      <c r="P718" s="28">
        <f>IF(tblMovimientos[[#This Row],[Tipo de Movimiento]]="Ingreso",tblMovimientos[[#This Row],[Ingreso]],-tblMovimientos[[#This Row],[Egreso]])</f>
        <v>0</v>
      </c>
    </row>
    <row r="719" spans="5:16" x14ac:dyDescent="0.3">
      <c r="E719" s="68">
        <f>_xlfn.XLOOKUP(tblMovimientos[[#This Row],[Cuenta Bancaria]],Listas!$B:$B,Listas!$C:$C,"")</f>
        <v>0</v>
      </c>
      <c r="H719" s="4">
        <f>IFERROR(_xlfn.XLOOKUP(G719,Listas!E:E,Listas!F:F,""),"")</f>
        <v>0</v>
      </c>
      <c r="I719" s="68"/>
      <c r="N719" s="67" t="str">
        <f>IF(tblMovimientos[[#This Row],[Tipo de Movimiento]]="Ingreso",tblMovimientos[[#This Row],[Monto (S/)]],"0")</f>
        <v>0</v>
      </c>
      <c r="O719" s="67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0</v>
      </c>
    </row>
    <row r="720" spans="5:16" x14ac:dyDescent="0.3">
      <c r="E720" s="68">
        <f>_xlfn.XLOOKUP(tblMovimientos[[#This Row],[Cuenta Bancaria]],Listas!$B:$B,Listas!$C:$C,"")</f>
        <v>0</v>
      </c>
      <c r="H720" s="4">
        <f>IFERROR(_xlfn.XLOOKUP(G720,Listas!E:E,Listas!F:F,""),"")</f>
        <v>0</v>
      </c>
      <c r="I720" s="68"/>
      <c r="N720" s="67" t="str">
        <f>IF(tblMovimientos[[#This Row],[Tipo de Movimiento]]="Ingreso",tblMovimientos[[#This Row],[Monto (S/)]],"0")</f>
        <v>0</v>
      </c>
      <c r="O720" s="67" t="str">
        <f>IF(tblMovimientos[[#This Row],[Tipo de Movimiento]]="Egreso",tblMovimientos[[#This Row],[Monto (S/)]],"0")</f>
        <v>0</v>
      </c>
      <c r="P720" s="28">
        <f>IF(tblMovimientos[[#This Row],[Tipo de Movimiento]]="Ingreso",tblMovimientos[[#This Row],[Ingreso]],-tblMovimientos[[#This Row],[Egreso]])</f>
        <v>0</v>
      </c>
    </row>
    <row r="721" spans="5:16" x14ac:dyDescent="0.3">
      <c r="E721" s="68">
        <f>_xlfn.XLOOKUP(tblMovimientos[[#This Row],[Cuenta Bancaria]],Listas!$B:$B,Listas!$C:$C,"")</f>
        <v>0</v>
      </c>
      <c r="H721" s="4">
        <f>IFERROR(_xlfn.XLOOKUP(G721,Listas!E:E,Listas!F:F,""),"")</f>
        <v>0</v>
      </c>
      <c r="I721" s="68"/>
      <c r="N721" s="67" t="str">
        <f>IF(tblMovimientos[[#This Row],[Tipo de Movimiento]]="Ingreso",tblMovimientos[[#This Row],[Monto (S/)]],"0")</f>
        <v>0</v>
      </c>
      <c r="O721" s="67" t="str">
        <f>IF(tblMovimientos[[#This Row],[Tipo de Movimiento]]="Egreso",tblMovimientos[[#This Row],[Monto (S/)]],"0")</f>
        <v>0</v>
      </c>
      <c r="P721" s="28">
        <f>IF(tblMovimientos[[#This Row],[Tipo de Movimiento]]="Ingreso",tblMovimientos[[#This Row],[Ingreso]],-tblMovimientos[[#This Row],[Egreso]])</f>
        <v>0</v>
      </c>
    </row>
    <row r="722" spans="5:16" x14ac:dyDescent="0.3">
      <c r="E722" s="68">
        <f>_xlfn.XLOOKUP(tblMovimientos[[#This Row],[Cuenta Bancaria]],Listas!$B:$B,Listas!$C:$C,"")</f>
        <v>0</v>
      </c>
      <c r="H722" s="4">
        <f>IFERROR(_xlfn.XLOOKUP(G722,Listas!E:E,Listas!F:F,""),"")</f>
        <v>0</v>
      </c>
      <c r="I722" s="68"/>
      <c r="N722" s="67" t="str">
        <f>IF(tblMovimientos[[#This Row],[Tipo de Movimiento]]="Ingreso",tblMovimientos[[#This Row],[Monto (S/)]],"0")</f>
        <v>0</v>
      </c>
      <c r="O722" s="67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0</v>
      </c>
    </row>
    <row r="723" spans="5:16" x14ac:dyDescent="0.3">
      <c r="E723" s="68">
        <f>_xlfn.XLOOKUP(tblMovimientos[[#This Row],[Cuenta Bancaria]],Listas!$B:$B,Listas!$C:$C,"")</f>
        <v>0</v>
      </c>
      <c r="H723" s="4">
        <f>IFERROR(_xlfn.XLOOKUP(G723,Listas!E:E,Listas!F:F,""),"")</f>
        <v>0</v>
      </c>
      <c r="I723" s="68"/>
      <c r="N723" s="67" t="str">
        <f>IF(tblMovimientos[[#This Row],[Tipo de Movimiento]]="Ingreso",tblMovimientos[[#This Row],[Monto (S/)]],"0")</f>
        <v>0</v>
      </c>
      <c r="O723" s="67" t="str">
        <f>IF(tblMovimientos[[#This Row],[Tipo de Movimiento]]="Egreso",tblMovimientos[[#This Row],[Monto (S/)]],"0")</f>
        <v>0</v>
      </c>
      <c r="P723" s="28">
        <f>IF(tblMovimientos[[#This Row],[Tipo de Movimiento]]="Ingreso",tblMovimientos[[#This Row],[Ingreso]],-tblMovimientos[[#This Row],[Egreso]])</f>
        <v>0</v>
      </c>
    </row>
    <row r="724" spans="5:16" x14ac:dyDescent="0.3">
      <c r="E724" s="68">
        <f>_xlfn.XLOOKUP(tblMovimientos[[#This Row],[Cuenta Bancaria]],Listas!$B:$B,Listas!$C:$C,"")</f>
        <v>0</v>
      </c>
      <c r="H724" s="4">
        <f>IFERROR(_xlfn.XLOOKUP(G724,Listas!E:E,Listas!F:F,""),"")</f>
        <v>0</v>
      </c>
      <c r="I724" s="68"/>
      <c r="N724" s="67" t="str">
        <f>IF(tblMovimientos[[#This Row],[Tipo de Movimiento]]="Ingreso",tblMovimientos[[#This Row],[Monto (S/)]],"0")</f>
        <v>0</v>
      </c>
      <c r="O724" s="67" t="str">
        <f>IF(tblMovimientos[[#This Row],[Tipo de Movimiento]]="Egreso",tblMovimientos[[#This Row],[Monto (S/)]],"0")</f>
        <v>0</v>
      </c>
      <c r="P724" s="28">
        <f>IF(tblMovimientos[[#This Row],[Tipo de Movimiento]]="Ingreso",tblMovimientos[[#This Row],[Ingreso]],-tblMovimientos[[#This Row],[Egreso]])</f>
        <v>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E335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C2:C724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G2:G724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F2:F724</xm:sqref>
        </x14:dataValidation>
        <x14:dataValidation type="list" allowBlank="1" xr:uid="{26CAD7EA-9678-4C83-BD35-3927D6FB5FDC}">
          <x14:formula1>
            <xm:f>Listas!$B$2:$B$50</xm:f>
          </x14:formula1>
          <xm:sqref>D444 D472:D724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40" sqref="C40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114587.74000000011</v>
      </c>
      <c r="E2" s="37">
        <f>C2+D2</f>
        <v>531266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5052100.1900000079</v>
      </c>
      <c r="E3" s="37">
        <f t="shared" ref="E3:E9" si="0">C3+D3</f>
        <v>6219401.7200000081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1451224.78</v>
      </c>
      <c r="E7" s="37">
        <f t="shared" si="0"/>
        <v>1454589.72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D2" activePane="bottomRight" state="frozen"/>
      <selection pane="topRight" activeCell="C1" sqref="C1"/>
      <selection pane="bottomLeft" activeCell="A5" sqref="A5"/>
      <selection pane="bottomRight" activeCell="H33" sqref="H33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5" bestFit="1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142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SUMIFS(Movimientos!$J$1:$J$724,Movimientos!$C$1:$C$724,$B2,Movimientos!$D$1:$D$724,$C2,Movimientos!$L$1:$L$724,A$3,Movimientos!$F$1:$F$724,"Ingreso")</f>
        <v>490932.83999999997</v>
      </c>
      <c r="K2" s="44">
        <f>SUMIFS(Movimientos!$J$1:$J$724,Movimientos!$C$1:$C$724,$B2,Movimientos!$D$1:$D$724,$C2,Movimientos!$L$1:$L$724,A$3,Movimientos!$F$1:$F$724,"Egreso")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SUMIFS(Movimientos!$J$1:$J$724,Movimientos!$C$1:$C$724,$B2,Movimientos!$D$1:$D$724,$C2,Movimientos!$L$1:$L$724,A$4,Movimientos!$F$1:$F$724,"Ingreso")</f>
        <v>0</v>
      </c>
      <c r="P2" s="44">
        <f>SUMIFS(Movimientos!$J$1:$J$724,Movimientos!$C$1:$C$724,$B2,Movimientos!$D$1:$D$724,$C2,Movimientos!$L$1:$L$724,A$4,Movimientos!$F$1:$F$724,"Egreso")</f>
        <v>355</v>
      </c>
      <c r="Q2" s="7">
        <f>+O2-P2</f>
        <v>-355</v>
      </c>
      <c r="R2" s="12">
        <f>N2+O2-P2</f>
        <v>35588.360000000219</v>
      </c>
      <c r="S2" s="5">
        <f>R2</f>
        <v>35588.360000000219</v>
      </c>
      <c r="T2" s="44">
        <f>SUMIFS(Movimientos!$J$1:$J$724,Movimientos!$C$1:$C$724,$B2,Movimientos!$D$1:$D$724,$C2,Movimientos!$L$1:$L$724,A$5,Movimientos!$F$1:$F$724,"Ingreso")</f>
        <v>0</v>
      </c>
      <c r="U2" s="44">
        <f>SUMIFS(Movimientos!$J$1:$J$724,Movimientos!$C$1:$C$724,$B2,Movimientos!$D$1:$D$724,$C2,Movimientos!$L$1:$L$724,A$5,Movimientos!$F$1:$F$724,"Egreso")</f>
        <v>0</v>
      </c>
      <c r="V2" s="7">
        <f>+T2-U2</f>
        <v>0</v>
      </c>
      <c r="W2" s="12">
        <f>S2+T2-U2</f>
        <v>35588.360000000219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SUMIFS(Movimientos!$J$1:$J$724,Movimientos!$C$1:$C$724,$B3,Movimientos!$D$1:$D$724,$C3,Movimientos!$L$1:$L$724,A$3,Movimientos!$F$1:$F$724,"Ingreso")</f>
        <v>8947382.8399999999</v>
      </c>
      <c r="K3" s="44">
        <f>SUMIFS(Movimientos!$J$1:$J$724,Movimientos!$C$1:$C$724,$B3,Movimientos!$D$1:$D$724,$C3,Movimientos!$L$1:$L$724,A$3,Movimientos!$F$1:$F$724,"Egreso")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SUMIFS(Movimientos!$J$1:$J$724,Movimientos!$C$1:$C$724,$B3,Movimientos!$D$1:$D$724,$C3,Movimientos!$L$1:$L$724,A$4,Movimientos!$F$1:$F$724,"Ingreso")</f>
        <v>0</v>
      </c>
      <c r="P3" s="44">
        <f>SUMIFS(Movimientos!$J$1:$J$724,Movimientos!$C$1:$C$724,$B3,Movimientos!$D$1:$D$724,$C3,Movimientos!$L$1:$L$724,A$4,Movimientos!$F$1:$F$724,"Egreso")</f>
        <v>2131475</v>
      </c>
      <c r="Q3" s="7">
        <f t="shared" ref="Q3:Q34" si="1">+O3-P3</f>
        <v>-2131475</v>
      </c>
      <c r="R3" s="12">
        <f>N3+O3-P3</f>
        <v>4122911.3599999994</v>
      </c>
      <c r="S3" s="5">
        <f>R3</f>
        <v>4122911.3599999994</v>
      </c>
      <c r="T3" s="44">
        <f>SUMIFS(Movimientos!$J$1:$J$724,Movimientos!$C$1:$C$724,$B3,Movimientos!$D$1:$D$724,$C3,Movimientos!$L$1:$L$724,A$5,Movimientos!$F$1:$F$724,"Ingreso")</f>
        <v>0</v>
      </c>
      <c r="U3" s="44">
        <f>SUMIFS(Movimientos!$J$1:$J$724,Movimientos!$C$1:$C$724,$B3,Movimientos!$D$1:$D$724,$C3,Movimientos!$L$1:$L$724,A$5,Movimientos!$F$1:$F$724,"Egreso")</f>
        <v>0</v>
      </c>
      <c r="V3" s="7">
        <f t="shared" ref="V3:V35" si="2">+T3-U3</f>
        <v>0</v>
      </c>
      <c r="W3" s="12">
        <f>S3+T3-U3</f>
        <v>4122911.3599999994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SUMIFS(Movimientos!$J$1:$J$724,Movimientos!$C$1:$C$724,$B4,Movimientos!$D$1:$D$724,$C4,Movimientos!$L$1:$L$724,A$3,Movimientos!$F$1:$F$724,"Ingreso")</f>
        <v>0</v>
      </c>
      <c r="K4" s="44">
        <f>SUMIFS(Movimientos!$J$1:$J$724,Movimientos!$C$1:$C$724,$B4,Movimientos!$D$1:$D$724,$C4,Movimientos!$L$1:$L$724,A$3,Movimientos!$F$1:$F$724,"Egreso")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SUMIFS(Movimientos!$J$1:$J$724,Movimientos!$C$1:$C$724,$B4,Movimientos!$D$1:$D$724,$C4,Movimientos!$L$1:$L$724,A$4,Movimientos!$F$1:$F$724,"Ingreso")</f>
        <v>0</v>
      </c>
      <c r="P4" s="44">
        <f>SUMIFS(Movimientos!$J$1:$J$724,Movimientos!$C$1:$C$724,$B4,Movimientos!$D$1:$D$724,$C4,Movimientos!$L$1:$L$724,A$4,Movimientos!$F$1:$F$724,"Egreso")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SUMIFS(Movimientos!$J$1:$J$724,Movimientos!$C$1:$C$724,$B4,Movimientos!$D$1:$D$724,$C4,Movimientos!$L$1:$L$724,A$5,Movimientos!$F$1:$F$724,"Ingreso")</f>
        <v>0</v>
      </c>
      <c r="U4" s="44">
        <f>SUMIFS(Movimientos!$J$1:$J$724,Movimientos!$C$1:$C$724,$B4,Movimientos!$D$1:$D$724,$C4,Movimientos!$L$1:$L$724,A$5,Movimientos!$F$1:$F$724,"Egreso")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SUMIFS(Movimientos!$J$1:$J$724,Movimientos!$C$1:$C$724,$B5,Movimientos!$D$1:$D$724,$C5,Movimientos!$L$1:$L$724,A$3,Movimientos!$F$1:$F$724,"Ingreso")</f>
        <v>16742.400000000001</v>
      </c>
      <c r="K5" s="44">
        <f>SUMIFS(Movimientos!$J$1:$J$724,Movimientos!$C$1:$C$724,$B5,Movimientos!$D$1:$D$724,$C5,Movimientos!$L$1:$L$724,A$3,Movimientos!$F$1:$F$724,"Egreso")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SUMIFS(Movimientos!$J$1:$J$724,Movimientos!$C$1:$C$724,$B5,Movimientos!$D$1:$D$724,$C5,Movimientos!$L$1:$L$724,A$4,Movimientos!$F$1:$F$724,"Ingreso")</f>
        <v>0</v>
      </c>
      <c r="P5" s="44">
        <f>SUMIFS(Movimientos!$J$1:$J$724,Movimientos!$C$1:$C$724,$B5,Movimientos!$D$1:$D$724,$C5,Movimientos!$L$1:$L$724,A$4,Movimientos!$F$1:$F$724,"Egreso")</f>
        <v>5982</v>
      </c>
      <c r="Q5" s="7">
        <f t="shared" si="1"/>
        <v>-5982</v>
      </c>
      <c r="R5" s="12">
        <f>N5+O5-P5</f>
        <v>68157.680000000255</v>
      </c>
      <c r="S5" s="5">
        <f>R5</f>
        <v>68157.680000000255</v>
      </c>
      <c r="T5" s="44">
        <f>SUMIFS(Movimientos!$J$1:$J$724,Movimientos!$C$1:$C$724,$B5,Movimientos!$D$1:$D$724,$C5,Movimientos!$L$1:$L$724,A$5,Movimientos!$F$1:$F$724,"Ingreso")</f>
        <v>0</v>
      </c>
      <c r="U5" s="44">
        <f>SUMIFS(Movimientos!$J$1:$J$724,Movimientos!$C$1:$C$724,$B5,Movimientos!$D$1:$D$724,$C5,Movimientos!$L$1:$L$724,A$5,Movimientos!$F$1:$F$724,"Egreso")</f>
        <v>0</v>
      </c>
      <c r="V5" s="7">
        <f t="shared" si="2"/>
        <v>0</v>
      </c>
      <c r="W5" s="12">
        <f>S5+T5-U5</f>
        <v>68157.680000000255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SUMIFS(Movimientos!$J$1:$J$724,Movimientos!$C$1:$C$724,$B6,Movimientos!$D$1:$D$724,$C6,Movimientos!$L$1:$L$724,A$3,Movimientos!$F$1:$F$724,"Ingreso")</f>
        <v>0</v>
      </c>
      <c r="K6" s="44">
        <f>SUMIFS(Movimientos!$J$1:$J$724,Movimientos!$C$1:$C$724,$B6,Movimientos!$D$1:$D$724,$C6,Movimientos!$L$1:$L$724,A$3,Movimientos!$F$1:$F$724,"Egreso")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SUMIFS(Movimientos!$J$1:$J$724,Movimientos!$C$1:$C$724,$B6,Movimientos!$D$1:$D$724,$C6,Movimientos!$L$1:$L$724,A$4,Movimientos!$F$1:$F$724,"Ingreso")</f>
        <v>0</v>
      </c>
      <c r="P6" s="44">
        <f>SUMIFS(Movimientos!$J$1:$J$724,Movimientos!$C$1:$C$724,$B6,Movimientos!$D$1:$D$724,$C6,Movimientos!$L$1:$L$724,A$4,Movimientos!$F$1:$F$724,"Egreso")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SUMIFS(Movimientos!$J$1:$J$724,Movimientos!$C$1:$C$724,$B6,Movimientos!$D$1:$D$724,$C6,Movimientos!$L$1:$L$724,A$5,Movimientos!$F$1:$F$724,"Ingreso")</f>
        <v>0</v>
      </c>
      <c r="U6" s="44">
        <f>SUMIFS(Movimientos!$J$1:$J$724,Movimientos!$C$1:$C$724,$B6,Movimientos!$D$1:$D$724,$C6,Movimientos!$L$1:$L$724,A$5,Movimientos!$F$1:$F$724,"Egreso")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SUMIFS(Movimientos!$J$1:$J$724,Movimientos!$C$1:$C$724,$B7,Movimientos!$D$1:$D$724,$C7,Movimientos!$L$1:$L$724,A$3,Movimientos!$F$1:$F$724,"Ingreso")</f>
        <v>0</v>
      </c>
      <c r="K7" s="44">
        <f>SUMIFS(Movimientos!$J$1:$J$724,Movimientos!$C$1:$C$724,$B7,Movimientos!$D$1:$D$724,$C7,Movimientos!$L$1:$L$724,A$3,Movimientos!$F$1:$F$724,"Egreso")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SUMIFS(Movimientos!$J$1:$J$724,Movimientos!$C$1:$C$724,$B7,Movimientos!$D$1:$D$724,$C7,Movimientos!$L$1:$L$724,A$4,Movimientos!$F$1:$F$724,"Ingreso")</f>
        <v>0</v>
      </c>
      <c r="P7" s="44">
        <f>SUMIFS(Movimientos!$J$1:$J$724,Movimientos!$C$1:$C$724,$B7,Movimientos!$D$1:$D$724,$C7,Movimientos!$L$1:$L$724,A$4,Movimientos!$F$1:$F$724,"Egreso")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SUMIFS(Movimientos!$J$1:$J$724,Movimientos!$C$1:$C$724,$B7,Movimientos!$D$1:$D$724,$C7,Movimientos!$L$1:$L$724,A$5,Movimientos!$F$1:$F$724,"Ingreso")</f>
        <v>0</v>
      </c>
      <c r="U7" s="44">
        <f>SUMIFS(Movimientos!$J$1:$J$724,Movimientos!$C$1:$C$724,$B7,Movimientos!$D$1:$D$724,$C7,Movimientos!$L$1:$L$724,A$5,Movimientos!$F$1:$F$724,"Egreso")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/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SUMIFS(Movimientos!$J$1:$J$724,Movimientos!$C$1:$C$724,$B8,Movimientos!$D$1:$D$724,$C8,Movimientos!$L$1:$L$724,A$3,Movimientos!$F$1:$F$724,"Ingreso")</f>
        <v>440602.39</v>
      </c>
      <c r="K8" s="44">
        <f>SUMIFS(Movimientos!$J$1:$J$724,Movimientos!$C$1:$C$724,$B8,Movimientos!$D$1:$D$724,$C8,Movimientos!$L$1:$L$724,A$3,Movimientos!$F$1:$F$724,"Egreso")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SUMIFS(Movimientos!$J$1:$J$724,Movimientos!$C$1:$C$724,$B8,Movimientos!$D$1:$D$724,$C8,Movimientos!$L$1:$L$724,A$4,Movimientos!$F$1:$F$724,"Ingreso")</f>
        <v>18190.75</v>
      </c>
      <c r="P8" s="44">
        <f>SUMIFS(Movimientos!$J$1:$J$724,Movimientos!$C$1:$C$724,$B8,Movimientos!$D$1:$D$724,$C8,Movimientos!$L$1:$L$724,A$4,Movimientos!$F$1:$F$724,"Egreso")</f>
        <v>217794.75</v>
      </c>
      <c r="Q8" s="7">
        <f t="shared" si="1"/>
        <v>-199604</v>
      </c>
      <c r="R8" s="12">
        <f t="shared" si="7"/>
        <v>290141.62999999966</v>
      </c>
      <c r="S8" s="5">
        <f t="shared" si="8"/>
        <v>290141.62999999966</v>
      </c>
      <c r="T8" s="44">
        <f>SUMIFS(Movimientos!$J$1:$J$724,Movimientos!$C$1:$C$724,$B8,Movimientos!$D$1:$D$724,$C8,Movimientos!$L$1:$L$724,A$5,Movimientos!$F$1:$F$724,"Ingreso")</f>
        <v>0</v>
      </c>
      <c r="U8" s="44">
        <f>SUMIFS(Movimientos!$J$1:$J$724,Movimientos!$C$1:$C$724,$B8,Movimientos!$D$1:$D$724,$C8,Movimientos!$L$1:$L$724,A$5,Movimientos!$F$1:$F$724,"Egreso")</f>
        <v>0</v>
      </c>
      <c r="V8" s="7">
        <f t="shared" si="2"/>
        <v>0</v>
      </c>
      <c r="W8" s="12">
        <f t="shared" si="9"/>
        <v>290141.62999999966</v>
      </c>
    </row>
    <row r="9" spans="1:23" x14ac:dyDescent="0.3">
      <c r="A9" s="11"/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SUMIFS(Movimientos!$J$1:$J$724,Movimientos!$C$1:$C$724,$B9,Movimientos!$D$1:$D$724,$C9,Movimientos!$L$1:$L$724,A$3,Movimientos!$F$1:$F$724,"Ingreso")</f>
        <v>15307.88</v>
      </c>
      <c r="K9" s="44">
        <f>SUMIFS(Movimientos!$J$1:$J$724,Movimientos!$C$1:$C$724,$B9,Movimientos!$D$1:$D$724,$C9,Movimientos!$L$1:$L$724,A$3,Movimientos!$F$1:$F$724,"Egreso")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SUMIFS(Movimientos!$J$1:$J$724,Movimientos!$C$1:$C$724,$B9,Movimientos!$D$1:$D$724,$C9,Movimientos!$L$1:$L$724,A$4,Movimientos!$F$1:$F$724,"Ingreso")</f>
        <v>15280.15</v>
      </c>
      <c r="P9" s="44">
        <f>SUMIFS(Movimientos!$J$1:$J$724,Movimientos!$C$1:$C$724,$B9,Movimientos!$D$1:$D$724,$C9,Movimientos!$L$1:$L$724,A$4,Movimientos!$F$1:$F$724,"Egreso")</f>
        <v>9933.8499999999985</v>
      </c>
      <c r="Q9" s="7">
        <f t="shared" si="1"/>
        <v>5346.3000000000011</v>
      </c>
      <c r="R9" s="12">
        <f t="shared" si="7"/>
        <v>13123.54</v>
      </c>
      <c r="S9" s="5">
        <f t="shared" si="8"/>
        <v>13123.54</v>
      </c>
      <c r="T9" s="44">
        <f>SUMIFS(Movimientos!$J$1:$J$724,Movimientos!$C$1:$C$724,$B9,Movimientos!$D$1:$D$724,$C9,Movimientos!$L$1:$L$724,A$5,Movimientos!$F$1:$F$724,"Ingreso")</f>
        <v>0</v>
      </c>
      <c r="U9" s="44">
        <f>SUMIFS(Movimientos!$J$1:$J$724,Movimientos!$C$1:$C$724,$B9,Movimientos!$D$1:$D$724,$C9,Movimientos!$L$1:$L$724,A$5,Movimientos!$F$1:$F$724,"Egreso")</f>
        <v>0</v>
      </c>
      <c r="V9" s="7">
        <f t="shared" si="2"/>
        <v>0</v>
      </c>
      <c r="W9" s="12">
        <f t="shared" si="9"/>
        <v>13123.54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SUMIFS(Movimientos!$J$1:$J$724,Movimientos!$C$1:$C$724,$B10,Movimientos!$D$1:$D$724,$C10,Movimientos!$L$1:$L$724,A$3,Movimientos!$F$1:$F$724,"Ingreso")</f>
        <v>0</v>
      </c>
      <c r="K10" s="44">
        <f>SUMIFS(Movimientos!$J$1:$J$724,Movimientos!$C$1:$C$724,$B10,Movimientos!$D$1:$D$724,$C10,Movimientos!$L$1:$L$724,A$3,Movimientos!$F$1:$F$724,"Egreso")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SUMIFS(Movimientos!$J$1:$J$724,Movimientos!$C$1:$C$724,$B10,Movimientos!$D$1:$D$724,$C10,Movimientos!$L$1:$L$724,A$4,Movimientos!$F$1:$F$724,"Ingreso")</f>
        <v>0</v>
      </c>
      <c r="P10" s="44">
        <f>SUMIFS(Movimientos!$J$1:$J$724,Movimientos!$C$1:$C$724,$B10,Movimientos!$D$1:$D$724,$C10,Movimientos!$L$1:$L$724,A$4,Movimientos!$F$1:$F$724,"Egreso")</f>
        <v>0</v>
      </c>
      <c r="Q10" s="7">
        <f t="shared" si="1"/>
        <v>0</v>
      </c>
      <c r="R10" s="12">
        <f t="shared" si="7"/>
        <v>366.92</v>
      </c>
      <c r="S10" s="5">
        <f t="shared" si="8"/>
        <v>366.92</v>
      </c>
      <c r="T10" s="44">
        <f>SUMIFS(Movimientos!$J$1:$J$724,Movimientos!$C$1:$C$724,$B10,Movimientos!$D$1:$D$724,$C10,Movimientos!$L$1:$L$724,A$5,Movimientos!$F$1:$F$724,"Ingreso")</f>
        <v>0</v>
      </c>
      <c r="U10" s="44">
        <f>SUMIFS(Movimientos!$J$1:$J$724,Movimientos!$C$1:$C$724,$B10,Movimientos!$D$1:$D$724,$C10,Movimientos!$L$1:$L$724,A$5,Movimientos!$F$1:$F$724,"Egreso")</f>
        <v>0</v>
      </c>
      <c r="V10" s="7">
        <f t="shared" si="2"/>
        <v>0</v>
      </c>
      <c r="W10" s="12">
        <f t="shared" si="9"/>
        <v>366.92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SUMIFS(Movimientos!$J$1:$J$724,Movimientos!$C$1:$C$724,$B11,Movimientos!$D$1:$D$724,$C11,Movimientos!$L$1:$L$724,A$3,Movimientos!$F$1:$F$724,"Ingreso")</f>
        <v>0</v>
      </c>
      <c r="K11" s="44">
        <f>SUMIFS(Movimientos!$J$1:$J$724,Movimientos!$C$1:$C$724,$B11,Movimientos!$D$1:$D$724,$C11,Movimientos!$L$1:$L$724,A$3,Movimientos!$F$1:$F$724,"Egreso")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SUMIFS(Movimientos!$J$1:$J$724,Movimientos!$C$1:$C$724,$B11,Movimientos!$D$1:$D$724,$C11,Movimientos!$L$1:$L$724,A$4,Movimientos!$F$1:$F$724,"Ingreso")</f>
        <v>0</v>
      </c>
      <c r="P11" s="44">
        <f>SUMIFS(Movimientos!$J$1:$J$724,Movimientos!$C$1:$C$724,$B11,Movimientos!$D$1:$D$724,$C11,Movimientos!$L$1:$L$724,A$4,Movimientos!$F$1:$F$724,"Egreso")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SUMIFS(Movimientos!$J$1:$J$724,Movimientos!$C$1:$C$724,$B11,Movimientos!$D$1:$D$724,$C11,Movimientos!$L$1:$L$724,A$5,Movimientos!$F$1:$F$724,"Ingreso")</f>
        <v>0</v>
      </c>
      <c r="U11" s="44">
        <f>SUMIFS(Movimientos!$J$1:$J$724,Movimientos!$C$1:$C$724,$B11,Movimientos!$D$1:$D$724,$C11,Movimientos!$L$1:$L$724,A$5,Movimientos!$F$1:$F$724,"Egreso")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SUMIFS(Movimientos!$J$1:$J$724,Movimientos!$C$1:$C$724,$B12,Movimientos!$D$1:$D$724,$C12,Movimientos!$L$1:$L$724,A$3,Movimientos!$F$1:$F$724,"Ingreso")</f>
        <v>4970000</v>
      </c>
      <c r="K12" s="44">
        <f>SUMIFS(Movimientos!$J$1:$J$724,Movimientos!$C$1:$C$724,$B12,Movimientos!$D$1:$D$724,$C12,Movimientos!$L$1:$L$724,A$3,Movimientos!$F$1:$F$724,"Egreso")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SUMIFS(Movimientos!$J$1:$J$724,Movimientos!$C$1:$C$724,$B12,Movimientos!$D$1:$D$724,$C12,Movimientos!$L$1:$L$724,A$4,Movimientos!$F$1:$F$724,"Ingreso")</f>
        <v>750000</v>
      </c>
      <c r="P12" s="44">
        <f>SUMIFS(Movimientos!$J$1:$J$724,Movimientos!$C$1:$C$724,$B12,Movimientos!$D$1:$D$724,$C12,Movimientos!$L$1:$L$724,A$4,Movimientos!$F$1:$F$724,"Egreso")</f>
        <v>529878.76</v>
      </c>
      <c r="Q12" s="7">
        <f t="shared" si="1"/>
        <v>220121.24</v>
      </c>
      <c r="R12" s="12">
        <f t="shared" si="7"/>
        <v>1091819.9999999988</v>
      </c>
      <c r="S12" s="5">
        <f t="shared" si="8"/>
        <v>1091819.9999999988</v>
      </c>
      <c r="T12" s="44">
        <f>SUMIFS(Movimientos!$J$1:$J$724,Movimientos!$C$1:$C$724,$B12,Movimientos!$D$1:$D$724,$C12,Movimientos!$L$1:$L$724,A$5,Movimientos!$F$1:$F$724,"Ingreso")</f>
        <v>0</v>
      </c>
      <c r="U12" s="44">
        <f>SUMIFS(Movimientos!$J$1:$J$724,Movimientos!$C$1:$C$724,$B12,Movimientos!$D$1:$D$724,$C12,Movimientos!$L$1:$L$724,A$5,Movimientos!$F$1:$F$724,"Egreso")</f>
        <v>0</v>
      </c>
      <c r="V12" s="7">
        <f t="shared" si="2"/>
        <v>0</v>
      </c>
      <c r="W12" s="12">
        <f t="shared" si="9"/>
        <v>1091819.9999999988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SUMIFS(Movimientos!$J$1:$J$724,Movimientos!$C$1:$C$724,$B13,Movimientos!$D$1:$D$724,$C13,Movimientos!$L$1:$L$724,A$3,Movimientos!$F$1:$F$724,"Ingreso")</f>
        <v>0</v>
      </c>
      <c r="K13" s="44">
        <f>SUMIFS(Movimientos!$J$1:$J$724,Movimientos!$C$1:$C$724,$B13,Movimientos!$D$1:$D$724,$C13,Movimientos!$L$1:$L$724,A$3,Movimientos!$F$1:$F$724,"Egreso")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SUMIFS(Movimientos!$J$1:$J$724,Movimientos!$C$1:$C$724,$B13,Movimientos!$D$1:$D$724,$C13,Movimientos!$L$1:$L$724,A$4,Movimientos!$F$1:$F$724,"Ingreso")</f>
        <v>0</v>
      </c>
      <c r="P13" s="44">
        <f>SUMIFS(Movimientos!$J$1:$J$724,Movimientos!$C$1:$C$724,$B13,Movimientos!$D$1:$D$724,$C13,Movimientos!$L$1:$L$724,A$4,Movimientos!$F$1:$F$724,"Egreso")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SUMIFS(Movimientos!$J$1:$J$724,Movimientos!$C$1:$C$724,$B13,Movimientos!$D$1:$D$724,$C13,Movimientos!$L$1:$L$724,A$5,Movimientos!$F$1:$F$724,"Ingreso")</f>
        <v>0</v>
      </c>
      <c r="U13" s="44">
        <f>SUMIFS(Movimientos!$J$1:$J$724,Movimientos!$C$1:$C$724,$B13,Movimientos!$D$1:$D$724,$C13,Movimientos!$L$1:$L$724,A$5,Movimientos!$F$1:$F$724,"Egreso")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SUMIFS(Movimientos!$J$1:$J$724,Movimientos!$C$1:$C$724,$B14,Movimientos!$D$1:$D$724,$C14,Movimientos!$L$1:$L$724,A$3,Movimientos!$F$1:$F$724,"Ingreso")</f>
        <v>56867.66</v>
      </c>
      <c r="K14" s="44">
        <f>SUMIFS(Movimientos!$J$1:$J$724,Movimientos!$C$1:$C$724,$B14,Movimientos!$D$1:$D$724,$C14,Movimientos!$L$1:$L$724,A$3,Movimientos!$F$1:$F$724,"Egreso")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SUMIFS(Movimientos!$J$1:$J$724,Movimientos!$C$1:$C$724,$B14,Movimientos!$D$1:$D$724,$C14,Movimientos!$L$1:$L$724,A$4,Movimientos!$F$1:$F$724,"Ingreso")</f>
        <v>0</v>
      </c>
      <c r="P14" s="44">
        <f>SUMIFS(Movimientos!$J$1:$J$724,Movimientos!$C$1:$C$724,$B14,Movimientos!$D$1:$D$724,$C14,Movimientos!$L$1:$L$724,A$4,Movimientos!$F$1:$F$724,"Egreso")</f>
        <v>0</v>
      </c>
      <c r="Q14" s="7">
        <f t="shared" si="1"/>
        <v>0</v>
      </c>
      <c r="R14" s="12">
        <f t="shared" si="7"/>
        <v>806680.61</v>
      </c>
      <c r="S14" s="5">
        <f t="shared" si="8"/>
        <v>806680.61</v>
      </c>
      <c r="T14" s="44">
        <f>SUMIFS(Movimientos!$J$1:$J$724,Movimientos!$C$1:$C$724,$B14,Movimientos!$D$1:$D$724,$C14,Movimientos!$L$1:$L$724,A$5,Movimientos!$F$1:$F$724,"Ingreso")</f>
        <v>0</v>
      </c>
      <c r="U14" s="44">
        <f>SUMIFS(Movimientos!$J$1:$J$724,Movimientos!$C$1:$C$724,$B14,Movimientos!$D$1:$D$724,$C14,Movimientos!$L$1:$L$724,A$5,Movimientos!$F$1:$F$724,"Egreso")</f>
        <v>0</v>
      </c>
      <c r="V14" s="7">
        <f t="shared" si="2"/>
        <v>0</v>
      </c>
      <c r="W14" s="12">
        <f t="shared" si="9"/>
        <v>806680.61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SUMIFS(Movimientos!$J$1:$J$724,Movimientos!$C$1:$C$724,$B15,Movimientos!$D$1:$D$724,$C15,Movimientos!$L$1:$L$724,A$3,Movimientos!$F$1:$F$724,"Ingreso")</f>
        <v>0</v>
      </c>
      <c r="K15" s="44">
        <f>SUMIFS(Movimientos!$J$1:$J$724,Movimientos!$C$1:$C$724,$B15,Movimientos!$D$1:$D$724,$C15,Movimientos!$L$1:$L$724,A$3,Movimientos!$F$1:$F$724,"Egreso")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SUMIFS(Movimientos!$J$1:$J$724,Movimientos!$C$1:$C$724,$B15,Movimientos!$D$1:$D$724,$C15,Movimientos!$L$1:$L$724,A$4,Movimientos!$F$1:$F$724,"Ingreso")</f>
        <v>0</v>
      </c>
      <c r="P15" s="44">
        <f>SUMIFS(Movimientos!$J$1:$J$724,Movimientos!$C$1:$C$724,$B15,Movimientos!$D$1:$D$724,$C15,Movimientos!$L$1:$L$724,A$4,Movimientos!$F$1:$F$724,"Egreso")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SUMIFS(Movimientos!$J$1:$J$724,Movimientos!$C$1:$C$724,$B15,Movimientos!$D$1:$D$724,$C15,Movimientos!$L$1:$L$724,A$5,Movimientos!$F$1:$F$724,"Ingreso")</f>
        <v>0</v>
      </c>
      <c r="U15" s="44">
        <f>SUMIFS(Movimientos!$J$1:$J$724,Movimientos!$C$1:$C$724,$B15,Movimientos!$D$1:$D$724,$C15,Movimientos!$L$1:$L$724,A$5,Movimientos!$F$1:$F$724,"Egreso")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SUMIFS(Movimientos!$J$1:$J$724,Movimientos!$C$1:$C$724,$B16,Movimientos!$D$1:$D$724,$C16,Movimientos!$L$1:$L$724,A$3,Movimientos!$F$1:$F$724,"Ingreso")</f>
        <v>0</v>
      </c>
      <c r="K16" s="44">
        <f>SUMIFS(Movimientos!$J$1:$J$724,Movimientos!$C$1:$C$724,$B16,Movimientos!$D$1:$D$724,$C16,Movimientos!$L$1:$L$724,A$3,Movimientos!$F$1:$F$724,"Egreso")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SUMIFS(Movimientos!$J$1:$J$724,Movimientos!$C$1:$C$724,$B16,Movimientos!$D$1:$D$724,$C16,Movimientos!$L$1:$L$724,A$4,Movimientos!$F$1:$F$724,"Ingreso")</f>
        <v>0</v>
      </c>
      <c r="P16" s="44">
        <f>SUMIFS(Movimientos!$J$1:$J$724,Movimientos!$C$1:$C$724,$B16,Movimientos!$D$1:$D$724,$C16,Movimientos!$L$1:$L$724,A$4,Movimientos!$F$1:$F$724,"Egreso")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SUMIFS(Movimientos!$J$1:$J$724,Movimientos!$C$1:$C$724,$B16,Movimientos!$D$1:$D$724,$C16,Movimientos!$L$1:$L$724,A$5,Movimientos!$F$1:$F$724,"Ingreso")</f>
        <v>0</v>
      </c>
      <c r="U16" s="44">
        <f>SUMIFS(Movimientos!$J$1:$J$724,Movimientos!$C$1:$C$724,$B16,Movimientos!$D$1:$D$724,$C16,Movimientos!$L$1:$L$724,A$5,Movimientos!$F$1:$F$724,"Egreso")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SUMIFS(Movimientos!$J$1:$J$724,Movimientos!$C$1:$C$724,$B17,Movimientos!$D$1:$D$724,$C17,Movimientos!$L$1:$L$724,A$3,Movimientos!$F$1:$F$724,"Ingreso")</f>
        <v>0</v>
      </c>
      <c r="K17" s="44">
        <f>SUMIFS(Movimientos!$J$1:$J$724,Movimientos!$C$1:$C$724,$B17,Movimientos!$D$1:$D$724,$C17,Movimientos!$L$1:$L$724,A$3,Movimientos!$F$1:$F$724,"Egreso")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SUMIFS(Movimientos!$J$1:$J$724,Movimientos!$C$1:$C$724,$B17,Movimientos!$D$1:$D$724,$C17,Movimientos!$L$1:$L$724,A$4,Movimientos!$F$1:$F$724,"Ingreso")</f>
        <v>0</v>
      </c>
      <c r="P17" s="44">
        <f>SUMIFS(Movimientos!$J$1:$J$724,Movimientos!$C$1:$C$724,$B17,Movimientos!$D$1:$D$724,$C17,Movimientos!$L$1:$L$724,A$4,Movimientos!$F$1:$F$724,"Egreso")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SUMIFS(Movimientos!$J$1:$J$724,Movimientos!$C$1:$C$724,$B17,Movimientos!$D$1:$D$724,$C17,Movimientos!$L$1:$L$724,A$5,Movimientos!$F$1:$F$724,"Ingreso")</f>
        <v>0</v>
      </c>
      <c r="U17" s="44">
        <f>SUMIFS(Movimientos!$J$1:$J$724,Movimientos!$C$1:$C$724,$B17,Movimientos!$D$1:$D$724,$C17,Movimientos!$L$1:$L$724,A$5,Movimientos!$F$1:$F$724,"Egreso")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SUMIFS(Movimientos!$J$1:$J$724,Movimientos!$C$1:$C$724,$B18,Movimientos!$D$1:$D$724,$C18,Movimientos!$L$1:$L$724,A$3,Movimientos!$F$1:$F$724,"Ingreso")</f>
        <v>0</v>
      </c>
      <c r="K18" s="44">
        <f>SUMIFS(Movimientos!$J$1:$J$724,Movimientos!$C$1:$C$724,$B18,Movimientos!$D$1:$D$724,$C18,Movimientos!$L$1:$L$724,A$3,Movimientos!$F$1:$F$724,"Egreso")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SUMIFS(Movimientos!$J$1:$J$724,Movimientos!$C$1:$C$724,$B18,Movimientos!$D$1:$D$724,$C18,Movimientos!$L$1:$L$724,A$4,Movimientos!$F$1:$F$724,"Ingreso")</f>
        <v>0</v>
      </c>
      <c r="P18" s="44">
        <f>SUMIFS(Movimientos!$J$1:$J$724,Movimientos!$C$1:$C$724,$B18,Movimientos!$D$1:$D$724,$C18,Movimientos!$L$1:$L$724,A$4,Movimientos!$F$1:$F$724,"Egreso")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SUMIFS(Movimientos!$J$1:$J$724,Movimientos!$C$1:$C$724,$B18,Movimientos!$D$1:$D$724,$C18,Movimientos!$L$1:$L$724,A$5,Movimientos!$F$1:$F$724,"Ingreso")</f>
        <v>0</v>
      </c>
      <c r="U18" s="44">
        <f>SUMIFS(Movimientos!$J$1:$J$724,Movimientos!$C$1:$C$724,$B18,Movimientos!$D$1:$D$724,$C18,Movimientos!$L$1:$L$724,A$5,Movimientos!$F$1:$F$724,"Egreso")</f>
        <v>0</v>
      </c>
      <c r="V18" s="7">
        <f t="shared" si="2"/>
        <v>0</v>
      </c>
      <c r="W18" s="12">
        <f t="shared" si="9"/>
        <v>45206.89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SUMIFS(Movimientos!$J$1:$J$724,Movimientos!$C$1:$C$724,$B19,Movimientos!$D$1:$D$724,$C19,Movimientos!$L$1:$L$724,A$3,Movimientos!$F$1:$F$724,"Ingreso")</f>
        <v>2580000</v>
      </c>
      <c r="K19" s="44">
        <f>SUMIFS(Movimientos!$J$1:$J$724,Movimientos!$C$1:$C$724,$B19,Movimientos!$D$1:$D$724,$C19,Movimientos!$L$1:$L$724,A$3,Movimientos!$F$1:$F$724,"Egreso")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SUMIFS(Movimientos!$J$1:$J$724,Movimientos!$C$1:$C$724,$B19,Movimientos!$D$1:$D$724,$C19,Movimientos!$L$1:$L$724,A$4,Movimientos!$F$1:$F$724,"Ingreso")</f>
        <v>0</v>
      </c>
      <c r="P19" s="44">
        <f>SUMIFS(Movimientos!$J$1:$J$724,Movimientos!$C$1:$C$724,$B19,Movimientos!$D$1:$D$724,$C19,Movimientos!$L$1:$L$724,A$4,Movimientos!$F$1:$F$724,"Egreso")</f>
        <v>190000</v>
      </c>
      <c r="Q19" s="7">
        <f t="shared" si="1"/>
        <v>-190000</v>
      </c>
      <c r="R19" s="12">
        <f t="shared" si="7"/>
        <v>91717.600000000093</v>
      </c>
      <c r="S19" s="5">
        <f t="shared" si="8"/>
        <v>91717.600000000093</v>
      </c>
      <c r="T19" s="44">
        <f>SUMIFS(Movimientos!$J$1:$J$724,Movimientos!$C$1:$C$724,$B19,Movimientos!$D$1:$D$724,$C19,Movimientos!$L$1:$L$724,A$5,Movimientos!$F$1:$F$724,"Ingreso")</f>
        <v>0</v>
      </c>
      <c r="U19" s="44">
        <f>SUMIFS(Movimientos!$J$1:$J$724,Movimientos!$C$1:$C$724,$B19,Movimientos!$D$1:$D$724,$C19,Movimientos!$L$1:$L$724,A$5,Movimientos!$F$1:$F$724,"Egreso")</f>
        <v>0</v>
      </c>
      <c r="V19" s="7">
        <f t="shared" si="2"/>
        <v>0</v>
      </c>
      <c r="W19" s="12">
        <f t="shared" si="9"/>
        <v>91717.600000000093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SUMIFS(Movimientos!$J$1:$J$724,Movimientos!$C$1:$C$724,$B20,Movimientos!$D$1:$D$724,$C20,Movimientos!$L$1:$L$724,A$3,Movimientos!$F$1:$F$724,"Ingreso")</f>
        <v>0</v>
      </c>
      <c r="K20" s="44">
        <f>SUMIFS(Movimientos!$J$1:$J$724,Movimientos!$C$1:$C$724,$B20,Movimientos!$D$1:$D$724,$C20,Movimientos!$L$1:$L$724,A$3,Movimientos!$F$1:$F$724,"Egreso")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SUMIFS(Movimientos!$J$1:$J$724,Movimientos!$C$1:$C$724,$B20,Movimientos!$D$1:$D$724,$C20,Movimientos!$L$1:$L$724,A$4,Movimientos!$F$1:$F$724,"Ingreso")</f>
        <v>0</v>
      </c>
      <c r="P20" s="44">
        <f>SUMIFS(Movimientos!$J$1:$J$724,Movimientos!$C$1:$C$724,$B20,Movimientos!$D$1:$D$724,$C20,Movimientos!$L$1:$L$724,A$4,Movimientos!$F$1:$F$724,"Egreso")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SUMIFS(Movimientos!$J$1:$J$724,Movimientos!$C$1:$C$724,$B20,Movimientos!$D$1:$D$724,$C20,Movimientos!$L$1:$L$724,A$5,Movimientos!$F$1:$F$724,"Ingreso")</f>
        <v>0</v>
      </c>
      <c r="U20" s="44">
        <f>SUMIFS(Movimientos!$J$1:$J$724,Movimientos!$C$1:$C$724,$B20,Movimientos!$D$1:$D$724,$C20,Movimientos!$L$1:$L$724,A$5,Movimientos!$F$1:$F$724,"Egreso")</f>
        <v>0</v>
      </c>
      <c r="V20" s="7">
        <f t="shared" si="2"/>
        <v>0</v>
      </c>
      <c r="W20" s="12">
        <f t="shared" si="9"/>
        <v>88090.370000000112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SUMIFS(Movimientos!$J$1:$J$724,Movimientos!$C$1:$C$724,$B21,Movimientos!$D$1:$D$724,$C21,Movimientos!$L$1:$L$724,A$3,Movimientos!$F$1:$F$724,"Ingreso")</f>
        <v>0</v>
      </c>
      <c r="K21" s="44">
        <f>SUMIFS(Movimientos!$J$1:$J$724,Movimientos!$C$1:$C$724,$B21,Movimientos!$D$1:$D$724,$C21,Movimientos!$L$1:$L$724,A$3,Movimientos!$F$1:$F$724,"Egreso")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SUMIFS(Movimientos!$J$1:$J$724,Movimientos!$C$1:$C$724,$B21,Movimientos!$D$1:$D$724,$C21,Movimientos!$L$1:$L$724,A$4,Movimientos!$F$1:$F$724,"Ingreso")</f>
        <v>14659.29</v>
      </c>
      <c r="P21" s="44">
        <f>SUMIFS(Movimientos!$J$1:$J$724,Movimientos!$C$1:$C$724,$B21,Movimientos!$D$1:$D$724,$C21,Movimientos!$L$1:$L$724,A$4,Movimientos!$F$1:$F$724,"Egreso")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SUMIFS(Movimientos!$J$1:$J$724,Movimientos!$C$1:$C$724,$B21,Movimientos!$D$1:$D$724,$C21,Movimientos!$L$1:$L$724,A$5,Movimientos!$F$1:$F$724,"Ingreso")</f>
        <v>0</v>
      </c>
      <c r="U21" s="44">
        <f>SUMIFS(Movimientos!$J$1:$J$724,Movimientos!$C$1:$C$724,$B21,Movimientos!$D$1:$D$724,$C21,Movimientos!$L$1:$L$724,A$5,Movimientos!$F$1:$F$724,"Egreso")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SUMIFS(Movimientos!$J$1:$J$724,Movimientos!$C$1:$C$724,$B22,Movimientos!$D$1:$D$724,$C22,Movimientos!$L$1:$L$724,A$3,Movimientos!$F$1:$F$724,"Ingreso")</f>
        <v>0</v>
      </c>
      <c r="K22" s="44">
        <f>SUMIFS(Movimientos!$J$1:$J$724,Movimientos!$C$1:$C$724,$B22,Movimientos!$D$1:$D$724,$C22,Movimientos!$L$1:$L$724,A$3,Movimientos!$F$1:$F$724,"Egreso")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SUMIFS(Movimientos!$J$1:$J$724,Movimientos!$C$1:$C$724,$B22,Movimientos!$D$1:$D$724,$C22,Movimientos!$L$1:$L$724,A$4,Movimientos!$F$1:$F$724,"Ingreso")</f>
        <v>0</v>
      </c>
      <c r="P22" s="44">
        <f>SUMIFS(Movimientos!$J$1:$J$724,Movimientos!$C$1:$C$724,$B22,Movimientos!$D$1:$D$724,$C22,Movimientos!$L$1:$L$724,A$4,Movimientos!$F$1:$F$724,"Egreso")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SUMIFS(Movimientos!$J$1:$J$724,Movimientos!$C$1:$C$724,$B22,Movimientos!$D$1:$D$724,$C22,Movimientos!$L$1:$L$724,A$5,Movimientos!$F$1:$F$724,"Ingreso")</f>
        <v>0</v>
      </c>
      <c r="U22" s="44">
        <f>SUMIFS(Movimientos!$J$1:$J$724,Movimientos!$C$1:$C$724,$B22,Movimientos!$D$1:$D$724,$C22,Movimientos!$L$1:$L$724,A$5,Movimientos!$F$1:$F$724,"Egreso")</f>
        <v>0</v>
      </c>
      <c r="V22" s="7">
        <f t="shared" si="2"/>
        <v>0</v>
      </c>
      <c r="W22" s="12">
        <f t="shared" si="9"/>
        <v>54.399999999999991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SUMIFS(Movimientos!$J$1:$J$724,Movimientos!$C$1:$C$724,$B23,Movimientos!$D$1:$D$724,$C23,Movimientos!$L$1:$L$724,A$3,Movimientos!$F$1:$F$724,"Ingreso")</f>
        <v>0</v>
      </c>
      <c r="K23" s="44">
        <f>SUMIFS(Movimientos!$J$1:$J$724,Movimientos!$C$1:$C$724,$B23,Movimientos!$D$1:$D$724,$C23,Movimientos!$L$1:$L$724,A$3,Movimientos!$F$1:$F$724,"Egreso")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SUMIFS(Movimientos!$J$1:$J$724,Movimientos!$C$1:$C$724,$B23,Movimientos!$D$1:$D$724,$C23,Movimientos!$L$1:$L$724,A$4,Movimientos!$F$1:$F$724,"Ingreso")</f>
        <v>0</v>
      </c>
      <c r="P23" s="44">
        <f>SUMIFS(Movimientos!$J$1:$J$724,Movimientos!$C$1:$C$724,$B23,Movimientos!$D$1:$D$724,$C23,Movimientos!$L$1:$L$724,A$4,Movimientos!$F$1:$F$724,"Egreso")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SUMIFS(Movimientos!$J$1:$J$724,Movimientos!$C$1:$C$724,$B23,Movimientos!$D$1:$D$724,$C23,Movimientos!$L$1:$L$724,A$5,Movimientos!$F$1:$F$724,"Ingreso")</f>
        <v>0</v>
      </c>
      <c r="U23" s="44">
        <f>SUMIFS(Movimientos!$J$1:$J$724,Movimientos!$C$1:$C$724,$B23,Movimientos!$D$1:$D$724,$C23,Movimientos!$L$1:$L$724,A$5,Movimientos!$F$1:$F$724,"Egreso")</f>
        <v>0</v>
      </c>
      <c r="V23" s="7">
        <f t="shared" si="2"/>
        <v>0</v>
      </c>
      <c r="W23" s="12">
        <f t="shared" si="9"/>
        <v>2207.8200000000006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SUMIFS(Movimientos!$J$1:$J$724,Movimientos!$C$1:$C$724,$B24,Movimientos!$D$1:$D$724,$C24,Movimientos!$L$1:$L$724,A$3,Movimientos!$F$1:$F$724,"Ingreso")</f>
        <v>0</v>
      </c>
      <c r="K24" s="44">
        <f>SUMIFS(Movimientos!$J$1:$J$724,Movimientos!$C$1:$C$724,$B24,Movimientos!$D$1:$D$724,$C24,Movimientos!$L$1:$L$724,A$3,Movimientos!$F$1:$F$724,"Egreso")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SUMIFS(Movimientos!$J$1:$J$724,Movimientos!$C$1:$C$724,$B24,Movimientos!$D$1:$D$724,$C24,Movimientos!$L$1:$L$724,A$4,Movimientos!$F$1:$F$724,"Ingreso")</f>
        <v>1451269.78</v>
      </c>
      <c r="P24" s="44">
        <f>SUMIFS(Movimientos!$J$1:$J$724,Movimientos!$C$1:$C$724,$B24,Movimientos!$D$1:$D$724,$C24,Movimientos!$L$1:$L$724,A$4,Movimientos!$F$1:$F$724,"Egreso")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SUMIFS(Movimientos!$J$1:$J$724,Movimientos!$C$1:$C$724,$B24,Movimientos!$D$1:$D$724,$C24,Movimientos!$L$1:$L$724,A$5,Movimientos!$F$1:$F$724,"Ingreso")</f>
        <v>0</v>
      </c>
      <c r="U24" s="44">
        <f>SUMIFS(Movimientos!$J$1:$J$724,Movimientos!$C$1:$C$724,$B24,Movimientos!$D$1:$D$724,$C24,Movimientos!$L$1:$L$724,A$5,Movimientos!$F$1:$F$724,"Egreso")</f>
        <v>0</v>
      </c>
      <c r="V24" s="7">
        <f t="shared" si="2"/>
        <v>0</v>
      </c>
      <c r="W24" s="12">
        <f t="shared" si="9"/>
        <v>1454589.72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SUMIFS(Movimientos!$J$1:$J$724,Movimientos!$C$1:$C$724,$B25,Movimientos!$D$1:$D$724,$C25,Movimientos!$L$1:$L$724,A$3,Movimientos!$F$1:$F$724,"Ingreso")</f>
        <v>0</v>
      </c>
      <c r="K25" s="44">
        <f>SUMIFS(Movimientos!$J$1:$J$724,Movimientos!$C$1:$C$724,$B25,Movimientos!$D$1:$D$724,$C25,Movimientos!$L$1:$L$724,A$3,Movimientos!$F$1:$F$724,"Egreso")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SUMIFS(Movimientos!$J$1:$J$724,Movimientos!$C$1:$C$724,$B25,Movimientos!$D$1:$D$724,$C25,Movimientos!$L$1:$L$724,A$4,Movimientos!$F$1:$F$724,"Ingreso")</f>
        <v>0</v>
      </c>
      <c r="P25" s="44">
        <f>SUMIFS(Movimientos!$J$1:$J$724,Movimientos!$C$1:$C$724,$B25,Movimientos!$D$1:$D$724,$C25,Movimientos!$L$1:$L$724,A$4,Movimientos!$F$1:$F$724,"Egreso")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SUMIFS(Movimientos!$J$1:$J$724,Movimientos!$C$1:$C$724,$B25,Movimientos!$D$1:$D$724,$C25,Movimientos!$L$1:$L$724,A$5,Movimientos!$F$1:$F$724,"Ingreso")</f>
        <v>0</v>
      </c>
      <c r="U25" s="44">
        <f>SUMIFS(Movimientos!$J$1:$J$724,Movimientos!$C$1:$C$724,$B25,Movimientos!$D$1:$D$724,$C25,Movimientos!$L$1:$L$724,A$5,Movimientos!$F$1:$F$724,"Egreso")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SUMIFS(Movimientos!$J$1:$J$724,Movimientos!$C$1:$C$724,$B26,Movimientos!$D$1:$D$724,$C26,Movimientos!$L$1:$L$724,A$3,Movimientos!$F$1:$F$724,"Ingreso")</f>
        <v>0</v>
      </c>
      <c r="K26" s="44">
        <f>SUMIFS(Movimientos!$J$1:$J$724,Movimientos!$C$1:$C$724,$B26,Movimientos!$D$1:$D$724,$C26,Movimientos!$L$1:$L$724,A$3,Movimientos!$F$1:$F$724,"Egreso")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SUMIFS(Movimientos!$J$1:$J$724,Movimientos!$C$1:$C$724,$B26,Movimientos!$D$1:$D$724,$C26,Movimientos!$L$1:$L$724,A$4,Movimientos!$F$1:$F$724,"Ingreso")</f>
        <v>0</v>
      </c>
      <c r="P26" s="44">
        <f>SUMIFS(Movimientos!$J$1:$J$724,Movimientos!$C$1:$C$724,$B26,Movimientos!$D$1:$D$724,$C26,Movimientos!$L$1:$L$724,A$4,Movimientos!$F$1:$F$724,"Egreso")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SUMIFS(Movimientos!$J$1:$J$724,Movimientos!$C$1:$C$724,$B26,Movimientos!$D$1:$D$724,$C26,Movimientos!$L$1:$L$724,A$5,Movimientos!$F$1:$F$724,"Ingreso")</f>
        <v>0</v>
      </c>
      <c r="U26" s="44">
        <f>SUMIFS(Movimientos!$J$1:$J$724,Movimientos!$C$1:$C$724,$B26,Movimientos!$D$1:$D$724,$C26,Movimientos!$L$1:$L$724,A$5,Movimientos!$F$1:$F$724,"Egreso")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SUMIFS(Movimientos!$J$1:$J$724,Movimientos!$C$1:$C$724,$B27,Movimientos!$D$1:$D$724,$C27,Movimientos!$L$1:$L$724,A$3,Movimientos!$F$1:$F$724,"Ingreso")</f>
        <v>0</v>
      </c>
      <c r="K27" s="44">
        <f>SUMIFS(Movimientos!$J$1:$J$724,Movimientos!$C$1:$C$724,$B27,Movimientos!$D$1:$D$724,$C27,Movimientos!$L$1:$L$724,A$3,Movimientos!$F$1:$F$724,"Egreso")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SUMIFS(Movimientos!$J$1:$J$724,Movimientos!$C$1:$C$724,$B27,Movimientos!$D$1:$D$724,$C27,Movimientos!$L$1:$L$724,A$4,Movimientos!$F$1:$F$724,"Ingreso")</f>
        <v>518.65</v>
      </c>
      <c r="P27" s="44">
        <f>SUMIFS(Movimientos!$J$1:$J$724,Movimientos!$C$1:$C$724,$B27,Movimientos!$D$1:$D$724,$C27,Movimientos!$L$1:$L$724,A$4,Movimientos!$F$1:$F$724,"Egreso")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SUMIFS(Movimientos!$J$1:$J$724,Movimientos!$C$1:$C$724,$B27,Movimientos!$D$1:$D$724,$C27,Movimientos!$L$1:$L$724,A$5,Movimientos!$F$1:$F$724,"Ingreso")</f>
        <v>0</v>
      </c>
      <c r="U27" s="44">
        <f>SUMIFS(Movimientos!$J$1:$J$724,Movimientos!$C$1:$C$724,$B27,Movimientos!$D$1:$D$724,$C27,Movimientos!$L$1:$L$724,A$5,Movimientos!$F$1:$F$724,"Egreso")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SUMIFS(Movimientos!$J$1:$J$724,Movimientos!$C$1:$C$724,$B28,Movimientos!$D$1:$D$724,$C28,Movimientos!$L$1:$L$724,A$3,Movimientos!$F$1:$F$724,"Ingreso")</f>
        <v>0</v>
      </c>
      <c r="K28" s="44">
        <f>SUMIFS(Movimientos!$J$1:$J$724,Movimientos!$C$1:$C$724,$B28,Movimientos!$D$1:$D$724,$C28,Movimientos!$L$1:$L$724,A$3,Movimientos!$F$1:$F$724,"Egreso")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SUMIFS(Movimientos!$J$1:$J$724,Movimientos!$C$1:$C$724,$B28,Movimientos!$D$1:$D$724,$C28,Movimientos!$L$1:$L$724,A$4,Movimientos!$F$1:$F$724,"Ingreso")</f>
        <v>0</v>
      </c>
      <c r="P28" s="44">
        <f>SUMIFS(Movimientos!$J$1:$J$724,Movimientos!$C$1:$C$724,$B28,Movimientos!$D$1:$D$724,$C28,Movimientos!$L$1:$L$724,A$4,Movimientos!$F$1:$F$724,"Egreso")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SUMIFS(Movimientos!$J$1:$J$724,Movimientos!$C$1:$C$724,$B28,Movimientos!$D$1:$D$724,$C28,Movimientos!$L$1:$L$724,A$5,Movimientos!$F$1:$F$724,"Ingreso")</f>
        <v>0</v>
      </c>
      <c r="U28" s="44">
        <f>SUMIFS(Movimientos!$J$1:$J$724,Movimientos!$C$1:$C$724,$B28,Movimientos!$D$1:$D$724,$C28,Movimientos!$L$1:$L$724,A$5,Movimientos!$F$1:$F$724,"Egreso")</f>
        <v>0</v>
      </c>
      <c r="V28" s="7">
        <f t="shared" si="2"/>
        <v>0</v>
      </c>
      <c r="W28" s="12">
        <f t="shared" si="9"/>
        <v>1412.08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SUMIFS(Movimientos!$J$1:$J$724,Movimientos!$C$1:$C$724,$B29,Movimientos!$D$1:$D$724,$C29,Movimientos!$L$1:$L$724,A$3,Movimientos!$F$1:$F$724,"Ingreso")</f>
        <v>5250</v>
      </c>
      <c r="K29" s="44">
        <f>SUMIFS(Movimientos!$J$1:$J$724,Movimientos!$C$1:$C$724,$B29,Movimientos!$D$1:$D$724,$C29,Movimientos!$L$1:$L$724,A$3,Movimientos!$F$1:$F$724,"Egreso")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SUMIFS(Movimientos!$J$1:$J$724,Movimientos!$C$1:$C$724,$B29,Movimientos!$D$1:$D$724,$C29,Movimientos!$L$1:$L$724,A$4,Movimientos!$F$1:$F$724,"Ingreso")</f>
        <v>0</v>
      </c>
      <c r="P29" s="44">
        <f>SUMIFS(Movimientos!$J$1:$J$724,Movimientos!$C$1:$C$724,$B29,Movimientos!$D$1:$D$724,$C29,Movimientos!$L$1:$L$724,A$4,Movimientos!$F$1:$F$724,"Egreso")</f>
        <v>8533.33</v>
      </c>
      <c r="Q29" s="7">
        <f t="shared" si="1"/>
        <v>-8533.33</v>
      </c>
      <c r="R29" s="12">
        <f t="shared" si="7"/>
        <v>22176.219999999965</v>
      </c>
      <c r="S29" s="5">
        <f t="shared" si="8"/>
        <v>22176.219999999965</v>
      </c>
      <c r="T29" s="44">
        <f>SUMIFS(Movimientos!$J$1:$J$724,Movimientos!$C$1:$C$724,$B29,Movimientos!$D$1:$D$724,$C29,Movimientos!$L$1:$L$724,A$5,Movimientos!$F$1:$F$724,"Ingreso")</f>
        <v>0</v>
      </c>
      <c r="U29" s="44">
        <f>SUMIFS(Movimientos!$J$1:$J$724,Movimientos!$C$1:$C$724,$B29,Movimientos!$D$1:$D$724,$C29,Movimientos!$L$1:$L$724,A$5,Movimientos!$F$1:$F$724,"Egreso")</f>
        <v>0</v>
      </c>
      <c r="V29" s="7">
        <f t="shared" si="2"/>
        <v>0</v>
      </c>
      <c r="W29" s="12">
        <f t="shared" si="9"/>
        <v>22176.219999999965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SUMIFS(Movimientos!$J$1:$J$724,Movimientos!$C$1:$C$724,$B30,Movimientos!$D$1:$D$724,$C30,Movimientos!$L$1:$L$724,A$3,Movimientos!$F$1:$F$724,"Ingreso")</f>
        <v>0</v>
      </c>
      <c r="K30" s="44">
        <f>SUMIFS(Movimientos!$J$1:$J$724,Movimientos!$C$1:$C$724,$B30,Movimientos!$D$1:$D$724,$C30,Movimientos!$L$1:$L$724,A$3,Movimientos!$F$1:$F$724,"Egreso")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SUMIFS(Movimientos!$J$1:$J$724,Movimientos!$C$1:$C$724,$B30,Movimientos!$D$1:$D$724,$C30,Movimientos!$L$1:$L$724,A$4,Movimientos!$F$1:$F$724,"Ingreso")</f>
        <v>0</v>
      </c>
      <c r="P30" s="44">
        <f>SUMIFS(Movimientos!$J$1:$J$724,Movimientos!$C$1:$C$724,$B30,Movimientos!$D$1:$D$724,$C30,Movimientos!$L$1:$L$724,A$4,Movimientos!$F$1:$F$724,"Egreso")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SUMIFS(Movimientos!$J$1:$J$724,Movimientos!$C$1:$C$724,$B30,Movimientos!$D$1:$D$724,$C30,Movimientos!$L$1:$L$724,A$5,Movimientos!$F$1:$F$724,"Ingreso")</f>
        <v>0</v>
      </c>
      <c r="U30" s="44">
        <f>SUMIFS(Movimientos!$J$1:$J$724,Movimientos!$C$1:$C$724,$B30,Movimientos!$D$1:$D$724,$C30,Movimientos!$L$1:$L$724,A$5,Movimientos!$F$1:$F$724,"Egreso")</f>
        <v>0</v>
      </c>
      <c r="V30" s="7">
        <f t="shared" si="2"/>
        <v>0</v>
      </c>
      <c r="W30" s="12">
        <f t="shared" si="9"/>
        <v>320.42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SUMIFS(Movimientos!$J$1:$J$724,Movimientos!$C$1:$C$724,$B31,Movimientos!$D$1:$D$724,$C31,Movimientos!$L$1:$L$724,A$3,Movimientos!$F$1:$F$724,"Ingreso")</f>
        <v>15000</v>
      </c>
      <c r="K31" s="44">
        <f>SUMIFS(Movimientos!$J$1:$J$724,Movimientos!$C$1:$C$724,$B31,Movimientos!$D$1:$D$724,$C31,Movimientos!$L$1:$L$724,A$3,Movimientos!$F$1:$F$724,"Egreso")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SUMIFS(Movimientos!$J$1:$J$724,Movimientos!$C$1:$C$724,$B31,Movimientos!$D$1:$D$724,$C31,Movimientos!$L$1:$L$724,A$4,Movimientos!$F$1:$F$724,"Ingreso")</f>
        <v>0</v>
      </c>
      <c r="P31" s="44">
        <f>SUMIFS(Movimientos!$J$1:$J$724,Movimientos!$C$1:$C$724,$B31,Movimientos!$D$1:$D$724,$C31,Movimientos!$L$1:$L$724,A$4,Movimientos!$F$1:$F$724,"Egreso")</f>
        <v>13798.63</v>
      </c>
      <c r="Q31" s="7">
        <f t="shared" si="1"/>
        <v>-13798.63</v>
      </c>
      <c r="R31" s="12">
        <f t="shared" si="7"/>
        <v>6522.8000000000011</v>
      </c>
      <c r="S31" s="5">
        <f t="shared" si="8"/>
        <v>6522.8000000000011</v>
      </c>
      <c r="T31" s="44">
        <f>SUMIFS(Movimientos!$J$1:$J$724,Movimientos!$C$1:$C$724,$B31,Movimientos!$D$1:$D$724,$C31,Movimientos!$L$1:$L$724,A$5,Movimientos!$F$1:$F$724,"Ingreso")</f>
        <v>0</v>
      </c>
      <c r="U31" s="44">
        <f>SUMIFS(Movimientos!$J$1:$J$724,Movimientos!$C$1:$C$724,$B31,Movimientos!$D$1:$D$724,$C31,Movimientos!$L$1:$L$724,A$5,Movimientos!$F$1:$F$724,"Egreso")</f>
        <v>0</v>
      </c>
      <c r="V31" s="7">
        <f t="shared" si="2"/>
        <v>0</v>
      </c>
      <c r="W31" s="12">
        <f t="shared" si="9"/>
        <v>6522.8000000000011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SUMIFS(Movimientos!$J$1:$J$724,Movimientos!$C$1:$C$724,$B32,Movimientos!$D$1:$D$724,$C32,Movimientos!$L$1:$L$724,A$3,Movimientos!$F$1:$F$724,"Ingreso")</f>
        <v>12000</v>
      </c>
      <c r="K32" s="44">
        <f>SUMIFS(Movimientos!$J$1:$J$724,Movimientos!$C$1:$C$724,$B32,Movimientos!$D$1:$D$724,$C32,Movimientos!$L$1:$L$724,A$3,Movimientos!$F$1:$F$724,"Egreso")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SUMIFS(Movimientos!$J$1:$J$724,Movimientos!$C$1:$C$724,$B32,Movimientos!$D$1:$D$724,$C32,Movimientos!$L$1:$L$724,A$4,Movimientos!$F$1:$F$724,"Ingreso")</f>
        <v>4400</v>
      </c>
      <c r="P32" s="44">
        <f>SUMIFS(Movimientos!$J$1:$J$724,Movimientos!$C$1:$C$724,$B32,Movimientos!$D$1:$D$724,$C32,Movimientos!$L$1:$L$724,A$4,Movimientos!$F$1:$F$724,"Egreso")</f>
        <v>8773.0400000000009</v>
      </c>
      <c r="Q32" s="7">
        <f t="shared" si="1"/>
        <v>-4373.0400000000009</v>
      </c>
      <c r="R32" s="12">
        <f t="shared" si="7"/>
        <v>24085.559999999998</v>
      </c>
      <c r="S32" s="5">
        <f t="shared" si="8"/>
        <v>24085.559999999998</v>
      </c>
      <c r="T32" s="44">
        <f>SUMIFS(Movimientos!$J$1:$J$724,Movimientos!$C$1:$C$724,$B32,Movimientos!$D$1:$D$724,$C32,Movimientos!$L$1:$L$724,A$5,Movimientos!$F$1:$F$724,"Ingreso")</f>
        <v>0</v>
      </c>
      <c r="U32" s="44">
        <f>SUMIFS(Movimientos!$J$1:$J$724,Movimientos!$C$1:$C$724,$B32,Movimientos!$D$1:$D$724,$C32,Movimientos!$L$1:$L$724,A$5,Movimientos!$F$1:$F$724,"Egreso")</f>
        <v>0</v>
      </c>
      <c r="V32" s="7">
        <f t="shared" si="2"/>
        <v>0</v>
      </c>
      <c r="W32" s="12">
        <f t="shared" si="9"/>
        <v>24085.559999999998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SUMIFS(Movimientos!$J$1:$J$724,Movimientos!$C$1:$C$724,$B33,Movimientos!$D$1:$D$724,$C33,Movimientos!$L$1:$L$724,A$3,Movimientos!$F$1:$F$724,"Ingreso")</f>
        <v>59000</v>
      </c>
      <c r="K33" s="44">
        <f>SUMIFS(Movimientos!$J$1:$J$724,Movimientos!$C$1:$C$724,$B33,Movimientos!$D$1:$D$724,$C33,Movimientos!$L$1:$L$724,A$3,Movimientos!$F$1:$F$724,"Egreso")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SUMIFS(Movimientos!$J$1:$J$724,Movimientos!$C$1:$C$724,$B33,Movimientos!$D$1:$D$724,$C33,Movimientos!$L$1:$L$724,A$4,Movimientos!$F$1:$F$724,"Ingreso")</f>
        <v>40000</v>
      </c>
      <c r="P33" s="44">
        <f>SUMIFS(Movimientos!$J$1:$J$724,Movimientos!$C$1:$C$724,$B33,Movimientos!$D$1:$D$724,$C33,Movimientos!$L$1:$L$724,A$4,Movimientos!$F$1:$F$724,"Egreso")</f>
        <v>40000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SUMIFS(Movimientos!$J$1:$J$724,Movimientos!$C$1:$C$724,$B33,Movimientos!$D$1:$D$724,$C33,Movimientos!$L$1:$L$724,A$5,Movimientos!$F$1:$F$724,"Ingreso")</f>
        <v>0</v>
      </c>
      <c r="U33" s="44">
        <f>SUMIFS(Movimientos!$J$1:$J$724,Movimientos!$C$1:$C$724,$B33,Movimientos!$D$1:$D$724,$C33,Movimientos!$L$1:$L$724,A$5,Movimientos!$F$1:$F$724,"Egreso")</f>
        <v>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SUMIFS(Movimientos!$J$1:$J$724,Movimientos!$C$1:$C$724,$B34,Movimientos!$D$1:$D$724,$C34,Movimientos!$L$1:$L$724,A$3,Movimientos!$F$1:$F$724,"Ingreso")</f>
        <v>59000</v>
      </c>
      <c r="K34" s="44">
        <f>SUMIFS(Movimientos!$J$1:$J$724,Movimientos!$C$1:$C$724,$B34,Movimientos!$D$1:$D$724,$C34,Movimientos!$L$1:$L$724,A$3,Movimientos!$F$1:$F$724,"Egreso")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SUMIFS(Movimientos!$J$1:$J$724,Movimientos!$C$1:$C$724,$B34,Movimientos!$D$1:$D$724,$C34,Movimientos!$L$1:$L$724,A$4,Movimientos!$F$1:$F$724,"Ingreso")</f>
        <v>40000</v>
      </c>
      <c r="P34" s="44">
        <f>SUMIFS(Movimientos!$J$1:$J$724,Movimientos!$C$1:$C$724,$B34,Movimientos!$D$1:$D$724,$C34,Movimientos!$L$1:$L$724,A$4,Movimientos!$F$1:$F$724,"Egreso")</f>
        <v>37839.189999999995</v>
      </c>
      <c r="Q34" s="7">
        <f t="shared" si="1"/>
        <v>2160.8100000000049</v>
      </c>
      <c r="R34" s="12">
        <f t="shared" si="7"/>
        <v>20740.239999999991</v>
      </c>
      <c r="S34" s="5">
        <f t="shared" si="8"/>
        <v>20740.239999999991</v>
      </c>
      <c r="T34" s="44">
        <f>SUMIFS(Movimientos!$J$1:$J$724,Movimientos!$C$1:$C$724,$B34,Movimientos!$D$1:$D$724,$C34,Movimientos!$L$1:$L$724,A$5,Movimientos!$F$1:$F$724,"Ingreso")</f>
        <v>0</v>
      </c>
      <c r="U34" s="44">
        <f>SUMIFS(Movimientos!$J$1:$J$724,Movimientos!$C$1:$C$724,$B34,Movimientos!$D$1:$D$724,$C34,Movimientos!$L$1:$L$724,A$5,Movimientos!$F$1:$F$724,"Egreso")</f>
        <v>0</v>
      </c>
      <c r="V34" s="7">
        <f t="shared" si="2"/>
        <v>0</v>
      </c>
      <c r="W34" s="12">
        <f t="shared" si="9"/>
        <v>20740.239999999991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SUMIFS(Movimientos!$J$1:$J$724,Movimientos!$C$1:$C$724,$B35,Movimientos!$D$1:$D$724,$C35,Movimientos!$L$1:$L$724,A$3,Movimientos!$F$1:$F$724,"Ingreso")</f>
        <v>0</v>
      </c>
      <c r="K35" s="44">
        <f>SUMIFS(Movimientos!$J$1:$J$724,Movimientos!$C$1:$C$724,$B35,Movimientos!$D$1:$D$724,$C35,Movimientos!$L$1:$L$724,A$3,Movimientos!$F$1:$F$724,"Egreso")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SUMIFS(Movimientos!$J$1:$J$724,Movimientos!$C$1:$C$724,$B35,Movimientos!$D$1:$D$724,$C35,Movimientos!$L$1:$L$724,A$4,Movimientos!$F$1:$F$724,"Ingreso")</f>
        <v>2000</v>
      </c>
      <c r="P35" s="44">
        <f>SUMIFS(Movimientos!$J$1:$J$724,Movimientos!$C$1:$C$724,$B35,Movimientos!$D$1:$D$724,$C35,Movimientos!$L$1:$L$724,A$4,Movimientos!$F$1:$F$724,"Egreso")</f>
        <v>2835.35</v>
      </c>
      <c r="Q35" s="7">
        <f t="shared" ref="Q35" si="15">+O35-P35</f>
        <v>-835.34999999999991</v>
      </c>
      <c r="R35" s="12">
        <f t="shared" ref="R35" si="16">N35+O35-P35</f>
        <v>4458</v>
      </c>
      <c r="S35" s="5">
        <f t="shared" si="8"/>
        <v>4458</v>
      </c>
      <c r="T35" s="44">
        <f>SUMIFS(Movimientos!$J$1:$J$724,Movimientos!$C$1:$C$724,$B35,Movimientos!$D$1:$D$724,$C35,Movimientos!$L$1:$L$724,A$5,Movimientos!$F$1:$F$724,"Ingreso")</f>
        <v>0</v>
      </c>
      <c r="U35" s="44">
        <f>SUMIFS(Movimientos!$J$1:$J$724,Movimientos!$C$1:$C$724,$B35,Movimientos!$D$1:$D$724,$C35,Movimientos!$L$1:$L$724,A$5,Movimientos!$F$1:$F$724,"Egreso")</f>
        <v>0</v>
      </c>
      <c r="V35" s="7">
        <f t="shared" si="2"/>
        <v>0</v>
      </c>
      <c r="W35" s="12">
        <f t="shared" si="9"/>
        <v>4458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75"/>
  <sheetViews>
    <sheetView showGridLines="0" zoomScale="80" zoomScaleNormal="80"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U1" sqref="U1:U1048576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1.664062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Group")+SUMIFS(Movimientos!$K$1:$K$724,Movimientos!$C$1:$C$724,"CFT Group",Movimientos!$B$1:$B$724,"&lt;="&amp;$B33)</f>
        <v>983394.14000000013</v>
      </c>
      <c r="D33" s="24">
        <f>SUMIFS('Saldos Iniciales'!$D:$D,'Saldos Iniciales'!$A:$A,"M1B")+SUMIFS(Movimientos!$K$1:$K$724,Movimientos!$C$1:$C$724,"M1B",Movimientos!$B$1:$B$724,"&lt;="&amp;$B33)</f>
        <v>69376.390000000174</v>
      </c>
      <c r="E33" s="24">
        <f>SUMIFS('Saldos Iniciales'!$D:$D,'Saldos Iniciales'!$A:$A,"Durand")+SUMIFS(Movimientos!$K$1:$K$724,Movimientos!$C$1:$C$724,"Durand",Movimientos!$B$1:$B$724,"&lt;="&amp;$B33)</f>
        <v>1669.89</v>
      </c>
      <c r="F33" s="24">
        <f>SUMIFS('Saldos Iniciales'!$D:$D,'Saldos Iniciales'!$A:$A,"A&amp;M Imports")+SUMIFS(Movimientos!$K$1:$K$724,Movimientos!$C$1:$C$724,"A&amp;M Imports",Movimientos!$B$1:$B$724,"&lt;="&amp;$B33)</f>
        <v>804853.11999999988</v>
      </c>
      <c r="G33" s="24">
        <f>SUMIFS('Saldos Iniciales'!$D:$D,'Saldos Iniciales'!$A:$A,"SSP Capital")+SUMIFS(Movimientos!$K$1:$K$724,Movimientos!$C$1:$C$724,"SSP Capital",Movimientos!$B$1:$B$724,"&lt;="&amp;$B33)</f>
        <v>1015901.6699999992</v>
      </c>
      <c r="H33" s="24">
        <f>SUMIFS('Saldos Iniciales'!$D:$D,'Saldos Iniciales'!$A:$A,"Cross Family Trust")+SUMIFS(Movimientos!$K$1:$K$724,Movimientos!$C$1:$C$724,"Cross Family Trust",Movimientos!$B$1:$B$724,"&lt;="&amp;$B33)</f>
        <v>131496.38</v>
      </c>
      <c r="I33" s="24">
        <f>SUMIFS('Saldos Iniciales'!$D:$D,'Saldos Iniciales'!$A:$A,"Cross Security Trust")+SUMIFS(Movimientos!$K$1:$K$724,Movimientos!$C$1:$C$724,"Cross Security Trust",Movimientos!$B$1:$B$724,"&lt;="&amp;$B33)</f>
        <v>88090.37</v>
      </c>
      <c r="J33" s="24">
        <f>SUMIFS('Saldos Iniciales'!$D:$D,'Saldos Iniciales'!$A:$A,"Electrama")+SUMIFS(Movimientos!$K$1:$K$724,Movimientos!$C$1:$C$724,"Electrama",Movimientos!$B$1:$B$724,"&lt;="&amp;$B33)</f>
        <v>511.15999999999985</v>
      </c>
      <c r="K33" s="24">
        <f>SUMIFS('Saldos Iniciales'!$D:$D,'Saldos Iniciales'!$A:$A,"Sacred Valley Capital")+SUMIFS(Movimientos!$K$1:$K$724,Movimientos!$C$1:$C$724,"Sacred Valley Capital",Movimientos!$B$1:$B$724,"&lt;="&amp;$B33)</f>
        <v>84.35</v>
      </c>
      <c r="L33" s="24">
        <f>SUMIFS('Saldos Iniciales'!$D:$D,'Saldos Iniciales'!$A:$A,"YWC Capital")+SUMIFS(Movimientos!$K$1:$K$724,Movimientos!$C$1:$C$724,"YWC Capital",Movimientos!$B$1:$B$724,"&lt;="&amp;$B33)</f>
        <v>2237.77</v>
      </c>
      <c r="M33" s="24">
        <f>SUMIFS('Saldos Iniciales'!$D:$D,'Saldos Iniciales'!$A:$A,"Soweto")+SUMIFS(Movimientos!$K$1:$K$724,Movimientos!$C$1:$C$724,"Soweto",Movimientos!$B$1:$B$724,"&lt;="&amp;$B33)</f>
        <v>3349.94</v>
      </c>
      <c r="N33" s="24">
        <f>SUMIFS('Saldos Iniciales'!$D:$D,'Saldos Iniciales'!$A:$A,"Green Stone Trust")+SUMIFS(Movimientos!$K$1:$K$724,Movimientos!$C$1:$C$724,"Green Stone Trust",Movimientos!$B$1:$B$724,"&lt;="&amp;$B33)</f>
        <v>1968.99</v>
      </c>
      <c r="O33" s="24">
        <f>SUMIFS('Saldos Iniciales'!$D:$D,'Saldos Iniciales'!$A:$A,"EC Auto")+SUMIFS(Movimientos!$K$1:$K$724,Movimientos!$C$1:$C$724,"EC Auto",Movimientos!$B$1:$B$724,"&lt;="&amp;$B33)</f>
        <v>901.34</v>
      </c>
      <c r="P33" s="24">
        <f>SUMIFS('Saldos Iniciales'!$D:$D,'Saldos Iniciales'!$A:$A,"Arbor Capital Properties")+SUMIFS(Movimientos!$K$1:$K$724,Movimientos!$C$1:$C$724,"Arbor Capital Properties",Movimientos!$B$1:$B$724,"&lt;="&amp;$B33)</f>
        <v>1428.08</v>
      </c>
      <c r="Q33" s="24">
        <f>SUMIFS('Saldos Iniciales'!$D:$D,'Saldos Iniciales'!$A:$A,"2515 Overbrook")+SUMIFS(Movimientos!$K$1:$K$724,Movimientos!$C$1:$C$724,"2515 Overbrook",Movimientos!$B$1:$B$724,"&lt;="&amp;$B33)</f>
        <v>26416.26999999996</v>
      </c>
      <c r="R33" s="24">
        <f>SUMIFS('Saldos Iniciales'!$D:$D,'Saldos Iniciales'!$A:$A,"112 Florida Ave")+SUMIFS(Movimientos!$K$1:$K$724,Movimientos!$C$1:$C$724,"112 Florida Ave",Movimientos!$B$1:$B$724,"&lt;="&amp;$B33)</f>
        <v>5321.4300000000021</v>
      </c>
      <c r="S33" s="24">
        <f>SUMIFS('Saldos Iniciales'!$D:$D,'Saldos Iniciales'!$A:$A,"3628 Thomas Ave")+SUMIFS(Movimientos!$K$1:$K$724,Movimientos!$C$1:$C$724,"3628 Thomas Ave",Movimientos!$B$1:$B$724,"&lt;="&amp;$B33)</f>
        <v>24833.23</v>
      </c>
      <c r="T33" s="24">
        <f>SUMIFS('Saldos Iniciales'!$D:$D,'Saldos Iniciales'!$A:$A,"Green Harbor Trust")+SUMIFS(Movimientos!$K$1:$K$724,Movimientos!$C$1:$C$724,"Green Harbor Trust",Movimientos!$B$1:$B$724,"&lt;="&amp;$B33)</f>
        <v>345</v>
      </c>
      <c r="U33" s="24">
        <f>SUMIFS('Saldos Iniciales'!$D:$D,'Saldos Iniciales'!$A:$A,"Go Blue")+SUMIFS(Movimientos!$K$1:$K$724,Movimientos!$C$1:$C$724,"Go Blue",Movimientos!$B$1:$B$724,"&lt;="&amp;$B33)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Group")+SUMIFS(Movimientos!$K$1:$K$724,Movimientos!$C$1:$C$724,"CFT Group",Movimientos!$B$1:$B$724,"&lt;="&amp;$B34)</f>
        <v>983394.14000000013</v>
      </c>
      <c r="D34" s="24">
        <f>SUMIFS('Saldos Iniciales'!$D:$D,'Saldos Iniciales'!$A:$A,"M1B")+SUMIFS(Movimientos!$K$1:$K$724,Movimientos!$C$1:$C$724,"M1B",Movimientos!$B$1:$B$724,"&lt;="&amp;$B34)</f>
        <v>69376.390000000174</v>
      </c>
      <c r="E34" s="24">
        <f>SUMIFS('Saldos Iniciales'!$D:$D,'Saldos Iniciales'!$A:$A,"Durand")+SUMIFS(Movimientos!$K$1:$K$724,Movimientos!$C$1:$C$724,"Durand",Movimientos!$B$1:$B$724,"&lt;="&amp;$B34)</f>
        <v>1669.89</v>
      </c>
      <c r="F34" s="24">
        <f>SUMIFS('Saldos Iniciales'!$D:$D,'Saldos Iniciales'!$A:$A,"A&amp;M Imports")+SUMIFS(Movimientos!$K$1:$K$724,Movimientos!$C$1:$C$724,"A&amp;M Imports",Movimientos!$B$1:$B$724,"&lt;="&amp;$B34)</f>
        <v>804853.11999999988</v>
      </c>
      <c r="G34" s="24">
        <f>SUMIFS('Saldos Iniciales'!$D:$D,'Saldos Iniciales'!$A:$A,"SSP Capital")+SUMIFS(Movimientos!$K$1:$K$724,Movimientos!$C$1:$C$724,"SSP Capital",Movimientos!$B$1:$B$724,"&lt;="&amp;$B34)</f>
        <v>1015901.6699999992</v>
      </c>
      <c r="H34" s="24">
        <f>SUMIFS('Saldos Iniciales'!$D:$D,'Saldos Iniciales'!$A:$A,"Cross Family Trust")+SUMIFS(Movimientos!$K$1:$K$724,Movimientos!$C$1:$C$724,"Cross Family Trust",Movimientos!$B$1:$B$724,"&lt;="&amp;$B34)</f>
        <v>131496.38</v>
      </c>
      <c r="I34" s="24">
        <f>SUMIFS('Saldos Iniciales'!$D:$D,'Saldos Iniciales'!$A:$A,"Cross Security Trust")+SUMIFS(Movimientos!$K$1:$K$724,Movimientos!$C$1:$C$724,"Cross Security Trust",Movimientos!$B$1:$B$724,"&lt;="&amp;$B34)</f>
        <v>88090.37</v>
      </c>
      <c r="J34" s="24">
        <f>SUMIFS('Saldos Iniciales'!$D:$D,'Saldos Iniciales'!$A:$A,"Electrama")+SUMIFS(Movimientos!$K$1:$K$724,Movimientos!$C$1:$C$724,"Electrama",Movimientos!$B$1:$B$724,"&lt;="&amp;$B34)</f>
        <v>511.15999999999985</v>
      </c>
      <c r="K34" s="24">
        <f>SUMIFS('Saldos Iniciales'!$D:$D,'Saldos Iniciales'!$A:$A,"Sacred Valley Capital")+SUMIFS(Movimientos!$K$1:$K$724,Movimientos!$C$1:$C$724,"Sacred Valley Capital",Movimientos!$B$1:$B$724,"&lt;="&amp;$B34)</f>
        <v>84.35</v>
      </c>
      <c r="L34" s="24">
        <f>SUMIFS('Saldos Iniciales'!$D:$D,'Saldos Iniciales'!$A:$A,"YWC Capital")+SUMIFS(Movimientos!$K$1:$K$724,Movimientos!$C$1:$C$724,"YWC Capital",Movimientos!$B$1:$B$724,"&lt;="&amp;$B34)</f>
        <v>2237.77</v>
      </c>
      <c r="M34" s="24">
        <f>SUMIFS('Saldos Iniciales'!$D:$D,'Saldos Iniciales'!$A:$A,"Soweto")+SUMIFS(Movimientos!$K$1:$K$724,Movimientos!$C$1:$C$724,"Soweto",Movimientos!$B$1:$B$724,"&lt;="&amp;$B34)</f>
        <v>3349.94</v>
      </c>
      <c r="N34" s="24">
        <f>SUMIFS('Saldos Iniciales'!$D:$D,'Saldos Iniciales'!$A:$A,"Green Stone Trust")+SUMIFS(Movimientos!$K$1:$K$724,Movimientos!$C$1:$C$724,"Green Stone Trust",Movimientos!$B$1:$B$724,"&lt;="&amp;$B34)</f>
        <v>1968.99</v>
      </c>
      <c r="O34" s="24">
        <f>SUMIFS('Saldos Iniciales'!$D:$D,'Saldos Iniciales'!$A:$A,"EC Auto")+SUMIFS(Movimientos!$K$1:$K$724,Movimientos!$C$1:$C$724,"EC Auto",Movimientos!$B$1:$B$724,"&lt;="&amp;$B34)</f>
        <v>901.34</v>
      </c>
      <c r="P34" s="24">
        <f>SUMIFS('Saldos Iniciales'!$D:$D,'Saldos Iniciales'!$A:$A,"Arbor Capital Properties")+SUMIFS(Movimientos!$K$1:$K$724,Movimientos!$C$1:$C$724,"Arbor Capital Properties",Movimientos!$B$1:$B$724,"&lt;="&amp;$B34)</f>
        <v>1428.08</v>
      </c>
      <c r="Q34" s="24">
        <f>SUMIFS('Saldos Iniciales'!$D:$D,'Saldos Iniciales'!$A:$A,"2515 Overbrook")+SUMIFS(Movimientos!$K$1:$K$724,Movimientos!$C$1:$C$724,"2515 Overbrook",Movimientos!$B$1:$B$724,"&lt;="&amp;$B34)</f>
        <v>25789.969999999961</v>
      </c>
      <c r="R34" s="24">
        <f>SUMIFS('Saldos Iniciales'!$D:$D,'Saldos Iniciales'!$A:$A,"112 Florida Ave")+SUMIFS(Movimientos!$K$1:$K$724,Movimientos!$C$1:$C$724,"112 Florida Ave",Movimientos!$B$1:$B$724,"&lt;="&amp;$B34)</f>
        <v>5321.4300000000021</v>
      </c>
      <c r="S34" s="24">
        <f>SUMIFS('Saldos Iniciales'!$D:$D,'Saldos Iniciales'!$A:$A,"3628 Thomas Ave")+SUMIFS(Movimientos!$K$1:$K$724,Movimientos!$C$1:$C$724,"3628 Thomas Ave",Movimientos!$B$1:$B$724,"&lt;="&amp;$B34)</f>
        <v>24833.23</v>
      </c>
      <c r="T34" s="24">
        <f>SUMIFS('Saldos Iniciales'!$D:$D,'Saldos Iniciales'!$A:$A,"Green Harbor Trust")+SUMIFS(Movimientos!$K$1:$K$724,Movimientos!$C$1:$C$724,"Green Harbor Trust",Movimientos!$B$1:$B$724,"&lt;="&amp;$B34)</f>
        <v>345</v>
      </c>
      <c r="U34" s="24">
        <f>SUMIFS('Saldos Iniciales'!$D:$D,'Saldos Iniciales'!$A:$A,"Go Blue")+SUMIFS(Movimientos!$K$1:$K$724,Movimientos!$C$1:$C$724,"Go Blue",Movimientos!$B$1:$B$724,"&lt;="&amp;$B34)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Group")+SUMIFS(Movimientos!$K$1:$K$724,Movimientos!$C$1:$C$724,"CFT Group",Movimientos!$B$1:$B$724,"&lt;="&amp;$B35)</f>
        <v>983394.14000000013</v>
      </c>
      <c r="D35" s="24">
        <f>SUMIFS('Saldos Iniciales'!$D:$D,'Saldos Iniciales'!$A:$A,"M1B")+SUMIFS(Movimientos!$K$1:$K$724,Movimientos!$C$1:$C$724,"M1B",Movimientos!$B$1:$B$724,"&lt;="&amp;$B35)</f>
        <v>69376.390000000174</v>
      </c>
      <c r="E35" s="24">
        <f>SUMIFS('Saldos Iniciales'!$D:$D,'Saldos Iniciales'!$A:$A,"Durand")+SUMIFS(Movimientos!$K$1:$K$724,Movimientos!$C$1:$C$724,"Durand",Movimientos!$B$1:$B$724,"&lt;="&amp;$B35)</f>
        <v>1669.89</v>
      </c>
      <c r="F35" s="24">
        <f>SUMIFS('Saldos Iniciales'!$D:$D,'Saldos Iniciales'!$A:$A,"A&amp;M Imports")+SUMIFS(Movimientos!$K$1:$K$724,Movimientos!$C$1:$C$724,"A&amp;M Imports",Movimientos!$B$1:$B$724,"&lt;="&amp;$B35)</f>
        <v>804853.11999999988</v>
      </c>
      <c r="G35" s="24">
        <f>SUMIFS('Saldos Iniciales'!$D:$D,'Saldos Iniciales'!$A:$A,"SSP Capital")+SUMIFS(Movimientos!$K$1:$K$724,Movimientos!$C$1:$C$724,"SSP Capital",Movimientos!$B$1:$B$724,"&lt;="&amp;$B35)</f>
        <v>1015611.6599999993</v>
      </c>
      <c r="H35" s="24">
        <f>SUMIFS('Saldos Iniciales'!$D:$D,'Saldos Iniciales'!$A:$A,"Cross Family Trust")+SUMIFS(Movimientos!$K$1:$K$724,Movimientos!$C$1:$C$724,"Cross Family Trust",Movimientos!$B$1:$B$724,"&lt;="&amp;$B35)</f>
        <v>125496.38</v>
      </c>
      <c r="I35" s="24">
        <f>SUMIFS('Saldos Iniciales'!$D:$D,'Saldos Iniciales'!$A:$A,"Cross Security Trust")+SUMIFS(Movimientos!$K$1:$K$724,Movimientos!$C$1:$C$724,"Cross Security Trust",Movimientos!$B$1:$B$724,"&lt;="&amp;$B35)</f>
        <v>88090.37</v>
      </c>
      <c r="J35" s="24">
        <f>SUMIFS('Saldos Iniciales'!$D:$D,'Saldos Iniciales'!$A:$A,"Electrama")+SUMIFS(Movimientos!$K$1:$K$724,Movimientos!$C$1:$C$724,"Electrama",Movimientos!$B$1:$B$724,"&lt;="&amp;$B35)</f>
        <v>511.15999999999985</v>
      </c>
      <c r="K35" s="24">
        <f>SUMIFS('Saldos Iniciales'!$D:$D,'Saldos Iniciales'!$A:$A,"Sacred Valley Capital")+SUMIFS(Movimientos!$K$1:$K$724,Movimientos!$C$1:$C$724,"Sacred Valley Capital",Movimientos!$B$1:$B$724,"&lt;="&amp;$B35)</f>
        <v>84.35</v>
      </c>
      <c r="L35" s="24">
        <f>SUMIFS('Saldos Iniciales'!$D:$D,'Saldos Iniciales'!$A:$A,"YWC Capital")+SUMIFS(Movimientos!$K$1:$K$724,Movimientos!$C$1:$C$724,"YWC Capital",Movimientos!$B$1:$B$724,"&lt;="&amp;$B35)</f>
        <v>2237.77</v>
      </c>
      <c r="M35" s="24">
        <f>SUMIFS('Saldos Iniciales'!$D:$D,'Saldos Iniciales'!$A:$A,"Soweto")+SUMIFS(Movimientos!$K$1:$K$724,Movimientos!$C$1:$C$724,"Soweto",Movimientos!$B$1:$B$724,"&lt;="&amp;$B35)</f>
        <v>3349.94</v>
      </c>
      <c r="N35" s="24">
        <f>SUMIFS('Saldos Iniciales'!$D:$D,'Saldos Iniciales'!$A:$A,"Green Stone Trust")+SUMIFS(Movimientos!$K$1:$K$724,Movimientos!$C$1:$C$724,"Green Stone Trust",Movimientos!$B$1:$B$724,"&lt;="&amp;$B35)</f>
        <v>1968.99</v>
      </c>
      <c r="O35" s="24">
        <f>SUMIFS('Saldos Iniciales'!$D:$D,'Saldos Iniciales'!$A:$A,"EC Auto")+SUMIFS(Movimientos!$K$1:$K$724,Movimientos!$C$1:$C$724,"EC Auto",Movimientos!$B$1:$B$724,"&lt;="&amp;$B35)</f>
        <v>901.34</v>
      </c>
      <c r="P35" s="24">
        <f>SUMIFS('Saldos Iniciales'!$D:$D,'Saldos Iniciales'!$A:$A,"Arbor Capital Properties")+SUMIFS(Movimientos!$K$1:$K$724,Movimientos!$C$1:$C$724,"Arbor Capital Properties",Movimientos!$B$1:$B$724,"&lt;="&amp;$B35)</f>
        <v>1428.08</v>
      </c>
      <c r="Q35" s="24">
        <f>SUMIFS('Saldos Iniciales'!$D:$D,'Saldos Iniciales'!$A:$A,"2515 Overbrook")+SUMIFS(Movimientos!$K$1:$K$724,Movimientos!$C$1:$C$724,"2515 Overbrook",Movimientos!$B$1:$B$724,"&lt;="&amp;$B35)</f>
        <v>25789.969999999961</v>
      </c>
      <c r="R35" s="24">
        <f>SUMIFS('Saldos Iniciales'!$D:$D,'Saldos Iniciales'!$A:$A,"112 Florida Ave")+SUMIFS(Movimientos!$K$1:$K$724,Movimientos!$C$1:$C$724,"112 Florida Ave",Movimientos!$B$1:$B$724,"&lt;="&amp;$B35)</f>
        <v>5321.4300000000021</v>
      </c>
      <c r="S35" s="24">
        <f>SUMIFS('Saldos Iniciales'!$D:$D,'Saldos Iniciales'!$A:$A,"3628 Thomas Ave")+SUMIFS(Movimientos!$K$1:$K$724,Movimientos!$C$1:$C$724,"3628 Thomas Ave",Movimientos!$B$1:$B$724,"&lt;="&amp;$B35)</f>
        <v>24833.23</v>
      </c>
      <c r="T35" s="24">
        <f>SUMIFS('Saldos Iniciales'!$D:$D,'Saldos Iniciales'!$A:$A,"Green Harbor Trust")+SUMIFS(Movimientos!$K$1:$K$724,Movimientos!$C$1:$C$724,"Green Harbor Trust",Movimientos!$B$1:$B$724,"&lt;="&amp;$B35)</f>
        <v>345</v>
      </c>
      <c r="U35" s="24">
        <f>SUMIFS('Saldos Iniciales'!$D:$D,'Saldos Iniciales'!$A:$A,"Go Blue")+SUMIFS(Movimientos!$K$1:$K$724,Movimientos!$C$1:$C$724,"Go Blue",Movimientos!$B$1:$B$724,"&lt;="&amp;$B35)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Group")+SUMIFS(Movimientos!$K$1:$K$724,Movimientos!$C$1:$C$724,"CFT Group",Movimientos!$B$1:$B$724,"&lt;="&amp;$B36)</f>
        <v>733394.14000000013</v>
      </c>
      <c r="D36" s="24">
        <f>SUMIFS('Saldos Iniciales'!$D:$D,'Saldos Iniciales'!$A:$A,"M1B")+SUMIFS(Movimientos!$K$1:$K$724,Movimientos!$C$1:$C$724,"M1B",Movimientos!$B$1:$B$724,"&lt;="&amp;$B36)</f>
        <v>69376.390000000174</v>
      </c>
      <c r="E36" s="24">
        <f>SUMIFS('Saldos Iniciales'!$D:$D,'Saldos Iniciales'!$A:$A,"Durand")+SUMIFS(Movimientos!$K$1:$K$724,Movimientos!$C$1:$C$724,"Durand",Movimientos!$B$1:$B$724,"&lt;="&amp;$B36)</f>
        <v>1669.89</v>
      </c>
      <c r="F36" s="24">
        <f>SUMIFS('Saldos Iniciales'!$D:$D,'Saldos Iniciales'!$A:$A,"A&amp;M Imports")+SUMIFS(Movimientos!$K$1:$K$724,Movimientos!$C$1:$C$724,"A&amp;M Imports",Movimientos!$B$1:$B$724,"&lt;="&amp;$B36)</f>
        <v>729545.23999999987</v>
      </c>
      <c r="G36" s="24">
        <f>SUMIFS('Saldos Iniciales'!$D:$D,'Saldos Iniciales'!$A:$A,"SSP Capital")+SUMIFS(Movimientos!$K$1:$K$724,Movimientos!$C$1:$C$724,"SSP Capital",Movimientos!$B$1:$B$724,"&lt;="&amp;$B36)</f>
        <v>1171714.4499999993</v>
      </c>
      <c r="H36" s="24">
        <f>SUMIFS('Saldos Iniciales'!$D:$D,'Saldos Iniciales'!$A:$A,"Cross Family Trust")+SUMIFS(Movimientos!$K$1:$K$724,Movimientos!$C$1:$C$724,"Cross Family Trust",Movimientos!$B$1:$B$724,"&lt;="&amp;$B36)</f>
        <v>116496.38</v>
      </c>
      <c r="I36" s="24">
        <f>SUMIFS('Saldos Iniciales'!$D:$D,'Saldos Iniciales'!$A:$A,"Cross Security Trust")+SUMIFS(Movimientos!$K$1:$K$724,Movimientos!$C$1:$C$724,"Cross Security Trust",Movimientos!$B$1:$B$724,"&lt;="&amp;$B36)</f>
        <v>88090.37</v>
      </c>
      <c r="J36" s="24">
        <f>SUMIFS('Saldos Iniciales'!$D:$D,'Saldos Iniciales'!$A:$A,"Electrama")+SUMIFS(Movimientos!$K$1:$K$724,Movimientos!$C$1:$C$724,"Electrama",Movimientos!$B$1:$B$724,"&lt;="&amp;$B36)</f>
        <v>511.15999999999985</v>
      </c>
      <c r="K36" s="24">
        <f>SUMIFS('Saldos Iniciales'!$D:$D,'Saldos Iniciales'!$A:$A,"Sacred Valley Capital")+SUMIFS(Movimientos!$K$1:$K$724,Movimientos!$C$1:$C$724,"Sacred Valley Capital",Movimientos!$B$1:$B$724,"&lt;="&amp;$B36)</f>
        <v>84.35</v>
      </c>
      <c r="L36" s="24">
        <f>SUMIFS('Saldos Iniciales'!$D:$D,'Saldos Iniciales'!$A:$A,"YWC Capital")+SUMIFS(Movimientos!$K$1:$K$724,Movimientos!$C$1:$C$724,"YWC Capital",Movimientos!$B$1:$B$724,"&lt;="&amp;$B36)</f>
        <v>2237.77</v>
      </c>
      <c r="M36" s="24">
        <f>SUMIFS('Saldos Iniciales'!$D:$D,'Saldos Iniciales'!$A:$A,"Soweto")+SUMIFS(Movimientos!$K$1:$K$724,Movimientos!$C$1:$C$724,"Soweto",Movimientos!$B$1:$B$724,"&lt;="&amp;$B36)</f>
        <v>3349.94</v>
      </c>
      <c r="N36" s="24">
        <f>SUMIFS('Saldos Iniciales'!$D:$D,'Saldos Iniciales'!$A:$A,"Green Stone Trust")+SUMIFS(Movimientos!$K$1:$K$724,Movimientos!$C$1:$C$724,"Green Stone Trust",Movimientos!$B$1:$B$724,"&lt;="&amp;$B36)</f>
        <v>1968.99</v>
      </c>
      <c r="O36" s="24">
        <f>SUMIFS('Saldos Iniciales'!$D:$D,'Saldos Iniciales'!$A:$A,"EC Auto")+SUMIFS(Movimientos!$K$1:$K$724,Movimientos!$C$1:$C$724,"EC Auto",Movimientos!$B$1:$B$724,"&lt;="&amp;$B36)</f>
        <v>382.69000000000005</v>
      </c>
      <c r="P36" s="24">
        <f>SUMIFS('Saldos Iniciales'!$D:$D,'Saldos Iniciales'!$A:$A,"Arbor Capital Properties")+SUMIFS(Movimientos!$K$1:$K$724,Movimientos!$C$1:$C$724,"Arbor Capital Properties",Movimientos!$B$1:$B$724,"&lt;="&amp;$B36)</f>
        <v>1428.08</v>
      </c>
      <c r="Q36" s="24">
        <f>SUMIFS('Saldos Iniciales'!$D:$D,'Saldos Iniciales'!$A:$A,"2515 Overbrook")+SUMIFS(Movimientos!$K$1:$K$724,Movimientos!$C$1:$C$724,"2515 Overbrook",Movimientos!$B$1:$B$724,"&lt;="&amp;$B36)</f>
        <v>25789.969999999961</v>
      </c>
      <c r="R36" s="24">
        <f>SUMIFS('Saldos Iniciales'!$D:$D,'Saldos Iniciales'!$A:$A,"112 Florida Ave")+SUMIFS(Movimientos!$K$1:$K$724,Movimientos!$C$1:$C$724,"112 Florida Ave",Movimientos!$B$1:$B$724,"&lt;="&amp;$B36)</f>
        <v>5321.4300000000021</v>
      </c>
      <c r="S36" s="24">
        <f>SUMIFS('Saldos Iniciales'!$D:$D,'Saldos Iniciales'!$A:$A,"3628 Thomas Ave")+SUMIFS(Movimientos!$K$1:$K$724,Movimientos!$C$1:$C$724,"3628 Thomas Ave",Movimientos!$B$1:$B$724,"&lt;="&amp;$B36)</f>
        <v>24833.23</v>
      </c>
      <c r="T36" s="24">
        <f>SUMIFS('Saldos Iniciales'!$D:$D,'Saldos Iniciales'!$A:$A,"Green Harbor Trust")+SUMIFS(Movimientos!$K$1:$K$724,Movimientos!$C$1:$C$724,"Green Harbor Trust",Movimientos!$B$1:$B$724,"&lt;="&amp;$B36)</f>
        <v>345</v>
      </c>
      <c r="U36" s="24">
        <f>SUMIFS('Saldos Iniciales'!$D:$D,'Saldos Iniciales'!$A:$A,"Go Blue")+SUMIFS(Movimientos!$K$1:$K$724,Movimientos!$C$1:$C$724,"Go Blue",Movimientos!$B$1:$B$724,"&lt;="&amp;$B36)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Group")+SUMIFS(Movimientos!$K$1:$K$724,Movimientos!$C$1:$C$724,"CFT Group",Movimientos!$B$1:$B$724,"&lt;="&amp;$B37)</f>
        <v>733394.14000000013</v>
      </c>
      <c r="D37" s="24">
        <f>SUMIFS('Saldos Iniciales'!$D:$D,'Saldos Iniciales'!$A:$A,"M1B")+SUMIFS(Movimientos!$K$1:$K$724,Movimientos!$C$1:$C$724,"M1B",Movimientos!$B$1:$B$724,"&lt;="&amp;$B37)</f>
        <v>69376.390000000174</v>
      </c>
      <c r="E37" s="24">
        <f>SUMIFS('Saldos Iniciales'!$D:$D,'Saldos Iniciales'!$A:$A,"Durand")+SUMIFS(Movimientos!$K$1:$K$724,Movimientos!$C$1:$C$724,"Durand",Movimientos!$B$1:$B$724,"&lt;="&amp;$B37)</f>
        <v>1669.89</v>
      </c>
      <c r="F37" s="24">
        <f>SUMIFS('Saldos Iniciales'!$D:$D,'Saldos Iniciales'!$A:$A,"A&amp;M Imports")+SUMIFS(Movimientos!$K$1:$K$724,Movimientos!$C$1:$C$724,"A&amp;M Imports",Movimientos!$B$1:$B$724,"&lt;="&amp;$B37)</f>
        <v>729545.23999999987</v>
      </c>
      <c r="G37" s="24">
        <f>SUMIFS('Saldos Iniciales'!$D:$D,'Saldos Iniciales'!$A:$A,"SSP Capital")+SUMIFS(Movimientos!$K$1:$K$724,Movimientos!$C$1:$C$724,"SSP Capital",Movimientos!$B$1:$B$724,"&lt;="&amp;$B37)</f>
        <v>1164028.3199999994</v>
      </c>
      <c r="H37" s="24">
        <f>SUMIFS('Saldos Iniciales'!$D:$D,'Saldos Iniciales'!$A:$A,"Cross Family Trust")+SUMIFS(Movimientos!$K$1:$K$724,Movimientos!$C$1:$C$724,"Cross Family Trust",Movimientos!$B$1:$B$724,"&lt;="&amp;$B37)</f>
        <v>116496.38</v>
      </c>
      <c r="I37" s="24">
        <f>SUMIFS('Saldos Iniciales'!$D:$D,'Saldos Iniciales'!$A:$A,"Cross Security Trust")+SUMIFS(Movimientos!$K$1:$K$724,Movimientos!$C$1:$C$724,"Cross Security Trust",Movimientos!$B$1:$B$724,"&lt;="&amp;$B37)</f>
        <v>88090.37</v>
      </c>
      <c r="J37" s="24">
        <f>SUMIFS('Saldos Iniciales'!$D:$D,'Saldos Iniciales'!$A:$A,"Electrama")+SUMIFS(Movimientos!$K$1:$K$724,Movimientos!$C$1:$C$724,"Electrama",Movimientos!$B$1:$B$724,"&lt;="&amp;$B37)</f>
        <v>511.15999999999985</v>
      </c>
      <c r="K37" s="24">
        <f>SUMIFS('Saldos Iniciales'!$D:$D,'Saldos Iniciales'!$A:$A,"Sacred Valley Capital")+SUMIFS(Movimientos!$K$1:$K$724,Movimientos!$C$1:$C$724,"Sacred Valley Capital",Movimientos!$B$1:$B$724,"&lt;="&amp;$B37)</f>
        <v>84.35</v>
      </c>
      <c r="L37" s="24">
        <f>SUMIFS('Saldos Iniciales'!$D:$D,'Saldos Iniciales'!$A:$A,"YWC Capital")+SUMIFS(Movimientos!$K$1:$K$724,Movimientos!$C$1:$C$724,"YWC Capital",Movimientos!$B$1:$B$724,"&lt;="&amp;$B37)</f>
        <v>2237.77</v>
      </c>
      <c r="M37" s="24">
        <f>SUMIFS('Saldos Iniciales'!$D:$D,'Saldos Iniciales'!$A:$A,"Soweto")+SUMIFS(Movimientos!$K$1:$K$724,Movimientos!$C$1:$C$724,"Soweto",Movimientos!$B$1:$B$724,"&lt;="&amp;$B37)</f>
        <v>3349.94</v>
      </c>
      <c r="N37" s="24">
        <f>SUMIFS('Saldos Iniciales'!$D:$D,'Saldos Iniciales'!$A:$A,"Green Stone Trust")+SUMIFS(Movimientos!$K$1:$K$724,Movimientos!$C$1:$C$724,"Green Stone Trust",Movimientos!$B$1:$B$724,"&lt;="&amp;$B37)</f>
        <v>1968.99</v>
      </c>
      <c r="O37" s="24">
        <f>SUMIFS('Saldos Iniciales'!$D:$D,'Saldos Iniciales'!$A:$A,"EC Auto")+SUMIFS(Movimientos!$K$1:$K$724,Movimientos!$C$1:$C$724,"EC Auto",Movimientos!$B$1:$B$724,"&lt;="&amp;$B37)</f>
        <v>382.69000000000005</v>
      </c>
      <c r="P37" s="24">
        <f>SUMIFS('Saldos Iniciales'!$D:$D,'Saldos Iniciales'!$A:$A,"Arbor Capital Properties")+SUMIFS(Movimientos!$K$1:$K$724,Movimientos!$C$1:$C$724,"Arbor Capital Properties",Movimientos!$B$1:$B$724,"&lt;="&amp;$B37)</f>
        <v>1428.08</v>
      </c>
      <c r="Q37" s="24">
        <f>SUMIFS('Saldos Iniciales'!$D:$D,'Saldos Iniciales'!$A:$A,"2515 Overbrook")+SUMIFS(Movimientos!$K$1:$K$724,Movimientos!$C$1:$C$724,"2515 Overbrook",Movimientos!$B$1:$B$724,"&lt;="&amp;$B37)</f>
        <v>25789.969999999961</v>
      </c>
      <c r="R37" s="24">
        <f>SUMIFS('Saldos Iniciales'!$D:$D,'Saldos Iniciales'!$A:$A,"112 Florida Ave")+SUMIFS(Movimientos!$K$1:$K$724,Movimientos!$C$1:$C$724,"112 Florida Ave",Movimientos!$B$1:$B$724,"&lt;="&amp;$B37)</f>
        <v>5321.4300000000021</v>
      </c>
      <c r="S37" s="24">
        <f>SUMIFS('Saldos Iniciales'!$D:$D,'Saldos Iniciales'!$A:$A,"3628 Thomas Ave")+SUMIFS(Movimientos!$K$1:$K$724,Movimientos!$C$1:$C$724,"3628 Thomas Ave",Movimientos!$B$1:$B$724,"&lt;="&amp;$B37)</f>
        <v>24833.23</v>
      </c>
      <c r="T37" s="24">
        <f>SUMIFS('Saldos Iniciales'!$D:$D,'Saldos Iniciales'!$A:$A,"Green Harbor Trust")+SUMIFS(Movimientos!$K$1:$K$724,Movimientos!$C$1:$C$724,"Green Harbor Trust",Movimientos!$B$1:$B$724,"&lt;="&amp;$B37)</f>
        <v>345</v>
      </c>
      <c r="U37" s="24">
        <f>SUMIFS('Saldos Iniciales'!$D:$D,'Saldos Iniciales'!$A:$A,"Go Blue")+SUMIFS(Movimientos!$K$1:$K$724,Movimientos!$C$1:$C$724,"Go Blue",Movimientos!$B$1:$B$724,"&lt;="&amp;$B37)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Group")+SUMIFS(Movimientos!$K$1:$K$724,Movimientos!$C$1:$C$724,"CFT Group",Movimientos!$B$1:$B$724,"&lt;="&amp;$B38)</f>
        <v>733394.14000000013</v>
      </c>
      <c r="D38" s="24">
        <f>SUMIFS('Saldos Iniciales'!$D:$D,'Saldos Iniciales'!$A:$A,"M1B")+SUMIFS(Movimientos!$K$1:$K$724,Movimientos!$C$1:$C$724,"M1B",Movimientos!$B$1:$B$724,"&lt;="&amp;$B38)</f>
        <v>69376.390000000174</v>
      </c>
      <c r="E38" s="24">
        <f>SUMIFS('Saldos Iniciales'!$D:$D,'Saldos Iniciales'!$A:$A,"Durand")+SUMIFS(Movimientos!$K$1:$K$724,Movimientos!$C$1:$C$724,"Durand",Movimientos!$B$1:$B$724,"&lt;="&amp;$B38)</f>
        <v>1669.89</v>
      </c>
      <c r="F38" s="24">
        <f>SUMIFS('Saldos Iniciales'!$D:$D,'Saldos Iniciales'!$A:$A,"A&amp;M Imports")+SUMIFS(Movimientos!$K$1:$K$724,Movimientos!$C$1:$C$724,"A&amp;M Imports",Movimientos!$B$1:$B$724,"&lt;="&amp;$B38)</f>
        <v>729545.23999999987</v>
      </c>
      <c r="G38" s="24">
        <f>SUMIFS('Saldos Iniciales'!$D:$D,'Saldos Iniciales'!$A:$A,"SSP Capital")+SUMIFS(Movimientos!$K$1:$K$724,Movimientos!$C$1:$C$724,"SSP Capital",Movimientos!$B$1:$B$724,"&lt;="&amp;$B38)</f>
        <v>1164028.3199999994</v>
      </c>
      <c r="H38" s="24">
        <f>SUMIFS('Saldos Iniciales'!$D:$D,'Saldos Iniciales'!$A:$A,"Cross Family Trust")+SUMIFS(Movimientos!$K$1:$K$724,Movimientos!$C$1:$C$724,"Cross Family Trust",Movimientos!$B$1:$B$724,"&lt;="&amp;$B38)</f>
        <v>116496.38</v>
      </c>
      <c r="I38" s="24">
        <f>SUMIFS('Saldos Iniciales'!$D:$D,'Saldos Iniciales'!$A:$A,"Cross Security Trust")+SUMIFS(Movimientos!$K$1:$K$724,Movimientos!$C$1:$C$724,"Cross Security Trust",Movimientos!$B$1:$B$724,"&lt;="&amp;$B38)</f>
        <v>88090.37</v>
      </c>
      <c r="J38" s="24">
        <f>SUMIFS('Saldos Iniciales'!$D:$D,'Saldos Iniciales'!$A:$A,"Electrama")+SUMIFS(Movimientos!$K$1:$K$724,Movimientos!$C$1:$C$724,"Electrama",Movimientos!$B$1:$B$724,"&lt;="&amp;$B38)</f>
        <v>511.15999999999985</v>
      </c>
      <c r="K38" s="24">
        <f>SUMIFS('Saldos Iniciales'!$D:$D,'Saldos Iniciales'!$A:$A,"Sacred Valley Capital")+SUMIFS(Movimientos!$K$1:$K$724,Movimientos!$C$1:$C$724,"Sacred Valley Capital",Movimientos!$B$1:$B$724,"&lt;="&amp;$B38)</f>
        <v>84.35</v>
      </c>
      <c r="L38" s="24">
        <f>SUMIFS('Saldos Iniciales'!$D:$D,'Saldos Iniciales'!$A:$A,"YWC Capital")+SUMIFS(Movimientos!$K$1:$K$724,Movimientos!$C$1:$C$724,"YWC Capital",Movimientos!$B$1:$B$724,"&lt;="&amp;$B38)</f>
        <v>2237.77</v>
      </c>
      <c r="M38" s="24">
        <f>SUMIFS('Saldos Iniciales'!$D:$D,'Saldos Iniciales'!$A:$A,"Soweto")+SUMIFS(Movimientos!$K$1:$K$724,Movimientos!$C$1:$C$724,"Soweto",Movimientos!$B$1:$B$724,"&lt;="&amp;$B38)</f>
        <v>3349.94</v>
      </c>
      <c r="N38" s="24">
        <f>SUMIFS('Saldos Iniciales'!$D:$D,'Saldos Iniciales'!$A:$A,"Green Stone Trust")+SUMIFS(Movimientos!$K$1:$K$724,Movimientos!$C$1:$C$724,"Green Stone Trust",Movimientos!$B$1:$B$724,"&lt;="&amp;$B38)</f>
        <v>1968.99</v>
      </c>
      <c r="O38" s="24">
        <f>SUMIFS('Saldos Iniciales'!$D:$D,'Saldos Iniciales'!$A:$A,"EC Auto")+SUMIFS(Movimientos!$K$1:$K$724,Movimientos!$C$1:$C$724,"EC Auto",Movimientos!$B$1:$B$724,"&lt;="&amp;$B38)</f>
        <v>382.69000000000005</v>
      </c>
      <c r="P38" s="24">
        <f>SUMIFS('Saldos Iniciales'!$D:$D,'Saldos Iniciales'!$A:$A,"Arbor Capital Properties")+SUMIFS(Movimientos!$K$1:$K$724,Movimientos!$C$1:$C$724,"Arbor Capital Properties",Movimientos!$B$1:$B$724,"&lt;="&amp;$B38)</f>
        <v>1428.08</v>
      </c>
      <c r="Q38" s="24">
        <f>SUMIFS('Saldos Iniciales'!$D:$D,'Saldos Iniciales'!$A:$A,"2515 Overbrook")+SUMIFS(Movimientos!$K$1:$K$724,Movimientos!$C$1:$C$724,"2515 Overbrook",Movimientos!$B$1:$B$724,"&lt;="&amp;$B38)</f>
        <v>25789.969999999961</v>
      </c>
      <c r="R38" s="24">
        <f>SUMIFS('Saldos Iniciales'!$D:$D,'Saldos Iniciales'!$A:$A,"112 Florida Ave")+SUMIFS(Movimientos!$K$1:$K$724,Movimientos!$C$1:$C$724,"112 Florida Ave",Movimientos!$B$1:$B$724,"&lt;="&amp;$B38)</f>
        <v>5321.4300000000021</v>
      </c>
      <c r="S38" s="24">
        <f>SUMIFS('Saldos Iniciales'!$D:$D,'Saldos Iniciales'!$A:$A,"3628 Thomas Ave")+SUMIFS(Movimientos!$K$1:$K$724,Movimientos!$C$1:$C$724,"3628 Thomas Ave",Movimientos!$B$1:$B$724,"&lt;="&amp;$B38)</f>
        <v>24833.23</v>
      </c>
      <c r="T38" s="24">
        <f>SUMIFS('Saldos Iniciales'!$D:$D,'Saldos Iniciales'!$A:$A,"Green Harbor Trust")+SUMIFS(Movimientos!$K$1:$K$724,Movimientos!$C$1:$C$724,"Green Harbor Trust",Movimientos!$B$1:$B$724,"&lt;="&amp;$B38)</f>
        <v>345</v>
      </c>
      <c r="U38" s="24">
        <f>SUMIFS('Saldos Iniciales'!$D:$D,'Saldos Iniciales'!$A:$A,"Go Blue")+SUMIFS(Movimientos!$K$1:$K$724,Movimientos!$C$1:$C$724,"Go Blue",Movimientos!$B$1:$B$724,"&lt;="&amp;$B38)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Group")+SUMIFS(Movimientos!$K$1:$K$724,Movimientos!$C$1:$C$724,"CFT Group",Movimientos!$B$1:$B$724,"&lt;="&amp;$B39)</f>
        <v>733394.14000000013</v>
      </c>
      <c r="D39" s="24">
        <f>SUMIFS('Saldos Iniciales'!$D:$D,'Saldos Iniciales'!$A:$A,"M1B")+SUMIFS(Movimientos!$K$1:$K$724,Movimientos!$C$1:$C$724,"M1B",Movimientos!$B$1:$B$724,"&lt;="&amp;$B39)</f>
        <v>69376.390000000174</v>
      </c>
      <c r="E39" s="24">
        <f>SUMIFS('Saldos Iniciales'!$D:$D,'Saldos Iniciales'!$A:$A,"Durand")+SUMIFS(Movimientos!$K$1:$K$724,Movimientos!$C$1:$C$724,"Durand",Movimientos!$B$1:$B$724,"&lt;="&amp;$B39)</f>
        <v>1669.89</v>
      </c>
      <c r="F39" s="24">
        <f>SUMIFS('Saldos Iniciales'!$D:$D,'Saldos Iniciales'!$A:$A,"A&amp;M Imports")+SUMIFS(Movimientos!$K$1:$K$724,Movimientos!$C$1:$C$724,"A&amp;M Imports",Movimientos!$B$1:$B$724,"&lt;="&amp;$B39)</f>
        <v>729545.23999999987</v>
      </c>
      <c r="G39" s="24">
        <f>SUMIFS('Saldos Iniciales'!$D:$D,'Saldos Iniciales'!$A:$A,"SSP Capital")+SUMIFS(Movimientos!$K$1:$K$724,Movimientos!$C$1:$C$724,"SSP Capital",Movimientos!$B$1:$B$724,"&lt;="&amp;$B39)</f>
        <v>1164028.3199999994</v>
      </c>
      <c r="H39" s="24">
        <f>SUMIFS('Saldos Iniciales'!$D:$D,'Saldos Iniciales'!$A:$A,"Cross Family Trust")+SUMIFS(Movimientos!$K$1:$K$724,Movimientos!$C$1:$C$724,"Cross Family Trust",Movimientos!$B$1:$B$724,"&lt;="&amp;$B39)</f>
        <v>116496.38</v>
      </c>
      <c r="I39" s="24">
        <f>SUMIFS('Saldos Iniciales'!$D:$D,'Saldos Iniciales'!$A:$A,"Cross Security Trust")+SUMIFS(Movimientos!$K$1:$K$724,Movimientos!$C$1:$C$724,"Cross Security Trust",Movimientos!$B$1:$B$724,"&lt;="&amp;$B39)</f>
        <v>88090.37</v>
      </c>
      <c r="J39" s="24">
        <f>SUMIFS('Saldos Iniciales'!$D:$D,'Saldos Iniciales'!$A:$A,"Electrama")+SUMIFS(Movimientos!$K$1:$K$724,Movimientos!$C$1:$C$724,"Electrama",Movimientos!$B$1:$B$724,"&lt;="&amp;$B39)</f>
        <v>511.15999999999985</v>
      </c>
      <c r="K39" s="24">
        <f>SUMIFS('Saldos Iniciales'!$D:$D,'Saldos Iniciales'!$A:$A,"Sacred Valley Capital")+SUMIFS(Movimientos!$K$1:$K$724,Movimientos!$C$1:$C$724,"Sacred Valley Capital",Movimientos!$B$1:$B$724,"&lt;="&amp;$B39)</f>
        <v>84.35</v>
      </c>
      <c r="L39" s="24">
        <f>SUMIFS('Saldos Iniciales'!$D:$D,'Saldos Iniciales'!$A:$A,"YWC Capital")+SUMIFS(Movimientos!$K$1:$K$724,Movimientos!$C$1:$C$724,"YWC Capital",Movimientos!$B$1:$B$724,"&lt;="&amp;$B39)</f>
        <v>2237.77</v>
      </c>
      <c r="M39" s="24">
        <f>SUMIFS('Saldos Iniciales'!$D:$D,'Saldos Iniciales'!$A:$A,"Soweto")+SUMIFS(Movimientos!$K$1:$K$724,Movimientos!$C$1:$C$724,"Soweto",Movimientos!$B$1:$B$724,"&lt;="&amp;$B39)</f>
        <v>3349.94</v>
      </c>
      <c r="N39" s="24">
        <f>SUMIFS('Saldos Iniciales'!$D:$D,'Saldos Iniciales'!$A:$A,"Green Stone Trust")+SUMIFS(Movimientos!$K$1:$K$724,Movimientos!$C$1:$C$724,"Green Stone Trust",Movimientos!$B$1:$B$724,"&lt;="&amp;$B39)</f>
        <v>1968.99</v>
      </c>
      <c r="O39" s="24">
        <f>SUMIFS('Saldos Iniciales'!$D:$D,'Saldos Iniciales'!$A:$A,"EC Auto")+SUMIFS(Movimientos!$K$1:$K$724,Movimientos!$C$1:$C$724,"EC Auto",Movimientos!$B$1:$B$724,"&lt;="&amp;$B39)</f>
        <v>382.69000000000005</v>
      </c>
      <c r="P39" s="24">
        <f>SUMIFS('Saldos Iniciales'!$D:$D,'Saldos Iniciales'!$A:$A,"Arbor Capital Properties")+SUMIFS(Movimientos!$K$1:$K$724,Movimientos!$C$1:$C$724,"Arbor Capital Properties",Movimientos!$B$1:$B$724,"&lt;="&amp;$B39)</f>
        <v>1428.08</v>
      </c>
      <c r="Q39" s="24">
        <f>SUMIFS('Saldos Iniciales'!$D:$D,'Saldos Iniciales'!$A:$A,"2515 Overbrook")+SUMIFS(Movimientos!$K$1:$K$724,Movimientos!$C$1:$C$724,"2515 Overbrook",Movimientos!$B$1:$B$724,"&lt;="&amp;$B39)</f>
        <v>25789.969999999961</v>
      </c>
      <c r="R39" s="24">
        <f>SUMIFS('Saldos Iniciales'!$D:$D,'Saldos Iniciales'!$A:$A,"112 Florida Ave")+SUMIFS(Movimientos!$K$1:$K$724,Movimientos!$C$1:$C$724,"112 Florida Ave",Movimientos!$B$1:$B$724,"&lt;="&amp;$B39)</f>
        <v>5321.4300000000021</v>
      </c>
      <c r="S39" s="24">
        <f>SUMIFS('Saldos Iniciales'!$D:$D,'Saldos Iniciales'!$A:$A,"3628 Thomas Ave")+SUMIFS(Movimientos!$K$1:$K$724,Movimientos!$C$1:$C$724,"3628 Thomas Ave",Movimientos!$B$1:$B$724,"&lt;="&amp;$B39)</f>
        <v>24833.23</v>
      </c>
      <c r="T39" s="24">
        <f>SUMIFS('Saldos Iniciales'!$D:$D,'Saldos Iniciales'!$A:$A,"Green Harbor Trust")+SUMIFS(Movimientos!$K$1:$K$724,Movimientos!$C$1:$C$724,"Green Harbor Trust",Movimientos!$B$1:$B$724,"&lt;="&amp;$B39)</f>
        <v>345</v>
      </c>
      <c r="U39" s="24">
        <f>SUMIFS('Saldos Iniciales'!$D:$D,'Saldos Iniciales'!$A:$A,"Go Blue")+SUMIFS(Movimientos!$K$1:$K$724,Movimientos!$C$1:$C$724,"Go Blue",Movimientos!$B$1:$B$724,"&lt;="&amp;$B39)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Group")+SUMIFS(Movimientos!$K$1:$K$724,Movimientos!$C$1:$C$724,"CFT Group",Movimientos!$B$1:$B$724,"&lt;="&amp;$B40)</f>
        <v>733394.14000000013</v>
      </c>
      <c r="D40" s="24">
        <f>SUMIFS('Saldos Iniciales'!$D:$D,'Saldos Iniciales'!$A:$A,"M1B")+SUMIFS(Movimientos!$K$1:$K$724,Movimientos!$C$1:$C$724,"M1B",Movimientos!$B$1:$B$724,"&lt;="&amp;$B40)</f>
        <v>69376.390000000174</v>
      </c>
      <c r="E40" s="24">
        <f>SUMIFS('Saldos Iniciales'!$D:$D,'Saldos Iniciales'!$A:$A,"Durand")+SUMIFS(Movimientos!$K$1:$K$724,Movimientos!$C$1:$C$724,"Durand",Movimientos!$B$1:$B$724,"&lt;="&amp;$B40)</f>
        <v>1669.89</v>
      </c>
      <c r="F40" s="24">
        <f>SUMIFS('Saldos Iniciales'!$D:$D,'Saldos Iniciales'!$A:$A,"A&amp;M Imports")+SUMIFS(Movimientos!$K$1:$K$724,Movimientos!$C$1:$C$724,"A&amp;M Imports",Movimientos!$B$1:$B$724,"&lt;="&amp;$B40)</f>
        <v>729545.23999999987</v>
      </c>
      <c r="G40" s="24">
        <f>SUMIFS('Saldos Iniciales'!$D:$D,'Saldos Iniciales'!$A:$A,"SSP Capital")+SUMIFS(Movimientos!$K$1:$K$724,Movimientos!$C$1:$C$724,"SSP Capital",Movimientos!$B$1:$B$724,"&lt;="&amp;$B40)</f>
        <v>1164028.3199999994</v>
      </c>
      <c r="H40" s="24">
        <f>SUMIFS('Saldos Iniciales'!$D:$D,'Saldos Iniciales'!$A:$A,"Cross Family Trust")+SUMIFS(Movimientos!$K$1:$K$724,Movimientos!$C$1:$C$724,"Cross Family Trust",Movimientos!$B$1:$B$724,"&lt;="&amp;$B40)</f>
        <v>116496.38</v>
      </c>
      <c r="I40" s="24">
        <f>SUMIFS('Saldos Iniciales'!$D:$D,'Saldos Iniciales'!$A:$A,"Cross Security Trust")+SUMIFS(Movimientos!$K$1:$K$724,Movimientos!$C$1:$C$724,"Cross Security Trust",Movimientos!$B$1:$B$724,"&lt;="&amp;$B40)</f>
        <v>88090.37</v>
      </c>
      <c r="J40" s="24">
        <f>SUMIFS('Saldos Iniciales'!$D:$D,'Saldos Iniciales'!$A:$A,"Electrama")+SUMIFS(Movimientos!$K$1:$K$724,Movimientos!$C$1:$C$724,"Electrama",Movimientos!$B$1:$B$724,"&lt;="&amp;$B40)</f>
        <v>511.15999999999985</v>
      </c>
      <c r="K40" s="24">
        <f>SUMIFS('Saldos Iniciales'!$D:$D,'Saldos Iniciales'!$A:$A,"Sacred Valley Capital")+SUMIFS(Movimientos!$K$1:$K$724,Movimientos!$C$1:$C$724,"Sacred Valley Capital",Movimientos!$B$1:$B$724,"&lt;="&amp;$B40)</f>
        <v>84.35</v>
      </c>
      <c r="L40" s="24">
        <f>SUMIFS('Saldos Iniciales'!$D:$D,'Saldos Iniciales'!$A:$A,"YWC Capital")+SUMIFS(Movimientos!$K$1:$K$724,Movimientos!$C$1:$C$724,"YWC Capital",Movimientos!$B$1:$B$724,"&lt;="&amp;$B40)</f>
        <v>2237.77</v>
      </c>
      <c r="M40" s="24">
        <f>SUMIFS('Saldos Iniciales'!$D:$D,'Saldos Iniciales'!$A:$A,"Soweto")+SUMIFS(Movimientos!$K$1:$K$724,Movimientos!$C$1:$C$724,"Soweto",Movimientos!$B$1:$B$724,"&lt;="&amp;$B40)</f>
        <v>3349.94</v>
      </c>
      <c r="N40" s="24">
        <f>SUMIFS('Saldos Iniciales'!$D:$D,'Saldos Iniciales'!$A:$A,"Green Stone Trust")+SUMIFS(Movimientos!$K$1:$K$724,Movimientos!$C$1:$C$724,"Green Stone Trust",Movimientos!$B$1:$B$724,"&lt;="&amp;$B40)</f>
        <v>1968.99</v>
      </c>
      <c r="O40" s="24">
        <f>SUMIFS('Saldos Iniciales'!$D:$D,'Saldos Iniciales'!$A:$A,"EC Auto")+SUMIFS(Movimientos!$K$1:$K$724,Movimientos!$C$1:$C$724,"EC Auto",Movimientos!$B$1:$B$724,"&lt;="&amp;$B40)</f>
        <v>382.69000000000005</v>
      </c>
      <c r="P40" s="24">
        <f>SUMIFS('Saldos Iniciales'!$D:$D,'Saldos Iniciales'!$A:$A,"Arbor Capital Properties")+SUMIFS(Movimientos!$K$1:$K$724,Movimientos!$C$1:$C$724,"Arbor Capital Properties",Movimientos!$B$1:$B$724,"&lt;="&amp;$B40)</f>
        <v>1428.08</v>
      </c>
      <c r="Q40" s="24">
        <f>SUMIFS('Saldos Iniciales'!$D:$D,'Saldos Iniciales'!$A:$A,"2515 Overbrook")+SUMIFS(Movimientos!$K$1:$K$724,Movimientos!$C$1:$C$724,"2515 Overbrook",Movimientos!$B$1:$B$724,"&lt;="&amp;$B40)</f>
        <v>25789.969999999961</v>
      </c>
      <c r="R40" s="24">
        <f>SUMIFS('Saldos Iniciales'!$D:$D,'Saldos Iniciales'!$A:$A,"112 Florida Ave")+SUMIFS(Movimientos!$K$1:$K$724,Movimientos!$C$1:$C$724,"112 Florida Ave",Movimientos!$B$1:$B$724,"&lt;="&amp;$B40)</f>
        <v>5321.4300000000021</v>
      </c>
      <c r="S40" s="24">
        <f>SUMIFS('Saldos Iniciales'!$D:$D,'Saldos Iniciales'!$A:$A,"3628 Thomas Ave")+SUMIFS(Movimientos!$K$1:$K$724,Movimientos!$C$1:$C$724,"3628 Thomas Ave",Movimientos!$B$1:$B$724,"&lt;="&amp;$B40)</f>
        <v>24833.23</v>
      </c>
      <c r="T40" s="24">
        <f>SUMIFS('Saldos Iniciales'!$D:$D,'Saldos Iniciales'!$A:$A,"Green Harbor Trust")+SUMIFS(Movimientos!$K$1:$K$724,Movimientos!$C$1:$C$724,"Green Harbor Trust",Movimientos!$B$1:$B$724,"&lt;="&amp;$B40)</f>
        <v>345</v>
      </c>
      <c r="U40" s="24">
        <f>SUMIFS('Saldos Iniciales'!$D:$D,'Saldos Iniciales'!$A:$A,"Go Blue")+SUMIFS(Movimientos!$K$1:$K$724,Movimientos!$C$1:$C$724,"Go Blue",Movimientos!$B$1:$B$724,"&lt;="&amp;$B40)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Group")+SUMIFS(Movimientos!$K$1:$K$724,Movimientos!$C$1:$C$724,"CFT Group",Movimientos!$B$1:$B$724,"&lt;="&amp;$B41)</f>
        <v>847381.29000000015</v>
      </c>
      <c r="D41" s="24">
        <f>SUMIFS('Saldos Iniciales'!$D:$D,'Saldos Iniciales'!$A:$A,"M1B")+SUMIFS(Movimientos!$K$1:$K$724,Movimientos!$C$1:$C$724,"M1B",Movimientos!$B$1:$B$724,"&lt;="&amp;$B41)</f>
        <v>69376.390000000174</v>
      </c>
      <c r="E41" s="24">
        <f>SUMIFS('Saldos Iniciales'!$D:$D,'Saldos Iniciales'!$A:$A,"Durand")+SUMIFS(Movimientos!$K$1:$K$724,Movimientos!$C$1:$C$724,"Durand",Movimientos!$B$1:$B$724,"&lt;="&amp;$B41)</f>
        <v>1669.89</v>
      </c>
      <c r="F41" s="24">
        <f>SUMIFS('Saldos Iniciales'!$D:$D,'Saldos Iniciales'!$A:$A,"A&amp;M Imports")+SUMIFS(Movimientos!$K$1:$K$724,Movimientos!$C$1:$C$724,"A&amp;M Imports",Movimientos!$B$1:$B$724,"&lt;="&amp;$B41)</f>
        <v>729545.23999999987</v>
      </c>
      <c r="G41" s="24">
        <f>SUMIFS('Saldos Iniciales'!$D:$D,'Saldos Iniciales'!$A:$A,"SSP Capital")+SUMIFS(Movimientos!$K$1:$K$724,Movimientos!$C$1:$C$724,"SSP Capital",Movimientos!$B$1:$B$724,"&lt;="&amp;$B41)</f>
        <v>1160274.0499999993</v>
      </c>
      <c r="H41" s="24">
        <f>SUMIFS('Saldos Iniciales'!$D:$D,'Saldos Iniciales'!$A:$A,"Cross Family Trust")+SUMIFS(Movimientos!$K$1:$K$724,Movimientos!$C$1:$C$724,"Cross Family Trust",Movimientos!$B$1:$B$724,"&lt;="&amp;$B41)</f>
        <v>116496.38</v>
      </c>
      <c r="I41" s="24">
        <f>SUMIFS('Saldos Iniciales'!$D:$D,'Saldos Iniciales'!$A:$A,"Cross Security Trust")+SUMIFS(Movimientos!$K$1:$K$724,Movimientos!$C$1:$C$724,"Cross Security Trust",Movimientos!$B$1:$B$724,"&lt;="&amp;$B41)</f>
        <v>88090.37</v>
      </c>
      <c r="J41" s="24">
        <f>SUMIFS('Saldos Iniciales'!$D:$D,'Saldos Iniciales'!$A:$A,"Electrama")+SUMIFS(Movimientos!$K$1:$K$724,Movimientos!$C$1:$C$724,"Electrama",Movimientos!$B$1:$B$724,"&lt;="&amp;$B41)</f>
        <v>511.15999999999985</v>
      </c>
      <c r="K41" s="24">
        <f>SUMIFS('Saldos Iniciales'!$D:$D,'Saldos Iniciales'!$A:$A,"Sacred Valley Capital")+SUMIFS(Movimientos!$K$1:$K$724,Movimientos!$C$1:$C$724,"Sacred Valley Capital",Movimientos!$B$1:$B$724,"&lt;="&amp;$B41)</f>
        <v>84.35</v>
      </c>
      <c r="L41" s="24">
        <f>SUMIFS('Saldos Iniciales'!$D:$D,'Saldos Iniciales'!$A:$A,"YWC Capital")+SUMIFS(Movimientos!$K$1:$K$724,Movimientos!$C$1:$C$724,"YWC Capital",Movimientos!$B$1:$B$724,"&lt;="&amp;$B41)</f>
        <v>2237.77</v>
      </c>
      <c r="M41" s="24">
        <f>SUMIFS('Saldos Iniciales'!$D:$D,'Saldos Iniciales'!$A:$A,"Soweto")+SUMIFS(Movimientos!$K$1:$K$724,Movimientos!$C$1:$C$724,"Soweto",Movimientos!$B$1:$B$724,"&lt;="&amp;$B41)</f>
        <v>3349.94</v>
      </c>
      <c r="N41" s="24">
        <f>SUMIFS('Saldos Iniciales'!$D:$D,'Saldos Iniciales'!$A:$A,"Green Stone Trust")+SUMIFS(Movimientos!$K$1:$K$724,Movimientos!$C$1:$C$724,"Green Stone Trust",Movimientos!$B$1:$B$724,"&lt;="&amp;$B41)</f>
        <v>1968.99</v>
      </c>
      <c r="O41" s="24">
        <f>SUMIFS('Saldos Iniciales'!$D:$D,'Saldos Iniciales'!$A:$A,"EC Auto")+SUMIFS(Movimientos!$K$1:$K$724,Movimientos!$C$1:$C$724,"EC Auto",Movimientos!$B$1:$B$724,"&lt;="&amp;$B41)</f>
        <v>382.69000000000005</v>
      </c>
      <c r="P41" s="24">
        <f>SUMIFS('Saldos Iniciales'!$D:$D,'Saldos Iniciales'!$A:$A,"Arbor Capital Properties")+SUMIFS(Movimientos!$K$1:$K$724,Movimientos!$C$1:$C$724,"Arbor Capital Properties",Movimientos!$B$1:$B$724,"&lt;="&amp;$B41)</f>
        <v>1428.08</v>
      </c>
      <c r="Q41" s="24">
        <f>SUMIFS('Saldos Iniciales'!$D:$D,'Saldos Iniciales'!$A:$A,"2515 Overbrook")+SUMIFS(Movimientos!$K$1:$K$724,Movimientos!$C$1:$C$724,"2515 Overbrook",Movimientos!$B$1:$B$724,"&lt;="&amp;$B41)</f>
        <v>25789.969999999961</v>
      </c>
      <c r="R41" s="24">
        <f>SUMIFS('Saldos Iniciales'!$D:$D,'Saldos Iniciales'!$A:$A,"112 Florida Ave")+SUMIFS(Movimientos!$K$1:$K$724,Movimientos!$C$1:$C$724,"112 Florida Ave",Movimientos!$B$1:$B$724,"&lt;="&amp;$B41)</f>
        <v>5321.4300000000021</v>
      </c>
      <c r="S41" s="24">
        <f>SUMIFS('Saldos Iniciales'!$D:$D,'Saldos Iniciales'!$A:$A,"3628 Thomas Ave")+SUMIFS(Movimientos!$K$1:$K$724,Movimientos!$C$1:$C$724,"3628 Thomas Ave",Movimientos!$B$1:$B$724,"&lt;="&amp;$B41)</f>
        <v>24833.23</v>
      </c>
      <c r="T41" s="24">
        <f>SUMIFS('Saldos Iniciales'!$D:$D,'Saldos Iniciales'!$A:$A,"Green Harbor Trust")+SUMIFS(Movimientos!$K$1:$K$724,Movimientos!$C$1:$C$724,"Green Harbor Trust",Movimientos!$B$1:$B$724,"&lt;="&amp;$B41)</f>
        <v>345</v>
      </c>
      <c r="U41" s="24">
        <f>SUMIFS('Saldos Iniciales'!$D:$D,'Saldos Iniciales'!$A:$A,"Go Blue")+SUMIFS(Movimientos!$K$1:$K$724,Movimientos!$C$1:$C$724,"Go Blue",Movimientos!$B$1:$B$724,"&lt;="&amp;$B41)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Group")+SUMIFS(Movimientos!$K$1:$K$724,Movimientos!$C$1:$C$724,"CFT Group",Movimientos!$B$1:$B$724,"&lt;="&amp;$B42)</f>
        <v>2288745.9500000002</v>
      </c>
      <c r="D42" s="24">
        <f>SUMIFS('Saldos Iniciales'!$D:$D,'Saldos Iniciales'!$A:$A,"M1B")+SUMIFS(Movimientos!$K$1:$K$724,Movimientos!$C$1:$C$724,"M1B",Movimientos!$B$1:$B$724,"&lt;="&amp;$B42)</f>
        <v>69376.390000000174</v>
      </c>
      <c r="E42" s="24">
        <f>SUMIFS('Saldos Iniciales'!$D:$D,'Saldos Iniciales'!$A:$A,"Durand")+SUMIFS(Movimientos!$K$1:$K$724,Movimientos!$C$1:$C$724,"Durand",Movimientos!$B$1:$B$724,"&lt;="&amp;$B42)</f>
        <v>1669.89</v>
      </c>
      <c r="F42" s="24">
        <f>SUMIFS('Saldos Iniciales'!$D:$D,'Saldos Iniciales'!$A:$A,"A&amp;M Imports")+SUMIFS(Movimientos!$K$1:$K$724,Movimientos!$C$1:$C$724,"A&amp;M Imports",Movimientos!$B$1:$B$724,"&lt;="&amp;$B42)</f>
        <v>744306.80999999982</v>
      </c>
      <c r="G42" s="24">
        <f>SUMIFS('Saldos Iniciales'!$D:$D,'Saldos Iniciales'!$A:$A,"SSP Capital")+SUMIFS(Movimientos!$K$1:$K$724,Movimientos!$C$1:$C$724,"SSP Capital",Movimientos!$B$1:$B$724,"&lt;="&amp;$B42)</f>
        <v>1160274.0499999993</v>
      </c>
      <c r="H42" s="24">
        <f>SUMIFS('Saldos Iniciales'!$D:$D,'Saldos Iniciales'!$A:$A,"Cross Family Trust")+SUMIFS(Movimientos!$K$1:$K$724,Movimientos!$C$1:$C$724,"Cross Family Trust",Movimientos!$B$1:$B$724,"&lt;="&amp;$B42)</f>
        <v>116496.38</v>
      </c>
      <c r="I42" s="24">
        <f>SUMIFS('Saldos Iniciales'!$D:$D,'Saldos Iniciales'!$A:$A,"Cross Security Trust")+SUMIFS(Movimientos!$K$1:$K$724,Movimientos!$C$1:$C$724,"Cross Security Trust",Movimientos!$B$1:$B$724,"&lt;="&amp;$B42)</f>
        <v>88090.37</v>
      </c>
      <c r="J42" s="24">
        <f>SUMIFS('Saldos Iniciales'!$D:$D,'Saldos Iniciales'!$A:$A,"Electrama")+SUMIFS(Movimientos!$K$1:$K$724,Movimientos!$C$1:$C$724,"Electrama",Movimientos!$B$1:$B$724,"&lt;="&amp;$B42)</f>
        <v>511.15999999999985</v>
      </c>
      <c r="K42" s="24">
        <f>SUMIFS('Saldos Iniciales'!$D:$D,'Saldos Iniciales'!$A:$A,"Sacred Valley Capital")+SUMIFS(Movimientos!$K$1:$K$724,Movimientos!$C$1:$C$724,"Sacred Valley Capital",Movimientos!$B$1:$B$724,"&lt;="&amp;$B42)</f>
        <v>84.35</v>
      </c>
      <c r="L42" s="24">
        <f>SUMIFS('Saldos Iniciales'!$D:$D,'Saldos Iniciales'!$A:$A,"YWC Capital")+SUMIFS(Movimientos!$K$1:$K$724,Movimientos!$C$1:$C$724,"YWC Capital",Movimientos!$B$1:$B$724,"&lt;="&amp;$B42)</f>
        <v>2237.77</v>
      </c>
      <c r="M42" s="24">
        <f>SUMIFS('Saldos Iniciales'!$D:$D,'Saldos Iniciales'!$A:$A,"Soweto")+SUMIFS(Movimientos!$K$1:$K$724,Movimientos!$C$1:$C$724,"Soweto",Movimientos!$B$1:$B$724,"&lt;="&amp;$B42)</f>
        <v>3349.94</v>
      </c>
      <c r="N42" s="24">
        <f>SUMIFS('Saldos Iniciales'!$D:$D,'Saldos Iniciales'!$A:$A,"Green Stone Trust")+SUMIFS(Movimientos!$K$1:$K$724,Movimientos!$C$1:$C$724,"Green Stone Trust",Movimientos!$B$1:$B$724,"&lt;="&amp;$B42)</f>
        <v>1968.99</v>
      </c>
      <c r="O42" s="24">
        <f>SUMIFS('Saldos Iniciales'!$D:$D,'Saldos Iniciales'!$A:$A,"EC Auto")+SUMIFS(Movimientos!$K$1:$K$724,Movimientos!$C$1:$C$724,"EC Auto",Movimientos!$B$1:$B$724,"&lt;="&amp;$B42)</f>
        <v>382.69000000000005</v>
      </c>
      <c r="P42" s="24">
        <f>SUMIFS('Saldos Iniciales'!$D:$D,'Saldos Iniciales'!$A:$A,"Arbor Capital Properties")+SUMIFS(Movimientos!$K$1:$K$724,Movimientos!$C$1:$C$724,"Arbor Capital Properties",Movimientos!$B$1:$B$724,"&lt;="&amp;$B42)</f>
        <v>1428.08</v>
      </c>
      <c r="Q42" s="24">
        <f>SUMIFS('Saldos Iniciales'!$D:$D,'Saldos Iniciales'!$A:$A,"2515 Overbrook")+SUMIFS(Movimientos!$K$1:$K$724,Movimientos!$C$1:$C$724,"2515 Overbrook",Movimientos!$B$1:$B$724,"&lt;="&amp;$B42)</f>
        <v>25789.969999999961</v>
      </c>
      <c r="R42" s="24">
        <f>SUMIFS('Saldos Iniciales'!$D:$D,'Saldos Iniciales'!$A:$A,"112 Florida Ave")+SUMIFS(Movimientos!$K$1:$K$724,Movimientos!$C$1:$C$724,"112 Florida Ave",Movimientos!$B$1:$B$724,"&lt;="&amp;$B42)</f>
        <v>5321.4300000000021</v>
      </c>
      <c r="S42" s="24">
        <f>SUMIFS('Saldos Iniciales'!$D:$D,'Saldos Iniciales'!$A:$A,"3628 Thomas Ave")+SUMIFS(Movimientos!$K$1:$K$724,Movimientos!$C$1:$C$724,"3628 Thomas Ave",Movimientos!$B$1:$B$724,"&lt;="&amp;$B42)</f>
        <v>24743.98</v>
      </c>
      <c r="T42" s="24">
        <f>SUMIFS('Saldos Iniciales'!$D:$D,'Saldos Iniciales'!$A:$A,"Green Harbor Trust")+SUMIFS(Movimientos!$K$1:$K$724,Movimientos!$C$1:$C$724,"Green Harbor Trust",Movimientos!$B$1:$B$724,"&lt;="&amp;$B42)</f>
        <v>345</v>
      </c>
      <c r="U42" s="24">
        <f>SUMIFS('Saldos Iniciales'!$D:$D,'Saldos Iniciales'!$A:$A,"Go Blue")+SUMIFS(Movimientos!$K$1:$K$724,Movimientos!$C$1:$C$724,"Go Blue",Movimientos!$B$1:$B$724,"&lt;="&amp;$B42)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Group")+SUMIFS(Movimientos!$K$1:$K$724,Movimientos!$C$1:$C$724,"CFT Group",Movimientos!$B$1:$B$724,"&lt;="&amp;$B43)</f>
        <v>1837784.84</v>
      </c>
      <c r="D43" s="24">
        <f>SUMIFS('Saldos Iniciales'!$D:$D,'Saldos Iniciales'!$A:$A,"M1B")+SUMIFS(Movimientos!$K$1:$K$724,Movimientos!$C$1:$C$724,"M1B",Movimientos!$B$1:$B$724,"&lt;="&amp;$B43)</f>
        <v>69376.390000000174</v>
      </c>
      <c r="E43" s="24">
        <f>SUMIFS('Saldos Iniciales'!$D:$D,'Saldos Iniciales'!$A:$A,"Durand")+SUMIFS(Movimientos!$K$1:$K$724,Movimientos!$C$1:$C$724,"Durand",Movimientos!$B$1:$B$724,"&lt;="&amp;$B43)</f>
        <v>1669.89</v>
      </c>
      <c r="F43" s="24">
        <f>SUMIFS('Saldos Iniciales'!$D:$D,'Saldos Iniciales'!$A:$A,"A&amp;M Imports")+SUMIFS(Movimientos!$K$1:$K$724,Movimientos!$C$1:$C$724,"A&amp;M Imports",Movimientos!$B$1:$B$724,"&lt;="&amp;$B43)</f>
        <v>564626.20999999985</v>
      </c>
      <c r="G43" s="24">
        <f>SUMIFS('Saldos Iniciales'!$D:$D,'Saldos Iniciales'!$A:$A,"SSP Capital")+SUMIFS(Movimientos!$K$1:$K$724,Movimientos!$C$1:$C$724,"SSP Capital",Movimientos!$B$1:$B$724,"&lt;="&amp;$B43)</f>
        <v>794731.82999999926</v>
      </c>
      <c r="H43" s="24">
        <f>SUMIFS('Saldos Iniciales'!$D:$D,'Saldos Iniciales'!$A:$A,"Cross Family Trust")+SUMIFS(Movimientos!$K$1:$K$724,Movimientos!$C$1:$C$724,"Cross Family Trust",Movimientos!$B$1:$B$724,"&lt;="&amp;$B43)</f>
        <v>116496.38</v>
      </c>
      <c r="I43" s="24">
        <f>SUMIFS('Saldos Iniciales'!$D:$D,'Saldos Iniciales'!$A:$A,"Cross Security Trust")+SUMIFS(Movimientos!$K$1:$K$724,Movimientos!$C$1:$C$724,"Cross Security Trust",Movimientos!$B$1:$B$724,"&lt;="&amp;$B43)</f>
        <v>88090.37</v>
      </c>
      <c r="J43" s="24">
        <f>SUMIFS('Saldos Iniciales'!$D:$D,'Saldos Iniciales'!$A:$A,"Electrama")+SUMIFS(Movimientos!$K$1:$K$724,Movimientos!$C$1:$C$724,"Electrama",Movimientos!$B$1:$B$724,"&lt;="&amp;$B43)</f>
        <v>511.15999999999985</v>
      </c>
      <c r="K43" s="24">
        <f>SUMIFS('Saldos Iniciales'!$D:$D,'Saldos Iniciales'!$A:$A,"Sacred Valley Capital")+SUMIFS(Movimientos!$K$1:$K$724,Movimientos!$C$1:$C$724,"Sacred Valley Capital",Movimientos!$B$1:$B$724,"&lt;="&amp;$B43)</f>
        <v>84.35</v>
      </c>
      <c r="L43" s="24">
        <f>SUMIFS('Saldos Iniciales'!$D:$D,'Saldos Iniciales'!$A:$A,"YWC Capital")+SUMIFS(Movimientos!$K$1:$K$724,Movimientos!$C$1:$C$724,"YWC Capital",Movimientos!$B$1:$B$724,"&lt;="&amp;$B43)</f>
        <v>2237.77</v>
      </c>
      <c r="M43" s="24">
        <f>SUMIFS('Saldos Iniciales'!$D:$D,'Saldos Iniciales'!$A:$A,"Soweto")+SUMIFS(Movimientos!$K$1:$K$724,Movimientos!$C$1:$C$724,"Soweto",Movimientos!$B$1:$B$724,"&lt;="&amp;$B43)</f>
        <v>3349.94</v>
      </c>
      <c r="N43" s="24">
        <f>SUMIFS('Saldos Iniciales'!$D:$D,'Saldos Iniciales'!$A:$A,"Green Stone Trust")+SUMIFS(Movimientos!$K$1:$K$724,Movimientos!$C$1:$C$724,"Green Stone Trust",Movimientos!$B$1:$B$724,"&lt;="&amp;$B43)</f>
        <v>1968.99</v>
      </c>
      <c r="O43" s="24">
        <f>SUMIFS('Saldos Iniciales'!$D:$D,'Saldos Iniciales'!$A:$A,"EC Auto")+SUMIFS(Movimientos!$K$1:$K$724,Movimientos!$C$1:$C$724,"EC Auto",Movimientos!$B$1:$B$724,"&lt;="&amp;$B43)</f>
        <v>382.69000000000005</v>
      </c>
      <c r="P43" s="24">
        <f>SUMIFS('Saldos Iniciales'!$D:$D,'Saldos Iniciales'!$A:$A,"Arbor Capital Properties")+SUMIFS(Movimientos!$K$1:$K$724,Movimientos!$C$1:$C$724,"Arbor Capital Properties",Movimientos!$B$1:$B$724,"&lt;="&amp;$B43)</f>
        <v>1428.08</v>
      </c>
      <c r="Q43" s="24">
        <f>SUMIFS('Saldos Iniciales'!$D:$D,'Saldos Iniciales'!$A:$A,"2515 Overbrook")+SUMIFS(Movimientos!$K$1:$K$724,Movimientos!$C$1:$C$724,"2515 Overbrook",Movimientos!$B$1:$B$724,"&lt;="&amp;$B43)</f>
        <v>25789.969999999961</v>
      </c>
      <c r="R43" s="24">
        <f>SUMIFS('Saldos Iniciales'!$D:$D,'Saldos Iniciales'!$A:$A,"112 Florida Ave")+SUMIFS(Movimientos!$K$1:$K$724,Movimientos!$C$1:$C$724,"112 Florida Ave",Movimientos!$B$1:$B$724,"&lt;="&amp;$B43)</f>
        <v>5321.4300000000021</v>
      </c>
      <c r="S43" s="24">
        <f>SUMIFS('Saldos Iniciales'!$D:$D,'Saldos Iniciales'!$A:$A,"3628 Thomas Ave")+SUMIFS(Movimientos!$K$1:$K$724,Movimientos!$C$1:$C$724,"3628 Thomas Ave",Movimientos!$B$1:$B$724,"&lt;="&amp;$B43)</f>
        <v>24743.98</v>
      </c>
      <c r="T43" s="24">
        <f>SUMIFS('Saldos Iniciales'!$D:$D,'Saldos Iniciales'!$A:$A,"Green Harbor Trust")+SUMIFS(Movimientos!$K$1:$K$724,Movimientos!$C$1:$C$724,"Green Harbor Trust",Movimientos!$B$1:$B$724,"&lt;="&amp;$B43)</f>
        <v>345</v>
      </c>
      <c r="U43" s="24">
        <f>SUMIFS('Saldos Iniciales'!$D:$D,'Saldos Iniciales'!$A:$A,"Go Blue")+SUMIFS(Movimientos!$K$1:$K$724,Movimientos!$C$1:$C$724,"Go Blue",Movimientos!$B$1:$B$724,"&lt;="&amp;$B43)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Group")+SUMIFS(Movimientos!$K$1:$K$724,Movimientos!$C$1:$C$724,"CFT Group",Movimientos!$B$1:$B$724,"&lt;="&amp;$B44)</f>
        <v>1837784.84</v>
      </c>
      <c r="D44" s="24">
        <f>SUMIFS('Saldos Iniciales'!$D:$D,'Saldos Iniciales'!$A:$A,"M1B")+SUMIFS(Movimientos!$K$1:$K$724,Movimientos!$C$1:$C$724,"M1B",Movimientos!$B$1:$B$724,"&lt;="&amp;$B44)</f>
        <v>69376.390000000174</v>
      </c>
      <c r="E44" s="24">
        <f>SUMIFS('Saldos Iniciales'!$D:$D,'Saldos Iniciales'!$A:$A,"Durand")+SUMIFS(Movimientos!$K$1:$K$724,Movimientos!$C$1:$C$724,"Durand",Movimientos!$B$1:$B$724,"&lt;="&amp;$B44)</f>
        <v>1669.89</v>
      </c>
      <c r="F44" s="24">
        <f>SUMIFS('Saldos Iniciales'!$D:$D,'Saldos Iniciales'!$A:$A,"A&amp;M Imports")+SUMIFS(Movimientos!$K$1:$K$724,Movimientos!$C$1:$C$724,"A&amp;M Imports",Movimientos!$B$1:$B$724,"&lt;="&amp;$B44)</f>
        <v>564626.20999999985</v>
      </c>
      <c r="G44" s="24">
        <f>SUMIFS('Saldos Iniciales'!$D:$D,'Saldos Iniciales'!$A:$A,"SSP Capital")+SUMIFS(Movimientos!$K$1:$K$724,Movimientos!$C$1:$C$724,"SSP Capital",Movimientos!$B$1:$B$724,"&lt;="&amp;$B44)</f>
        <v>3763348.8299999996</v>
      </c>
      <c r="H44" s="24">
        <f>SUMIFS('Saldos Iniciales'!$D:$D,'Saldos Iniciales'!$A:$A,"Cross Family Trust")+SUMIFS(Movimientos!$K$1:$K$724,Movimientos!$C$1:$C$724,"Cross Family Trust",Movimientos!$B$1:$B$724,"&lt;="&amp;$B44)</f>
        <v>116496.38</v>
      </c>
      <c r="I44" s="24">
        <f>SUMIFS('Saldos Iniciales'!$D:$D,'Saldos Iniciales'!$A:$A,"Cross Security Trust")+SUMIFS(Movimientos!$K$1:$K$724,Movimientos!$C$1:$C$724,"Cross Security Trust",Movimientos!$B$1:$B$724,"&lt;="&amp;$B44)</f>
        <v>88090.37</v>
      </c>
      <c r="J44" s="24">
        <f>SUMIFS('Saldos Iniciales'!$D:$D,'Saldos Iniciales'!$A:$A,"Electrama")+SUMIFS(Movimientos!$K$1:$K$724,Movimientos!$C$1:$C$724,"Electrama",Movimientos!$B$1:$B$724,"&lt;="&amp;$B44)</f>
        <v>511.15999999999985</v>
      </c>
      <c r="K44" s="24">
        <f>SUMIFS('Saldos Iniciales'!$D:$D,'Saldos Iniciales'!$A:$A,"Sacred Valley Capital")+SUMIFS(Movimientos!$K$1:$K$724,Movimientos!$C$1:$C$724,"Sacred Valley Capital",Movimientos!$B$1:$B$724,"&lt;="&amp;$B44)</f>
        <v>84.35</v>
      </c>
      <c r="L44" s="24">
        <f>SUMIFS('Saldos Iniciales'!$D:$D,'Saldos Iniciales'!$A:$A,"YWC Capital")+SUMIFS(Movimientos!$K$1:$K$724,Movimientos!$C$1:$C$724,"YWC Capital",Movimientos!$B$1:$B$724,"&lt;="&amp;$B44)</f>
        <v>2237.77</v>
      </c>
      <c r="M44" s="24">
        <f>SUMIFS('Saldos Iniciales'!$D:$D,'Saldos Iniciales'!$A:$A,"Soweto")+SUMIFS(Movimientos!$K$1:$K$724,Movimientos!$C$1:$C$724,"Soweto",Movimientos!$B$1:$B$724,"&lt;="&amp;$B44)</f>
        <v>3349.94</v>
      </c>
      <c r="N44" s="24">
        <f>SUMIFS('Saldos Iniciales'!$D:$D,'Saldos Iniciales'!$A:$A,"Green Stone Trust")+SUMIFS(Movimientos!$K$1:$K$724,Movimientos!$C$1:$C$724,"Green Stone Trust",Movimientos!$B$1:$B$724,"&lt;="&amp;$B44)</f>
        <v>1968.99</v>
      </c>
      <c r="O44" s="24">
        <f>SUMIFS('Saldos Iniciales'!$D:$D,'Saldos Iniciales'!$A:$A,"EC Auto")+SUMIFS(Movimientos!$K$1:$K$724,Movimientos!$C$1:$C$724,"EC Auto",Movimientos!$B$1:$B$724,"&lt;="&amp;$B44)</f>
        <v>382.69000000000005</v>
      </c>
      <c r="P44" s="24">
        <f>SUMIFS('Saldos Iniciales'!$D:$D,'Saldos Iniciales'!$A:$A,"Arbor Capital Properties")+SUMIFS(Movimientos!$K$1:$K$724,Movimientos!$C$1:$C$724,"Arbor Capital Properties",Movimientos!$B$1:$B$724,"&lt;="&amp;$B44)</f>
        <v>1428.08</v>
      </c>
      <c r="Q44" s="24">
        <f>SUMIFS('Saldos Iniciales'!$D:$D,'Saldos Iniciales'!$A:$A,"2515 Overbrook")+SUMIFS(Movimientos!$K$1:$K$724,Movimientos!$C$1:$C$724,"2515 Overbrook",Movimientos!$B$1:$B$724,"&lt;="&amp;$B44)</f>
        <v>27789.969999999961</v>
      </c>
      <c r="R44" s="24">
        <f>SUMIFS('Saldos Iniciales'!$D:$D,'Saldos Iniciales'!$A:$A,"112 Florida Ave")+SUMIFS(Movimientos!$K$1:$K$724,Movimientos!$C$1:$C$724,"112 Florida Ave",Movimientos!$B$1:$B$724,"&lt;="&amp;$B44)</f>
        <v>5321.4300000000021</v>
      </c>
      <c r="S44" s="24">
        <f>SUMIFS('Saldos Iniciales'!$D:$D,'Saldos Iniciales'!$A:$A,"3628 Thomas Ave")+SUMIFS(Movimientos!$K$1:$K$724,Movimientos!$C$1:$C$724,"3628 Thomas Ave",Movimientos!$B$1:$B$724,"&lt;="&amp;$B44)</f>
        <v>24484.85</v>
      </c>
      <c r="T44" s="24">
        <f>SUMIFS('Saldos Iniciales'!$D:$D,'Saldos Iniciales'!$A:$A,"Green Harbor Trust")+SUMIFS(Movimientos!$K$1:$K$724,Movimientos!$C$1:$C$724,"Green Harbor Trust",Movimientos!$B$1:$B$724,"&lt;="&amp;$B44)</f>
        <v>345</v>
      </c>
      <c r="U44" s="24">
        <f>SUMIFS('Saldos Iniciales'!$D:$D,'Saldos Iniciales'!$A:$A,"Go Blue")+SUMIFS(Movimientos!$K$1:$K$724,Movimientos!$C$1:$C$724,"Go Blue",Movimientos!$B$1:$B$724,"&lt;="&amp;$B44)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Group")+SUMIFS(Movimientos!$K$1:$K$724,Movimientos!$C$1:$C$724,"CFT Group",Movimientos!$B$1:$B$724,"&lt;="&amp;$B45)</f>
        <v>1837784.84</v>
      </c>
      <c r="D45" s="24">
        <f>SUMIFS('Saldos Iniciales'!$D:$D,'Saldos Iniciales'!$A:$A,"M1B")+SUMIFS(Movimientos!$K$1:$K$724,Movimientos!$C$1:$C$724,"M1B",Movimientos!$B$1:$B$724,"&lt;="&amp;$B45)</f>
        <v>69376.390000000174</v>
      </c>
      <c r="E45" s="24">
        <f>SUMIFS('Saldos Iniciales'!$D:$D,'Saldos Iniciales'!$A:$A,"Durand")+SUMIFS(Movimientos!$K$1:$K$724,Movimientos!$C$1:$C$724,"Durand",Movimientos!$B$1:$B$724,"&lt;="&amp;$B45)</f>
        <v>1669.89</v>
      </c>
      <c r="F45" s="24">
        <f>SUMIFS('Saldos Iniciales'!$D:$D,'Saldos Iniciales'!$A:$A,"A&amp;M Imports")+SUMIFS(Movimientos!$K$1:$K$724,Movimientos!$C$1:$C$724,"A&amp;M Imports",Movimientos!$B$1:$B$724,"&lt;="&amp;$B45)</f>
        <v>564626.20999999985</v>
      </c>
      <c r="G45" s="24">
        <f>SUMIFS('Saldos Iniciales'!$D:$D,'Saldos Iniciales'!$A:$A,"SSP Capital")+SUMIFS(Movimientos!$K$1:$K$724,Movimientos!$C$1:$C$724,"SSP Capital",Movimientos!$B$1:$B$724,"&lt;="&amp;$B45)</f>
        <v>3763348.8299999996</v>
      </c>
      <c r="H45" s="24">
        <f>SUMIFS('Saldos Iniciales'!$D:$D,'Saldos Iniciales'!$A:$A,"Cross Family Trust")+SUMIFS(Movimientos!$K$1:$K$724,Movimientos!$C$1:$C$724,"Cross Family Trust",Movimientos!$B$1:$B$724,"&lt;="&amp;$B45)</f>
        <v>116496.38</v>
      </c>
      <c r="I45" s="24">
        <f>SUMIFS('Saldos Iniciales'!$D:$D,'Saldos Iniciales'!$A:$A,"Cross Security Trust")+SUMIFS(Movimientos!$K$1:$K$724,Movimientos!$C$1:$C$724,"Cross Security Trust",Movimientos!$B$1:$B$724,"&lt;="&amp;$B45)</f>
        <v>88090.37</v>
      </c>
      <c r="J45" s="24">
        <f>SUMIFS('Saldos Iniciales'!$D:$D,'Saldos Iniciales'!$A:$A,"Electrama")+SUMIFS(Movimientos!$K$1:$K$724,Movimientos!$C$1:$C$724,"Electrama",Movimientos!$B$1:$B$724,"&lt;="&amp;$B45)</f>
        <v>511.15999999999985</v>
      </c>
      <c r="K45" s="24">
        <f>SUMIFS('Saldos Iniciales'!$D:$D,'Saldos Iniciales'!$A:$A,"Sacred Valley Capital")+SUMIFS(Movimientos!$K$1:$K$724,Movimientos!$C$1:$C$724,"Sacred Valley Capital",Movimientos!$B$1:$B$724,"&lt;="&amp;$B45)</f>
        <v>84.35</v>
      </c>
      <c r="L45" s="24">
        <f>SUMIFS('Saldos Iniciales'!$D:$D,'Saldos Iniciales'!$A:$A,"YWC Capital")+SUMIFS(Movimientos!$K$1:$K$724,Movimientos!$C$1:$C$724,"YWC Capital",Movimientos!$B$1:$B$724,"&lt;="&amp;$B45)</f>
        <v>2237.77</v>
      </c>
      <c r="M45" s="24">
        <f>SUMIFS('Saldos Iniciales'!$D:$D,'Saldos Iniciales'!$A:$A,"Soweto")+SUMIFS(Movimientos!$K$1:$K$724,Movimientos!$C$1:$C$724,"Soweto",Movimientos!$B$1:$B$724,"&lt;="&amp;$B45)</f>
        <v>3349.94</v>
      </c>
      <c r="N45" s="24">
        <f>SUMIFS('Saldos Iniciales'!$D:$D,'Saldos Iniciales'!$A:$A,"Green Stone Trust")+SUMIFS(Movimientos!$K$1:$K$724,Movimientos!$C$1:$C$724,"Green Stone Trust",Movimientos!$B$1:$B$724,"&lt;="&amp;$B45)</f>
        <v>1968.99</v>
      </c>
      <c r="O45" s="24">
        <f>SUMIFS('Saldos Iniciales'!$D:$D,'Saldos Iniciales'!$A:$A,"EC Auto")+SUMIFS(Movimientos!$K$1:$K$724,Movimientos!$C$1:$C$724,"EC Auto",Movimientos!$B$1:$B$724,"&lt;="&amp;$B45)</f>
        <v>382.69000000000005</v>
      </c>
      <c r="P45" s="24">
        <f>SUMIFS('Saldos Iniciales'!$D:$D,'Saldos Iniciales'!$A:$A,"Arbor Capital Properties")+SUMIFS(Movimientos!$K$1:$K$724,Movimientos!$C$1:$C$724,"Arbor Capital Properties",Movimientos!$B$1:$B$724,"&lt;="&amp;$B45)</f>
        <v>1428.08</v>
      </c>
      <c r="Q45" s="24">
        <f>SUMIFS('Saldos Iniciales'!$D:$D,'Saldos Iniciales'!$A:$A,"2515 Overbrook")+SUMIFS(Movimientos!$K$1:$K$724,Movimientos!$C$1:$C$724,"2515 Overbrook",Movimientos!$B$1:$B$724,"&lt;="&amp;$B45)</f>
        <v>27789.969999999961</v>
      </c>
      <c r="R45" s="24">
        <f>SUMIFS('Saldos Iniciales'!$D:$D,'Saldos Iniciales'!$A:$A,"112 Florida Ave")+SUMIFS(Movimientos!$K$1:$K$724,Movimientos!$C$1:$C$724,"112 Florida Ave",Movimientos!$B$1:$B$724,"&lt;="&amp;$B45)</f>
        <v>5321.4300000000021</v>
      </c>
      <c r="S45" s="24">
        <f>SUMIFS('Saldos Iniciales'!$D:$D,'Saldos Iniciales'!$A:$A,"3628 Thomas Ave")+SUMIFS(Movimientos!$K$1:$K$724,Movimientos!$C$1:$C$724,"3628 Thomas Ave",Movimientos!$B$1:$B$724,"&lt;="&amp;$B45)</f>
        <v>24484.85</v>
      </c>
      <c r="T45" s="24">
        <f>SUMIFS('Saldos Iniciales'!$D:$D,'Saldos Iniciales'!$A:$A,"Green Harbor Trust")+SUMIFS(Movimientos!$K$1:$K$724,Movimientos!$C$1:$C$724,"Green Harbor Trust",Movimientos!$B$1:$B$724,"&lt;="&amp;$B45)</f>
        <v>345</v>
      </c>
      <c r="U45" s="24">
        <f>SUMIFS('Saldos Iniciales'!$D:$D,'Saldos Iniciales'!$A:$A,"Go Blue")+SUMIFS(Movimientos!$K$1:$K$724,Movimientos!$C$1:$C$724,"Go Blue",Movimientos!$B$1:$B$724,"&lt;="&amp;$B45)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Group")+SUMIFS(Movimientos!$K$1:$K$724,Movimientos!$C$1:$C$724,"CFT Group",Movimientos!$B$1:$B$724,"&lt;="&amp;$B46)</f>
        <v>1837784.84</v>
      </c>
      <c r="D46" s="24">
        <f>SUMIFS('Saldos Iniciales'!$D:$D,'Saldos Iniciales'!$A:$A,"M1B")+SUMIFS(Movimientos!$K$1:$K$724,Movimientos!$C$1:$C$724,"M1B",Movimientos!$B$1:$B$724,"&lt;="&amp;$B46)</f>
        <v>69376.390000000174</v>
      </c>
      <c r="E46" s="24">
        <f>SUMIFS('Saldos Iniciales'!$D:$D,'Saldos Iniciales'!$A:$A,"Durand")+SUMIFS(Movimientos!$K$1:$K$724,Movimientos!$C$1:$C$724,"Durand",Movimientos!$B$1:$B$724,"&lt;="&amp;$B46)</f>
        <v>1669.89</v>
      </c>
      <c r="F46" s="24">
        <f>SUMIFS('Saldos Iniciales'!$D:$D,'Saldos Iniciales'!$A:$A,"A&amp;M Imports")+SUMIFS(Movimientos!$K$1:$K$724,Movimientos!$C$1:$C$724,"A&amp;M Imports",Movimientos!$B$1:$B$724,"&lt;="&amp;$B46)</f>
        <v>564626.20999999985</v>
      </c>
      <c r="G46" s="24">
        <f>SUMIFS('Saldos Iniciales'!$D:$D,'Saldos Iniciales'!$A:$A,"SSP Capital")+SUMIFS(Movimientos!$K$1:$K$724,Movimientos!$C$1:$C$724,"SSP Capital",Movimientos!$B$1:$B$724,"&lt;="&amp;$B46)</f>
        <v>3763348.8299999996</v>
      </c>
      <c r="H46" s="24">
        <f>SUMIFS('Saldos Iniciales'!$D:$D,'Saldos Iniciales'!$A:$A,"Cross Family Trust")+SUMIFS(Movimientos!$K$1:$K$724,Movimientos!$C$1:$C$724,"Cross Family Trust",Movimientos!$B$1:$B$724,"&lt;="&amp;$B46)</f>
        <v>116496.38</v>
      </c>
      <c r="I46" s="24">
        <f>SUMIFS('Saldos Iniciales'!$D:$D,'Saldos Iniciales'!$A:$A,"Cross Security Trust")+SUMIFS(Movimientos!$K$1:$K$724,Movimientos!$C$1:$C$724,"Cross Security Trust",Movimientos!$B$1:$B$724,"&lt;="&amp;$B46)</f>
        <v>88090.37</v>
      </c>
      <c r="J46" s="24">
        <f>SUMIFS('Saldos Iniciales'!$D:$D,'Saldos Iniciales'!$A:$A,"Electrama")+SUMIFS(Movimientos!$K$1:$K$724,Movimientos!$C$1:$C$724,"Electrama",Movimientos!$B$1:$B$724,"&lt;="&amp;$B46)</f>
        <v>511.15999999999985</v>
      </c>
      <c r="K46" s="24">
        <f>SUMIFS('Saldos Iniciales'!$D:$D,'Saldos Iniciales'!$A:$A,"Sacred Valley Capital")+SUMIFS(Movimientos!$K$1:$K$724,Movimientos!$C$1:$C$724,"Sacred Valley Capital",Movimientos!$B$1:$B$724,"&lt;="&amp;$B46)</f>
        <v>84.35</v>
      </c>
      <c r="L46" s="24">
        <f>SUMIFS('Saldos Iniciales'!$D:$D,'Saldos Iniciales'!$A:$A,"YWC Capital")+SUMIFS(Movimientos!$K$1:$K$724,Movimientos!$C$1:$C$724,"YWC Capital",Movimientos!$B$1:$B$724,"&lt;="&amp;$B46)</f>
        <v>2237.77</v>
      </c>
      <c r="M46" s="24">
        <f>SUMIFS('Saldos Iniciales'!$D:$D,'Saldos Iniciales'!$A:$A,"Soweto")+SUMIFS(Movimientos!$K$1:$K$724,Movimientos!$C$1:$C$724,"Soweto",Movimientos!$B$1:$B$724,"&lt;="&amp;$B46)</f>
        <v>3349.94</v>
      </c>
      <c r="N46" s="24">
        <f>SUMIFS('Saldos Iniciales'!$D:$D,'Saldos Iniciales'!$A:$A,"Green Stone Trust")+SUMIFS(Movimientos!$K$1:$K$724,Movimientos!$C$1:$C$724,"Green Stone Trust",Movimientos!$B$1:$B$724,"&lt;="&amp;$B46)</f>
        <v>1968.99</v>
      </c>
      <c r="O46" s="24">
        <f>SUMIFS('Saldos Iniciales'!$D:$D,'Saldos Iniciales'!$A:$A,"EC Auto")+SUMIFS(Movimientos!$K$1:$K$724,Movimientos!$C$1:$C$724,"EC Auto",Movimientos!$B$1:$B$724,"&lt;="&amp;$B46)</f>
        <v>382.69000000000005</v>
      </c>
      <c r="P46" s="24">
        <f>SUMIFS('Saldos Iniciales'!$D:$D,'Saldos Iniciales'!$A:$A,"Arbor Capital Properties")+SUMIFS(Movimientos!$K$1:$K$724,Movimientos!$C$1:$C$724,"Arbor Capital Properties",Movimientos!$B$1:$B$724,"&lt;="&amp;$B46)</f>
        <v>1428.08</v>
      </c>
      <c r="Q46" s="24">
        <f>SUMIFS('Saldos Iniciales'!$D:$D,'Saldos Iniciales'!$A:$A,"2515 Overbrook")+SUMIFS(Movimientos!$K$1:$K$724,Movimientos!$C$1:$C$724,"2515 Overbrook",Movimientos!$B$1:$B$724,"&lt;="&amp;$B46)</f>
        <v>27789.969999999961</v>
      </c>
      <c r="R46" s="24">
        <f>SUMIFS('Saldos Iniciales'!$D:$D,'Saldos Iniciales'!$A:$A,"112 Florida Ave")+SUMIFS(Movimientos!$K$1:$K$724,Movimientos!$C$1:$C$724,"112 Florida Ave",Movimientos!$B$1:$B$724,"&lt;="&amp;$B46)</f>
        <v>5321.4300000000021</v>
      </c>
      <c r="S46" s="24">
        <f>SUMIFS('Saldos Iniciales'!$D:$D,'Saldos Iniciales'!$A:$A,"3628 Thomas Ave")+SUMIFS(Movimientos!$K$1:$K$724,Movimientos!$C$1:$C$724,"3628 Thomas Ave",Movimientos!$B$1:$B$724,"&lt;="&amp;$B46)</f>
        <v>24484.85</v>
      </c>
      <c r="T46" s="24">
        <f>SUMIFS('Saldos Iniciales'!$D:$D,'Saldos Iniciales'!$A:$A,"Green Harbor Trust")+SUMIFS(Movimientos!$K$1:$K$724,Movimientos!$C$1:$C$724,"Green Harbor Trust",Movimientos!$B$1:$B$724,"&lt;="&amp;$B46)</f>
        <v>345</v>
      </c>
      <c r="U46" s="24">
        <f>SUMIFS('Saldos Iniciales'!$D:$D,'Saldos Iniciales'!$A:$A,"Go Blue")+SUMIFS(Movimientos!$K$1:$K$724,Movimientos!$C$1:$C$724,"Go Blue",Movimientos!$B$1:$B$724,"&lt;="&amp;$B46)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Group")+SUMIFS(Movimientos!$K$1:$K$724,Movimientos!$C$1:$C$724,"CFT Group",Movimientos!$B$1:$B$724,"&lt;="&amp;$B47)</f>
        <v>985975.94000000029</v>
      </c>
      <c r="D47" s="24">
        <f>SUMIFS('Saldos Iniciales'!$D:$D,'Saldos Iniciales'!$A:$A,"M1B")+SUMIFS(Movimientos!$K$1:$K$724,Movimientos!$C$1:$C$724,"M1B",Movimientos!$B$1:$B$724,"&lt;="&amp;$B47)</f>
        <v>69376.390000000174</v>
      </c>
      <c r="E47" s="24">
        <f>SUMIFS('Saldos Iniciales'!$D:$D,'Saldos Iniciales'!$A:$A,"Durand")+SUMIFS(Movimientos!$K$1:$K$724,Movimientos!$C$1:$C$724,"Durand",Movimientos!$B$1:$B$724,"&lt;="&amp;$B47)</f>
        <v>1669.89</v>
      </c>
      <c r="F47" s="24">
        <f>SUMIFS('Saldos Iniciales'!$D:$D,'Saldos Iniciales'!$A:$A,"A&amp;M Imports")+SUMIFS(Movimientos!$K$1:$K$724,Movimientos!$C$1:$C$724,"A&amp;M Imports",Movimientos!$B$1:$B$724,"&lt;="&amp;$B47)</f>
        <v>503904.80999999982</v>
      </c>
      <c r="G47" s="24">
        <f>SUMIFS('Saldos Iniciales'!$D:$D,'Saldos Iniciales'!$A:$A,"SSP Capital")+SUMIFS(Movimientos!$K$1:$K$724,Movimientos!$C$1:$C$724,"SSP Capital",Movimientos!$B$1:$B$724,"&lt;="&amp;$B47)</f>
        <v>3331737.2399999998</v>
      </c>
      <c r="H47" s="24">
        <f>SUMIFS('Saldos Iniciales'!$D:$D,'Saldos Iniciales'!$A:$A,"Cross Family Trust")+SUMIFS(Movimientos!$K$1:$K$724,Movimientos!$C$1:$C$724,"Cross Family Trust",Movimientos!$B$1:$B$724,"&lt;="&amp;$B47)</f>
        <v>116496.38</v>
      </c>
      <c r="I47" s="24">
        <f>SUMIFS('Saldos Iniciales'!$D:$D,'Saldos Iniciales'!$A:$A,"Cross Security Trust")+SUMIFS(Movimientos!$K$1:$K$724,Movimientos!$C$1:$C$724,"Cross Security Trust",Movimientos!$B$1:$B$724,"&lt;="&amp;$B47)</f>
        <v>88090.37</v>
      </c>
      <c r="J47" s="24">
        <f>SUMIFS('Saldos Iniciales'!$D:$D,'Saldos Iniciales'!$A:$A,"Electrama")+SUMIFS(Movimientos!$K$1:$K$724,Movimientos!$C$1:$C$724,"Electrama",Movimientos!$B$1:$B$724,"&lt;="&amp;$B47)</f>
        <v>511.15999999999985</v>
      </c>
      <c r="K47" s="24">
        <f>SUMIFS('Saldos Iniciales'!$D:$D,'Saldos Iniciales'!$A:$A,"Sacred Valley Capital")+SUMIFS(Movimientos!$K$1:$K$724,Movimientos!$C$1:$C$724,"Sacred Valley Capital",Movimientos!$B$1:$B$724,"&lt;="&amp;$B47)</f>
        <v>84.35</v>
      </c>
      <c r="L47" s="24">
        <f>SUMIFS('Saldos Iniciales'!$D:$D,'Saldos Iniciales'!$A:$A,"YWC Capital")+SUMIFS(Movimientos!$K$1:$K$724,Movimientos!$C$1:$C$724,"YWC Capital",Movimientos!$B$1:$B$724,"&lt;="&amp;$B47)</f>
        <v>2237.77</v>
      </c>
      <c r="M47" s="24">
        <f>SUMIFS('Saldos Iniciales'!$D:$D,'Saldos Iniciales'!$A:$A,"Soweto")+SUMIFS(Movimientos!$K$1:$K$724,Movimientos!$C$1:$C$724,"Soweto",Movimientos!$B$1:$B$724,"&lt;="&amp;$B47)</f>
        <v>3349.94</v>
      </c>
      <c r="N47" s="24">
        <f>SUMIFS('Saldos Iniciales'!$D:$D,'Saldos Iniciales'!$A:$A,"Green Stone Trust")+SUMIFS(Movimientos!$K$1:$K$724,Movimientos!$C$1:$C$724,"Green Stone Trust",Movimientos!$B$1:$B$724,"&lt;="&amp;$B47)</f>
        <v>1968.99</v>
      </c>
      <c r="O47" s="24">
        <f>SUMIFS('Saldos Iniciales'!$D:$D,'Saldos Iniciales'!$A:$A,"EC Auto")+SUMIFS(Movimientos!$K$1:$K$724,Movimientos!$C$1:$C$724,"EC Auto",Movimientos!$B$1:$B$724,"&lt;="&amp;$B47)</f>
        <v>382.69000000000005</v>
      </c>
      <c r="P47" s="24">
        <f>SUMIFS('Saldos Iniciales'!$D:$D,'Saldos Iniciales'!$A:$A,"Arbor Capital Properties")+SUMIFS(Movimientos!$K$1:$K$724,Movimientos!$C$1:$C$724,"Arbor Capital Properties",Movimientos!$B$1:$B$724,"&lt;="&amp;$B47)</f>
        <v>1428.08</v>
      </c>
      <c r="Q47" s="24">
        <f>SUMIFS('Saldos Iniciales'!$D:$D,'Saldos Iniciales'!$A:$A,"2515 Overbrook")+SUMIFS(Movimientos!$K$1:$K$724,Movimientos!$C$1:$C$724,"2515 Overbrook",Movimientos!$B$1:$B$724,"&lt;="&amp;$B47)</f>
        <v>29789.969999999961</v>
      </c>
      <c r="R47" s="24">
        <f>SUMIFS('Saldos Iniciales'!$D:$D,'Saldos Iniciales'!$A:$A,"112 Florida Ave")+SUMIFS(Movimientos!$K$1:$K$724,Movimientos!$C$1:$C$724,"112 Florida Ave",Movimientos!$B$1:$B$724,"&lt;="&amp;$B47)</f>
        <v>5321.4300000000021</v>
      </c>
      <c r="S47" s="24">
        <f>SUMIFS('Saldos Iniciales'!$D:$D,'Saldos Iniciales'!$A:$A,"3628 Thomas Ave")+SUMIFS(Movimientos!$K$1:$K$724,Movimientos!$C$1:$C$724,"3628 Thomas Ave",Movimientos!$B$1:$B$724,"&lt;="&amp;$B47)</f>
        <v>20484.849999999999</v>
      </c>
      <c r="T47" s="24">
        <f>SUMIFS('Saldos Iniciales'!$D:$D,'Saldos Iniciales'!$A:$A,"Green Harbor Trust")+SUMIFS(Movimientos!$K$1:$K$724,Movimientos!$C$1:$C$724,"Green Harbor Trust",Movimientos!$B$1:$B$724,"&lt;="&amp;$B47)</f>
        <v>345</v>
      </c>
      <c r="U47" s="24">
        <f>SUMIFS('Saldos Iniciales'!$D:$D,'Saldos Iniciales'!$A:$A,"Go Blue")+SUMIFS(Movimientos!$K$1:$K$724,Movimientos!$C$1:$C$724,"Go Blue",Movimientos!$B$1:$B$724,"&lt;="&amp;$B47)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Group")+SUMIFS(Movimientos!$K$1:$K$724,Movimientos!$C$1:$C$724,"CFT Group",Movimientos!$B$1:$B$724,"&lt;="&amp;$B48)</f>
        <v>1086358.7500000002</v>
      </c>
      <c r="D48" s="24">
        <f>SUMIFS('Saldos Iniciales'!$D:$D,'Saldos Iniciales'!$A:$A,"M1B")+SUMIFS(Movimientos!$K$1:$K$724,Movimientos!$C$1:$C$724,"M1B",Movimientos!$B$1:$B$724,"&lt;="&amp;$B48)</f>
        <v>69376.390000000174</v>
      </c>
      <c r="E48" s="24">
        <f>SUMIFS('Saldos Iniciales'!$D:$D,'Saldos Iniciales'!$A:$A,"Durand")+SUMIFS(Movimientos!$K$1:$K$724,Movimientos!$C$1:$C$724,"Durand",Movimientos!$B$1:$B$724,"&lt;="&amp;$B48)</f>
        <v>1669.89</v>
      </c>
      <c r="F48" s="24">
        <f>SUMIFS('Saldos Iniciales'!$D:$D,'Saldos Iniciales'!$A:$A,"A&amp;M Imports")+SUMIFS(Movimientos!$K$1:$K$724,Movimientos!$C$1:$C$724,"A&amp;M Imports",Movimientos!$B$1:$B$724,"&lt;="&amp;$B48)</f>
        <v>503904.80999999982</v>
      </c>
      <c r="G48" s="24">
        <f>SUMIFS('Saldos Iniciales'!$D:$D,'Saldos Iniciales'!$A:$A,"SSP Capital")+SUMIFS(Movimientos!$K$1:$K$724,Movimientos!$C$1:$C$724,"SSP Capital",Movimientos!$B$1:$B$724,"&lt;="&amp;$B48)</f>
        <v>3329246.88</v>
      </c>
      <c r="H48" s="24">
        <f>SUMIFS('Saldos Iniciales'!$D:$D,'Saldos Iniciales'!$A:$A,"Cross Family Trust")+SUMIFS(Movimientos!$K$1:$K$724,Movimientos!$C$1:$C$724,"Cross Family Trust",Movimientos!$B$1:$B$724,"&lt;="&amp;$B48)</f>
        <v>116496.38</v>
      </c>
      <c r="I48" s="24">
        <f>SUMIFS('Saldos Iniciales'!$D:$D,'Saldos Iniciales'!$A:$A,"Cross Security Trust")+SUMIFS(Movimientos!$K$1:$K$724,Movimientos!$C$1:$C$724,"Cross Security Trust",Movimientos!$B$1:$B$724,"&lt;="&amp;$B48)</f>
        <v>88090.37</v>
      </c>
      <c r="J48" s="24">
        <f>SUMIFS('Saldos Iniciales'!$D:$D,'Saldos Iniciales'!$A:$A,"Electrama")+SUMIFS(Movimientos!$K$1:$K$724,Movimientos!$C$1:$C$724,"Electrama",Movimientos!$B$1:$B$724,"&lt;="&amp;$B48)</f>
        <v>511.15999999999985</v>
      </c>
      <c r="K48" s="24">
        <f>SUMIFS('Saldos Iniciales'!$D:$D,'Saldos Iniciales'!$A:$A,"Sacred Valley Capital")+SUMIFS(Movimientos!$K$1:$K$724,Movimientos!$C$1:$C$724,"Sacred Valley Capital",Movimientos!$B$1:$B$724,"&lt;="&amp;$B48)</f>
        <v>84.35</v>
      </c>
      <c r="L48" s="24">
        <f>SUMIFS('Saldos Iniciales'!$D:$D,'Saldos Iniciales'!$A:$A,"YWC Capital")+SUMIFS(Movimientos!$K$1:$K$724,Movimientos!$C$1:$C$724,"YWC Capital",Movimientos!$B$1:$B$724,"&lt;="&amp;$B48)</f>
        <v>2237.77</v>
      </c>
      <c r="M48" s="24">
        <f>SUMIFS('Saldos Iniciales'!$D:$D,'Saldos Iniciales'!$A:$A,"Soweto")+SUMIFS(Movimientos!$K$1:$K$724,Movimientos!$C$1:$C$724,"Soweto",Movimientos!$B$1:$B$724,"&lt;="&amp;$B48)</f>
        <v>3349.94</v>
      </c>
      <c r="N48" s="24">
        <f>SUMIFS('Saldos Iniciales'!$D:$D,'Saldos Iniciales'!$A:$A,"Green Stone Trust")+SUMIFS(Movimientos!$K$1:$K$724,Movimientos!$C$1:$C$724,"Green Stone Trust",Movimientos!$B$1:$B$724,"&lt;="&amp;$B48)</f>
        <v>1968.99</v>
      </c>
      <c r="O48" s="24">
        <f>SUMIFS('Saldos Iniciales'!$D:$D,'Saldos Iniciales'!$A:$A,"EC Auto")+SUMIFS(Movimientos!$K$1:$K$724,Movimientos!$C$1:$C$724,"EC Auto",Movimientos!$B$1:$B$724,"&lt;="&amp;$B48)</f>
        <v>382.69000000000005</v>
      </c>
      <c r="P48" s="24">
        <f>SUMIFS('Saldos Iniciales'!$D:$D,'Saldos Iniciales'!$A:$A,"Arbor Capital Properties")+SUMIFS(Movimientos!$K$1:$K$724,Movimientos!$C$1:$C$724,"Arbor Capital Properties",Movimientos!$B$1:$B$724,"&lt;="&amp;$B48)</f>
        <v>1428.08</v>
      </c>
      <c r="Q48" s="24">
        <f>SUMIFS('Saldos Iniciales'!$D:$D,'Saldos Iniciales'!$A:$A,"2515 Overbrook")+SUMIFS(Movimientos!$K$1:$K$724,Movimientos!$C$1:$C$724,"2515 Overbrook",Movimientos!$B$1:$B$724,"&lt;="&amp;$B48)</f>
        <v>29789.969999999961</v>
      </c>
      <c r="R48" s="24">
        <f>SUMIFS('Saldos Iniciales'!$D:$D,'Saldos Iniciales'!$A:$A,"112 Florida Ave")+SUMIFS(Movimientos!$K$1:$K$724,Movimientos!$C$1:$C$724,"112 Florida Ave",Movimientos!$B$1:$B$724,"&lt;="&amp;$B48)</f>
        <v>20321.43</v>
      </c>
      <c r="S48" s="24">
        <f>SUMIFS('Saldos Iniciales'!$D:$D,'Saldos Iniciales'!$A:$A,"3628 Thomas Ave")+SUMIFS(Movimientos!$K$1:$K$724,Movimientos!$C$1:$C$724,"3628 Thomas Ave",Movimientos!$B$1:$B$724,"&lt;="&amp;$B48)</f>
        <v>19811.349999999999</v>
      </c>
      <c r="T48" s="24">
        <f>SUMIFS('Saldos Iniciales'!$D:$D,'Saldos Iniciales'!$A:$A,"Green Harbor Trust")+SUMIFS(Movimientos!$K$1:$K$724,Movimientos!$C$1:$C$724,"Green Harbor Trust",Movimientos!$B$1:$B$724,"&lt;="&amp;$B48)</f>
        <v>345</v>
      </c>
      <c r="U48" s="24">
        <f>SUMIFS('Saldos Iniciales'!$D:$D,'Saldos Iniciales'!$A:$A,"Go Blue")+SUMIFS(Movimientos!$K$1:$K$724,Movimientos!$C$1:$C$724,"Go Blue",Movimientos!$B$1:$B$724,"&lt;="&amp;$B48)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Group")+SUMIFS(Movimientos!$K$1:$K$724,Movimientos!$C$1:$C$724,"CFT Group",Movimientos!$B$1:$B$724,"&lt;="&amp;$B49)</f>
        <v>1098358.7500000002</v>
      </c>
      <c r="D49" s="24">
        <f>SUMIFS('Saldos Iniciales'!$D:$D,'Saldos Iniciales'!$A:$A,"M1B")+SUMIFS(Movimientos!$K$1:$K$724,Movimientos!$C$1:$C$724,"M1B",Movimientos!$B$1:$B$724,"&lt;="&amp;$B49)</f>
        <v>69376.390000000174</v>
      </c>
      <c r="E49" s="24">
        <f>SUMIFS('Saldos Iniciales'!$D:$D,'Saldos Iniciales'!$A:$A,"Durand")+SUMIFS(Movimientos!$K$1:$K$724,Movimientos!$C$1:$C$724,"Durand",Movimientos!$B$1:$B$724,"&lt;="&amp;$B49)</f>
        <v>1669.89</v>
      </c>
      <c r="F49" s="24">
        <f>SUMIFS('Saldos Iniciales'!$D:$D,'Saldos Iniciales'!$A:$A,"A&amp;M Imports")+SUMIFS(Movimientos!$K$1:$K$724,Movimientos!$C$1:$C$724,"A&amp;M Imports",Movimientos!$B$1:$B$724,"&lt;="&amp;$B49)</f>
        <v>503904.80999999982</v>
      </c>
      <c r="G49" s="24">
        <f>SUMIFS('Saldos Iniciales'!$D:$D,'Saldos Iniciales'!$A:$A,"SSP Capital")+SUMIFS(Movimientos!$K$1:$K$724,Movimientos!$C$1:$C$724,"SSP Capital",Movimientos!$B$1:$B$724,"&lt;="&amp;$B49)</f>
        <v>3326863.3899999997</v>
      </c>
      <c r="H49" s="24">
        <f>SUMIFS('Saldos Iniciales'!$D:$D,'Saldos Iniciales'!$A:$A,"Cross Family Trust")+SUMIFS(Movimientos!$K$1:$K$724,Movimientos!$C$1:$C$724,"Cross Family Trust",Movimientos!$B$1:$B$724,"&lt;="&amp;$B49)</f>
        <v>116496.38</v>
      </c>
      <c r="I49" s="24">
        <f>SUMIFS('Saldos Iniciales'!$D:$D,'Saldos Iniciales'!$A:$A,"Cross Security Trust")+SUMIFS(Movimientos!$K$1:$K$724,Movimientos!$C$1:$C$724,"Cross Security Trust",Movimientos!$B$1:$B$724,"&lt;="&amp;$B49)</f>
        <v>88090.37</v>
      </c>
      <c r="J49" s="24">
        <f>SUMIFS('Saldos Iniciales'!$D:$D,'Saldos Iniciales'!$A:$A,"Electrama")+SUMIFS(Movimientos!$K$1:$K$724,Movimientos!$C$1:$C$724,"Electrama",Movimientos!$B$1:$B$724,"&lt;="&amp;$B49)</f>
        <v>511.15999999999985</v>
      </c>
      <c r="K49" s="24">
        <f>SUMIFS('Saldos Iniciales'!$D:$D,'Saldos Iniciales'!$A:$A,"Sacred Valley Capital")+SUMIFS(Movimientos!$K$1:$K$724,Movimientos!$C$1:$C$724,"Sacred Valley Capital",Movimientos!$B$1:$B$724,"&lt;="&amp;$B49)</f>
        <v>84.35</v>
      </c>
      <c r="L49" s="24">
        <f>SUMIFS('Saldos Iniciales'!$D:$D,'Saldos Iniciales'!$A:$A,"YWC Capital")+SUMIFS(Movimientos!$K$1:$K$724,Movimientos!$C$1:$C$724,"YWC Capital",Movimientos!$B$1:$B$724,"&lt;="&amp;$B49)</f>
        <v>2237.77</v>
      </c>
      <c r="M49" s="24">
        <f>SUMIFS('Saldos Iniciales'!$D:$D,'Saldos Iniciales'!$A:$A,"Soweto")+SUMIFS(Movimientos!$K$1:$K$724,Movimientos!$C$1:$C$724,"Soweto",Movimientos!$B$1:$B$724,"&lt;="&amp;$B49)</f>
        <v>3349.94</v>
      </c>
      <c r="N49" s="24">
        <f>SUMIFS('Saldos Iniciales'!$D:$D,'Saldos Iniciales'!$A:$A,"Green Stone Trust")+SUMIFS(Movimientos!$K$1:$K$724,Movimientos!$C$1:$C$724,"Green Stone Trust",Movimientos!$B$1:$B$724,"&lt;="&amp;$B49)</f>
        <v>1968.99</v>
      </c>
      <c r="O49" s="24">
        <f>SUMIFS('Saldos Iniciales'!$D:$D,'Saldos Iniciales'!$A:$A,"EC Auto")+SUMIFS(Movimientos!$K$1:$K$724,Movimientos!$C$1:$C$724,"EC Auto",Movimientos!$B$1:$B$724,"&lt;="&amp;$B49)</f>
        <v>382.69000000000005</v>
      </c>
      <c r="P49" s="24">
        <f>SUMIFS('Saldos Iniciales'!$D:$D,'Saldos Iniciales'!$A:$A,"Arbor Capital Properties")+SUMIFS(Movimientos!$K$1:$K$724,Movimientos!$C$1:$C$724,"Arbor Capital Properties",Movimientos!$B$1:$B$724,"&lt;="&amp;$B49)</f>
        <v>1428.08</v>
      </c>
      <c r="Q49" s="24">
        <f>SUMIFS('Saldos Iniciales'!$D:$D,'Saldos Iniciales'!$A:$A,"2515 Overbrook")+SUMIFS(Movimientos!$K$1:$K$724,Movimientos!$C$1:$C$724,"2515 Overbrook",Movimientos!$B$1:$B$724,"&lt;="&amp;$B49)</f>
        <v>29789.969999999961</v>
      </c>
      <c r="R49" s="24">
        <f>SUMIFS('Saldos Iniciales'!$D:$D,'Saldos Iniciales'!$A:$A,"112 Florida Ave")+SUMIFS(Movimientos!$K$1:$K$724,Movimientos!$C$1:$C$724,"112 Florida Ave",Movimientos!$B$1:$B$724,"&lt;="&amp;$B49)</f>
        <v>20321.43</v>
      </c>
      <c r="S49" s="24">
        <f>SUMIFS('Saldos Iniciales'!$D:$D,'Saldos Iniciales'!$A:$A,"3628 Thomas Ave")+SUMIFS(Movimientos!$K$1:$K$724,Movimientos!$C$1:$C$724,"3628 Thomas Ave",Movimientos!$B$1:$B$724,"&lt;="&amp;$B49)</f>
        <v>16681.349999999999</v>
      </c>
      <c r="T49" s="24">
        <f>SUMIFS('Saldos Iniciales'!$D:$D,'Saldos Iniciales'!$A:$A,"Green Harbor Trust")+SUMIFS(Movimientos!$K$1:$K$724,Movimientos!$C$1:$C$724,"Green Harbor Trust",Movimientos!$B$1:$B$724,"&lt;="&amp;$B49)</f>
        <v>345</v>
      </c>
      <c r="U49" s="24">
        <f>SUMIFS('Saldos Iniciales'!$D:$D,'Saldos Iniciales'!$A:$A,"Go Blue")+SUMIFS(Movimientos!$K$1:$K$724,Movimientos!$C$1:$C$724,"Go Blue",Movimientos!$B$1:$B$724,"&lt;="&amp;$B49)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Group")+SUMIFS(Movimientos!$K$1:$K$724,Movimientos!$C$1:$C$724,"CFT Group",Movimientos!$B$1:$B$724,"&lt;="&amp;$B50)</f>
        <v>1098358.7500000002</v>
      </c>
      <c r="D50" s="24">
        <f>SUMIFS('Saldos Iniciales'!$D:$D,'Saldos Iniciales'!$A:$A,"M1B")+SUMIFS(Movimientos!$K$1:$K$724,Movimientos!$C$1:$C$724,"M1B",Movimientos!$B$1:$B$724,"&lt;="&amp;$B50)</f>
        <v>69376.390000000174</v>
      </c>
      <c r="E50" s="24">
        <f>SUMIFS('Saldos Iniciales'!$D:$D,'Saldos Iniciales'!$A:$A,"Durand")+SUMIFS(Movimientos!$K$1:$K$724,Movimientos!$C$1:$C$724,"Durand",Movimientos!$B$1:$B$724,"&lt;="&amp;$B50)</f>
        <v>1669.89</v>
      </c>
      <c r="F50" s="24">
        <f>SUMIFS('Saldos Iniciales'!$D:$D,'Saldos Iniciales'!$A:$A,"A&amp;M Imports")+SUMIFS(Movimientos!$K$1:$K$724,Movimientos!$C$1:$C$724,"A&amp;M Imports",Movimientos!$B$1:$B$724,"&lt;="&amp;$B50)</f>
        <v>503904.80999999982</v>
      </c>
      <c r="G50" s="24">
        <f>SUMIFS('Saldos Iniciales'!$D:$D,'Saldos Iniciales'!$A:$A,"SSP Capital")+SUMIFS(Movimientos!$K$1:$K$724,Movimientos!$C$1:$C$724,"SSP Capital",Movimientos!$B$1:$B$724,"&lt;="&amp;$B50)</f>
        <v>3326696.7299999995</v>
      </c>
      <c r="H50" s="24">
        <f>SUMIFS('Saldos Iniciales'!$D:$D,'Saldos Iniciales'!$A:$A,"Cross Family Trust")+SUMIFS(Movimientos!$K$1:$K$724,Movimientos!$C$1:$C$724,"Cross Family Trust",Movimientos!$B$1:$B$724,"&lt;="&amp;$B50)</f>
        <v>116496.38</v>
      </c>
      <c r="I50" s="24">
        <f>SUMIFS('Saldos Iniciales'!$D:$D,'Saldos Iniciales'!$A:$A,"Cross Security Trust")+SUMIFS(Movimientos!$K$1:$K$724,Movimientos!$C$1:$C$724,"Cross Security Trust",Movimientos!$B$1:$B$724,"&lt;="&amp;$B50)</f>
        <v>88090.37</v>
      </c>
      <c r="J50" s="24">
        <f>SUMIFS('Saldos Iniciales'!$D:$D,'Saldos Iniciales'!$A:$A,"Electrama")+SUMIFS(Movimientos!$K$1:$K$724,Movimientos!$C$1:$C$724,"Electrama",Movimientos!$B$1:$B$724,"&lt;="&amp;$B50)</f>
        <v>511.15999999999985</v>
      </c>
      <c r="K50" s="24">
        <f>SUMIFS('Saldos Iniciales'!$D:$D,'Saldos Iniciales'!$A:$A,"Sacred Valley Capital")+SUMIFS(Movimientos!$K$1:$K$724,Movimientos!$C$1:$C$724,"Sacred Valley Capital",Movimientos!$B$1:$B$724,"&lt;="&amp;$B50)</f>
        <v>84.35</v>
      </c>
      <c r="L50" s="24">
        <f>SUMIFS('Saldos Iniciales'!$D:$D,'Saldos Iniciales'!$A:$A,"YWC Capital")+SUMIFS(Movimientos!$K$1:$K$724,Movimientos!$C$1:$C$724,"YWC Capital",Movimientos!$B$1:$B$724,"&lt;="&amp;$B50)</f>
        <v>2237.77</v>
      </c>
      <c r="M50" s="24">
        <f>SUMIFS('Saldos Iniciales'!$D:$D,'Saldos Iniciales'!$A:$A,"Soweto")+SUMIFS(Movimientos!$K$1:$K$724,Movimientos!$C$1:$C$724,"Soweto",Movimientos!$B$1:$B$724,"&lt;="&amp;$B50)</f>
        <v>3349.94</v>
      </c>
      <c r="N50" s="24">
        <f>SUMIFS('Saldos Iniciales'!$D:$D,'Saldos Iniciales'!$A:$A,"Green Stone Trust")+SUMIFS(Movimientos!$K$1:$K$724,Movimientos!$C$1:$C$724,"Green Stone Trust",Movimientos!$B$1:$B$724,"&lt;="&amp;$B50)</f>
        <v>1968.99</v>
      </c>
      <c r="O50" s="24">
        <f>SUMIFS('Saldos Iniciales'!$D:$D,'Saldos Iniciales'!$A:$A,"EC Auto")+SUMIFS(Movimientos!$K$1:$K$724,Movimientos!$C$1:$C$724,"EC Auto",Movimientos!$B$1:$B$724,"&lt;="&amp;$B50)</f>
        <v>382.69000000000005</v>
      </c>
      <c r="P50" s="24">
        <f>SUMIFS('Saldos Iniciales'!$D:$D,'Saldos Iniciales'!$A:$A,"Arbor Capital Properties")+SUMIFS(Movimientos!$K$1:$K$724,Movimientos!$C$1:$C$724,"Arbor Capital Properties",Movimientos!$B$1:$B$724,"&lt;="&amp;$B50)</f>
        <v>1428.08</v>
      </c>
      <c r="Q50" s="24">
        <f>SUMIFS('Saldos Iniciales'!$D:$D,'Saldos Iniciales'!$A:$A,"2515 Overbrook")+SUMIFS(Movimientos!$K$1:$K$724,Movimientos!$C$1:$C$724,"2515 Overbrook",Movimientos!$B$1:$B$724,"&lt;="&amp;$B50)</f>
        <v>29789.969999999961</v>
      </c>
      <c r="R50" s="24">
        <f>SUMIFS('Saldos Iniciales'!$D:$D,'Saldos Iniciales'!$A:$A,"112 Florida Ave")+SUMIFS(Movimientos!$K$1:$K$724,Movimientos!$C$1:$C$724,"112 Florida Ave",Movimientos!$B$1:$B$724,"&lt;="&amp;$B50)</f>
        <v>20321.43</v>
      </c>
      <c r="S50" s="24">
        <f>SUMIFS('Saldos Iniciales'!$D:$D,'Saldos Iniciales'!$A:$A,"3628 Thomas Ave")+SUMIFS(Movimientos!$K$1:$K$724,Movimientos!$C$1:$C$724,"3628 Thomas Ave",Movimientos!$B$1:$B$724,"&lt;="&amp;$B50)</f>
        <v>16681.349999999999</v>
      </c>
      <c r="T50" s="24">
        <f>SUMIFS('Saldos Iniciales'!$D:$D,'Saldos Iniciales'!$A:$A,"Green Harbor Trust")+SUMIFS(Movimientos!$K$1:$K$724,Movimientos!$C$1:$C$724,"Green Harbor Trust",Movimientos!$B$1:$B$724,"&lt;="&amp;$B50)</f>
        <v>345</v>
      </c>
      <c r="U50" s="24">
        <f>SUMIFS('Saldos Iniciales'!$D:$D,'Saldos Iniciales'!$A:$A,"Go Blue")+SUMIFS(Movimientos!$K$1:$K$724,Movimientos!$C$1:$C$724,"Go Blue",Movimientos!$B$1:$B$724,"&lt;="&amp;$B50)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Group")+SUMIFS(Movimientos!$K$1:$K$724,Movimientos!$C$1:$C$724,"CFT Group",Movimientos!$B$1:$B$724,"&lt;="&amp;$B51)</f>
        <v>1098358.7500000002</v>
      </c>
      <c r="D51" s="24">
        <f>SUMIFS('Saldos Iniciales'!$D:$D,'Saldos Iniciales'!$A:$A,"M1B")+SUMIFS(Movimientos!$K$1:$K$724,Movimientos!$C$1:$C$724,"M1B",Movimientos!$B$1:$B$724,"&lt;="&amp;$B51)</f>
        <v>69376.390000000174</v>
      </c>
      <c r="E51" s="24">
        <f>SUMIFS('Saldos Iniciales'!$D:$D,'Saldos Iniciales'!$A:$A,"Durand")+SUMIFS(Movimientos!$K$1:$K$724,Movimientos!$C$1:$C$724,"Durand",Movimientos!$B$1:$B$724,"&lt;="&amp;$B51)</f>
        <v>1669.89</v>
      </c>
      <c r="F51" s="24">
        <f>SUMIFS('Saldos Iniciales'!$D:$D,'Saldos Iniciales'!$A:$A,"A&amp;M Imports")+SUMIFS(Movimientos!$K$1:$K$724,Movimientos!$C$1:$C$724,"A&amp;M Imports",Movimientos!$B$1:$B$724,"&lt;="&amp;$B51)</f>
        <v>503904.80999999982</v>
      </c>
      <c r="G51" s="24">
        <f>SUMIFS('Saldos Iniciales'!$D:$D,'Saldos Iniciales'!$A:$A,"SSP Capital")+SUMIFS(Movimientos!$K$1:$K$724,Movimientos!$C$1:$C$724,"SSP Capital",Movimientos!$B$1:$B$724,"&lt;="&amp;$B51)</f>
        <v>3326696.7299999995</v>
      </c>
      <c r="H51" s="24">
        <f>SUMIFS('Saldos Iniciales'!$D:$D,'Saldos Iniciales'!$A:$A,"Cross Family Trust")+SUMIFS(Movimientos!$K$1:$K$724,Movimientos!$C$1:$C$724,"Cross Family Trust",Movimientos!$B$1:$B$724,"&lt;="&amp;$B51)</f>
        <v>116496.38</v>
      </c>
      <c r="I51" s="24">
        <f>SUMIFS('Saldos Iniciales'!$D:$D,'Saldos Iniciales'!$A:$A,"Cross Security Trust")+SUMIFS(Movimientos!$K$1:$K$724,Movimientos!$C$1:$C$724,"Cross Security Trust",Movimientos!$B$1:$B$724,"&lt;="&amp;$B51)</f>
        <v>88090.37</v>
      </c>
      <c r="J51" s="24">
        <f>SUMIFS('Saldos Iniciales'!$D:$D,'Saldos Iniciales'!$A:$A,"Electrama")+SUMIFS(Movimientos!$K$1:$K$724,Movimientos!$C$1:$C$724,"Electrama",Movimientos!$B$1:$B$724,"&lt;="&amp;$B51)</f>
        <v>511.15999999999985</v>
      </c>
      <c r="K51" s="24">
        <f>SUMIFS('Saldos Iniciales'!$D:$D,'Saldos Iniciales'!$A:$A,"Sacred Valley Capital")+SUMIFS(Movimientos!$K$1:$K$724,Movimientos!$C$1:$C$724,"Sacred Valley Capital",Movimientos!$B$1:$B$724,"&lt;="&amp;$B51)</f>
        <v>84.35</v>
      </c>
      <c r="L51" s="24">
        <f>SUMIFS('Saldos Iniciales'!$D:$D,'Saldos Iniciales'!$A:$A,"YWC Capital")+SUMIFS(Movimientos!$K$1:$K$724,Movimientos!$C$1:$C$724,"YWC Capital",Movimientos!$B$1:$B$724,"&lt;="&amp;$B51)</f>
        <v>2237.77</v>
      </c>
      <c r="M51" s="24">
        <f>SUMIFS('Saldos Iniciales'!$D:$D,'Saldos Iniciales'!$A:$A,"Soweto")+SUMIFS(Movimientos!$K$1:$K$724,Movimientos!$C$1:$C$724,"Soweto",Movimientos!$B$1:$B$724,"&lt;="&amp;$B51)</f>
        <v>3349.94</v>
      </c>
      <c r="N51" s="24">
        <f>SUMIFS('Saldos Iniciales'!$D:$D,'Saldos Iniciales'!$A:$A,"Green Stone Trust")+SUMIFS(Movimientos!$K$1:$K$724,Movimientos!$C$1:$C$724,"Green Stone Trust",Movimientos!$B$1:$B$724,"&lt;="&amp;$B51)</f>
        <v>1968.99</v>
      </c>
      <c r="O51" s="24">
        <f>SUMIFS('Saldos Iniciales'!$D:$D,'Saldos Iniciales'!$A:$A,"EC Auto")+SUMIFS(Movimientos!$K$1:$K$724,Movimientos!$C$1:$C$724,"EC Auto",Movimientos!$B$1:$B$724,"&lt;="&amp;$B51)</f>
        <v>382.69000000000005</v>
      </c>
      <c r="P51" s="24">
        <f>SUMIFS('Saldos Iniciales'!$D:$D,'Saldos Iniciales'!$A:$A,"Arbor Capital Properties")+SUMIFS(Movimientos!$K$1:$K$724,Movimientos!$C$1:$C$724,"Arbor Capital Properties",Movimientos!$B$1:$B$724,"&lt;="&amp;$B51)</f>
        <v>1428.08</v>
      </c>
      <c r="Q51" s="24">
        <f>SUMIFS('Saldos Iniciales'!$D:$D,'Saldos Iniciales'!$A:$A,"2515 Overbrook")+SUMIFS(Movimientos!$K$1:$K$724,Movimientos!$C$1:$C$724,"2515 Overbrook",Movimientos!$B$1:$B$724,"&lt;="&amp;$B51)</f>
        <v>29789.969999999961</v>
      </c>
      <c r="R51" s="24">
        <f>SUMIFS('Saldos Iniciales'!$D:$D,'Saldos Iniciales'!$A:$A,"112 Florida Ave")+SUMIFS(Movimientos!$K$1:$K$724,Movimientos!$C$1:$C$724,"112 Florida Ave",Movimientos!$B$1:$B$724,"&lt;="&amp;$B51)</f>
        <v>20321.43</v>
      </c>
      <c r="S51" s="24">
        <f>SUMIFS('Saldos Iniciales'!$D:$D,'Saldos Iniciales'!$A:$A,"3628 Thomas Ave")+SUMIFS(Movimientos!$K$1:$K$724,Movimientos!$C$1:$C$724,"3628 Thomas Ave",Movimientos!$B$1:$B$724,"&lt;="&amp;$B51)</f>
        <v>16681.349999999999</v>
      </c>
      <c r="T51" s="24">
        <f>SUMIFS('Saldos Iniciales'!$D:$D,'Saldos Iniciales'!$A:$A,"Green Harbor Trust")+SUMIFS(Movimientos!$K$1:$K$724,Movimientos!$C$1:$C$724,"Green Harbor Trust",Movimientos!$B$1:$B$724,"&lt;="&amp;$B51)</f>
        <v>345</v>
      </c>
      <c r="U51" s="24">
        <f>SUMIFS('Saldos Iniciales'!$D:$D,'Saldos Iniciales'!$A:$A,"Go Blue")+SUMIFS(Movimientos!$K$1:$K$724,Movimientos!$C$1:$C$724,"Go Blue",Movimientos!$B$1:$B$724,"&lt;="&amp;$B51)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Group")+SUMIFS(Movimientos!$K$1:$K$724,Movimientos!$C$1:$C$724,"CFT Group",Movimientos!$B$1:$B$724,"&lt;="&amp;$B52)</f>
        <v>1098358.7500000002</v>
      </c>
      <c r="D52" s="24">
        <f>SUMIFS('Saldos Iniciales'!$D:$D,'Saldos Iniciales'!$A:$A,"M1B")+SUMIFS(Movimientos!$K$1:$K$724,Movimientos!$C$1:$C$724,"M1B",Movimientos!$B$1:$B$724,"&lt;="&amp;$B52)</f>
        <v>69376.390000000174</v>
      </c>
      <c r="E52" s="24">
        <f>SUMIFS('Saldos Iniciales'!$D:$D,'Saldos Iniciales'!$A:$A,"Durand")+SUMIFS(Movimientos!$K$1:$K$724,Movimientos!$C$1:$C$724,"Durand",Movimientos!$B$1:$B$724,"&lt;="&amp;$B52)</f>
        <v>1669.89</v>
      </c>
      <c r="F52" s="24">
        <f>SUMIFS('Saldos Iniciales'!$D:$D,'Saldos Iniciales'!$A:$A,"A&amp;M Imports")+SUMIFS(Movimientos!$K$1:$K$724,Movimientos!$C$1:$C$724,"A&amp;M Imports",Movimientos!$B$1:$B$724,"&lt;="&amp;$B52)</f>
        <v>503904.80999999982</v>
      </c>
      <c r="G52" s="24">
        <f>SUMIFS('Saldos Iniciales'!$D:$D,'Saldos Iniciales'!$A:$A,"SSP Capital")+SUMIFS(Movimientos!$K$1:$K$724,Movimientos!$C$1:$C$724,"SSP Capital",Movimientos!$B$1:$B$724,"&lt;="&amp;$B52)</f>
        <v>3326696.7299999995</v>
      </c>
      <c r="H52" s="24">
        <f>SUMIFS('Saldos Iniciales'!$D:$D,'Saldos Iniciales'!$A:$A,"Cross Family Trust")+SUMIFS(Movimientos!$K$1:$K$724,Movimientos!$C$1:$C$724,"Cross Family Trust",Movimientos!$B$1:$B$724,"&lt;="&amp;$B52)</f>
        <v>116496.38</v>
      </c>
      <c r="I52" s="24">
        <f>SUMIFS('Saldos Iniciales'!$D:$D,'Saldos Iniciales'!$A:$A,"Cross Security Trust")+SUMIFS(Movimientos!$K$1:$K$724,Movimientos!$C$1:$C$724,"Cross Security Trust",Movimientos!$B$1:$B$724,"&lt;="&amp;$B52)</f>
        <v>88090.37</v>
      </c>
      <c r="J52" s="24">
        <f>SUMIFS('Saldos Iniciales'!$D:$D,'Saldos Iniciales'!$A:$A,"Electrama")+SUMIFS(Movimientos!$K$1:$K$724,Movimientos!$C$1:$C$724,"Electrama",Movimientos!$B$1:$B$724,"&lt;="&amp;$B52)</f>
        <v>511.15999999999985</v>
      </c>
      <c r="K52" s="24">
        <f>SUMIFS('Saldos Iniciales'!$D:$D,'Saldos Iniciales'!$A:$A,"Sacred Valley Capital")+SUMIFS(Movimientos!$K$1:$K$724,Movimientos!$C$1:$C$724,"Sacred Valley Capital",Movimientos!$B$1:$B$724,"&lt;="&amp;$B52)</f>
        <v>84.35</v>
      </c>
      <c r="L52" s="24">
        <f>SUMIFS('Saldos Iniciales'!$D:$D,'Saldos Iniciales'!$A:$A,"YWC Capital")+SUMIFS(Movimientos!$K$1:$K$724,Movimientos!$C$1:$C$724,"YWC Capital",Movimientos!$B$1:$B$724,"&lt;="&amp;$B52)</f>
        <v>2237.77</v>
      </c>
      <c r="M52" s="24">
        <f>SUMIFS('Saldos Iniciales'!$D:$D,'Saldos Iniciales'!$A:$A,"Soweto")+SUMIFS(Movimientos!$K$1:$K$724,Movimientos!$C$1:$C$724,"Soweto",Movimientos!$B$1:$B$724,"&lt;="&amp;$B52)</f>
        <v>3349.94</v>
      </c>
      <c r="N52" s="24">
        <f>SUMIFS('Saldos Iniciales'!$D:$D,'Saldos Iniciales'!$A:$A,"Green Stone Trust")+SUMIFS(Movimientos!$K$1:$K$724,Movimientos!$C$1:$C$724,"Green Stone Trust",Movimientos!$B$1:$B$724,"&lt;="&amp;$B52)</f>
        <v>1968.99</v>
      </c>
      <c r="O52" s="24">
        <f>SUMIFS('Saldos Iniciales'!$D:$D,'Saldos Iniciales'!$A:$A,"EC Auto")+SUMIFS(Movimientos!$K$1:$K$724,Movimientos!$C$1:$C$724,"EC Auto",Movimientos!$B$1:$B$724,"&lt;="&amp;$B52)</f>
        <v>382.69000000000005</v>
      </c>
      <c r="P52" s="24">
        <f>SUMIFS('Saldos Iniciales'!$D:$D,'Saldos Iniciales'!$A:$A,"Arbor Capital Properties")+SUMIFS(Movimientos!$K$1:$K$724,Movimientos!$C$1:$C$724,"Arbor Capital Properties",Movimientos!$B$1:$B$724,"&lt;="&amp;$B52)</f>
        <v>1428.08</v>
      </c>
      <c r="Q52" s="24">
        <f>SUMIFS('Saldos Iniciales'!$D:$D,'Saldos Iniciales'!$A:$A,"2515 Overbrook")+SUMIFS(Movimientos!$K$1:$K$724,Movimientos!$C$1:$C$724,"2515 Overbrook",Movimientos!$B$1:$B$724,"&lt;="&amp;$B52)</f>
        <v>29789.969999999961</v>
      </c>
      <c r="R52" s="24">
        <f>SUMIFS('Saldos Iniciales'!$D:$D,'Saldos Iniciales'!$A:$A,"112 Florida Ave")+SUMIFS(Movimientos!$K$1:$K$724,Movimientos!$C$1:$C$724,"112 Florida Ave",Movimientos!$B$1:$B$724,"&lt;="&amp;$B52)</f>
        <v>20321.43</v>
      </c>
      <c r="S52" s="24">
        <f>SUMIFS('Saldos Iniciales'!$D:$D,'Saldos Iniciales'!$A:$A,"3628 Thomas Ave")+SUMIFS(Movimientos!$K$1:$K$724,Movimientos!$C$1:$C$724,"3628 Thomas Ave",Movimientos!$B$1:$B$724,"&lt;="&amp;$B52)</f>
        <v>16681.349999999999</v>
      </c>
      <c r="T52" s="24">
        <f>SUMIFS('Saldos Iniciales'!$D:$D,'Saldos Iniciales'!$A:$A,"Green Harbor Trust")+SUMIFS(Movimientos!$K$1:$K$724,Movimientos!$C$1:$C$724,"Green Harbor Trust",Movimientos!$B$1:$B$724,"&lt;="&amp;$B52)</f>
        <v>345</v>
      </c>
      <c r="U52" s="24">
        <f>SUMIFS('Saldos Iniciales'!$D:$D,'Saldos Iniciales'!$A:$A,"Go Blue")+SUMIFS(Movimientos!$K$1:$K$724,Movimientos!$C$1:$C$724,"Go Blue",Movimientos!$B$1:$B$724,"&lt;="&amp;$B52)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Group")+SUMIFS(Movimientos!$K$1:$K$724,Movimientos!$C$1:$C$724,"CFT Group",Movimientos!$B$1:$B$724,"&lt;="&amp;$B53)</f>
        <v>1098358.7500000002</v>
      </c>
      <c r="D53" s="24">
        <f>SUMIFS('Saldos Iniciales'!$D:$D,'Saldos Iniciales'!$A:$A,"M1B")+SUMIFS(Movimientos!$K$1:$K$724,Movimientos!$C$1:$C$724,"M1B",Movimientos!$B$1:$B$724,"&lt;="&amp;$B53)</f>
        <v>69376.390000000174</v>
      </c>
      <c r="E53" s="24">
        <f>SUMIFS('Saldos Iniciales'!$D:$D,'Saldos Iniciales'!$A:$A,"Durand")+SUMIFS(Movimientos!$K$1:$K$724,Movimientos!$C$1:$C$724,"Durand",Movimientos!$B$1:$B$724,"&lt;="&amp;$B53)</f>
        <v>1669.89</v>
      </c>
      <c r="F53" s="24">
        <f>SUMIFS('Saldos Iniciales'!$D:$D,'Saldos Iniciales'!$A:$A,"A&amp;M Imports")+SUMIFS(Movimientos!$K$1:$K$724,Movimientos!$C$1:$C$724,"A&amp;M Imports",Movimientos!$B$1:$B$724,"&lt;="&amp;$B53)</f>
        <v>503904.80999999982</v>
      </c>
      <c r="G53" s="24">
        <f>SUMIFS('Saldos Iniciales'!$D:$D,'Saldos Iniciales'!$A:$A,"SSP Capital")+SUMIFS(Movimientos!$K$1:$K$724,Movimientos!$C$1:$C$724,"SSP Capital",Movimientos!$B$1:$B$724,"&lt;="&amp;$B53)</f>
        <v>3326696.7299999995</v>
      </c>
      <c r="H53" s="24">
        <f>SUMIFS('Saldos Iniciales'!$D:$D,'Saldos Iniciales'!$A:$A,"Cross Family Trust")+SUMIFS(Movimientos!$K$1:$K$724,Movimientos!$C$1:$C$724,"Cross Family Trust",Movimientos!$B$1:$B$724,"&lt;="&amp;$B53)</f>
        <v>116496.38</v>
      </c>
      <c r="I53" s="24">
        <f>SUMIFS('Saldos Iniciales'!$D:$D,'Saldos Iniciales'!$A:$A,"Cross Security Trust")+SUMIFS(Movimientos!$K$1:$K$724,Movimientos!$C$1:$C$724,"Cross Security Trust",Movimientos!$B$1:$B$724,"&lt;="&amp;$B53)</f>
        <v>88090.37</v>
      </c>
      <c r="J53" s="24">
        <f>SUMIFS('Saldos Iniciales'!$D:$D,'Saldos Iniciales'!$A:$A,"Electrama")+SUMIFS(Movimientos!$K$1:$K$724,Movimientos!$C$1:$C$724,"Electrama",Movimientos!$B$1:$B$724,"&lt;="&amp;$B53)</f>
        <v>511.15999999999985</v>
      </c>
      <c r="K53" s="24">
        <f>SUMIFS('Saldos Iniciales'!$D:$D,'Saldos Iniciales'!$A:$A,"Sacred Valley Capital")+SUMIFS(Movimientos!$K$1:$K$724,Movimientos!$C$1:$C$724,"Sacred Valley Capital",Movimientos!$B$1:$B$724,"&lt;="&amp;$B53)</f>
        <v>84.35</v>
      </c>
      <c r="L53" s="24">
        <f>SUMIFS('Saldos Iniciales'!$D:$D,'Saldos Iniciales'!$A:$A,"YWC Capital")+SUMIFS(Movimientos!$K$1:$K$724,Movimientos!$C$1:$C$724,"YWC Capital",Movimientos!$B$1:$B$724,"&lt;="&amp;$B53)</f>
        <v>2237.77</v>
      </c>
      <c r="M53" s="24">
        <f>SUMIFS('Saldos Iniciales'!$D:$D,'Saldos Iniciales'!$A:$A,"Soweto")+SUMIFS(Movimientos!$K$1:$K$724,Movimientos!$C$1:$C$724,"Soweto",Movimientos!$B$1:$B$724,"&lt;="&amp;$B53)</f>
        <v>3349.94</v>
      </c>
      <c r="N53" s="24">
        <f>SUMIFS('Saldos Iniciales'!$D:$D,'Saldos Iniciales'!$A:$A,"Green Stone Trust")+SUMIFS(Movimientos!$K$1:$K$724,Movimientos!$C$1:$C$724,"Green Stone Trust",Movimientos!$B$1:$B$724,"&lt;="&amp;$B53)</f>
        <v>1968.99</v>
      </c>
      <c r="O53" s="24">
        <f>SUMIFS('Saldos Iniciales'!$D:$D,'Saldos Iniciales'!$A:$A,"EC Auto")+SUMIFS(Movimientos!$K$1:$K$724,Movimientos!$C$1:$C$724,"EC Auto",Movimientos!$B$1:$B$724,"&lt;="&amp;$B53)</f>
        <v>382.69000000000005</v>
      </c>
      <c r="P53" s="24">
        <f>SUMIFS('Saldos Iniciales'!$D:$D,'Saldos Iniciales'!$A:$A,"Arbor Capital Properties")+SUMIFS(Movimientos!$K$1:$K$724,Movimientos!$C$1:$C$724,"Arbor Capital Properties",Movimientos!$B$1:$B$724,"&lt;="&amp;$B53)</f>
        <v>1428.08</v>
      </c>
      <c r="Q53" s="24">
        <f>SUMIFS('Saldos Iniciales'!$D:$D,'Saldos Iniciales'!$A:$A,"2515 Overbrook")+SUMIFS(Movimientos!$K$1:$K$724,Movimientos!$C$1:$C$724,"2515 Overbrook",Movimientos!$B$1:$B$724,"&lt;="&amp;$B53)</f>
        <v>29789.969999999961</v>
      </c>
      <c r="R53" s="24">
        <f>SUMIFS('Saldos Iniciales'!$D:$D,'Saldos Iniciales'!$A:$A,"112 Florida Ave")+SUMIFS(Movimientos!$K$1:$K$724,Movimientos!$C$1:$C$724,"112 Florida Ave",Movimientos!$B$1:$B$724,"&lt;="&amp;$B53)</f>
        <v>20321.43</v>
      </c>
      <c r="S53" s="24">
        <f>SUMIFS('Saldos Iniciales'!$D:$D,'Saldos Iniciales'!$A:$A,"3628 Thomas Ave")+SUMIFS(Movimientos!$K$1:$K$724,Movimientos!$C$1:$C$724,"3628 Thomas Ave",Movimientos!$B$1:$B$724,"&lt;="&amp;$B53)</f>
        <v>16681.349999999999</v>
      </c>
      <c r="T53" s="24">
        <f>SUMIFS('Saldos Iniciales'!$D:$D,'Saldos Iniciales'!$A:$A,"Green Harbor Trust")+SUMIFS(Movimientos!$K$1:$K$724,Movimientos!$C$1:$C$724,"Green Harbor Trust",Movimientos!$B$1:$B$724,"&lt;="&amp;$B53)</f>
        <v>345</v>
      </c>
      <c r="U53" s="24">
        <f>SUMIFS('Saldos Iniciales'!$D:$D,'Saldos Iniciales'!$A:$A,"Go Blue")+SUMIFS(Movimientos!$K$1:$K$724,Movimientos!$C$1:$C$724,"Go Blue",Movimientos!$B$1:$B$724,"&lt;="&amp;$B53)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Group")+SUMIFS(Movimientos!$K$1:$K$724,Movimientos!$C$1:$C$724,"CFT Group",Movimientos!$B$1:$B$724,"&lt;="&amp;$B54)</f>
        <v>7613332.1400000006</v>
      </c>
      <c r="D54" s="24">
        <f>SUMIFS('Saldos Iniciales'!$D:$D,'Saldos Iniciales'!$A:$A,"M1B")+SUMIFS(Movimientos!$K$1:$K$724,Movimientos!$C$1:$C$724,"M1B",Movimientos!$B$1:$B$724,"&lt;="&amp;$B54)</f>
        <v>69376.390000000174</v>
      </c>
      <c r="E54" s="24">
        <f>SUMIFS('Saldos Iniciales'!$D:$D,'Saldos Iniciales'!$A:$A,"Durand")+SUMIFS(Movimientos!$K$1:$K$724,Movimientos!$C$1:$C$724,"Durand",Movimientos!$B$1:$B$724,"&lt;="&amp;$B54)</f>
        <v>1669.89</v>
      </c>
      <c r="F54" s="24">
        <f>SUMIFS('Saldos Iniciales'!$D:$D,'Saldos Iniciales'!$A:$A,"A&amp;M Imports")+SUMIFS(Movimientos!$K$1:$K$724,Movimientos!$C$1:$C$724,"A&amp;M Imports",Movimientos!$B$1:$B$724,"&lt;="&amp;$B54)</f>
        <v>503904.80999999982</v>
      </c>
      <c r="G54" s="24">
        <f>SUMIFS('Saldos Iniciales'!$D:$D,'Saldos Iniciales'!$A:$A,"SSP Capital")+SUMIFS(Movimientos!$K$1:$K$724,Movimientos!$C$1:$C$724,"SSP Capital",Movimientos!$B$1:$B$724,"&lt;="&amp;$B54)</f>
        <v>3325868.6899999995</v>
      </c>
      <c r="H54" s="24">
        <f>SUMIFS('Saldos Iniciales'!$D:$D,'Saldos Iniciales'!$A:$A,"Cross Family Trust")+SUMIFS(Movimientos!$K$1:$K$724,Movimientos!$C$1:$C$724,"Cross Family Trust",Movimientos!$B$1:$B$724,"&lt;="&amp;$B54)</f>
        <v>116496.38</v>
      </c>
      <c r="I54" s="24">
        <f>SUMIFS('Saldos Iniciales'!$D:$D,'Saldos Iniciales'!$A:$A,"Cross Security Trust")+SUMIFS(Movimientos!$K$1:$K$724,Movimientos!$C$1:$C$724,"Cross Security Trust",Movimientos!$B$1:$B$724,"&lt;="&amp;$B54)</f>
        <v>88090.37</v>
      </c>
      <c r="J54" s="24">
        <f>SUMIFS('Saldos Iniciales'!$D:$D,'Saldos Iniciales'!$A:$A,"Electrama")+SUMIFS(Movimientos!$K$1:$K$724,Movimientos!$C$1:$C$724,"Electrama",Movimientos!$B$1:$B$724,"&lt;="&amp;$B54)</f>
        <v>511.15999999999985</v>
      </c>
      <c r="K54" s="24">
        <f>SUMIFS('Saldos Iniciales'!$D:$D,'Saldos Iniciales'!$A:$A,"Sacred Valley Capital")+SUMIFS(Movimientos!$K$1:$K$724,Movimientos!$C$1:$C$724,"Sacred Valley Capital",Movimientos!$B$1:$B$724,"&lt;="&amp;$B54)</f>
        <v>84.35</v>
      </c>
      <c r="L54" s="24">
        <f>SUMIFS('Saldos Iniciales'!$D:$D,'Saldos Iniciales'!$A:$A,"YWC Capital")+SUMIFS(Movimientos!$K$1:$K$724,Movimientos!$C$1:$C$724,"YWC Capital",Movimientos!$B$1:$B$724,"&lt;="&amp;$B54)</f>
        <v>2237.77</v>
      </c>
      <c r="M54" s="24">
        <f>SUMIFS('Saldos Iniciales'!$D:$D,'Saldos Iniciales'!$A:$A,"Soweto")+SUMIFS(Movimientos!$K$1:$K$724,Movimientos!$C$1:$C$724,"Soweto",Movimientos!$B$1:$B$724,"&lt;="&amp;$B54)</f>
        <v>3349.94</v>
      </c>
      <c r="N54" s="24">
        <f>SUMIFS('Saldos Iniciales'!$D:$D,'Saldos Iniciales'!$A:$A,"Green Stone Trust")+SUMIFS(Movimientos!$K$1:$K$724,Movimientos!$C$1:$C$724,"Green Stone Trust",Movimientos!$B$1:$B$724,"&lt;="&amp;$B54)</f>
        <v>1968.99</v>
      </c>
      <c r="O54" s="24">
        <f>SUMIFS('Saldos Iniciales'!$D:$D,'Saldos Iniciales'!$A:$A,"EC Auto")+SUMIFS(Movimientos!$K$1:$K$724,Movimientos!$C$1:$C$724,"EC Auto",Movimientos!$B$1:$B$724,"&lt;="&amp;$B54)</f>
        <v>382.69000000000005</v>
      </c>
      <c r="P54" s="24">
        <f>SUMIFS('Saldos Iniciales'!$D:$D,'Saldos Iniciales'!$A:$A,"Arbor Capital Properties")+SUMIFS(Movimientos!$K$1:$K$724,Movimientos!$C$1:$C$724,"Arbor Capital Properties",Movimientos!$B$1:$B$724,"&lt;="&amp;$B54)</f>
        <v>1428.08</v>
      </c>
      <c r="Q54" s="24">
        <f>SUMIFS('Saldos Iniciales'!$D:$D,'Saldos Iniciales'!$A:$A,"2515 Overbrook")+SUMIFS(Movimientos!$K$1:$K$724,Movimientos!$C$1:$C$724,"2515 Overbrook",Movimientos!$B$1:$B$724,"&lt;="&amp;$B54)</f>
        <v>31039.969999999961</v>
      </c>
      <c r="R54" s="24">
        <f>SUMIFS('Saldos Iniciales'!$D:$D,'Saldos Iniciales'!$A:$A,"112 Florida Ave")+SUMIFS(Movimientos!$K$1:$K$724,Movimientos!$C$1:$C$724,"112 Florida Ave",Movimientos!$B$1:$B$724,"&lt;="&amp;$B54)</f>
        <v>20321.43</v>
      </c>
      <c r="S54" s="24">
        <f>SUMIFS('Saldos Iniciales'!$D:$D,'Saldos Iniciales'!$A:$A,"3628 Thomas Ave")+SUMIFS(Movimientos!$K$1:$K$724,Movimientos!$C$1:$C$724,"3628 Thomas Ave",Movimientos!$B$1:$B$724,"&lt;="&amp;$B54)</f>
        <v>16681.349999999999</v>
      </c>
      <c r="T54" s="24">
        <f>SUMIFS('Saldos Iniciales'!$D:$D,'Saldos Iniciales'!$A:$A,"Green Harbor Trust")+SUMIFS(Movimientos!$K$1:$K$724,Movimientos!$C$1:$C$724,"Green Harbor Trust",Movimientos!$B$1:$B$724,"&lt;="&amp;$B54)</f>
        <v>345</v>
      </c>
      <c r="U54" s="24">
        <f>SUMIFS('Saldos Iniciales'!$D:$D,'Saldos Iniciales'!$A:$A,"Go Blue")+SUMIFS(Movimientos!$K$1:$K$724,Movimientos!$C$1:$C$724,"Go Blue",Movimientos!$B$1:$B$724,"&lt;="&amp;$B54)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Group")+SUMIFS(Movimientos!$K$1:$K$724,Movimientos!$C$1:$C$724,"CFT Group",Movimientos!$B$1:$B$724,"&lt;="&amp;$B55)</f>
        <v>7675741.5900000008</v>
      </c>
      <c r="D55" s="24">
        <f>SUMIFS('Saldos Iniciales'!$D:$D,'Saldos Iniciales'!$A:$A,"M1B")+SUMIFS(Movimientos!$K$1:$K$724,Movimientos!$C$1:$C$724,"M1B",Movimientos!$B$1:$B$724,"&lt;="&amp;$B55)</f>
        <v>69376.390000000174</v>
      </c>
      <c r="E55" s="24">
        <f>SUMIFS('Saldos Iniciales'!$D:$D,'Saldos Iniciales'!$A:$A,"Durand")+SUMIFS(Movimientos!$K$1:$K$724,Movimientos!$C$1:$C$724,"Durand",Movimientos!$B$1:$B$724,"&lt;="&amp;$B55)</f>
        <v>1669.89</v>
      </c>
      <c r="F55" s="24">
        <f>SUMIFS('Saldos Iniciales'!$D:$D,'Saldos Iniciales'!$A:$A,"A&amp;M Imports")+SUMIFS(Movimientos!$K$1:$K$724,Movimientos!$C$1:$C$724,"A&amp;M Imports",Movimientos!$B$1:$B$724,"&lt;="&amp;$B55)</f>
        <v>503904.80999999982</v>
      </c>
      <c r="G55" s="24">
        <f>SUMIFS('Saldos Iniciales'!$D:$D,'Saldos Iniciales'!$A:$A,"SSP Capital")+SUMIFS(Movimientos!$K$1:$K$724,Movimientos!$C$1:$C$724,"SSP Capital",Movimientos!$B$1:$B$724,"&lt;="&amp;$B55)</f>
        <v>3325868.6899999995</v>
      </c>
      <c r="H55" s="24">
        <f>SUMIFS('Saldos Iniciales'!$D:$D,'Saldos Iniciales'!$A:$A,"Cross Family Trust")+SUMIFS(Movimientos!$K$1:$K$724,Movimientos!$C$1:$C$724,"Cross Family Trust",Movimientos!$B$1:$B$724,"&lt;="&amp;$B55)</f>
        <v>116496.38</v>
      </c>
      <c r="I55" s="24">
        <f>SUMIFS('Saldos Iniciales'!$D:$D,'Saldos Iniciales'!$A:$A,"Cross Security Trust")+SUMIFS(Movimientos!$K$1:$K$724,Movimientos!$C$1:$C$724,"Cross Security Trust",Movimientos!$B$1:$B$724,"&lt;="&amp;$B55)</f>
        <v>88090.37</v>
      </c>
      <c r="J55" s="24">
        <f>SUMIFS('Saldos Iniciales'!$D:$D,'Saldos Iniciales'!$A:$A,"Electrama")+SUMIFS(Movimientos!$K$1:$K$724,Movimientos!$C$1:$C$724,"Electrama",Movimientos!$B$1:$B$724,"&lt;="&amp;$B55)</f>
        <v>511.15999999999985</v>
      </c>
      <c r="K55" s="24">
        <f>SUMIFS('Saldos Iniciales'!$D:$D,'Saldos Iniciales'!$A:$A,"Sacred Valley Capital")+SUMIFS(Movimientos!$K$1:$K$724,Movimientos!$C$1:$C$724,"Sacred Valley Capital",Movimientos!$B$1:$B$724,"&lt;="&amp;$B55)</f>
        <v>84.35</v>
      </c>
      <c r="L55" s="24">
        <f>SUMIFS('Saldos Iniciales'!$D:$D,'Saldos Iniciales'!$A:$A,"YWC Capital")+SUMIFS(Movimientos!$K$1:$K$724,Movimientos!$C$1:$C$724,"YWC Capital",Movimientos!$B$1:$B$724,"&lt;="&amp;$B55)</f>
        <v>2237.77</v>
      </c>
      <c r="M55" s="24">
        <f>SUMIFS('Saldos Iniciales'!$D:$D,'Saldos Iniciales'!$A:$A,"Soweto")+SUMIFS(Movimientos!$K$1:$K$724,Movimientos!$C$1:$C$724,"Soweto",Movimientos!$B$1:$B$724,"&lt;="&amp;$B55)</f>
        <v>3349.94</v>
      </c>
      <c r="N55" s="24">
        <f>SUMIFS('Saldos Iniciales'!$D:$D,'Saldos Iniciales'!$A:$A,"Green Stone Trust")+SUMIFS(Movimientos!$K$1:$K$724,Movimientos!$C$1:$C$724,"Green Stone Trust",Movimientos!$B$1:$B$724,"&lt;="&amp;$B55)</f>
        <v>1968.99</v>
      </c>
      <c r="O55" s="24">
        <f>SUMIFS('Saldos Iniciales'!$D:$D,'Saldos Iniciales'!$A:$A,"EC Auto")+SUMIFS(Movimientos!$K$1:$K$724,Movimientos!$C$1:$C$724,"EC Auto",Movimientos!$B$1:$B$724,"&lt;="&amp;$B55)</f>
        <v>382.69000000000005</v>
      </c>
      <c r="P55" s="24">
        <f>SUMIFS('Saldos Iniciales'!$D:$D,'Saldos Iniciales'!$A:$A,"Arbor Capital Properties")+SUMIFS(Movimientos!$K$1:$K$724,Movimientos!$C$1:$C$724,"Arbor Capital Properties",Movimientos!$B$1:$B$724,"&lt;="&amp;$B55)</f>
        <v>1428.08</v>
      </c>
      <c r="Q55" s="24">
        <f>SUMIFS('Saldos Iniciales'!$D:$D,'Saldos Iniciales'!$A:$A,"2515 Overbrook")+SUMIFS(Movimientos!$K$1:$K$724,Movimientos!$C$1:$C$724,"2515 Overbrook",Movimientos!$B$1:$B$724,"&lt;="&amp;$B55)</f>
        <v>31039.969999999961</v>
      </c>
      <c r="R55" s="24">
        <f>SUMIFS('Saldos Iniciales'!$D:$D,'Saldos Iniciales'!$A:$A,"112 Florida Ave")+SUMIFS(Movimientos!$K$1:$K$724,Movimientos!$C$1:$C$724,"112 Florida Ave",Movimientos!$B$1:$B$724,"&lt;="&amp;$B55)</f>
        <v>20321.43</v>
      </c>
      <c r="S55" s="24">
        <f>SUMIFS('Saldos Iniciales'!$D:$D,'Saldos Iniciales'!$A:$A,"3628 Thomas Ave")+SUMIFS(Movimientos!$K$1:$K$724,Movimientos!$C$1:$C$724,"3628 Thomas Ave",Movimientos!$B$1:$B$724,"&lt;="&amp;$B55)</f>
        <v>16681.349999999999</v>
      </c>
      <c r="T55" s="24">
        <f>SUMIFS('Saldos Iniciales'!$D:$D,'Saldos Iniciales'!$A:$A,"Green Harbor Trust")+SUMIFS(Movimientos!$K$1:$K$724,Movimientos!$C$1:$C$724,"Green Harbor Trust",Movimientos!$B$1:$B$724,"&lt;="&amp;$B55)</f>
        <v>345</v>
      </c>
      <c r="U55" s="24">
        <f>SUMIFS('Saldos Iniciales'!$D:$D,'Saldos Iniciales'!$A:$A,"Go Blue")+SUMIFS(Movimientos!$K$1:$K$724,Movimientos!$C$1:$C$724,"Go Blue",Movimientos!$B$1:$B$724,"&lt;="&amp;$B55)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Group")+SUMIFS(Movimientos!$K$1:$K$724,Movimientos!$C$1:$C$724,"CFT Group",Movimientos!$B$1:$B$724,"&lt;="&amp;$B56)</f>
        <v>7742810.7100000009</v>
      </c>
      <c r="D56" s="24">
        <f>SUMIFS('Saldos Iniciales'!$D:$D,'Saldos Iniciales'!$A:$A,"M1B")+SUMIFS(Movimientos!$K$1:$K$724,Movimientos!$C$1:$C$724,"M1B",Movimientos!$B$1:$B$724,"&lt;="&amp;$B56)</f>
        <v>72386.190000000177</v>
      </c>
      <c r="E56" s="24">
        <f>SUMIFS('Saldos Iniciales'!$D:$D,'Saldos Iniciales'!$A:$A,"Durand")+SUMIFS(Movimientos!$K$1:$K$724,Movimientos!$C$1:$C$724,"Durand",Movimientos!$B$1:$B$724,"&lt;="&amp;$B56)</f>
        <v>1669.89</v>
      </c>
      <c r="F56" s="24">
        <f>SUMIFS('Saldos Iniciales'!$D:$D,'Saldos Iniciales'!$A:$A,"A&amp;M Imports")+SUMIFS(Movimientos!$K$1:$K$724,Movimientos!$C$1:$C$724,"A&amp;M Imports",Movimientos!$B$1:$B$724,"&lt;="&amp;$B56)</f>
        <v>532766.72999999986</v>
      </c>
      <c r="G56" s="24">
        <f>SUMIFS('Saldos Iniciales'!$D:$D,'Saldos Iniciales'!$A:$A,"SSP Capital")+SUMIFS(Movimientos!$K$1:$K$724,Movimientos!$C$1:$C$724,"SSP Capital",Movimientos!$B$1:$B$724,"&lt;="&amp;$B56)</f>
        <v>3325868.6899999995</v>
      </c>
      <c r="H56" s="24">
        <f>SUMIFS('Saldos Iniciales'!$D:$D,'Saldos Iniciales'!$A:$A,"Cross Family Trust")+SUMIFS(Movimientos!$K$1:$K$724,Movimientos!$C$1:$C$724,"Cross Family Trust",Movimientos!$B$1:$B$724,"&lt;="&amp;$B56)</f>
        <v>116496.38</v>
      </c>
      <c r="I56" s="24">
        <f>SUMIFS('Saldos Iniciales'!$D:$D,'Saldos Iniciales'!$A:$A,"Cross Security Trust")+SUMIFS(Movimientos!$K$1:$K$724,Movimientos!$C$1:$C$724,"Cross Security Trust",Movimientos!$B$1:$B$724,"&lt;="&amp;$B56)</f>
        <v>88090.37</v>
      </c>
      <c r="J56" s="24">
        <f>SUMIFS('Saldos Iniciales'!$D:$D,'Saldos Iniciales'!$A:$A,"Electrama")+SUMIFS(Movimientos!$K$1:$K$724,Movimientos!$C$1:$C$724,"Electrama",Movimientos!$B$1:$B$724,"&lt;="&amp;$B56)</f>
        <v>511.15999999999985</v>
      </c>
      <c r="K56" s="24">
        <f>SUMIFS('Saldos Iniciales'!$D:$D,'Saldos Iniciales'!$A:$A,"Sacred Valley Capital")+SUMIFS(Movimientos!$K$1:$K$724,Movimientos!$C$1:$C$724,"Sacred Valley Capital",Movimientos!$B$1:$B$724,"&lt;="&amp;$B56)</f>
        <v>84.35</v>
      </c>
      <c r="L56" s="24">
        <f>SUMIFS('Saldos Iniciales'!$D:$D,'Saldos Iniciales'!$A:$A,"YWC Capital")+SUMIFS(Movimientos!$K$1:$K$724,Movimientos!$C$1:$C$724,"YWC Capital",Movimientos!$B$1:$B$724,"&lt;="&amp;$B56)</f>
        <v>2237.77</v>
      </c>
      <c r="M56" s="24">
        <f>SUMIFS('Saldos Iniciales'!$D:$D,'Saldos Iniciales'!$A:$A,"Soweto")+SUMIFS(Movimientos!$K$1:$K$724,Movimientos!$C$1:$C$724,"Soweto",Movimientos!$B$1:$B$724,"&lt;="&amp;$B56)</f>
        <v>3349.94</v>
      </c>
      <c r="N56" s="24">
        <f>SUMIFS('Saldos Iniciales'!$D:$D,'Saldos Iniciales'!$A:$A,"Green Stone Trust")+SUMIFS(Movimientos!$K$1:$K$724,Movimientos!$C$1:$C$724,"Green Stone Trust",Movimientos!$B$1:$B$724,"&lt;="&amp;$B56)</f>
        <v>1968.99</v>
      </c>
      <c r="O56" s="24">
        <f>SUMIFS('Saldos Iniciales'!$D:$D,'Saldos Iniciales'!$A:$A,"EC Auto")+SUMIFS(Movimientos!$K$1:$K$724,Movimientos!$C$1:$C$724,"EC Auto",Movimientos!$B$1:$B$724,"&lt;="&amp;$B56)</f>
        <v>382.69000000000005</v>
      </c>
      <c r="P56" s="24">
        <f>SUMIFS('Saldos Iniciales'!$D:$D,'Saldos Iniciales'!$A:$A,"Arbor Capital Properties")+SUMIFS(Movimientos!$K$1:$K$724,Movimientos!$C$1:$C$724,"Arbor Capital Properties",Movimientos!$B$1:$B$724,"&lt;="&amp;$B56)</f>
        <v>1428.08</v>
      </c>
      <c r="Q56" s="24">
        <f>SUMIFS('Saldos Iniciales'!$D:$D,'Saldos Iniciales'!$A:$A,"2515 Overbrook")+SUMIFS(Movimientos!$K$1:$K$724,Movimientos!$C$1:$C$724,"2515 Overbrook",Movimientos!$B$1:$B$724,"&lt;="&amp;$B56)</f>
        <v>31039.969999999961</v>
      </c>
      <c r="R56" s="24">
        <f>SUMIFS('Saldos Iniciales'!$D:$D,'Saldos Iniciales'!$A:$A,"112 Florida Ave")+SUMIFS(Movimientos!$K$1:$K$724,Movimientos!$C$1:$C$724,"112 Florida Ave",Movimientos!$B$1:$B$724,"&lt;="&amp;$B56)</f>
        <v>20321.43</v>
      </c>
      <c r="S56" s="24">
        <f>SUMIFS('Saldos Iniciales'!$D:$D,'Saldos Iniciales'!$A:$A,"3628 Thomas Ave")+SUMIFS(Movimientos!$K$1:$K$724,Movimientos!$C$1:$C$724,"3628 Thomas Ave",Movimientos!$B$1:$B$724,"&lt;="&amp;$B56)</f>
        <v>16681.349999999999</v>
      </c>
      <c r="T56" s="24">
        <f>SUMIFS('Saldos Iniciales'!$D:$D,'Saldos Iniciales'!$A:$A,"Green Harbor Trust")+SUMIFS(Movimientos!$K$1:$K$724,Movimientos!$C$1:$C$724,"Green Harbor Trust",Movimientos!$B$1:$B$724,"&lt;="&amp;$B56)</f>
        <v>345</v>
      </c>
      <c r="U56" s="24">
        <f>SUMIFS('Saldos Iniciales'!$D:$D,'Saldos Iniciales'!$A:$A,"Go Blue")+SUMIFS(Movimientos!$K$1:$K$724,Movimientos!$C$1:$C$724,"Go Blue",Movimientos!$B$1:$B$724,"&lt;="&amp;$B56)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Group")+SUMIFS(Movimientos!$K$1:$K$724,Movimientos!$C$1:$C$724,"CFT Group",Movimientos!$B$1:$B$724,"&lt;="&amp;$B57)</f>
        <v>6298935.7100000009</v>
      </c>
      <c r="D57" s="24">
        <f>SUMIFS('Saldos Iniciales'!$D:$D,'Saldos Iniciales'!$A:$A,"M1B")+SUMIFS(Movimientos!$K$1:$K$724,Movimientos!$C$1:$C$724,"M1B",Movimientos!$B$1:$B$724,"&lt;="&amp;$B57)</f>
        <v>72386.190000000177</v>
      </c>
      <c r="E57" s="24">
        <f>SUMIFS('Saldos Iniciales'!$D:$D,'Saldos Iniciales'!$A:$A,"Durand")+SUMIFS(Movimientos!$K$1:$K$724,Movimientos!$C$1:$C$724,"Durand",Movimientos!$B$1:$B$724,"&lt;="&amp;$B57)</f>
        <v>1669.89</v>
      </c>
      <c r="F57" s="24">
        <f>SUMIFS('Saldos Iniciales'!$D:$D,'Saldos Iniciales'!$A:$A,"A&amp;M Imports")+SUMIFS(Movimientos!$K$1:$K$724,Movimientos!$C$1:$C$724,"A&amp;M Imports",Movimientos!$B$1:$B$724,"&lt;="&amp;$B57)</f>
        <v>472766.72999999986</v>
      </c>
      <c r="G57" s="24">
        <f>SUMIFS('Saldos Iniciales'!$D:$D,'Saldos Iniciales'!$A:$A,"SSP Capital")+SUMIFS(Movimientos!$K$1:$K$724,Movimientos!$C$1:$C$724,"SSP Capital",Movimientos!$B$1:$B$724,"&lt;="&amp;$B57)</f>
        <v>1933152.7099999995</v>
      </c>
      <c r="H57" s="24">
        <f>SUMIFS('Saldos Iniciales'!$D:$D,'Saldos Iniciales'!$A:$A,"Cross Family Trust")+SUMIFS(Movimientos!$K$1:$K$724,Movimientos!$C$1:$C$724,"Cross Family Trust",Movimientos!$B$1:$B$724,"&lt;="&amp;$B57)</f>
        <v>1996496.38</v>
      </c>
      <c r="I57" s="24">
        <f>SUMIFS('Saldos Iniciales'!$D:$D,'Saldos Iniciales'!$A:$A,"Cross Security Trust")+SUMIFS(Movimientos!$K$1:$K$724,Movimientos!$C$1:$C$724,"Cross Security Trust",Movimientos!$B$1:$B$724,"&lt;="&amp;$B57)</f>
        <v>88090.37</v>
      </c>
      <c r="J57" s="24">
        <f>SUMIFS('Saldos Iniciales'!$D:$D,'Saldos Iniciales'!$A:$A,"Electrama")+SUMIFS(Movimientos!$K$1:$K$724,Movimientos!$C$1:$C$724,"Electrama",Movimientos!$B$1:$B$724,"&lt;="&amp;$B57)</f>
        <v>511.15999999999985</v>
      </c>
      <c r="K57" s="24">
        <f>SUMIFS('Saldos Iniciales'!$D:$D,'Saldos Iniciales'!$A:$A,"Sacred Valley Capital")+SUMIFS(Movimientos!$K$1:$K$724,Movimientos!$C$1:$C$724,"Sacred Valley Capital",Movimientos!$B$1:$B$724,"&lt;="&amp;$B57)</f>
        <v>84.35</v>
      </c>
      <c r="L57" s="24">
        <f>SUMIFS('Saldos Iniciales'!$D:$D,'Saldos Iniciales'!$A:$A,"YWC Capital")+SUMIFS(Movimientos!$K$1:$K$724,Movimientos!$C$1:$C$724,"YWC Capital",Movimientos!$B$1:$B$724,"&lt;="&amp;$B57)</f>
        <v>2237.77</v>
      </c>
      <c r="M57" s="24">
        <f>SUMIFS('Saldos Iniciales'!$D:$D,'Saldos Iniciales'!$A:$A,"Soweto")+SUMIFS(Movimientos!$K$1:$K$724,Movimientos!$C$1:$C$724,"Soweto",Movimientos!$B$1:$B$724,"&lt;="&amp;$B57)</f>
        <v>3349.94</v>
      </c>
      <c r="N57" s="24">
        <f>SUMIFS('Saldos Iniciales'!$D:$D,'Saldos Iniciales'!$A:$A,"Green Stone Trust")+SUMIFS(Movimientos!$K$1:$K$724,Movimientos!$C$1:$C$724,"Green Stone Trust",Movimientos!$B$1:$B$724,"&lt;="&amp;$B57)</f>
        <v>1968.99</v>
      </c>
      <c r="O57" s="24">
        <f>SUMIFS('Saldos Iniciales'!$D:$D,'Saldos Iniciales'!$A:$A,"EC Auto")+SUMIFS(Movimientos!$K$1:$K$724,Movimientos!$C$1:$C$724,"EC Auto",Movimientos!$B$1:$B$724,"&lt;="&amp;$B57)</f>
        <v>382.69000000000005</v>
      </c>
      <c r="P57" s="24">
        <f>SUMIFS('Saldos Iniciales'!$D:$D,'Saldos Iniciales'!$A:$A,"Arbor Capital Properties")+SUMIFS(Movimientos!$K$1:$K$724,Movimientos!$C$1:$C$724,"Arbor Capital Properties",Movimientos!$B$1:$B$724,"&lt;="&amp;$B57)</f>
        <v>1428.08</v>
      </c>
      <c r="Q57" s="24">
        <f>SUMIFS('Saldos Iniciales'!$D:$D,'Saldos Iniciales'!$A:$A,"2515 Overbrook")+SUMIFS(Movimientos!$K$1:$K$724,Movimientos!$C$1:$C$724,"2515 Overbrook",Movimientos!$B$1:$B$724,"&lt;="&amp;$B57)</f>
        <v>31039.969999999961</v>
      </c>
      <c r="R57" s="24">
        <f>SUMIFS('Saldos Iniciales'!$D:$D,'Saldos Iniciales'!$A:$A,"112 Florida Ave")+SUMIFS(Movimientos!$K$1:$K$724,Movimientos!$C$1:$C$724,"112 Florida Ave",Movimientos!$B$1:$B$724,"&lt;="&amp;$B57)</f>
        <v>20321.43</v>
      </c>
      <c r="S57" s="24">
        <f>SUMIFS('Saldos Iniciales'!$D:$D,'Saldos Iniciales'!$A:$A,"3628 Thomas Ave")+SUMIFS(Movimientos!$K$1:$K$724,Movimientos!$C$1:$C$724,"3628 Thomas Ave",Movimientos!$B$1:$B$724,"&lt;="&amp;$B57)</f>
        <v>28473.599999999999</v>
      </c>
      <c r="T57" s="24">
        <f>SUMIFS('Saldos Iniciales'!$D:$D,'Saldos Iniciales'!$A:$A,"Green Harbor Trust")+SUMIFS(Movimientos!$K$1:$K$724,Movimientos!$C$1:$C$724,"Green Harbor Trust",Movimientos!$B$1:$B$724,"&lt;="&amp;$B57)</f>
        <v>345</v>
      </c>
      <c r="U57" s="24">
        <f>SUMIFS('Saldos Iniciales'!$D:$D,'Saldos Iniciales'!$A:$A,"Go Blue")+SUMIFS(Movimientos!$K$1:$K$724,Movimientos!$C$1:$C$724,"Go Blue",Movimientos!$B$1:$B$724,"&lt;="&amp;$B57)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Group")+SUMIFS(Movimientos!$K$1:$K$724,Movimientos!$C$1:$C$724,"CFT Group",Movimientos!$B$1:$B$724,"&lt;="&amp;$B58)</f>
        <v>6288055.7100000009</v>
      </c>
      <c r="D58" s="24">
        <f>SUMIFS('Saldos Iniciales'!$D:$D,'Saldos Iniciales'!$A:$A,"M1B")+SUMIFS(Movimientos!$K$1:$K$724,Movimientos!$C$1:$C$724,"M1B",Movimientos!$B$1:$B$724,"&lt;="&amp;$B58)</f>
        <v>72386.190000000177</v>
      </c>
      <c r="E58" s="24">
        <f>SUMIFS('Saldos Iniciales'!$D:$D,'Saldos Iniciales'!$A:$A,"Durand")+SUMIFS(Movimientos!$K$1:$K$724,Movimientos!$C$1:$C$724,"Durand",Movimientos!$B$1:$B$724,"&lt;="&amp;$B58)</f>
        <v>1669.89</v>
      </c>
      <c r="F58" s="24">
        <f>SUMIFS('Saldos Iniciales'!$D:$D,'Saldos Iniciales'!$A:$A,"A&amp;M Imports")+SUMIFS(Movimientos!$K$1:$K$724,Movimientos!$C$1:$C$724,"A&amp;M Imports",Movimientos!$B$1:$B$724,"&lt;="&amp;$B58)</f>
        <v>472766.72999999986</v>
      </c>
      <c r="G58" s="24">
        <f>SUMIFS('Saldos Iniciales'!$D:$D,'Saldos Iniciales'!$A:$A,"SSP Capital")+SUMIFS(Movimientos!$K$1:$K$724,Movimientos!$C$1:$C$724,"SSP Capital",Movimientos!$B$1:$B$724,"&lt;="&amp;$B58)</f>
        <v>1932389.7199999993</v>
      </c>
      <c r="H58" s="24">
        <f>SUMIFS('Saldos Iniciales'!$D:$D,'Saldos Iniciales'!$A:$A,"Cross Family Trust")+SUMIFS(Movimientos!$K$1:$K$724,Movimientos!$C$1:$C$724,"Cross Family Trust",Movimientos!$B$1:$B$724,"&lt;="&amp;$B58)</f>
        <v>1396496.38</v>
      </c>
      <c r="I58" s="24">
        <f>SUMIFS('Saldos Iniciales'!$D:$D,'Saldos Iniciales'!$A:$A,"Cross Security Trust")+SUMIFS(Movimientos!$K$1:$K$724,Movimientos!$C$1:$C$724,"Cross Security Trust",Movimientos!$B$1:$B$724,"&lt;="&amp;$B58)</f>
        <v>88090.37</v>
      </c>
      <c r="J58" s="24">
        <f>SUMIFS('Saldos Iniciales'!$D:$D,'Saldos Iniciales'!$A:$A,"Electrama")+SUMIFS(Movimientos!$K$1:$K$724,Movimientos!$C$1:$C$724,"Electrama",Movimientos!$B$1:$B$724,"&lt;="&amp;$B58)</f>
        <v>511.15999999999985</v>
      </c>
      <c r="K58" s="24">
        <f>SUMIFS('Saldos Iniciales'!$D:$D,'Saldos Iniciales'!$A:$A,"Sacred Valley Capital")+SUMIFS(Movimientos!$K$1:$K$724,Movimientos!$C$1:$C$724,"Sacred Valley Capital",Movimientos!$B$1:$B$724,"&lt;="&amp;$B58)</f>
        <v>84.35</v>
      </c>
      <c r="L58" s="24">
        <f>SUMIFS('Saldos Iniciales'!$D:$D,'Saldos Iniciales'!$A:$A,"YWC Capital")+SUMIFS(Movimientos!$K$1:$K$724,Movimientos!$C$1:$C$724,"YWC Capital",Movimientos!$B$1:$B$724,"&lt;="&amp;$B58)</f>
        <v>2237.77</v>
      </c>
      <c r="M58" s="24">
        <f>SUMIFS('Saldos Iniciales'!$D:$D,'Saldos Iniciales'!$A:$A,"Soweto")+SUMIFS(Movimientos!$K$1:$K$724,Movimientos!$C$1:$C$724,"Soweto",Movimientos!$B$1:$B$724,"&lt;="&amp;$B58)</f>
        <v>3349.94</v>
      </c>
      <c r="N58" s="24">
        <f>SUMIFS('Saldos Iniciales'!$D:$D,'Saldos Iniciales'!$A:$A,"Green Stone Trust")+SUMIFS(Movimientos!$K$1:$K$724,Movimientos!$C$1:$C$724,"Green Stone Trust",Movimientos!$B$1:$B$724,"&lt;="&amp;$B58)</f>
        <v>1968.99</v>
      </c>
      <c r="O58" s="24">
        <f>SUMIFS('Saldos Iniciales'!$D:$D,'Saldos Iniciales'!$A:$A,"EC Auto")+SUMIFS(Movimientos!$K$1:$K$724,Movimientos!$C$1:$C$724,"EC Auto",Movimientos!$B$1:$B$724,"&lt;="&amp;$B58)</f>
        <v>382.69000000000005</v>
      </c>
      <c r="P58" s="24">
        <f>SUMIFS('Saldos Iniciales'!$D:$D,'Saldos Iniciales'!$A:$A,"Arbor Capital Properties")+SUMIFS(Movimientos!$K$1:$K$724,Movimientos!$C$1:$C$724,"Arbor Capital Properties",Movimientos!$B$1:$B$724,"&lt;="&amp;$B58)</f>
        <v>1428.08</v>
      </c>
      <c r="Q58" s="24">
        <f>SUMIFS('Saldos Iniciales'!$D:$D,'Saldos Iniciales'!$A:$A,"2515 Overbrook")+SUMIFS(Movimientos!$K$1:$K$724,Movimientos!$C$1:$C$724,"2515 Overbrook",Movimientos!$B$1:$B$724,"&lt;="&amp;$B58)</f>
        <v>31039.969999999961</v>
      </c>
      <c r="R58" s="24">
        <f>SUMIFS('Saldos Iniciales'!$D:$D,'Saldos Iniciales'!$A:$A,"112 Florida Ave")+SUMIFS(Movimientos!$K$1:$K$724,Movimientos!$C$1:$C$724,"112 Florida Ave",Movimientos!$B$1:$B$724,"&lt;="&amp;$B58)</f>
        <v>20321.43</v>
      </c>
      <c r="S58" s="24">
        <f>SUMIFS('Saldos Iniciales'!$D:$D,'Saldos Iniciales'!$A:$A,"3628 Thomas Ave")+SUMIFS(Movimientos!$K$1:$K$724,Movimientos!$C$1:$C$724,"3628 Thomas Ave",Movimientos!$B$1:$B$724,"&lt;="&amp;$B58)</f>
        <v>28458.6</v>
      </c>
      <c r="T58" s="24">
        <f>SUMIFS('Saldos Iniciales'!$D:$D,'Saldos Iniciales'!$A:$A,"Green Harbor Trust")+SUMIFS(Movimientos!$K$1:$K$724,Movimientos!$C$1:$C$724,"Green Harbor Trust",Movimientos!$B$1:$B$724,"&lt;="&amp;$B58)</f>
        <v>345</v>
      </c>
      <c r="U58" s="24">
        <f>SUMIFS('Saldos Iniciales'!$D:$D,'Saldos Iniciales'!$A:$A,"Go Blue")+SUMIFS(Movimientos!$K$1:$K$724,Movimientos!$C$1:$C$724,"Go Blue",Movimientos!$B$1:$B$724,"&lt;="&amp;$B58)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Group")+SUMIFS(Movimientos!$K$1:$K$724,Movimientos!$C$1:$C$724,"CFT Group",Movimientos!$B$1:$B$724,"&lt;="&amp;$B59)</f>
        <v>6288055.7100000009</v>
      </c>
      <c r="D59" s="24">
        <f>SUMIFS('Saldos Iniciales'!$D:$D,'Saldos Iniciales'!$A:$A,"M1B")+SUMIFS(Movimientos!$K$1:$K$724,Movimientos!$C$1:$C$724,"M1B",Movimientos!$B$1:$B$724,"&lt;="&amp;$B59)</f>
        <v>72386.190000000177</v>
      </c>
      <c r="E59" s="24">
        <f>SUMIFS('Saldos Iniciales'!$D:$D,'Saldos Iniciales'!$A:$A,"Durand")+SUMIFS(Movimientos!$K$1:$K$724,Movimientos!$C$1:$C$724,"Durand",Movimientos!$B$1:$B$724,"&lt;="&amp;$B59)</f>
        <v>1669.89</v>
      </c>
      <c r="F59" s="24">
        <f>SUMIFS('Saldos Iniciales'!$D:$D,'Saldos Iniciales'!$A:$A,"A&amp;M Imports")+SUMIFS(Movimientos!$K$1:$K$724,Movimientos!$C$1:$C$724,"A&amp;M Imports",Movimientos!$B$1:$B$724,"&lt;="&amp;$B59)</f>
        <v>472766.72999999986</v>
      </c>
      <c r="G59" s="24">
        <f>SUMIFS('Saldos Iniciales'!$D:$D,'Saldos Iniciales'!$A:$A,"SSP Capital")+SUMIFS(Movimientos!$K$1:$K$724,Movimientos!$C$1:$C$724,"SSP Capital",Movimientos!$B$1:$B$724,"&lt;="&amp;$B59)</f>
        <v>1932389.7199999993</v>
      </c>
      <c r="H59" s="24">
        <f>SUMIFS('Saldos Iniciales'!$D:$D,'Saldos Iniciales'!$A:$A,"Cross Family Trust")+SUMIFS(Movimientos!$K$1:$K$724,Movimientos!$C$1:$C$724,"Cross Family Trust",Movimientos!$B$1:$B$724,"&lt;="&amp;$B59)</f>
        <v>1396496.38</v>
      </c>
      <c r="I59" s="24">
        <f>SUMIFS('Saldos Iniciales'!$D:$D,'Saldos Iniciales'!$A:$A,"Cross Security Trust")+SUMIFS(Movimientos!$K$1:$K$724,Movimientos!$C$1:$C$724,"Cross Security Trust",Movimientos!$B$1:$B$724,"&lt;="&amp;$B59)</f>
        <v>88090.37</v>
      </c>
      <c r="J59" s="24">
        <f>SUMIFS('Saldos Iniciales'!$D:$D,'Saldos Iniciales'!$A:$A,"Electrama")+SUMIFS(Movimientos!$K$1:$K$724,Movimientos!$C$1:$C$724,"Electrama",Movimientos!$B$1:$B$724,"&lt;="&amp;$B59)</f>
        <v>511.15999999999985</v>
      </c>
      <c r="K59" s="24">
        <f>SUMIFS('Saldos Iniciales'!$D:$D,'Saldos Iniciales'!$A:$A,"Sacred Valley Capital")+SUMIFS(Movimientos!$K$1:$K$724,Movimientos!$C$1:$C$724,"Sacred Valley Capital",Movimientos!$B$1:$B$724,"&lt;="&amp;$B59)</f>
        <v>84.35</v>
      </c>
      <c r="L59" s="24">
        <f>SUMIFS('Saldos Iniciales'!$D:$D,'Saldos Iniciales'!$A:$A,"YWC Capital")+SUMIFS(Movimientos!$K$1:$K$724,Movimientos!$C$1:$C$724,"YWC Capital",Movimientos!$B$1:$B$724,"&lt;="&amp;$B59)</f>
        <v>2237.77</v>
      </c>
      <c r="M59" s="24">
        <f>SUMIFS('Saldos Iniciales'!$D:$D,'Saldos Iniciales'!$A:$A,"Soweto")+SUMIFS(Movimientos!$K$1:$K$724,Movimientos!$C$1:$C$724,"Soweto",Movimientos!$B$1:$B$724,"&lt;="&amp;$B59)</f>
        <v>3349.94</v>
      </c>
      <c r="N59" s="24">
        <f>SUMIFS('Saldos Iniciales'!$D:$D,'Saldos Iniciales'!$A:$A,"Green Stone Trust")+SUMIFS(Movimientos!$K$1:$K$724,Movimientos!$C$1:$C$724,"Green Stone Trust",Movimientos!$B$1:$B$724,"&lt;="&amp;$B59)</f>
        <v>1968.99</v>
      </c>
      <c r="O59" s="24">
        <f>SUMIFS('Saldos Iniciales'!$D:$D,'Saldos Iniciales'!$A:$A,"EC Auto")+SUMIFS(Movimientos!$K$1:$K$724,Movimientos!$C$1:$C$724,"EC Auto",Movimientos!$B$1:$B$724,"&lt;="&amp;$B59)</f>
        <v>382.69000000000005</v>
      </c>
      <c r="P59" s="24">
        <f>SUMIFS('Saldos Iniciales'!$D:$D,'Saldos Iniciales'!$A:$A,"Arbor Capital Properties")+SUMIFS(Movimientos!$K$1:$K$724,Movimientos!$C$1:$C$724,"Arbor Capital Properties",Movimientos!$B$1:$B$724,"&lt;="&amp;$B59)</f>
        <v>1428.08</v>
      </c>
      <c r="Q59" s="24">
        <f>SUMIFS('Saldos Iniciales'!$D:$D,'Saldos Iniciales'!$A:$A,"2515 Overbrook")+SUMIFS(Movimientos!$K$1:$K$724,Movimientos!$C$1:$C$724,"2515 Overbrook",Movimientos!$B$1:$B$724,"&lt;="&amp;$B59)</f>
        <v>31039.969999999961</v>
      </c>
      <c r="R59" s="24">
        <f>SUMIFS('Saldos Iniciales'!$D:$D,'Saldos Iniciales'!$A:$A,"112 Florida Ave")+SUMIFS(Movimientos!$K$1:$K$724,Movimientos!$C$1:$C$724,"112 Florida Ave",Movimientos!$B$1:$B$724,"&lt;="&amp;$B59)</f>
        <v>20321.43</v>
      </c>
      <c r="S59" s="24">
        <f>SUMIFS('Saldos Iniciales'!$D:$D,'Saldos Iniciales'!$A:$A,"3628 Thomas Ave")+SUMIFS(Movimientos!$K$1:$K$724,Movimientos!$C$1:$C$724,"3628 Thomas Ave",Movimientos!$B$1:$B$724,"&lt;="&amp;$B59)</f>
        <v>28458.6</v>
      </c>
      <c r="T59" s="24">
        <f>SUMIFS('Saldos Iniciales'!$D:$D,'Saldos Iniciales'!$A:$A,"Green Harbor Trust")+SUMIFS(Movimientos!$K$1:$K$724,Movimientos!$C$1:$C$724,"Green Harbor Trust",Movimientos!$B$1:$B$724,"&lt;="&amp;$B59)</f>
        <v>345</v>
      </c>
      <c r="U59" s="24">
        <f>SUMIFS('Saldos Iniciales'!$D:$D,'Saldos Iniciales'!$A:$A,"Go Blue")+SUMIFS(Movimientos!$K$1:$K$724,Movimientos!$C$1:$C$724,"Go Blue",Movimientos!$B$1:$B$724,"&lt;="&amp;$B59)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75" si="12">+A59+1</f>
        <v>59</v>
      </c>
      <c r="B60" s="23">
        <v>46201</v>
      </c>
      <c r="C60" s="24">
        <f>SUMIFS('Saldos Iniciales'!$D:$D,'Saldos Iniciales'!$A:$A,"CFT Group")+SUMIFS(Movimientos!$K$1:$K$724,Movimientos!$C$1:$C$724,"CFT Group",Movimientos!$B$1:$B$724,"&lt;="&amp;$B60)</f>
        <v>6288055.7100000009</v>
      </c>
      <c r="D60" s="24">
        <f>SUMIFS('Saldos Iniciales'!$D:$D,'Saldos Iniciales'!$A:$A,"M1B")+SUMIFS(Movimientos!$K$1:$K$724,Movimientos!$C$1:$C$724,"M1B",Movimientos!$B$1:$B$724,"&lt;="&amp;$B60)</f>
        <v>72386.190000000177</v>
      </c>
      <c r="E60" s="24">
        <f>SUMIFS('Saldos Iniciales'!$D:$D,'Saldos Iniciales'!$A:$A,"Durand")+SUMIFS(Movimientos!$K$1:$K$724,Movimientos!$C$1:$C$724,"Durand",Movimientos!$B$1:$B$724,"&lt;="&amp;$B60)</f>
        <v>1669.89</v>
      </c>
      <c r="F60" s="24">
        <f>SUMIFS('Saldos Iniciales'!$D:$D,'Saldos Iniciales'!$A:$A,"A&amp;M Imports")+SUMIFS(Movimientos!$K$1:$K$724,Movimientos!$C$1:$C$724,"A&amp;M Imports",Movimientos!$B$1:$B$724,"&lt;="&amp;$B60)</f>
        <v>472766.72999999986</v>
      </c>
      <c r="G60" s="24">
        <f>SUMIFS('Saldos Iniciales'!$D:$D,'Saldos Iniciales'!$A:$A,"SSP Capital")+SUMIFS(Movimientos!$K$1:$K$724,Movimientos!$C$1:$C$724,"SSP Capital",Movimientos!$B$1:$B$724,"&lt;="&amp;$B60)</f>
        <v>1932389.7199999993</v>
      </c>
      <c r="H60" s="24">
        <f>SUMIFS('Saldos Iniciales'!$D:$D,'Saldos Iniciales'!$A:$A,"Cross Family Trust")+SUMIFS(Movimientos!$K$1:$K$724,Movimientos!$C$1:$C$724,"Cross Family Trust",Movimientos!$B$1:$B$724,"&lt;="&amp;$B60)</f>
        <v>1396496.38</v>
      </c>
      <c r="I60" s="24">
        <f>SUMIFS('Saldos Iniciales'!$D:$D,'Saldos Iniciales'!$A:$A,"Cross Security Trust")+SUMIFS(Movimientos!$K$1:$K$724,Movimientos!$C$1:$C$724,"Cross Security Trust",Movimientos!$B$1:$B$724,"&lt;="&amp;$B60)</f>
        <v>88090.37</v>
      </c>
      <c r="J60" s="24">
        <f>SUMIFS('Saldos Iniciales'!$D:$D,'Saldos Iniciales'!$A:$A,"Electrama")+SUMIFS(Movimientos!$K$1:$K$724,Movimientos!$C$1:$C$724,"Electrama",Movimientos!$B$1:$B$724,"&lt;="&amp;$B60)</f>
        <v>511.15999999999985</v>
      </c>
      <c r="K60" s="24">
        <f>SUMIFS('Saldos Iniciales'!$D:$D,'Saldos Iniciales'!$A:$A,"Sacred Valley Capital")+SUMIFS(Movimientos!$K$1:$K$724,Movimientos!$C$1:$C$724,"Sacred Valley Capital",Movimientos!$B$1:$B$724,"&lt;="&amp;$B60)</f>
        <v>84.35</v>
      </c>
      <c r="L60" s="24">
        <f>SUMIFS('Saldos Iniciales'!$D:$D,'Saldos Iniciales'!$A:$A,"YWC Capital")+SUMIFS(Movimientos!$K$1:$K$724,Movimientos!$C$1:$C$724,"YWC Capital",Movimientos!$B$1:$B$724,"&lt;="&amp;$B60)</f>
        <v>2237.77</v>
      </c>
      <c r="M60" s="24">
        <f>SUMIFS('Saldos Iniciales'!$D:$D,'Saldos Iniciales'!$A:$A,"Soweto")+SUMIFS(Movimientos!$K$1:$K$724,Movimientos!$C$1:$C$724,"Soweto",Movimientos!$B$1:$B$724,"&lt;="&amp;$B60)</f>
        <v>3349.94</v>
      </c>
      <c r="N60" s="24">
        <f>SUMIFS('Saldos Iniciales'!$D:$D,'Saldos Iniciales'!$A:$A,"Green Stone Trust")+SUMIFS(Movimientos!$K$1:$K$724,Movimientos!$C$1:$C$724,"Green Stone Trust",Movimientos!$B$1:$B$724,"&lt;="&amp;$B60)</f>
        <v>1968.99</v>
      </c>
      <c r="O60" s="24">
        <f>SUMIFS('Saldos Iniciales'!$D:$D,'Saldos Iniciales'!$A:$A,"EC Auto")+SUMIFS(Movimientos!$K$1:$K$724,Movimientos!$C$1:$C$724,"EC Auto",Movimientos!$B$1:$B$724,"&lt;="&amp;$B60)</f>
        <v>382.69000000000005</v>
      </c>
      <c r="P60" s="24">
        <f>SUMIFS('Saldos Iniciales'!$D:$D,'Saldos Iniciales'!$A:$A,"Arbor Capital Properties")+SUMIFS(Movimientos!$K$1:$K$724,Movimientos!$C$1:$C$724,"Arbor Capital Properties",Movimientos!$B$1:$B$724,"&lt;="&amp;$B60)</f>
        <v>1428.08</v>
      </c>
      <c r="Q60" s="24">
        <f>SUMIFS('Saldos Iniciales'!$D:$D,'Saldos Iniciales'!$A:$A,"2515 Overbrook")+SUMIFS(Movimientos!$K$1:$K$724,Movimientos!$C$1:$C$724,"2515 Overbrook",Movimientos!$B$1:$B$724,"&lt;="&amp;$B60)</f>
        <v>31039.969999999961</v>
      </c>
      <c r="R60" s="24">
        <f>SUMIFS('Saldos Iniciales'!$D:$D,'Saldos Iniciales'!$A:$A,"112 Florida Ave")+SUMIFS(Movimientos!$K$1:$K$724,Movimientos!$C$1:$C$724,"112 Florida Ave",Movimientos!$B$1:$B$724,"&lt;="&amp;$B60)</f>
        <v>20321.43</v>
      </c>
      <c r="S60" s="24">
        <f>SUMIFS('Saldos Iniciales'!$D:$D,'Saldos Iniciales'!$A:$A,"3628 Thomas Ave")+SUMIFS(Movimientos!$K$1:$K$724,Movimientos!$C$1:$C$724,"3628 Thomas Ave",Movimientos!$B$1:$B$724,"&lt;="&amp;$B60)</f>
        <v>28458.6</v>
      </c>
      <c r="T60" s="24">
        <f>SUMIFS('Saldos Iniciales'!$D:$D,'Saldos Iniciales'!$A:$A,"Green Harbor Trust")+SUMIFS(Movimientos!$K$1:$K$724,Movimientos!$C$1:$C$724,"Green Harbor Trust",Movimientos!$B$1:$B$724,"&lt;="&amp;$B60)</f>
        <v>345</v>
      </c>
      <c r="U60" s="24">
        <f>SUMIFS('Saldos Iniciales'!$D:$D,'Saldos Iniciales'!$A:$A,"Go Blue")+SUMIFS(Movimientos!$K$1:$K$724,Movimientos!$C$1:$C$724,"Go Blue",Movimientos!$B$1:$B$724,"&lt;="&amp;$B60)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Group")+SUMIFS(Movimientos!$K$1:$K$724,Movimientos!$C$1:$C$724,"CFT Group",Movimientos!$B$1:$B$724,"&lt;="&amp;$B61)</f>
        <v>6299174.8100000015</v>
      </c>
      <c r="D61" s="24">
        <f>SUMIFS('Saldos Iniciales'!$D:$D,'Saldos Iniciales'!$A:$A,"M1B")+SUMIFS(Movimientos!$K$1:$K$724,Movimientos!$C$1:$C$724,"M1B",Movimientos!$B$1:$B$724,"&lt;="&amp;$B61)</f>
        <v>72386.190000000177</v>
      </c>
      <c r="E61" s="24">
        <f>SUMIFS('Saldos Iniciales'!$D:$D,'Saldos Iniciales'!$A:$A,"Durand")+SUMIFS(Movimientos!$K$1:$K$724,Movimientos!$C$1:$C$724,"Durand",Movimientos!$B$1:$B$724,"&lt;="&amp;$B61)</f>
        <v>1669.89</v>
      </c>
      <c r="F61" s="24">
        <f>SUMIFS('Saldos Iniciales'!$D:$D,'Saldos Iniciales'!$A:$A,"A&amp;M Imports")+SUMIFS(Movimientos!$K$1:$K$724,Movimientos!$C$1:$C$724,"A&amp;M Imports",Movimientos!$B$1:$B$724,"&lt;="&amp;$B61)</f>
        <v>489745.62999999989</v>
      </c>
      <c r="G61" s="24">
        <f>SUMIFS('Saldos Iniciales'!$D:$D,'Saldos Iniciales'!$A:$A,"SSP Capital")+SUMIFS(Movimientos!$K$1:$K$724,Movimientos!$C$1:$C$724,"SSP Capital",Movimientos!$B$1:$B$724,"&lt;="&amp;$B61)</f>
        <v>1768167.9199999995</v>
      </c>
      <c r="H61" s="24">
        <f>SUMIFS('Saldos Iniciales'!$D:$D,'Saldos Iniciales'!$A:$A,"Cross Family Trust")+SUMIFS(Movimientos!$K$1:$K$724,Movimientos!$C$1:$C$724,"Cross Family Trust",Movimientos!$B$1:$B$724,"&lt;="&amp;$B61)</f>
        <v>396496.38</v>
      </c>
      <c r="I61" s="24">
        <f>SUMIFS('Saldos Iniciales'!$D:$D,'Saldos Iniciales'!$A:$A,"Cross Security Trust")+SUMIFS(Movimientos!$K$1:$K$724,Movimientos!$C$1:$C$724,"Cross Security Trust",Movimientos!$B$1:$B$724,"&lt;="&amp;$B61)</f>
        <v>88090.37</v>
      </c>
      <c r="J61" s="24">
        <f>SUMIFS('Saldos Iniciales'!$D:$D,'Saldos Iniciales'!$A:$A,"Electrama")+SUMIFS(Movimientos!$K$1:$K$724,Movimientos!$C$1:$C$724,"Electrama",Movimientos!$B$1:$B$724,"&lt;="&amp;$B61)</f>
        <v>511.15999999999985</v>
      </c>
      <c r="K61" s="24">
        <f>SUMIFS('Saldos Iniciales'!$D:$D,'Saldos Iniciales'!$A:$A,"Sacred Valley Capital")+SUMIFS(Movimientos!$K$1:$K$724,Movimientos!$C$1:$C$724,"Sacred Valley Capital",Movimientos!$B$1:$B$724,"&lt;="&amp;$B61)</f>
        <v>84.35</v>
      </c>
      <c r="L61" s="24">
        <f>SUMIFS('Saldos Iniciales'!$D:$D,'Saldos Iniciales'!$A:$A,"YWC Capital")+SUMIFS(Movimientos!$K$1:$K$724,Movimientos!$C$1:$C$724,"YWC Capital",Movimientos!$B$1:$B$724,"&lt;="&amp;$B61)</f>
        <v>2237.77</v>
      </c>
      <c r="M61" s="24">
        <f>SUMIFS('Saldos Iniciales'!$D:$D,'Saldos Iniciales'!$A:$A,"Soweto")+SUMIFS(Movimientos!$K$1:$K$724,Movimientos!$C$1:$C$724,"Soweto",Movimientos!$B$1:$B$724,"&lt;="&amp;$B61)</f>
        <v>3349.94</v>
      </c>
      <c r="N61" s="24">
        <f>SUMIFS('Saldos Iniciales'!$D:$D,'Saldos Iniciales'!$A:$A,"Green Stone Trust")+SUMIFS(Movimientos!$K$1:$K$724,Movimientos!$C$1:$C$724,"Green Stone Trust",Movimientos!$B$1:$B$724,"&lt;="&amp;$B61)</f>
        <v>1968.99</v>
      </c>
      <c r="O61" s="24">
        <f>SUMIFS('Saldos Iniciales'!$D:$D,'Saldos Iniciales'!$A:$A,"EC Auto")+SUMIFS(Movimientos!$K$1:$K$724,Movimientos!$C$1:$C$724,"EC Auto",Movimientos!$B$1:$B$724,"&lt;="&amp;$B61)</f>
        <v>382.69000000000005</v>
      </c>
      <c r="P61" s="24">
        <f>SUMIFS('Saldos Iniciales'!$D:$D,'Saldos Iniciales'!$A:$A,"Arbor Capital Properties")+SUMIFS(Movimientos!$K$1:$K$724,Movimientos!$C$1:$C$724,"Arbor Capital Properties",Movimientos!$B$1:$B$724,"&lt;="&amp;$B61)</f>
        <v>1428.08</v>
      </c>
      <c r="Q61" s="24">
        <f>SUMIFS('Saldos Iniciales'!$D:$D,'Saldos Iniciales'!$A:$A,"2515 Overbrook")+SUMIFS(Movimientos!$K$1:$K$724,Movimientos!$C$1:$C$724,"2515 Overbrook",Movimientos!$B$1:$B$724,"&lt;="&amp;$B61)</f>
        <v>31039.969999999961</v>
      </c>
      <c r="R61" s="24">
        <f>SUMIFS('Saldos Iniciales'!$D:$D,'Saldos Iniciales'!$A:$A,"112 Florida Ave")+SUMIFS(Movimientos!$K$1:$K$724,Movimientos!$C$1:$C$724,"112 Florida Ave",Movimientos!$B$1:$B$724,"&lt;="&amp;$B61)</f>
        <v>20321.43</v>
      </c>
      <c r="S61" s="24">
        <f>SUMIFS('Saldos Iniciales'!$D:$D,'Saldos Iniciales'!$A:$A,"3628 Thomas Ave")+SUMIFS(Movimientos!$K$1:$K$724,Movimientos!$C$1:$C$724,"3628 Thomas Ave",Movimientos!$B$1:$B$724,"&lt;="&amp;$B61)</f>
        <v>28458.6</v>
      </c>
      <c r="T61" s="24">
        <f>SUMIFS('Saldos Iniciales'!$D:$D,'Saldos Iniciales'!$A:$A,"Green Harbor Trust")+SUMIFS(Movimientos!$K$1:$K$724,Movimientos!$C$1:$C$724,"Green Harbor Trust",Movimientos!$B$1:$B$724,"&lt;="&amp;$B61)</f>
        <v>345</v>
      </c>
      <c r="U61" s="24">
        <f>SUMIFS('Saldos Iniciales'!$D:$D,'Saldos Iniciales'!$A:$A,"Go Blue")+SUMIFS(Movimientos!$K$1:$K$724,Movimientos!$C$1:$C$724,"Go Blue",Movimientos!$B$1:$B$724,"&lt;="&amp;$B61)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Group")+SUMIFS(Movimientos!$K$1:$K$724,Movimientos!$C$1:$C$724,"CFT Group",Movimientos!$B$1:$B$724,"&lt;="&amp;$B62)</f>
        <v>6295585.7500000009</v>
      </c>
      <c r="D62" s="24">
        <f>SUMIFS('Saldos Iniciales'!$D:$D,'Saldos Iniciales'!$A:$A,"M1B")+SUMIFS(Movimientos!$K$1:$K$724,Movimientos!$C$1:$C$724,"M1B",Movimientos!$B$1:$B$724,"&lt;="&amp;$B62)</f>
        <v>79139.680000000168</v>
      </c>
      <c r="E62" s="24">
        <f>SUMIFS('Saldos Iniciales'!$D:$D,'Saldos Iniciales'!$A:$A,"Durand")+SUMIFS(Movimientos!$K$1:$K$724,Movimientos!$C$1:$C$724,"Durand",Movimientos!$B$1:$B$724,"&lt;="&amp;$B62)</f>
        <v>1669.89</v>
      </c>
      <c r="F62" s="24">
        <f>SUMIFS('Saldos Iniciales'!$D:$D,'Saldos Iniciales'!$A:$A,"A&amp;M Imports")+SUMIFS(Movimientos!$K$1:$K$724,Movimientos!$C$1:$C$724,"A&amp;M Imports",Movimientos!$B$1:$B$724,"&lt;="&amp;$B62)</f>
        <v>489745.62999999989</v>
      </c>
      <c r="G62" s="24">
        <f>SUMIFS('Saldos Iniciales'!$D:$D,'Saldos Iniciales'!$A:$A,"SSP Capital")+SUMIFS(Movimientos!$K$1:$K$724,Movimientos!$C$1:$C$724,"SSP Capital",Movimientos!$B$1:$B$724,"&lt;="&amp;$B62)</f>
        <v>1696284.7299999995</v>
      </c>
      <c r="H62" s="24">
        <f>SUMIFS('Saldos Iniciales'!$D:$D,'Saldos Iniciales'!$A:$A,"Cross Family Trust")+SUMIFS(Movimientos!$K$1:$K$724,Movimientos!$C$1:$C$724,"Cross Family Trust",Movimientos!$B$1:$B$724,"&lt;="&amp;$B62)</f>
        <v>390496.38</v>
      </c>
      <c r="I62" s="24">
        <f>SUMIFS('Saldos Iniciales'!$D:$D,'Saldos Iniciales'!$A:$A,"Cross Security Trust")+SUMIFS(Movimientos!$K$1:$K$724,Movimientos!$C$1:$C$724,"Cross Security Trust",Movimientos!$B$1:$B$724,"&lt;="&amp;$B62)</f>
        <v>88090.37</v>
      </c>
      <c r="J62" s="24">
        <f>SUMIFS('Saldos Iniciales'!$D:$D,'Saldos Iniciales'!$A:$A,"Electrama")+SUMIFS(Movimientos!$K$1:$K$724,Movimientos!$C$1:$C$724,"Electrama",Movimientos!$B$1:$B$724,"&lt;="&amp;$B62)</f>
        <v>511.15999999999985</v>
      </c>
      <c r="K62" s="24">
        <f>SUMIFS('Saldos Iniciales'!$D:$D,'Saldos Iniciales'!$A:$A,"Sacred Valley Capital")+SUMIFS(Movimientos!$K$1:$K$724,Movimientos!$C$1:$C$724,"Sacred Valley Capital",Movimientos!$B$1:$B$724,"&lt;="&amp;$B62)</f>
        <v>84.35</v>
      </c>
      <c r="L62" s="24">
        <f>SUMIFS('Saldos Iniciales'!$D:$D,'Saldos Iniciales'!$A:$A,"YWC Capital")+SUMIFS(Movimientos!$K$1:$K$724,Movimientos!$C$1:$C$724,"YWC Capital",Movimientos!$B$1:$B$724,"&lt;="&amp;$B62)</f>
        <v>2237.77</v>
      </c>
      <c r="M62" s="24">
        <f>SUMIFS('Saldos Iniciales'!$D:$D,'Saldos Iniciales'!$A:$A,"Soweto")+SUMIFS(Movimientos!$K$1:$K$724,Movimientos!$C$1:$C$724,"Soweto",Movimientos!$B$1:$B$724,"&lt;="&amp;$B62)</f>
        <v>3349.94</v>
      </c>
      <c r="N62" s="24">
        <f>SUMIFS('Saldos Iniciales'!$D:$D,'Saldos Iniciales'!$A:$A,"Green Stone Trust")+SUMIFS(Movimientos!$K$1:$K$724,Movimientos!$C$1:$C$724,"Green Stone Trust",Movimientos!$B$1:$B$724,"&lt;="&amp;$B62)</f>
        <v>1968.99</v>
      </c>
      <c r="O62" s="24">
        <f>SUMIFS('Saldos Iniciales'!$D:$D,'Saldos Iniciales'!$A:$A,"EC Auto")+SUMIFS(Movimientos!$K$1:$K$724,Movimientos!$C$1:$C$724,"EC Auto",Movimientos!$B$1:$B$724,"&lt;="&amp;$B62)</f>
        <v>382.69000000000005</v>
      </c>
      <c r="P62" s="24">
        <f>SUMIFS('Saldos Iniciales'!$D:$D,'Saldos Iniciales'!$A:$A,"Arbor Capital Properties")+SUMIFS(Movimientos!$K$1:$K$724,Movimientos!$C$1:$C$724,"Arbor Capital Properties",Movimientos!$B$1:$B$724,"&lt;="&amp;$B62)</f>
        <v>1428.08</v>
      </c>
      <c r="Q62" s="24">
        <f>SUMIFS('Saldos Iniciales'!$D:$D,'Saldos Iniciales'!$A:$A,"2515 Overbrook")+SUMIFS(Movimientos!$K$1:$K$724,Movimientos!$C$1:$C$724,"2515 Overbrook",Movimientos!$B$1:$B$724,"&lt;="&amp;$B62)</f>
        <v>31039.969999999961</v>
      </c>
      <c r="R62" s="24">
        <f>SUMIFS('Saldos Iniciales'!$D:$D,'Saldos Iniciales'!$A:$A,"112 Florida Ave")+SUMIFS(Movimientos!$K$1:$K$724,Movimientos!$C$1:$C$724,"112 Florida Ave",Movimientos!$B$1:$B$724,"&lt;="&amp;$B62)</f>
        <v>20321.43</v>
      </c>
      <c r="S62" s="24">
        <f>SUMIFS('Saldos Iniciales'!$D:$D,'Saldos Iniciales'!$A:$A,"3628 Thomas Ave")+SUMIFS(Movimientos!$K$1:$K$724,Movimientos!$C$1:$C$724,"3628 Thomas Ave",Movimientos!$B$1:$B$724,"&lt;="&amp;$B62)</f>
        <v>28458.6</v>
      </c>
      <c r="T62" s="24">
        <f>SUMIFS('Saldos Iniciales'!$D:$D,'Saldos Iniciales'!$A:$A,"Green Harbor Trust")+SUMIFS(Movimientos!$K$1:$K$724,Movimientos!$C$1:$C$724,"Green Harbor Trust",Movimientos!$B$1:$B$724,"&lt;="&amp;$B62)</f>
        <v>345</v>
      </c>
      <c r="U62" s="24">
        <f>SUMIFS('Saldos Iniciales'!$D:$D,'Saldos Iniciales'!$A:$A,"Go Blue")+SUMIFS(Movimientos!$K$1:$K$724,Movimientos!$C$1:$C$724,"Go Blue",Movimientos!$B$1:$B$724,"&lt;="&amp;$B62)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Group")+SUMIFS(Movimientos!$K$1:$K$724,Movimientos!$C$1:$C$724,"CFT Group",Movimientos!$B$1:$B$724,"&lt;="&amp;$B63)</f>
        <v>6295585.7500000009</v>
      </c>
      <c r="D63" s="24">
        <f>SUMIFS('Saldos Iniciales'!$D:$D,'Saldos Iniciales'!$A:$A,"M1B")+SUMIFS(Movimientos!$K$1:$K$724,Movimientos!$C$1:$C$724,"M1B",Movimientos!$B$1:$B$724,"&lt;="&amp;$B63)</f>
        <v>79139.680000000168</v>
      </c>
      <c r="E63" s="24">
        <f>SUMIFS('Saldos Iniciales'!$D:$D,'Saldos Iniciales'!$A:$A,"Durand")+SUMIFS(Movimientos!$K$1:$K$724,Movimientos!$C$1:$C$724,"Durand",Movimientos!$B$1:$B$724,"&lt;="&amp;$B63)</f>
        <v>1669.89</v>
      </c>
      <c r="F63" s="24">
        <f>SUMIFS('Saldos Iniciales'!$D:$D,'Saldos Iniciales'!$A:$A,"A&amp;M Imports")+SUMIFS(Movimientos!$K$1:$K$724,Movimientos!$C$1:$C$724,"A&amp;M Imports",Movimientos!$B$1:$B$724,"&lt;="&amp;$B63)</f>
        <v>507936.37999999989</v>
      </c>
      <c r="G63" s="24">
        <f>SUMIFS('Saldos Iniciales'!$D:$D,'Saldos Iniciales'!$A:$A,"SSP Capital")+SUMIFS(Movimientos!$K$1:$K$724,Movimientos!$C$1:$C$724,"SSP Capital",Movimientos!$B$1:$B$724,"&lt;="&amp;$B63)</f>
        <v>1696284.7299999995</v>
      </c>
      <c r="H63" s="24">
        <f>SUMIFS('Saldos Iniciales'!$D:$D,'Saldos Iniciales'!$A:$A,"Cross Family Trust")+SUMIFS(Movimientos!$K$1:$K$724,Movimientos!$C$1:$C$724,"Cross Family Trust",Movimientos!$B$1:$B$724,"&lt;="&amp;$B63)</f>
        <v>390496.38</v>
      </c>
      <c r="I63" s="24">
        <f>SUMIFS('Saldos Iniciales'!$D:$D,'Saldos Iniciales'!$A:$A,"Cross Security Trust")+SUMIFS(Movimientos!$K$1:$K$724,Movimientos!$C$1:$C$724,"Cross Security Trust",Movimientos!$B$1:$B$724,"&lt;="&amp;$B63)</f>
        <v>88090.37</v>
      </c>
      <c r="J63" s="24">
        <f>SUMIFS('Saldos Iniciales'!$D:$D,'Saldos Iniciales'!$A:$A,"Electrama")+SUMIFS(Movimientos!$K$1:$K$724,Movimientos!$C$1:$C$724,"Electrama",Movimientos!$B$1:$B$724,"&lt;="&amp;$B63)</f>
        <v>511.15999999999985</v>
      </c>
      <c r="K63" s="24">
        <f>SUMIFS('Saldos Iniciales'!$D:$D,'Saldos Iniciales'!$A:$A,"Sacred Valley Capital")+SUMIFS(Movimientos!$K$1:$K$724,Movimientos!$C$1:$C$724,"Sacred Valley Capital",Movimientos!$B$1:$B$724,"&lt;="&amp;$B63)</f>
        <v>54.400000000000006</v>
      </c>
      <c r="L63" s="24">
        <f>SUMIFS('Saldos Iniciales'!$D:$D,'Saldos Iniciales'!$A:$A,"YWC Capital")+SUMIFS(Movimientos!$K$1:$K$724,Movimientos!$C$1:$C$724,"YWC Capital",Movimientos!$B$1:$B$724,"&lt;="&amp;$B63)</f>
        <v>2207.8200000000002</v>
      </c>
      <c r="M63" s="24">
        <f>SUMIFS('Saldos Iniciales'!$D:$D,'Saldos Iniciales'!$A:$A,"Soweto")+SUMIFS(Movimientos!$K$1:$K$724,Movimientos!$C$1:$C$724,"Soweto",Movimientos!$B$1:$B$724,"&lt;="&amp;$B63)</f>
        <v>3349.94</v>
      </c>
      <c r="N63" s="24">
        <f>SUMIFS('Saldos Iniciales'!$D:$D,'Saldos Iniciales'!$A:$A,"Green Stone Trust")+SUMIFS(Movimientos!$K$1:$K$724,Movimientos!$C$1:$C$724,"Green Stone Trust",Movimientos!$B$1:$B$724,"&lt;="&amp;$B63)</f>
        <v>1968.99</v>
      </c>
      <c r="O63" s="24">
        <f>SUMIFS('Saldos Iniciales'!$D:$D,'Saldos Iniciales'!$A:$A,"EC Auto")+SUMIFS(Movimientos!$K$1:$K$724,Movimientos!$C$1:$C$724,"EC Auto",Movimientos!$B$1:$B$724,"&lt;="&amp;$B63)</f>
        <v>382.69000000000005</v>
      </c>
      <c r="P63" s="24">
        <f>SUMIFS('Saldos Iniciales'!$D:$D,'Saldos Iniciales'!$A:$A,"Arbor Capital Properties")+SUMIFS(Movimientos!$K$1:$K$724,Movimientos!$C$1:$C$724,"Arbor Capital Properties",Movimientos!$B$1:$B$724,"&lt;="&amp;$B63)</f>
        <v>1412.08</v>
      </c>
      <c r="Q63" s="24">
        <f>SUMIFS('Saldos Iniciales'!$D:$D,'Saldos Iniciales'!$A:$A,"2515 Overbrook")+SUMIFS(Movimientos!$K$1:$K$724,Movimientos!$C$1:$C$724,"2515 Overbrook",Movimientos!$B$1:$B$724,"&lt;="&amp;$B63)</f>
        <v>22496.639999999959</v>
      </c>
      <c r="R63" s="24">
        <f>SUMIFS('Saldos Iniciales'!$D:$D,'Saldos Iniciales'!$A:$A,"112 Florida Ave")+SUMIFS(Movimientos!$K$1:$K$724,Movimientos!$C$1:$C$724,"112 Florida Ave",Movimientos!$B$1:$B$724,"&lt;="&amp;$B63)</f>
        <v>10522.800000000003</v>
      </c>
      <c r="S63" s="24">
        <f>SUMIFS('Saldos Iniciales'!$D:$D,'Saldos Iniciales'!$A:$A,"3628 Thomas Ave")+SUMIFS(Movimientos!$K$1:$K$724,Movimientos!$C$1:$C$724,"3628 Thomas Ave",Movimientos!$B$1:$B$724,"&lt;="&amp;$B63)</f>
        <v>19685.559999999998</v>
      </c>
      <c r="T63" s="24">
        <f>SUMIFS('Saldos Iniciales'!$D:$D,'Saldos Iniciales'!$A:$A,"Green Harbor Trust")+SUMIFS(Movimientos!$K$1:$K$724,Movimientos!$C$1:$C$724,"Green Harbor Trust",Movimientos!$B$1:$B$724,"&lt;="&amp;$B63)</f>
        <v>345</v>
      </c>
      <c r="U63" s="24">
        <f>SUMIFS('Saldos Iniciales'!$D:$D,'Saldos Iniciales'!$A:$A,"Go Blue")+SUMIFS(Movimientos!$K$1:$K$724,Movimientos!$C$1:$C$724,"Go Blue",Movimientos!$B$1:$B$724,"&lt;="&amp;$B63)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Group")+SUMIFS(Movimientos!$K$1:$K$724,Movimientos!$C$1:$C$724,"CFT Group",Movimientos!$B$1:$B$724,"&lt;="&amp;$B64)</f>
        <v>5592585.7500000009</v>
      </c>
      <c r="D64" s="24">
        <f>SUMIFS('Saldos Iniciales'!$D:$D,'Saldos Iniciales'!$A:$A,"M1B")+SUMIFS(Movimientos!$K$1:$K$724,Movimientos!$C$1:$C$724,"M1B",Movimientos!$B$1:$B$724,"&lt;="&amp;$B64)</f>
        <v>79139.680000000168</v>
      </c>
      <c r="E64" s="24">
        <f>SUMIFS('Saldos Iniciales'!$D:$D,'Saldos Iniciales'!$A:$A,"Durand")+SUMIFS(Movimientos!$K$1:$K$724,Movimientos!$C$1:$C$724,"Durand",Movimientos!$B$1:$B$724,"&lt;="&amp;$B64)</f>
        <v>1669.89</v>
      </c>
      <c r="F64" s="24">
        <f>SUMIFS('Saldos Iniciales'!$D:$D,'Saldos Iniciales'!$A:$A,"A&amp;M Imports")+SUMIFS(Movimientos!$K$1:$K$724,Movimientos!$C$1:$C$724,"A&amp;M Imports",Movimientos!$B$1:$B$724,"&lt;="&amp;$B64)</f>
        <v>350475.62999999989</v>
      </c>
      <c r="G64" s="24">
        <f>SUMIFS('Saldos Iniciales'!$D:$D,'Saldos Iniciales'!$A:$A,"SSP Capital")+SUMIFS(Movimientos!$K$1:$K$724,Movimientos!$C$1:$C$724,"SSP Capital",Movimientos!$B$1:$B$724,"&lt;="&amp;$B64)</f>
        <v>1761564.8799999994</v>
      </c>
      <c r="H64" s="24">
        <f>SUMIFS('Saldos Iniciales'!$D:$D,'Saldos Iniciales'!$A:$A,"Cross Family Trust")+SUMIFS(Movimientos!$K$1:$K$724,Movimientos!$C$1:$C$724,"Cross Family Trust",Movimientos!$B$1:$B$724,"&lt;="&amp;$B64)</f>
        <v>220496.38</v>
      </c>
      <c r="I64" s="24">
        <f>SUMIFS('Saldos Iniciales'!$D:$D,'Saldos Iniciales'!$A:$A,"Cross Security Trust")+SUMIFS(Movimientos!$K$1:$K$724,Movimientos!$C$1:$C$724,"Cross Security Trust",Movimientos!$B$1:$B$724,"&lt;="&amp;$B64)</f>
        <v>88090.37</v>
      </c>
      <c r="J64" s="24">
        <f>SUMIFS('Saldos Iniciales'!$D:$D,'Saldos Iniciales'!$A:$A,"Electrama")+SUMIFS(Movimientos!$K$1:$K$724,Movimientos!$C$1:$C$724,"Electrama",Movimientos!$B$1:$B$724,"&lt;="&amp;$B64)</f>
        <v>511.15999999999985</v>
      </c>
      <c r="K64" s="24">
        <f>SUMIFS('Saldos Iniciales'!$D:$D,'Saldos Iniciales'!$A:$A,"Sacred Valley Capital")+SUMIFS(Movimientos!$K$1:$K$724,Movimientos!$C$1:$C$724,"Sacred Valley Capital",Movimientos!$B$1:$B$724,"&lt;="&amp;$B64)</f>
        <v>54.400000000000006</v>
      </c>
      <c r="L64" s="24">
        <f>SUMIFS('Saldos Iniciales'!$D:$D,'Saldos Iniciales'!$A:$A,"YWC Capital")+SUMIFS(Movimientos!$K$1:$K$724,Movimientos!$C$1:$C$724,"YWC Capital",Movimientos!$B$1:$B$724,"&lt;="&amp;$B64)</f>
        <v>2207.8200000000002</v>
      </c>
      <c r="M64" s="24">
        <f>SUMIFS('Saldos Iniciales'!$D:$D,'Saldos Iniciales'!$A:$A,"Soweto")+SUMIFS(Movimientos!$K$1:$K$724,Movimientos!$C$1:$C$724,"Soweto",Movimientos!$B$1:$B$724,"&lt;="&amp;$B64)</f>
        <v>3349.94</v>
      </c>
      <c r="N64" s="24">
        <f>SUMIFS('Saldos Iniciales'!$D:$D,'Saldos Iniciales'!$A:$A,"Green Stone Trust")+SUMIFS(Movimientos!$K$1:$K$724,Movimientos!$C$1:$C$724,"Green Stone Trust",Movimientos!$B$1:$B$724,"&lt;="&amp;$B64)</f>
        <v>1968.99</v>
      </c>
      <c r="O64" s="24">
        <f>SUMIFS('Saldos Iniciales'!$D:$D,'Saldos Iniciales'!$A:$A,"EC Auto")+SUMIFS(Movimientos!$K$1:$K$724,Movimientos!$C$1:$C$724,"EC Auto",Movimientos!$B$1:$B$724,"&lt;="&amp;$B64)</f>
        <v>382.69000000000005</v>
      </c>
      <c r="P64" s="24">
        <f>SUMIFS('Saldos Iniciales'!$D:$D,'Saldos Iniciales'!$A:$A,"Arbor Capital Properties")+SUMIFS(Movimientos!$K$1:$K$724,Movimientos!$C$1:$C$724,"Arbor Capital Properties",Movimientos!$B$1:$B$724,"&lt;="&amp;$B64)</f>
        <v>1412.08</v>
      </c>
      <c r="Q64" s="24">
        <f>SUMIFS('Saldos Iniciales'!$D:$D,'Saldos Iniciales'!$A:$A,"2515 Overbrook")+SUMIFS(Movimientos!$K$1:$K$724,Movimientos!$C$1:$C$724,"2515 Overbrook",Movimientos!$B$1:$B$724,"&lt;="&amp;$B64)</f>
        <v>22496.639999999959</v>
      </c>
      <c r="R64" s="24">
        <f>SUMIFS('Saldos Iniciales'!$D:$D,'Saldos Iniciales'!$A:$A,"112 Florida Ave")+SUMIFS(Movimientos!$K$1:$K$724,Movimientos!$C$1:$C$724,"112 Florida Ave",Movimientos!$B$1:$B$724,"&lt;="&amp;$B64)</f>
        <v>10522.800000000003</v>
      </c>
      <c r="S64" s="24">
        <f>SUMIFS('Saldos Iniciales'!$D:$D,'Saldos Iniciales'!$A:$A,"3628 Thomas Ave")+SUMIFS(Movimientos!$K$1:$K$724,Movimientos!$C$1:$C$724,"3628 Thomas Ave",Movimientos!$B$1:$B$724,"&lt;="&amp;$B64)</f>
        <v>24085.559999999998</v>
      </c>
      <c r="T64" s="24">
        <f>SUMIFS('Saldos Iniciales'!$D:$D,'Saldos Iniciales'!$A:$A,"Green Harbor Trust")+SUMIFS(Movimientos!$K$1:$K$724,Movimientos!$C$1:$C$724,"Green Harbor Trust",Movimientos!$B$1:$B$724,"&lt;="&amp;$B64)</f>
        <v>345</v>
      </c>
      <c r="U64" s="24">
        <f>SUMIFS('Saldos Iniciales'!$D:$D,'Saldos Iniciales'!$A:$A,"Go Blue")+SUMIFS(Movimientos!$K$1:$K$724,Movimientos!$C$1:$C$724,"Go Blue",Movimientos!$B$1:$B$724,"&lt;="&amp;$B64)</f>
        <v>36241.22</v>
      </c>
      <c r="V64" s="25">
        <f t="shared" si="14"/>
        <v>8197600.8800000008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Group")+SUMIFS(Movimientos!$K$1:$K$724,Movimientos!$C$1:$C$724,"CFT Group",Movimientos!$B$1:$B$724,"&lt;="&amp;$B65)</f>
        <v>5592585.7500000009</v>
      </c>
      <c r="D65" s="24">
        <f>SUMIFS('Saldos Iniciales'!$D:$D,'Saldos Iniciales'!$A:$A,"M1B")+SUMIFS(Movimientos!$K$1:$K$724,Movimientos!$C$1:$C$724,"M1B",Movimientos!$B$1:$B$724,"&lt;="&amp;$B65)</f>
        <v>79139.680000000168</v>
      </c>
      <c r="E65" s="24">
        <f>SUMIFS('Saldos Iniciales'!$D:$D,'Saldos Iniciales'!$A:$A,"Durand")+SUMIFS(Movimientos!$K$1:$K$724,Movimientos!$C$1:$C$724,"Durand",Movimientos!$B$1:$B$724,"&lt;="&amp;$B65)</f>
        <v>1669.89</v>
      </c>
      <c r="F65" s="24">
        <f>SUMIFS('Saldos Iniciales'!$D:$D,'Saldos Iniciales'!$A:$A,"A&amp;M Imports")+SUMIFS(Movimientos!$K$1:$K$724,Movimientos!$C$1:$C$724,"A&amp;M Imports",Movimientos!$B$1:$B$724,"&lt;="&amp;$B65)</f>
        <v>350475.62999999989</v>
      </c>
      <c r="G65" s="24">
        <f>SUMIFS('Saldos Iniciales'!$D:$D,'Saldos Iniciales'!$A:$A,"SSP Capital")+SUMIFS(Movimientos!$K$1:$K$724,Movimientos!$C$1:$C$724,"SSP Capital",Movimientos!$B$1:$B$724,"&lt;="&amp;$B65)</f>
        <v>1761564.8799999994</v>
      </c>
      <c r="H65" s="24">
        <f>SUMIFS('Saldos Iniciales'!$D:$D,'Saldos Iniciales'!$A:$A,"Cross Family Trust")+SUMIFS(Movimientos!$K$1:$K$724,Movimientos!$C$1:$C$724,"Cross Family Trust",Movimientos!$B$1:$B$724,"&lt;="&amp;$B65)</f>
        <v>220496.38</v>
      </c>
      <c r="I65" s="24">
        <f>SUMIFS('Saldos Iniciales'!$D:$D,'Saldos Iniciales'!$A:$A,"Cross Security Trust")+SUMIFS(Movimientos!$K$1:$K$724,Movimientos!$C$1:$C$724,"Cross Security Trust",Movimientos!$B$1:$B$724,"&lt;="&amp;$B65)</f>
        <v>88090.37</v>
      </c>
      <c r="J65" s="24">
        <f>SUMIFS('Saldos Iniciales'!$D:$D,'Saldos Iniciales'!$A:$A,"Electrama")+SUMIFS(Movimientos!$K$1:$K$724,Movimientos!$C$1:$C$724,"Electrama",Movimientos!$B$1:$B$724,"&lt;="&amp;$B65)</f>
        <v>471.15999999999985</v>
      </c>
      <c r="K65" s="24">
        <f>SUMIFS('Saldos Iniciales'!$D:$D,'Saldos Iniciales'!$A:$A,"Sacred Valley Capital")+SUMIFS(Movimientos!$K$1:$K$724,Movimientos!$C$1:$C$724,"Sacred Valley Capital",Movimientos!$B$1:$B$724,"&lt;="&amp;$B65)</f>
        <v>54.400000000000006</v>
      </c>
      <c r="L65" s="24">
        <f>SUMIFS('Saldos Iniciales'!$D:$D,'Saldos Iniciales'!$A:$A,"YWC Capital")+SUMIFS(Movimientos!$K$1:$K$724,Movimientos!$C$1:$C$724,"YWC Capital",Movimientos!$B$1:$B$724,"&lt;="&amp;$B65)</f>
        <v>2207.8200000000002</v>
      </c>
      <c r="M65" s="24">
        <f>SUMIFS('Saldos Iniciales'!$D:$D,'Saldos Iniciales'!$A:$A,"Soweto")+SUMIFS(Movimientos!$K$1:$K$724,Movimientos!$C$1:$C$724,"Soweto",Movimientos!$B$1:$B$724,"&lt;="&amp;$B65)</f>
        <v>3349.94</v>
      </c>
      <c r="N65" s="24">
        <f>SUMIFS('Saldos Iniciales'!$D:$D,'Saldos Iniciales'!$A:$A,"Green Stone Trust")+SUMIFS(Movimientos!$K$1:$K$724,Movimientos!$C$1:$C$724,"Green Stone Trust",Movimientos!$B$1:$B$724,"&lt;="&amp;$B65)</f>
        <v>1968.99</v>
      </c>
      <c r="O65" s="24">
        <f>SUMIFS('Saldos Iniciales'!$D:$D,'Saldos Iniciales'!$A:$A,"EC Auto")+SUMIFS(Movimientos!$K$1:$K$724,Movimientos!$C$1:$C$724,"EC Auto",Movimientos!$B$1:$B$724,"&lt;="&amp;$B65)</f>
        <v>382.69000000000005</v>
      </c>
      <c r="P65" s="24">
        <f>SUMIFS('Saldos Iniciales'!$D:$D,'Saldos Iniciales'!$A:$A,"Arbor Capital Properties")+SUMIFS(Movimientos!$K$1:$K$724,Movimientos!$C$1:$C$724,"Arbor Capital Properties",Movimientos!$B$1:$B$724,"&lt;="&amp;$B65)</f>
        <v>1412.08</v>
      </c>
      <c r="Q65" s="24">
        <f>SUMIFS('Saldos Iniciales'!$D:$D,'Saldos Iniciales'!$A:$A,"2515 Overbrook")+SUMIFS(Movimientos!$K$1:$K$724,Movimientos!$C$1:$C$724,"2515 Overbrook",Movimientos!$B$1:$B$724,"&lt;="&amp;$B65)</f>
        <v>22496.639999999959</v>
      </c>
      <c r="R65" s="24">
        <f>SUMIFS('Saldos Iniciales'!$D:$D,'Saldos Iniciales'!$A:$A,"112 Florida Ave")+SUMIFS(Movimientos!$K$1:$K$724,Movimientos!$C$1:$C$724,"112 Florida Ave",Movimientos!$B$1:$B$724,"&lt;="&amp;$B65)</f>
        <v>10522.800000000003</v>
      </c>
      <c r="S65" s="24">
        <f>SUMIFS('Saldos Iniciales'!$D:$D,'Saldos Iniciales'!$A:$A,"3628 Thomas Ave")+SUMIFS(Movimientos!$K$1:$K$724,Movimientos!$C$1:$C$724,"3628 Thomas Ave",Movimientos!$B$1:$B$724,"&lt;="&amp;$B65)</f>
        <v>24085.559999999998</v>
      </c>
      <c r="T65" s="24">
        <f>SUMIFS('Saldos Iniciales'!$D:$D,'Saldos Iniciales'!$A:$A,"Green Harbor Trust")+SUMIFS(Movimientos!$K$1:$K$724,Movimientos!$C$1:$C$724,"Green Harbor Trust",Movimientos!$B$1:$B$724,"&lt;="&amp;$B65)</f>
        <v>345</v>
      </c>
      <c r="U65" s="24">
        <f>SUMIFS('Saldos Iniciales'!$D:$D,'Saldos Iniciales'!$A:$A,"Go Blue")+SUMIFS(Movimientos!$K$1:$K$724,Movimientos!$C$1:$C$724,"Go Blue",Movimientos!$B$1:$B$724,"&lt;="&amp;$B65)</f>
        <v>33119.040000000001</v>
      </c>
      <c r="V65" s="25">
        <f t="shared" si="14"/>
        <v>8194438.7000000011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Group")+SUMIFS(Movimientos!$K$1:$K$724,Movimientos!$C$1:$C$724,"CFT Group",Movimientos!$B$1:$B$724,"&lt;="&amp;$B66)</f>
        <v>5592585.7500000009</v>
      </c>
      <c r="D66" s="24">
        <f>SUMIFS('Saldos Iniciales'!$D:$D,'Saldos Iniciales'!$A:$A,"M1B")+SUMIFS(Movimientos!$K$1:$K$724,Movimientos!$C$1:$C$724,"M1B",Movimientos!$B$1:$B$724,"&lt;="&amp;$B66)</f>
        <v>79139.680000000168</v>
      </c>
      <c r="E66" s="24">
        <f>SUMIFS('Saldos Iniciales'!$D:$D,'Saldos Iniciales'!$A:$A,"Durand")+SUMIFS(Movimientos!$K$1:$K$724,Movimientos!$C$1:$C$724,"Durand",Movimientos!$B$1:$B$724,"&lt;="&amp;$B66)</f>
        <v>1669.89</v>
      </c>
      <c r="F66" s="24">
        <f>SUMIFS('Saldos Iniciales'!$D:$D,'Saldos Iniciales'!$A:$A,"A&amp;M Imports")+SUMIFS(Movimientos!$K$1:$K$724,Movimientos!$C$1:$C$724,"A&amp;M Imports",Movimientos!$B$1:$B$724,"&lt;="&amp;$B66)</f>
        <v>350475.62999999989</v>
      </c>
      <c r="G66" s="24">
        <f>SUMIFS('Saldos Iniciales'!$D:$D,'Saldos Iniciales'!$A:$A,"SSP Capital")+SUMIFS(Movimientos!$K$1:$K$724,Movimientos!$C$1:$C$724,"SSP Capital",Movimientos!$B$1:$B$724,"&lt;="&amp;$B66)</f>
        <v>1761564.8799999994</v>
      </c>
      <c r="H66" s="24">
        <f>SUMIFS('Saldos Iniciales'!$D:$D,'Saldos Iniciales'!$A:$A,"Cross Family Trust")+SUMIFS(Movimientos!$K$1:$K$724,Movimientos!$C$1:$C$724,"Cross Family Trust",Movimientos!$B$1:$B$724,"&lt;="&amp;$B66)</f>
        <v>220496.38</v>
      </c>
      <c r="I66" s="24">
        <f>SUMIFS('Saldos Iniciales'!$D:$D,'Saldos Iniciales'!$A:$A,"Cross Security Trust")+SUMIFS(Movimientos!$K$1:$K$724,Movimientos!$C$1:$C$724,"Cross Security Trust",Movimientos!$B$1:$B$724,"&lt;="&amp;$B66)</f>
        <v>88090.37</v>
      </c>
      <c r="J66" s="24">
        <f>SUMIFS('Saldos Iniciales'!$D:$D,'Saldos Iniciales'!$A:$A,"Electrama")+SUMIFS(Movimientos!$K$1:$K$724,Movimientos!$C$1:$C$724,"Electrama",Movimientos!$B$1:$B$724,"&lt;="&amp;$B66)</f>
        <v>471.15999999999985</v>
      </c>
      <c r="K66" s="24">
        <f>SUMIFS('Saldos Iniciales'!$D:$D,'Saldos Iniciales'!$A:$A,"Sacred Valley Capital")+SUMIFS(Movimientos!$K$1:$K$724,Movimientos!$C$1:$C$724,"Sacred Valley Capital",Movimientos!$B$1:$B$724,"&lt;="&amp;$B66)</f>
        <v>54.400000000000006</v>
      </c>
      <c r="L66" s="24">
        <f>SUMIFS('Saldos Iniciales'!$D:$D,'Saldos Iniciales'!$A:$A,"YWC Capital")+SUMIFS(Movimientos!$K$1:$K$724,Movimientos!$C$1:$C$724,"YWC Capital",Movimientos!$B$1:$B$724,"&lt;="&amp;$B66)</f>
        <v>2207.8200000000002</v>
      </c>
      <c r="M66" s="24">
        <f>SUMIFS('Saldos Iniciales'!$D:$D,'Saldos Iniciales'!$A:$A,"Soweto")+SUMIFS(Movimientos!$K$1:$K$724,Movimientos!$C$1:$C$724,"Soweto",Movimientos!$B$1:$B$724,"&lt;="&amp;$B66)</f>
        <v>3349.94</v>
      </c>
      <c r="N66" s="24">
        <f>SUMIFS('Saldos Iniciales'!$D:$D,'Saldos Iniciales'!$A:$A,"Green Stone Trust")+SUMIFS(Movimientos!$K$1:$K$724,Movimientos!$C$1:$C$724,"Green Stone Trust",Movimientos!$B$1:$B$724,"&lt;="&amp;$B66)</f>
        <v>1968.99</v>
      </c>
      <c r="O66" s="24">
        <f>SUMIFS('Saldos Iniciales'!$D:$D,'Saldos Iniciales'!$A:$A,"EC Auto")+SUMIFS(Movimientos!$K$1:$K$724,Movimientos!$C$1:$C$724,"EC Auto",Movimientos!$B$1:$B$724,"&lt;="&amp;$B66)</f>
        <v>382.69000000000005</v>
      </c>
      <c r="P66" s="24">
        <f>SUMIFS('Saldos Iniciales'!$D:$D,'Saldos Iniciales'!$A:$A,"Arbor Capital Properties")+SUMIFS(Movimientos!$K$1:$K$724,Movimientos!$C$1:$C$724,"Arbor Capital Properties",Movimientos!$B$1:$B$724,"&lt;="&amp;$B66)</f>
        <v>1412.08</v>
      </c>
      <c r="Q66" s="24">
        <f>SUMIFS('Saldos Iniciales'!$D:$D,'Saldos Iniciales'!$A:$A,"2515 Overbrook")+SUMIFS(Movimientos!$K$1:$K$724,Movimientos!$C$1:$C$724,"2515 Overbrook",Movimientos!$B$1:$B$724,"&lt;="&amp;$B66)</f>
        <v>22496.639999999959</v>
      </c>
      <c r="R66" s="24">
        <f>SUMIFS('Saldos Iniciales'!$D:$D,'Saldos Iniciales'!$A:$A,"112 Florida Ave")+SUMIFS(Movimientos!$K$1:$K$724,Movimientos!$C$1:$C$724,"112 Florida Ave",Movimientos!$B$1:$B$724,"&lt;="&amp;$B66)</f>
        <v>10522.800000000003</v>
      </c>
      <c r="S66" s="24">
        <f>SUMIFS('Saldos Iniciales'!$D:$D,'Saldos Iniciales'!$A:$A,"3628 Thomas Ave")+SUMIFS(Movimientos!$K$1:$K$724,Movimientos!$C$1:$C$724,"3628 Thomas Ave",Movimientos!$B$1:$B$724,"&lt;="&amp;$B66)</f>
        <v>24085.559999999998</v>
      </c>
      <c r="T66" s="24">
        <f>SUMIFS('Saldos Iniciales'!$D:$D,'Saldos Iniciales'!$A:$A,"Green Harbor Trust")+SUMIFS(Movimientos!$K$1:$K$724,Movimientos!$C$1:$C$724,"Green Harbor Trust",Movimientos!$B$1:$B$724,"&lt;="&amp;$B66)</f>
        <v>345</v>
      </c>
      <c r="U66" s="24">
        <f>SUMIFS('Saldos Iniciales'!$D:$D,'Saldos Iniciales'!$A:$A,"Go Blue")+SUMIFS(Movimientos!$K$1:$K$724,Movimientos!$C$1:$C$724,"Go Blue",Movimientos!$B$1:$B$724,"&lt;="&amp;$B66)</f>
        <v>33119.040000000001</v>
      </c>
      <c r="V66" s="25">
        <f t="shared" si="14"/>
        <v>8194438.7000000011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Group")+SUMIFS(Movimientos!$K$1:$K$724,Movimientos!$C$1:$C$724,"CFT Group",Movimientos!$B$1:$B$724,"&lt;="&amp;$B67)</f>
        <v>5592585.7500000009</v>
      </c>
      <c r="D67" s="24">
        <f>SUMIFS('Saldos Iniciales'!$D:$D,'Saldos Iniciales'!$A:$A,"M1B")+SUMIFS(Movimientos!$K$1:$K$724,Movimientos!$C$1:$C$724,"M1B",Movimientos!$B$1:$B$724,"&lt;="&amp;$B67)</f>
        <v>79139.680000000168</v>
      </c>
      <c r="E67" s="24">
        <f>SUMIFS('Saldos Iniciales'!$D:$D,'Saldos Iniciales'!$A:$A,"Durand")+SUMIFS(Movimientos!$K$1:$K$724,Movimientos!$C$1:$C$724,"Durand",Movimientos!$B$1:$B$724,"&lt;="&amp;$B67)</f>
        <v>1669.89</v>
      </c>
      <c r="F67" s="24">
        <f>SUMIFS('Saldos Iniciales'!$D:$D,'Saldos Iniciales'!$A:$A,"A&amp;M Imports")+SUMIFS(Movimientos!$K$1:$K$724,Movimientos!$C$1:$C$724,"A&amp;M Imports",Movimientos!$B$1:$B$724,"&lt;="&amp;$B67)</f>
        <v>350475.62999999989</v>
      </c>
      <c r="G67" s="24">
        <f>SUMIFS('Saldos Iniciales'!$D:$D,'Saldos Iniciales'!$A:$A,"SSP Capital")+SUMIFS(Movimientos!$K$1:$K$724,Movimientos!$C$1:$C$724,"SSP Capital",Movimientos!$B$1:$B$724,"&lt;="&amp;$B67)</f>
        <v>1761564.8799999994</v>
      </c>
      <c r="H67" s="24">
        <f>SUMIFS('Saldos Iniciales'!$D:$D,'Saldos Iniciales'!$A:$A,"Cross Family Trust")+SUMIFS(Movimientos!$K$1:$K$724,Movimientos!$C$1:$C$724,"Cross Family Trust",Movimientos!$B$1:$B$724,"&lt;="&amp;$B67)</f>
        <v>220496.38</v>
      </c>
      <c r="I67" s="24">
        <f>SUMIFS('Saldos Iniciales'!$D:$D,'Saldos Iniciales'!$A:$A,"Cross Security Trust")+SUMIFS(Movimientos!$K$1:$K$724,Movimientos!$C$1:$C$724,"Cross Security Trust",Movimientos!$B$1:$B$724,"&lt;="&amp;$B67)</f>
        <v>88090.37</v>
      </c>
      <c r="J67" s="24">
        <f>SUMIFS('Saldos Iniciales'!$D:$D,'Saldos Iniciales'!$A:$A,"Electrama")+SUMIFS(Movimientos!$K$1:$K$724,Movimientos!$C$1:$C$724,"Electrama",Movimientos!$B$1:$B$724,"&lt;="&amp;$B67)</f>
        <v>471.15999999999985</v>
      </c>
      <c r="K67" s="24">
        <f>SUMIFS('Saldos Iniciales'!$D:$D,'Saldos Iniciales'!$A:$A,"Sacred Valley Capital")+SUMIFS(Movimientos!$K$1:$K$724,Movimientos!$C$1:$C$724,"Sacred Valley Capital",Movimientos!$B$1:$B$724,"&lt;="&amp;$B67)</f>
        <v>54.400000000000006</v>
      </c>
      <c r="L67" s="24">
        <f>SUMIFS('Saldos Iniciales'!$D:$D,'Saldos Iniciales'!$A:$A,"YWC Capital")+SUMIFS(Movimientos!$K$1:$K$724,Movimientos!$C$1:$C$724,"YWC Capital",Movimientos!$B$1:$B$724,"&lt;="&amp;$B67)</f>
        <v>2207.8200000000002</v>
      </c>
      <c r="M67" s="24">
        <f>SUMIFS('Saldos Iniciales'!$D:$D,'Saldos Iniciales'!$A:$A,"Soweto")+SUMIFS(Movimientos!$K$1:$K$724,Movimientos!$C$1:$C$724,"Soweto",Movimientos!$B$1:$B$724,"&lt;="&amp;$B67)</f>
        <v>3349.94</v>
      </c>
      <c r="N67" s="24">
        <f>SUMIFS('Saldos Iniciales'!$D:$D,'Saldos Iniciales'!$A:$A,"Green Stone Trust")+SUMIFS(Movimientos!$K$1:$K$724,Movimientos!$C$1:$C$724,"Green Stone Trust",Movimientos!$B$1:$B$724,"&lt;="&amp;$B67)</f>
        <v>1968.99</v>
      </c>
      <c r="O67" s="24">
        <f>SUMIFS('Saldos Iniciales'!$D:$D,'Saldos Iniciales'!$A:$A,"EC Auto")+SUMIFS(Movimientos!$K$1:$K$724,Movimientos!$C$1:$C$724,"EC Auto",Movimientos!$B$1:$B$724,"&lt;="&amp;$B67)</f>
        <v>382.69000000000005</v>
      </c>
      <c r="P67" s="24">
        <f>SUMIFS('Saldos Iniciales'!$D:$D,'Saldos Iniciales'!$A:$A,"Arbor Capital Properties")+SUMIFS(Movimientos!$K$1:$K$724,Movimientos!$C$1:$C$724,"Arbor Capital Properties",Movimientos!$B$1:$B$724,"&lt;="&amp;$B67)</f>
        <v>1412.08</v>
      </c>
      <c r="Q67" s="24">
        <f>SUMIFS('Saldos Iniciales'!$D:$D,'Saldos Iniciales'!$A:$A,"2515 Overbrook")+SUMIFS(Movimientos!$K$1:$K$724,Movimientos!$C$1:$C$724,"2515 Overbrook",Movimientos!$B$1:$B$724,"&lt;="&amp;$B67)</f>
        <v>22496.639999999959</v>
      </c>
      <c r="R67" s="24">
        <f>SUMIFS('Saldos Iniciales'!$D:$D,'Saldos Iniciales'!$A:$A,"112 Florida Ave")+SUMIFS(Movimientos!$K$1:$K$724,Movimientos!$C$1:$C$724,"112 Florida Ave",Movimientos!$B$1:$B$724,"&lt;="&amp;$B67)</f>
        <v>10522.800000000003</v>
      </c>
      <c r="S67" s="24">
        <f>SUMIFS('Saldos Iniciales'!$D:$D,'Saldos Iniciales'!$A:$A,"3628 Thomas Ave")+SUMIFS(Movimientos!$K$1:$K$724,Movimientos!$C$1:$C$724,"3628 Thomas Ave",Movimientos!$B$1:$B$724,"&lt;="&amp;$B67)</f>
        <v>24085.559999999998</v>
      </c>
      <c r="T67" s="24">
        <f>SUMIFS('Saldos Iniciales'!$D:$D,'Saldos Iniciales'!$A:$A,"Green Harbor Trust")+SUMIFS(Movimientos!$K$1:$K$724,Movimientos!$C$1:$C$724,"Green Harbor Trust",Movimientos!$B$1:$B$724,"&lt;="&amp;$B67)</f>
        <v>345</v>
      </c>
      <c r="U67" s="24">
        <f>SUMIFS('Saldos Iniciales'!$D:$D,'Saldos Iniciales'!$A:$A,"Go Blue")+SUMIFS(Movimientos!$K$1:$K$724,Movimientos!$C$1:$C$724,"Go Blue",Movimientos!$B$1:$B$724,"&lt;="&amp;$B67)</f>
        <v>33119.040000000001</v>
      </c>
      <c r="V67" s="25">
        <f t="shared" si="14"/>
        <v>8194438.7000000011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Group")+SUMIFS(Movimientos!$K$1:$K$724,Movimientos!$C$1:$C$724,"CFT Group",Movimientos!$B$1:$B$724,"&lt;="&amp;$B68)</f>
        <v>5592585.7500000009</v>
      </c>
      <c r="D68" s="24">
        <f>SUMIFS('Saldos Iniciales'!$D:$D,'Saldos Iniciales'!$A:$A,"M1B")+SUMIFS(Movimientos!$K$1:$K$724,Movimientos!$C$1:$C$724,"M1B",Movimientos!$B$1:$B$724,"&lt;="&amp;$B68)</f>
        <v>79139.680000000168</v>
      </c>
      <c r="E68" s="24">
        <f>SUMIFS('Saldos Iniciales'!$D:$D,'Saldos Iniciales'!$A:$A,"Durand")+SUMIFS(Movimientos!$K$1:$K$724,Movimientos!$C$1:$C$724,"Durand",Movimientos!$B$1:$B$724,"&lt;="&amp;$B68)</f>
        <v>1669.89</v>
      </c>
      <c r="F68" s="24">
        <f>SUMIFS('Saldos Iniciales'!$D:$D,'Saldos Iniciales'!$A:$A,"A&amp;M Imports")+SUMIFS(Movimientos!$K$1:$K$724,Movimientos!$C$1:$C$724,"A&amp;M Imports",Movimientos!$B$1:$B$724,"&lt;="&amp;$B68)</f>
        <v>350475.62999999989</v>
      </c>
      <c r="G68" s="24">
        <f>SUMIFS('Saldos Iniciales'!$D:$D,'Saldos Iniciales'!$A:$A,"SSP Capital")+SUMIFS(Movimientos!$K$1:$K$724,Movimientos!$C$1:$C$724,"SSP Capital",Movimientos!$B$1:$B$724,"&lt;="&amp;$B68)</f>
        <v>1761026.4599999995</v>
      </c>
      <c r="H68" s="24">
        <f>SUMIFS('Saldos Iniciales'!$D:$D,'Saldos Iniciales'!$A:$A,"Cross Family Trust")+SUMIFS(Movimientos!$K$1:$K$724,Movimientos!$C$1:$C$724,"Cross Family Trust",Movimientos!$B$1:$B$724,"&lt;="&amp;$B68)</f>
        <v>220496.38</v>
      </c>
      <c r="I68" s="24">
        <f>SUMIFS('Saldos Iniciales'!$D:$D,'Saldos Iniciales'!$A:$A,"Cross Security Trust")+SUMIFS(Movimientos!$K$1:$K$724,Movimientos!$C$1:$C$724,"Cross Security Trust",Movimientos!$B$1:$B$724,"&lt;="&amp;$B68)</f>
        <v>88090.37</v>
      </c>
      <c r="J68" s="24">
        <f>SUMIFS('Saldos Iniciales'!$D:$D,'Saldos Iniciales'!$A:$A,"Electrama")+SUMIFS(Movimientos!$K$1:$K$724,Movimientos!$C$1:$C$724,"Electrama",Movimientos!$B$1:$B$724,"&lt;="&amp;$B68)</f>
        <v>471.15999999999985</v>
      </c>
      <c r="K68" s="24">
        <f>SUMIFS('Saldos Iniciales'!$D:$D,'Saldos Iniciales'!$A:$A,"Sacred Valley Capital")+SUMIFS(Movimientos!$K$1:$K$724,Movimientos!$C$1:$C$724,"Sacred Valley Capital",Movimientos!$B$1:$B$724,"&lt;="&amp;$B68)</f>
        <v>54.400000000000006</v>
      </c>
      <c r="L68" s="24">
        <f>SUMIFS('Saldos Iniciales'!$D:$D,'Saldos Iniciales'!$A:$A,"YWC Capital")+SUMIFS(Movimientos!$K$1:$K$724,Movimientos!$C$1:$C$724,"YWC Capital",Movimientos!$B$1:$B$724,"&lt;="&amp;$B68)</f>
        <v>2207.8200000000002</v>
      </c>
      <c r="M68" s="24">
        <f>SUMIFS('Saldos Iniciales'!$D:$D,'Saldos Iniciales'!$A:$A,"Soweto")+SUMIFS(Movimientos!$K$1:$K$724,Movimientos!$C$1:$C$724,"Soweto",Movimientos!$B$1:$B$724,"&lt;="&amp;$B68)</f>
        <v>3349.94</v>
      </c>
      <c r="N68" s="24">
        <f>SUMIFS('Saldos Iniciales'!$D:$D,'Saldos Iniciales'!$A:$A,"Green Stone Trust")+SUMIFS(Movimientos!$K$1:$K$724,Movimientos!$C$1:$C$724,"Green Stone Trust",Movimientos!$B$1:$B$724,"&lt;="&amp;$B68)</f>
        <v>1968.99</v>
      </c>
      <c r="O68" s="24">
        <f>SUMIFS('Saldos Iniciales'!$D:$D,'Saldos Iniciales'!$A:$A,"EC Auto")+SUMIFS(Movimientos!$K$1:$K$724,Movimientos!$C$1:$C$724,"EC Auto",Movimientos!$B$1:$B$724,"&lt;="&amp;$B68)</f>
        <v>382.69000000000005</v>
      </c>
      <c r="P68" s="24">
        <f>SUMIFS('Saldos Iniciales'!$D:$D,'Saldos Iniciales'!$A:$A,"Arbor Capital Properties")+SUMIFS(Movimientos!$K$1:$K$724,Movimientos!$C$1:$C$724,"Arbor Capital Properties",Movimientos!$B$1:$B$724,"&lt;="&amp;$B68)</f>
        <v>1412.08</v>
      </c>
      <c r="Q68" s="24">
        <f>SUMIFS('Saldos Iniciales'!$D:$D,'Saldos Iniciales'!$A:$A,"2515 Overbrook")+SUMIFS(Movimientos!$K$1:$K$724,Movimientos!$C$1:$C$724,"2515 Overbrook",Movimientos!$B$1:$B$724,"&lt;="&amp;$B68)</f>
        <v>22496.639999999959</v>
      </c>
      <c r="R68" s="24">
        <f>SUMIFS('Saldos Iniciales'!$D:$D,'Saldos Iniciales'!$A:$A,"112 Florida Ave")+SUMIFS(Movimientos!$K$1:$K$724,Movimientos!$C$1:$C$724,"112 Florida Ave",Movimientos!$B$1:$B$724,"&lt;="&amp;$B68)</f>
        <v>10522.800000000003</v>
      </c>
      <c r="S68" s="24">
        <f>SUMIFS('Saldos Iniciales'!$D:$D,'Saldos Iniciales'!$A:$A,"3628 Thomas Ave")+SUMIFS(Movimientos!$K$1:$K$724,Movimientos!$C$1:$C$724,"3628 Thomas Ave",Movimientos!$B$1:$B$724,"&lt;="&amp;$B68)</f>
        <v>24085.559999999998</v>
      </c>
      <c r="T68" s="24">
        <f>SUMIFS('Saldos Iniciales'!$D:$D,'Saldos Iniciales'!$A:$A,"Green Harbor Trust")+SUMIFS(Movimientos!$K$1:$K$724,Movimientos!$C$1:$C$724,"Green Harbor Trust",Movimientos!$B$1:$B$724,"&lt;="&amp;$B68)</f>
        <v>345</v>
      </c>
      <c r="U68" s="24">
        <f>SUMIFS('Saldos Iniciales'!$D:$D,'Saldos Iniciales'!$A:$A,"Go Blue")+SUMIFS(Movimientos!$K$1:$K$724,Movimientos!$C$1:$C$724,"Go Blue",Movimientos!$B$1:$B$724,"&lt;="&amp;$B68)</f>
        <v>15165.34</v>
      </c>
      <c r="V68" s="25">
        <f t="shared" ref="V68:V71" si="15">SUM(C68:U68)</f>
        <v>8175946.580000001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Group")+SUMIFS(Movimientos!$K$1:$K$724,Movimientos!$C$1:$C$724,"CFT Group",Movimientos!$B$1:$B$724,"&lt;="&amp;$B69)</f>
        <v>5592585.7500000009</v>
      </c>
      <c r="D69" s="24">
        <f>SUMIFS('Saldos Iniciales'!$D:$D,'Saldos Iniciales'!$A:$A,"M1B")+SUMIFS(Movimientos!$K$1:$K$724,Movimientos!$C$1:$C$724,"M1B",Movimientos!$B$1:$B$724,"&lt;="&amp;$B69)</f>
        <v>79139.680000000168</v>
      </c>
      <c r="E69" s="24">
        <f>SUMIFS('Saldos Iniciales'!$D:$D,'Saldos Iniciales'!$A:$A,"Durand")+SUMIFS(Movimientos!$K$1:$K$724,Movimientos!$C$1:$C$724,"Durand",Movimientos!$B$1:$B$724,"&lt;="&amp;$B69)</f>
        <v>1669.89</v>
      </c>
      <c r="F69" s="24">
        <f>SUMIFS('Saldos Iniciales'!$D:$D,'Saldos Iniciales'!$A:$A,"A&amp;M Imports")+SUMIFS(Movimientos!$K$1:$K$724,Movimientos!$C$1:$C$724,"A&amp;M Imports",Movimientos!$B$1:$B$724,"&lt;="&amp;$B69)</f>
        <v>350475.62999999989</v>
      </c>
      <c r="G69" s="24">
        <f>SUMIFS('Saldos Iniciales'!$D:$D,'Saldos Iniciales'!$A:$A,"SSP Capital")+SUMIFS(Movimientos!$K$1:$K$724,Movimientos!$C$1:$C$724,"SSP Capital",Movimientos!$B$1:$B$724,"&lt;="&amp;$B69)</f>
        <v>1761026.4599999995</v>
      </c>
      <c r="H69" s="24">
        <f>SUMIFS('Saldos Iniciales'!$D:$D,'Saldos Iniciales'!$A:$A,"Cross Family Trust")+SUMIFS(Movimientos!$K$1:$K$724,Movimientos!$C$1:$C$724,"Cross Family Trust",Movimientos!$B$1:$B$724,"&lt;="&amp;$B69)</f>
        <v>220496.38</v>
      </c>
      <c r="I69" s="24">
        <f>SUMIFS('Saldos Iniciales'!$D:$D,'Saldos Iniciales'!$A:$A,"Cross Security Trust")+SUMIFS(Movimientos!$K$1:$K$724,Movimientos!$C$1:$C$724,"Cross Security Trust",Movimientos!$B$1:$B$724,"&lt;="&amp;$B69)</f>
        <v>88090.37</v>
      </c>
      <c r="J69" s="24">
        <f>SUMIFS('Saldos Iniciales'!$D:$D,'Saldos Iniciales'!$A:$A,"Electrama")+SUMIFS(Movimientos!$K$1:$K$724,Movimientos!$C$1:$C$724,"Electrama",Movimientos!$B$1:$B$724,"&lt;="&amp;$B69)</f>
        <v>471.15999999999985</v>
      </c>
      <c r="K69" s="24">
        <f>SUMIFS('Saldos Iniciales'!$D:$D,'Saldos Iniciales'!$A:$A,"Sacred Valley Capital")+SUMIFS(Movimientos!$K$1:$K$724,Movimientos!$C$1:$C$724,"Sacred Valley Capital",Movimientos!$B$1:$B$724,"&lt;="&amp;$B69)</f>
        <v>54.400000000000006</v>
      </c>
      <c r="L69" s="24">
        <f>SUMIFS('Saldos Iniciales'!$D:$D,'Saldos Iniciales'!$A:$A,"YWC Capital")+SUMIFS(Movimientos!$K$1:$K$724,Movimientos!$C$1:$C$724,"YWC Capital",Movimientos!$B$1:$B$724,"&lt;="&amp;$B69)</f>
        <v>2207.8200000000002</v>
      </c>
      <c r="M69" s="24">
        <f>SUMIFS('Saldos Iniciales'!$D:$D,'Saldos Iniciales'!$A:$A,"Soweto")+SUMIFS(Movimientos!$K$1:$K$724,Movimientos!$C$1:$C$724,"Soweto",Movimientos!$B$1:$B$724,"&lt;="&amp;$B69)</f>
        <v>3349.94</v>
      </c>
      <c r="N69" s="24">
        <f>SUMIFS('Saldos Iniciales'!$D:$D,'Saldos Iniciales'!$A:$A,"Green Stone Trust")+SUMIFS(Movimientos!$K$1:$K$724,Movimientos!$C$1:$C$724,"Green Stone Trust",Movimientos!$B$1:$B$724,"&lt;="&amp;$B69)</f>
        <v>1968.99</v>
      </c>
      <c r="O69" s="24">
        <f>SUMIFS('Saldos Iniciales'!$D:$D,'Saldos Iniciales'!$A:$A,"EC Auto")+SUMIFS(Movimientos!$K$1:$K$724,Movimientos!$C$1:$C$724,"EC Auto",Movimientos!$B$1:$B$724,"&lt;="&amp;$B69)</f>
        <v>382.69000000000005</v>
      </c>
      <c r="P69" s="24">
        <f>SUMIFS('Saldos Iniciales'!$D:$D,'Saldos Iniciales'!$A:$A,"Arbor Capital Properties")+SUMIFS(Movimientos!$K$1:$K$724,Movimientos!$C$1:$C$724,"Arbor Capital Properties",Movimientos!$B$1:$B$724,"&lt;="&amp;$B69)</f>
        <v>1412.08</v>
      </c>
      <c r="Q69" s="24">
        <f>SUMIFS('Saldos Iniciales'!$D:$D,'Saldos Iniciales'!$A:$A,"2515 Overbrook")+SUMIFS(Movimientos!$K$1:$K$724,Movimientos!$C$1:$C$724,"2515 Overbrook",Movimientos!$B$1:$B$724,"&lt;="&amp;$B69)</f>
        <v>22496.639999999959</v>
      </c>
      <c r="R69" s="24">
        <f>SUMIFS('Saldos Iniciales'!$D:$D,'Saldos Iniciales'!$A:$A,"112 Florida Ave")+SUMIFS(Movimientos!$K$1:$K$724,Movimientos!$C$1:$C$724,"112 Florida Ave",Movimientos!$B$1:$B$724,"&lt;="&amp;$B69)</f>
        <v>10522.800000000003</v>
      </c>
      <c r="S69" s="24">
        <f>SUMIFS('Saldos Iniciales'!$D:$D,'Saldos Iniciales'!$A:$A,"3628 Thomas Ave")+SUMIFS(Movimientos!$K$1:$K$724,Movimientos!$C$1:$C$724,"3628 Thomas Ave",Movimientos!$B$1:$B$724,"&lt;="&amp;$B69)</f>
        <v>24085.559999999998</v>
      </c>
      <c r="T69" s="24">
        <f>SUMIFS('Saldos Iniciales'!$D:$D,'Saldos Iniciales'!$A:$A,"Green Harbor Trust")+SUMIFS(Movimientos!$K$1:$K$724,Movimientos!$C$1:$C$724,"Green Harbor Trust",Movimientos!$B$1:$B$724,"&lt;="&amp;$B69)</f>
        <v>345</v>
      </c>
      <c r="U69" s="24">
        <f>SUMIFS('Saldos Iniciales'!$D:$D,'Saldos Iniciales'!$A:$A,"Go Blue")+SUMIFS(Movimientos!$K$1:$K$724,Movimientos!$C$1:$C$724,"Go Blue",Movimientos!$B$1:$B$724,"&lt;="&amp;$B69)</f>
        <v>14498.59</v>
      </c>
      <c r="V69" s="25">
        <f t="shared" si="15"/>
        <v>8175279.830000001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Group")+SUMIFS(Movimientos!$K$1:$K$724,Movimientos!$C$1:$C$724,"CFT Group",Movimientos!$B$1:$B$724,"&lt;="&amp;$B70)</f>
        <v>5592585.7500000009</v>
      </c>
      <c r="D70" s="24">
        <f>SUMIFS('Saldos Iniciales'!$D:$D,'Saldos Iniciales'!$A:$A,"M1B")+SUMIFS(Movimientos!$K$1:$K$724,Movimientos!$C$1:$C$724,"M1B",Movimientos!$B$1:$B$724,"&lt;="&amp;$B70)</f>
        <v>79139.680000000168</v>
      </c>
      <c r="E70" s="24">
        <f>SUMIFS('Saldos Iniciales'!$D:$D,'Saldos Iniciales'!$A:$A,"Durand")+SUMIFS(Movimientos!$K$1:$K$724,Movimientos!$C$1:$C$724,"Durand",Movimientos!$B$1:$B$724,"&lt;="&amp;$B70)</f>
        <v>1669.89</v>
      </c>
      <c r="F70" s="24">
        <f>SUMIFS('Saldos Iniciales'!$D:$D,'Saldos Iniciales'!$A:$A,"A&amp;M Imports")+SUMIFS(Movimientos!$K$1:$K$724,Movimientos!$C$1:$C$724,"A&amp;M Imports",Movimientos!$B$1:$B$724,"&lt;="&amp;$B70)</f>
        <v>350475.62999999989</v>
      </c>
      <c r="G70" s="24">
        <f>SUMIFS('Saldos Iniciales'!$D:$D,'Saldos Iniciales'!$A:$A,"SSP Capital")+SUMIFS(Movimientos!$K$1:$K$724,Movimientos!$C$1:$C$724,"SSP Capital",Movimientos!$B$1:$B$724,"&lt;="&amp;$B70)</f>
        <v>1751695.8399999994</v>
      </c>
      <c r="H70" s="24">
        <f>SUMIFS('Saldos Iniciales'!$D:$D,'Saldos Iniciales'!$A:$A,"Cross Family Trust")+SUMIFS(Movimientos!$K$1:$K$724,Movimientos!$C$1:$C$724,"Cross Family Trust",Movimientos!$B$1:$B$724,"&lt;="&amp;$B70)</f>
        <v>220496.38</v>
      </c>
      <c r="I70" s="24">
        <f>SUMIFS('Saldos Iniciales'!$D:$D,'Saldos Iniciales'!$A:$A,"Cross Security Trust")+SUMIFS(Movimientos!$K$1:$K$724,Movimientos!$C$1:$C$724,"Cross Security Trust",Movimientos!$B$1:$B$724,"&lt;="&amp;$B70)</f>
        <v>88090.37</v>
      </c>
      <c r="J70" s="24">
        <f>SUMIFS('Saldos Iniciales'!$D:$D,'Saldos Iniciales'!$A:$A,"Electrama")+SUMIFS(Movimientos!$K$1:$K$724,Movimientos!$C$1:$C$724,"Electrama",Movimientos!$B$1:$B$724,"&lt;="&amp;$B70)</f>
        <v>471.15999999999985</v>
      </c>
      <c r="K70" s="24">
        <f>SUMIFS('Saldos Iniciales'!$D:$D,'Saldos Iniciales'!$A:$A,"Sacred Valley Capital")+SUMIFS(Movimientos!$K$1:$K$724,Movimientos!$C$1:$C$724,"Sacred Valley Capital",Movimientos!$B$1:$B$724,"&lt;="&amp;$B70)</f>
        <v>54.400000000000006</v>
      </c>
      <c r="L70" s="24">
        <f>SUMIFS('Saldos Iniciales'!$D:$D,'Saldos Iniciales'!$A:$A,"YWC Capital")+SUMIFS(Movimientos!$K$1:$K$724,Movimientos!$C$1:$C$724,"YWC Capital",Movimientos!$B$1:$B$724,"&lt;="&amp;$B70)</f>
        <v>2207.8200000000002</v>
      </c>
      <c r="M70" s="24">
        <f>SUMIFS('Saldos Iniciales'!$D:$D,'Saldos Iniciales'!$A:$A,"Soweto")+SUMIFS(Movimientos!$K$1:$K$724,Movimientos!$C$1:$C$724,"Soweto",Movimientos!$B$1:$B$724,"&lt;="&amp;$B70)</f>
        <v>3334.94</v>
      </c>
      <c r="N70" s="24">
        <f>SUMIFS('Saldos Iniciales'!$D:$D,'Saldos Iniciales'!$A:$A,"Green Stone Trust")+SUMIFS(Movimientos!$K$1:$K$724,Movimientos!$C$1:$C$724,"Green Stone Trust",Movimientos!$B$1:$B$724,"&lt;="&amp;$B70)</f>
        <v>1968.99</v>
      </c>
      <c r="O70" s="24">
        <f>SUMIFS('Saldos Iniciales'!$D:$D,'Saldos Iniciales'!$A:$A,"EC Auto")+SUMIFS(Movimientos!$K$1:$K$724,Movimientos!$C$1:$C$724,"EC Auto",Movimientos!$B$1:$B$724,"&lt;="&amp;$B70)</f>
        <v>382.69000000000005</v>
      </c>
      <c r="P70" s="24">
        <f>SUMIFS('Saldos Iniciales'!$D:$D,'Saldos Iniciales'!$A:$A,"Arbor Capital Properties")+SUMIFS(Movimientos!$K$1:$K$724,Movimientos!$C$1:$C$724,"Arbor Capital Properties",Movimientos!$B$1:$B$724,"&lt;="&amp;$B70)</f>
        <v>1412.08</v>
      </c>
      <c r="Q70" s="24">
        <f>SUMIFS('Saldos Iniciales'!$D:$D,'Saldos Iniciales'!$A:$A,"2515 Overbrook")+SUMIFS(Movimientos!$K$1:$K$724,Movimientos!$C$1:$C$724,"2515 Overbrook",Movimientos!$B$1:$B$724,"&lt;="&amp;$B70)</f>
        <v>22496.639999999959</v>
      </c>
      <c r="R70" s="24">
        <f>SUMIFS('Saldos Iniciales'!$D:$D,'Saldos Iniciales'!$A:$A,"112 Florida Ave")+SUMIFS(Movimientos!$K$1:$K$724,Movimientos!$C$1:$C$724,"112 Florida Ave",Movimientos!$B$1:$B$724,"&lt;="&amp;$B70)</f>
        <v>6522.8000000000029</v>
      </c>
      <c r="S70" s="24">
        <f>SUMIFS('Saldos Iniciales'!$D:$D,'Saldos Iniciales'!$A:$A,"3628 Thomas Ave")+SUMIFS(Movimientos!$K$1:$K$724,Movimientos!$C$1:$C$724,"3628 Thomas Ave",Movimientos!$B$1:$B$724,"&lt;="&amp;$B70)</f>
        <v>24085.559999999998</v>
      </c>
      <c r="T70" s="24">
        <f>SUMIFS('Saldos Iniciales'!$D:$D,'Saldos Iniciales'!$A:$A,"Green Harbor Trust")+SUMIFS(Movimientos!$K$1:$K$724,Movimientos!$C$1:$C$724,"Green Harbor Trust",Movimientos!$B$1:$B$724,"&lt;="&amp;$B70)</f>
        <v>345</v>
      </c>
      <c r="U70" s="24">
        <f>SUMIFS('Saldos Iniciales'!$D:$D,'Saldos Iniciales'!$A:$A,"Go Blue")+SUMIFS(Movimientos!$K$1:$K$724,Movimientos!$C$1:$C$724,"Go Blue",Movimientos!$B$1:$B$724,"&lt;="&amp;$B70)</f>
        <v>14498.59</v>
      </c>
      <c r="V70" s="25">
        <f t="shared" si="15"/>
        <v>8161934.2100000018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Group")+SUMIFS(Movimientos!$K$1:$K$724,Movimientos!$C$1:$C$724,"CFT Group",Movimientos!$B$1:$B$724,"&lt;="&amp;$B71)</f>
        <v>4377944.080000001</v>
      </c>
      <c r="D71" s="24">
        <f>SUMIFS('Saldos Iniciales'!$D:$D,'Saldos Iniciales'!$A:$A,"M1B")+SUMIFS(Movimientos!$K$1:$K$724,Movimientos!$C$1:$C$724,"M1B",Movimientos!$B$1:$B$724,"&lt;="&amp;$B71)</f>
        <v>73157.680000000168</v>
      </c>
      <c r="E71" s="24">
        <f>SUMIFS('Saldos Iniciales'!$D:$D,'Saldos Iniciales'!$A:$A,"Durand")+SUMIFS(Movimientos!$K$1:$K$724,Movimientos!$C$1:$C$724,"Durand",Movimientos!$B$1:$B$724,"&lt;="&amp;$B71)</f>
        <v>1669.89</v>
      </c>
      <c r="F71" s="24">
        <f>SUMIFS('Saldos Iniciales'!$D:$D,'Saldos Iniciales'!$A:$A,"A&amp;M Imports")+SUMIFS(Movimientos!$K$1:$K$724,Movimientos!$C$1:$C$724,"A&amp;M Imports",Movimientos!$B$1:$B$724,"&lt;="&amp;$B71)</f>
        <v>290475.62999999989</v>
      </c>
      <c r="G71" s="24">
        <f>SUMIFS('Saldos Iniciales'!$D:$D,'Saldos Iniciales'!$A:$A,"SSP Capital")+SUMIFS(Movimientos!$K$1:$K$724,Movimientos!$C$1:$C$724,"SSP Capital",Movimientos!$B$1:$B$724,"&lt;="&amp;$B71)</f>
        <v>2119592.9399999995</v>
      </c>
      <c r="H71" s="24">
        <f>SUMIFS('Saldos Iniciales'!$D:$D,'Saldos Iniciales'!$A:$A,"Cross Family Trust")+SUMIFS(Movimientos!$K$1:$K$724,Movimientos!$C$1:$C$724,"Cross Family Trust",Movimientos!$B$1:$B$724,"&lt;="&amp;$B71)</f>
        <v>200496.38</v>
      </c>
      <c r="I71" s="24">
        <f>SUMIFS('Saldos Iniciales'!$D:$D,'Saldos Iniciales'!$A:$A,"Cross Security Trust")+SUMIFS(Movimientos!$K$1:$K$724,Movimientos!$C$1:$C$724,"Cross Security Trust",Movimientos!$B$1:$B$724,"&lt;="&amp;$B71)</f>
        <v>88090.37</v>
      </c>
      <c r="J71" s="24">
        <f>SUMIFS('Saldos Iniciales'!$D:$D,'Saldos Iniciales'!$A:$A,"Electrama")+SUMIFS(Movimientos!$K$1:$K$724,Movimientos!$C$1:$C$724,"Electrama",Movimientos!$B$1:$B$724,"&lt;="&amp;$B71)</f>
        <v>15130.45</v>
      </c>
      <c r="K71" s="24">
        <f>SUMIFS('Saldos Iniciales'!$D:$D,'Saldos Iniciales'!$A:$A,"Sacred Valley Capital")+SUMIFS(Movimientos!$K$1:$K$724,Movimientos!$C$1:$C$724,"Sacred Valley Capital",Movimientos!$B$1:$B$724,"&lt;="&amp;$B71)</f>
        <v>54.400000000000006</v>
      </c>
      <c r="L71" s="24">
        <f>SUMIFS('Saldos Iniciales'!$D:$D,'Saldos Iniciales'!$A:$A,"YWC Capital")+SUMIFS(Movimientos!$K$1:$K$724,Movimientos!$C$1:$C$724,"YWC Capital",Movimientos!$B$1:$B$724,"&lt;="&amp;$B71)</f>
        <v>2207.8200000000002</v>
      </c>
      <c r="M71" s="24">
        <f>SUMIFS('Saldos Iniciales'!$D:$D,'Saldos Iniciales'!$A:$A,"Soweto")+SUMIFS(Movimientos!$K$1:$K$724,Movimientos!$C$1:$C$724,"Soweto",Movimientos!$B$1:$B$724,"&lt;="&amp;$B71)</f>
        <v>1454604.72</v>
      </c>
      <c r="N71" s="24">
        <f>SUMIFS('Saldos Iniciales'!$D:$D,'Saldos Iniciales'!$A:$A,"Green Stone Trust")+SUMIFS(Movimientos!$K$1:$K$724,Movimientos!$C$1:$C$724,"Green Stone Trust",Movimientos!$B$1:$B$724,"&lt;="&amp;$B71)</f>
        <v>1968.99</v>
      </c>
      <c r="O71" s="24">
        <f>SUMIFS('Saldos Iniciales'!$D:$D,'Saldos Iniciales'!$A:$A,"EC Auto")+SUMIFS(Movimientos!$K$1:$K$724,Movimientos!$C$1:$C$724,"EC Auto",Movimientos!$B$1:$B$724,"&lt;="&amp;$B71)</f>
        <v>382.69000000000005</v>
      </c>
      <c r="P71" s="24">
        <f>SUMIFS('Saldos Iniciales'!$D:$D,'Saldos Iniciales'!$A:$A,"Arbor Capital Properties")+SUMIFS(Movimientos!$K$1:$K$724,Movimientos!$C$1:$C$724,"Arbor Capital Properties",Movimientos!$B$1:$B$724,"&lt;="&amp;$B71)</f>
        <v>1412.08</v>
      </c>
      <c r="Q71" s="24">
        <f>SUMIFS('Saldos Iniciales'!$D:$D,'Saldos Iniciales'!$A:$A,"2515 Overbrook")+SUMIFS(Movimientos!$K$1:$K$724,Movimientos!$C$1:$C$724,"2515 Overbrook",Movimientos!$B$1:$B$724,"&lt;="&amp;$B71)</f>
        <v>22496.639999999959</v>
      </c>
      <c r="R71" s="24">
        <f>SUMIFS('Saldos Iniciales'!$D:$D,'Saldos Iniciales'!$A:$A,"112 Florida Ave")+SUMIFS(Movimientos!$K$1:$K$724,Movimientos!$C$1:$C$724,"112 Florida Ave",Movimientos!$B$1:$B$724,"&lt;="&amp;$B71)</f>
        <v>6522.8000000000029</v>
      </c>
      <c r="S71" s="24">
        <f>SUMIFS('Saldos Iniciales'!$D:$D,'Saldos Iniciales'!$A:$A,"3628 Thomas Ave")+SUMIFS(Movimientos!$K$1:$K$724,Movimientos!$C$1:$C$724,"3628 Thomas Ave",Movimientos!$B$1:$B$724,"&lt;="&amp;$B71)</f>
        <v>24085.559999999998</v>
      </c>
      <c r="T71" s="24">
        <f>SUMIFS('Saldos Iniciales'!$D:$D,'Saldos Iniciales'!$A:$A,"Green Harbor Trust")+SUMIFS(Movimientos!$K$1:$K$724,Movimientos!$C$1:$C$724,"Green Harbor Trust",Movimientos!$B$1:$B$724,"&lt;="&amp;$B71)</f>
        <v>345</v>
      </c>
      <c r="U71" s="24">
        <f>SUMIFS('Saldos Iniciales'!$D:$D,'Saldos Iniciales'!$A:$A,"Go Blue")+SUMIFS(Movimientos!$K$1:$K$724,Movimientos!$C$1:$C$724,"Go Blue",Movimientos!$B$1:$B$724,"&lt;="&amp;$B71)</f>
        <v>31900.120000000003</v>
      </c>
      <c r="V71" s="25">
        <f t="shared" si="15"/>
        <v>8712538.2400000021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Group")+SUMIFS(Movimientos!$K$1:$K$724,Movimientos!$C$1:$C$724,"CFT Group",Movimientos!$B$1:$B$724,"&lt;="&amp;$B72)</f>
        <v>4163755.7500000005</v>
      </c>
      <c r="D72" s="24">
        <f>SUMIFS('Saldos Iniciales'!$D:$D,'Saldos Iniciales'!$A:$A,"M1B")+SUMIFS(Movimientos!$K$1:$K$724,Movimientos!$C$1:$C$724,"M1B",Movimientos!$B$1:$B$724,"&lt;="&amp;$B72)</f>
        <v>73157.680000000168</v>
      </c>
      <c r="E72" s="24">
        <f>SUMIFS('Saldos Iniciales'!$D:$D,'Saldos Iniciales'!$A:$A,"Durand")+SUMIFS(Movimientos!$K$1:$K$724,Movimientos!$C$1:$C$724,"Durand",Movimientos!$B$1:$B$724,"&lt;="&amp;$B72)</f>
        <v>1669.89</v>
      </c>
      <c r="F72" s="24">
        <f>SUMIFS('Saldos Iniciales'!$D:$D,'Saldos Iniciales'!$A:$A,"A&amp;M Imports")+SUMIFS(Movimientos!$K$1:$K$724,Movimientos!$C$1:$C$724,"A&amp;M Imports",Movimientos!$B$1:$B$724,"&lt;="&amp;$B72)</f>
        <v>290141.62999999989</v>
      </c>
      <c r="G72" s="24">
        <f>SUMIFS('Saldos Iniciales'!$D:$D,'Saldos Iniciales'!$A:$A,"SSP Capital")+SUMIFS(Movimientos!$K$1:$K$724,Movimientos!$C$1:$C$724,"SSP Capital",Movimientos!$B$1:$B$724,"&lt;="&amp;$B72)</f>
        <v>1921752.2699999993</v>
      </c>
      <c r="H72" s="24">
        <f>SUMIFS('Saldos Iniciales'!$D:$D,'Saldos Iniciales'!$A:$A,"Cross Family Trust")+SUMIFS(Movimientos!$K$1:$K$724,Movimientos!$C$1:$C$724,"Cross Family Trust",Movimientos!$B$1:$B$724,"&lt;="&amp;$B72)</f>
        <v>200496.38</v>
      </c>
      <c r="I72" s="24">
        <f>SUMIFS('Saldos Iniciales'!$D:$D,'Saldos Iniciales'!$A:$A,"Cross Security Trust")+SUMIFS(Movimientos!$K$1:$K$724,Movimientos!$C$1:$C$724,"Cross Security Trust",Movimientos!$B$1:$B$724,"&lt;="&amp;$B72)</f>
        <v>88090.37</v>
      </c>
      <c r="J72" s="24">
        <f>SUMIFS('Saldos Iniciales'!$D:$D,'Saldos Iniciales'!$A:$A,"Electrama")+SUMIFS(Movimientos!$K$1:$K$724,Movimientos!$C$1:$C$724,"Electrama",Movimientos!$B$1:$B$724,"&lt;="&amp;$B72)</f>
        <v>14580.45</v>
      </c>
      <c r="K72" s="24">
        <f>SUMIFS('Saldos Iniciales'!$D:$D,'Saldos Iniciales'!$A:$A,"Sacred Valley Capital")+SUMIFS(Movimientos!$K$1:$K$724,Movimientos!$C$1:$C$724,"Sacred Valley Capital",Movimientos!$B$1:$B$724,"&lt;="&amp;$B72)</f>
        <v>54.400000000000006</v>
      </c>
      <c r="L72" s="24">
        <f>SUMIFS('Saldos Iniciales'!$D:$D,'Saldos Iniciales'!$A:$A,"YWC Capital")+SUMIFS(Movimientos!$K$1:$K$724,Movimientos!$C$1:$C$724,"YWC Capital",Movimientos!$B$1:$B$724,"&lt;="&amp;$B72)</f>
        <v>2207.8200000000002</v>
      </c>
      <c r="M72" s="24">
        <f>SUMIFS('Saldos Iniciales'!$D:$D,'Saldos Iniciales'!$A:$A,"Soweto")+SUMIFS(Movimientos!$K$1:$K$724,Movimientos!$C$1:$C$724,"Soweto",Movimientos!$B$1:$B$724,"&lt;="&amp;$B72)</f>
        <v>1454589.72</v>
      </c>
      <c r="N72" s="24">
        <f>SUMIFS('Saldos Iniciales'!$D:$D,'Saldos Iniciales'!$A:$A,"Green Stone Trust")+SUMIFS(Movimientos!$K$1:$K$724,Movimientos!$C$1:$C$724,"Green Stone Trust",Movimientos!$B$1:$B$724,"&lt;="&amp;$B72)</f>
        <v>1968.99</v>
      </c>
      <c r="O72" s="24">
        <f>SUMIFS('Saldos Iniciales'!$D:$D,'Saldos Iniciales'!$A:$A,"EC Auto")+SUMIFS(Movimientos!$K$1:$K$724,Movimientos!$C$1:$C$724,"EC Auto",Movimientos!$B$1:$B$724,"&lt;="&amp;$B72)</f>
        <v>382.69000000000005</v>
      </c>
      <c r="P72" s="24">
        <f>SUMIFS('Saldos Iniciales'!$D:$D,'Saldos Iniciales'!$A:$A,"Arbor Capital Properties")+SUMIFS(Movimientos!$K$1:$K$724,Movimientos!$C$1:$C$724,"Arbor Capital Properties",Movimientos!$B$1:$B$724,"&lt;="&amp;$B72)</f>
        <v>1412.08</v>
      </c>
      <c r="Q72" s="24">
        <f>SUMIFS('Saldos Iniciales'!$D:$D,'Saldos Iniciales'!$A:$A,"2515 Overbrook")+SUMIFS(Movimientos!$K$1:$K$724,Movimientos!$C$1:$C$724,"2515 Overbrook",Movimientos!$B$1:$B$724,"&lt;="&amp;$B72)</f>
        <v>22496.639999999959</v>
      </c>
      <c r="R72" s="24">
        <f>SUMIFS('Saldos Iniciales'!$D:$D,'Saldos Iniciales'!$A:$A,"112 Florida Ave")+SUMIFS(Movimientos!$K$1:$K$724,Movimientos!$C$1:$C$724,"112 Florida Ave",Movimientos!$B$1:$B$724,"&lt;="&amp;$B72)</f>
        <v>6522.8000000000029</v>
      </c>
      <c r="S72" s="24">
        <f>SUMIFS('Saldos Iniciales'!$D:$D,'Saldos Iniciales'!$A:$A,"3628 Thomas Ave")+SUMIFS(Movimientos!$K$1:$K$724,Movimientos!$C$1:$C$724,"3628 Thomas Ave",Movimientos!$B$1:$B$724,"&lt;="&amp;$B72)</f>
        <v>24085.559999999998</v>
      </c>
      <c r="T72" s="24">
        <f>SUMIFS('Saldos Iniciales'!$D:$D,'Saldos Iniciales'!$A:$A,"Green Harbor Trust")+SUMIFS(Movimientos!$K$1:$K$724,Movimientos!$C$1:$C$724,"Green Harbor Trust",Movimientos!$B$1:$B$724,"&lt;="&amp;$B72)</f>
        <v>345</v>
      </c>
      <c r="U72" s="24">
        <f>SUMIFS('Saldos Iniciales'!$D:$D,'Saldos Iniciales'!$A:$A,"Go Blue")+SUMIFS(Movimientos!$K$1:$K$724,Movimientos!$C$1:$C$724,"Go Blue",Movimientos!$B$1:$B$724,"&lt;="&amp;$B72)</f>
        <v>31900.120000000003</v>
      </c>
      <c r="V72" s="25">
        <f t="shared" ref="V72:V74" si="16">SUM(C72:U72)</f>
        <v>8299610.2400000002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Group")+SUMIFS(Movimientos!$K$1:$K$724,Movimientos!$C$1:$C$724,"CFT Group",Movimientos!$B$1:$B$724,"&lt;="&amp;$B73)</f>
        <v>4163755.7500000005</v>
      </c>
      <c r="D73" s="24">
        <f>SUMIFS('Saldos Iniciales'!$D:$D,'Saldos Iniciales'!$A:$A,"M1B")+SUMIFS(Movimientos!$K$1:$K$724,Movimientos!$C$1:$C$724,"M1B",Movimientos!$B$1:$B$724,"&lt;="&amp;$B73)</f>
        <v>73157.680000000168</v>
      </c>
      <c r="E73" s="24">
        <f>SUMIFS('Saldos Iniciales'!$D:$D,'Saldos Iniciales'!$A:$A,"Durand")+SUMIFS(Movimientos!$K$1:$K$724,Movimientos!$C$1:$C$724,"Durand",Movimientos!$B$1:$B$724,"&lt;="&amp;$B73)</f>
        <v>1669.89</v>
      </c>
      <c r="F73" s="24">
        <f>SUMIFS('Saldos Iniciales'!$D:$D,'Saldos Iniciales'!$A:$A,"A&amp;M Imports")+SUMIFS(Movimientos!$K$1:$K$724,Movimientos!$C$1:$C$724,"A&amp;M Imports",Movimientos!$B$1:$B$724,"&lt;="&amp;$B73)</f>
        <v>290141.62999999989</v>
      </c>
      <c r="G73" s="24">
        <f>SUMIFS('Saldos Iniciales'!$D:$D,'Saldos Iniciales'!$A:$A,"SSP Capital")+SUMIFS(Movimientos!$K$1:$K$724,Movimientos!$C$1:$C$724,"SSP Capital",Movimientos!$B$1:$B$724,"&lt;="&amp;$B73)</f>
        <v>1921752.2699999993</v>
      </c>
      <c r="H73" s="24">
        <f>SUMIFS('Saldos Iniciales'!$D:$D,'Saldos Iniciales'!$A:$A,"Cross Family Trust")+SUMIFS(Movimientos!$K$1:$K$724,Movimientos!$C$1:$C$724,"Cross Family Trust",Movimientos!$B$1:$B$724,"&lt;="&amp;$B73)</f>
        <v>200496.38</v>
      </c>
      <c r="I73" s="24">
        <f>SUMIFS('Saldos Iniciales'!$D:$D,'Saldos Iniciales'!$A:$A,"Cross Security Trust")+SUMIFS(Movimientos!$K$1:$K$724,Movimientos!$C$1:$C$724,"Cross Security Trust",Movimientos!$B$1:$B$724,"&lt;="&amp;$B73)</f>
        <v>88090.37</v>
      </c>
      <c r="J73" s="24">
        <f>SUMIFS('Saldos Iniciales'!$D:$D,'Saldos Iniciales'!$A:$A,"Electrama")+SUMIFS(Movimientos!$K$1:$K$724,Movimientos!$C$1:$C$724,"Electrama",Movimientos!$B$1:$B$724,"&lt;="&amp;$B73)</f>
        <v>14580.45</v>
      </c>
      <c r="K73" s="24">
        <f>SUMIFS('Saldos Iniciales'!$D:$D,'Saldos Iniciales'!$A:$A,"Sacred Valley Capital")+SUMIFS(Movimientos!$K$1:$K$724,Movimientos!$C$1:$C$724,"Sacred Valley Capital",Movimientos!$B$1:$B$724,"&lt;="&amp;$B73)</f>
        <v>54.400000000000006</v>
      </c>
      <c r="L73" s="24">
        <f>SUMIFS('Saldos Iniciales'!$D:$D,'Saldos Iniciales'!$A:$A,"YWC Capital")+SUMIFS(Movimientos!$K$1:$K$724,Movimientos!$C$1:$C$724,"YWC Capital",Movimientos!$B$1:$B$724,"&lt;="&amp;$B73)</f>
        <v>2207.8200000000002</v>
      </c>
      <c r="M73" s="24">
        <f>SUMIFS('Saldos Iniciales'!$D:$D,'Saldos Iniciales'!$A:$A,"Soweto")+SUMIFS(Movimientos!$K$1:$K$724,Movimientos!$C$1:$C$724,"Soweto",Movimientos!$B$1:$B$724,"&lt;="&amp;$B73)</f>
        <v>1454589.72</v>
      </c>
      <c r="N73" s="24">
        <f>SUMIFS('Saldos Iniciales'!$D:$D,'Saldos Iniciales'!$A:$A,"Green Stone Trust")+SUMIFS(Movimientos!$K$1:$K$724,Movimientos!$C$1:$C$724,"Green Stone Trust",Movimientos!$B$1:$B$724,"&lt;="&amp;$B73)</f>
        <v>1968.99</v>
      </c>
      <c r="O73" s="24">
        <f>SUMIFS('Saldos Iniciales'!$D:$D,'Saldos Iniciales'!$A:$A,"EC Auto")+SUMIFS(Movimientos!$K$1:$K$724,Movimientos!$C$1:$C$724,"EC Auto",Movimientos!$B$1:$B$724,"&lt;="&amp;$B73)</f>
        <v>382.69000000000005</v>
      </c>
      <c r="P73" s="24">
        <f>SUMIFS('Saldos Iniciales'!$D:$D,'Saldos Iniciales'!$A:$A,"Arbor Capital Properties")+SUMIFS(Movimientos!$K$1:$K$724,Movimientos!$C$1:$C$724,"Arbor Capital Properties",Movimientos!$B$1:$B$724,"&lt;="&amp;$B73)</f>
        <v>1412.08</v>
      </c>
      <c r="Q73" s="24">
        <f>SUMIFS('Saldos Iniciales'!$D:$D,'Saldos Iniciales'!$A:$A,"2515 Overbrook")+SUMIFS(Movimientos!$K$1:$K$724,Movimientos!$C$1:$C$724,"2515 Overbrook",Movimientos!$B$1:$B$724,"&lt;="&amp;$B73)</f>
        <v>22496.639999999959</v>
      </c>
      <c r="R73" s="24">
        <f>SUMIFS('Saldos Iniciales'!$D:$D,'Saldos Iniciales'!$A:$A,"112 Florida Ave")+SUMIFS(Movimientos!$K$1:$K$724,Movimientos!$C$1:$C$724,"112 Florida Ave",Movimientos!$B$1:$B$724,"&lt;="&amp;$B73)</f>
        <v>6522.8000000000029</v>
      </c>
      <c r="S73" s="24">
        <f>SUMIFS('Saldos Iniciales'!$D:$D,'Saldos Iniciales'!$A:$A,"3628 Thomas Ave")+SUMIFS(Movimientos!$K$1:$K$724,Movimientos!$C$1:$C$724,"3628 Thomas Ave",Movimientos!$B$1:$B$724,"&lt;="&amp;$B73)</f>
        <v>24085.559999999998</v>
      </c>
      <c r="T73" s="24">
        <f>SUMIFS('Saldos Iniciales'!$D:$D,'Saldos Iniciales'!$A:$A,"Green Harbor Trust")+SUMIFS(Movimientos!$K$1:$K$724,Movimientos!$C$1:$C$724,"Green Harbor Trust",Movimientos!$B$1:$B$724,"&lt;="&amp;$B73)</f>
        <v>345</v>
      </c>
      <c r="U73" s="24">
        <f>SUMIFS('Saldos Iniciales'!$D:$D,'Saldos Iniciales'!$A:$A,"Go Blue")+SUMIFS(Movimientos!$K$1:$K$724,Movimientos!$C$1:$C$724,"Go Blue",Movimientos!$B$1:$B$724,"&lt;="&amp;$B73)</f>
        <v>31900.120000000003</v>
      </c>
      <c r="V73" s="25">
        <f t="shared" si="16"/>
        <v>8299610.2400000002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Group")+SUMIFS(Movimientos!$K$1:$K$724,Movimientos!$C$1:$C$724,"CFT Group",Movimientos!$B$1:$B$724,"&lt;="&amp;$B74)</f>
        <v>4163755.7500000005</v>
      </c>
      <c r="D74" s="24">
        <f>SUMIFS('Saldos Iniciales'!$D:$D,'Saldos Iniciales'!$A:$A,"M1B")+SUMIFS(Movimientos!$K$1:$K$724,Movimientos!$C$1:$C$724,"M1B",Movimientos!$B$1:$B$724,"&lt;="&amp;$B74)</f>
        <v>73157.680000000168</v>
      </c>
      <c r="E74" s="24">
        <f>SUMIFS('Saldos Iniciales'!$D:$D,'Saldos Iniciales'!$A:$A,"Durand")+SUMIFS(Movimientos!$K$1:$K$724,Movimientos!$C$1:$C$724,"Durand",Movimientos!$B$1:$B$724,"&lt;="&amp;$B74)</f>
        <v>1669.89</v>
      </c>
      <c r="F74" s="24">
        <f>SUMIFS('Saldos Iniciales'!$D:$D,'Saldos Iniciales'!$A:$A,"A&amp;M Imports")+SUMIFS(Movimientos!$K$1:$K$724,Movimientos!$C$1:$C$724,"A&amp;M Imports",Movimientos!$B$1:$B$724,"&lt;="&amp;$B74)</f>
        <v>290141.62999999989</v>
      </c>
      <c r="G74" s="24">
        <f>SUMIFS('Saldos Iniciales'!$D:$D,'Saldos Iniciales'!$A:$A,"SSP Capital")+SUMIFS(Movimientos!$K$1:$K$724,Movimientos!$C$1:$C$724,"SSP Capital",Movimientos!$B$1:$B$724,"&lt;="&amp;$B74)</f>
        <v>1921752.2699999993</v>
      </c>
      <c r="H74" s="24">
        <f>SUMIFS('Saldos Iniciales'!$D:$D,'Saldos Iniciales'!$A:$A,"Cross Family Trust")+SUMIFS(Movimientos!$K$1:$K$724,Movimientos!$C$1:$C$724,"Cross Family Trust",Movimientos!$B$1:$B$724,"&lt;="&amp;$B74)</f>
        <v>200496.38</v>
      </c>
      <c r="I74" s="24">
        <f>SUMIFS('Saldos Iniciales'!$D:$D,'Saldos Iniciales'!$A:$A,"Cross Security Trust")+SUMIFS(Movimientos!$K$1:$K$724,Movimientos!$C$1:$C$724,"Cross Security Trust",Movimientos!$B$1:$B$724,"&lt;="&amp;$B74)</f>
        <v>88090.37</v>
      </c>
      <c r="J74" s="24">
        <f>SUMIFS('Saldos Iniciales'!$D:$D,'Saldos Iniciales'!$A:$A,"Electrama")+SUMIFS(Movimientos!$K$1:$K$724,Movimientos!$C$1:$C$724,"Electrama",Movimientos!$B$1:$B$724,"&lt;="&amp;$B74)</f>
        <v>14580.45</v>
      </c>
      <c r="K74" s="24">
        <f>SUMIFS('Saldos Iniciales'!$D:$D,'Saldos Iniciales'!$A:$A,"Sacred Valley Capital")+SUMIFS(Movimientos!$K$1:$K$724,Movimientos!$C$1:$C$724,"Sacred Valley Capital",Movimientos!$B$1:$B$724,"&lt;="&amp;$B74)</f>
        <v>54.400000000000006</v>
      </c>
      <c r="L74" s="24">
        <f>SUMIFS('Saldos Iniciales'!$D:$D,'Saldos Iniciales'!$A:$A,"YWC Capital")+SUMIFS(Movimientos!$K$1:$K$724,Movimientos!$C$1:$C$724,"YWC Capital",Movimientos!$B$1:$B$724,"&lt;="&amp;$B74)</f>
        <v>2207.8200000000002</v>
      </c>
      <c r="M74" s="24">
        <f>SUMIFS('Saldos Iniciales'!$D:$D,'Saldos Iniciales'!$A:$A,"Soweto")+SUMIFS(Movimientos!$K$1:$K$724,Movimientos!$C$1:$C$724,"Soweto",Movimientos!$B$1:$B$724,"&lt;="&amp;$B74)</f>
        <v>1454589.72</v>
      </c>
      <c r="N74" s="24">
        <f>SUMIFS('Saldos Iniciales'!$D:$D,'Saldos Iniciales'!$A:$A,"Green Stone Trust")+SUMIFS(Movimientos!$K$1:$K$724,Movimientos!$C$1:$C$724,"Green Stone Trust",Movimientos!$B$1:$B$724,"&lt;="&amp;$B74)</f>
        <v>1968.99</v>
      </c>
      <c r="O74" s="24">
        <f>SUMIFS('Saldos Iniciales'!$D:$D,'Saldos Iniciales'!$A:$A,"EC Auto")+SUMIFS(Movimientos!$K$1:$K$724,Movimientos!$C$1:$C$724,"EC Auto",Movimientos!$B$1:$B$724,"&lt;="&amp;$B74)</f>
        <v>382.69000000000005</v>
      </c>
      <c r="P74" s="24">
        <f>SUMIFS('Saldos Iniciales'!$D:$D,'Saldos Iniciales'!$A:$A,"Arbor Capital Properties")+SUMIFS(Movimientos!$K$1:$K$724,Movimientos!$C$1:$C$724,"Arbor Capital Properties",Movimientos!$B$1:$B$724,"&lt;="&amp;$B74)</f>
        <v>1412.08</v>
      </c>
      <c r="Q74" s="24">
        <f>SUMIFS('Saldos Iniciales'!$D:$D,'Saldos Iniciales'!$A:$A,"2515 Overbrook")+SUMIFS(Movimientos!$K$1:$K$724,Movimientos!$C$1:$C$724,"2515 Overbrook",Movimientos!$B$1:$B$724,"&lt;="&amp;$B74)</f>
        <v>22496.639999999959</v>
      </c>
      <c r="R74" s="24">
        <f>SUMIFS('Saldos Iniciales'!$D:$D,'Saldos Iniciales'!$A:$A,"112 Florida Ave")+SUMIFS(Movimientos!$K$1:$K$724,Movimientos!$C$1:$C$724,"112 Florida Ave",Movimientos!$B$1:$B$724,"&lt;="&amp;$B74)</f>
        <v>6522.8000000000029</v>
      </c>
      <c r="S74" s="24">
        <f>SUMIFS('Saldos Iniciales'!$D:$D,'Saldos Iniciales'!$A:$A,"3628 Thomas Ave")+SUMIFS(Movimientos!$K$1:$K$724,Movimientos!$C$1:$C$724,"3628 Thomas Ave",Movimientos!$B$1:$B$724,"&lt;="&amp;$B74)</f>
        <v>24085.559999999998</v>
      </c>
      <c r="T74" s="24">
        <f>SUMIFS('Saldos Iniciales'!$D:$D,'Saldos Iniciales'!$A:$A,"Green Harbor Trust")+SUMIFS(Movimientos!$K$1:$K$724,Movimientos!$C$1:$C$724,"Green Harbor Trust",Movimientos!$B$1:$B$724,"&lt;="&amp;$B74)</f>
        <v>345</v>
      </c>
      <c r="U74" s="24">
        <f>SUMIFS('Saldos Iniciales'!$D:$D,'Saldos Iniciales'!$A:$A,"Go Blue")+SUMIFS(Movimientos!$K$1:$K$724,Movimientos!$C$1:$C$724,"Go Blue",Movimientos!$B$1:$B$724,"&lt;="&amp;$B74)</f>
        <v>31900.120000000003</v>
      </c>
      <c r="V74" s="25">
        <f t="shared" si="16"/>
        <v>8299610.2400000002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Group")+SUMIFS(Movimientos!$K$1:$K$724,Movimientos!$C$1:$C$724,"CFT Group",Movimientos!$B$1:$B$724,"&lt;="&amp;$B75)</f>
        <v>4163755.7500000005</v>
      </c>
      <c r="D75" s="24">
        <f>SUMIFS('Saldos Iniciales'!$D:$D,'Saldos Iniciales'!$A:$A,"M1B")+SUMIFS(Movimientos!$K$1:$K$724,Movimientos!$C$1:$C$724,"M1B",Movimientos!$B$1:$B$724,"&lt;="&amp;$B75)</f>
        <v>73157.680000000168</v>
      </c>
      <c r="E75" s="24">
        <f>SUMIFS('Saldos Iniciales'!$D:$D,'Saldos Iniciales'!$A:$A,"Durand")+SUMIFS(Movimientos!$K$1:$K$724,Movimientos!$C$1:$C$724,"Durand",Movimientos!$B$1:$B$724,"&lt;="&amp;$B75)</f>
        <v>1669.89</v>
      </c>
      <c r="F75" s="24">
        <f>SUMIFS('Saldos Iniciales'!$D:$D,'Saldos Iniciales'!$A:$A,"A&amp;M Imports")+SUMIFS(Movimientos!$K$1:$K$724,Movimientos!$C$1:$C$724,"A&amp;M Imports",Movimientos!$B$1:$B$724,"&lt;="&amp;$B75)</f>
        <v>290141.62999999989</v>
      </c>
      <c r="G75" s="24">
        <f>SUMIFS('Saldos Iniciales'!$D:$D,'Saldos Iniciales'!$A:$A,"SSP Capital")+SUMIFS(Movimientos!$K$1:$K$724,Movimientos!$C$1:$C$724,"SSP Capital",Movimientos!$B$1:$B$724,"&lt;="&amp;$B75)</f>
        <v>1921752.2699999993</v>
      </c>
      <c r="H75" s="24">
        <f>SUMIFS('Saldos Iniciales'!$D:$D,'Saldos Iniciales'!$A:$A,"Cross Family Trust")+SUMIFS(Movimientos!$K$1:$K$724,Movimientos!$C$1:$C$724,"Cross Family Trust",Movimientos!$B$1:$B$724,"&lt;="&amp;$B75)</f>
        <v>200496.38</v>
      </c>
      <c r="I75" s="24">
        <f>SUMIFS('Saldos Iniciales'!$D:$D,'Saldos Iniciales'!$A:$A,"Cross Security Trust")+SUMIFS(Movimientos!$K$1:$K$724,Movimientos!$C$1:$C$724,"Cross Security Trust",Movimientos!$B$1:$B$724,"&lt;="&amp;$B75)</f>
        <v>88090.37</v>
      </c>
      <c r="J75" s="24">
        <f>SUMIFS('Saldos Iniciales'!$D:$D,'Saldos Iniciales'!$A:$A,"Electrama")+SUMIFS(Movimientos!$K$1:$K$724,Movimientos!$C$1:$C$724,"Electrama",Movimientos!$B$1:$B$724,"&lt;="&amp;$B75)</f>
        <v>14580.45</v>
      </c>
      <c r="K75" s="24">
        <f>SUMIFS('Saldos Iniciales'!$D:$D,'Saldos Iniciales'!$A:$A,"Sacred Valley Capital")+SUMIFS(Movimientos!$K$1:$K$724,Movimientos!$C$1:$C$724,"Sacred Valley Capital",Movimientos!$B$1:$B$724,"&lt;="&amp;$B75)</f>
        <v>54.400000000000006</v>
      </c>
      <c r="L75" s="24">
        <f>SUMIFS('Saldos Iniciales'!$D:$D,'Saldos Iniciales'!$A:$A,"YWC Capital")+SUMIFS(Movimientos!$K$1:$K$724,Movimientos!$C$1:$C$724,"YWC Capital",Movimientos!$B$1:$B$724,"&lt;="&amp;$B75)</f>
        <v>2207.8200000000002</v>
      </c>
      <c r="M75" s="24">
        <f>SUMIFS('Saldos Iniciales'!$D:$D,'Saldos Iniciales'!$A:$A,"Soweto")+SUMIFS(Movimientos!$K$1:$K$724,Movimientos!$C$1:$C$724,"Soweto",Movimientos!$B$1:$B$724,"&lt;="&amp;$B75)</f>
        <v>1454589.72</v>
      </c>
      <c r="N75" s="24">
        <f>SUMIFS('Saldos Iniciales'!$D:$D,'Saldos Iniciales'!$A:$A,"Green Stone Trust")+SUMIFS(Movimientos!$K$1:$K$724,Movimientos!$C$1:$C$724,"Green Stone Trust",Movimientos!$B$1:$B$724,"&lt;="&amp;$B75)</f>
        <v>1968.99</v>
      </c>
      <c r="O75" s="24">
        <f>SUMIFS('Saldos Iniciales'!$D:$D,'Saldos Iniciales'!$A:$A,"EC Auto")+SUMIFS(Movimientos!$K$1:$K$724,Movimientos!$C$1:$C$724,"EC Auto",Movimientos!$B$1:$B$724,"&lt;="&amp;$B75)</f>
        <v>901.34</v>
      </c>
      <c r="P75" s="24">
        <f>SUMIFS('Saldos Iniciales'!$D:$D,'Saldos Iniciales'!$A:$A,"Arbor Capital Properties")+SUMIFS(Movimientos!$K$1:$K$724,Movimientos!$C$1:$C$724,"Arbor Capital Properties",Movimientos!$B$1:$B$724,"&lt;="&amp;$B75)</f>
        <v>1412.08</v>
      </c>
      <c r="Q75" s="24">
        <f>SUMIFS('Saldos Iniciales'!$D:$D,'Saldos Iniciales'!$A:$A,"2515 Overbrook")+SUMIFS(Movimientos!$K$1:$K$724,Movimientos!$C$1:$C$724,"2515 Overbrook",Movimientos!$B$1:$B$724,"&lt;="&amp;$B75)</f>
        <v>22496.639999999959</v>
      </c>
      <c r="R75" s="24">
        <f>SUMIFS('Saldos Iniciales'!$D:$D,'Saldos Iniciales'!$A:$A,"112 Florida Ave")+SUMIFS(Movimientos!$K$1:$K$724,Movimientos!$C$1:$C$724,"112 Florida Ave",Movimientos!$B$1:$B$724,"&lt;="&amp;$B75)</f>
        <v>6522.8000000000029</v>
      </c>
      <c r="S75" s="24">
        <f>SUMIFS('Saldos Iniciales'!$D:$D,'Saldos Iniciales'!$A:$A,"3628 Thomas Ave")+SUMIFS(Movimientos!$K$1:$K$724,Movimientos!$C$1:$C$724,"3628 Thomas Ave",Movimientos!$B$1:$B$724,"&lt;="&amp;$B75)</f>
        <v>24085.559999999998</v>
      </c>
      <c r="T75" s="24">
        <f>SUMIFS('Saldos Iniciales'!$D:$D,'Saldos Iniciales'!$A:$A,"Green Harbor Trust")+SUMIFS(Movimientos!$K$1:$K$724,Movimientos!$C$1:$C$724,"Green Harbor Trust",Movimientos!$B$1:$B$724,"&lt;="&amp;$B75)</f>
        <v>345</v>
      </c>
      <c r="U75" s="24">
        <f>SUMIFS('Saldos Iniciales'!$D:$D,'Saldos Iniciales'!$A:$A,"Go Blue")+SUMIFS(Movimientos!$K$1:$K$724,Movimientos!$C$1:$C$724,"Go Blue",Movimientos!$B$1:$B$724,"&lt;="&amp;$B75)</f>
        <v>25198.240000000002</v>
      </c>
      <c r="V75" s="25">
        <f t="shared" ref="V75" si="17">SUM(C75:U75)</f>
        <v>8293427.0099999998</v>
      </c>
    </row>
  </sheetData>
  <conditionalFormatting sqref="C2:V75">
    <cfRule type="cellIs" dxfId="2" priority="1" operator="lessThan">
      <formula>0</formula>
    </cfRule>
  </conditionalFormatting>
  <conditionalFormatting sqref="V2:V75">
    <cfRule type="cellIs" dxfId="1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407"/>
  <sheetViews>
    <sheetView tabSelected="1" zoomScale="80" zoomScaleNormal="80" workbookViewId="0">
      <pane ySplit="1" topLeftCell="A1381" activePane="bottomLeft" state="frozen"/>
      <selection pane="bottomLeft" activeCell="F1386" sqref="F1386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0" t="s">
        <v>2</v>
      </c>
      <c r="B1" s="60" t="s">
        <v>130</v>
      </c>
      <c r="C1" s="61" t="s">
        <v>172</v>
      </c>
      <c r="D1" s="60" t="s">
        <v>131</v>
      </c>
      <c r="G1" s="62" t="s">
        <v>2</v>
      </c>
      <c r="H1" s="63" t="s">
        <v>130</v>
      </c>
      <c r="I1" s="64" t="s">
        <v>172</v>
      </c>
      <c r="J1" s="65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17</v>
      </c>
      <c r="C21" s="16">
        <v>46144</v>
      </c>
      <c r="D21">
        <v>200763.43000000025</v>
      </c>
    </row>
    <row r="22" spans="1:4" x14ac:dyDescent="0.3">
      <c r="A22" t="s">
        <v>18</v>
      </c>
      <c r="C22" s="16">
        <v>46144</v>
      </c>
      <c r="D22">
        <v>51288.029999999948</v>
      </c>
    </row>
    <row r="23" spans="1:4" x14ac:dyDescent="0.3">
      <c r="A23" t="s">
        <v>19</v>
      </c>
      <c r="C23" s="16">
        <v>46144</v>
      </c>
      <c r="D23">
        <v>1669.89</v>
      </c>
    </row>
    <row r="24" spans="1:4" x14ac:dyDescent="0.3">
      <c r="A24" t="s">
        <v>20</v>
      </c>
      <c r="C24" s="16">
        <v>46144</v>
      </c>
      <c r="D24">
        <v>589990.30000000005</v>
      </c>
    </row>
    <row r="25" spans="1:4" x14ac:dyDescent="0.3">
      <c r="A25" t="s">
        <v>21</v>
      </c>
      <c r="C25" s="16">
        <v>46144</v>
      </c>
      <c r="D25">
        <v>990387.37999999931</v>
      </c>
    </row>
    <row r="26" spans="1:4" x14ac:dyDescent="0.3">
      <c r="A26" t="s">
        <v>22</v>
      </c>
      <c r="C26" s="16">
        <v>46144</v>
      </c>
      <c r="D26">
        <v>142511.38</v>
      </c>
    </row>
    <row r="27" spans="1:4" x14ac:dyDescent="0.3">
      <c r="A27" t="s">
        <v>23</v>
      </c>
      <c r="C27" s="16">
        <v>46144</v>
      </c>
      <c r="D27">
        <v>13088.589999999997</v>
      </c>
    </row>
    <row r="28" spans="1:4" x14ac:dyDescent="0.3">
      <c r="A28" t="s">
        <v>24</v>
      </c>
      <c r="C28" s="16">
        <v>46144</v>
      </c>
      <c r="D28">
        <v>808.82999999999993</v>
      </c>
    </row>
    <row r="29" spans="1:4" x14ac:dyDescent="0.3">
      <c r="A29" t="s">
        <v>25</v>
      </c>
      <c r="C29" s="16">
        <v>46144</v>
      </c>
      <c r="D29">
        <v>114.3</v>
      </c>
    </row>
    <row r="30" spans="1:4" x14ac:dyDescent="0.3">
      <c r="A30" t="s">
        <v>26</v>
      </c>
      <c r="C30" s="16">
        <v>46144</v>
      </c>
      <c r="D30">
        <v>2267.7200000000003</v>
      </c>
    </row>
    <row r="31" spans="1:4" x14ac:dyDescent="0.3">
      <c r="A31" t="s">
        <v>27</v>
      </c>
      <c r="C31" s="16">
        <v>46144</v>
      </c>
      <c r="D31">
        <v>3364.94</v>
      </c>
    </row>
    <row r="32" spans="1:4" x14ac:dyDescent="0.3">
      <c r="A32" t="s">
        <v>28</v>
      </c>
      <c r="C32" s="16">
        <v>46144</v>
      </c>
      <c r="D32">
        <v>1968.99</v>
      </c>
    </row>
    <row r="33" spans="1:4" x14ac:dyDescent="0.3">
      <c r="A33" t="s">
        <v>29</v>
      </c>
      <c r="C33" s="16">
        <v>46144</v>
      </c>
      <c r="D33">
        <v>901.34</v>
      </c>
    </row>
    <row r="34" spans="1:4" x14ac:dyDescent="0.3">
      <c r="A34" t="s">
        <v>30</v>
      </c>
      <c r="C34" s="16">
        <v>46144</v>
      </c>
      <c r="D34">
        <v>1444.08</v>
      </c>
    </row>
    <row r="35" spans="1:4" x14ac:dyDescent="0.3">
      <c r="A35" t="s">
        <v>31</v>
      </c>
      <c r="C35" s="16">
        <v>46144</v>
      </c>
      <c r="D35">
        <v>23262.599999999962</v>
      </c>
    </row>
    <row r="36" spans="1:4" x14ac:dyDescent="0.3">
      <c r="A36" t="s">
        <v>32</v>
      </c>
      <c r="C36" s="16">
        <v>46144</v>
      </c>
      <c r="D36">
        <v>6853.9100000000017</v>
      </c>
    </row>
    <row r="37" spans="1:4" x14ac:dyDescent="0.3">
      <c r="A37" t="s">
        <v>33</v>
      </c>
      <c r="C37" s="16">
        <v>46144</v>
      </c>
      <c r="D37">
        <v>21338.39</v>
      </c>
    </row>
    <row r="38" spans="1:4" x14ac:dyDescent="0.3">
      <c r="A38" t="s">
        <v>34</v>
      </c>
      <c r="C38" s="16">
        <v>46144</v>
      </c>
      <c r="D38">
        <v>345</v>
      </c>
    </row>
    <row r="39" spans="1:4" x14ac:dyDescent="0.3">
      <c r="A39" t="s">
        <v>35</v>
      </c>
      <c r="C39" s="16">
        <v>46144</v>
      </c>
      <c r="D39">
        <v>13491.26</v>
      </c>
    </row>
    <row r="40" spans="1:4" x14ac:dyDescent="0.3">
      <c r="A40" t="s">
        <v>17</v>
      </c>
      <c r="C40" s="16">
        <v>46145</v>
      </c>
      <c r="D40">
        <v>200763.43000000025</v>
      </c>
    </row>
    <row r="41" spans="1:4" x14ac:dyDescent="0.3">
      <c r="A41" t="s">
        <v>18</v>
      </c>
      <c r="C41" s="16">
        <v>46145</v>
      </c>
      <c r="D41">
        <v>51288.029999999948</v>
      </c>
    </row>
    <row r="42" spans="1:4" x14ac:dyDescent="0.3">
      <c r="A42" t="s">
        <v>19</v>
      </c>
      <c r="C42" s="16">
        <v>46145</v>
      </c>
      <c r="D42">
        <v>1669.89</v>
      </c>
    </row>
    <row r="43" spans="1:4" x14ac:dyDescent="0.3">
      <c r="A43" t="s">
        <v>20</v>
      </c>
      <c r="C43" s="16">
        <v>46145</v>
      </c>
      <c r="D43">
        <v>589990.30000000005</v>
      </c>
    </row>
    <row r="44" spans="1:4" x14ac:dyDescent="0.3">
      <c r="A44" t="s">
        <v>21</v>
      </c>
      <c r="C44" s="16">
        <v>46145</v>
      </c>
      <c r="D44">
        <v>990387.37999999931</v>
      </c>
    </row>
    <row r="45" spans="1:4" x14ac:dyDescent="0.3">
      <c r="A45" t="s">
        <v>22</v>
      </c>
      <c r="C45" s="16">
        <v>46145</v>
      </c>
      <c r="D45">
        <v>142511.38</v>
      </c>
    </row>
    <row r="46" spans="1:4" x14ac:dyDescent="0.3">
      <c r="A46" t="s">
        <v>23</v>
      </c>
      <c r="C46" s="16">
        <v>46145</v>
      </c>
      <c r="D46">
        <v>13088.589999999997</v>
      </c>
    </row>
    <row r="47" spans="1:4" x14ac:dyDescent="0.3">
      <c r="A47" t="s">
        <v>24</v>
      </c>
      <c r="C47" s="16">
        <v>46145</v>
      </c>
      <c r="D47">
        <v>808.82999999999993</v>
      </c>
    </row>
    <row r="48" spans="1:4" x14ac:dyDescent="0.3">
      <c r="A48" t="s">
        <v>25</v>
      </c>
      <c r="C48" s="16">
        <v>46145</v>
      </c>
      <c r="D48">
        <v>114.3</v>
      </c>
    </row>
    <row r="49" spans="1:4" x14ac:dyDescent="0.3">
      <c r="A49" t="s">
        <v>26</v>
      </c>
      <c r="C49" s="16">
        <v>46145</v>
      </c>
      <c r="D49">
        <v>2267.7200000000003</v>
      </c>
    </row>
    <row r="50" spans="1:4" x14ac:dyDescent="0.3">
      <c r="A50" t="s">
        <v>27</v>
      </c>
      <c r="C50" s="16">
        <v>46145</v>
      </c>
      <c r="D50">
        <v>3364.94</v>
      </c>
    </row>
    <row r="51" spans="1:4" x14ac:dyDescent="0.3">
      <c r="A51" t="s">
        <v>28</v>
      </c>
      <c r="C51" s="16">
        <v>46145</v>
      </c>
      <c r="D51">
        <v>1968.99</v>
      </c>
    </row>
    <row r="52" spans="1:4" x14ac:dyDescent="0.3">
      <c r="A52" t="s">
        <v>29</v>
      </c>
      <c r="C52" s="16">
        <v>46145</v>
      </c>
      <c r="D52">
        <v>901.34</v>
      </c>
    </row>
    <row r="53" spans="1:4" x14ac:dyDescent="0.3">
      <c r="A53" t="s">
        <v>30</v>
      </c>
      <c r="C53" s="16">
        <v>46145</v>
      </c>
      <c r="D53">
        <v>1444.08</v>
      </c>
    </row>
    <row r="54" spans="1:4" x14ac:dyDescent="0.3">
      <c r="A54" t="s">
        <v>31</v>
      </c>
      <c r="C54" s="16">
        <v>46145</v>
      </c>
      <c r="D54">
        <v>23262.599999999962</v>
      </c>
    </row>
    <row r="55" spans="1:4" x14ac:dyDescent="0.3">
      <c r="A55" t="s">
        <v>32</v>
      </c>
      <c r="C55" s="16">
        <v>46145</v>
      </c>
      <c r="D55">
        <v>6853.9100000000017</v>
      </c>
    </row>
    <row r="56" spans="1:4" x14ac:dyDescent="0.3">
      <c r="A56" t="s">
        <v>33</v>
      </c>
      <c r="C56" s="16">
        <v>46145</v>
      </c>
      <c r="D56">
        <v>21338.39</v>
      </c>
    </row>
    <row r="57" spans="1:4" x14ac:dyDescent="0.3">
      <c r="A57" t="s">
        <v>34</v>
      </c>
      <c r="C57" s="16">
        <v>46145</v>
      </c>
      <c r="D57">
        <v>345</v>
      </c>
    </row>
    <row r="58" spans="1:4" x14ac:dyDescent="0.3">
      <c r="A58" t="s">
        <v>35</v>
      </c>
      <c r="C58" s="16">
        <v>46145</v>
      </c>
      <c r="D58">
        <v>13491.26</v>
      </c>
    </row>
    <row r="59" spans="1:4" x14ac:dyDescent="0.3">
      <c r="A59" t="s">
        <v>17</v>
      </c>
      <c r="C59" s="16">
        <v>46146</v>
      </c>
      <c r="D59">
        <v>200763.43000000025</v>
      </c>
    </row>
    <row r="60" spans="1:4" x14ac:dyDescent="0.3">
      <c r="A60" t="s">
        <v>18</v>
      </c>
      <c r="C60" s="16">
        <v>46146</v>
      </c>
      <c r="D60">
        <v>51288.029999999948</v>
      </c>
    </row>
    <row r="61" spans="1:4" x14ac:dyDescent="0.3">
      <c r="A61" t="s">
        <v>19</v>
      </c>
      <c r="C61" s="16">
        <v>46146</v>
      </c>
      <c r="D61">
        <v>1669.89</v>
      </c>
    </row>
    <row r="62" spans="1:4" x14ac:dyDescent="0.3">
      <c r="A62" t="s">
        <v>20</v>
      </c>
      <c r="C62" s="16">
        <v>46146</v>
      </c>
      <c r="D62">
        <v>589990.30000000005</v>
      </c>
    </row>
    <row r="63" spans="1:4" x14ac:dyDescent="0.3">
      <c r="A63" t="s">
        <v>21</v>
      </c>
      <c r="C63" s="16">
        <v>46146</v>
      </c>
      <c r="D63">
        <v>1790387.3799999994</v>
      </c>
    </row>
    <row r="64" spans="1:4" x14ac:dyDescent="0.3">
      <c r="A64" t="s">
        <v>22</v>
      </c>
      <c r="C64" s="16">
        <v>46146</v>
      </c>
      <c r="D64">
        <v>136511.38</v>
      </c>
    </row>
    <row r="65" spans="1:4" x14ac:dyDescent="0.3">
      <c r="A65" t="s">
        <v>23</v>
      </c>
      <c r="C65" s="16">
        <v>46146</v>
      </c>
      <c r="D65">
        <v>13088.589999999997</v>
      </c>
    </row>
    <row r="66" spans="1:4" x14ac:dyDescent="0.3">
      <c r="A66" t="s">
        <v>24</v>
      </c>
      <c r="C66" s="16">
        <v>46146</v>
      </c>
      <c r="D66">
        <v>808.82999999999993</v>
      </c>
    </row>
    <row r="67" spans="1:4" x14ac:dyDescent="0.3">
      <c r="A67" t="s">
        <v>25</v>
      </c>
      <c r="C67" s="16">
        <v>46146</v>
      </c>
      <c r="D67">
        <v>114.3</v>
      </c>
    </row>
    <row r="68" spans="1:4" x14ac:dyDescent="0.3">
      <c r="A68" t="s">
        <v>26</v>
      </c>
      <c r="C68" s="16">
        <v>46146</v>
      </c>
      <c r="D68">
        <v>2267.7200000000003</v>
      </c>
    </row>
    <row r="69" spans="1:4" x14ac:dyDescent="0.3">
      <c r="A69" t="s">
        <v>27</v>
      </c>
      <c r="C69" s="16">
        <v>46146</v>
      </c>
      <c r="D69">
        <v>3364.94</v>
      </c>
    </row>
    <row r="70" spans="1:4" x14ac:dyDescent="0.3">
      <c r="A70" t="s">
        <v>28</v>
      </c>
      <c r="C70" s="16">
        <v>46146</v>
      </c>
      <c r="D70">
        <v>1968.99</v>
      </c>
    </row>
    <row r="71" spans="1:4" x14ac:dyDescent="0.3">
      <c r="A71" t="s">
        <v>29</v>
      </c>
      <c r="C71" s="16">
        <v>46146</v>
      </c>
      <c r="D71">
        <v>901.34</v>
      </c>
    </row>
    <row r="72" spans="1:4" x14ac:dyDescent="0.3">
      <c r="A72" t="s">
        <v>30</v>
      </c>
      <c r="C72" s="16">
        <v>46146</v>
      </c>
      <c r="D72">
        <v>1444.08</v>
      </c>
    </row>
    <row r="73" spans="1:4" x14ac:dyDescent="0.3">
      <c r="A73" t="s">
        <v>31</v>
      </c>
      <c r="C73" s="16">
        <v>46146</v>
      </c>
      <c r="D73">
        <v>23247.599999999962</v>
      </c>
    </row>
    <row r="74" spans="1:4" x14ac:dyDescent="0.3">
      <c r="A74" t="s">
        <v>32</v>
      </c>
      <c r="C74" s="16">
        <v>46146</v>
      </c>
      <c r="D74">
        <v>6853.9100000000017</v>
      </c>
    </row>
    <row r="75" spans="1:4" x14ac:dyDescent="0.3">
      <c r="A75" t="s">
        <v>33</v>
      </c>
      <c r="C75" s="16">
        <v>46146</v>
      </c>
      <c r="D75">
        <v>21338.39</v>
      </c>
    </row>
    <row r="76" spans="1:4" x14ac:dyDescent="0.3">
      <c r="A76" t="s">
        <v>34</v>
      </c>
      <c r="C76" s="16">
        <v>46146</v>
      </c>
      <c r="D76">
        <v>345</v>
      </c>
    </row>
    <row r="77" spans="1:4" x14ac:dyDescent="0.3">
      <c r="A77" t="s">
        <v>35</v>
      </c>
      <c r="C77" s="16">
        <v>46146</v>
      </c>
      <c r="D77">
        <v>8782.25</v>
      </c>
    </row>
    <row r="78" spans="1:4" x14ac:dyDescent="0.3">
      <c r="A78" t="s">
        <v>17</v>
      </c>
      <c r="C78" s="16">
        <v>46147</v>
      </c>
      <c r="D78">
        <v>197763.43000000025</v>
      </c>
    </row>
    <row r="79" spans="1:4" x14ac:dyDescent="0.3">
      <c r="A79" t="s">
        <v>18</v>
      </c>
      <c r="C79" s="16">
        <v>46147</v>
      </c>
      <c r="D79">
        <v>51288.029999999948</v>
      </c>
    </row>
    <row r="80" spans="1:4" x14ac:dyDescent="0.3">
      <c r="A80" t="s">
        <v>19</v>
      </c>
      <c r="C80" s="16">
        <v>46147</v>
      </c>
      <c r="D80">
        <v>1669.89</v>
      </c>
    </row>
    <row r="81" spans="1:4" x14ac:dyDescent="0.3">
      <c r="A81" t="s">
        <v>20</v>
      </c>
      <c r="C81" s="16">
        <v>46147</v>
      </c>
      <c r="D81">
        <v>989990.29999999993</v>
      </c>
    </row>
    <row r="82" spans="1:4" x14ac:dyDescent="0.3">
      <c r="A82" t="s">
        <v>21</v>
      </c>
      <c r="C82" s="16">
        <v>46147</v>
      </c>
      <c r="D82">
        <v>1088892.0899999994</v>
      </c>
    </row>
    <row r="83" spans="1:4" x14ac:dyDescent="0.3">
      <c r="A83" t="s">
        <v>22</v>
      </c>
      <c r="C83" s="16">
        <v>46147</v>
      </c>
      <c r="D83">
        <v>121511.38</v>
      </c>
    </row>
    <row r="84" spans="1:4" x14ac:dyDescent="0.3">
      <c r="A84" t="s">
        <v>23</v>
      </c>
      <c r="C84" s="16">
        <v>46147</v>
      </c>
      <c r="D84">
        <v>813088.59</v>
      </c>
    </row>
    <row r="85" spans="1:4" x14ac:dyDescent="0.3">
      <c r="A85" t="s">
        <v>24</v>
      </c>
      <c r="C85" s="16">
        <v>46147</v>
      </c>
      <c r="D85">
        <v>3768.83</v>
      </c>
    </row>
    <row r="86" spans="1:4" x14ac:dyDescent="0.3">
      <c r="A86" t="s">
        <v>25</v>
      </c>
      <c r="C86" s="16">
        <v>46147</v>
      </c>
      <c r="D86">
        <v>114.3</v>
      </c>
    </row>
    <row r="87" spans="1:4" x14ac:dyDescent="0.3">
      <c r="A87" t="s">
        <v>26</v>
      </c>
      <c r="C87" s="16">
        <v>46147</v>
      </c>
      <c r="D87">
        <v>2267.7200000000003</v>
      </c>
    </row>
    <row r="88" spans="1:4" x14ac:dyDescent="0.3">
      <c r="A88" t="s">
        <v>27</v>
      </c>
      <c r="C88" s="16">
        <v>46147</v>
      </c>
      <c r="D88">
        <v>3364.94</v>
      </c>
    </row>
    <row r="89" spans="1:4" x14ac:dyDescent="0.3">
      <c r="A89" t="s">
        <v>28</v>
      </c>
      <c r="C89" s="16">
        <v>46147</v>
      </c>
      <c r="D89">
        <v>1968.99</v>
      </c>
    </row>
    <row r="90" spans="1:4" x14ac:dyDescent="0.3">
      <c r="A90" t="s">
        <v>29</v>
      </c>
      <c r="C90" s="16">
        <v>46147</v>
      </c>
      <c r="D90">
        <v>901.34</v>
      </c>
    </row>
    <row r="91" spans="1:4" x14ac:dyDescent="0.3">
      <c r="A91" t="s">
        <v>30</v>
      </c>
      <c r="C91" s="16">
        <v>46147</v>
      </c>
      <c r="D91">
        <v>1444.08</v>
      </c>
    </row>
    <row r="92" spans="1:4" x14ac:dyDescent="0.3">
      <c r="A92" t="s">
        <v>31</v>
      </c>
      <c r="C92" s="16">
        <v>46147</v>
      </c>
      <c r="D92">
        <v>23247.599999999962</v>
      </c>
    </row>
    <row r="93" spans="1:4" x14ac:dyDescent="0.3">
      <c r="A93" t="s">
        <v>32</v>
      </c>
      <c r="C93" s="16">
        <v>46147</v>
      </c>
      <c r="D93">
        <v>6853.9100000000017</v>
      </c>
    </row>
    <row r="94" spans="1:4" x14ac:dyDescent="0.3">
      <c r="A94" t="s">
        <v>33</v>
      </c>
      <c r="C94" s="16">
        <v>46147</v>
      </c>
      <c r="D94">
        <v>21338.39</v>
      </c>
    </row>
    <row r="95" spans="1:4" x14ac:dyDescent="0.3">
      <c r="A95" t="s">
        <v>34</v>
      </c>
      <c r="C95" s="16">
        <v>46147</v>
      </c>
      <c r="D95">
        <v>345</v>
      </c>
    </row>
    <row r="96" spans="1:4" x14ac:dyDescent="0.3">
      <c r="A96" t="s">
        <v>35</v>
      </c>
      <c r="C96" s="16">
        <v>46147</v>
      </c>
      <c r="D96">
        <v>8782.25</v>
      </c>
    </row>
    <row r="97" spans="1:4" x14ac:dyDescent="0.3">
      <c r="A97" t="s">
        <v>17</v>
      </c>
      <c r="C97" s="16">
        <v>46148</v>
      </c>
      <c r="D97">
        <v>197763.43000000025</v>
      </c>
    </row>
    <row r="98" spans="1:4" x14ac:dyDescent="0.3">
      <c r="A98" t="s">
        <v>18</v>
      </c>
      <c r="C98" s="16">
        <v>46148</v>
      </c>
      <c r="D98">
        <v>626288.02999999991</v>
      </c>
    </row>
    <row r="99" spans="1:4" x14ac:dyDescent="0.3">
      <c r="A99" t="s">
        <v>19</v>
      </c>
      <c r="C99" s="16">
        <v>46148</v>
      </c>
      <c r="D99">
        <v>1669.89</v>
      </c>
    </row>
    <row r="100" spans="1:4" x14ac:dyDescent="0.3">
      <c r="A100" t="s">
        <v>20</v>
      </c>
      <c r="C100" s="16">
        <v>46148</v>
      </c>
      <c r="D100">
        <v>989990.29999999993</v>
      </c>
    </row>
    <row r="101" spans="1:4" x14ac:dyDescent="0.3">
      <c r="A101" t="s">
        <v>21</v>
      </c>
      <c r="C101" s="16">
        <v>46148</v>
      </c>
      <c r="D101">
        <v>961212.30999999924</v>
      </c>
    </row>
    <row r="102" spans="1:4" x14ac:dyDescent="0.3">
      <c r="A102" t="s">
        <v>22</v>
      </c>
      <c r="C102" s="16">
        <v>46148</v>
      </c>
      <c r="D102">
        <v>121511.38</v>
      </c>
    </row>
    <row r="103" spans="1:4" x14ac:dyDescent="0.3">
      <c r="A103" t="s">
        <v>23</v>
      </c>
      <c r="C103" s="16">
        <v>46148</v>
      </c>
      <c r="D103">
        <v>813088.59</v>
      </c>
    </row>
    <row r="104" spans="1:4" x14ac:dyDescent="0.3">
      <c r="A104" t="s">
        <v>24</v>
      </c>
      <c r="C104" s="16">
        <v>46148</v>
      </c>
      <c r="D104">
        <v>3768.83</v>
      </c>
    </row>
    <row r="105" spans="1:4" x14ac:dyDescent="0.3">
      <c r="A105" t="s">
        <v>25</v>
      </c>
      <c r="C105" s="16">
        <v>46148</v>
      </c>
      <c r="D105">
        <v>114.3</v>
      </c>
    </row>
    <row r="106" spans="1:4" x14ac:dyDescent="0.3">
      <c r="A106" t="s">
        <v>26</v>
      </c>
      <c r="C106" s="16">
        <v>46148</v>
      </c>
      <c r="D106">
        <v>2267.7200000000003</v>
      </c>
    </row>
    <row r="107" spans="1:4" x14ac:dyDescent="0.3">
      <c r="A107" t="s">
        <v>27</v>
      </c>
      <c r="C107" s="16">
        <v>46148</v>
      </c>
      <c r="D107">
        <v>3364.94</v>
      </c>
    </row>
    <row r="108" spans="1:4" x14ac:dyDescent="0.3">
      <c r="A108" t="s">
        <v>28</v>
      </c>
      <c r="C108" s="16">
        <v>46148</v>
      </c>
      <c r="D108">
        <v>1968.99</v>
      </c>
    </row>
    <row r="109" spans="1:4" x14ac:dyDescent="0.3">
      <c r="A109" t="s">
        <v>29</v>
      </c>
      <c r="C109" s="16">
        <v>46148</v>
      </c>
      <c r="D109">
        <v>901.34</v>
      </c>
    </row>
    <row r="110" spans="1:4" x14ac:dyDescent="0.3">
      <c r="A110" t="s">
        <v>30</v>
      </c>
      <c r="C110" s="16">
        <v>46148</v>
      </c>
      <c r="D110">
        <v>1444.08</v>
      </c>
    </row>
    <row r="111" spans="1:4" x14ac:dyDescent="0.3">
      <c r="A111" t="s">
        <v>31</v>
      </c>
      <c r="C111" s="16">
        <v>46148</v>
      </c>
      <c r="D111">
        <v>23247.599999999962</v>
      </c>
    </row>
    <row r="112" spans="1:4" x14ac:dyDescent="0.3">
      <c r="A112" t="s">
        <v>32</v>
      </c>
      <c r="C112" s="16">
        <v>46148</v>
      </c>
      <c r="D112">
        <v>5135.0600000000013</v>
      </c>
    </row>
    <row r="113" spans="1:4" x14ac:dyDescent="0.3">
      <c r="A113" t="s">
        <v>33</v>
      </c>
      <c r="C113" s="16">
        <v>46148</v>
      </c>
      <c r="D113">
        <v>21338.39</v>
      </c>
    </row>
    <row r="114" spans="1:4" x14ac:dyDescent="0.3">
      <c r="A114" t="s">
        <v>34</v>
      </c>
      <c r="C114" s="16">
        <v>46148</v>
      </c>
      <c r="D114">
        <v>345</v>
      </c>
    </row>
    <row r="115" spans="1:4" x14ac:dyDescent="0.3">
      <c r="A115" t="s">
        <v>35</v>
      </c>
      <c r="C115" s="16">
        <v>46148</v>
      </c>
      <c r="D115">
        <v>8782.25</v>
      </c>
    </row>
    <row r="116" spans="1:4" x14ac:dyDescent="0.3">
      <c r="A116" t="s">
        <v>17</v>
      </c>
      <c r="C116" s="16">
        <v>46149</v>
      </c>
      <c r="D116">
        <v>447763.43000000028</v>
      </c>
    </row>
    <row r="117" spans="1:4" x14ac:dyDescent="0.3">
      <c r="A117" t="s">
        <v>18</v>
      </c>
      <c r="C117" s="16">
        <v>46149</v>
      </c>
      <c r="D117">
        <v>56288.029999999941</v>
      </c>
    </row>
    <row r="118" spans="1:4" x14ac:dyDescent="0.3">
      <c r="A118" t="s">
        <v>19</v>
      </c>
      <c r="C118" s="16">
        <v>46149</v>
      </c>
      <c r="D118">
        <v>1669.89</v>
      </c>
    </row>
    <row r="119" spans="1:4" x14ac:dyDescent="0.3">
      <c r="A119" t="s">
        <v>20</v>
      </c>
      <c r="C119" s="16">
        <v>46149</v>
      </c>
      <c r="D119">
        <v>274668.55999999994</v>
      </c>
    </row>
    <row r="120" spans="1:4" x14ac:dyDescent="0.3">
      <c r="A120" t="s">
        <v>21</v>
      </c>
      <c r="C120" s="16">
        <v>46149</v>
      </c>
      <c r="D120">
        <v>926213.13999999932</v>
      </c>
    </row>
    <row r="121" spans="1:4" x14ac:dyDescent="0.3">
      <c r="A121" t="s">
        <v>22</v>
      </c>
      <c r="C121" s="16">
        <v>46149</v>
      </c>
      <c r="D121">
        <v>121511.38</v>
      </c>
    </row>
    <row r="122" spans="1:4" x14ac:dyDescent="0.3">
      <c r="A122" t="s">
        <v>23</v>
      </c>
      <c r="C122" s="16">
        <v>46149</v>
      </c>
      <c r="D122">
        <v>1513088.59</v>
      </c>
    </row>
    <row r="123" spans="1:4" x14ac:dyDescent="0.3">
      <c r="A123" t="s">
        <v>24</v>
      </c>
      <c r="C123" s="16">
        <v>46149</v>
      </c>
      <c r="D123">
        <v>3768.83</v>
      </c>
    </row>
    <row r="124" spans="1:4" x14ac:dyDescent="0.3">
      <c r="A124" t="s">
        <v>25</v>
      </c>
      <c r="C124" s="16">
        <v>46149</v>
      </c>
      <c r="D124">
        <v>114.3</v>
      </c>
    </row>
    <row r="125" spans="1:4" x14ac:dyDescent="0.3">
      <c r="A125" t="s">
        <v>26</v>
      </c>
      <c r="C125" s="16">
        <v>46149</v>
      </c>
      <c r="D125">
        <v>2267.7200000000003</v>
      </c>
    </row>
    <row r="126" spans="1:4" x14ac:dyDescent="0.3">
      <c r="A126" t="s">
        <v>27</v>
      </c>
      <c r="C126" s="16">
        <v>46149</v>
      </c>
      <c r="D126">
        <v>3364.94</v>
      </c>
    </row>
    <row r="127" spans="1:4" x14ac:dyDescent="0.3">
      <c r="A127" t="s">
        <v>28</v>
      </c>
      <c r="C127" s="16">
        <v>46149</v>
      </c>
      <c r="D127">
        <v>1968.99</v>
      </c>
    </row>
    <row r="128" spans="1:4" x14ac:dyDescent="0.3">
      <c r="A128" t="s">
        <v>29</v>
      </c>
      <c r="C128" s="16">
        <v>46149</v>
      </c>
      <c r="D128">
        <v>901.34</v>
      </c>
    </row>
    <row r="129" spans="1:4" x14ac:dyDescent="0.3">
      <c r="A129" t="s">
        <v>30</v>
      </c>
      <c r="C129" s="16">
        <v>46149</v>
      </c>
      <c r="D129">
        <v>1444.08</v>
      </c>
    </row>
    <row r="130" spans="1:4" x14ac:dyDescent="0.3">
      <c r="A130" t="s">
        <v>31</v>
      </c>
      <c r="C130" s="16">
        <v>46149</v>
      </c>
      <c r="D130">
        <v>23247.599999999962</v>
      </c>
    </row>
    <row r="131" spans="1:4" x14ac:dyDescent="0.3">
      <c r="A131" t="s">
        <v>32</v>
      </c>
      <c r="C131" s="16">
        <v>46149</v>
      </c>
      <c r="D131">
        <v>15135.060000000001</v>
      </c>
    </row>
    <row r="132" spans="1:4" x14ac:dyDescent="0.3">
      <c r="A132" t="s">
        <v>33</v>
      </c>
      <c r="C132" s="16">
        <v>46149</v>
      </c>
      <c r="D132">
        <v>31338.39</v>
      </c>
    </row>
    <row r="133" spans="1:4" x14ac:dyDescent="0.3">
      <c r="A133" t="s">
        <v>34</v>
      </c>
      <c r="C133" s="16">
        <v>46149</v>
      </c>
      <c r="D133">
        <v>345</v>
      </c>
    </row>
    <row r="134" spans="1:4" x14ac:dyDescent="0.3">
      <c r="A134" t="s">
        <v>35</v>
      </c>
      <c r="C134" s="16">
        <v>46149</v>
      </c>
      <c r="D134">
        <v>8782.25</v>
      </c>
    </row>
    <row r="135" spans="1:4" x14ac:dyDescent="0.3">
      <c r="A135" t="s">
        <v>17</v>
      </c>
      <c r="C135" s="16">
        <v>46150</v>
      </c>
      <c r="D135">
        <v>512927.75000000023</v>
      </c>
    </row>
    <row r="136" spans="1:4" x14ac:dyDescent="0.3">
      <c r="A136" t="s">
        <v>18</v>
      </c>
      <c r="C136" s="16">
        <v>46150</v>
      </c>
      <c r="D136">
        <v>58840.089999999938</v>
      </c>
    </row>
    <row r="137" spans="1:4" x14ac:dyDescent="0.3">
      <c r="A137" t="s">
        <v>19</v>
      </c>
      <c r="C137" s="16">
        <v>46150</v>
      </c>
      <c r="D137">
        <v>1669.89</v>
      </c>
    </row>
    <row r="138" spans="1:4" x14ac:dyDescent="0.3">
      <c r="A138" t="s">
        <v>20</v>
      </c>
      <c r="C138" s="16">
        <v>46150</v>
      </c>
      <c r="D138">
        <v>792366.49999999988</v>
      </c>
    </row>
    <row r="139" spans="1:4" x14ac:dyDescent="0.3">
      <c r="A139" t="s">
        <v>21</v>
      </c>
      <c r="C139" s="16">
        <v>46150</v>
      </c>
      <c r="D139">
        <v>923830.41999999923</v>
      </c>
    </row>
    <row r="140" spans="1:4" x14ac:dyDescent="0.3">
      <c r="A140" t="s">
        <v>22</v>
      </c>
      <c r="C140" s="16">
        <v>46150</v>
      </c>
      <c r="D140">
        <v>121511.38</v>
      </c>
    </row>
    <row r="141" spans="1:4" x14ac:dyDescent="0.3">
      <c r="A141" t="s">
        <v>23</v>
      </c>
      <c r="C141" s="16">
        <v>46150</v>
      </c>
      <c r="D141">
        <v>13088.589999999997</v>
      </c>
    </row>
    <row r="142" spans="1:4" x14ac:dyDescent="0.3">
      <c r="A142" t="s">
        <v>24</v>
      </c>
      <c r="C142" s="16">
        <v>46150</v>
      </c>
      <c r="D142">
        <v>3768.83</v>
      </c>
    </row>
    <row r="143" spans="1:4" x14ac:dyDescent="0.3">
      <c r="A143" t="s">
        <v>25</v>
      </c>
      <c r="C143" s="16">
        <v>46150</v>
      </c>
      <c r="D143">
        <v>114.3</v>
      </c>
    </row>
    <row r="144" spans="1:4" x14ac:dyDescent="0.3">
      <c r="A144" t="s">
        <v>26</v>
      </c>
      <c r="C144" s="16">
        <v>46150</v>
      </c>
      <c r="D144">
        <v>2267.7200000000003</v>
      </c>
    </row>
    <row r="145" spans="1:4" x14ac:dyDescent="0.3">
      <c r="A145" t="s">
        <v>27</v>
      </c>
      <c r="C145" s="16">
        <v>46150</v>
      </c>
      <c r="D145">
        <v>3349.94</v>
      </c>
    </row>
    <row r="146" spans="1:4" x14ac:dyDescent="0.3">
      <c r="A146" t="s">
        <v>28</v>
      </c>
      <c r="C146" s="16">
        <v>46150</v>
      </c>
      <c r="D146">
        <v>1968.99</v>
      </c>
    </row>
    <row r="147" spans="1:4" x14ac:dyDescent="0.3">
      <c r="A147" t="s">
        <v>29</v>
      </c>
      <c r="C147" s="16">
        <v>46150</v>
      </c>
      <c r="D147">
        <v>901.34</v>
      </c>
    </row>
    <row r="148" spans="1:4" x14ac:dyDescent="0.3">
      <c r="A148" t="s">
        <v>30</v>
      </c>
      <c r="C148" s="16">
        <v>46150</v>
      </c>
      <c r="D148">
        <v>1444.08</v>
      </c>
    </row>
    <row r="149" spans="1:4" x14ac:dyDescent="0.3">
      <c r="A149" t="s">
        <v>31</v>
      </c>
      <c r="C149" s="16">
        <v>46150</v>
      </c>
      <c r="D149">
        <v>20592.599999999962</v>
      </c>
    </row>
    <row r="150" spans="1:4" x14ac:dyDescent="0.3">
      <c r="A150" t="s">
        <v>32</v>
      </c>
      <c r="C150" s="16">
        <v>46150</v>
      </c>
      <c r="D150">
        <v>15120.060000000001</v>
      </c>
    </row>
    <row r="151" spans="1:4" x14ac:dyDescent="0.3">
      <c r="A151" t="s">
        <v>33</v>
      </c>
      <c r="C151" s="16">
        <v>46150</v>
      </c>
      <c r="D151">
        <v>31323.39</v>
      </c>
    </row>
    <row r="152" spans="1:4" x14ac:dyDescent="0.3">
      <c r="A152" t="s">
        <v>34</v>
      </c>
      <c r="C152" s="16">
        <v>46150</v>
      </c>
      <c r="D152">
        <v>345</v>
      </c>
    </row>
    <row r="153" spans="1:4" x14ac:dyDescent="0.3">
      <c r="A153" t="s">
        <v>35</v>
      </c>
      <c r="C153" s="16">
        <v>46150</v>
      </c>
      <c r="D153">
        <v>23782.25</v>
      </c>
    </row>
    <row r="154" spans="1:4" x14ac:dyDescent="0.3">
      <c r="A154" t="s">
        <v>17</v>
      </c>
      <c r="C154" s="16">
        <v>46151</v>
      </c>
      <c r="D154">
        <v>512927.75000000023</v>
      </c>
    </row>
    <row r="155" spans="1:4" x14ac:dyDescent="0.3">
      <c r="A155" t="s">
        <v>18</v>
      </c>
      <c r="C155" s="16">
        <v>46151</v>
      </c>
      <c r="D155">
        <v>58840.089999999938</v>
      </c>
    </row>
    <row r="156" spans="1:4" x14ac:dyDescent="0.3">
      <c r="A156" t="s">
        <v>19</v>
      </c>
      <c r="C156" s="16">
        <v>46151</v>
      </c>
      <c r="D156">
        <v>1669.89</v>
      </c>
    </row>
    <row r="157" spans="1:4" x14ac:dyDescent="0.3">
      <c r="A157" t="s">
        <v>20</v>
      </c>
      <c r="C157" s="16">
        <v>46151</v>
      </c>
      <c r="D157">
        <v>792366.49999999988</v>
      </c>
    </row>
    <row r="158" spans="1:4" x14ac:dyDescent="0.3">
      <c r="A158" t="s">
        <v>21</v>
      </c>
      <c r="C158" s="16">
        <v>46151</v>
      </c>
      <c r="D158">
        <v>923830.41999999923</v>
      </c>
    </row>
    <row r="159" spans="1:4" x14ac:dyDescent="0.3">
      <c r="A159" t="s">
        <v>22</v>
      </c>
      <c r="C159" s="16">
        <v>46151</v>
      </c>
      <c r="D159">
        <v>121511.38</v>
      </c>
    </row>
    <row r="160" spans="1:4" x14ac:dyDescent="0.3">
      <c r="A160" t="s">
        <v>23</v>
      </c>
      <c r="C160" s="16">
        <v>46151</v>
      </c>
      <c r="D160">
        <v>13088.589999999997</v>
      </c>
    </row>
    <row r="161" spans="1:4" x14ac:dyDescent="0.3">
      <c r="A161" t="s">
        <v>24</v>
      </c>
      <c r="C161" s="16">
        <v>46151</v>
      </c>
      <c r="D161">
        <v>3768.83</v>
      </c>
    </row>
    <row r="162" spans="1:4" x14ac:dyDescent="0.3">
      <c r="A162" t="s">
        <v>25</v>
      </c>
      <c r="C162" s="16">
        <v>46151</v>
      </c>
      <c r="D162">
        <v>114.3</v>
      </c>
    </row>
    <row r="163" spans="1:4" x14ac:dyDescent="0.3">
      <c r="A163" t="s">
        <v>26</v>
      </c>
      <c r="C163" s="16">
        <v>46151</v>
      </c>
      <c r="D163">
        <v>2267.7200000000003</v>
      </c>
    </row>
    <row r="164" spans="1:4" x14ac:dyDescent="0.3">
      <c r="A164" t="s">
        <v>27</v>
      </c>
      <c r="C164" s="16">
        <v>46151</v>
      </c>
      <c r="D164">
        <v>3349.94</v>
      </c>
    </row>
    <row r="165" spans="1:4" x14ac:dyDescent="0.3">
      <c r="A165" t="s">
        <v>28</v>
      </c>
      <c r="C165" s="16">
        <v>46151</v>
      </c>
      <c r="D165">
        <v>1968.99</v>
      </c>
    </row>
    <row r="166" spans="1:4" x14ac:dyDescent="0.3">
      <c r="A166" t="s">
        <v>29</v>
      </c>
      <c r="C166" s="16">
        <v>46151</v>
      </c>
      <c r="D166">
        <v>901.34</v>
      </c>
    </row>
    <row r="167" spans="1:4" x14ac:dyDescent="0.3">
      <c r="A167" t="s">
        <v>30</v>
      </c>
      <c r="C167" s="16">
        <v>46151</v>
      </c>
      <c r="D167">
        <v>1444.08</v>
      </c>
    </row>
    <row r="168" spans="1:4" x14ac:dyDescent="0.3">
      <c r="A168" t="s">
        <v>31</v>
      </c>
      <c r="C168" s="16">
        <v>46151</v>
      </c>
      <c r="D168">
        <v>20592.599999999962</v>
      </c>
    </row>
    <row r="169" spans="1:4" x14ac:dyDescent="0.3">
      <c r="A169" t="s">
        <v>32</v>
      </c>
      <c r="C169" s="16">
        <v>46151</v>
      </c>
      <c r="D169">
        <v>15120.060000000001</v>
      </c>
    </row>
    <row r="170" spans="1:4" x14ac:dyDescent="0.3">
      <c r="A170" t="s">
        <v>33</v>
      </c>
      <c r="C170" s="16">
        <v>46151</v>
      </c>
      <c r="D170">
        <v>31323.39</v>
      </c>
    </row>
    <row r="171" spans="1:4" x14ac:dyDescent="0.3">
      <c r="A171" t="s">
        <v>34</v>
      </c>
      <c r="C171" s="16">
        <v>46151</v>
      </c>
      <c r="D171">
        <v>345</v>
      </c>
    </row>
    <row r="172" spans="1:4" x14ac:dyDescent="0.3">
      <c r="A172" t="s">
        <v>35</v>
      </c>
      <c r="C172" s="16">
        <v>46151</v>
      </c>
      <c r="D172">
        <v>23782.25</v>
      </c>
    </row>
    <row r="173" spans="1:4" x14ac:dyDescent="0.3">
      <c r="A173" t="s">
        <v>17</v>
      </c>
      <c r="C173" s="16">
        <v>46152</v>
      </c>
      <c r="D173">
        <v>512927.75000000023</v>
      </c>
    </row>
    <row r="174" spans="1:4" x14ac:dyDescent="0.3">
      <c r="A174" t="s">
        <v>18</v>
      </c>
      <c r="C174" s="16">
        <v>46152</v>
      </c>
      <c r="D174">
        <v>58840.089999999938</v>
      </c>
    </row>
    <row r="175" spans="1:4" x14ac:dyDescent="0.3">
      <c r="A175" t="s">
        <v>19</v>
      </c>
      <c r="C175" s="16">
        <v>46152</v>
      </c>
      <c r="D175">
        <v>1669.89</v>
      </c>
    </row>
    <row r="176" spans="1:4" x14ac:dyDescent="0.3">
      <c r="A176" t="s">
        <v>20</v>
      </c>
      <c r="C176" s="16">
        <v>46152</v>
      </c>
      <c r="D176">
        <v>792366.49999999988</v>
      </c>
    </row>
    <row r="177" spans="1:4" x14ac:dyDescent="0.3">
      <c r="A177" t="s">
        <v>21</v>
      </c>
      <c r="C177" s="16">
        <v>46152</v>
      </c>
      <c r="D177">
        <v>923830.41999999923</v>
      </c>
    </row>
    <row r="178" spans="1:4" x14ac:dyDescent="0.3">
      <c r="A178" t="s">
        <v>22</v>
      </c>
      <c r="C178" s="16">
        <v>46152</v>
      </c>
      <c r="D178">
        <v>121511.38</v>
      </c>
    </row>
    <row r="179" spans="1:4" x14ac:dyDescent="0.3">
      <c r="A179" t="s">
        <v>23</v>
      </c>
      <c r="C179" s="16">
        <v>46152</v>
      </c>
      <c r="D179">
        <v>13088.589999999997</v>
      </c>
    </row>
    <row r="180" spans="1:4" x14ac:dyDescent="0.3">
      <c r="A180" t="s">
        <v>24</v>
      </c>
      <c r="C180" s="16">
        <v>46152</v>
      </c>
      <c r="D180">
        <v>3768.83</v>
      </c>
    </row>
    <row r="181" spans="1:4" x14ac:dyDescent="0.3">
      <c r="A181" t="s">
        <v>25</v>
      </c>
      <c r="C181" s="16">
        <v>46152</v>
      </c>
      <c r="D181">
        <v>114.3</v>
      </c>
    </row>
    <row r="182" spans="1:4" x14ac:dyDescent="0.3">
      <c r="A182" t="s">
        <v>26</v>
      </c>
      <c r="C182" s="16">
        <v>46152</v>
      </c>
      <c r="D182">
        <v>2267.7200000000003</v>
      </c>
    </row>
    <row r="183" spans="1:4" x14ac:dyDescent="0.3">
      <c r="A183" t="s">
        <v>27</v>
      </c>
      <c r="C183" s="16">
        <v>46152</v>
      </c>
      <c r="D183">
        <v>3349.94</v>
      </c>
    </row>
    <row r="184" spans="1:4" x14ac:dyDescent="0.3">
      <c r="A184" t="s">
        <v>28</v>
      </c>
      <c r="C184" s="16">
        <v>46152</v>
      </c>
      <c r="D184">
        <v>1968.99</v>
      </c>
    </row>
    <row r="185" spans="1:4" x14ac:dyDescent="0.3">
      <c r="A185" t="s">
        <v>29</v>
      </c>
      <c r="C185" s="16">
        <v>46152</v>
      </c>
      <c r="D185">
        <v>901.34</v>
      </c>
    </row>
    <row r="186" spans="1:4" x14ac:dyDescent="0.3">
      <c r="A186" t="s">
        <v>30</v>
      </c>
      <c r="C186" s="16">
        <v>46152</v>
      </c>
      <c r="D186">
        <v>1444.08</v>
      </c>
    </row>
    <row r="187" spans="1:4" x14ac:dyDescent="0.3">
      <c r="A187" t="s">
        <v>31</v>
      </c>
      <c r="C187" s="16">
        <v>46152</v>
      </c>
      <c r="D187">
        <v>20592.599999999962</v>
      </c>
    </row>
    <row r="188" spans="1:4" x14ac:dyDescent="0.3">
      <c r="A188" t="s">
        <v>32</v>
      </c>
      <c r="C188" s="16">
        <v>46152</v>
      </c>
      <c r="D188">
        <v>15120.060000000001</v>
      </c>
    </row>
    <row r="189" spans="1:4" x14ac:dyDescent="0.3">
      <c r="A189" t="s">
        <v>33</v>
      </c>
      <c r="C189" s="16">
        <v>46152</v>
      </c>
      <c r="D189">
        <v>31323.39</v>
      </c>
    </row>
    <row r="190" spans="1:4" x14ac:dyDescent="0.3">
      <c r="A190" t="s">
        <v>34</v>
      </c>
      <c r="C190" s="16">
        <v>46152</v>
      </c>
      <c r="D190">
        <v>345</v>
      </c>
    </row>
    <row r="191" spans="1:4" x14ac:dyDescent="0.3">
      <c r="A191" t="s">
        <v>35</v>
      </c>
      <c r="C191" s="16">
        <v>46152</v>
      </c>
      <c r="D191">
        <v>23782.25</v>
      </c>
    </row>
    <row r="192" spans="1:4" x14ac:dyDescent="0.3">
      <c r="A192" t="s">
        <v>17</v>
      </c>
      <c r="C192" s="16">
        <v>46153</v>
      </c>
      <c r="D192">
        <v>512927.75000000023</v>
      </c>
    </row>
    <row r="193" spans="1:4" x14ac:dyDescent="0.3">
      <c r="A193" t="s">
        <v>18</v>
      </c>
      <c r="C193" s="16">
        <v>46153</v>
      </c>
      <c r="D193">
        <v>58840.089999999938</v>
      </c>
    </row>
    <row r="194" spans="1:4" x14ac:dyDescent="0.3">
      <c r="A194" t="s">
        <v>19</v>
      </c>
      <c r="C194" s="16">
        <v>46153</v>
      </c>
      <c r="D194">
        <v>1669.89</v>
      </c>
    </row>
    <row r="195" spans="1:4" x14ac:dyDescent="0.3">
      <c r="A195" t="s">
        <v>20</v>
      </c>
      <c r="C195" s="16">
        <v>46153</v>
      </c>
      <c r="D195">
        <v>1368366.5</v>
      </c>
    </row>
    <row r="196" spans="1:4" x14ac:dyDescent="0.3">
      <c r="A196" t="s">
        <v>21</v>
      </c>
      <c r="C196" s="16">
        <v>46153</v>
      </c>
      <c r="D196">
        <v>1162513.7699999993</v>
      </c>
    </row>
    <row r="197" spans="1:4" x14ac:dyDescent="0.3">
      <c r="A197" t="s">
        <v>22</v>
      </c>
      <c r="C197" s="16">
        <v>46153</v>
      </c>
      <c r="D197">
        <v>121511.38</v>
      </c>
    </row>
    <row r="198" spans="1:4" x14ac:dyDescent="0.3">
      <c r="A198" t="s">
        <v>23</v>
      </c>
      <c r="C198" s="16">
        <v>46153</v>
      </c>
      <c r="D198">
        <v>13088.589999999997</v>
      </c>
    </row>
    <row r="199" spans="1:4" x14ac:dyDescent="0.3">
      <c r="A199" t="s">
        <v>24</v>
      </c>
      <c r="C199" s="16">
        <v>46153</v>
      </c>
      <c r="D199">
        <v>3768.83</v>
      </c>
    </row>
    <row r="200" spans="1:4" x14ac:dyDescent="0.3">
      <c r="A200" t="s">
        <v>25</v>
      </c>
      <c r="C200" s="16">
        <v>46153</v>
      </c>
      <c r="D200">
        <v>114.3</v>
      </c>
    </row>
    <row r="201" spans="1:4" x14ac:dyDescent="0.3">
      <c r="A201" t="s">
        <v>26</v>
      </c>
      <c r="C201" s="16">
        <v>46153</v>
      </c>
      <c r="D201">
        <v>2267.7200000000003</v>
      </c>
    </row>
    <row r="202" spans="1:4" x14ac:dyDescent="0.3">
      <c r="A202" t="s">
        <v>27</v>
      </c>
      <c r="C202" s="16">
        <v>46153</v>
      </c>
      <c r="D202">
        <v>3349.94</v>
      </c>
    </row>
    <row r="203" spans="1:4" x14ac:dyDescent="0.3">
      <c r="A203" t="s">
        <v>28</v>
      </c>
      <c r="C203" s="16">
        <v>46153</v>
      </c>
      <c r="D203">
        <v>1968.99</v>
      </c>
    </row>
    <row r="204" spans="1:4" x14ac:dyDescent="0.3">
      <c r="A204" t="s">
        <v>29</v>
      </c>
      <c r="C204" s="16">
        <v>46153</v>
      </c>
      <c r="D204">
        <v>901.34</v>
      </c>
    </row>
    <row r="205" spans="1:4" x14ac:dyDescent="0.3">
      <c r="A205" t="s">
        <v>30</v>
      </c>
      <c r="C205" s="16">
        <v>46153</v>
      </c>
      <c r="D205">
        <v>1444.08</v>
      </c>
    </row>
    <row r="206" spans="1:4" x14ac:dyDescent="0.3">
      <c r="A206" t="s">
        <v>31</v>
      </c>
      <c r="C206" s="16">
        <v>46153</v>
      </c>
      <c r="D206">
        <v>19092.599999999962</v>
      </c>
    </row>
    <row r="207" spans="1:4" x14ac:dyDescent="0.3">
      <c r="A207" t="s">
        <v>32</v>
      </c>
      <c r="C207" s="16">
        <v>46153</v>
      </c>
      <c r="D207">
        <v>15120.060000000001</v>
      </c>
    </row>
    <row r="208" spans="1:4" x14ac:dyDescent="0.3">
      <c r="A208" t="s">
        <v>33</v>
      </c>
      <c r="C208" s="16">
        <v>46153</v>
      </c>
      <c r="D208">
        <v>31323.39</v>
      </c>
    </row>
    <row r="209" spans="1:4" x14ac:dyDescent="0.3">
      <c r="A209" t="s">
        <v>34</v>
      </c>
      <c r="C209" s="16">
        <v>46153</v>
      </c>
      <c r="D209">
        <v>345</v>
      </c>
    </row>
    <row r="210" spans="1:4" x14ac:dyDescent="0.3">
      <c r="A210" t="s">
        <v>35</v>
      </c>
      <c r="C210" s="16">
        <v>46153</v>
      </c>
      <c r="D210">
        <v>16956.59</v>
      </c>
    </row>
    <row r="211" spans="1:4" x14ac:dyDescent="0.3">
      <c r="A211" t="s">
        <v>17</v>
      </c>
      <c r="C211" s="16">
        <v>46154</v>
      </c>
      <c r="D211">
        <v>606714.4700000002</v>
      </c>
    </row>
    <row r="212" spans="1:4" x14ac:dyDescent="0.3">
      <c r="A212" t="s">
        <v>18</v>
      </c>
      <c r="C212" s="16">
        <v>46154</v>
      </c>
      <c r="D212">
        <v>58840.089999999938</v>
      </c>
    </row>
    <row r="213" spans="1:4" x14ac:dyDescent="0.3">
      <c r="A213" t="s">
        <v>19</v>
      </c>
      <c r="C213" s="16">
        <v>46154</v>
      </c>
      <c r="D213">
        <v>1669.89</v>
      </c>
    </row>
    <row r="214" spans="1:4" x14ac:dyDescent="0.3">
      <c r="A214" t="s">
        <v>20</v>
      </c>
      <c r="C214" s="16">
        <v>46154</v>
      </c>
      <c r="D214">
        <v>1226185.8999999999</v>
      </c>
    </row>
    <row r="215" spans="1:4" x14ac:dyDescent="0.3">
      <c r="A215" t="s">
        <v>21</v>
      </c>
      <c r="C215" s="16">
        <v>46154</v>
      </c>
      <c r="D215">
        <v>1162404.8599999992</v>
      </c>
    </row>
    <row r="216" spans="1:4" x14ac:dyDescent="0.3">
      <c r="A216" t="s">
        <v>22</v>
      </c>
      <c r="C216" s="16">
        <v>46154</v>
      </c>
      <c r="D216">
        <v>121511.38</v>
      </c>
    </row>
    <row r="217" spans="1:4" x14ac:dyDescent="0.3">
      <c r="A217" t="s">
        <v>23</v>
      </c>
      <c r="C217" s="16">
        <v>46154</v>
      </c>
      <c r="D217">
        <v>13088.589999999997</v>
      </c>
    </row>
    <row r="218" spans="1:4" x14ac:dyDescent="0.3">
      <c r="A218" t="s">
        <v>24</v>
      </c>
      <c r="C218" s="16">
        <v>46154</v>
      </c>
      <c r="D218">
        <v>3768.83</v>
      </c>
    </row>
    <row r="219" spans="1:4" x14ac:dyDescent="0.3">
      <c r="A219" t="s">
        <v>25</v>
      </c>
      <c r="C219" s="16">
        <v>46154</v>
      </c>
      <c r="D219">
        <v>114.3</v>
      </c>
    </row>
    <row r="220" spans="1:4" x14ac:dyDescent="0.3">
      <c r="A220" t="s">
        <v>26</v>
      </c>
      <c r="C220" s="16">
        <v>46154</v>
      </c>
      <c r="D220">
        <v>2267.7200000000003</v>
      </c>
    </row>
    <row r="221" spans="1:4" x14ac:dyDescent="0.3">
      <c r="A221" t="s">
        <v>27</v>
      </c>
      <c r="C221" s="16">
        <v>46154</v>
      </c>
      <c r="D221">
        <v>3349.94</v>
      </c>
    </row>
    <row r="222" spans="1:4" x14ac:dyDescent="0.3">
      <c r="A222" t="s">
        <v>28</v>
      </c>
      <c r="C222" s="16">
        <v>46154</v>
      </c>
      <c r="D222">
        <v>1968.99</v>
      </c>
    </row>
    <row r="223" spans="1:4" x14ac:dyDescent="0.3">
      <c r="A223" t="s">
        <v>29</v>
      </c>
      <c r="C223" s="16">
        <v>46154</v>
      </c>
      <c r="D223">
        <v>901.34</v>
      </c>
    </row>
    <row r="224" spans="1:4" x14ac:dyDescent="0.3">
      <c r="A224" t="s">
        <v>30</v>
      </c>
      <c r="C224" s="16">
        <v>46154</v>
      </c>
      <c r="D224">
        <v>1444.08</v>
      </c>
    </row>
    <row r="225" spans="1:4" x14ac:dyDescent="0.3">
      <c r="A225" t="s">
        <v>31</v>
      </c>
      <c r="C225" s="16">
        <v>46154</v>
      </c>
      <c r="D225">
        <v>19092.599999999962</v>
      </c>
    </row>
    <row r="226" spans="1:4" x14ac:dyDescent="0.3">
      <c r="A226" t="s">
        <v>32</v>
      </c>
      <c r="C226" s="16">
        <v>46154</v>
      </c>
      <c r="D226">
        <v>15120.060000000001</v>
      </c>
    </row>
    <row r="227" spans="1:4" x14ac:dyDescent="0.3">
      <c r="A227" t="s">
        <v>33</v>
      </c>
      <c r="C227" s="16">
        <v>46154</v>
      </c>
      <c r="D227">
        <v>31323.39</v>
      </c>
    </row>
    <row r="228" spans="1:4" x14ac:dyDescent="0.3">
      <c r="A228" t="s">
        <v>34</v>
      </c>
      <c r="C228" s="16">
        <v>46154</v>
      </c>
      <c r="D228">
        <v>345</v>
      </c>
    </row>
    <row r="229" spans="1:4" x14ac:dyDescent="0.3">
      <c r="A229" t="s">
        <v>35</v>
      </c>
      <c r="C229" s="16">
        <v>46154</v>
      </c>
      <c r="D229">
        <v>16741.59</v>
      </c>
    </row>
    <row r="230" spans="1:4" x14ac:dyDescent="0.3">
      <c r="A230" t="s">
        <v>17</v>
      </c>
      <c r="C230" s="16">
        <v>46155</v>
      </c>
      <c r="D230">
        <v>606714.4700000002</v>
      </c>
    </row>
    <row r="231" spans="1:4" x14ac:dyDescent="0.3">
      <c r="A231" t="s">
        <v>18</v>
      </c>
      <c r="C231" s="16">
        <v>46155</v>
      </c>
      <c r="D231">
        <v>58840.089999999938</v>
      </c>
    </row>
    <row r="232" spans="1:4" x14ac:dyDescent="0.3">
      <c r="A232" t="s">
        <v>19</v>
      </c>
      <c r="C232" s="16">
        <v>46155</v>
      </c>
      <c r="D232">
        <v>1669.89</v>
      </c>
    </row>
    <row r="233" spans="1:4" x14ac:dyDescent="0.3">
      <c r="A233" t="s">
        <v>20</v>
      </c>
      <c r="C233" s="16">
        <v>46155</v>
      </c>
      <c r="D233">
        <v>1242679.67</v>
      </c>
    </row>
    <row r="234" spans="1:4" x14ac:dyDescent="0.3">
      <c r="A234" t="s">
        <v>21</v>
      </c>
      <c r="C234" s="16">
        <v>46155</v>
      </c>
      <c r="D234">
        <v>1162404.8599999992</v>
      </c>
    </row>
    <row r="235" spans="1:4" x14ac:dyDescent="0.3">
      <c r="A235" t="s">
        <v>22</v>
      </c>
      <c r="C235" s="16">
        <v>46155</v>
      </c>
      <c r="D235">
        <v>121511.38</v>
      </c>
    </row>
    <row r="236" spans="1:4" x14ac:dyDescent="0.3">
      <c r="A236" t="s">
        <v>23</v>
      </c>
      <c r="C236" s="16">
        <v>46155</v>
      </c>
      <c r="D236">
        <v>13090.369999999997</v>
      </c>
    </row>
    <row r="237" spans="1:4" x14ac:dyDescent="0.3">
      <c r="A237" t="s">
        <v>24</v>
      </c>
      <c r="C237" s="16">
        <v>46155</v>
      </c>
      <c r="D237">
        <v>2498.3999999999996</v>
      </c>
    </row>
    <row r="238" spans="1:4" x14ac:dyDescent="0.3">
      <c r="A238" t="s">
        <v>25</v>
      </c>
      <c r="C238" s="16">
        <v>46155</v>
      </c>
      <c r="D238">
        <v>114.3</v>
      </c>
    </row>
    <row r="239" spans="1:4" x14ac:dyDescent="0.3">
      <c r="A239" t="s">
        <v>26</v>
      </c>
      <c r="C239" s="16">
        <v>46155</v>
      </c>
      <c r="D239">
        <v>2267.7200000000003</v>
      </c>
    </row>
    <row r="240" spans="1:4" x14ac:dyDescent="0.3">
      <c r="A240" t="s">
        <v>27</v>
      </c>
      <c r="C240" s="16">
        <v>46155</v>
      </c>
      <c r="D240">
        <v>3349.94</v>
      </c>
    </row>
    <row r="241" spans="1:4" x14ac:dyDescent="0.3">
      <c r="A241" t="s">
        <v>28</v>
      </c>
      <c r="C241" s="16">
        <v>46155</v>
      </c>
      <c r="D241">
        <v>1968.99</v>
      </c>
    </row>
    <row r="242" spans="1:4" x14ac:dyDescent="0.3">
      <c r="A242" t="s">
        <v>29</v>
      </c>
      <c r="C242" s="16">
        <v>46155</v>
      </c>
      <c r="D242">
        <v>901.34</v>
      </c>
    </row>
    <row r="243" spans="1:4" x14ac:dyDescent="0.3">
      <c r="A243" t="s">
        <v>30</v>
      </c>
      <c r="C243" s="16">
        <v>46155</v>
      </c>
      <c r="D243">
        <v>1444.08</v>
      </c>
    </row>
    <row r="244" spans="1:4" x14ac:dyDescent="0.3">
      <c r="A244" t="s">
        <v>31</v>
      </c>
      <c r="C244" s="16">
        <v>46155</v>
      </c>
      <c r="D244">
        <v>18242.599999999962</v>
      </c>
    </row>
    <row r="245" spans="1:4" x14ac:dyDescent="0.3">
      <c r="A245" t="s">
        <v>32</v>
      </c>
      <c r="C245" s="16">
        <v>46155</v>
      </c>
      <c r="D245">
        <v>15120.060000000001</v>
      </c>
    </row>
    <row r="246" spans="1:4" x14ac:dyDescent="0.3">
      <c r="A246" t="s">
        <v>33</v>
      </c>
      <c r="C246" s="16">
        <v>46155</v>
      </c>
      <c r="D246">
        <v>31323.39</v>
      </c>
    </row>
    <row r="247" spans="1:4" x14ac:dyDescent="0.3">
      <c r="A247" t="s">
        <v>34</v>
      </c>
      <c r="C247" s="16">
        <v>46155</v>
      </c>
      <c r="D247">
        <v>345</v>
      </c>
    </row>
    <row r="248" spans="1:4" x14ac:dyDescent="0.3">
      <c r="A248" t="s">
        <v>35</v>
      </c>
      <c r="C248" s="16">
        <v>46155</v>
      </c>
      <c r="D248">
        <v>16741.59</v>
      </c>
    </row>
    <row r="249" spans="1:4" x14ac:dyDescent="0.3">
      <c r="A249" t="s">
        <v>17</v>
      </c>
      <c r="C249" s="16">
        <v>46156</v>
      </c>
      <c r="D249">
        <v>165752.81000000023</v>
      </c>
    </row>
    <row r="250" spans="1:4" x14ac:dyDescent="0.3">
      <c r="A250" t="s">
        <v>18</v>
      </c>
      <c r="C250" s="16">
        <v>46156</v>
      </c>
      <c r="D250">
        <v>59760.159999999938</v>
      </c>
    </row>
    <row r="251" spans="1:4" x14ac:dyDescent="0.3">
      <c r="A251" t="s">
        <v>19</v>
      </c>
      <c r="C251" s="16">
        <v>46156</v>
      </c>
      <c r="D251">
        <v>1669.89</v>
      </c>
    </row>
    <row r="252" spans="1:4" x14ac:dyDescent="0.3">
      <c r="A252" t="s">
        <v>20</v>
      </c>
      <c r="C252" s="16">
        <v>46156</v>
      </c>
      <c r="D252">
        <v>832679.66999999981</v>
      </c>
    </row>
    <row r="253" spans="1:4" x14ac:dyDescent="0.3">
      <c r="A253" t="s">
        <v>21</v>
      </c>
      <c r="C253" s="16">
        <v>46156</v>
      </c>
      <c r="D253">
        <v>952193.18999999925</v>
      </c>
    </row>
    <row r="254" spans="1:4" x14ac:dyDescent="0.3">
      <c r="A254" t="s">
        <v>22</v>
      </c>
      <c r="C254" s="16">
        <v>46156</v>
      </c>
      <c r="D254">
        <v>121511.38</v>
      </c>
    </row>
    <row r="255" spans="1:4" x14ac:dyDescent="0.3">
      <c r="A255" t="s">
        <v>23</v>
      </c>
      <c r="C255" s="16">
        <v>46156</v>
      </c>
      <c r="D255">
        <v>13090.369999999997</v>
      </c>
    </row>
    <row r="256" spans="1:4" x14ac:dyDescent="0.3">
      <c r="A256" t="s">
        <v>24</v>
      </c>
      <c r="C256" s="16">
        <v>46156</v>
      </c>
      <c r="D256">
        <v>2498.3999999999996</v>
      </c>
    </row>
    <row r="257" spans="1:4" x14ac:dyDescent="0.3">
      <c r="A257" t="s">
        <v>25</v>
      </c>
      <c r="C257" s="16">
        <v>46156</v>
      </c>
      <c r="D257">
        <v>114.3</v>
      </c>
    </row>
    <row r="258" spans="1:4" x14ac:dyDescent="0.3">
      <c r="A258" t="s">
        <v>26</v>
      </c>
      <c r="C258" s="16">
        <v>46156</v>
      </c>
      <c r="D258">
        <v>2267.7200000000003</v>
      </c>
    </row>
    <row r="259" spans="1:4" x14ac:dyDescent="0.3">
      <c r="A259" t="s">
        <v>27</v>
      </c>
      <c r="C259" s="16">
        <v>46156</v>
      </c>
      <c r="D259">
        <v>3349.94</v>
      </c>
    </row>
    <row r="260" spans="1:4" x14ac:dyDescent="0.3">
      <c r="A260" t="s">
        <v>28</v>
      </c>
      <c r="C260" s="16">
        <v>46156</v>
      </c>
      <c r="D260">
        <v>1968.99</v>
      </c>
    </row>
    <row r="261" spans="1:4" x14ac:dyDescent="0.3">
      <c r="A261" t="s">
        <v>29</v>
      </c>
      <c r="C261" s="16">
        <v>46156</v>
      </c>
      <c r="D261">
        <v>901.34</v>
      </c>
    </row>
    <row r="262" spans="1:4" x14ac:dyDescent="0.3">
      <c r="A262" t="s">
        <v>30</v>
      </c>
      <c r="C262" s="16">
        <v>46156</v>
      </c>
      <c r="D262">
        <v>1444.08</v>
      </c>
    </row>
    <row r="263" spans="1:4" x14ac:dyDescent="0.3">
      <c r="A263" t="s">
        <v>31</v>
      </c>
      <c r="C263" s="16">
        <v>46156</v>
      </c>
      <c r="D263">
        <v>18242.599999999962</v>
      </c>
    </row>
    <row r="264" spans="1:4" x14ac:dyDescent="0.3">
      <c r="A264" t="s">
        <v>32</v>
      </c>
      <c r="C264" s="16">
        <v>46156</v>
      </c>
      <c r="D264">
        <v>15120.060000000001</v>
      </c>
    </row>
    <row r="265" spans="1:4" x14ac:dyDescent="0.3">
      <c r="A265" t="s">
        <v>33</v>
      </c>
      <c r="C265" s="16">
        <v>46156</v>
      </c>
      <c r="D265">
        <v>31323.39</v>
      </c>
    </row>
    <row r="266" spans="1:4" x14ac:dyDescent="0.3">
      <c r="A266" t="s">
        <v>34</v>
      </c>
      <c r="C266" s="16">
        <v>46156</v>
      </c>
      <c r="D266">
        <v>345</v>
      </c>
    </row>
    <row r="267" spans="1:4" x14ac:dyDescent="0.3">
      <c r="A267" t="s">
        <v>35</v>
      </c>
      <c r="C267" s="16">
        <v>46156</v>
      </c>
      <c r="D267">
        <v>14226.59</v>
      </c>
    </row>
    <row r="268" spans="1:4" x14ac:dyDescent="0.3">
      <c r="A268" t="s">
        <v>17</v>
      </c>
      <c r="C268" s="16">
        <v>46157</v>
      </c>
      <c r="D268">
        <v>165752.81000000023</v>
      </c>
    </row>
    <row r="269" spans="1:4" x14ac:dyDescent="0.3">
      <c r="A269" t="s">
        <v>18</v>
      </c>
      <c r="C269" s="16">
        <v>46157</v>
      </c>
      <c r="D269">
        <v>59760.159999999938</v>
      </c>
    </row>
    <row r="270" spans="1:4" x14ac:dyDescent="0.3">
      <c r="A270" t="s">
        <v>19</v>
      </c>
      <c r="C270" s="16">
        <v>46157</v>
      </c>
      <c r="D270">
        <v>1669.89</v>
      </c>
    </row>
    <row r="271" spans="1:4" x14ac:dyDescent="0.3">
      <c r="A271" t="s">
        <v>20</v>
      </c>
      <c r="C271" s="16">
        <v>46157</v>
      </c>
      <c r="D271">
        <v>832076.20999999985</v>
      </c>
    </row>
    <row r="272" spans="1:4" x14ac:dyDescent="0.3">
      <c r="A272" t="s">
        <v>21</v>
      </c>
      <c r="C272" s="16">
        <v>46157</v>
      </c>
      <c r="D272">
        <v>952163.77999999933</v>
      </c>
    </row>
    <row r="273" spans="1:4" x14ac:dyDescent="0.3">
      <c r="A273" t="s">
        <v>22</v>
      </c>
      <c r="C273" s="16">
        <v>46157</v>
      </c>
      <c r="D273">
        <v>121511.38</v>
      </c>
    </row>
    <row r="274" spans="1:4" x14ac:dyDescent="0.3">
      <c r="A274" t="s">
        <v>23</v>
      </c>
      <c r="C274" s="16">
        <v>46157</v>
      </c>
      <c r="D274">
        <v>13090.369999999997</v>
      </c>
    </row>
    <row r="275" spans="1:4" x14ac:dyDescent="0.3">
      <c r="A275" t="s">
        <v>24</v>
      </c>
      <c r="C275" s="16">
        <v>46157</v>
      </c>
      <c r="D275">
        <v>2498.3999999999996</v>
      </c>
    </row>
    <row r="276" spans="1:4" x14ac:dyDescent="0.3">
      <c r="A276" t="s">
        <v>25</v>
      </c>
      <c r="C276" s="16">
        <v>46157</v>
      </c>
      <c r="D276">
        <v>114.3</v>
      </c>
    </row>
    <row r="277" spans="1:4" x14ac:dyDescent="0.3">
      <c r="A277" t="s">
        <v>26</v>
      </c>
      <c r="C277" s="16">
        <v>46157</v>
      </c>
      <c r="D277">
        <v>2267.7200000000003</v>
      </c>
    </row>
    <row r="278" spans="1:4" x14ac:dyDescent="0.3">
      <c r="A278" t="s">
        <v>27</v>
      </c>
      <c r="C278" s="16">
        <v>46157</v>
      </c>
      <c r="D278">
        <v>3349.94</v>
      </c>
    </row>
    <row r="279" spans="1:4" x14ac:dyDescent="0.3">
      <c r="A279" t="s">
        <v>28</v>
      </c>
      <c r="C279" s="16">
        <v>46157</v>
      </c>
      <c r="D279">
        <v>1968.99</v>
      </c>
    </row>
    <row r="280" spans="1:4" x14ac:dyDescent="0.3">
      <c r="A280" t="s">
        <v>29</v>
      </c>
      <c r="C280" s="16">
        <v>46157</v>
      </c>
      <c r="D280">
        <v>901.34</v>
      </c>
    </row>
    <row r="281" spans="1:4" x14ac:dyDescent="0.3">
      <c r="A281" t="s">
        <v>30</v>
      </c>
      <c r="C281" s="16">
        <v>46157</v>
      </c>
      <c r="D281">
        <v>1444.08</v>
      </c>
    </row>
    <row r="282" spans="1:4" x14ac:dyDescent="0.3">
      <c r="A282" t="s">
        <v>31</v>
      </c>
      <c r="C282" s="16">
        <v>46157</v>
      </c>
      <c r="D282">
        <v>18242.599999999962</v>
      </c>
    </row>
    <row r="283" spans="1:4" x14ac:dyDescent="0.3">
      <c r="A283" t="s">
        <v>32</v>
      </c>
      <c r="C283" s="16">
        <v>46157</v>
      </c>
      <c r="D283">
        <v>15120.060000000001</v>
      </c>
    </row>
    <row r="284" spans="1:4" x14ac:dyDescent="0.3">
      <c r="A284" t="s">
        <v>33</v>
      </c>
      <c r="C284" s="16">
        <v>46157</v>
      </c>
      <c r="D284">
        <v>27011.27</v>
      </c>
    </row>
    <row r="285" spans="1:4" x14ac:dyDescent="0.3">
      <c r="A285" t="s">
        <v>34</v>
      </c>
      <c r="C285" s="16">
        <v>46157</v>
      </c>
      <c r="D285">
        <v>345</v>
      </c>
    </row>
    <row r="286" spans="1:4" x14ac:dyDescent="0.3">
      <c r="A286" t="s">
        <v>35</v>
      </c>
      <c r="C286" s="16">
        <v>46157</v>
      </c>
      <c r="D286">
        <v>14176.59</v>
      </c>
    </row>
    <row r="287" spans="1:4" x14ac:dyDescent="0.3">
      <c r="A287" t="s">
        <v>17</v>
      </c>
      <c r="C287" s="16">
        <v>46158</v>
      </c>
      <c r="D287">
        <v>165752.81000000023</v>
      </c>
    </row>
    <row r="288" spans="1:4" x14ac:dyDescent="0.3">
      <c r="A288" t="s">
        <v>18</v>
      </c>
      <c r="C288" s="16">
        <v>46158</v>
      </c>
      <c r="D288">
        <v>59760.159999999938</v>
      </c>
    </row>
    <row r="289" spans="1:4" x14ac:dyDescent="0.3">
      <c r="A289" t="s">
        <v>19</v>
      </c>
      <c r="C289" s="16">
        <v>46158</v>
      </c>
      <c r="D289">
        <v>1669.89</v>
      </c>
    </row>
    <row r="290" spans="1:4" x14ac:dyDescent="0.3">
      <c r="A290" t="s">
        <v>20</v>
      </c>
      <c r="C290" s="16">
        <v>46158</v>
      </c>
      <c r="D290">
        <v>832076.20999999985</v>
      </c>
    </row>
    <row r="291" spans="1:4" x14ac:dyDescent="0.3">
      <c r="A291" t="s">
        <v>21</v>
      </c>
      <c r="C291" s="16">
        <v>46158</v>
      </c>
      <c r="D291">
        <v>952163.77999999933</v>
      </c>
    </row>
    <row r="292" spans="1:4" x14ac:dyDescent="0.3">
      <c r="A292" t="s">
        <v>22</v>
      </c>
      <c r="C292" s="16">
        <v>46158</v>
      </c>
      <c r="D292">
        <v>121511.38</v>
      </c>
    </row>
    <row r="293" spans="1:4" x14ac:dyDescent="0.3">
      <c r="A293" t="s">
        <v>23</v>
      </c>
      <c r="C293" s="16">
        <v>46158</v>
      </c>
      <c r="D293">
        <v>13090.369999999997</v>
      </c>
    </row>
    <row r="294" spans="1:4" x14ac:dyDescent="0.3">
      <c r="A294" t="s">
        <v>24</v>
      </c>
      <c r="C294" s="16">
        <v>46158</v>
      </c>
      <c r="D294">
        <v>2498.3999999999996</v>
      </c>
    </row>
    <row r="295" spans="1:4" x14ac:dyDescent="0.3">
      <c r="A295" t="s">
        <v>25</v>
      </c>
      <c r="C295" s="16">
        <v>46158</v>
      </c>
      <c r="D295">
        <v>114.3</v>
      </c>
    </row>
    <row r="296" spans="1:4" x14ac:dyDescent="0.3">
      <c r="A296" t="s">
        <v>26</v>
      </c>
      <c r="C296" s="16">
        <v>46158</v>
      </c>
      <c r="D296">
        <v>2267.7200000000003</v>
      </c>
    </row>
    <row r="297" spans="1:4" x14ac:dyDescent="0.3">
      <c r="A297" t="s">
        <v>27</v>
      </c>
      <c r="C297" s="16">
        <v>46158</v>
      </c>
      <c r="D297">
        <v>3349.94</v>
      </c>
    </row>
    <row r="298" spans="1:4" x14ac:dyDescent="0.3">
      <c r="A298" t="s">
        <v>28</v>
      </c>
      <c r="C298" s="16">
        <v>46158</v>
      </c>
      <c r="D298">
        <v>1968.99</v>
      </c>
    </row>
    <row r="299" spans="1:4" x14ac:dyDescent="0.3">
      <c r="A299" t="s">
        <v>29</v>
      </c>
      <c r="C299" s="16">
        <v>46158</v>
      </c>
      <c r="D299">
        <v>901.34</v>
      </c>
    </row>
    <row r="300" spans="1:4" x14ac:dyDescent="0.3">
      <c r="A300" t="s">
        <v>30</v>
      </c>
      <c r="C300" s="16">
        <v>46158</v>
      </c>
      <c r="D300">
        <v>1444.08</v>
      </c>
    </row>
    <row r="301" spans="1:4" x14ac:dyDescent="0.3">
      <c r="A301" t="s">
        <v>31</v>
      </c>
      <c r="C301" s="16">
        <v>46158</v>
      </c>
      <c r="D301">
        <v>18242.599999999962</v>
      </c>
    </row>
    <row r="302" spans="1:4" x14ac:dyDescent="0.3">
      <c r="A302" t="s">
        <v>32</v>
      </c>
      <c r="C302" s="16">
        <v>46158</v>
      </c>
      <c r="D302">
        <v>15120.060000000001</v>
      </c>
    </row>
    <row r="303" spans="1:4" x14ac:dyDescent="0.3">
      <c r="A303" t="s">
        <v>33</v>
      </c>
      <c r="C303" s="16">
        <v>46158</v>
      </c>
      <c r="D303">
        <v>27011.27</v>
      </c>
    </row>
    <row r="304" spans="1:4" x14ac:dyDescent="0.3">
      <c r="A304" t="s">
        <v>34</v>
      </c>
      <c r="C304" s="16">
        <v>46158</v>
      </c>
      <c r="D304">
        <v>345</v>
      </c>
    </row>
    <row r="305" spans="1:4" x14ac:dyDescent="0.3">
      <c r="A305" t="s">
        <v>35</v>
      </c>
      <c r="C305" s="16">
        <v>46158</v>
      </c>
      <c r="D305">
        <v>14176.59</v>
      </c>
    </row>
    <row r="306" spans="1:4" x14ac:dyDescent="0.3">
      <c r="A306" t="s">
        <v>17</v>
      </c>
      <c r="C306" s="16">
        <v>46159</v>
      </c>
      <c r="D306">
        <v>165752.81000000023</v>
      </c>
    </row>
    <row r="307" spans="1:4" x14ac:dyDescent="0.3">
      <c r="A307" t="s">
        <v>18</v>
      </c>
      <c r="C307" s="16">
        <v>46159</v>
      </c>
      <c r="D307">
        <v>59760.159999999938</v>
      </c>
    </row>
    <row r="308" spans="1:4" x14ac:dyDescent="0.3">
      <c r="A308" t="s">
        <v>19</v>
      </c>
      <c r="C308" s="16">
        <v>46159</v>
      </c>
      <c r="D308">
        <v>1669.89</v>
      </c>
    </row>
    <row r="309" spans="1:4" x14ac:dyDescent="0.3">
      <c r="A309" t="s">
        <v>20</v>
      </c>
      <c r="C309" s="16">
        <v>46159</v>
      </c>
      <c r="D309">
        <v>832076.20999999985</v>
      </c>
    </row>
    <row r="310" spans="1:4" x14ac:dyDescent="0.3">
      <c r="A310" t="s">
        <v>21</v>
      </c>
      <c r="C310" s="16">
        <v>46159</v>
      </c>
      <c r="D310">
        <v>952163.77999999933</v>
      </c>
    </row>
    <row r="311" spans="1:4" x14ac:dyDescent="0.3">
      <c r="A311" t="s">
        <v>22</v>
      </c>
      <c r="C311" s="16">
        <v>46159</v>
      </c>
      <c r="D311">
        <v>121511.38</v>
      </c>
    </row>
    <row r="312" spans="1:4" x14ac:dyDescent="0.3">
      <c r="A312" t="s">
        <v>23</v>
      </c>
      <c r="C312" s="16">
        <v>46159</v>
      </c>
      <c r="D312">
        <v>13090.369999999997</v>
      </c>
    </row>
    <row r="313" spans="1:4" x14ac:dyDescent="0.3">
      <c r="A313" t="s">
        <v>24</v>
      </c>
      <c r="C313" s="16">
        <v>46159</v>
      </c>
      <c r="D313">
        <v>2498.3999999999996</v>
      </c>
    </row>
    <row r="314" spans="1:4" x14ac:dyDescent="0.3">
      <c r="A314" t="s">
        <v>25</v>
      </c>
      <c r="C314" s="16">
        <v>46159</v>
      </c>
      <c r="D314">
        <v>114.3</v>
      </c>
    </row>
    <row r="315" spans="1:4" x14ac:dyDescent="0.3">
      <c r="A315" t="s">
        <v>26</v>
      </c>
      <c r="C315" s="16">
        <v>46159</v>
      </c>
      <c r="D315">
        <v>2267.7200000000003</v>
      </c>
    </row>
    <row r="316" spans="1:4" x14ac:dyDescent="0.3">
      <c r="A316" t="s">
        <v>27</v>
      </c>
      <c r="C316" s="16">
        <v>46159</v>
      </c>
      <c r="D316">
        <v>3349.94</v>
      </c>
    </row>
    <row r="317" spans="1:4" x14ac:dyDescent="0.3">
      <c r="A317" t="s">
        <v>28</v>
      </c>
      <c r="C317" s="16">
        <v>46159</v>
      </c>
      <c r="D317">
        <v>1968.99</v>
      </c>
    </row>
    <row r="318" spans="1:4" x14ac:dyDescent="0.3">
      <c r="A318" t="s">
        <v>29</v>
      </c>
      <c r="C318" s="16">
        <v>46159</v>
      </c>
      <c r="D318">
        <v>901.34</v>
      </c>
    </row>
    <row r="319" spans="1:4" x14ac:dyDescent="0.3">
      <c r="A319" t="s">
        <v>30</v>
      </c>
      <c r="C319" s="16">
        <v>46159</v>
      </c>
      <c r="D319">
        <v>1444.08</v>
      </c>
    </row>
    <row r="320" spans="1:4" x14ac:dyDescent="0.3">
      <c r="A320" t="s">
        <v>31</v>
      </c>
      <c r="C320" s="16">
        <v>46159</v>
      </c>
      <c r="D320">
        <v>18242.599999999962</v>
      </c>
    </row>
    <row r="321" spans="1:4" x14ac:dyDescent="0.3">
      <c r="A321" t="s">
        <v>32</v>
      </c>
      <c r="C321" s="16">
        <v>46159</v>
      </c>
      <c r="D321">
        <v>15120.060000000001</v>
      </c>
    </row>
    <row r="322" spans="1:4" x14ac:dyDescent="0.3">
      <c r="A322" t="s">
        <v>33</v>
      </c>
      <c r="C322" s="16">
        <v>46159</v>
      </c>
      <c r="D322">
        <v>27011.27</v>
      </c>
    </row>
    <row r="323" spans="1:4" x14ac:dyDescent="0.3">
      <c r="A323" t="s">
        <v>34</v>
      </c>
      <c r="C323" s="16">
        <v>46159</v>
      </c>
      <c r="D323">
        <v>345</v>
      </c>
    </row>
    <row r="324" spans="1:4" x14ac:dyDescent="0.3">
      <c r="A324" t="s">
        <v>35</v>
      </c>
      <c r="C324" s="16">
        <v>46159</v>
      </c>
      <c r="D324">
        <v>14176.59</v>
      </c>
    </row>
    <row r="325" spans="1:4" x14ac:dyDescent="0.3">
      <c r="A325" t="s">
        <v>17</v>
      </c>
      <c r="C325" s="16">
        <v>46160</v>
      </c>
      <c r="D325">
        <v>165752.81000000023</v>
      </c>
    </row>
    <row r="326" spans="1:4" x14ac:dyDescent="0.3">
      <c r="A326" t="s">
        <v>18</v>
      </c>
      <c r="C326" s="16">
        <v>46160</v>
      </c>
      <c r="D326">
        <v>59760.159999999938</v>
      </c>
    </row>
    <row r="327" spans="1:4" x14ac:dyDescent="0.3">
      <c r="A327" t="s">
        <v>19</v>
      </c>
      <c r="C327" s="16">
        <v>46160</v>
      </c>
      <c r="D327">
        <v>1669.89</v>
      </c>
    </row>
    <row r="328" spans="1:4" x14ac:dyDescent="0.3">
      <c r="A328" t="s">
        <v>20</v>
      </c>
      <c r="C328" s="16">
        <v>46160</v>
      </c>
      <c r="D328">
        <v>832076.20999999985</v>
      </c>
    </row>
    <row r="329" spans="1:4" x14ac:dyDescent="0.3">
      <c r="A329" t="s">
        <v>21</v>
      </c>
      <c r="C329" s="16">
        <v>46160</v>
      </c>
      <c r="D329">
        <v>928713.30999999924</v>
      </c>
    </row>
    <row r="330" spans="1:4" x14ac:dyDescent="0.3">
      <c r="A330" t="s">
        <v>22</v>
      </c>
      <c r="C330" s="16">
        <v>46160</v>
      </c>
      <c r="D330">
        <v>121511.38</v>
      </c>
    </row>
    <row r="331" spans="1:4" x14ac:dyDescent="0.3">
      <c r="A331" t="s">
        <v>23</v>
      </c>
      <c r="C331" s="16">
        <v>46160</v>
      </c>
      <c r="D331">
        <v>13090.369999999997</v>
      </c>
    </row>
    <row r="332" spans="1:4" x14ac:dyDescent="0.3">
      <c r="A332" t="s">
        <v>24</v>
      </c>
      <c r="C332" s="16">
        <v>46160</v>
      </c>
      <c r="D332">
        <v>2498.3999999999996</v>
      </c>
    </row>
    <row r="333" spans="1:4" x14ac:dyDescent="0.3">
      <c r="A333" t="s">
        <v>25</v>
      </c>
      <c r="C333" s="16">
        <v>46160</v>
      </c>
      <c r="D333">
        <v>114.3</v>
      </c>
    </row>
    <row r="334" spans="1:4" x14ac:dyDescent="0.3">
      <c r="A334" t="s">
        <v>26</v>
      </c>
      <c r="C334" s="16">
        <v>46160</v>
      </c>
      <c r="D334">
        <v>2267.7200000000003</v>
      </c>
    </row>
    <row r="335" spans="1:4" x14ac:dyDescent="0.3">
      <c r="A335" t="s">
        <v>27</v>
      </c>
      <c r="C335" s="16">
        <v>46160</v>
      </c>
      <c r="D335">
        <v>3349.94</v>
      </c>
    </row>
    <row r="336" spans="1:4" x14ac:dyDescent="0.3">
      <c r="A336" t="s">
        <v>28</v>
      </c>
      <c r="C336" s="16">
        <v>46160</v>
      </c>
      <c r="D336">
        <v>1968.99</v>
      </c>
    </row>
    <row r="337" spans="1:4" x14ac:dyDescent="0.3">
      <c r="A337" t="s">
        <v>29</v>
      </c>
      <c r="C337" s="16">
        <v>46160</v>
      </c>
      <c r="D337">
        <v>901.34</v>
      </c>
    </row>
    <row r="338" spans="1:4" x14ac:dyDescent="0.3">
      <c r="A338" t="s">
        <v>30</v>
      </c>
      <c r="C338" s="16">
        <v>46160</v>
      </c>
      <c r="D338">
        <v>1444.08</v>
      </c>
    </row>
    <row r="339" spans="1:4" x14ac:dyDescent="0.3">
      <c r="A339" t="s">
        <v>31</v>
      </c>
      <c r="C339" s="16">
        <v>46160</v>
      </c>
      <c r="D339">
        <v>15463.59999999996</v>
      </c>
    </row>
    <row r="340" spans="1:4" x14ac:dyDescent="0.3">
      <c r="A340" t="s">
        <v>32</v>
      </c>
      <c r="C340" s="16">
        <v>46160</v>
      </c>
      <c r="D340">
        <v>15120.060000000001</v>
      </c>
    </row>
    <row r="341" spans="1:4" x14ac:dyDescent="0.3">
      <c r="A341" t="s">
        <v>33</v>
      </c>
      <c r="C341" s="16">
        <v>46160</v>
      </c>
      <c r="D341">
        <v>27006.27</v>
      </c>
    </row>
    <row r="342" spans="1:4" x14ac:dyDescent="0.3">
      <c r="A342" t="s">
        <v>34</v>
      </c>
      <c r="C342" s="16">
        <v>46160</v>
      </c>
      <c r="D342">
        <v>345</v>
      </c>
    </row>
    <row r="343" spans="1:4" x14ac:dyDescent="0.3">
      <c r="A343" t="s">
        <v>35</v>
      </c>
      <c r="C343" s="16">
        <v>46160</v>
      </c>
      <c r="D343">
        <v>13941.210000000001</v>
      </c>
    </row>
    <row r="344" spans="1:4" x14ac:dyDescent="0.3">
      <c r="A344" t="s">
        <v>17</v>
      </c>
      <c r="C344" s="16">
        <v>46161</v>
      </c>
      <c r="D344">
        <v>815752.81000000029</v>
      </c>
    </row>
    <row r="345" spans="1:4" x14ac:dyDescent="0.3">
      <c r="A345" t="s">
        <v>18</v>
      </c>
      <c r="C345" s="16">
        <v>46161</v>
      </c>
      <c r="D345">
        <v>59760.159999999938</v>
      </c>
    </row>
    <row r="346" spans="1:4" x14ac:dyDescent="0.3">
      <c r="A346" t="s">
        <v>19</v>
      </c>
      <c r="C346" s="16">
        <v>46161</v>
      </c>
      <c r="D346">
        <v>1669.89</v>
      </c>
    </row>
    <row r="347" spans="1:4" x14ac:dyDescent="0.3">
      <c r="A347" t="s">
        <v>20</v>
      </c>
      <c r="C347" s="16">
        <v>46161</v>
      </c>
      <c r="D347">
        <v>832076.20999999985</v>
      </c>
    </row>
    <row r="348" spans="1:4" x14ac:dyDescent="0.3">
      <c r="A348" t="s">
        <v>21</v>
      </c>
      <c r="C348" s="16">
        <v>46161</v>
      </c>
      <c r="D348">
        <v>925592.77999999933</v>
      </c>
    </row>
    <row r="349" spans="1:4" x14ac:dyDescent="0.3">
      <c r="A349" t="s">
        <v>22</v>
      </c>
      <c r="C349" s="16">
        <v>46161</v>
      </c>
      <c r="D349">
        <v>91511.38</v>
      </c>
    </row>
    <row r="350" spans="1:4" x14ac:dyDescent="0.3">
      <c r="A350" t="s">
        <v>23</v>
      </c>
      <c r="C350" s="16">
        <v>46161</v>
      </c>
      <c r="D350">
        <v>13090.369999999997</v>
      </c>
    </row>
    <row r="351" spans="1:4" x14ac:dyDescent="0.3">
      <c r="A351" t="s">
        <v>24</v>
      </c>
      <c r="C351" s="16">
        <v>46161</v>
      </c>
      <c r="D351">
        <v>2498.3999999999996</v>
      </c>
    </row>
    <row r="352" spans="1:4" x14ac:dyDescent="0.3">
      <c r="A352" t="s">
        <v>25</v>
      </c>
      <c r="C352" s="16">
        <v>46161</v>
      </c>
      <c r="D352">
        <v>114.3</v>
      </c>
    </row>
    <row r="353" spans="1:4" x14ac:dyDescent="0.3">
      <c r="A353" t="s">
        <v>26</v>
      </c>
      <c r="C353" s="16">
        <v>46161</v>
      </c>
      <c r="D353">
        <v>2267.7200000000003</v>
      </c>
    </row>
    <row r="354" spans="1:4" x14ac:dyDescent="0.3">
      <c r="A354" t="s">
        <v>27</v>
      </c>
      <c r="C354" s="16">
        <v>46161</v>
      </c>
      <c r="D354">
        <v>3349.94</v>
      </c>
    </row>
    <row r="355" spans="1:4" x14ac:dyDescent="0.3">
      <c r="A355" t="s">
        <v>28</v>
      </c>
      <c r="C355" s="16">
        <v>46161</v>
      </c>
      <c r="D355">
        <v>1968.99</v>
      </c>
    </row>
    <row r="356" spans="1:4" x14ac:dyDescent="0.3">
      <c r="A356" t="s">
        <v>29</v>
      </c>
      <c r="C356" s="16">
        <v>46161</v>
      </c>
      <c r="D356">
        <v>901.34</v>
      </c>
    </row>
    <row r="357" spans="1:4" x14ac:dyDescent="0.3">
      <c r="A357" t="s">
        <v>30</v>
      </c>
      <c r="C357" s="16">
        <v>46161</v>
      </c>
      <c r="D357">
        <v>1444.08</v>
      </c>
    </row>
    <row r="358" spans="1:4" x14ac:dyDescent="0.3">
      <c r="A358" t="s">
        <v>31</v>
      </c>
      <c r="C358" s="16">
        <v>46161</v>
      </c>
      <c r="D358">
        <v>15463.59999999996</v>
      </c>
    </row>
    <row r="359" spans="1:4" x14ac:dyDescent="0.3">
      <c r="A359" t="s">
        <v>32</v>
      </c>
      <c r="C359" s="16">
        <v>46161</v>
      </c>
      <c r="D359">
        <v>15120.060000000001</v>
      </c>
    </row>
    <row r="360" spans="1:4" x14ac:dyDescent="0.3">
      <c r="A360" t="s">
        <v>33</v>
      </c>
      <c r="C360" s="16">
        <v>46161</v>
      </c>
      <c r="D360">
        <v>27006.27</v>
      </c>
    </row>
    <row r="361" spans="1:4" x14ac:dyDescent="0.3">
      <c r="A361" t="s">
        <v>34</v>
      </c>
      <c r="C361" s="16">
        <v>46161</v>
      </c>
      <c r="D361">
        <v>345</v>
      </c>
    </row>
    <row r="362" spans="1:4" x14ac:dyDescent="0.3">
      <c r="A362" t="s">
        <v>35</v>
      </c>
      <c r="C362" s="16">
        <v>46161</v>
      </c>
      <c r="D362">
        <v>18941.21</v>
      </c>
    </row>
    <row r="363" spans="1:4" x14ac:dyDescent="0.3">
      <c r="A363" t="s">
        <v>17</v>
      </c>
      <c r="C363" s="16">
        <v>46162</v>
      </c>
      <c r="D363">
        <v>142321.80000000013</v>
      </c>
    </row>
    <row r="364" spans="1:4" x14ac:dyDescent="0.3">
      <c r="A364" t="s">
        <v>18</v>
      </c>
      <c r="C364" s="16">
        <v>46162</v>
      </c>
      <c r="D364">
        <v>59760.159999999938</v>
      </c>
    </row>
    <row r="365" spans="1:4" x14ac:dyDescent="0.3">
      <c r="A365" t="s">
        <v>19</v>
      </c>
      <c r="C365" s="16">
        <v>46162</v>
      </c>
      <c r="D365">
        <v>1669.89</v>
      </c>
    </row>
    <row r="366" spans="1:4" x14ac:dyDescent="0.3">
      <c r="A366" t="s">
        <v>20</v>
      </c>
      <c r="C366" s="16">
        <v>46162</v>
      </c>
      <c r="D366">
        <v>832076.20999999985</v>
      </c>
    </row>
    <row r="367" spans="1:4" x14ac:dyDescent="0.3">
      <c r="A367" t="s">
        <v>21</v>
      </c>
      <c r="C367" s="16">
        <v>46162</v>
      </c>
      <c r="D367">
        <v>981189.87999999931</v>
      </c>
    </row>
    <row r="368" spans="1:4" x14ac:dyDescent="0.3">
      <c r="A368" t="s">
        <v>22</v>
      </c>
      <c r="C368" s="16">
        <v>46162</v>
      </c>
      <c r="D368">
        <v>141496.38</v>
      </c>
    </row>
    <row r="369" spans="1:4" x14ac:dyDescent="0.3">
      <c r="A369" t="s">
        <v>23</v>
      </c>
      <c r="C369" s="16">
        <v>46162</v>
      </c>
      <c r="D369">
        <v>13090.369999999997</v>
      </c>
    </row>
    <row r="370" spans="1:4" x14ac:dyDescent="0.3">
      <c r="A370" t="s">
        <v>24</v>
      </c>
      <c r="C370" s="16">
        <v>46162</v>
      </c>
      <c r="D370">
        <v>2498.3999999999996</v>
      </c>
    </row>
    <row r="371" spans="1:4" x14ac:dyDescent="0.3">
      <c r="A371" t="s">
        <v>25</v>
      </c>
      <c r="C371" s="16">
        <v>46162</v>
      </c>
      <c r="D371">
        <v>114.3</v>
      </c>
    </row>
    <row r="372" spans="1:4" x14ac:dyDescent="0.3">
      <c r="A372" t="s">
        <v>26</v>
      </c>
      <c r="C372" s="16">
        <v>46162</v>
      </c>
      <c r="D372">
        <v>2267.7200000000003</v>
      </c>
    </row>
    <row r="373" spans="1:4" x14ac:dyDescent="0.3">
      <c r="A373" t="s">
        <v>27</v>
      </c>
      <c r="C373" s="16">
        <v>46162</v>
      </c>
      <c r="D373">
        <v>3349.94</v>
      </c>
    </row>
    <row r="374" spans="1:4" x14ac:dyDescent="0.3">
      <c r="A374" t="s">
        <v>28</v>
      </c>
      <c r="C374" s="16">
        <v>46162</v>
      </c>
      <c r="D374">
        <v>1968.99</v>
      </c>
    </row>
    <row r="375" spans="1:4" x14ac:dyDescent="0.3">
      <c r="A375" t="s">
        <v>29</v>
      </c>
      <c r="C375" s="16">
        <v>46162</v>
      </c>
      <c r="D375">
        <v>901.34</v>
      </c>
    </row>
    <row r="376" spans="1:4" x14ac:dyDescent="0.3">
      <c r="A376" t="s">
        <v>30</v>
      </c>
      <c r="C376" s="16">
        <v>46162</v>
      </c>
      <c r="D376">
        <v>1444.08</v>
      </c>
    </row>
    <row r="377" spans="1:4" x14ac:dyDescent="0.3">
      <c r="A377" t="s">
        <v>31</v>
      </c>
      <c r="C377" s="16">
        <v>46162</v>
      </c>
      <c r="D377">
        <v>15463.59999999996</v>
      </c>
    </row>
    <row r="378" spans="1:4" x14ac:dyDescent="0.3">
      <c r="A378" t="s">
        <v>32</v>
      </c>
      <c r="C378" s="16">
        <v>46162</v>
      </c>
      <c r="D378">
        <v>15120.060000000001</v>
      </c>
    </row>
    <row r="379" spans="1:4" x14ac:dyDescent="0.3">
      <c r="A379" t="s">
        <v>33</v>
      </c>
      <c r="C379" s="16">
        <v>46162</v>
      </c>
      <c r="D379">
        <v>29206.27</v>
      </c>
    </row>
    <row r="380" spans="1:4" x14ac:dyDescent="0.3">
      <c r="A380" t="s">
        <v>34</v>
      </c>
      <c r="C380" s="16">
        <v>46162</v>
      </c>
      <c r="D380">
        <v>345</v>
      </c>
    </row>
    <row r="381" spans="1:4" x14ac:dyDescent="0.3">
      <c r="A381" t="s">
        <v>35</v>
      </c>
      <c r="C381" s="16">
        <v>46162</v>
      </c>
      <c r="D381">
        <v>8168.0700000000006</v>
      </c>
    </row>
    <row r="382" spans="1:4" x14ac:dyDescent="0.3">
      <c r="A382" t="s">
        <v>17</v>
      </c>
      <c r="C382" s="16">
        <v>46163</v>
      </c>
      <c r="D382">
        <v>142321.80000000013</v>
      </c>
    </row>
    <row r="383" spans="1:4" x14ac:dyDescent="0.3">
      <c r="A383" t="s">
        <v>18</v>
      </c>
      <c r="C383" s="16">
        <v>46163</v>
      </c>
      <c r="D383">
        <v>659760.15999999992</v>
      </c>
    </row>
    <row r="384" spans="1:4" x14ac:dyDescent="0.3">
      <c r="A384" t="s">
        <v>19</v>
      </c>
      <c r="C384" s="16">
        <v>46163</v>
      </c>
      <c r="D384">
        <v>1669.89</v>
      </c>
    </row>
    <row r="385" spans="1:4" x14ac:dyDescent="0.3">
      <c r="A385" t="s">
        <v>20</v>
      </c>
      <c r="C385" s="16">
        <v>46163</v>
      </c>
      <c r="D385">
        <v>497076.20999999985</v>
      </c>
    </row>
    <row r="386" spans="1:4" x14ac:dyDescent="0.3">
      <c r="A386" t="s">
        <v>21</v>
      </c>
      <c r="C386" s="16">
        <v>46163</v>
      </c>
      <c r="D386">
        <v>981189.87999999931</v>
      </c>
    </row>
    <row r="387" spans="1:4" x14ac:dyDescent="0.3">
      <c r="A387" t="s">
        <v>22</v>
      </c>
      <c r="C387" s="16">
        <v>46163</v>
      </c>
      <c r="D387">
        <v>141496.38</v>
      </c>
    </row>
    <row r="388" spans="1:4" x14ac:dyDescent="0.3">
      <c r="A388" t="s">
        <v>23</v>
      </c>
      <c r="C388" s="16">
        <v>46163</v>
      </c>
      <c r="D388">
        <v>88090.37</v>
      </c>
    </row>
    <row r="389" spans="1:4" x14ac:dyDescent="0.3">
      <c r="A389" t="s">
        <v>24</v>
      </c>
      <c r="C389" s="16">
        <v>46163</v>
      </c>
      <c r="D389">
        <v>2498.3999999999996</v>
      </c>
    </row>
    <row r="390" spans="1:4" x14ac:dyDescent="0.3">
      <c r="A390" t="s">
        <v>25</v>
      </c>
      <c r="C390" s="16">
        <v>46163</v>
      </c>
      <c r="D390">
        <v>114.3</v>
      </c>
    </row>
    <row r="391" spans="1:4" x14ac:dyDescent="0.3">
      <c r="A391" t="s">
        <v>26</v>
      </c>
      <c r="C391" s="16">
        <v>46163</v>
      </c>
      <c r="D391">
        <v>2267.7200000000003</v>
      </c>
    </row>
    <row r="392" spans="1:4" x14ac:dyDescent="0.3">
      <c r="A392" t="s">
        <v>27</v>
      </c>
      <c r="C392" s="16">
        <v>46163</v>
      </c>
      <c r="D392">
        <v>3349.94</v>
      </c>
    </row>
    <row r="393" spans="1:4" x14ac:dyDescent="0.3">
      <c r="A393" t="s">
        <v>28</v>
      </c>
      <c r="C393" s="16">
        <v>46163</v>
      </c>
      <c r="D393">
        <v>1968.99</v>
      </c>
    </row>
    <row r="394" spans="1:4" x14ac:dyDescent="0.3">
      <c r="A394" t="s">
        <v>29</v>
      </c>
      <c r="C394" s="16">
        <v>46163</v>
      </c>
      <c r="D394">
        <v>901.34</v>
      </c>
    </row>
    <row r="395" spans="1:4" x14ac:dyDescent="0.3">
      <c r="A395" t="s">
        <v>30</v>
      </c>
      <c r="C395" s="16">
        <v>46163</v>
      </c>
      <c r="D395">
        <v>1444.08</v>
      </c>
    </row>
    <row r="396" spans="1:4" x14ac:dyDescent="0.3">
      <c r="A396" t="s">
        <v>31</v>
      </c>
      <c r="C396" s="16">
        <v>46163</v>
      </c>
      <c r="D396">
        <v>15463.59999999996</v>
      </c>
    </row>
    <row r="397" spans="1:4" x14ac:dyDescent="0.3">
      <c r="A397" t="s">
        <v>32</v>
      </c>
      <c r="C397" s="16">
        <v>46163</v>
      </c>
      <c r="D397">
        <v>15120.060000000001</v>
      </c>
    </row>
    <row r="398" spans="1:4" x14ac:dyDescent="0.3">
      <c r="A398" t="s">
        <v>33</v>
      </c>
      <c r="C398" s="16">
        <v>46163</v>
      </c>
      <c r="D398">
        <v>29206.27</v>
      </c>
    </row>
    <row r="399" spans="1:4" x14ac:dyDescent="0.3">
      <c r="A399" t="s">
        <v>34</v>
      </c>
      <c r="C399" s="16">
        <v>46163</v>
      </c>
      <c r="D399">
        <v>345</v>
      </c>
    </row>
    <row r="400" spans="1:4" x14ac:dyDescent="0.3">
      <c r="A400" t="s">
        <v>35</v>
      </c>
      <c r="C400" s="16">
        <v>46163</v>
      </c>
      <c r="D400">
        <v>8168.0700000000006</v>
      </c>
    </row>
    <row r="401" spans="1:4" x14ac:dyDescent="0.3">
      <c r="A401" t="s">
        <v>17</v>
      </c>
      <c r="C401" s="16">
        <v>46164</v>
      </c>
      <c r="D401">
        <v>142321.80000000013</v>
      </c>
    </row>
    <row r="402" spans="1:4" x14ac:dyDescent="0.3">
      <c r="A402" t="s">
        <v>18</v>
      </c>
      <c r="C402" s="16">
        <v>46164</v>
      </c>
      <c r="D402">
        <v>659760.15999999992</v>
      </c>
    </row>
    <row r="403" spans="1:4" x14ac:dyDescent="0.3">
      <c r="A403" t="s">
        <v>19</v>
      </c>
      <c r="C403" s="16">
        <v>46164</v>
      </c>
      <c r="D403">
        <v>1669.89</v>
      </c>
    </row>
    <row r="404" spans="1:4" x14ac:dyDescent="0.3">
      <c r="A404" t="s">
        <v>20</v>
      </c>
      <c r="C404" s="16">
        <v>46164</v>
      </c>
      <c r="D404">
        <v>497076.20999999985</v>
      </c>
    </row>
    <row r="405" spans="1:4" x14ac:dyDescent="0.3">
      <c r="A405" t="s">
        <v>21</v>
      </c>
      <c r="C405" s="16">
        <v>46164</v>
      </c>
      <c r="D405">
        <v>980426.88999999932</v>
      </c>
    </row>
    <row r="406" spans="1:4" x14ac:dyDescent="0.3">
      <c r="A406" t="s">
        <v>22</v>
      </c>
      <c r="C406" s="16">
        <v>46164</v>
      </c>
      <c r="D406">
        <v>141496.38</v>
      </c>
    </row>
    <row r="407" spans="1:4" x14ac:dyDescent="0.3">
      <c r="A407" t="s">
        <v>23</v>
      </c>
      <c r="C407" s="16">
        <v>46164</v>
      </c>
      <c r="D407">
        <v>88090.37</v>
      </c>
    </row>
    <row r="408" spans="1:4" x14ac:dyDescent="0.3">
      <c r="A408" t="s">
        <v>24</v>
      </c>
      <c r="C408" s="16">
        <v>46164</v>
      </c>
      <c r="D408">
        <v>2498.3999999999996</v>
      </c>
    </row>
    <row r="409" spans="1:4" x14ac:dyDescent="0.3">
      <c r="A409" t="s">
        <v>25</v>
      </c>
      <c r="C409" s="16">
        <v>46164</v>
      </c>
      <c r="D409">
        <v>114.3</v>
      </c>
    </row>
    <row r="410" spans="1:4" x14ac:dyDescent="0.3">
      <c r="A410" t="s">
        <v>26</v>
      </c>
      <c r="C410" s="16">
        <v>46164</v>
      </c>
      <c r="D410">
        <v>2267.7200000000003</v>
      </c>
    </row>
    <row r="411" spans="1:4" x14ac:dyDescent="0.3">
      <c r="A411" t="s">
        <v>27</v>
      </c>
      <c r="C411" s="16">
        <v>46164</v>
      </c>
      <c r="D411">
        <v>3349.94</v>
      </c>
    </row>
    <row r="412" spans="1:4" x14ac:dyDescent="0.3">
      <c r="A412" t="s">
        <v>28</v>
      </c>
      <c r="C412" s="16">
        <v>46164</v>
      </c>
      <c r="D412">
        <v>1968.99</v>
      </c>
    </row>
    <row r="413" spans="1:4" x14ac:dyDescent="0.3">
      <c r="A413" t="s">
        <v>29</v>
      </c>
      <c r="C413" s="16">
        <v>46164</v>
      </c>
      <c r="D413">
        <v>901.34</v>
      </c>
    </row>
    <row r="414" spans="1:4" x14ac:dyDescent="0.3">
      <c r="A414" t="s">
        <v>30</v>
      </c>
      <c r="C414" s="16">
        <v>46164</v>
      </c>
      <c r="D414">
        <v>1444.08</v>
      </c>
    </row>
    <row r="415" spans="1:4" x14ac:dyDescent="0.3">
      <c r="A415" t="s">
        <v>31</v>
      </c>
      <c r="C415" s="16">
        <v>46164</v>
      </c>
      <c r="D415">
        <v>15463.59999999996</v>
      </c>
    </row>
    <row r="416" spans="1:4" x14ac:dyDescent="0.3">
      <c r="A416" t="s">
        <v>32</v>
      </c>
      <c r="C416" s="16">
        <v>46164</v>
      </c>
      <c r="D416">
        <v>15120.060000000001</v>
      </c>
    </row>
    <row r="417" spans="1:4" x14ac:dyDescent="0.3">
      <c r="A417" t="s">
        <v>33</v>
      </c>
      <c r="C417" s="16">
        <v>46164</v>
      </c>
      <c r="D417">
        <v>29206.27</v>
      </c>
    </row>
    <row r="418" spans="1:4" x14ac:dyDescent="0.3">
      <c r="A418" t="s">
        <v>34</v>
      </c>
      <c r="C418" s="16">
        <v>46164</v>
      </c>
      <c r="D418">
        <v>345</v>
      </c>
    </row>
    <row r="419" spans="1:4" x14ac:dyDescent="0.3">
      <c r="A419" t="s">
        <v>35</v>
      </c>
      <c r="C419" s="16">
        <v>46164</v>
      </c>
      <c r="D419">
        <v>8168.0700000000006</v>
      </c>
    </row>
    <row r="420" spans="1:4" x14ac:dyDescent="0.3">
      <c r="A420" t="s">
        <v>17</v>
      </c>
      <c r="C420" s="16">
        <v>46165</v>
      </c>
      <c r="D420">
        <v>142321.80000000013</v>
      </c>
    </row>
    <row r="421" spans="1:4" x14ac:dyDescent="0.3">
      <c r="A421" t="s">
        <v>18</v>
      </c>
      <c r="C421" s="16">
        <v>46165</v>
      </c>
      <c r="D421">
        <v>659760.15999999992</v>
      </c>
    </row>
    <row r="422" spans="1:4" x14ac:dyDescent="0.3">
      <c r="A422" t="s">
        <v>19</v>
      </c>
      <c r="C422" s="16">
        <v>46165</v>
      </c>
      <c r="D422">
        <v>1669.89</v>
      </c>
    </row>
    <row r="423" spans="1:4" x14ac:dyDescent="0.3">
      <c r="A423" t="s">
        <v>20</v>
      </c>
      <c r="C423" s="16">
        <v>46165</v>
      </c>
      <c r="D423">
        <v>497076.20999999985</v>
      </c>
    </row>
    <row r="424" spans="1:4" x14ac:dyDescent="0.3">
      <c r="A424" t="s">
        <v>21</v>
      </c>
      <c r="C424" s="16">
        <v>46165</v>
      </c>
      <c r="D424">
        <v>980426.88999999932</v>
      </c>
    </row>
    <row r="425" spans="1:4" x14ac:dyDescent="0.3">
      <c r="A425" t="s">
        <v>22</v>
      </c>
      <c r="C425" s="16">
        <v>46165</v>
      </c>
      <c r="D425">
        <v>141496.38</v>
      </c>
    </row>
    <row r="426" spans="1:4" x14ac:dyDescent="0.3">
      <c r="A426" t="s">
        <v>23</v>
      </c>
      <c r="C426" s="16">
        <v>46165</v>
      </c>
      <c r="D426">
        <v>88090.37</v>
      </c>
    </row>
    <row r="427" spans="1:4" x14ac:dyDescent="0.3">
      <c r="A427" t="s">
        <v>24</v>
      </c>
      <c r="C427" s="16">
        <v>46165</v>
      </c>
      <c r="D427">
        <v>2498.3999999999996</v>
      </c>
    </row>
    <row r="428" spans="1:4" x14ac:dyDescent="0.3">
      <c r="A428" t="s">
        <v>25</v>
      </c>
      <c r="C428" s="16">
        <v>46165</v>
      </c>
      <c r="D428">
        <v>114.3</v>
      </c>
    </row>
    <row r="429" spans="1:4" x14ac:dyDescent="0.3">
      <c r="A429" t="s">
        <v>26</v>
      </c>
      <c r="C429" s="16">
        <v>46165</v>
      </c>
      <c r="D429">
        <v>2267.7200000000003</v>
      </c>
    </row>
    <row r="430" spans="1:4" x14ac:dyDescent="0.3">
      <c r="A430" t="s">
        <v>27</v>
      </c>
      <c r="C430" s="16">
        <v>46165</v>
      </c>
      <c r="D430">
        <v>3349.94</v>
      </c>
    </row>
    <row r="431" spans="1:4" x14ac:dyDescent="0.3">
      <c r="A431" t="s">
        <v>28</v>
      </c>
      <c r="C431" s="16">
        <v>46165</v>
      </c>
      <c r="D431">
        <v>1968.99</v>
      </c>
    </row>
    <row r="432" spans="1:4" x14ac:dyDescent="0.3">
      <c r="A432" t="s">
        <v>29</v>
      </c>
      <c r="C432" s="16">
        <v>46165</v>
      </c>
      <c r="D432">
        <v>901.34</v>
      </c>
    </row>
    <row r="433" spans="1:4" x14ac:dyDescent="0.3">
      <c r="A433" t="s">
        <v>30</v>
      </c>
      <c r="C433" s="16">
        <v>46165</v>
      </c>
      <c r="D433">
        <v>1444.08</v>
      </c>
    </row>
    <row r="434" spans="1:4" x14ac:dyDescent="0.3">
      <c r="A434" t="s">
        <v>31</v>
      </c>
      <c r="C434" s="16">
        <v>46165</v>
      </c>
      <c r="D434">
        <v>15463.59999999996</v>
      </c>
    </row>
    <row r="435" spans="1:4" x14ac:dyDescent="0.3">
      <c r="A435" t="s">
        <v>32</v>
      </c>
      <c r="C435" s="16">
        <v>46165</v>
      </c>
      <c r="D435">
        <v>15120.060000000001</v>
      </c>
    </row>
    <row r="436" spans="1:4" x14ac:dyDescent="0.3">
      <c r="A436" t="s">
        <v>33</v>
      </c>
      <c r="C436" s="16">
        <v>46165</v>
      </c>
      <c r="D436">
        <v>29206.27</v>
      </c>
    </row>
    <row r="437" spans="1:4" x14ac:dyDescent="0.3">
      <c r="A437" t="s">
        <v>34</v>
      </c>
      <c r="C437" s="16">
        <v>46165</v>
      </c>
      <c r="D437">
        <v>345</v>
      </c>
    </row>
    <row r="438" spans="1:4" x14ac:dyDescent="0.3">
      <c r="A438" t="s">
        <v>35</v>
      </c>
      <c r="C438" s="16">
        <v>46165</v>
      </c>
      <c r="D438">
        <v>8168.0700000000006</v>
      </c>
    </row>
    <row r="439" spans="1:4" x14ac:dyDescent="0.3">
      <c r="A439" t="s">
        <v>17</v>
      </c>
      <c r="C439" s="16">
        <v>46166</v>
      </c>
      <c r="D439">
        <v>142321.80000000013</v>
      </c>
    </row>
    <row r="440" spans="1:4" x14ac:dyDescent="0.3">
      <c r="A440" t="s">
        <v>18</v>
      </c>
      <c r="C440" s="16">
        <v>46166</v>
      </c>
      <c r="D440">
        <v>659760.15999999992</v>
      </c>
    </row>
    <row r="441" spans="1:4" x14ac:dyDescent="0.3">
      <c r="A441" t="s">
        <v>19</v>
      </c>
      <c r="C441" s="16">
        <v>46166</v>
      </c>
      <c r="D441">
        <v>1669.89</v>
      </c>
    </row>
    <row r="442" spans="1:4" x14ac:dyDescent="0.3">
      <c r="A442" t="s">
        <v>20</v>
      </c>
      <c r="C442" s="16">
        <v>46166</v>
      </c>
      <c r="D442">
        <v>497076.20999999985</v>
      </c>
    </row>
    <row r="443" spans="1:4" x14ac:dyDescent="0.3">
      <c r="A443" t="s">
        <v>21</v>
      </c>
      <c r="C443" s="16">
        <v>46166</v>
      </c>
      <c r="D443">
        <v>980426.88999999932</v>
      </c>
    </row>
    <row r="444" spans="1:4" x14ac:dyDescent="0.3">
      <c r="A444" t="s">
        <v>22</v>
      </c>
      <c r="C444" s="16">
        <v>46166</v>
      </c>
      <c r="D444">
        <v>141496.38</v>
      </c>
    </row>
    <row r="445" spans="1:4" x14ac:dyDescent="0.3">
      <c r="A445" t="s">
        <v>23</v>
      </c>
      <c r="C445" s="16">
        <v>46166</v>
      </c>
      <c r="D445">
        <v>88090.37</v>
      </c>
    </row>
    <row r="446" spans="1:4" x14ac:dyDescent="0.3">
      <c r="A446" t="s">
        <v>24</v>
      </c>
      <c r="C446" s="16">
        <v>46166</v>
      </c>
      <c r="D446">
        <v>2498.3999999999996</v>
      </c>
    </row>
    <row r="447" spans="1:4" x14ac:dyDescent="0.3">
      <c r="A447" t="s">
        <v>25</v>
      </c>
      <c r="C447" s="16">
        <v>46166</v>
      </c>
      <c r="D447">
        <v>114.3</v>
      </c>
    </row>
    <row r="448" spans="1:4" x14ac:dyDescent="0.3">
      <c r="A448" t="s">
        <v>26</v>
      </c>
      <c r="C448" s="16">
        <v>46166</v>
      </c>
      <c r="D448">
        <v>2267.7200000000003</v>
      </c>
    </row>
    <row r="449" spans="1:4" x14ac:dyDescent="0.3">
      <c r="A449" t="s">
        <v>27</v>
      </c>
      <c r="C449" s="16">
        <v>46166</v>
      </c>
      <c r="D449">
        <v>3349.94</v>
      </c>
    </row>
    <row r="450" spans="1:4" x14ac:dyDescent="0.3">
      <c r="A450" t="s">
        <v>28</v>
      </c>
      <c r="C450" s="16">
        <v>46166</v>
      </c>
      <c r="D450">
        <v>1968.99</v>
      </c>
    </row>
    <row r="451" spans="1:4" x14ac:dyDescent="0.3">
      <c r="A451" t="s">
        <v>29</v>
      </c>
      <c r="C451" s="16">
        <v>46166</v>
      </c>
      <c r="D451">
        <v>901.34</v>
      </c>
    </row>
    <row r="452" spans="1:4" x14ac:dyDescent="0.3">
      <c r="A452" t="s">
        <v>30</v>
      </c>
      <c r="C452" s="16">
        <v>46166</v>
      </c>
      <c r="D452">
        <v>1444.08</v>
      </c>
    </row>
    <row r="453" spans="1:4" x14ac:dyDescent="0.3">
      <c r="A453" t="s">
        <v>31</v>
      </c>
      <c r="C453" s="16">
        <v>46166</v>
      </c>
      <c r="D453">
        <v>15463.59999999996</v>
      </c>
    </row>
    <row r="454" spans="1:4" x14ac:dyDescent="0.3">
      <c r="A454" t="s">
        <v>32</v>
      </c>
      <c r="C454" s="16">
        <v>46166</v>
      </c>
      <c r="D454">
        <v>15120.060000000001</v>
      </c>
    </row>
    <row r="455" spans="1:4" x14ac:dyDescent="0.3">
      <c r="A455" t="s">
        <v>33</v>
      </c>
      <c r="C455" s="16">
        <v>46166</v>
      </c>
      <c r="D455">
        <v>29206.27</v>
      </c>
    </row>
    <row r="456" spans="1:4" x14ac:dyDescent="0.3">
      <c r="A456" t="s">
        <v>34</v>
      </c>
      <c r="C456" s="16">
        <v>46166</v>
      </c>
      <c r="D456">
        <v>345</v>
      </c>
    </row>
    <row r="457" spans="1:4" x14ac:dyDescent="0.3">
      <c r="A457" t="s">
        <v>35</v>
      </c>
      <c r="C457" s="16">
        <v>46166</v>
      </c>
      <c r="D457">
        <v>8168.0700000000006</v>
      </c>
    </row>
    <row r="458" spans="1:4" x14ac:dyDescent="0.3">
      <c r="A458" t="s">
        <v>17</v>
      </c>
      <c r="C458" s="16">
        <v>46167</v>
      </c>
      <c r="D458">
        <v>142321.80000000013</v>
      </c>
    </row>
    <row r="459" spans="1:4" x14ac:dyDescent="0.3">
      <c r="A459" t="s">
        <v>18</v>
      </c>
      <c r="C459" s="16">
        <v>46167</v>
      </c>
      <c r="D459">
        <v>659760.15999999992</v>
      </c>
    </row>
    <row r="460" spans="1:4" x14ac:dyDescent="0.3">
      <c r="A460" t="s">
        <v>19</v>
      </c>
      <c r="C460" s="16">
        <v>46167</v>
      </c>
      <c r="D460">
        <v>1669.89</v>
      </c>
    </row>
    <row r="461" spans="1:4" x14ac:dyDescent="0.3">
      <c r="A461" t="s">
        <v>20</v>
      </c>
      <c r="C461" s="16">
        <v>46167</v>
      </c>
      <c r="D461">
        <v>497076.20999999985</v>
      </c>
    </row>
    <row r="462" spans="1:4" x14ac:dyDescent="0.3">
      <c r="A462" t="s">
        <v>21</v>
      </c>
      <c r="C462" s="16">
        <v>46167</v>
      </c>
      <c r="D462">
        <v>980426.88999999932</v>
      </c>
    </row>
    <row r="463" spans="1:4" x14ac:dyDescent="0.3">
      <c r="A463" t="s">
        <v>22</v>
      </c>
      <c r="C463" s="16">
        <v>46167</v>
      </c>
      <c r="D463">
        <v>141496.38</v>
      </c>
    </row>
    <row r="464" spans="1:4" x14ac:dyDescent="0.3">
      <c r="A464" t="s">
        <v>23</v>
      </c>
      <c r="C464" s="16">
        <v>46167</v>
      </c>
      <c r="D464">
        <v>88090.37</v>
      </c>
    </row>
    <row r="465" spans="1:4" x14ac:dyDescent="0.3">
      <c r="A465" t="s">
        <v>24</v>
      </c>
      <c r="C465" s="16">
        <v>46167</v>
      </c>
      <c r="D465">
        <v>2498.3999999999996</v>
      </c>
    </row>
    <row r="466" spans="1:4" x14ac:dyDescent="0.3">
      <c r="A466" t="s">
        <v>25</v>
      </c>
      <c r="C466" s="16">
        <v>46167</v>
      </c>
      <c r="D466">
        <v>114.3</v>
      </c>
    </row>
    <row r="467" spans="1:4" x14ac:dyDescent="0.3">
      <c r="A467" t="s">
        <v>26</v>
      </c>
      <c r="C467" s="16">
        <v>46167</v>
      </c>
      <c r="D467">
        <v>2267.7200000000003</v>
      </c>
    </row>
    <row r="468" spans="1:4" x14ac:dyDescent="0.3">
      <c r="A468" t="s">
        <v>27</v>
      </c>
      <c r="C468" s="16">
        <v>46167</v>
      </c>
      <c r="D468">
        <v>3349.94</v>
      </c>
    </row>
    <row r="469" spans="1:4" x14ac:dyDescent="0.3">
      <c r="A469" t="s">
        <v>28</v>
      </c>
      <c r="C469" s="16">
        <v>46167</v>
      </c>
      <c r="D469">
        <v>1968.99</v>
      </c>
    </row>
    <row r="470" spans="1:4" x14ac:dyDescent="0.3">
      <c r="A470" t="s">
        <v>29</v>
      </c>
      <c r="C470" s="16">
        <v>46167</v>
      </c>
      <c r="D470">
        <v>901.34</v>
      </c>
    </row>
    <row r="471" spans="1:4" x14ac:dyDescent="0.3">
      <c r="A471" t="s">
        <v>30</v>
      </c>
      <c r="C471" s="16">
        <v>46167</v>
      </c>
      <c r="D471">
        <v>1444.08</v>
      </c>
    </row>
    <row r="472" spans="1:4" x14ac:dyDescent="0.3">
      <c r="A472" t="s">
        <v>31</v>
      </c>
      <c r="C472" s="16">
        <v>46167</v>
      </c>
      <c r="D472">
        <v>15463.59999999996</v>
      </c>
    </row>
    <row r="473" spans="1:4" x14ac:dyDescent="0.3">
      <c r="A473" t="s">
        <v>32</v>
      </c>
      <c r="C473" s="16">
        <v>46167</v>
      </c>
      <c r="D473">
        <v>15120.060000000001</v>
      </c>
    </row>
    <row r="474" spans="1:4" x14ac:dyDescent="0.3">
      <c r="A474" t="s">
        <v>33</v>
      </c>
      <c r="C474" s="16">
        <v>46167</v>
      </c>
      <c r="D474">
        <v>29206.27</v>
      </c>
    </row>
    <row r="475" spans="1:4" x14ac:dyDescent="0.3">
      <c r="A475" t="s">
        <v>34</v>
      </c>
      <c r="C475" s="16">
        <v>46167</v>
      </c>
      <c r="D475">
        <v>345</v>
      </c>
    </row>
    <row r="476" spans="1:4" x14ac:dyDescent="0.3">
      <c r="A476" t="s">
        <v>35</v>
      </c>
      <c r="C476" s="16">
        <v>46167</v>
      </c>
      <c r="D476">
        <v>8168.0700000000006</v>
      </c>
    </row>
    <row r="477" spans="1:4" x14ac:dyDescent="0.3">
      <c r="A477" t="s">
        <v>17</v>
      </c>
      <c r="C477" s="16">
        <v>46168</v>
      </c>
      <c r="D477">
        <v>253154.33000000013</v>
      </c>
    </row>
    <row r="478" spans="1:4" x14ac:dyDescent="0.3">
      <c r="A478" t="s">
        <v>18</v>
      </c>
      <c r="C478" s="16">
        <v>46168</v>
      </c>
      <c r="D478">
        <v>1259760.1600000001</v>
      </c>
    </row>
    <row r="479" spans="1:4" x14ac:dyDescent="0.3">
      <c r="A479" t="s">
        <v>19</v>
      </c>
      <c r="C479" s="16">
        <v>46168</v>
      </c>
      <c r="D479">
        <v>1669.89</v>
      </c>
    </row>
    <row r="480" spans="1:4" x14ac:dyDescent="0.3">
      <c r="A480" t="s">
        <v>20</v>
      </c>
      <c r="C480" s="16">
        <v>46168</v>
      </c>
      <c r="D480">
        <v>497076.20999999985</v>
      </c>
    </row>
    <row r="481" spans="1:4" x14ac:dyDescent="0.3">
      <c r="A481" t="s">
        <v>21</v>
      </c>
      <c r="C481" s="16">
        <v>46168</v>
      </c>
      <c r="D481">
        <v>980426.88999999932</v>
      </c>
    </row>
    <row r="482" spans="1:4" x14ac:dyDescent="0.3">
      <c r="A482" t="s">
        <v>22</v>
      </c>
      <c r="C482" s="16">
        <v>46168</v>
      </c>
      <c r="D482">
        <v>141496.38</v>
      </c>
    </row>
    <row r="483" spans="1:4" x14ac:dyDescent="0.3">
      <c r="A483" t="s">
        <v>23</v>
      </c>
      <c r="C483" s="16">
        <v>46168</v>
      </c>
      <c r="D483">
        <v>88090.37</v>
      </c>
    </row>
    <row r="484" spans="1:4" x14ac:dyDescent="0.3">
      <c r="A484" t="s">
        <v>24</v>
      </c>
      <c r="C484" s="16">
        <v>46168</v>
      </c>
      <c r="D484">
        <v>2498.3999999999996</v>
      </c>
    </row>
    <row r="485" spans="1:4" x14ac:dyDescent="0.3">
      <c r="A485" t="s">
        <v>25</v>
      </c>
      <c r="C485" s="16">
        <v>46168</v>
      </c>
      <c r="D485">
        <v>114.3</v>
      </c>
    </row>
    <row r="486" spans="1:4" x14ac:dyDescent="0.3">
      <c r="A486" t="s">
        <v>26</v>
      </c>
      <c r="C486" s="16">
        <v>46168</v>
      </c>
      <c r="D486">
        <v>2267.7200000000003</v>
      </c>
    </row>
    <row r="487" spans="1:4" x14ac:dyDescent="0.3">
      <c r="A487" t="s">
        <v>27</v>
      </c>
      <c r="C487" s="16">
        <v>46168</v>
      </c>
      <c r="D487">
        <v>3349.94</v>
      </c>
    </row>
    <row r="488" spans="1:4" x14ac:dyDescent="0.3">
      <c r="A488" t="s">
        <v>28</v>
      </c>
      <c r="C488" s="16">
        <v>46168</v>
      </c>
      <c r="D488">
        <v>1968.99</v>
      </c>
    </row>
    <row r="489" spans="1:4" x14ac:dyDescent="0.3">
      <c r="A489" t="s">
        <v>29</v>
      </c>
      <c r="C489" s="16">
        <v>46168</v>
      </c>
      <c r="D489">
        <v>901.34</v>
      </c>
    </row>
    <row r="490" spans="1:4" x14ac:dyDescent="0.3">
      <c r="A490" t="s">
        <v>30</v>
      </c>
      <c r="C490" s="16">
        <v>46168</v>
      </c>
      <c r="D490">
        <v>1444.08</v>
      </c>
    </row>
    <row r="491" spans="1:4" x14ac:dyDescent="0.3">
      <c r="A491" t="s">
        <v>31</v>
      </c>
      <c r="C491" s="16">
        <v>46168</v>
      </c>
      <c r="D491">
        <v>15463.59999999996</v>
      </c>
    </row>
    <row r="492" spans="1:4" x14ac:dyDescent="0.3">
      <c r="A492" t="s">
        <v>32</v>
      </c>
      <c r="C492" s="16">
        <v>46168</v>
      </c>
      <c r="D492">
        <v>15120.060000000001</v>
      </c>
    </row>
    <row r="493" spans="1:4" x14ac:dyDescent="0.3">
      <c r="A493" t="s">
        <v>33</v>
      </c>
      <c r="C493" s="16">
        <v>46168</v>
      </c>
      <c r="D493">
        <v>29206.27</v>
      </c>
    </row>
    <row r="494" spans="1:4" x14ac:dyDescent="0.3">
      <c r="A494" t="s">
        <v>34</v>
      </c>
      <c r="C494" s="16">
        <v>46168</v>
      </c>
      <c r="D494">
        <v>345</v>
      </c>
    </row>
    <row r="495" spans="1:4" x14ac:dyDescent="0.3">
      <c r="A495" t="s">
        <v>35</v>
      </c>
      <c r="C495" s="16">
        <v>46168</v>
      </c>
      <c r="D495">
        <v>8168.0700000000006</v>
      </c>
    </row>
    <row r="496" spans="1:4" x14ac:dyDescent="0.3">
      <c r="A496" t="s">
        <v>17</v>
      </c>
      <c r="C496" s="16">
        <v>46169</v>
      </c>
      <c r="D496">
        <v>259371.70000000013</v>
      </c>
    </row>
    <row r="497" spans="1:4" x14ac:dyDescent="0.3">
      <c r="A497" t="s">
        <v>18</v>
      </c>
      <c r="C497" s="16">
        <v>46169</v>
      </c>
      <c r="D497">
        <v>1259760.1600000001</v>
      </c>
    </row>
    <row r="498" spans="1:4" x14ac:dyDescent="0.3">
      <c r="A498" t="s">
        <v>19</v>
      </c>
      <c r="C498" s="16">
        <v>46169</v>
      </c>
      <c r="D498">
        <v>1669.89</v>
      </c>
    </row>
    <row r="499" spans="1:4" x14ac:dyDescent="0.3">
      <c r="A499" t="s">
        <v>20</v>
      </c>
      <c r="C499" s="16">
        <v>46169</v>
      </c>
      <c r="D499">
        <v>514616.73999999987</v>
      </c>
    </row>
    <row r="500" spans="1:4" x14ac:dyDescent="0.3">
      <c r="A500" t="s">
        <v>21</v>
      </c>
      <c r="C500" s="16">
        <v>46169</v>
      </c>
      <c r="D500">
        <v>980426.88999999932</v>
      </c>
    </row>
    <row r="501" spans="1:4" x14ac:dyDescent="0.3">
      <c r="A501" t="s">
        <v>22</v>
      </c>
      <c r="C501" s="16">
        <v>46169</v>
      </c>
      <c r="D501">
        <v>131496.38</v>
      </c>
    </row>
    <row r="502" spans="1:4" x14ac:dyDescent="0.3">
      <c r="A502" t="s">
        <v>23</v>
      </c>
      <c r="C502" s="16">
        <v>46169</v>
      </c>
      <c r="D502">
        <v>88090.37</v>
      </c>
    </row>
    <row r="503" spans="1:4" x14ac:dyDescent="0.3">
      <c r="A503" t="s">
        <v>24</v>
      </c>
      <c r="C503" s="16">
        <v>46169</v>
      </c>
      <c r="D503">
        <v>2498.3999999999996</v>
      </c>
    </row>
    <row r="504" spans="1:4" x14ac:dyDescent="0.3">
      <c r="A504" t="s">
        <v>25</v>
      </c>
      <c r="C504" s="16">
        <v>46169</v>
      </c>
      <c r="D504">
        <v>114.3</v>
      </c>
    </row>
    <row r="505" spans="1:4" x14ac:dyDescent="0.3">
      <c r="A505" t="s">
        <v>26</v>
      </c>
      <c r="C505" s="16">
        <v>46169</v>
      </c>
      <c r="D505">
        <v>2267.7200000000003</v>
      </c>
    </row>
    <row r="506" spans="1:4" x14ac:dyDescent="0.3">
      <c r="A506" t="s">
        <v>27</v>
      </c>
      <c r="C506" s="16">
        <v>46169</v>
      </c>
      <c r="D506">
        <v>3349.94</v>
      </c>
    </row>
    <row r="507" spans="1:4" x14ac:dyDescent="0.3">
      <c r="A507" t="s">
        <v>28</v>
      </c>
      <c r="C507" s="16">
        <v>46169</v>
      </c>
      <c r="D507">
        <v>1968.99</v>
      </c>
    </row>
    <row r="508" spans="1:4" x14ac:dyDescent="0.3">
      <c r="A508" t="s">
        <v>29</v>
      </c>
      <c r="C508" s="16">
        <v>46169</v>
      </c>
      <c r="D508">
        <v>901.34</v>
      </c>
    </row>
    <row r="509" spans="1:4" x14ac:dyDescent="0.3">
      <c r="A509" t="s">
        <v>30</v>
      </c>
      <c r="C509" s="16">
        <v>46169</v>
      </c>
      <c r="D509">
        <v>1444.08</v>
      </c>
    </row>
    <row r="510" spans="1:4" x14ac:dyDescent="0.3">
      <c r="A510" t="s">
        <v>31</v>
      </c>
      <c r="C510" s="16">
        <v>46169</v>
      </c>
      <c r="D510">
        <v>15463.59999999996</v>
      </c>
    </row>
    <row r="511" spans="1:4" x14ac:dyDescent="0.3">
      <c r="A511" t="s">
        <v>32</v>
      </c>
      <c r="C511" s="16">
        <v>46169</v>
      </c>
      <c r="D511">
        <v>15120.060000000001</v>
      </c>
    </row>
    <row r="512" spans="1:4" x14ac:dyDescent="0.3">
      <c r="A512" t="s">
        <v>33</v>
      </c>
      <c r="C512" s="16">
        <v>46169</v>
      </c>
      <c r="D512">
        <v>33606.270000000004</v>
      </c>
    </row>
    <row r="513" spans="1:4" x14ac:dyDescent="0.3">
      <c r="A513" t="s">
        <v>34</v>
      </c>
      <c r="C513" s="16">
        <v>46169</v>
      </c>
      <c r="D513">
        <v>345</v>
      </c>
    </row>
    <row r="514" spans="1:4" x14ac:dyDescent="0.3">
      <c r="A514" t="s">
        <v>35</v>
      </c>
      <c r="C514" s="16">
        <v>46169</v>
      </c>
      <c r="D514">
        <v>17588.03</v>
      </c>
    </row>
    <row r="515" spans="1:4" x14ac:dyDescent="0.3">
      <c r="A515" t="s">
        <v>17</v>
      </c>
      <c r="C515" s="16">
        <v>46170</v>
      </c>
      <c r="D515">
        <v>986983.19000000006</v>
      </c>
    </row>
    <row r="516" spans="1:4" x14ac:dyDescent="0.3">
      <c r="A516" t="s">
        <v>18</v>
      </c>
      <c r="C516" s="16">
        <v>46170</v>
      </c>
      <c r="D516">
        <v>62397.280000000173</v>
      </c>
    </row>
    <row r="517" spans="1:4" x14ac:dyDescent="0.3">
      <c r="A517" t="s">
        <v>19</v>
      </c>
      <c r="C517" s="16">
        <v>46170</v>
      </c>
      <c r="D517">
        <v>1669.89</v>
      </c>
    </row>
    <row r="518" spans="1:4" x14ac:dyDescent="0.3">
      <c r="A518" t="s">
        <v>20</v>
      </c>
      <c r="C518" s="16">
        <v>46170</v>
      </c>
      <c r="D518">
        <v>376595.84999999986</v>
      </c>
    </row>
    <row r="519" spans="1:4" x14ac:dyDescent="0.3">
      <c r="A519" t="s">
        <v>21</v>
      </c>
      <c r="C519" s="16">
        <v>46170</v>
      </c>
      <c r="D519">
        <v>1090396.4799999993</v>
      </c>
    </row>
    <row r="520" spans="1:4" x14ac:dyDescent="0.3">
      <c r="A520" t="s">
        <v>22</v>
      </c>
      <c r="C520" s="16">
        <v>46170</v>
      </c>
      <c r="D520">
        <v>131496.38</v>
      </c>
    </row>
    <row r="521" spans="1:4" x14ac:dyDescent="0.3">
      <c r="A521" t="s">
        <v>23</v>
      </c>
      <c r="C521" s="16">
        <v>46170</v>
      </c>
      <c r="D521">
        <v>88090.37</v>
      </c>
    </row>
    <row r="522" spans="1:4" x14ac:dyDescent="0.3">
      <c r="A522" t="s">
        <v>24</v>
      </c>
      <c r="C522" s="16">
        <v>46170</v>
      </c>
      <c r="D522">
        <v>2498.3999999999996</v>
      </c>
    </row>
    <row r="523" spans="1:4" x14ac:dyDescent="0.3">
      <c r="A523" t="s">
        <v>25</v>
      </c>
      <c r="C523" s="16">
        <v>46170</v>
      </c>
      <c r="D523">
        <v>114.3</v>
      </c>
    </row>
    <row r="524" spans="1:4" x14ac:dyDescent="0.3">
      <c r="A524" t="s">
        <v>26</v>
      </c>
      <c r="C524" s="16">
        <v>46170</v>
      </c>
      <c r="D524">
        <v>2267.7200000000003</v>
      </c>
    </row>
    <row r="525" spans="1:4" x14ac:dyDescent="0.3">
      <c r="A525" t="s">
        <v>27</v>
      </c>
      <c r="C525" s="16">
        <v>46170</v>
      </c>
      <c r="D525">
        <v>3349.94</v>
      </c>
    </row>
    <row r="526" spans="1:4" x14ac:dyDescent="0.3">
      <c r="A526" t="s">
        <v>28</v>
      </c>
      <c r="C526" s="16">
        <v>46170</v>
      </c>
      <c r="D526">
        <v>1968.99</v>
      </c>
    </row>
    <row r="527" spans="1:4" x14ac:dyDescent="0.3">
      <c r="A527" t="s">
        <v>29</v>
      </c>
      <c r="C527" s="16">
        <v>46170</v>
      </c>
      <c r="D527">
        <v>901.34</v>
      </c>
    </row>
    <row r="528" spans="1:4" x14ac:dyDescent="0.3">
      <c r="A528" t="s">
        <v>30</v>
      </c>
      <c r="C528" s="16">
        <v>46170</v>
      </c>
      <c r="D528">
        <v>1444.08</v>
      </c>
    </row>
    <row r="529" spans="1:4" x14ac:dyDescent="0.3">
      <c r="A529" t="s">
        <v>31</v>
      </c>
      <c r="C529" s="16">
        <v>46170</v>
      </c>
      <c r="D529">
        <v>35463.599999999962</v>
      </c>
    </row>
    <row r="530" spans="1:4" x14ac:dyDescent="0.3">
      <c r="A530" t="s">
        <v>32</v>
      </c>
      <c r="C530" s="16">
        <v>46170</v>
      </c>
      <c r="D530">
        <v>15120.060000000001</v>
      </c>
    </row>
    <row r="531" spans="1:4" x14ac:dyDescent="0.3">
      <c r="A531" t="s">
        <v>33</v>
      </c>
      <c r="C531" s="16">
        <v>46170</v>
      </c>
      <c r="D531">
        <v>33606.270000000004</v>
      </c>
    </row>
    <row r="532" spans="1:4" x14ac:dyDescent="0.3">
      <c r="A532" t="s">
        <v>34</v>
      </c>
      <c r="C532" s="16">
        <v>46170</v>
      </c>
      <c r="D532">
        <v>345</v>
      </c>
    </row>
    <row r="533" spans="1:4" x14ac:dyDescent="0.3">
      <c r="A533" t="s">
        <v>35</v>
      </c>
      <c r="C533" s="16">
        <v>46170</v>
      </c>
      <c r="D533">
        <v>9076.2400000000016</v>
      </c>
    </row>
    <row r="534" spans="1:4" x14ac:dyDescent="0.3">
      <c r="A534" t="s">
        <v>17</v>
      </c>
      <c r="C534" s="16">
        <v>46171</v>
      </c>
      <c r="D534">
        <v>983394.14000000013</v>
      </c>
    </row>
    <row r="535" spans="1:4" x14ac:dyDescent="0.3">
      <c r="A535" t="s">
        <v>18</v>
      </c>
      <c r="C535" s="16">
        <v>46171</v>
      </c>
      <c r="D535">
        <v>62397.280000000173</v>
      </c>
    </row>
    <row r="536" spans="1:4" x14ac:dyDescent="0.3">
      <c r="A536" t="s">
        <v>19</v>
      </c>
      <c r="C536" s="16">
        <v>46171</v>
      </c>
      <c r="D536">
        <v>1669.89</v>
      </c>
    </row>
    <row r="537" spans="1:4" x14ac:dyDescent="0.3">
      <c r="A537" t="s">
        <v>20</v>
      </c>
      <c r="C537" s="16">
        <v>46171</v>
      </c>
      <c r="D537">
        <v>424853.11999999988</v>
      </c>
    </row>
    <row r="538" spans="1:4" x14ac:dyDescent="0.3">
      <c r="A538" t="s">
        <v>21</v>
      </c>
      <c r="C538" s="16">
        <v>46171</v>
      </c>
      <c r="D538">
        <v>1015901.6699999992</v>
      </c>
    </row>
    <row r="539" spans="1:4" x14ac:dyDescent="0.3">
      <c r="A539" t="s">
        <v>22</v>
      </c>
      <c r="C539" s="16">
        <v>46171</v>
      </c>
      <c r="D539">
        <v>131496.38</v>
      </c>
    </row>
    <row r="540" spans="1:4" x14ac:dyDescent="0.3">
      <c r="A540" t="s">
        <v>23</v>
      </c>
      <c r="C540" s="16">
        <v>46171</v>
      </c>
      <c r="D540">
        <v>88090.37</v>
      </c>
    </row>
    <row r="541" spans="1:4" x14ac:dyDescent="0.3">
      <c r="A541" t="s">
        <v>24</v>
      </c>
      <c r="C541" s="16">
        <v>46171</v>
      </c>
      <c r="D541">
        <v>1227.9699999999998</v>
      </c>
    </row>
    <row r="542" spans="1:4" x14ac:dyDescent="0.3">
      <c r="A542" t="s">
        <v>25</v>
      </c>
      <c r="C542" s="16">
        <v>46171</v>
      </c>
      <c r="D542">
        <v>114.3</v>
      </c>
    </row>
    <row r="543" spans="1:4" x14ac:dyDescent="0.3">
      <c r="A543" t="s">
        <v>26</v>
      </c>
      <c r="C543" s="16">
        <v>46171</v>
      </c>
      <c r="D543">
        <v>2267.7200000000003</v>
      </c>
    </row>
    <row r="544" spans="1:4" x14ac:dyDescent="0.3">
      <c r="A544" t="s">
        <v>27</v>
      </c>
      <c r="C544" s="16">
        <v>46171</v>
      </c>
      <c r="D544">
        <v>3349.94</v>
      </c>
    </row>
    <row r="545" spans="1:4" x14ac:dyDescent="0.3">
      <c r="A545" t="s">
        <v>28</v>
      </c>
      <c r="C545" s="16">
        <v>46171</v>
      </c>
      <c r="D545">
        <v>1968.99</v>
      </c>
    </row>
    <row r="546" spans="1:4" x14ac:dyDescent="0.3">
      <c r="A546" t="s">
        <v>29</v>
      </c>
      <c r="C546" s="16">
        <v>46171</v>
      </c>
      <c r="D546">
        <v>901.34</v>
      </c>
    </row>
    <row r="547" spans="1:4" x14ac:dyDescent="0.3">
      <c r="A547" t="s">
        <v>30</v>
      </c>
      <c r="C547" s="16">
        <v>46171</v>
      </c>
      <c r="D547">
        <v>1444.08</v>
      </c>
    </row>
    <row r="548" spans="1:4" x14ac:dyDescent="0.3">
      <c r="A548" t="s">
        <v>31</v>
      </c>
      <c r="C548" s="16">
        <v>46171</v>
      </c>
      <c r="D548">
        <v>35448.599999999962</v>
      </c>
    </row>
    <row r="549" spans="1:4" x14ac:dyDescent="0.3">
      <c r="A549" t="s">
        <v>32</v>
      </c>
      <c r="C549" s="16">
        <v>46171</v>
      </c>
      <c r="D549">
        <v>15120.060000000001</v>
      </c>
    </row>
    <row r="550" spans="1:4" x14ac:dyDescent="0.3">
      <c r="A550" t="s">
        <v>33</v>
      </c>
      <c r="C550" s="16">
        <v>46171</v>
      </c>
      <c r="D550">
        <v>33606.270000000004</v>
      </c>
    </row>
    <row r="551" spans="1:4" x14ac:dyDescent="0.3">
      <c r="A551" t="s">
        <v>34</v>
      </c>
      <c r="C551" s="16">
        <v>46171</v>
      </c>
      <c r="D551">
        <v>345</v>
      </c>
    </row>
    <row r="552" spans="1:4" x14ac:dyDescent="0.3">
      <c r="A552" t="s">
        <v>35</v>
      </c>
      <c r="C552" s="16">
        <v>46171</v>
      </c>
      <c r="D552">
        <v>9076.2400000000016</v>
      </c>
    </row>
    <row r="553" spans="1:4" x14ac:dyDescent="0.3">
      <c r="A553" t="s">
        <v>17</v>
      </c>
      <c r="C553" s="16">
        <v>46172</v>
      </c>
      <c r="D553">
        <v>983394.14000000013</v>
      </c>
    </row>
    <row r="554" spans="1:4" x14ac:dyDescent="0.3">
      <c r="A554" t="s">
        <v>18</v>
      </c>
      <c r="C554" s="16">
        <v>46172</v>
      </c>
      <c r="D554">
        <v>62397.280000000173</v>
      </c>
    </row>
    <row r="555" spans="1:4" x14ac:dyDescent="0.3">
      <c r="A555" t="s">
        <v>19</v>
      </c>
      <c r="C555" s="16">
        <v>46172</v>
      </c>
      <c r="D555">
        <v>1669.89</v>
      </c>
    </row>
    <row r="556" spans="1:4" x14ac:dyDescent="0.3">
      <c r="A556" t="s">
        <v>20</v>
      </c>
      <c r="C556" s="16">
        <v>46172</v>
      </c>
      <c r="D556">
        <v>424853.11999999988</v>
      </c>
    </row>
    <row r="557" spans="1:4" x14ac:dyDescent="0.3">
      <c r="A557" t="s">
        <v>21</v>
      </c>
      <c r="C557" s="16">
        <v>46172</v>
      </c>
      <c r="D557">
        <v>1015901.6699999992</v>
      </c>
    </row>
    <row r="558" spans="1:4" x14ac:dyDescent="0.3">
      <c r="A558" t="s">
        <v>22</v>
      </c>
      <c r="C558" s="16">
        <v>46172</v>
      </c>
      <c r="D558">
        <v>131496.38</v>
      </c>
    </row>
    <row r="559" spans="1:4" x14ac:dyDescent="0.3">
      <c r="A559" t="s">
        <v>23</v>
      </c>
      <c r="C559" s="16">
        <v>46172</v>
      </c>
      <c r="D559">
        <v>88090.37</v>
      </c>
    </row>
    <row r="560" spans="1:4" x14ac:dyDescent="0.3">
      <c r="A560" t="s">
        <v>24</v>
      </c>
      <c r="C560" s="16">
        <v>46172</v>
      </c>
      <c r="D560">
        <v>1227.9699999999998</v>
      </c>
    </row>
    <row r="561" spans="1:4" x14ac:dyDescent="0.3">
      <c r="A561" t="s">
        <v>25</v>
      </c>
      <c r="C561" s="16">
        <v>46172</v>
      </c>
      <c r="D561">
        <v>114.3</v>
      </c>
    </row>
    <row r="562" spans="1:4" x14ac:dyDescent="0.3">
      <c r="A562" t="s">
        <v>26</v>
      </c>
      <c r="C562" s="16">
        <v>46172</v>
      </c>
      <c r="D562">
        <v>2267.7200000000003</v>
      </c>
    </row>
    <row r="563" spans="1:4" x14ac:dyDescent="0.3">
      <c r="A563" t="s">
        <v>27</v>
      </c>
      <c r="C563" s="16">
        <v>46172</v>
      </c>
      <c r="D563">
        <v>3349.94</v>
      </c>
    </row>
    <row r="564" spans="1:4" x14ac:dyDescent="0.3">
      <c r="A564" t="s">
        <v>28</v>
      </c>
      <c r="C564" s="16">
        <v>46172</v>
      </c>
      <c r="D564">
        <v>1968.99</v>
      </c>
    </row>
    <row r="565" spans="1:4" x14ac:dyDescent="0.3">
      <c r="A565" t="s">
        <v>29</v>
      </c>
      <c r="C565" s="16">
        <v>46172</v>
      </c>
      <c r="D565">
        <v>901.34</v>
      </c>
    </row>
    <row r="566" spans="1:4" x14ac:dyDescent="0.3">
      <c r="A566" t="s">
        <v>30</v>
      </c>
      <c r="C566" s="16">
        <v>46172</v>
      </c>
      <c r="D566">
        <v>1444.08</v>
      </c>
    </row>
    <row r="567" spans="1:4" x14ac:dyDescent="0.3">
      <c r="A567" t="s">
        <v>31</v>
      </c>
      <c r="C567" s="16">
        <v>46172</v>
      </c>
      <c r="D567">
        <v>35448.599999999962</v>
      </c>
    </row>
    <row r="568" spans="1:4" x14ac:dyDescent="0.3">
      <c r="A568" t="s">
        <v>32</v>
      </c>
      <c r="C568" s="16">
        <v>46172</v>
      </c>
      <c r="D568">
        <v>15120.060000000001</v>
      </c>
    </row>
    <row r="569" spans="1:4" x14ac:dyDescent="0.3">
      <c r="A569" t="s">
        <v>33</v>
      </c>
      <c r="C569" s="16">
        <v>46172</v>
      </c>
      <c r="D569">
        <v>33606.270000000004</v>
      </c>
    </row>
    <row r="570" spans="1:4" x14ac:dyDescent="0.3">
      <c r="A570" t="s">
        <v>34</v>
      </c>
      <c r="C570" s="16">
        <v>46172</v>
      </c>
      <c r="D570">
        <v>345</v>
      </c>
    </row>
    <row r="571" spans="1:4" x14ac:dyDescent="0.3">
      <c r="A571" t="s">
        <v>35</v>
      </c>
      <c r="C571" s="16">
        <v>46172</v>
      </c>
      <c r="D571">
        <v>9076.2400000000016</v>
      </c>
    </row>
    <row r="572" spans="1:4" x14ac:dyDescent="0.3">
      <c r="A572" t="s">
        <v>17</v>
      </c>
      <c r="C572" s="16">
        <v>46173</v>
      </c>
      <c r="D572">
        <v>983394.14000000013</v>
      </c>
    </row>
    <row r="573" spans="1:4" x14ac:dyDescent="0.3">
      <c r="A573" t="s">
        <v>18</v>
      </c>
      <c r="C573" s="16">
        <v>46173</v>
      </c>
      <c r="D573">
        <v>62397.280000000173</v>
      </c>
    </row>
    <row r="574" spans="1:4" x14ac:dyDescent="0.3">
      <c r="A574" t="s">
        <v>19</v>
      </c>
      <c r="C574" s="16">
        <v>46173</v>
      </c>
      <c r="D574">
        <v>1669.89</v>
      </c>
    </row>
    <row r="575" spans="1:4" x14ac:dyDescent="0.3">
      <c r="A575" t="s">
        <v>20</v>
      </c>
      <c r="C575" s="16">
        <v>46173</v>
      </c>
      <c r="D575">
        <v>424853.11999999988</v>
      </c>
    </row>
    <row r="576" spans="1:4" x14ac:dyDescent="0.3">
      <c r="A576" t="s">
        <v>21</v>
      </c>
      <c r="C576" s="16">
        <v>46173</v>
      </c>
      <c r="D576">
        <v>1015901.6699999992</v>
      </c>
    </row>
    <row r="577" spans="1:4" x14ac:dyDescent="0.3">
      <c r="A577" t="s">
        <v>22</v>
      </c>
      <c r="C577" s="16">
        <v>46173</v>
      </c>
      <c r="D577">
        <v>131496.38</v>
      </c>
    </row>
    <row r="578" spans="1:4" x14ac:dyDescent="0.3">
      <c r="A578" t="s">
        <v>23</v>
      </c>
      <c r="C578" s="16">
        <v>46173</v>
      </c>
      <c r="D578">
        <v>88090.37</v>
      </c>
    </row>
    <row r="579" spans="1:4" x14ac:dyDescent="0.3">
      <c r="A579" t="s">
        <v>24</v>
      </c>
      <c r="C579" s="16">
        <v>46173</v>
      </c>
      <c r="D579">
        <v>1227.9699999999998</v>
      </c>
    </row>
    <row r="580" spans="1:4" x14ac:dyDescent="0.3">
      <c r="A580" t="s">
        <v>25</v>
      </c>
      <c r="C580" s="16">
        <v>46173</v>
      </c>
      <c r="D580">
        <v>114.3</v>
      </c>
    </row>
    <row r="581" spans="1:4" x14ac:dyDescent="0.3">
      <c r="A581" t="s">
        <v>26</v>
      </c>
      <c r="C581" s="16">
        <v>46173</v>
      </c>
      <c r="D581">
        <v>2267.7200000000003</v>
      </c>
    </row>
    <row r="582" spans="1:4" x14ac:dyDescent="0.3">
      <c r="A582" t="s">
        <v>27</v>
      </c>
      <c r="C582" s="16">
        <v>46173</v>
      </c>
      <c r="D582">
        <v>3349.94</v>
      </c>
    </row>
    <row r="583" spans="1:4" x14ac:dyDescent="0.3">
      <c r="A583" t="s">
        <v>28</v>
      </c>
      <c r="C583" s="16">
        <v>46173</v>
      </c>
      <c r="D583">
        <v>1968.99</v>
      </c>
    </row>
    <row r="584" spans="1:4" x14ac:dyDescent="0.3">
      <c r="A584" t="s">
        <v>29</v>
      </c>
      <c r="C584" s="16">
        <v>46173</v>
      </c>
      <c r="D584">
        <v>901.34</v>
      </c>
    </row>
    <row r="585" spans="1:4" x14ac:dyDescent="0.3">
      <c r="A585" t="s">
        <v>30</v>
      </c>
      <c r="C585" s="16">
        <v>46173</v>
      </c>
      <c r="D585">
        <v>1444.08</v>
      </c>
    </row>
    <row r="586" spans="1:4" x14ac:dyDescent="0.3">
      <c r="A586" t="s">
        <v>31</v>
      </c>
      <c r="C586" s="16">
        <v>46173</v>
      </c>
      <c r="D586">
        <v>35448.599999999962</v>
      </c>
    </row>
    <row r="587" spans="1:4" x14ac:dyDescent="0.3">
      <c r="A587" t="s">
        <v>32</v>
      </c>
      <c r="C587" s="16">
        <v>46173</v>
      </c>
      <c r="D587">
        <v>15120.060000000001</v>
      </c>
    </row>
    <row r="588" spans="1:4" x14ac:dyDescent="0.3">
      <c r="A588" t="s">
        <v>33</v>
      </c>
      <c r="C588" s="16">
        <v>46173</v>
      </c>
      <c r="D588">
        <v>33606.270000000004</v>
      </c>
    </row>
    <row r="589" spans="1:4" x14ac:dyDescent="0.3">
      <c r="A589" t="s">
        <v>34</v>
      </c>
      <c r="C589" s="16">
        <v>46173</v>
      </c>
      <c r="D589">
        <v>345</v>
      </c>
    </row>
    <row r="590" spans="1:4" x14ac:dyDescent="0.3">
      <c r="A590" t="s">
        <v>35</v>
      </c>
      <c r="C590" s="16">
        <v>46173</v>
      </c>
      <c r="D590">
        <v>9076.2400000000016</v>
      </c>
    </row>
    <row r="591" spans="1:4" x14ac:dyDescent="0.3">
      <c r="A591" t="s">
        <v>17</v>
      </c>
      <c r="C591" s="16">
        <v>46174</v>
      </c>
      <c r="D591">
        <v>983394.14000000013</v>
      </c>
    </row>
    <row r="592" spans="1:4" x14ac:dyDescent="0.3">
      <c r="A592" t="s">
        <v>18</v>
      </c>
      <c r="C592" s="16">
        <v>46174</v>
      </c>
      <c r="D592">
        <v>69376.390000000174</v>
      </c>
    </row>
    <row r="593" spans="1:4" x14ac:dyDescent="0.3">
      <c r="A593" t="s">
        <v>19</v>
      </c>
      <c r="C593" s="16">
        <v>46174</v>
      </c>
      <c r="D593">
        <v>1669.89</v>
      </c>
    </row>
    <row r="594" spans="1:4" x14ac:dyDescent="0.3">
      <c r="A594" t="s">
        <v>20</v>
      </c>
      <c r="C594" s="16">
        <v>46174</v>
      </c>
      <c r="D594">
        <v>804853.11999999988</v>
      </c>
    </row>
    <row r="595" spans="1:4" x14ac:dyDescent="0.3">
      <c r="A595" t="s">
        <v>21</v>
      </c>
      <c r="C595" s="16">
        <v>46174</v>
      </c>
      <c r="D595">
        <v>1015901.6699999992</v>
      </c>
    </row>
    <row r="596" spans="1:4" x14ac:dyDescent="0.3">
      <c r="A596" t="s">
        <v>22</v>
      </c>
      <c r="C596" s="16">
        <v>46174</v>
      </c>
      <c r="D596">
        <v>131496.38</v>
      </c>
    </row>
    <row r="597" spans="1:4" x14ac:dyDescent="0.3">
      <c r="A597" t="s">
        <v>23</v>
      </c>
      <c r="C597" s="16">
        <v>46174</v>
      </c>
      <c r="D597">
        <v>88090.37</v>
      </c>
    </row>
    <row r="598" spans="1:4" x14ac:dyDescent="0.3">
      <c r="A598" t="s">
        <v>24</v>
      </c>
      <c r="C598" s="16">
        <v>46174</v>
      </c>
      <c r="D598">
        <v>511.15999999999985</v>
      </c>
    </row>
    <row r="599" spans="1:4" x14ac:dyDescent="0.3">
      <c r="A599" t="s">
        <v>25</v>
      </c>
      <c r="C599" s="16">
        <v>46174</v>
      </c>
      <c r="D599">
        <v>84.35</v>
      </c>
    </row>
    <row r="600" spans="1:4" x14ac:dyDescent="0.3">
      <c r="A600" t="s">
        <v>26</v>
      </c>
      <c r="C600" s="16">
        <v>46174</v>
      </c>
      <c r="D600">
        <v>2237.77</v>
      </c>
    </row>
    <row r="601" spans="1:4" x14ac:dyDescent="0.3">
      <c r="A601" t="s">
        <v>27</v>
      </c>
      <c r="C601" s="16">
        <v>46174</v>
      </c>
      <c r="D601">
        <v>3349.94</v>
      </c>
    </row>
    <row r="602" spans="1:4" x14ac:dyDescent="0.3">
      <c r="A602" t="s">
        <v>28</v>
      </c>
      <c r="C602" s="16">
        <v>46174</v>
      </c>
      <c r="D602">
        <v>1968.99</v>
      </c>
    </row>
    <row r="603" spans="1:4" x14ac:dyDescent="0.3">
      <c r="A603" t="s">
        <v>29</v>
      </c>
      <c r="C603" s="16">
        <v>46174</v>
      </c>
      <c r="D603">
        <v>901.34</v>
      </c>
    </row>
    <row r="604" spans="1:4" x14ac:dyDescent="0.3">
      <c r="A604" t="s">
        <v>30</v>
      </c>
      <c r="C604" s="16">
        <v>46174</v>
      </c>
      <c r="D604">
        <v>1428.08</v>
      </c>
    </row>
    <row r="605" spans="1:4" x14ac:dyDescent="0.3">
      <c r="A605" t="s">
        <v>31</v>
      </c>
      <c r="C605" s="16">
        <v>46174</v>
      </c>
      <c r="D605">
        <v>26416.26999999996</v>
      </c>
    </row>
    <row r="606" spans="1:4" x14ac:dyDescent="0.3">
      <c r="A606" t="s">
        <v>32</v>
      </c>
      <c r="C606" s="16">
        <v>46174</v>
      </c>
      <c r="D606">
        <v>5321.4300000000021</v>
      </c>
    </row>
    <row r="607" spans="1:4" x14ac:dyDescent="0.3">
      <c r="A607" t="s">
        <v>33</v>
      </c>
      <c r="C607" s="16">
        <v>46174</v>
      </c>
      <c r="D607">
        <v>24833.23</v>
      </c>
    </row>
    <row r="608" spans="1:4" x14ac:dyDescent="0.3">
      <c r="A608" t="s">
        <v>34</v>
      </c>
      <c r="C608" s="16">
        <v>46174</v>
      </c>
      <c r="D608">
        <v>345</v>
      </c>
    </row>
    <row r="609" spans="1:4" x14ac:dyDescent="0.3">
      <c r="A609" t="s">
        <v>35</v>
      </c>
      <c r="C609" s="16">
        <v>46174</v>
      </c>
      <c r="D609">
        <v>12117.82</v>
      </c>
    </row>
    <row r="610" spans="1:4" x14ac:dyDescent="0.3">
      <c r="A610" t="s">
        <v>17</v>
      </c>
      <c r="C610" s="16">
        <v>46175</v>
      </c>
      <c r="D610">
        <v>983394.14000000013</v>
      </c>
    </row>
    <row r="611" spans="1:4" x14ac:dyDescent="0.3">
      <c r="A611" t="s">
        <v>18</v>
      </c>
      <c r="C611" s="16">
        <v>46175</v>
      </c>
      <c r="D611">
        <v>69376.390000000174</v>
      </c>
    </row>
    <row r="612" spans="1:4" x14ac:dyDescent="0.3">
      <c r="A612" t="s">
        <v>19</v>
      </c>
      <c r="C612" s="16">
        <v>46175</v>
      </c>
      <c r="D612">
        <v>1669.89</v>
      </c>
    </row>
    <row r="613" spans="1:4" x14ac:dyDescent="0.3">
      <c r="A613" t="s">
        <v>20</v>
      </c>
      <c r="C613" s="16">
        <v>46175</v>
      </c>
      <c r="D613">
        <v>804853.11999999988</v>
      </c>
    </row>
    <row r="614" spans="1:4" x14ac:dyDescent="0.3">
      <c r="A614" t="s">
        <v>21</v>
      </c>
      <c r="C614" s="16">
        <v>46175</v>
      </c>
      <c r="D614">
        <v>1015901.6699999992</v>
      </c>
    </row>
    <row r="615" spans="1:4" x14ac:dyDescent="0.3">
      <c r="A615" t="s">
        <v>22</v>
      </c>
      <c r="C615" s="16">
        <v>46175</v>
      </c>
      <c r="D615">
        <v>131496.38</v>
      </c>
    </row>
    <row r="616" spans="1:4" x14ac:dyDescent="0.3">
      <c r="A616" t="s">
        <v>23</v>
      </c>
      <c r="C616" s="16">
        <v>46175</v>
      </c>
      <c r="D616">
        <v>88090.37</v>
      </c>
    </row>
    <row r="617" spans="1:4" x14ac:dyDescent="0.3">
      <c r="A617" t="s">
        <v>24</v>
      </c>
      <c r="C617" s="16">
        <v>46175</v>
      </c>
      <c r="D617">
        <v>511.15999999999985</v>
      </c>
    </row>
    <row r="618" spans="1:4" x14ac:dyDescent="0.3">
      <c r="A618" t="s">
        <v>25</v>
      </c>
      <c r="C618" s="16">
        <v>46175</v>
      </c>
      <c r="D618">
        <v>84.35</v>
      </c>
    </row>
    <row r="619" spans="1:4" x14ac:dyDescent="0.3">
      <c r="A619" t="s">
        <v>26</v>
      </c>
      <c r="C619" s="16">
        <v>46175</v>
      </c>
      <c r="D619">
        <v>2237.77</v>
      </c>
    </row>
    <row r="620" spans="1:4" x14ac:dyDescent="0.3">
      <c r="A620" t="s">
        <v>27</v>
      </c>
      <c r="C620" s="16">
        <v>46175</v>
      </c>
      <c r="D620">
        <v>3349.94</v>
      </c>
    </row>
    <row r="621" spans="1:4" x14ac:dyDescent="0.3">
      <c r="A621" t="s">
        <v>28</v>
      </c>
      <c r="C621" s="16">
        <v>46175</v>
      </c>
      <c r="D621">
        <v>1968.99</v>
      </c>
    </row>
    <row r="622" spans="1:4" x14ac:dyDescent="0.3">
      <c r="A622" t="s">
        <v>29</v>
      </c>
      <c r="C622" s="16">
        <v>46175</v>
      </c>
      <c r="D622">
        <v>901.34</v>
      </c>
    </row>
    <row r="623" spans="1:4" x14ac:dyDescent="0.3">
      <c r="A623" t="s">
        <v>30</v>
      </c>
      <c r="C623" s="16">
        <v>46175</v>
      </c>
      <c r="D623">
        <v>1428.08</v>
      </c>
    </row>
    <row r="624" spans="1:4" x14ac:dyDescent="0.3">
      <c r="A624" t="s">
        <v>31</v>
      </c>
      <c r="C624" s="16">
        <v>46175</v>
      </c>
      <c r="D624">
        <v>25789.969999999961</v>
      </c>
    </row>
    <row r="625" spans="1:4" x14ac:dyDescent="0.3">
      <c r="A625" t="s">
        <v>32</v>
      </c>
      <c r="C625" s="16">
        <v>46175</v>
      </c>
      <c r="D625">
        <v>5321.4300000000021</v>
      </c>
    </row>
    <row r="626" spans="1:4" x14ac:dyDescent="0.3">
      <c r="A626" t="s">
        <v>33</v>
      </c>
      <c r="C626" s="16">
        <v>46175</v>
      </c>
      <c r="D626">
        <v>24833.23</v>
      </c>
    </row>
    <row r="627" spans="1:4" x14ac:dyDescent="0.3">
      <c r="A627" t="s">
        <v>34</v>
      </c>
      <c r="C627" s="16">
        <v>46175</v>
      </c>
      <c r="D627">
        <v>345</v>
      </c>
    </row>
    <row r="628" spans="1:4" x14ac:dyDescent="0.3">
      <c r="A628" t="s">
        <v>35</v>
      </c>
      <c r="C628" s="16">
        <v>46175</v>
      </c>
      <c r="D628">
        <v>8808.2400000000016</v>
      </c>
    </row>
    <row r="629" spans="1:4" x14ac:dyDescent="0.3">
      <c r="A629" t="s">
        <v>17</v>
      </c>
      <c r="C629" s="16">
        <v>46176</v>
      </c>
      <c r="D629">
        <v>983394.14000000013</v>
      </c>
    </row>
    <row r="630" spans="1:4" x14ac:dyDescent="0.3">
      <c r="A630" t="s">
        <v>18</v>
      </c>
      <c r="C630" s="16">
        <v>46176</v>
      </c>
      <c r="D630">
        <v>69376.390000000174</v>
      </c>
    </row>
    <row r="631" spans="1:4" x14ac:dyDescent="0.3">
      <c r="A631" t="s">
        <v>19</v>
      </c>
      <c r="C631" s="16">
        <v>46176</v>
      </c>
      <c r="D631">
        <v>1669.89</v>
      </c>
    </row>
    <row r="632" spans="1:4" x14ac:dyDescent="0.3">
      <c r="A632" t="s">
        <v>20</v>
      </c>
      <c r="C632" s="16">
        <v>46176</v>
      </c>
      <c r="D632">
        <v>804853.11999999988</v>
      </c>
    </row>
    <row r="633" spans="1:4" x14ac:dyDescent="0.3">
      <c r="A633" t="s">
        <v>21</v>
      </c>
      <c r="C633" s="16">
        <v>46176</v>
      </c>
      <c r="D633">
        <v>1015611.6599999993</v>
      </c>
    </row>
    <row r="634" spans="1:4" x14ac:dyDescent="0.3">
      <c r="A634" t="s">
        <v>22</v>
      </c>
      <c r="C634" s="16">
        <v>46176</v>
      </c>
      <c r="D634">
        <v>125496.38</v>
      </c>
    </row>
    <row r="635" spans="1:4" x14ac:dyDescent="0.3">
      <c r="A635" t="s">
        <v>23</v>
      </c>
      <c r="C635" s="16">
        <v>46176</v>
      </c>
      <c r="D635">
        <v>88090.37</v>
      </c>
    </row>
    <row r="636" spans="1:4" x14ac:dyDescent="0.3">
      <c r="A636" t="s">
        <v>24</v>
      </c>
      <c r="C636" s="16">
        <v>46176</v>
      </c>
      <c r="D636">
        <v>511.15999999999985</v>
      </c>
    </row>
    <row r="637" spans="1:4" x14ac:dyDescent="0.3">
      <c r="A637" t="s">
        <v>25</v>
      </c>
      <c r="C637" s="16">
        <v>46176</v>
      </c>
      <c r="D637">
        <v>84.35</v>
      </c>
    </row>
    <row r="638" spans="1:4" x14ac:dyDescent="0.3">
      <c r="A638" t="s">
        <v>26</v>
      </c>
      <c r="C638" s="16">
        <v>46176</v>
      </c>
      <c r="D638">
        <v>2237.77</v>
      </c>
    </row>
    <row r="639" spans="1:4" x14ac:dyDescent="0.3">
      <c r="A639" t="s">
        <v>27</v>
      </c>
      <c r="C639" s="16">
        <v>46176</v>
      </c>
      <c r="D639">
        <v>3349.94</v>
      </c>
    </row>
    <row r="640" spans="1:4" x14ac:dyDescent="0.3">
      <c r="A640" t="s">
        <v>28</v>
      </c>
      <c r="C640" s="16">
        <v>46176</v>
      </c>
      <c r="D640">
        <v>1968.99</v>
      </c>
    </row>
    <row r="641" spans="1:4" x14ac:dyDescent="0.3">
      <c r="A641" t="s">
        <v>29</v>
      </c>
      <c r="C641" s="16">
        <v>46176</v>
      </c>
      <c r="D641">
        <v>901.34</v>
      </c>
    </row>
    <row r="642" spans="1:4" x14ac:dyDescent="0.3">
      <c r="A642" t="s">
        <v>30</v>
      </c>
      <c r="C642" s="16">
        <v>46176</v>
      </c>
      <c r="D642">
        <v>1428.08</v>
      </c>
    </row>
    <row r="643" spans="1:4" x14ac:dyDescent="0.3">
      <c r="A643" t="s">
        <v>31</v>
      </c>
      <c r="C643" s="16">
        <v>46176</v>
      </c>
      <c r="D643">
        <v>25789.969999999961</v>
      </c>
    </row>
    <row r="644" spans="1:4" x14ac:dyDescent="0.3">
      <c r="A644" t="s">
        <v>32</v>
      </c>
      <c r="C644" s="16">
        <v>46176</v>
      </c>
      <c r="D644">
        <v>5321.4300000000021</v>
      </c>
    </row>
    <row r="645" spans="1:4" x14ac:dyDescent="0.3">
      <c r="A645" t="s">
        <v>33</v>
      </c>
      <c r="C645" s="16">
        <v>46176</v>
      </c>
      <c r="D645">
        <v>24833.23</v>
      </c>
    </row>
    <row r="646" spans="1:4" x14ac:dyDescent="0.3">
      <c r="A646" t="s">
        <v>34</v>
      </c>
      <c r="C646" s="16">
        <v>46176</v>
      </c>
      <c r="D646">
        <v>345</v>
      </c>
    </row>
    <row r="647" spans="1:4" x14ac:dyDescent="0.3">
      <c r="A647" t="s">
        <v>35</v>
      </c>
      <c r="C647" s="16">
        <v>46176</v>
      </c>
      <c r="D647">
        <v>8808.2400000000016</v>
      </c>
    </row>
    <row r="648" spans="1:4" x14ac:dyDescent="0.3">
      <c r="A648" t="s">
        <v>17</v>
      </c>
      <c r="C648" s="16">
        <v>46177</v>
      </c>
      <c r="D648">
        <v>733394.14000000013</v>
      </c>
    </row>
    <row r="649" spans="1:4" x14ac:dyDescent="0.3">
      <c r="A649" t="s">
        <v>18</v>
      </c>
      <c r="C649" s="16">
        <v>46177</v>
      </c>
      <c r="D649">
        <v>69376.390000000174</v>
      </c>
    </row>
    <row r="650" spans="1:4" x14ac:dyDescent="0.3">
      <c r="A650" t="s">
        <v>19</v>
      </c>
      <c r="C650" s="16">
        <v>46177</v>
      </c>
      <c r="D650">
        <v>1669.89</v>
      </c>
    </row>
    <row r="651" spans="1:4" x14ac:dyDescent="0.3">
      <c r="A651" t="s">
        <v>20</v>
      </c>
      <c r="C651" s="16">
        <v>46177</v>
      </c>
      <c r="D651">
        <v>729545.23999999987</v>
      </c>
    </row>
    <row r="652" spans="1:4" x14ac:dyDescent="0.3">
      <c r="A652" t="s">
        <v>21</v>
      </c>
      <c r="C652" s="16">
        <v>46177</v>
      </c>
      <c r="D652">
        <v>1171714.4499999993</v>
      </c>
    </row>
    <row r="653" spans="1:4" x14ac:dyDescent="0.3">
      <c r="A653" t="s">
        <v>22</v>
      </c>
      <c r="C653" s="16">
        <v>46177</v>
      </c>
      <c r="D653">
        <v>116496.38</v>
      </c>
    </row>
    <row r="654" spans="1:4" x14ac:dyDescent="0.3">
      <c r="A654" t="s">
        <v>23</v>
      </c>
      <c r="C654" s="16">
        <v>46177</v>
      </c>
      <c r="D654">
        <v>88090.37</v>
      </c>
    </row>
    <row r="655" spans="1:4" x14ac:dyDescent="0.3">
      <c r="A655" t="s">
        <v>24</v>
      </c>
      <c r="C655" s="16">
        <v>46177</v>
      </c>
      <c r="D655">
        <v>511.15999999999985</v>
      </c>
    </row>
    <row r="656" spans="1:4" x14ac:dyDescent="0.3">
      <c r="A656" t="s">
        <v>25</v>
      </c>
      <c r="C656" s="16">
        <v>46177</v>
      </c>
      <c r="D656">
        <v>84.35</v>
      </c>
    </row>
    <row r="657" spans="1:4" x14ac:dyDescent="0.3">
      <c r="A657" t="s">
        <v>26</v>
      </c>
      <c r="C657" s="16">
        <v>46177</v>
      </c>
      <c r="D657">
        <v>2237.77</v>
      </c>
    </row>
    <row r="658" spans="1:4" x14ac:dyDescent="0.3">
      <c r="A658" t="s">
        <v>27</v>
      </c>
      <c r="C658" s="16">
        <v>46177</v>
      </c>
      <c r="D658">
        <v>3349.94</v>
      </c>
    </row>
    <row r="659" spans="1:4" x14ac:dyDescent="0.3">
      <c r="A659" t="s">
        <v>28</v>
      </c>
      <c r="C659" s="16">
        <v>46177</v>
      </c>
      <c r="D659">
        <v>1968.99</v>
      </c>
    </row>
    <row r="660" spans="1:4" x14ac:dyDescent="0.3">
      <c r="A660" t="s">
        <v>29</v>
      </c>
      <c r="C660" s="16">
        <v>46177</v>
      </c>
      <c r="D660">
        <v>382.69000000000005</v>
      </c>
    </row>
    <row r="661" spans="1:4" x14ac:dyDescent="0.3">
      <c r="A661" t="s">
        <v>30</v>
      </c>
      <c r="C661" s="16">
        <v>46177</v>
      </c>
      <c r="D661">
        <v>1428.08</v>
      </c>
    </row>
    <row r="662" spans="1:4" x14ac:dyDescent="0.3">
      <c r="A662" t="s">
        <v>31</v>
      </c>
      <c r="C662" s="16">
        <v>46177</v>
      </c>
      <c r="D662">
        <v>25789.969999999961</v>
      </c>
    </row>
    <row r="663" spans="1:4" x14ac:dyDescent="0.3">
      <c r="A663" t="s">
        <v>32</v>
      </c>
      <c r="C663" s="16">
        <v>46177</v>
      </c>
      <c r="D663">
        <v>5321.4300000000021</v>
      </c>
    </row>
    <row r="664" spans="1:4" x14ac:dyDescent="0.3">
      <c r="A664" t="s">
        <v>33</v>
      </c>
      <c r="C664" s="16">
        <v>46177</v>
      </c>
      <c r="D664">
        <v>24833.23</v>
      </c>
    </row>
    <row r="665" spans="1:4" x14ac:dyDescent="0.3">
      <c r="A665" t="s">
        <v>34</v>
      </c>
      <c r="C665" s="16">
        <v>46177</v>
      </c>
      <c r="D665">
        <v>345</v>
      </c>
    </row>
    <row r="666" spans="1:4" x14ac:dyDescent="0.3">
      <c r="A666" t="s">
        <v>35</v>
      </c>
      <c r="C666" s="16">
        <v>46177</v>
      </c>
      <c r="D666">
        <v>7716.0900000000038</v>
      </c>
    </row>
    <row r="667" spans="1:4" x14ac:dyDescent="0.3">
      <c r="A667" t="s">
        <v>17</v>
      </c>
      <c r="C667" s="16">
        <v>46178</v>
      </c>
      <c r="D667">
        <v>733394.14000000013</v>
      </c>
    </row>
    <row r="668" spans="1:4" x14ac:dyDescent="0.3">
      <c r="A668" t="s">
        <v>18</v>
      </c>
      <c r="C668" s="16">
        <v>46178</v>
      </c>
      <c r="D668">
        <v>69376.390000000174</v>
      </c>
    </row>
    <row r="669" spans="1:4" x14ac:dyDescent="0.3">
      <c r="A669" t="s">
        <v>19</v>
      </c>
      <c r="C669" s="16">
        <v>46178</v>
      </c>
      <c r="D669">
        <v>1669.89</v>
      </c>
    </row>
    <row r="670" spans="1:4" x14ac:dyDescent="0.3">
      <c r="A670" t="s">
        <v>20</v>
      </c>
      <c r="C670" s="16">
        <v>46178</v>
      </c>
      <c r="D670">
        <v>729545.23999999987</v>
      </c>
    </row>
    <row r="671" spans="1:4" x14ac:dyDescent="0.3">
      <c r="A671" t="s">
        <v>21</v>
      </c>
      <c r="C671" s="16">
        <v>46178</v>
      </c>
      <c r="D671">
        <v>1164028.3199999994</v>
      </c>
    </row>
    <row r="672" spans="1:4" x14ac:dyDescent="0.3">
      <c r="A672" t="s">
        <v>22</v>
      </c>
      <c r="C672" s="16">
        <v>46178</v>
      </c>
      <c r="D672">
        <v>116496.38</v>
      </c>
    </row>
    <row r="673" spans="1:4" x14ac:dyDescent="0.3">
      <c r="A673" t="s">
        <v>23</v>
      </c>
      <c r="C673" s="16">
        <v>46178</v>
      </c>
      <c r="D673">
        <v>88090.37</v>
      </c>
    </row>
    <row r="674" spans="1:4" x14ac:dyDescent="0.3">
      <c r="A674" t="s">
        <v>24</v>
      </c>
      <c r="C674" s="16">
        <v>46178</v>
      </c>
      <c r="D674">
        <v>511.15999999999985</v>
      </c>
    </row>
    <row r="675" spans="1:4" x14ac:dyDescent="0.3">
      <c r="A675" t="s">
        <v>25</v>
      </c>
      <c r="C675" s="16">
        <v>46178</v>
      </c>
      <c r="D675">
        <v>84.35</v>
      </c>
    </row>
    <row r="676" spans="1:4" x14ac:dyDescent="0.3">
      <c r="A676" t="s">
        <v>26</v>
      </c>
      <c r="C676" s="16">
        <v>46178</v>
      </c>
      <c r="D676">
        <v>2237.77</v>
      </c>
    </row>
    <row r="677" spans="1:4" x14ac:dyDescent="0.3">
      <c r="A677" t="s">
        <v>27</v>
      </c>
      <c r="C677" s="16">
        <v>46178</v>
      </c>
      <c r="D677">
        <v>3349.94</v>
      </c>
    </row>
    <row r="678" spans="1:4" x14ac:dyDescent="0.3">
      <c r="A678" t="s">
        <v>28</v>
      </c>
      <c r="C678" s="16">
        <v>46178</v>
      </c>
      <c r="D678">
        <v>1968.99</v>
      </c>
    </row>
    <row r="679" spans="1:4" x14ac:dyDescent="0.3">
      <c r="A679" t="s">
        <v>29</v>
      </c>
      <c r="C679" s="16">
        <v>46178</v>
      </c>
      <c r="D679">
        <v>382.69000000000005</v>
      </c>
    </row>
    <row r="680" spans="1:4" x14ac:dyDescent="0.3">
      <c r="A680" t="s">
        <v>30</v>
      </c>
      <c r="C680" s="16">
        <v>46178</v>
      </c>
      <c r="D680">
        <v>1428.08</v>
      </c>
    </row>
    <row r="681" spans="1:4" x14ac:dyDescent="0.3">
      <c r="A681" t="s">
        <v>31</v>
      </c>
      <c r="C681" s="16">
        <v>46178</v>
      </c>
      <c r="D681">
        <v>25789.969999999961</v>
      </c>
    </row>
    <row r="682" spans="1:4" x14ac:dyDescent="0.3">
      <c r="A682" t="s">
        <v>32</v>
      </c>
      <c r="C682" s="16">
        <v>46178</v>
      </c>
      <c r="D682">
        <v>5321.4300000000021</v>
      </c>
    </row>
    <row r="683" spans="1:4" x14ac:dyDescent="0.3">
      <c r="A683" t="s">
        <v>33</v>
      </c>
      <c r="C683" s="16">
        <v>46178</v>
      </c>
      <c r="D683">
        <v>24833.23</v>
      </c>
    </row>
    <row r="684" spans="1:4" x14ac:dyDescent="0.3">
      <c r="A684" t="s">
        <v>34</v>
      </c>
      <c r="C684" s="16">
        <v>46178</v>
      </c>
      <c r="D684">
        <v>345</v>
      </c>
    </row>
    <row r="685" spans="1:4" x14ac:dyDescent="0.3">
      <c r="A685" t="s">
        <v>35</v>
      </c>
      <c r="C685" s="16">
        <v>46178</v>
      </c>
      <c r="D685">
        <v>7716.0900000000038</v>
      </c>
    </row>
    <row r="686" spans="1:4" x14ac:dyDescent="0.3">
      <c r="A686" t="s">
        <v>17</v>
      </c>
      <c r="C686" s="16">
        <v>46179</v>
      </c>
      <c r="D686">
        <v>733394.14000000013</v>
      </c>
    </row>
    <row r="687" spans="1:4" x14ac:dyDescent="0.3">
      <c r="A687" t="s">
        <v>18</v>
      </c>
      <c r="C687" s="16">
        <v>46179</v>
      </c>
      <c r="D687">
        <v>69376.390000000174</v>
      </c>
    </row>
    <row r="688" spans="1:4" x14ac:dyDescent="0.3">
      <c r="A688" t="s">
        <v>19</v>
      </c>
      <c r="C688" s="16">
        <v>46179</v>
      </c>
      <c r="D688">
        <v>1669.89</v>
      </c>
    </row>
    <row r="689" spans="1:4" x14ac:dyDescent="0.3">
      <c r="A689" t="s">
        <v>20</v>
      </c>
      <c r="C689" s="16">
        <v>46179</v>
      </c>
      <c r="D689">
        <v>729545.23999999987</v>
      </c>
    </row>
    <row r="690" spans="1:4" x14ac:dyDescent="0.3">
      <c r="A690" t="s">
        <v>21</v>
      </c>
      <c r="C690" s="16">
        <v>46179</v>
      </c>
      <c r="D690">
        <v>1164028.3199999994</v>
      </c>
    </row>
    <row r="691" spans="1:4" x14ac:dyDescent="0.3">
      <c r="A691" t="s">
        <v>22</v>
      </c>
      <c r="C691" s="16">
        <v>46179</v>
      </c>
      <c r="D691">
        <v>116496.38</v>
      </c>
    </row>
    <row r="692" spans="1:4" x14ac:dyDescent="0.3">
      <c r="A692" t="s">
        <v>23</v>
      </c>
      <c r="C692" s="16">
        <v>46179</v>
      </c>
      <c r="D692">
        <v>88090.37</v>
      </c>
    </row>
    <row r="693" spans="1:4" x14ac:dyDescent="0.3">
      <c r="A693" t="s">
        <v>24</v>
      </c>
      <c r="C693" s="16">
        <v>46179</v>
      </c>
      <c r="D693">
        <v>511.15999999999985</v>
      </c>
    </row>
    <row r="694" spans="1:4" x14ac:dyDescent="0.3">
      <c r="A694" t="s">
        <v>25</v>
      </c>
      <c r="C694" s="16">
        <v>46179</v>
      </c>
      <c r="D694">
        <v>84.35</v>
      </c>
    </row>
    <row r="695" spans="1:4" x14ac:dyDescent="0.3">
      <c r="A695" t="s">
        <v>26</v>
      </c>
      <c r="C695" s="16">
        <v>46179</v>
      </c>
      <c r="D695">
        <v>2237.77</v>
      </c>
    </row>
    <row r="696" spans="1:4" x14ac:dyDescent="0.3">
      <c r="A696" t="s">
        <v>27</v>
      </c>
      <c r="C696" s="16">
        <v>46179</v>
      </c>
      <c r="D696">
        <v>3349.94</v>
      </c>
    </row>
    <row r="697" spans="1:4" x14ac:dyDescent="0.3">
      <c r="A697" t="s">
        <v>28</v>
      </c>
      <c r="C697" s="16">
        <v>46179</v>
      </c>
      <c r="D697">
        <v>1968.99</v>
      </c>
    </row>
    <row r="698" spans="1:4" x14ac:dyDescent="0.3">
      <c r="A698" t="s">
        <v>29</v>
      </c>
      <c r="C698" s="16">
        <v>46179</v>
      </c>
      <c r="D698">
        <v>382.69000000000005</v>
      </c>
    </row>
    <row r="699" spans="1:4" x14ac:dyDescent="0.3">
      <c r="A699" t="s">
        <v>30</v>
      </c>
      <c r="C699" s="16">
        <v>46179</v>
      </c>
      <c r="D699">
        <v>1428.08</v>
      </c>
    </row>
    <row r="700" spans="1:4" x14ac:dyDescent="0.3">
      <c r="A700" t="s">
        <v>31</v>
      </c>
      <c r="C700" s="16">
        <v>46179</v>
      </c>
      <c r="D700">
        <v>25789.969999999961</v>
      </c>
    </row>
    <row r="701" spans="1:4" x14ac:dyDescent="0.3">
      <c r="A701" t="s">
        <v>32</v>
      </c>
      <c r="C701" s="16">
        <v>46179</v>
      </c>
      <c r="D701">
        <v>5321.4300000000021</v>
      </c>
    </row>
    <row r="702" spans="1:4" x14ac:dyDescent="0.3">
      <c r="A702" t="s">
        <v>33</v>
      </c>
      <c r="C702" s="16">
        <v>46179</v>
      </c>
      <c r="D702">
        <v>24833.23</v>
      </c>
    </row>
    <row r="703" spans="1:4" x14ac:dyDescent="0.3">
      <c r="A703" t="s">
        <v>34</v>
      </c>
      <c r="C703" s="16">
        <v>46179</v>
      </c>
      <c r="D703">
        <v>345</v>
      </c>
    </row>
    <row r="704" spans="1:4" x14ac:dyDescent="0.3">
      <c r="A704" t="s">
        <v>35</v>
      </c>
      <c r="C704" s="16">
        <v>46179</v>
      </c>
      <c r="D704">
        <v>7716.0900000000038</v>
      </c>
    </row>
    <row r="705" spans="1:4" x14ac:dyDescent="0.3">
      <c r="A705" t="s">
        <v>17</v>
      </c>
      <c r="C705" s="16">
        <v>46180</v>
      </c>
      <c r="D705">
        <v>733394.14000000013</v>
      </c>
    </row>
    <row r="706" spans="1:4" x14ac:dyDescent="0.3">
      <c r="A706" t="s">
        <v>18</v>
      </c>
      <c r="C706" s="16">
        <v>46180</v>
      </c>
      <c r="D706">
        <v>69376.390000000174</v>
      </c>
    </row>
    <row r="707" spans="1:4" x14ac:dyDescent="0.3">
      <c r="A707" t="s">
        <v>19</v>
      </c>
      <c r="C707" s="16">
        <v>46180</v>
      </c>
      <c r="D707">
        <v>1669.89</v>
      </c>
    </row>
    <row r="708" spans="1:4" x14ac:dyDescent="0.3">
      <c r="A708" t="s">
        <v>20</v>
      </c>
      <c r="C708" s="16">
        <v>46180</v>
      </c>
      <c r="D708">
        <v>729545.23999999987</v>
      </c>
    </row>
    <row r="709" spans="1:4" x14ac:dyDescent="0.3">
      <c r="A709" t="s">
        <v>21</v>
      </c>
      <c r="C709" s="16">
        <v>46180</v>
      </c>
      <c r="D709">
        <v>1164028.3199999994</v>
      </c>
    </row>
    <row r="710" spans="1:4" x14ac:dyDescent="0.3">
      <c r="A710" t="s">
        <v>22</v>
      </c>
      <c r="C710" s="16">
        <v>46180</v>
      </c>
      <c r="D710">
        <v>116496.38</v>
      </c>
    </row>
    <row r="711" spans="1:4" x14ac:dyDescent="0.3">
      <c r="A711" t="s">
        <v>23</v>
      </c>
      <c r="C711" s="16">
        <v>46180</v>
      </c>
      <c r="D711">
        <v>88090.37</v>
      </c>
    </row>
    <row r="712" spans="1:4" x14ac:dyDescent="0.3">
      <c r="A712" t="s">
        <v>24</v>
      </c>
      <c r="C712" s="16">
        <v>46180</v>
      </c>
      <c r="D712">
        <v>511.15999999999985</v>
      </c>
    </row>
    <row r="713" spans="1:4" x14ac:dyDescent="0.3">
      <c r="A713" t="s">
        <v>25</v>
      </c>
      <c r="C713" s="16">
        <v>46180</v>
      </c>
      <c r="D713">
        <v>84.35</v>
      </c>
    </row>
    <row r="714" spans="1:4" x14ac:dyDescent="0.3">
      <c r="A714" t="s">
        <v>26</v>
      </c>
      <c r="C714" s="16">
        <v>46180</v>
      </c>
      <c r="D714">
        <v>2237.77</v>
      </c>
    </row>
    <row r="715" spans="1:4" x14ac:dyDescent="0.3">
      <c r="A715" t="s">
        <v>27</v>
      </c>
      <c r="C715" s="16">
        <v>46180</v>
      </c>
      <c r="D715">
        <v>3349.94</v>
      </c>
    </row>
    <row r="716" spans="1:4" x14ac:dyDescent="0.3">
      <c r="A716" t="s">
        <v>28</v>
      </c>
      <c r="C716" s="16">
        <v>46180</v>
      </c>
      <c r="D716">
        <v>1968.99</v>
      </c>
    </row>
    <row r="717" spans="1:4" x14ac:dyDescent="0.3">
      <c r="A717" t="s">
        <v>29</v>
      </c>
      <c r="C717" s="16">
        <v>46180</v>
      </c>
      <c r="D717">
        <v>382.69000000000005</v>
      </c>
    </row>
    <row r="718" spans="1:4" x14ac:dyDescent="0.3">
      <c r="A718" t="s">
        <v>30</v>
      </c>
      <c r="C718" s="16">
        <v>46180</v>
      </c>
      <c r="D718">
        <v>1428.08</v>
      </c>
    </row>
    <row r="719" spans="1:4" x14ac:dyDescent="0.3">
      <c r="A719" t="s">
        <v>31</v>
      </c>
      <c r="C719" s="16">
        <v>46180</v>
      </c>
      <c r="D719">
        <v>25789.969999999961</v>
      </c>
    </row>
    <row r="720" spans="1:4" x14ac:dyDescent="0.3">
      <c r="A720" t="s">
        <v>32</v>
      </c>
      <c r="C720" s="16">
        <v>46180</v>
      </c>
      <c r="D720">
        <v>5321.4300000000021</v>
      </c>
    </row>
    <row r="721" spans="1:4" x14ac:dyDescent="0.3">
      <c r="A721" t="s">
        <v>33</v>
      </c>
      <c r="C721" s="16">
        <v>46180</v>
      </c>
      <c r="D721">
        <v>24833.23</v>
      </c>
    </row>
    <row r="722" spans="1:4" x14ac:dyDescent="0.3">
      <c r="A722" t="s">
        <v>34</v>
      </c>
      <c r="C722" s="16">
        <v>46180</v>
      </c>
      <c r="D722">
        <v>345</v>
      </c>
    </row>
    <row r="723" spans="1:4" x14ac:dyDescent="0.3">
      <c r="A723" t="s">
        <v>35</v>
      </c>
      <c r="C723" s="16">
        <v>46180</v>
      </c>
      <c r="D723">
        <v>7716.0900000000038</v>
      </c>
    </row>
    <row r="724" spans="1:4" x14ac:dyDescent="0.3">
      <c r="A724" t="s">
        <v>17</v>
      </c>
      <c r="C724" s="16">
        <v>46181</v>
      </c>
      <c r="D724">
        <v>733394.14000000013</v>
      </c>
    </row>
    <row r="725" spans="1:4" x14ac:dyDescent="0.3">
      <c r="A725" t="s">
        <v>18</v>
      </c>
      <c r="C725" s="16">
        <v>46181</v>
      </c>
      <c r="D725">
        <v>69376.390000000174</v>
      </c>
    </row>
    <row r="726" spans="1:4" x14ac:dyDescent="0.3">
      <c r="A726" t="s">
        <v>19</v>
      </c>
      <c r="C726" s="16">
        <v>46181</v>
      </c>
      <c r="D726">
        <v>1669.89</v>
      </c>
    </row>
    <row r="727" spans="1:4" x14ac:dyDescent="0.3">
      <c r="A727" t="s">
        <v>20</v>
      </c>
      <c r="C727" s="16">
        <v>46181</v>
      </c>
      <c r="D727">
        <v>729545.23999999987</v>
      </c>
    </row>
    <row r="728" spans="1:4" x14ac:dyDescent="0.3">
      <c r="A728" t="s">
        <v>21</v>
      </c>
      <c r="C728" s="16">
        <v>46181</v>
      </c>
      <c r="D728">
        <v>1164028.3199999994</v>
      </c>
    </row>
    <row r="729" spans="1:4" x14ac:dyDescent="0.3">
      <c r="A729" t="s">
        <v>22</v>
      </c>
      <c r="C729" s="16">
        <v>46181</v>
      </c>
      <c r="D729">
        <v>116496.38</v>
      </c>
    </row>
    <row r="730" spans="1:4" x14ac:dyDescent="0.3">
      <c r="A730" t="s">
        <v>23</v>
      </c>
      <c r="C730" s="16">
        <v>46181</v>
      </c>
      <c r="D730">
        <v>88090.37</v>
      </c>
    </row>
    <row r="731" spans="1:4" x14ac:dyDescent="0.3">
      <c r="A731" t="s">
        <v>24</v>
      </c>
      <c r="C731" s="16">
        <v>46181</v>
      </c>
      <c r="D731">
        <v>511.15999999999985</v>
      </c>
    </row>
    <row r="732" spans="1:4" x14ac:dyDescent="0.3">
      <c r="A732" t="s">
        <v>25</v>
      </c>
      <c r="C732" s="16">
        <v>46181</v>
      </c>
      <c r="D732">
        <v>84.35</v>
      </c>
    </row>
    <row r="733" spans="1:4" x14ac:dyDescent="0.3">
      <c r="A733" t="s">
        <v>26</v>
      </c>
      <c r="C733" s="16">
        <v>46181</v>
      </c>
      <c r="D733">
        <v>2237.77</v>
      </c>
    </row>
    <row r="734" spans="1:4" x14ac:dyDescent="0.3">
      <c r="A734" t="s">
        <v>27</v>
      </c>
      <c r="C734" s="16">
        <v>46181</v>
      </c>
      <c r="D734">
        <v>3349.94</v>
      </c>
    </row>
    <row r="735" spans="1:4" x14ac:dyDescent="0.3">
      <c r="A735" t="s">
        <v>28</v>
      </c>
      <c r="C735" s="16">
        <v>46181</v>
      </c>
      <c r="D735">
        <v>1968.99</v>
      </c>
    </row>
    <row r="736" spans="1:4" x14ac:dyDescent="0.3">
      <c r="A736" t="s">
        <v>29</v>
      </c>
      <c r="C736" s="16">
        <v>46181</v>
      </c>
      <c r="D736">
        <v>382.69000000000005</v>
      </c>
    </row>
    <row r="737" spans="1:4" x14ac:dyDescent="0.3">
      <c r="A737" t="s">
        <v>30</v>
      </c>
      <c r="C737" s="16">
        <v>46181</v>
      </c>
      <c r="D737">
        <v>1428.08</v>
      </c>
    </row>
    <row r="738" spans="1:4" x14ac:dyDescent="0.3">
      <c r="A738" t="s">
        <v>31</v>
      </c>
      <c r="C738" s="16">
        <v>46181</v>
      </c>
      <c r="D738">
        <v>25789.969999999961</v>
      </c>
    </row>
    <row r="739" spans="1:4" x14ac:dyDescent="0.3">
      <c r="A739" t="s">
        <v>32</v>
      </c>
      <c r="C739" s="16">
        <v>46181</v>
      </c>
      <c r="D739">
        <v>5321.4300000000021</v>
      </c>
    </row>
    <row r="740" spans="1:4" x14ac:dyDescent="0.3">
      <c r="A740" t="s">
        <v>33</v>
      </c>
      <c r="C740" s="16">
        <v>46181</v>
      </c>
      <c r="D740">
        <v>24833.23</v>
      </c>
    </row>
    <row r="741" spans="1:4" x14ac:dyDescent="0.3">
      <c r="A741" t="s">
        <v>34</v>
      </c>
      <c r="C741" s="16">
        <v>46181</v>
      </c>
      <c r="D741">
        <v>345</v>
      </c>
    </row>
    <row r="742" spans="1:4" x14ac:dyDescent="0.3">
      <c r="A742" t="s">
        <v>35</v>
      </c>
      <c r="C742" s="16">
        <v>46181</v>
      </c>
      <c r="D742">
        <v>6744.5000000000036</v>
      </c>
    </row>
    <row r="743" spans="1:4" x14ac:dyDescent="0.3">
      <c r="A743" t="s">
        <v>17</v>
      </c>
      <c r="C743" s="16">
        <v>46182</v>
      </c>
      <c r="D743">
        <v>847381.29000000015</v>
      </c>
    </row>
    <row r="744" spans="1:4" x14ac:dyDescent="0.3">
      <c r="A744" t="s">
        <v>18</v>
      </c>
      <c r="C744" s="16">
        <v>46182</v>
      </c>
      <c r="D744">
        <v>69376.390000000174</v>
      </c>
    </row>
    <row r="745" spans="1:4" x14ac:dyDescent="0.3">
      <c r="A745" t="s">
        <v>19</v>
      </c>
      <c r="C745" s="16">
        <v>46182</v>
      </c>
      <c r="D745">
        <v>1669.89</v>
      </c>
    </row>
    <row r="746" spans="1:4" x14ac:dyDescent="0.3">
      <c r="A746" t="s">
        <v>20</v>
      </c>
      <c r="C746" s="16">
        <v>46182</v>
      </c>
      <c r="D746">
        <v>729545.23999999987</v>
      </c>
    </row>
    <row r="747" spans="1:4" x14ac:dyDescent="0.3">
      <c r="A747" t="s">
        <v>21</v>
      </c>
      <c r="C747" s="16">
        <v>46182</v>
      </c>
      <c r="D747">
        <v>1160274.0499999993</v>
      </c>
    </row>
    <row r="748" spans="1:4" x14ac:dyDescent="0.3">
      <c r="A748" t="s">
        <v>22</v>
      </c>
      <c r="C748" s="16">
        <v>46182</v>
      </c>
      <c r="D748">
        <v>116496.38</v>
      </c>
    </row>
    <row r="749" spans="1:4" x14ac:dyDescent="0.3">
      <c r="A749" t="s">
        <v>23</v>
      </c>
      <c r="C749" s="16">
        <v>46182</v>
      </c>
      <c r="D749">
        <v>88090.37</v>
      </c>
    </row>
    <row r="750" spans="1:4" x14ac:dyDescent="0.3">
      <c r="A750" t="s">
        <v>24</v>
      </c>
      <c r="C750" s="16">
        <v>46182</v>
      </c>
      <c r="D750">
        <v>511.15999999999985</v>
      </c>
    </row>
    <row r="751" spans="1:4" x14ac:dyDescent="0.3">
      <c r="A751" t="s">
        <v>25</v>
      </c>
      <c r="C751" s="16">
        <v>46182</v>
      </c>
      <c r="D751">
        <v>84.35</v>
      </c>
    </row>
    <row r="752" spans="1:4" x14ac:dyDescent="0.3">
      <c r="A752" t="s">
        <v>26</v>
      </c>
      <c r="C752" s="16">
        <v>46182</v>
      </c>
      <c r="D752">
        <v>2237.77</v>
      </c>
    </row>
    <row r="753" spans="1:4" x14ac:dyDescent="0.3">
      <c r="A753" t="s">
        <v>27</v>
      </c>
      <c r="C753" s="16">
        <v>46182</v>
      </c>
      <c r="D753">
        <v>3349.94</v>
      </c>
    </row>
    <row r="754" spans="1:4" x14ac:dyDescent="0.3">
      <c r="A754" t="s">
        <v>28</v>
      </c>
      <c r="C754" s="16">
        <v>46182</v>
      </c>
      <c r="D754">
        <v>1968.99</v>
      </c>
    </row>
    <row r="755" spans="1:4" x14ac:dyDescent="0.3">
      <c r="A755" t="s">
        <v>29</v>
      </c>
      <c r="C755" s="16">
        <v>46182</v>
      </c>
      <c r="D755">
        <v>382.69000000000005</v>
      </c>
    </row>
    <row r="756" spans="1:4" x14ac:dyDescent="0.3">
      <c r="A756" t="s">
        <v>30</v>
      </c>
      <c r="C756" s="16">
        <v>46182</v>
      </c>
      <c r="D756">
        <v>1428.08</v>
      </c>
    </row>
    <row r="757" spans="1:4" x14ac:dyDescent="0.3">
      <c r="A757" t="s">
        <v>31</v>
      </c>
      <c r="C757" s="16">
        <v>46182</v>
      </c>
      <c r="D757">
        <v>25789.969999999961</v>
      </c>
    </row>
    <row r="758" spans="1:4" x14ac:dyDescent="0.3">
      <c r="A758" t="s">
        <v>32</v>
      </c>
      <c r="C758" s="16">
        <v>46182</v>
      </c>
      <c r="D758">
        <v>5321.4300000000021</v>
      </c>
    </row>
    <row r="759" spans="1:4" x14ac:dyDescent="0.3">
      <c r="A759" t="s">
        <v>33</v>
      </c>
      <c r="C759" s="16">
        <v>46182</v>
      </c>
      <c r="D759">
        <v>24833.23</v>
      </c>
    </row>
    <row r="760" spans="1:4" x14ac:dyDescent="0.3">
      <c r="A760" t="s">
        <v>34</v>
      </c>
      <c r="C760" s="16">
        <v>46182</v>
      </c>
      <c r="D760">
        <v>345</v>
      </c>
    </row>
    <row r="761" spans="1:4" x14ac:dyDescent="0.3">
      <c r="A761" t="s">
        <v>35</v>
      </c>
      <c r="C761" s="16">
        <v>46182</v>
      </c>
      <c r="D761">
        <v>6583.0800000000036</v>
      </c>
    </row>
    <row r="762" spans="1:4" x14ac:dyDescent="0.3">
      <c r="A762" t="s">
        <v>17</v>
      </c>
      <c r="C762" s="16">
        <v>46183</v>
      </c>
      <c r="D762">
        <v>2288745.9500000002</v>
      </c>
    </row>
    <row r="763" spans="1:4" x14ac:dyDescent="0.3">
      <c r="A763" t="s">
        <v>18</v>
      </c>
      <c r="C763" s="16">
        <v>46183</v>
      </c>
      <c r="D763">
        <v>69376.390000000174</v>
      </c>
    </row>
    <row r="764" spans="1:4" x14ac:dyDescent="0.3">
      <c r="A764" t="s">
        <v>19</v>
      </c>
      <c r="C764" s="16">
        <v>46183</v>
      </c>
      <c r="D764">
        <v>1669.89</v>
      </c>
    </row>
    <row r="765" spans="1:4" x14ac:dyDescent="0.3">
      <c r="A765" t="s">
        <v>20</v>
      </c>
      <c r="C765" s="16">
        <v>46183</v>
      </c>
      <c r="D765">
        <v>744306.80999999982</v>
      </c>
    </row>
    <row r="766" spans="1:4" x14ac:dyDescent="0.3">
      <c r="A766" t="s">
        <v>21</v>
      </c>
      <c r="C766" s="16">
        <v>46183</v>
      </c>
      <c r="D766">
        <v>1160274.0499999993</v>
      </c>
    </row>
    <row r="767" spans="1:4" x14ac:dyDescent="0.3">
      <c r="A767" t="s">
        <v>22</v>
      </c>
      <c r="C767" s="16">
        <v>46183</v>
      </c>
      <c r="D767">
        <v>116496.38</v>
      </c>
    </row>
    <row r="768" spans="1:4" x14ac:dyDescent="0.3">
      <c r="A768" t="s">
        <v>23</v>
      </c>
      <c r="C768" s="16">
        <v>46183</v>
      </c>
      <c r="D768">
        <v>88090.37</v>
      </c>
    </row>
    <row r="769" spans="1:4" x14ac:dyDescent="0.3">
      <c r="A769" t="s">
        <v>24</v>
      </c>
      <c r="C769" s="16">
        <v>46183</v>
      </c>
      <c r="D769">
        <v>511.15999999999985</v>
      </c>
    </row>
    <row r="770" spans="1:4" x14ac:dyDescent="0.3">
      <c r="A770" t="s">
        <v>25</v>
      </c>
      <c r="C770" s="16">
        <v>46183</v>
      </c>
      <c r="D770">
        <v>84.35</v>
      </c>
    </row>
    <row r="771" spans="1:4" x14ac:dyDescent="0.3">
      <c r="A771" t="s">
        <v>26</v>
      </c>
      <c r="C771" s="16">
        <v>46183</v>
      </c>
      <c r="D771">
        <v>2237.77</v>
      </c>
    </row>
    <row r="772" spans="1:4" x14ac:dyDescent="0.3">
      <c r="A772" t="s">
        <v>27</v>
      </c>
      <c r="C772" s="16">
        <v>46183</v>
      </c>
      <c r="D772">
        <v>3349.94</v>
      </c>
    </row>
    <row r="773" spans="1:4" x14ac:dyDescent="0.3">
      <c r="A773" t="s">
        <v>28</v>
      </c>
      <c r="C773" s="16">
        <v>46183</v>
      </c>
      <c r="D773">
        <v>1968.99</v>
      </c>
    </row>
    <row r="774" spans="1:4" x14ac:dyDescent="0.3">
      <c r="A774" t="s">
        <v>29</v>
      </c>
      <c r="C774" s="16">
        <v>46183</v>
      </c>
      <c r="D774">
        <v>382.69000000000005</v>
      </c>
    </row>
    <row r="775" spans="1:4" x14ac:dyDescent="0.3">
      <c r="A775" t="s">
        <v>30</v>
      </c>
      <c r="C775" s="16">
        <v>46183</v>
      </c>
      <c r="D775">
        <v>1428.08</v>
      </c>
    </row>
    <row r="776" spans="1:4" x14ac:dyDescent="0.3">
      <c r="A776" t="s">
        <v>31</v>
      </c>
      <c r="C776" s="16">
        <v>46183</v>
      </c>
      <c r="D776">
        <v>25789.969999999961</v>
      </c>
    </row>
    <row r="777" spans="1:4" x14ac:dyDescent="0.3">
      <c r="A777" t="s">
        <v>32</v>
      </c>
      <c r="C777" s="16">
        <v>46183</v>
      </c>
      <c r="D777">
        <v>5321.4300000000021</v>
      </c>
    </row>
    <row r="778" spans="1:4" x14ac:dyDescent="0.3">
      <c r="A778" t="s">
        <v>33</v>
      </c>
      <c r="C778" s="16">
        <v>46183</v>
      </c>
      <c r="D778">
        <v>24743.98</v>
      </c>
    </row>
    <row r="779" spans="1:4" x14ac:dyDescent="0.3">
      <c r="A779" t="s">
        <v>34</v>
      </c>
      <c r="C779" s="16">
        <v>46183</v>
      </c>
      <c r="D779">
        <v>345</v>
      </c>
    </row>
    <row r="780" spans="1:4" x14ac:dyDescent="0.3">
      <c r="A780" t="s">
        <v>35</v>
      </c>
      <c r="C780" s="16">
        <v>46183</v>
      </c>
      <c r="D780">
        <v>6583.0800000000036</v>
      </c>
    </row>
    <row r="781" spans="1:4" x14ac:dyDescent="0.3">
      <c r="A781" t="s">
        <v>17</v>
      </c>
      <c r="C781" s="16">
        <v>46184</v>
      </c>
      <c r="D781">
        <v>1837784.84</v>
      </c>
    </row>
    <row r="782" spans="1:4" x14ac:dyDescent="0.3">
      <c r="A782" t="s">
        <v>18</v>
      </c>
      <c r="C782" s="16">
        <v>46184</v>
      </c>
      <c r="D782">
        <v>69376.390000000174</v>
      </c>
    </row>
    <row r="783" spans="1:4" x14ac:dyDescent="0.3">
      <c r="A783" t="s">
        <v>19</v>
      </c>
      <c r="C783" s="16">
        <v>46184</v>
      </c>
      <c r="D783">
        <v>1669.89</v>
      </c>
    </row>
    <row r="784" spans="1:4" x14ac:dyDescent="0.3">
      <c r="A784" t="s">
        <v>20</v>
      </c>
      <c r="C784" s="16">
        <v>46184</v>
      </c>
      <c r="D784">
        <v>564626.20999999985</v>
      </c>
    </row>
    <row r="785" spans="1:4" x14ac:dyDescent="0.3">
      <c r="A785" t="s">
        <v>21</v>
      </c>
      <c r="C785" s="16">
        <v>46184</v>
      </c>
      <c r="D785">
        <v>794731.82999999926</v>
      </c>
    </row>
    <row r="786" spans="1:4" x14ac:dyDescent="0.3">
      <c r="A786" t="s">
        <v>22</v>
      </c>
      <c r="C786" s="16">
        <v>46184</v>
      </c>
      <c r="D786">
        <v>116496.38</v>
      </c>
    </row>
    <row r="787" spans="1:4" x14ac:dyDescent="0.3">
      <c r="A787" t="s">
        <v>23</v>
      </c>
      <c r="C787" s="16">
        <v>46184</v>
      </c>
      <c r="D787">
        <v>88090.37</v>
      </c>
    </row>
    <row r="788" spans="1:4" x14ac:dyDescent="0.3">
      <c r="A788" t="s">
        <v>24</v>
      </c>
      <c r="C788" s="16">
        <v>46184</v>
      </c>
      <c r="D788">
        <v>511.15999999999985</v>
      </c>
    </row>
    <row r="789" spans="1:4" x14ac:dyDescent="0.3">
      <c r="A789" t="s">
        <v>25</v>
      </c>
      <c r="C789" s="16">
        <v>46184</v>
      </c>
      <c r="D789">
        <v>84.35</v>
      </c>
    </row>
    <row r="790" spans="1:4" x14ac:dyDescent="0.3">
      <c r="A790" t="s">
        <v>26</v>
      </c>
      <c r="C790" s="16">
        <v>46184</v>
      </c>
      <c r="D790">
        <v>2237.77</v>
      </c>
    </row>
    <row r="791" spans="1:4" x14ac:dyDescent="0.3">
      <c r="A791" t="s">
        <v>27</v>
      </c>
      <c r="C791" s="16">
        <v>46184</v>
      </c>
      <c r="D791">
        <v>3349.94</v>
      </c>
    </row>
    <row r="792" spans="1:4" x14ac:dyDescent="0.3">
      <c r="A792" t="s">
        <v>28</v>
      </c>
      <c r="C792" s="16">
        <v>46184</v>
      </c>
      <c r="D792">
        <v>1968.99</v>
      </c>
    </row>
    <row r="793" spans="1:4" x14ac:dyDescent="0.3">
      <c r="A793" t="s">
        <v>29</v>
      </c>
      <c r="C793" s="16">
        <v>46184</v>
      </c>
      <c r="D793">
        <v>382.69000000000005</v>
      </c>
    </row>
    <row r="794" spans="1:4" x14ac:dyDescent="0.3">
      <c r="A794" t="s">
        <v>30</v>
      </c>
      <c r="C794" s="16">
        <v>46184</v>
      </c>
      <c r="D794">
        <v>1428.08</v>
      </c>
    </row>
    <row r="795" spans="1:4" x14ac:dyDescent="0.3">
      <c r="A795" t="s">
        <v>31</v>
      </c>
      <c r="C795" s="16">
        <v>46184</v>
      </c>
      <c r="D795">
        <v>25789.969999999961</v>
      </c>
    </row>
    <row r="796" spans="1:4" x14ac:dyDescent="0.3">
      <c r="A796" t="s">
        <v>32</v>
      </c>
      <c r="C796" s="16">
        <v>46184</v>
      </c>
      <c r="D796">
        <v>5321.4300000000021</v>
      </c>
    </row>
    <row r="797" spans="1:4" x14ac:dyDescent="0.3">
      <c r="A797" t="s">
        <v>33</v>
      </c>
      <c r="C797" s="16">
        <v>46184</v>
      </c>
      <c r="D797">
        <v>24743.98</v>
      </c>
    </row>
    <row r="798" spans="1:4" x14ac:dyDescent="0.3">
      <c r="A798" t="s">
        <v>34</v>
      </c>
      <c r="C798" s="16">
        <v>46184</v>
      </c>
      <c r="D798">
        <v>345</v>
      </c>
    </row>
    <row r="799" spans="1:4" x14ac:dyDescent="0.3">
      <c r="A799" t="s">
        <v>35</v>
      </c>
      <c r="C799" s="16">
        <v>46184</v>
      </c>
      <c r="D799">
        <v>54068.08</v>
      </c>
    </row>
    <row r="800" spans="1:4" x14ac:dyDescent="0.3">
      <c r="A800" t="s">
        <v>17</v>
      </c>
      <c r="C800" s="16">
        <v>46185</v>
      </c>
      <c r="D800">
        <v>1837784.84</v>
      </c>
    </row>
    <row r="801" spans="1:4" x14ac:dyDescent="0.3">
      <c r="A801" t="s">
        <v>18</v>
      </c>
      <c r="C801" s="16">
        <v>46185</v>
      </c>
      <c r="D801">
        <v>69376.390000000174</v>
      </c>
    </row>
    <row r="802" spans="1:4" x14ac:dyDescent="0.3">
      <c r="A802" t="s">
        <v>19</v>
      </c>
      <c r="C802" s="16">
        <v>46185</v>
      </c>
      <c r="D802">
        <v>1669.89</v>
      </c>
    </row>
    <row r="803" spans="1:4" x14ac:dyDescent="0.3">
      <c r="A803" t="s">
        <v>20</v>
      </c>
      <c r="C803" s="16">
        <v>46185</v>
      </c>
      <c r="D803">
        <v>564626.20999999985</v>
      </c>
    </row>
    <row r="804" spans="1:4" x14ac:dyDescent="0.3">
      <c r="A804" t="s">
        <v>21</v>
      </c>
      <c r="C804" s="16">
        <v>46185</v>
      </c>
      <c r="D804">
        <v>3763348.8299999996</v>
      </c>
    </row>
    <row r="805" spans="1:4" x14ac:dyDescent="0.3">
      <c r="A805" t="s">
        <v>22</v>
      </c>
      <c r="C805" s="16">
        <v>46185</v>
      </c>
      <c r="D805">
        <v>116496.38</v>
      </c>
    </row>
    <row r="806" spans="1:4" x14ac:dyDescent="0.3">
      <c r="A806" t="s">
        <v>23</v>
      </c>
      <c r="C806" s="16">
        <v>46185</v>
      </c>
      <c r="D806">
        <v>88090.37</v>
      </c>
    </row>
    <row r="807" spans="1:4" x14ac:dyDescent="0.3">
      <c r="A807" t="s">
        <v>24</v>
      </c>
      <c r="C807" s="16">
        <v>46185</v>
      </c>
      <c r="D807">
        <v>511.15999999999985</v>
      </c>
    </row>
    <row r="808" spans="1:4" x14ac:dyDescent="0.3">
      <c r="A808" t="s">
        <v>25</v>
      </c>
      <c r="C808" s="16">
        <v>46185</v>
      </c>
      <c r="D808">
        <v>84.35</v>
      </c>
    </row>
    <row r="809" spans="1:4" x14ac:dyDescent="0.3">
      <c r="A809" t="s">
        <v>26</v>
      </c>
      <c r="C809" s="16">
        <v>46185</v>
      </c>
      <c r="D809">
        <v>2237.77</v>
      </c>
    </row>
    <row r="810" spans="1:4" x14ac:dyDescent="0.3">
      <c r="A810" t="s">
        <v>27</v>
      </c>
      <c r="C810" s="16">
        <v>46185</v>
      </c>
      <c r="D810">
        <v>3349.94</v>
      </c>
    </row>
    <row r="811" spans="1:4" x14ac:dyDescent="0.3">
      <c r="A811" t="s">
        <v>28</v>
      </c>
      <c r="C811" s="16">
        <v>46185</v>
      </c>
      <c r="D811">
        <v>1968.99</v>
      </c>
    </row>
    <row r="812" spans="1:4" x14ac:dyDescent="0.3">
      <c r="A812" t="s">
        <v>29</v>
      </c>
      <c r="C812" s="16">
        <v>46185</v>
      </c>
      <c r="D812">
        <v>382.69000000000005</v>
      </c>
    </row>
    <row r="813" spans="1:4" x14ac:dyDescent="0.3">
      <c r="A813" t="s">
        <v>30</v>
      </c>
      <c r="C813" s="16">
        <v>46185</v>
      </c>
      <c r="D813">
        <v>1428.08</v>
      </c>
    </row>
    <row r="814" spans="1:4" x14ac:dyDescent="0.3">
      <c r="A814" t="s">
        <v>31</v>
      </c>
      <c r="C814" s="16">
        <v>46185</v>
      </c>
      <c r="D814">
        <v>27789.969999999961</v>
      </c>
    </row>
    <row r="815" spans="1:4" x14ac:dyDescent="0.3">
      <c r="A815" t="s">
        <v>32</v>
      </c>
      <c r="C815" s="16">
        <v>46185</v>
      </c>
      <c r="D815">
        <v>5321.4300000000021</v>
      </c>
    </row>
    <row r="816" spans="1:4" x14ac:dyDescent="0.3">
      <c r="A816" t="s">
        <v>33</v>
      </c>
      <c r="C816" s="16">
        <v>46185</v>
      </c>
      <c r="D816">
        <v>24484.85</v>
      </c>
    </row>
    <row r="817" spans="1:4" x14ac:dyDescent="0.3">
      <c r="A817" t="s">
        <v>34</v>
      </c>
      <c r="C817" s="16">
        <v>46185</v>
      </c>
      <c r="D817">
        <v>345</v>
      </c>
    </row>
    <row r="818" spans="1:4" x14ac:dyDescent="0.3">
      <c r="A818" t="s">
        <v>35</v>
      </c>
      <c r="C818" s="16">
        <v>46185</v>
      </c>
      <c r="D818">
        <v>54068.08</v>
      </c>
    </row>
    <row r="819" spans="1:4" x14ac:dyDescent="0.3">
      <c r="A819" t="s">
        <v>17</v>
      </c>
      <c r="C819" s="16">
        <v>46186</v>
      </c>
      <c r="D819">
        <v>1837784.84</v>
      </c>
    </row>
    <row r="820" spans="1:4" x14ac:dyDescent="0.3">
      <c r="A820" t="s">
        <v>18</v>
      </c>
      <c r="C820" s="16">
        <v>46186</v>
      </c>
      <c r="D820">
        <v>69376.390000000174</v>
      </c>
    </row>
    <row r="821" spans="1:4" x14ac:dyDescent="0.3">
      <c r="A821" t="s">
        <v>19</v>
      </c>
      <c r="C821" s="16">
        <v>46186</v>
      </c>
      <c r="D821">
        <v>1669.89</v>
      </c>
    </row>
    <row r="822" spans="1:4" x14ac:dyDescent="0.3">
      <c r="A822" t="s">
        <v>20</v>
      </c>
      <c r="C822" s="16">
        <v>46186</v>
      </c>
      <c r="D822">
        <v>564626.20999999985</v>
      </c>
    </row>
    <row r="823" spans="1:4" x14ac:dyDescent="0.3">
      <c r="A823" t="s">
        <v>21</v>
      </c>
      <c r="C823" s="16">
        <v>46186</v>
      </c>
      <c r="D823">
        <v>3763348.8299999996</v>
      </c>
    </row>
    <row r="824" spans="1:4" x14ac:dyDescent="0.3">
      <c r="A824" t="s">
        <v>22</v>
      </c>
      <c r="C824" s="16">
        <v>46186</v>
      </c>
      <c r="D824">
        <v>116496.38</v>
      </c>
    </row>
    <row r="825" spans="1:4" x14ac:dyDescent="0.3">
      <c r="A825" t="s">
        <v>23</v>
      </c>
      <c r="C825" s="16">
        <v>46186</v>
      </c>
      <c r="D825">
        <v>88090.37</v>
      </c>
    </row>
    <row r="826" spans="1:4" x14ac:dyDescent="0.3">
      <c r="A826" t="s">
        <v>24</v>
      </c>
      <c r="C826" s="16">
        <v>46186</v>
      </c>
      <c r="D826">
        <v>511.15999999999985</v>
      </c>
    </row>
    <row r="827" spans="1:4" x14ac:dyDescent="0.3">
      <c r="A827" t="s">
        <v>25</v>
      </c>
      <c r="C827" s="16">
        <v>46186</v>
      </c>
      <c r="D827">
        <v>84.35</v>
      </c>
    </row>
    <row r="828" spans="1:4" x14ac:dyDescent="0.3">
      <c r="A828" t="s">
        <v>26</v>
      </c>
      <c r="C828" s="16">
        <v>46186</v>
      </c>
      <c r="D828">
        <v>2237.77</v>
      </c>
    </row>
    <row r="829" spans="1:4" x14ac:dyDescent="0.3">
      <c r="A829" t="s">
        <v>27</v>
      </c>
      <c r="C829" s="16">
        <v>46186</v>
      </c>
      <c r="D829">
        <v>3349.94</v>
      </c>
    </row>
    <row r="830" spans="1:4" x14ac:dyDescent="0.3">
      <c r="A830" t="s">
        <v>28</v>
      </c>
      <c r="C830" s="16">
        <v>46186</v>
      </c>
      <c r="D830">
        <v>1968.99</v>
      </c>
    </row>
    <row r="831" spans="1:4" x14ac:dyDescent="0.3">
      <c r="A831" t="s">
        <v>29</v>
      </c>
      <c r="C831" s="16">
        <v>46186</v>
      </c>
      <c r="D831">
        <v>382.69000000000005</v>
      </c>
    </row>
    <row r="832" spans="1:4" x14ac:dyDescent="0.3">
      <c r="A832" t="s">
        <v>30</v>
      </c>
      <c r="C832" s="16">
        <v>46186</v>
      </c>
      <c r="D832">
        <v>1428.08</v>
      </c>
    </row>
    <row r="833" spans="1:4" x14ac:dyDescent="0.3">
      <c r="A833" t="s">
        <v>31</v>
      </c>
      <c r="C833" s="16">
        <v>46186</v>
      </c>
      <c r="D833">
        <v>27789.969999999961</v>
      </c>
    </row>
    <row r="834" spans="1:4" x14ac:dyDescent="0.3">
      <c r="A834" t="s">
        <v>32</v>
      </c>
      <c r="C834" s="16">
        <v>46186</v>
      </c>
      <c r="D834">
        <v>5321.4300000000021</v>
      </c>
    </row>
    <row r="835" spans="1:4" x14ac:dyDescent="0.3">
      <c r="A835" t="s">
        <v>33</v>
      </c>
      <c r="C835" s="16">
        <v>46186</v>
      </c>
      <c r="D835">
        <v>24484.85</v>
      </c>
    </row>
    <row r="836" spans="1:4" x14ac:dyDescent="0.3">
      <c r="A836" t="s">
        <v>34</v>
      </c>
      <c r="C836" s="16">
        <v>46186</v>
      </c>
      <c r="D836">
        <v>345</v>
      </c>
    </row>
    <row r="837" spans="1:4" x14ac:dyDescent="0.3">
      <c r="A837" t="s">
        <v>35</v>
      </c>
      <c r="C837" s="16">
        <v>46186</v>
      </c>
      <c r="D837">
        <v>54068.08</v>
      </c>
    </row>
    <row r="838" spans="1:4" x14ac:dyDescent="0.3">
      <c r="A838" t="s">
        <v>17</v>
      </c>
      <c r="C838" s="16">
        <v>46187</v>
      </c>
      <c r="D838">
        <v>1837784.84</v>
      </c>
    </row>
    <row r="839" spans="1:4" x14ac:dyDescent="0.3">
      <c r="A839" t="s">
        <v>18</v>
      </c>
      <c r="C839" s="16">
        <v>46187</v>
      </c>
      <c r="D839">
        <v>69376.390000000174</v>
      </c>
    </row>
    <row r="840" spans="1:4" x14ac:dyDescent="0.3">
      <c r="A840" t="s">
        <v>19</v>
      </c>
      <c r="C840" s="16">
        <v>46187</v>
      </c>
      <c r="D840">
        <v>1669.89</v>
      </c>
    </row>
    <row r="841" spans="1:4" x14ac:dyDescent="0.3">
      <c r="A841" t="s">
        <v>20</v>
      </c>
      <c r="C841" s="16">
        <v>46187</v>
      </c>
      <c r="D841">
        <v>564626.20999999985</v>
      </c>
    </row>
    <row r="842" spans="1:4" x14ac:dyDescent="0.3">
      <c r="A842" t="s">
        <v>21</v>
      </c>
      <c r="C842" s="16">
        <v>46187</v>
      </c>
      <c r="D842">
        <v>3763348.8299999996</v>
      </c>
    </row>
    <row r="843" spans="1:4" x14ac:dyDescent="0.3">
      <c r="A843" t="s">
        <v>22</v>
      </c>
      <c r="C843" s="16">
        <v>46187</v>
      </c>
      <c r="D843">
        <v>116496.38</v>
      </c>
    </row>
    <row r="844" spans="1:4" x14ac:dyDescent="0.3">
      <c r="A844" t="s">
        <v>23</v>
      </c>
      <c r="C844" s="16">
        <v>46187</v>
      </c>
      <c r="D844">
        <v>88090.37</v>
      </c>
    </row>
    <row r="845" spans="1:4" x14ac:dyDescent="0.3">
      <c r="A845" t="s">
        <v>24</v>
      </c>
      <c r="C845" s="16">
        <v>46187</v>
      </c>
      <c r="D845">
        <v>511.15999999999985</v>
      </c>
    </row>
    <row r="846" spans="1:4" x14ac:dyDescent="0.3">
      <c r="A846" t="s">
        <v>25</v>
      </c>
      <c r="C846" s="16">
        <v>46187</v>
      </c>
      <c r="D846">
        <v>84.35</v>
      </c>
    </row>
    <row r="847" spans="1:4" x14ac:dyDescent="0.3">
      <c r="A847" t="s">
        <v>26</v>
      </c>
      <c r="C847" s="16">
        <v>46187</v>
      </c>
      <c r="D847">
        <v>2237.77</v>
      </c>
    </row>
    <row r="848" spans="1:4" x14ac:dyDescent="0.3">
      <c r="A848" t="s">
        <v>27</v>
      </c>
      <c r="C848" s="16">
        <v>46187</v>
      </c>
      <c r="D848">
        <v>3349.94</v>
      </c>
    </row>
    <row r="849" spans="1:4" x14ac:dyDescent="0.3">
      <c r="A849" t="s">
        <v>28</v>
      </c>
      <c r="C849" s="16">
        <v>46187</v>
      </c>
      <c r="D849">
        <v>1968.99</v>
      </c>
    </row>
    <row r="850" spans="1:4" x14ac:dyDescent="0.3">
      <c r="A850" t="s">
        <v>29</v>
      </c>
      <c r="C850" s="16">
        <v>46187</v>
      </c>
      <c r="D850">
        <v>382.69000000000005</v>
      </c>
    </row>
    <row r="851" spans="1:4" x14ac:dyDescent="0.3">
      <c r="A851" t="s">
        <v>30</v>
      </c>
      <c r="C851" s="16">
        <v>46187</v>
      </c>
      <c r="D851">
        <v>1428.08</v>
      </c>
    </row>
    <row r="852" spans="1:4" x14ac:dyDescent="0.3">
      <c r="A852" t="s">
        <v>31</v>
      </c>
      <c r="C852" s="16">
        <v>46187</v>
      </c>
      <c r="D852">
        <v>27789.969999999961</v>
      </c>
    </row>
    <row r="853" spans="1:4" x14ac:dyDescent="0.3">
      <c r="A853" t="s">
        <v>32</v>
      </c>
      <c r="C853" s="16">
        <v>46187</v>
      </c>
      <c r="D853">
        <v>5321.4300000000021</v>
      </c>
    </row>
    <row r="854" spans="1:4" x14ac:dyDescent="0.3">
      <c r="A854" t="s">
        <v>33</v>
      </c>
      <c r="C854" s="16">
        <v>46187</v>
      </c>
      <c r="D854">
        <v>24484.85</v>
      </c>
    </row>
    <row r="855" spans="1:4" x14ac:dyDescent="0.3">
      <c r="A855" t="s">
        <v>34</v>
      </c>
      <c r="C855" s="16">
        <v>46187</v>
      </c>
      <c r="D855">
        <v>345</v>
      </c>
    </row>
    <row r="856" spans="1:4" x14ac:dyDescent="0.3">
      <c r="A856" t="s">
        <v>35</v>
      </c>
      <c r="C856" s="16">
        <v>46187</v>
      </c>
      <c r="D856">
        <v>54068.08</v>
      </c>
    </row>
    <row r="857" spans="1:4" x14ac:dyDescent="0.3">
      <c r="A857" t="s">
        <v>17</v>
      </c>
      <c r="C857" s="16">
        <v>46188</v>
      </c>
      <c r="D857">
        <v>985975.94000000029</v>
      </c>
    </row>
    <row r="858" spans="1:4" x14ac:dyDescent="0.3">
      <c r="A858" t="s">
        <v>18</v>
      </c>
      <c r="C858" s="16">
        <v>46188</v>
      </c>
      <c r="D858">
        <v>69376.390000000174</v>
      </c>
    </row>
    <row r="859" spans="1:4" x14ac:dyDescent="0.3">
      <c r="A859" t="s">
        <v>19</v>
      </c>
      <c r="C859" s="16">
        <v>46188</v>
      </c>
      <c r="D859">
        <v>1669.89</v>
      </c>
    </row>
    <row r="860" spans="1:4" x14ac:dyDescent="0.3">
      <c r="A860" t="s">
        <v>20</v>
      </c>
      <c r="C860" s="16">
        <v>46188</v>
      </c>
      <c r="D860">
        <v>503904.80999999982</v>
      </c>
    </row>
    <row r="861" spans="1:4" x14ac:dyDescent="0.3">
      <c r="A861" t="s">
        <v>21</v>
      </c>
      <c r="C861" s="16">
        <v>46188</v>
      </c>
      <c r="D861">
        <v>3331737.2399999998</v>
      </c>
    </row>
    <row r="862" spans="1:4" x14ac:dyDescent="0.3">
      <c r="A862" t="s">
        <v>22</v>
      </c>
      <c r="C862" s="16">
        <v>46188</v>
      </c>
      <c r="D862">
        <v>116496.38</v>
      </c>
    </row>
    <row r="863" spans="1:4" x14ac:dyDescent="0.3">
      <c r="A863" t="s">
        <v>23</v>
      </c>
      <c r="C863" s="16">
        <v>46188</v>
      </c>
      <c r="D863">
        <v>88090.37</v>
      </c>
    </row>
    <row r="864" spans="1:4" x14ac:dyDescent="0.3">
      <c r="A864" t="s">
        <v>24</v>
      </c>
      <c r="C864" s="16">
        <v>46188</v>
      </c>
      <c r="D864">
        <v>511.15999999999985</v>
      </c>
    </row>
    <row r="865" spans="1:4" x14ac:dyDescent="0.3">
      <c r="A865" t="s">
        <v>25</v>
      </c>
      <c r="C865" s="16">
        <v>46188</v>
      </c>
      <c r="D865">
        <v>84.35</v>
      </c>
    </row>
    <row r="866" spans="1:4" x14ac:dyDescent="0.3">
      <c r="A866" t="s">
        <v>26</v>
      </c>
      <c r="C866" s="16">
        <v>46188</v>
      </c>
      <c r="D866">
        <v>2237.77</v>
      </c>
    </row>
    <row r="867" spans="1:4" x14ac:dyDescent="0.3">
      <c r="A867" t="s">
        <v>27</v>
      </c>
      <c r="C867" s="16">
        <v>46188</v>
      </c>
      <c r="D867">
        <v>3349.94</v>
      </c>
    </row>
    <row r="868" spans="1:4" x14ac:dyDescent="0.3">
      <c r="A868" t="s">
        <v>28</v>
      </c>
      <c r="C868" s="16">
        <v>46188</v>
      </c>
      <c r="D868">
        <v>1968.99</v>
      </c>
    </row>
    <row r="869" spans="1:4" x14ac:dyDescent="0.3">
      <c r="A869" t="s">
        <v>29</v>
      </c>
      <c r="C869" s="16">
        <v>46188</v>
      </c>
      <c r="D869">
        <v>382.69000000000005</v>
      </c>
    </row>
    <row r="870" spans="1:4" x14ac:dyDescent="0.3">
      <c r="A870" t="s">
        <v>30</v>
      </c>
      <c r="C870" s="16">
        <v>46188</v>
      </c>
      <c r="D870">
        <v>1428.08</v>
      </c>
    </row>
    <row r="871" spans="1:4" x14ac:dyDescent="0.3">
      <c r="A871" t="s">
        <v>31</v>
      </c>
      <c r="C871" s="16">
        <v>46188</v>
      </c>
      <c r="D871">
        <v>29789.969999999961</v>
      </c>
    </row>
    <row r="872" spans="1:4" x14ac:dyDescent="0.3">
      <c r="A872" t="s">
        <v>32</v>
      </c>
      <c r="C872" s="16">
        <v>46188</v>
      </c>
      <c r="D872">
        <v>5321.4300000000021</v>
      </c>
    </row>
    <row r="873" spans="1:4" x14ac:dyDescent="0.3">
      <c r="A873" t="s">
        <v>33</v>
      </c>
      <c r="C873" s="16">
        <v>46188</v>
      </c>
      <c r="D873">
        <v>20484.849999999999</v>
      </c>
    </row>
    <row r="874" spans="1:4" x14ac:dyDescent="0.3">
      <c r="A874" t="s">
        <v>34</v>
      </c>
      <c r="C874" s="16">
        <v>46188</v>
      </c>
      <c r="D874">
        <v>345</v>
      </c>
    </row>
    <row r="875" spans="1:4" x14ac:dyDescent="0.3">
      <c r="A875" t="s">
        <v>35</v>
      </c>
      <c r="C875" s="16">
        <v>46188</v>
      </c>
      <c r="D875">
        <v>54018.080000000002</v>
      </c>
    </row>
    <row r="876" spans="1:4" x14ac:dyDescent="0.3">
      <c r="A876" t="s">
        <v>17</v>
      </c>
      <c r="C876" s="16">
        <v>46189</v>
      </c>
      <c r="D876">
        <v>1086358.7500000002</v>
      </c>
    </row>
    <row r="877" spans="1:4" x14ac:dyDescent="0.3">
      <c r="A877" t="s">
        <v>18</v>
      </c>
      <c r="C877" s="16">
        <v>46189</v>
      </c>
      <c r="D877">
        <v>69376.390000000174</v>
      </c>
    </row>
    <row r="878" spans="1:4" x14ac:dyDescent="0.3">
      <c r="A878" t="s">
        <v>19</v>
      </c>
      <c r="C878" s="16">
        <v>46189</v>
      </c>
      <c r="D878">
        <v>1669.89</v>
      </c>
    </row>
    <row r="879" spans="1:4" x14ac:dyDescent="0.3">
      <c r="A879" t="s">
        <v>20</v>
      </c>
      <c r="C879" s="16">
        <v>46189</v>
      </c>
      <c r="D879">
        <v>503904.80999999982</v>
      </c>
    </row>
    <row r="880" spans="1:4" x14ac:dyDescent="0.3">
      <c r="A880" t="s">
        <v>21</v>
      </c>
      <c r="C880" s="16">
        <v>46189</v>
      </c>
      <c r="D880">
        <v>3329246.88</v>
      </c>
    </row>
    <row r="881" spans="1:4" x14ac:dyDescent="0.3">
      <c r="A881" t="s">
        <v>22</v>
      </c>
      <c r="C881" s="16">
        <v>46189</v>
      </c>
      <c r="D881">
        <v>116496.38</v>
      </c>
    </row>
    <row r="882" spans="1:4" x14ac:dyDescent="0.3">
      <c r="A882" t="s">
        <v>23</v>
      </c>
      <c r="C882" s="16">
        <v>46189</v>
      </c>
      <c r="D882">
        <v>88090.37</v>
      </c>
    </row>
    <row r="883" spans="1:4" x14ac:dyDescent="0.3">
      <c r="A883" t="s">
        <v>24</v>
      </c>
      <c r="C883" s="16">
        <v>46189</v>
      </c>
      <c r="D883">
        <v>511.15999999999985</v>
      </c>
    </row>
    <row r="884" spans="1:4" x14ac:dyDescent="0.3">
      <c r="A884" t="s">
        <v>25</v>
      </c>
      <c r="C884" s="16">
        <v>46189</v>
      </c>
      <c r="D884">
        <v>84.35</v>
      </c>
    </row>
    <row r="885" spans="1:4" x14ac:dyDescent="0.3">
      <c r="A885" t="s">
        <v>26</v>
      </c>
      <c r="C885" s="16">
        <v>46189</v>
      </c>
      <c r="D885">
        <v>2237.77</v>
      </c>
    </row>
    <row r="886" spans="1:4" x14ac:dyDescent="0.3">
      <c r="A886" t="s">
        <v>27</v>
      </c>
      <c r="C886" s="16">
        <v>46189</v>
      </c>
      <c r="D886">
        <v>3349.94</v>
      </c>
    </row>
    <row r="887" spans="1:4" x14ac:dyDescent="0.3">
      <c r="A887" t="s">
        <v>28</v>
      </c>
      <c r="C887" s="16">
        <v>46189</v>
      </c>
      <c r="D887">
        <v>1968.99</v>
      </c>
    </row>
    <row r="888" spans="1:4" x14ac:dyDescent="0.3">
      <c r="A888" t="s">
        <v>29</v>
      </c>
      <c r="C888" s="16">
        <v>46189</v>
      </c>
      <c r="D888">
        <v>382.69000000000005</v>
      </c>
    </row>
    <row r="889" spans="1:4" x14ac:dyDescent="0.3">
      <c r="A889" t="s">
        <v>30</v>
      </c>
      <c r="C889" s="16">
        <v>46189</v>
      </c>
      <c r="D889">
        <v>1428.08</v>
      </c>
    </row>
    <row r="890" spans="1:4" x14ac:dyDescent="0.3">
      <c r="A890" t="s">
        <v>31</v>
      </c>
      <c r="C890" s="16">
        <v>46189</v>
      </c>
      <c r="D890">
        <v>29789.969999999961</v>
      </c>
    </row>
    <row r="891" spans="1:4" x14ac:dyDescent="0.3">
      <c r="A891" t="s">
        <v>32</v>
      </c>
      <c r="C891" s="16">
        <v>46189</v>
      </c>
      <c r="D891">
        <v>20321.43</v>
      </c>
    </row>
    <row r="892" spans="1:4" x14ac:dyDescent="0.3">
      <c r="A892" t="s">
        <v>33</v>
      </c>
      <c r="C892" s="16">
        <v>46189</v>
      </c>
      <c r="D892">
        <v>19811.349999999999</v>
      </c>
    </row>
    <row r="893" spans="1:4" x14ac:dyDescent="0.3">
      <c r="A893" t="s">
        <v>34</v>
      </c>
      <c r="C893" s="16">
        <v>46189</v>
      </c>
      <c r="D893">
        <v>345</v>
      </c>
    </row>
    <row r="894" spans="1:4" x14ac:dyDescent="0.3">
      <c r="A894" t="s">
        <v>35</v>
      </c>
      <c r="C894" s="16">
        <v>46189</v>
      </c>
      <c r="D894">
        <v>51334.36</v>
      </c>
    </row>
    <row r="895" spans="1:4" x14ac:dyDescent="0.3">
      <c r="A895" t="s">
        <v>17</v>
      </c>
      <c r="C895" s="16">
        <v>46190</v>
      </c>
      <c r="D895">
        <v>1098358.7500000002</v>
      </c>
    </row>
    <row r="896" spans="1:4" x14ac:dyDescent="0.3">
      <c r="A896" t="s">
        <v>18</v>
      </c>
      <c r="C896" s="16">
        <v>46190</v>
      </c>
      <c r="D896">
        <v>69376.390000000174</v>
      </c>
    </row>
    <row r="897" spans="1:4" x14ac:dyDescent="0.3">
      <c r="A897" t="s">
        <v>19</v>
      </c>
      <c r="C897" s="16">
        <v>46190</v>
      </c>
      <c r="D897">
        <v>1669.89</v>
      </c>
    </row>
    <row r="898" spans="1:4" x14ac:dyDescent="0.3">
      <c r="A898" t="s">
        <v>20</v>
      </c>
      <c r="C898" s="16">
        <v>46190</v>
      </c>
      <c r="D898">
        <v>503904.80999999982</v>
      </c>
    </row>
    <row r="899" spans="1:4" x14ac:dyDescent="0.3">
      <c r="A899" t="s">
        <v>21</v>
      </c>
      <c r="C899" s="16">
        <v>46190</v>
      </c>
      <c r="D899">
        <v>3326863.3899999997</v>
      </c>
    </row>
    <row r="900" spans="1:4" x14ac:dyDescent="0.3">
      <c r="A900" t="s">
        <v>22</v>
      </c>
      <c r="C900" s="16">
        <v>46190</v>
      </c>
      <c r="D900">
        <v>116496.38</v>
      </c>
    </row>
    <row r="901" spans="1:4" x14ac:dyDescent="0.3">
      <c r="A901" t="s">
        <v>23</v>
      </c>
      <c r="C901" s="16">
        <v>46190</v>
      </c>
      <c r="D901">
        <v>88090.37</v>
      </c>
    </row>
    <row r="902" spans="1:4" x14ac:dyDescent="0.3">
      <c r="A902" t="s">
        <v>24</v>
      </c>
      <c r="C902" s="16">
        <v>46190</v>
      </c>
      <c r="D902">
        <v>511.15999999999985</v>
      </c>
    </row>
    <row r="903" spans="1:4" x14ac:dyDescent="0.3">
      <c r="A903" t="s">
        <v>25</v>
      </c>
      <c r="C903" s="16">
        <v>46190</v>
      </c>
      <c r="D903">
        <v>84.35</v>
      </c>
    </row>
    <row r="904" spans="1:4" x14ac:dyDescent="0.3">
      <c r="A904" t="s">
        <v>26</v>
      </c>
      <c r="C904" s="16">
        <v>46190</v>
      </c>
      <c r="D904">
        <v>2237.77</v>
      </c>
    </row>
    <row r="905" spans="1:4" x14ac:dyDescent="0.3">
      <c r="A905" t="s">
        <v>27</v>
      </c>
      <c r="C905" s="16">
        <v>46190</v>
      </c>
      <c r="D905">
        <v>3349.94</v>
      </c>
    </row>
    <row r="906" spans="1:4" x14ac:dyDescent="0.3">
      <c r="A906" t="s">
        <v>28</v>
      </c>
      <c r="C906" s="16">
        <v>46190</v>
      </c>
      <c r="D906">
        <v>1968.99</v>
      </c>
    </row>
    <row r="907" spans="1:4" x14ac:dyDescent="0.3">
      <c r="A907" t="s">
        <v>29</v>
      </c>
      <c r="C907" s="16">
        <v>46190</v>
      </c>
      <c r="D907">
        <v>382.69000000000005</v>
      </c>
    </row>
    <row r="908" spans="1:4" x14ac:dyDescent="0.3">
      <c r="A908" t="s">
        <v>30</v>
      </c>
      <c r="C908" s="16">
        <v>46190</v>
      </c>
      <c r="D908">
        <v>1428.08</v>
      </c>
    </row>
    <row r="909" spans="1:4" x14ac:dyDescent="0.3">
      <c r="A909" t="s">
        <v>31</v>
      </c>
      <c r="C909" s="16">
        <v>46190</v>
      </c>
      <c r="D909">
        <v>29789.969999999961</v>
      </c>
    </row>
    <row r="910" spans="1:4" x14ac:dyDescent="0.3">
      <c r="A910" t="s">
        <v>32</v>
      </c>
      <c r="C910" s="16">
        <v>46190</v>
      </c>
      <c r="D910">
        <v>20321.43</v>
      </c>
    </row>
    <row r="911" spans="1:4" x14ac:dyDescent="0.3">
      <c r="A911" t="s">
        <v>33</v>
      </c>
      <c r="C911" s="16">
        <v>46190</v>
      </c>
      <c r="D911">
        <v>16681.349999999999</v>
      </c>
    </row>
    <row r="912" spans="1:4" x14ac:dyDescent="0.3">
      <c r="A912" t="s">
        <v>34</v>
      </c>
      <c r="C912" s="16">
        <v>46190</v>
      </c>
      <c r="D912">
        <v>345</v>
      </c>
    </row>
    <row r="913" spans="1:4" x14ac:dyDescent="0.3">
      <c r="A913" t="s">
        <v>35</v>
      </c>
      <c r="C913" s="16">
        <v>46190</v>
      </c>
      <c r="D913">
        <v>50334.36</v>
      </c>
    </row>
    <row r="914" spans="1:4" x14ac:dyDescent="0.3">
      <c r="A914" t="s">
        <v>17</v>
      </c>
      <c r="C914" s="16">
        <v>46191</v>
      </c>
      <c r="D914">
        <v>1098358.7500000002</v>
      </c>
    </row>
    <row r="915" spans="1:4" x14ac:dyDescent="0.3">
      <c r="A915" t="s">
        <v>18</v>
      </c>
      <c r="C915" s="16">
        <v>46191</v>
      </c>
      <c r="D915">
        <v>69376.390000000174</v>
      </c>
    </row>
    <row r="916" spans="1:4" x14ac:dyDescent="0.3">
      <c r="A916" t="s">
        <v>19</v>
      </c>
      <c r="C916" s="16">
        <v>46191</v>
      </c>
      <c r="D916">
        <v>1669.89</v>
      </c>
    </row>
    <row r="917" spans="1:4" x14ac:dyDescent="0.3">
      <c r="A917" t="s">
        <v>20</v>
      </c>
      <c r="C917" s="16">
        <v>46191</v>
      </c>
      <c r="D917">
        <v>503904.80999999982</v>
      </c>
    </row>
    <row r="918" spans="1:4" x14ac:dyDescent="0.3">
      <c r="A918" t="s">
        <v>21</v>
      </c>
      <c r="C918" s="16">
        <v>46191</v>
      </c>
      <c r="D918">
        <v>3326696.7299999995</v>
      </c>
    </row>
    <row r="919" spans="1:4" x14ac:dyDescent="0.3">
      <c r="A919" t="s">
        <v>22</v>
      </c>
      <c r="C919" s="16">
        <v>46191</v>
      </c>
      <c r="D919">
        <v>116496.38</v>
      </c>
    </row>
    <row r="920" spans="1:4" x14ac:dyDescent="0.3">
      <c r="A920" t="s">
        <v>23</v>
      </c>
      <c r="C920" s="16">
        <v>46191</v>
      </c>
      <c r="D920">
        <v>88090.37</v>
      </c>
    </row>
    <row r="921" spans="1:4" x14ac:dyDescent="0.3">
      <c r="A921" t="s">
        <v>24</v>
      </c>
      <c r="C921" s="16">
        <v>46191</v>
      </c>
      <c r="D921">
        <v>511.15999999999985</v>
      </c>
    </row>
    <row r="922" spans="1:4" x14ac:dyDescent="0.3">
      <c r="A922" t="s">
        <v>25</v>
      </c>
      <c r="C922" s="16">
        <v>46191</v>
      </c>
      <c r="D922">
        <v>84.35</v>
      </c>
    </row>
    <row r="923" spans="1:4" x14ac:dyDescent="0.3">
      <c r="A923" t="s">
        <v>26</v>
      </c>
      <c r="C923" s="16">
        <v>46191</v>
      </c>
      <c r="D923">
        <v>2237.77</v>
      </c>
    </row>
    <row r="924" spans="1:4" x14ac:dyDescent="0.3">
      <c r="A924" t="s">
        <v>27</v>
      </c>
      <c r="C924" s="16">
        <v>46191</v>
      </c>
      <c r="D924">
        <v>3349.94</v>
      </c>
    </row>
    <row r="925" spans="1:4" x14ac:dyDescent="0.3">
      <c r="A925" t="s">
        <v>28</v>
      </c>
      <c r="C925" s="16">
        <v>46191</v>
      </c>
      <c r="D925">
        <v>1968.99</v>
      </c>
    </row>
    <row r="926" spans="1:4" x14ac:dyDescent="0.3">
      <c r="A926" t="s">
        <v>29</v>
      </c>
      <c r="C926" s="16">
        <v>46191</v>
      </c>
      <c r="D926">
        <v>382.69000000000005</v>
      </c>
    </row>
    <row r="927" spans="1:4" x14ac:dyDescent="0.3">
      <c r="A927" t="s">
        <v>30</v>
      </c>
      <c r="C927" s="16">
        <v>46191</v>
      </c>
      <c r="D927">
        <v>1428.08</v>
      </c>
    </row>
    <row r="928" spans="1:4" x14ac:dyDescent="0.3">
      <c r="A928" t="s">
        <v>31</v>
      </c>
      <c r="C928" s="16">
        <v>46191</v>
      </c>
      <c r="D928">
        <v>29789.969999999961</v>
      </c>
    </row>
    <row r="929" spans="1:4" x14ac:dyDescent="0.3">
      <c r="A929" t="s">
        <v>32</v>
      </c>
      <c r="C929" s="16">
        <v>46191</v>
      </c>
      <c r="D929">
        <v>20321.43</v>
      </c>
    </row>
    <row r="930" spans="1:4" x14ac:dyDescent="0.3">
      <c r="A930" t="s">
        <v>33</v>
      </c>
      <c r="C930" s="16">
        <v>46191</v>
      </c>
      <c r="D930">
        <v>16681.349999999999</v>
      </c>
    </row>
    <row r="931" spans="1:4" x14ac:dyDescent="0.3">
      <c r="A931" t="s">
        <v>34</v>
      </c>
      <c r="C931" s="16">
        <v>46191</v>
      </c>
      <c r="D931">
        <v>345</v>
      </c>
    </row>
    <row r="932" spans="1:4" x14ac:dyDescent="0.3">
      <c r="A932" t="s">
        <v>35</v>
      </c>
      <c r="C932" s="16">
        <v>46191</v>
      </c>
      <c r="D932">
        <v>50334.36</v>
      </c>
    </row>
    <row r="933" spans="1:4" x14ac:dyDescent="0.3">
      <c r="A933" t="s">
        <v>17</v>
      </c>
      <c r="C933" s="16">
        <v>46192</v>
      </c>
      <c r="D933">
        <v>1098358.7500000002</v>
      </c>
    </row>
    <row r="934" spans="1:4" x14ac:dyDescent="0.3">
      <c r="A934" t="s">
        <v>18</v>
      </c>
      <c r="C934" s="16">
        <v>46192</v>
      </c>
      <c r="D934">
        <v>69376.390000000174</v>
      </c>
    </row>
    <row r="935" spans="1:4" x14ac:dyDescent="0.3">
      <c r="A935" t="s">
        <v>19</v>
      </c>
      <c r="C935" s="16">
        <v>46192</v>
      </c>
      <c r="D935">
        <v>1669.89</v>
      </c>
    </row>
    <row r="936" spans="1:4" x14ac:dyDescent="0.3">
      <c r="A936" t="s">
        <v>20</v>
      </c>
      <c r="C936" s="16">
        <v>46192</v>
      </c>
      <c r="D936">
        <v>503904.80999999982</v>
      </c>
    </row>
    <row r="937" spans="1:4" x14ac:dyDescent="0.3">
      <c r="A937" t="s">
        <v>21</v>
      </c>
      <c r="C937" s="16">
        <v>46192</v>
      </c>
      <c r="D937">
        <v>3326696.7299999995</v>
      </c>
    </row>
    <row r="938" spans="1:4" x14ac:dyDescent="0.3">
      <c r="A938" t="s">
        <v>22</v>
      </c>
      <c r="C938" s="16">
        <v>46192</v>
      </c>
      <c r="D938">
        <v>116496.38</v>
      </c>
    </row>
    <row r="939" spans="1:4" x14ac:dyDescent="0.3">
      <c r="A939" t="s">
        <v>23</v>
      </c>
      <c r="C939" s="16">
        <v>46192</v>
      </c>
      <c r="D939">
        <v>88090.37</v>
      </c>
    </row>
    <row r="940" spans="1:4" x14ac:dyDescent="0.3">
      <c r="A940" t="s">
        <v>24</v>
      </c>
      <c r="C940" s="16">
        <v>46192</v>
      </c>
      <c r="D940">
        <v>511.15999999999985</v>
      </c>
    </row>
    <row r="941" spans="1:4" x14ac:dyDescent="0.3">
      <c r="A941" t="s">
        <v>25</v>
      </c>
      <c r="C941" s="16">
        <v>46192</v>
      </c>
      <c r="D941">
        <v>84.35</v>
      </c>
    </row>
    <row r="942" spans="1:4" x14ac:dyDescent="0.3">
      <c r="A942" t="s">
        <v>26</v>
      </c>
      <c r="C942" s="16">
        <v>46192</v>
      </c>
      <c r="D942">
        <v>2237.77</v>
      </c>
    </row>
    <row r="943" spans="1:4" x14ac:dyDescent="0.3">
      <c r="A943" t="s">
        <v>27</v>
      </c>
      <c r="C943" s="16">
        <v>46192</v>
      </c>
      <c r="D943">
        <v>3349.94</v>
      </c>
    </row>
    <row r="944" spans="1:4" x14ac:dyDescent="0.3">
      <c r="A944" t="s">
        <v>28</v>
      </c>
      <c r="C944" s="16">
        <v>46192</v>
      </c>
      <c r="D944">
        <v>1968.99</v>
      </c>
    </row>
    <row r="945" spans="1:4" x14ac:dyDescent="0.3">
      <c r="A945" t="s">
        <v>29</v>
      </c>
      <c r="C945" s="16">
        <v>46192</v>
      </c>
      <c r="D945">
        <v>382.69000000000005</v>
      </c>
    </row>
    <row r="946" spans="1:4" x14ac:dyDescent="0.3">
      <c r="A946" t="s">
        <v>30</v>
      </c>
      <c r="C946" s="16">
        <v>46192</v>
      </c>
      <c r="D946">
        <v>1428.08</v>
      </c>
    </row>
    <row r="947" spans="1:4" x14ac:dyDescent="0.3">
      <c r="A947" t="s">
        <v>31</v>
      </c>
      <c r="C947" s="16">
        <v>46192</v>
      </c>
      <c r="D947">
        <v>29789.969999999961</v>
      </c>
    </row>
    <row r="948" spans="1:4" x14ac:dyDescent="0.3">
      <c r="A948" t="s">
        <v>32</v>
      </c>
      <c r="C948" s="16">
        <v>46192</v>
      </c>
      <c r="D948">
        <v>20321.43</v>
      </c>
    </row>
    <row r="949" spans="1:4" x14ac:dyDescent="0.3">
      <c r="A949" t="s">
        <v>33</v>
      </c>
      <c r="C949" s="16">
        <v>46192</v>
      </c>
      <c r="D949">
        <v>16681.349999999999</v>
      </c>
    </row>
    <row r="950" spans="1:4" x14ac:dyDescent="0.3">
      <c r="A950" t="s">
        <v>34</v>
      </c>
      <c r="C950" s="16">
        <v>46192</v>
      </c>
      <c r="D950">
        <v>345</v>
      </c>
    </row>
    <row r="951" spans="1:4" x14ac:dyDescent="0.3">
      <c r="A951" t="s">
        <v>35</v>
      </c>
      <c r="C951" s="16">
        <v>46192</v>
      </c>
      <c r="D951">
        <v>50334.36</v>
      </c>
    </row>
    <row r="952" spans="1:4" x14ac:dyDescent="0.3">
      <c r="A952" t="s">
        <v>17</v>
      </c>
      <c r="C952" s="16">
        <v>46193</v>
      </c>
      <c r="D952">
        <v>1098358.7500000002</v>
      </c>
    </row>
    <row r="953" spans="1:4" x14ac:dyDescent="0.3">
      <c r="A953" t="s">
        <v>18</v>
      </c>
      <c r="C953" s="16">
        <v>46193</v>
      </c>
      <c r="D953">
        <v>69376.390000000174</v>
      </c>
    </row>
    <row r="954" spans="1:4" x14ac:dyDescent="0.3">
      <c r="A954" t="s">
        <v>19</v>
      </c>
      <c r="C954" s="16">
        <v>46193</v>
      </c>
      <c r="D954">
        <v>1669.89</v>
      </c>
    </row>
    <row r="955" spans="1:4" x14ac:dyDescent="0.3">
      <c r="A955" t="s">
        <v>20</v>
      </c>
      <c r="C955" s="16">
        <v>46193</v>
      </c>
      <c r="D955">
        <v>503904.80999999982</v>
      </c>
    </row>
    <row r="956" spans="1:4" x14ac:dyDescent="0.3">
      <c r="A956" t="s">
        <v>21</v>
      </c>
      <c r="C956" s="16">
        <v>46193</v>
      </c>
      <c r="D956">
        <v>3326696.7299999995</v>
      </c>
    </row>
    <row r="957" spans="1:4" x14ac:dyDescent="0.3">
      <c r="A957" t="s">
        <v>22</v>
      </c>
      <c r="C957" s="16">
        <v>46193</v>
      </c>
      <c r="D957">
        <v>116496.38</v>
      </c>
    </row>
    <row r="958" spans="1:4" x14ac:dyDescent="0.3">
      <c r="A958" t="s">
        <v>23</v>
      </c>
      <c r="C958" s="16">
        <v>46193</v>
      </c>
      <c r="D958">
        <v>88090.37</v>
      </c>
    </row>
    <row r="959" spans="1:4" x14ac:dyDescent="0.3">
      <c r="A959" t="s">
        <v>24</v>
      </c>
      <c r="C959" s="16">
        <v>46193</v>
      </c>
      <c r="D959">
        <v>511.15999999999985</v>
      </c>
    </row>
    <row r="960" spans="1:4" x14ac:dyDescent="0.3">
      <c r="A960" t="s">
        <v>25</v>
      </c>
      <c r="C960" s="16">
        <v>46193</v>
      </c>
      <c r="D960">
        <v>84.35</v>
      </c>
    </row>
    <row r="961" spans="1:4" x14ac:dyDescent="0.3">
      <c r="A961" t="s">
        <v>26</v>
      </c>
      <c r="C961" s="16">
        <v>46193</v>
      </c>
      <c r="D961">
        <v>2237.77</v>
      </c>
    </row>
    <row r="962" spans="1:4" x14ac:dyDescent="0.3">
      <c r="A962" t="s">
        <v>27</v>
      </c>
      <c r="C962" s="16">
        <v>46193</v>
      </c>
      <c r="D962">
        <v>3349.94</v>
      </c>
    </row>
    <row r="963" spans="1:4" x14ac:dyDescent="0.3">
      <c r="A963" t="s">
        <v>28</v>
      </c>
      <c r="C963" s="16">
        <v>46193</v>
      </c>
      <c r="D963">
        <v>1968.99</v>
      </c>
    </row>
    <row r="964" spans="1:4" x14ac:dyDescent="0.3">
      <c r="A964" t="s">
        <v>29</v>
      </c>
      <c r="C964" s="16">
        <v>46193</v>
      </c>
      <c r="D964">
        <v>382.69000000000005</v>
      </c>
    </row>
    <row r="965" spans="1:4" x14ac:dyDescent="0.3">
      <c r="A965" t="s">
        <v>30</v>
      </c>
      <c r="C965" s="16">
        <v>46193</v>
      </c>
      <c r="D965">
        <v>1428.08</v>
      </c>
    </row>
    <row r="966" spans="1:4" x14ac:dyDescent="0.3">
      <c r="A966" t="s">
        <v>31</v>
      </c>
      <c r="C966" s="16">
        <v>46193</v>
      </c>
      <c r="D966">
        <v>29789.969999999961</v>
      </c>
    </row>
    <row r="967" spans="1:4" x14ac:dyDescent="0.3">
      <c r="A967" t="s">
        <v>32</v>
      </c>
      <c r="C967" s="16">
        <v>46193</v>
      </c>
      <c r="D967">
        <v>20321.43</v>
      </c>
    </row>
    <row r="968" spans="1:4" x14ac:dyDescent="0.3">
      <c r="A968" t="s">
        <v>33</v>
      </c>
      <c r="C968" s="16">
        <v>46193</v>
      </c>
      <c r="D968">
        <v>16681.349999999999</v>
      </c>
    </row>
    <row r="969" spans="1:4" x14ac:dyDescent="0.3">
      <c r="A969" t="s">
        <v>34</v>
      </c>
      <c r="C969" s="16">
        <v>46193</v>
      </c>
      <c r="D969">
        <v>345</v>
      </c>
    </row>
    <row r="970" spans="1:4" x14ac:dyDescent="0.3">
      <c r="A970" t="s">
        <v>35</v>
      </c>
      <c r="C970" s="16">
        <v>46193</v>
      </c>
      <c r="D970">
        <v>50334.36</v>
      </c>
    </row>
    <row r="971" spans="1:4" x14ac:dyDescent="0.3">
      <c r="A971" t="s">
        <v>17</v>
      </c>
      <c r="C971" s="16">
        <v>46194</v>
      </c>
      <c r="D971">
        <v>1098358.7500000002</v>
      </c>
    </row>
    <row r="972" spans="1:4" x14ac:dyDescent="0.3">
      <c r="A972" t="s">
        <v>18</v>
      </c>
      <c r="C972" s="16">
        <v>46194</v>
      </c>
      <c r="D972">
        <v>69376.390000000174</v>
      </c>
    </row>
    <row r="973" spans="1:4" x14ac:dyDescent="0.3">
      <c r="A973" t="s">
        <v>19</v>
      </c>
      <c r="C973" s="16">
        <v>46194</v>
      </c>
      <c r="D973">
        <v>1669.89</v>
      </c>
    </row>
    <row r="974" spans="1:4" x14ac:dyDescent="0.3">
      <c r="A974" t="s">
        <v>20</v>
      </c>
      <c r="C974" s="16">
        <v>46194</v>
      </c>
      <c r="D974">
        <v>503904.80999999982</v>
      </c>
    </row>
    <row r="975" spans="1:4" x14ac:dyDescent="0.3">
      <c r="A975" t="s">
        <v>21</v>
      </c>
      <c r="C975" s="16">
        <v>46194</v>
      </c>
      <c r="D975">
        <v>3326696.7299999995</v>
      </c>
    </row>
    <row r="976" spans="1:4" x14ac:dyDescent="0.3">
      <c r="A976" t="s">
        <v>22</v>
      </c>
      <c r="C976" s="16">
        <v>46194</v>
      </c>
      <c r="D976">
        <v>116496.38</v>
      </c>
    </row>
    <row r="977" spans="1:4" x14ac:dyDescent="0.3">
      <c r="A977" t="s">
        <v>23</v>
      </c>
      <c r="C977" s="16">
        <v>46194</v>
      </c>
      <c r="D977">
        <v>88090.37</v>
      </c>
    </row>
    <row r="978" spans="1:4" x14ac:dyDescent="0.3">
      <c r="A978" t="s">
        <v>24</v>
      </c>
      <c r="C978" s="16">
        <v>46194</v>
      </c>
      <c r="D978">
        <v>511.15999999999985</v>
      </c>
    </row>
    <row r="979" spans="1:4" x14ac:dyDescent="0.3">
      <c r="A979" t="s">
        <v>25</v>
      </c>
      <c r="C979" s="16">
        <v>46194</v>
      </c>
      <c r="D979">
        <v>84.35</v>
      </c>
    </row>
    <row r="980" spans="1:4" x14ac:dyDescent="0.3">
      <c r="A980" t="s">
        <v>26</v>
      </c>
      <c r="C980" s="16">
        <v>46194</v>
      </c>
      <c r="D980">
        <v>2237.77</v>
      </c>
    </row>
    <row r="981" spans="1:4" x14ac:dyDescent="0.3">
      <c r="A981" t="s">
        <v>27</v>
      </c>
      <c r="C981" s="16">
        <v>46194</v>
      </c>
      <c r="D981">
        <v>3349.94</v>
      </c>
    </row>
    <row r="982" spans="1:4" x14ac:dyDescent="0.3">
      <c r="A982" t="s">
        <v>28</v>
      </c>
      <c r="C982" s="16">
        <v>46194</v>
      </c>
      <c r="D982">
        <v>1968.99</v>
      </c>
    </row>
    <row r="983" spans="1:4" x14ac:dyDescent="0.3">
      <c r="A983" t="s">
        <v>29</v>
      </c>
      <c r="C983" s="16">
        <v>46194</v>
      </c>
      <c r="D983">
        <v>382.69000000000005</v>
      </c>
    </row>
    <row r="984" spans="1:4" x14ac:dyDescent="0.3">
      <c r="A984" t="s">
        <v>30</v>
      </c>
      <c r="C984" s="16">
        <v>46194</v>
      </c>
      <c r="D984">
        <v>1428.08</v>
      </c>
    </row>
    <row r="985" spans="1:4" x14ac:dyDescent="0.3">
      <c r="A985" t="s">
        <v>31</v>
      </c>
      <c r="C985" s="16">
        <v>46194</v>
      </c>
      <c r="D985">
        <v>29789.969999999961</v>
      </c>
    </row>
    <row r="986" spans="1:4" x14ac:dyDescent="0.3">
      <c r="A986" t="s">
        <v>32</v>
      </c>
      <c r="C986" s="16">
        <v>46194</v>
      </c>
      <c r="D986">
        <v>20321.43</v>
      </c>
    </row>
    <row r="987" spans="1:4" x14ac:dyDescent="0.3">
      <c r="A987" t="s">
        <v>33</v>
      </c>
      <c r="C987" s="16">
        <v>46194</v>
      </c>
      <c r="D987">
        <v>16681.349999999999</v>
      </c>
    </row>
    <row r="988" spans="1:4" x14ac:dyDescent="0.3">
      <c r="A988" t="s">
        <v>34</v>
      </c>
      <c r="C988" s="16">
        <v>46194</v>
      </c>
      <c r="D988">
        <v>345</v>
      </c>
    </row>
    <row r="989" spans="1:4" x14ac:dyDescent="0.3">
      <c r="A989" t="s">
        <v>35</v>
      </c>
      <c r="C989" s="16">
        <v>46194</v>
      </c>
      <c r="D989">
        <v>50334.36</v>
      </c>
    </row>
    <row r="990" spans="1:4" x14ac:dyDescent="0.3">
      <c r="A990" t="s">
        <v>17</v>
      </c>
      <c r="C990" s="16">
        <v>46195</v>
      </c>
      <c r="D990">
        <v>7613332.1400000006</v>
      </c>
    </row>
    <row r="991" spans="1:4" x14ac:dyDescent="0.3">
      <c r="A991" t="s">
        <v>18</v>
      </c>
      <c r="C991" s="16">
        <v>46195</v>
      </c>
      <c r="D991">
        <v>69376.390000000174</v>
      </c>
    </row>
    <row r="992" spans="1:4" x14ac:dyDescent="0.3">
      <c r="A992" t="s">
        <v>19</v>
      </c>
      <c r="C992" s="16">
        <v>46195</v>
      </c>
      <c r="D992">
        <v>1669.89</v>
      </c>
    </row>
    <row r="993" spans="1:4" x14ac:dyDescent="0.3">
      <c r="A993" t="s">
        <v>20</v>
      </c>
      <c r="C993" s="16">
        <v>46195</v>
      </c>
      <c r="D993">
        <v>503904.80999999982</v>
      </c>
    </row>
    <row r="994" spans="1:4" x14ac:dyDescent="0.3">
      <c r="A994" t="s">
        <v>21</v>
      </c>
      <c r="C994" s="16">
        <v>46195</v>
      </c>
      <c r="D994">
        <v>3325868.6899999995</v>
      </c>
    </row>
    <row r="995" spans="1:4" x14ac:dyDescent="0.3">
      <c r="A995" t="s">
        <v>22</v>
      </c>
      <c r="C995" s="16">
        <v>46195</v>
      </c>
      <c r="D995">
        <v>116496.38</v>
      </c>
    </row>
    <row r="996" spans="1:4" x14ac:dyDescent="0.3">
      <c r="A996" t="s">
        <v>23</v>
      </c>
      <c r="C996" s="16">
        <v>46195</v>
      </c>
      <c r="D996">
        <v>88090.37</v>
      </c>
    </row>
    <row r="997" spans="1:4" x14ac:dyDescent="0.3">
      <c r="A997" t="s">
        <v>24</v>
      </c>
      <c r="C997" s="16">
        <v>46195</v>
      </c>
      <c r="D997">
        <v>511.15999999999985</v>
      </c>
    </row>
    <row r="998" spans="1:4" x14ac:dyDescent="0.3">
      <c r="A998" t="s">
        <v>25</v>
      </c>
      <c r="C998" s="16">
        <v>46195</v>
      </c>
      <c r="D998">
        <v>84.35</v>
      </c>
    </row>
    <row r="999" spans="1:4" x14ac:dyDescent="0.3">
      <c r="A999" t="s">
        <v>26</v>
      </c>
      <c r="C999" s="16">
        <v>46195</v>
      </c>
      <c r="D999">
        <v>2237.77</v>
      </c>
    </row>
    <row r="1000" spans="1:4" x14ac:dyDescent="0.3">
      <c r="A1000" t="s">
        <v>27</v>
      </c>
      <c r="C1000" s="16">
        <v>46195</v>
      </c>
      <c r="D1000">
        <v>3349.94</v>
      </c>
    </row>
    <row r="1001" spans="1:4" x14ac:dyDescent="0.3">
      <c r="A1001" t="s">
        <v>28</v>
      </c>
      <c r="C1001" s="16">
        <v>46195</v>
      </c>
      <c r="D1001">
        <v>1968.99</v>
      </c>
    </row>
    <row r="1002" spans="1:4" x14ac:dyDescent="0.3">
      <c r="A1002" t="s">
        <v>29</v>
      </c>
      <c r="C1002" s="16">
        <v>46195</v>
      </c>
      <c r="D1002">
        <v>382.69000000000005</v>
      </c>
    </row>
    <row r="1003" spans="1:4" x14ac:dyDescent="0.3">
      <c r="A1003" t="s">
        <v>30</v>
      </c>
      <c r="C1003" s="16">
        <v>46195</v>
      </c>
      <c r="D1003">
        <v>1428.08</v>
      </c>
    </row>
    <row r="1004" spans="1:4" x14ac:dyDescent="0.3">
      <c r="A1004" t="s">
        <v>31</v>
      </c>
      <c r="C1004" s="16">
        <v>46195</v>
      </c>
      <c r="D1004">
        <v>31039.969999999961</v>
      </c>
    </row>
    <row r="1005" spans="1:4" x14ac:dyDescent="0.3">
      <c r="A1005" t="s">
        <v>32</v>
      </c>
      <c r="C1005" s="16">
        <v>46195</v>
      </c>
      <c r="D1005">
        <v>20321.43</v>
      </c>
    </row>
    <row r="1006" spans="1:4" x14ac:dyDescent="0.3">
      <c r="A1006" t="s">
        <v>33</v>
      </c>
      <c r="C1006" s="16">
        <v>46195</v>
      </c>
      <c r="D1006">
        <v>16681.349999999999</v>
      </c>
    </row>
    <row r="1007" spans="1:4" x14ac:dyDescent="0.3">
      <c r="A1007" t="s">
        <v>34</v>
      </c>
      <c r="C1007" s="16">
        <v>46195</v>
      </c>
      <c r="D1007">
        <v>345</v>
      </c>
    </row>
    <row r="1008" spans="1:4" x14ac:dyDescent="0.3">
      <c r="A1008" t="s">
        <v>35</v>
      </c>
      <c r="C1008" s="16">
        <v>46195</v>
      </c>
      <c r="D1008">
        <v>50109.68</v>
      </c>
    </row>
    <row r="1009" spans="1:4" x14ac:dyDescent="0.3">
      <c r="A1009" t="s">
        <v>17</v>
      </c>
      <c r="C1009" s="16">
        <v>46196</v>
      </c>
      <c r="D1009">
        <v>7675741.5900000008</v>
      </c>
    </row>
    <row r="1010" spans="1:4" x14ac:dyDescent="0.3">
      <c r="A1010" t="s">
        <v>18</v>
      </c>
      <c r="C1010" s="16">
        <v>46196</v>
      </c>
      <c r="D1010">
        <v>69376.390000000174</v>
      </c>
    </row>
    <row r="1011" spans="1:4" x14ac:dyDescent="0.3">
      <c r="A1011" t="s">
        <v>19</v>
      </c>
      <c r="C1011" s="16">
        <v>46196</v>
      </c>
      <c r="D1011">
        <v>1669.89</v>
      </c>
    </row>
    <row r="1012" spans="1:4" x14ac:dyDescent="0.3">
      <c r="A1012" t="s">
        <v>20</v>
      </c>
      <c r="C1012" s="16">
        <v>46196</v>
      </c>
      <c r="D1012">
        <v>503904.80999999982</v>
      </c>
    </row>
    <row r="1013" spans="1:4" x14ac:dyDescent="0.3">
      <c r="A1013" t="s">
        <v>21</v>
      </c>
      <c r="C1013" s="16">
        <v>46196</v>
      </c>
      <c r="D1013">
        <v>3325868.6899999995</v>
      </c>
    </row>
    <row r="1014" spans="1:4" x14ac:dyDescent="0.3">
      <c r="A1014" t="s">
        <v>22</v>
      </c>
      <c r="C1014" s="16">
        <v>46196</v>
      </c>
      <c r="D1014">
        <v>116496.38</v>
      </c>
    </row>
    <row r="1015" spans="1:4" x14ac:dyDescent="0.3">
      <c r="A1015" t="s">
        <v>23</v>
      </c>
      <c r="C1015" s="16">
        <v>46196</v>
      </c>
      <c r="D1015">
        <v>88090.37</v>
      </c>
    </row>
    <row r="1016" spans="1:4" x14ac:dyDescent="0.3">
      <c r="A1016" t="s">
        <v>24</v>
      </c>
      <c r="C1016" s="16">
        <v>46196</v>
      </c>
      <c r="D1016">
        <v>511.15999999999985</v>
      </c>
    </row>
    <row r="1017" spans="1:4" x14ac:dyDescent="0.3">
      <c r="A1017" t="s">
        <v>25</v>
      </c>
      <c r="C1017" s="16">
        <v>46196</v>
      </c>
      <c r="D1017">
        <v>84.35</v>
      </c>
    </row>
    <row r="1018" spans="1:4" x14ac:dyDescent="0.3">
      <c r="A1018" t="s">
        <v>26</v>
      </c>
      <c r="C1018" s="16">
        <v>46196</v>
      </c>
      <c r="D1018">
        <v>2237.77</v>
      </c>
    </row>
    <row r="1019" spans="1:4" x14ac:dyDescent="0.3">
      <c r="A1019" t="s">
        <v>27</v>
      </c>
      <c r="C1019" s="16">
        <v>46196</v>
      </c>
      <c r="D1019">
        <v>3349.94</v>
      </c>
    </row>
    <row r="1020" spans="1:4" x14ac:dyDescent="0.3">
      <c r="A1020" t="s">
        <v>28</v>
      </c>
      <c r="C1020" s="16">
        <v>46196</v>
      </c>
      <c r="D1020">
        <v>1968.99</v>
      </c>
    </row>
    <row r="1021" spans="1:4" x14ac:dyDescent="0.3">
      <c r="A1021" t="s">
        <v>29</v>
      </c>
      <c r="C1021" s="16">
        <v>46196</v>
      </c>
      <c r="D1021">
        <v>382.69000000000005</v>
      </c>
    </row>
    <row r="1022" spans="1:4" x14ac:dyDescent="0.3">
      <c r="A1022" t="s">
        <v>30</v>
      </c>
      <c r="C1022" s="16">
        <v>46196</v>
      </c>
      <c r="D1022">
        <v>1428.08</v>
      </c>
    </row>
    <row r="1023" spans="1:4" x14ac:dyDescent="0.3">
      <c r="A1023" t="s">
        <v>31</v>
      </c>
      <c r="C1023" s="16">
        <v>46196</v>
      </c>
      <c r="D1023">
        <v>31039.969999999961</v>
      </c>
    </row>
    <row r="1024" spans="1:4" x14ac:dyDescent="0.3">
      <c r="A1024" t="s">
        <v>32</v>
      </c>
      <c r="C1024" s="16">
        <v>46196</v>
      </c>
      <c r="D1024">
        <v>20321.43</v>
      </c>
    </row>
    <row r="1025" spans="1:4" x14ac:dyDescent="0.3">
      <c r="A1025" t="s">
        <v>33</v>
      </c>
      <c r="C1025" s="16">
        <v>46196</v>
      </c>
      <c r="D1025">
        <v>16681.349999999999</v>
      </c>
    </row>
    <row r="1026" spans="1:4" x14ac:dyDescent="0.3">
      <c r="A1026" t="s">
        <v>34</v>
      </c>
      <c r="C1026" s="16">
        <v>46196</v>
      </c>
      <c r="D1026">
        <v>345</v>
      </c>
    </row>
    <row r="1027" spans="1:4" x14ac:dyDescent="0.3">
      <c r="A1027" t="s">
        <v>35</v>
      </c>
      <c r="C1027" s="16">
        <v>46196</v>
      </c>
      <c r="D1027">
        <v>49981.31</v>
      </c>
    </row>
    <row r="1028" spans="1:4" x14ac:dyDescent="0.3">
      <c r="A1028" t="s">
        <v>17</v>
      </c>
      <c r="C1028" s="16">
        <v>46197</v>
      </c>
      <c r="D1028">
        <v>7742810.7100000009</v>
      </c>
    </row>
    <row r="1029" spans="1:4" x14ac:dyDescent="0.3">
      <c r="A1029" t="s">
        <v>18</v>
      </c>
      <c r="C1029" s="16">
        <v>46197</v>
      </c>
      <c r="D1029">
        <v>72386.190000000177</v>
      </c>
    </row>
    <row r="1030" spans="1:4" x14ac:dyDescent="0.3">
      <c r="A1030" t="s">
        <v>19</v>
      </c>
      <c r="C1030" s="16">
        <v>46197</v>
      </c>
      <c r="D1030">
        <v>1669.89</v>
      </c>
    </row>
    <row r="1031" spans="1:4" x14ac:dyDescent="0.3">
      <c r="A1031" t="s">
        <v>20</v>
      </c>
      <c r="C1031" s="16">
        <v>46197</v>
      </c>
      <c r="D1031">
        <v>532766.72999999986</v>
      </c>
    </row>
    <row r="1032" spans="1:4" x14ac:dyDescent="0.3">
      <c r="A1032" t="s">
        <v>21</v>
      </c>
      <c r="C1032" s="16">
        <v>46197</v>
      </c>
      <c r="D1032">
        <v>3325868.6899999995</v>
      </c>
    </row>
    <row r="1033" spans="1:4" x14ac:dyDescent="0.3">
      <c r="A1033" t="s">
        <v>22</v>
      </c>
      <c r="C1033" s="16">
        <v>46197</v>
      </c>
      <c r="D1033">
        <v>116496.38</v>
      </c>
    </row>
    <row r="1034" spans="1:4" x14ac:dyDescent="0.3">
      <c r="A1034" t="s">
        <v>23</v>
      </c>
      <c r="C1034" s="16">
        <v>46197</v>
      </c>
      <c r="D1034">
        <v>88090.37</v>
      </c>
    </row>
    <row r="1035" spans="1:4" x14ac:dyDescent="0.3">
      <c r="A1035" t="s">
        <v>24</v>
      </c>
      <c r="C1035" s="16">
        <v>46197</v>
      </c>
      <c r="D1035">
        <v>511.15999999999985</v>
      </c>
    </row>
    <row r="1036" spans="1:4" x14ac:dyDescent="0.3">
      <c r="A1036" t="s">
        <v>25</v>
      </c>
      <c r="C1036" s="16">
        <v>46197</v>
      </c>
      <c r="D1036">
        <v>84.35</v>
      </c>
    </row>
    <row r="1037" spans="1:4" x14ac:dyDescent="0.3">
      <c r="A1037" t="s">
        <v>26</v>
      </c>
      <c r="C1037" s="16">
        <v>46197</v>
      </c>
      <c r="D1037">
        <v>2237.77</v>
      </c>
    </row>
    <row r="1038" spans="1:4" x14ac:dyDescent="0.3">
      <c r="A1038" t="s">
        <v>27</v>
      </c>
      <c r="C1038" s="16">
        <v>46197</v>
      </c>
      <c r="D1038">
        <v>3349.94</v>
      </c>
    </row>
    <row r="1039" spans="1:4" x14ac:dyDescent="0.3">
      <c r="A1039" t="s">
        <v>28</v>
      </c>
      <c r="C1039" s="16">
        <v>46197</v>
      </c>
      <c r="D1039">
        <v>1968.99</v>
      </c>
    </row>
    <row r="1040" spans="1:4" x14ac:dyDescent="0.3">
      <c r="A1040" t="s">
        <v>29</v>
      </c>
      <c r="C1040" s="16">
        <v>46197</v>
      </c>
      <c r="D1040">
        <v>382.69000000000005</v>
      </c>
    </row>
    <row r="1041" spans="1:4" x14ac:dyDescent="0.3">
      <c r="A1041" t="s">
        <v>30</v>
      </c>
      <c r="C1041" s="16">
        <v>46197</v>
      </c>
      <c r="D1041">
        <v>1428.08</v>
      </c>
    </row>
    <row r="1042" spans="1:4" x14ac:dyDescent="0.3">
      <c r="A1042" t="s">
        <v>31</v>
      </c>
      <c r="C1042" s="16">
        <v>46197</v>
      </c>
      <c r="D1042">
        <v>31039.969999999961</v>
      </c>
    </row>
    <row r="1043" spans="1:4" x14ac:dyDescent="0.3">
      <c r="A1043" t="s">
        <v>32</v>
      </c>
      <c r="C1043" s="16">
        <v>46197</v>
      </c>
      <c r="D1043">
        <v>20321.43</v>
      </c>
    </row>
    <row r="1044" spans="1:4" x14ac:dyDescent="0.3">
      <c r="A1044" t="s">
        <v>33</v>
      </c>
      <c r="C1044" s="16">
        <v>46197</v>
      </c>
      <c r="D1044">
        <v>16681.349999999999</v>
      </c>
    </row>
    <row r="1045" spans="1:4" x14ac:dyDescent="0.3">
      <c r="A1045" t="s">
        <v>34</v>
      </c>
      <c r="C1045" s="16">
        <v>46197</v>
      </c>
      <c r="D1045">
        <v>345</v>
      </c>
    </row>
    <row r="1046" spans="1:4" x14ac:dyDescent="0.3">
      <c r="A1046" t="s">
        <v>35</v>
      </c>
      <c r="C1046" s="16">
        <v>46197</v>
      </c>
      <c r="D1046">
        <v>49981.31</v>
      </c>
    </row>
    <row r="1047" spans="1:4" x14ac:dyDescent="0.3">
      <c r="A1047" t="s">
        <v>17</v>
      </c>
      <c r="C1047" s="16">
        <v>46198</v>
      </c>
      <c r="D1047">
        <v>6298935.7100000009</v>
      </c>
    </row>
    <row r="1048" spans="1:4" x14ac:dyDescent="0.3">
      <c r="A1048" t="s">
        <v>18</v>
      </c>
      <c r="C1048" s="16">
        <v>46198</v>
      </c>
      <c r="D1048">
        <v>72386.190000000177</v>
      </c>
    </row>
    <row r="1049" spans="1:4" x14ac:dyDescent="0.3">
      <c r="A1049" t="s">
        <v>19</v>
      </c>
      <c r="C1049" s="16">
        <v>46198</v>
      </c>
      <c r="D1049">
        <v>1669.89</v>
      </c>
    </row>
    <row r="1050" spans="1:4" x14ac:dyDescent="0.3">
      <c r="A1050" t="s">
        <v>20</v>
      </c>
      <c r="C1050" s="16">
        <v>46198</v>
      </c>
      <c r="D1050">
        <v>472766.72999999986</v>
      </c>
    </row>
    <row r="1051" spans="1:4" x14ac:dyDescent="0.3">
      <c r="A1051" t="s">
        <v>21</v>
      </c>
      <c r="C1051" s="16">
        <v>46198</v>
      </c>
      <c r="D1051">
        <v>1933152.7099999995</v>
      </c>
    </row>
    <row r="1052" spans="1:4" x14ac:dyDescent="0.3">
      <c r="A1052" t="s">
        <v>22</v>
      </c>
      <c r="C1052" s="16">
        <v>46198</v>
      </c>
      <c r="D1052">
        <v>1996496.38</v>
      </c>
    </row>
    <row r="1053" spans="1:4" x14ac:dyDescent="0.3">
      <c r="A1053" t="s">
        <v>23</v>
      </c>
      <c r="C1053" s="16">
        <v>46198</v>
      </c>
      <c r="D1053">
        <v>88090.37</v>
      </c>
    </row>
    <row r="1054" spans="1:4" x14ac:dyDescent="0.3">
      <c r="A1054" t="s">
        <v>24</v>
      </c>
      <c r="C1054" s="16">
        <v>46198</v>
      </c>
      <c r="D1054">
        <v>511.15999999999985</v>
      </c>
    </row>
    <row r="1055" spans="1:4" x14ac:dyDescent="0.3">
      <c r="A1055" t="s">
        <v>25</v>
      </c>
      <c r="C1055" s="16">
        <v>46198</v>
      </c>
      <c r="D1055">
        <v>84.35</v>
      </c>
    </row>
    <row r="1056" spans="1:4" x14ac:dyDescent="0.3">
      <c r="A1056" t="s">
        <v>26</v>
      </c>
      <c r="C1056" s="16">
        <v>46198</v>
      </c>
      <c r="D1056">
        <v>2237.77</v>
      </c>
    </row>
    <row r="1057" spans="1:4" x14ac:dyDescent="0.3">
      <c r="A1057" t="s">
        <v>27</v>
      </c>
      <c r="C1057" s="16">
        <v>46198</v>
      </c>
      <c r="D1057">
        <v>3349.94</v>
      </c>
    </row>
    <row r="1058" spans="1:4" x14ac:dyDescent="0.3">
      <c r="A1058" t="s">
        <v>28</v>
      </c>
      <c r="C1058" s="16">
        <v>46198</v>
      </c>
      <c r="D1058">
        <v>1968.99</v>
      </c>
    </row>
    <row r="1059" spans="1:4" x14ac:dyDescent="0.3">
      <c r="A1059" t="s">
        <v>29</v>
      </c>
      <c r="C1059" s="16">
        <v>46198</v>
      </c>
      <c r="D1059">
        <v>382.69000000000005</v>
      </c>
    </row>
    <row r="1060" spans="1:4" x14ac:dyDescent="0.3">
      <c r="A1060" t="s">
        <v>30</v>
      </c>
      <c r="C1060" s="16">
        <v>46198</v>
      </c>
      <c r="D1060">
        <v>1428.08</v>
      </c>
    </row>
    <row r="1061" spans="1:4" x14ac:dyDescent="0.3">
      <c r="A1061" t="s">
        <v>31</v>
      </c>
      <c r="C1061" s="16">
        <v>46198</v>
      </c>
      <c r="D1061">
        <v>31039.969999999961</v>
      </c>
    </row>
    <row r="1062" spans="1:4" x14ac:dyDescent="0.3">
      <c r="A1062" t="s">
        <v>32</v>
      </c>
      <c r="C1062" s="16">
        <v>46198</v>
      </c>
      <c r="D1062">
        <v>20321.43</v>
      </c>
    </row>
    <row r="1063" spans="1:4" x14ac:dyDescent="0.3">
      <c r="A1063" t="s">
        <v>33</v>
      </c>
      <c r="C1063" s="16">
        <v>46198</v>
      </c>
      <c r="D1063">
        <v>28473.599999999999</v>
      </c>
    </row>
    <row r="1064" spans="1:4" x14ac:dyDescent="0.3">
      <c r="A1064" t="s">
        <v>34</v>
      </c>
      <c r="C1064" s="16">
        <v>46198</v>
      </c>
      <c r="D1064">
        <v>345</v>
      </c>
    </row>
    <row r="1065" spans="1:4" x14ac:dyDescent="0.3">
      <c r="A1065" t="s">
        <v>35</v>
      </c>
      <c r="C1065" s="16">
        <v>46198</v>
      </c>
      <c r="D1065">
        <v>38025.43</v>
      </c>
    </row>
    <row r="1066" spans="1:4" x14ac:dyDescent="0.3">
      <c r="A1066" t="s">
        <v>17</v>
      </c>
      <c r="C1066" s="16">
        <v>46199</v>
      </c>
      <c r="D1066">
        <v>6288055.7100000009</v>
      </c>
    </row>
    <row r="1067" spans="1:4" x14ac:dyDescent="0.3">
      <c r="A1067" t="s">
        <v>18</v>
      </c>
      <c r="C1067" s="16">
        <v>46199</v>
      </c>
      <c r="D1067">
        <v>72386.190000000177</v>
      </c>
    </row>
    <row r="1068" spans="1:4" x14ac:dyDescent="0.3">
      <c r="A1068" t="s">
        <v>19</v>
      </c>
      <c r="C1068" s="16">
        <v>46199</v>
      </c>
      <c r="D1068">
        <v>1669.89</v>
      </c>
    </row>
    <row r="1069" spans="1:4" x14ac:dyDescent="0.3">
      <c r="A1069" t="s">
        <v>20</v>
      </c>
      <c r="C1069" s="16">
        <v>46199</v>
      </c>
      <c r="D1069">
        <v>472766.72999999986</v>
      </c>
    </row>
    <row r="1070" spans="1:4" x14ac:dyDescent="0.3">
      <c r="A1070" t="s">
        <v>21</v>
      </c>
      <c r="C1070" s="16">
        <v>46199</v>
      </c>
      <c r="D1070">
        <v>1932389.7199999993</v>
      </c>
    </row>
    <row r="1071" spans="1:4" x14ac:dyDescent="0.3">
      <c r="A1071" t="s">
        <v>22</v>
      </c>
      <c r="C1071" s="16">
        <v>46199</v>
      </c>
      <c r="D1071">
        <v>1396496.38</v>
      </c>
    </row>
    <row r="1072" spans="1:4" x14ac:dyDescent="0.3">
      <c r="A1072" t="s">
        <v>23</v>
      </c>
      <c r="C1072" s="16">
        <v>46199</v>
      </c>
      <c r="D1072">
        <v>88090.37</v>
      </c>
    </row>
    <row r="1073" spans="1:4" x14ac:dyDescent="0.3">
      <c r="A1073" t="s">
        <v>24</v>
      </c>
      <c r="C1073" s="16">
        <v>46199</v>
      </c>
      <c r="D1073">
        <v>511.15999999999985</v>
      </c>
    </row>
    <row r="1074" spans="1:4" x14ac:dyDescent="0.3">
      <c r="A1074" t="s">
        <v>25</v>
      </c>
      <c r="C1074" s="16">
        <v>46199</v>
      </c>
      <c r="D1074">
        <v>84.35</v>
      </c>
    </row>
    <row r="1075" spans="1:4" x14ac:dyDescent="0.3">
      <c r="A1075" t="s">
        <v>26</v>
      </c>
      <c r="C1075" s="16">
        <v>46199</v>
      </c>
      <c r="D1075">
        <v>2237.77</v>
      </c>
    </row>
    <row r="1076" spans="1:4" x14ac:dyDescent="0.3">
      <c r="A1076" t="s">
        <v>27</v>
      </c>
      <c r="C1076" s="16">
        <v>46199</v>
      </c>
      <c r="D1076">
        <v>3349.94</v>
      </c>
    </row>
    <row r="1077" spans="1:4" x14ac:dyDescent="0.3">
      <c r="A1077" t="s">
        <v>28</v>
      </c>
      <c r="C1077" s="16">
        <v>46199</v>
      </c>
      <c r="D1077">
        <v>1968.99</v>
      </c>
    </row>
    <row r="1078" spans="1:4" x14ac:dyDescent="0.3">
      <c r="A1078" t="s">
        <v>29</v>
      </c>
      <c r="C1078" s="16">
        <v>46199</v>
      </c>
      <c r="D1078">
        <v>382.69000000000005</v>
      </c>
    </row>
    <row r="1079" spans="1:4" x14ac:dyDescent="0.3">
      <c r="A1079" t="s">
        <v>30</v>
      </c>
      <c r="C1079" s="16">
        <v>46199</v>
      </c>
      <c r="D1079">
        <v>1428.08</v>
      </c>
    </row>
    <row r="1080" spans="1:4" x14ac:dyDescent="0.3">
      <c r="A1080" t="s">
        <v>31</v>
      </c>
      <c r="C1080" s="16">
        <v>46199</v>
      </c>
      <c r="D1080">
        <v>31039.969999999961</v>
      </c>
    </row>
    <row r="1081" spans="1:4" x14ac:dyDescent="0.3">
      <c r="A1081" t="s">
        <v>32</v>
      </c>
      <c r="C1081" s="16">
        <v>46199</v>
      </c>
      <c r="D1081">
        <v>20321.43</v>
      </c>
    </row>
    <row r="1082" spans="1:4" x14ac:dyDescent="0.3">
      <c r="A1082" t="s">
        <v>33</v>
      </c>
      <c r="C1082" s="16">
        <v>46199</v>
      </c>
      <c r="D1082">
        <v>28458.6</v>
      </c>
    </row>
    <row r="1083" spans="1:4" x14ac:dyDescent="0.3">
      <c r="A1083" t="s">
        <v>34</v>
      </c>
      <c r="C1083" s="16">
        <v>46199</v>
      </c>
      <c r="D1083">
        <v>345</v>
      </c>
    </row>
    <row r="1084" spans="1:4" x14ac:dyDescent="0.3">
      <c r="A1084" t="s">
        <v>35</v>
      </c>
      <c r="C1084" s="16">
        <v>46199</v>
      </c>
      <c r="D1084">
        <v>29918.639999999999</v>
      </c>
    </row>
    <row r="1085" spans="1:4" x14ac:dyDescent="0.3">
      <c r="A1085" t="s">
        <v>17</v>
      </c>
      <c r="C1085" s="16">
        <v>46200</v>
      </c>
      <c r="D1085">
        <v>6288055.7100000009</v>
      </c>
    </row>
    <row r="1086" spans="1:4" x14ac:dyDescent="0.3">
      <c r="A1086" t="s">
        <v>18</v>
      </c>
      <c r="C1086" s="16">
        <v>46200</v>
      </c>
      <c r="D1086">
        <v>72386.190000000177</v>
      </c>
    </row>
    <row r="1087" spans="1:4" x14ac:dyDescent="0.3">
      <c r="A1087" t="s">
        <v>19</v>
      </c>
      <c r="C1087" s="16">
        <v>46200</v>
      </c>
      <c r="D1087">
        <v>1669.89</v>
      </c>
    </row>
    <row r="1088" spans="1:4" x14ac:dyDescent="0.3">
      <c r="A1088" t="s">
        <v>20</v>
      </c>
      <c r="C1088" s="16">
        <v>46200</v>
      </c>
      <c r="D1088">
        <v>472766.72999999986</v>
      </c>
    </row>
    <row r="1089" spans="1:4" x14ac:dyDescent="0.3">
      <c r="A1089" t="s">
        <v>21</v>
      </c>
      <c r="C1089" s="16">
        <v>46200</v>
      </c>
      <c r="D1089">
        <v>1932389.7199999993</v>
      </c>
    </row>
    <row r="1090" spans="1:4" x14ac:dyDescent="0.3">
      <c r="A1090" t="s">
        <v>22</v>
      </c>
      <c r="C1090" s="16">
        <v>46200</v>
      </c>
      <c r="D1090">
        <v>1396496.38</v>
      </c>
    </row>
    <row r="1091" spans="1:4" x14ac:dyDescent="0.3">
      <c r="A1091" t="s">
        <v>23</v>
      </c>
      <c r="C1091" s="16">
        <v>46200</v>
      </c>
      <c r="D1091">
        <v>88090.37</v>
      </c>
    </row>
    <row r="1092" spans="1:4" x14ac:dyDescent="0.3">
      <c r="A1092" t="s">
        <v>24</v>
      </c>
      <c r="C1092" s="16">
        <v>46200</v>
      </c>
      <c r="D1092">
        <v>511.15999999999985</v>
      </c>
    </row>
    <row r="1093" spans="1:4" x14ac:dyDescent="0.3">
      <c r="A1093" t="s">
        <v>25</v>
      </c>
      <c r="C1093" s="16">
        <v>46200</v>
      </c>
      <c r="D1093">
        <v>84.35</v>
      </c>
    </row>
    <row r="1094" spans="1:4" x14ac:dyDescent="0.3">
      <c r="A1094" t="s">
        <v>26</v>
      </c>
      <c r="C1094" s="16">
        <v>46200</v>
      </c>
      <c r="D1094">
        <v>2237.77</v>
      </c>
    </row>
    <row r="1095" spans="1:4" x14ac:dyDescent="0.3">
      <c r="A1095" t="s">
        <v>27</v>
      </c>
      <c r="C1095" s="16">
        <v>46200</v>
      </c>
      <c r="D1095">
        <v>3349.94</v>
      </c>
    </row>
    <row r="1096" spans="1:4" x14ac:dyDescent="0.3">
      <c r="A1096" t="s">
        <v>28</v>
      </c>
      <c r="C1096" s="16">
        <v>46200</v>
      </c>
      <c r="D1096">
        <v>1968.99</v>
      </c>
    </row>
    <row r="1097" spans="1:4" x14ac:dyDescent="0.3">
      <c r="A1097" t="s">
        <v>29</v>
      </c>
      <c r="C1097" s="16">
        <v>46200</v>
      </c>
      <c r="D1097">
        <v>382.69000000000005</v>
      </c>
    </row>
    <row r="1098" spans="1:4" x14ac:dyDescent="0.3">
      <c r="A1098" t="s">
        <v>30</v>
      </c>
      <c r="C1098" s="16">
        <v>46200</v>
      </c>
      <c r="D1098">
        <v>1428.08</v>
      </c>
    </row>
    <row r="1099" spans="1:4" x14ac:dyDescent="0.3">
      <c r="A1099" t="s">
        <v>31</v>
      </c>
      <c r="C1099" s="16">
        <v>46200</v>
      </c>
      <c r="D1099">
        <v>31039.969999999961</v>
      </c>
    </row>
    <row r="1100" spans="1:4" x14ac:dyDescent="0.3">
      <c r="A1100" t="s">
        <v>32</v>
      </c>
      <c r="C1100" s="16">
        <v>46200</v>
      </c>
      <c r="D1100">
        <v>20321.43</v>
      </c>
    </row>
    <row r="1101" spans="1:4" x14ac:dyDescent="0.3">
      <c r="A1101" t="s">
        <v>33</v>
      </c>
      <c r="C1101" s="16">
        <v>46200</v>
      </c>
      <c r="D1101">
        <v>28458.6</v>
      </c>
    </row>
    <row r="1102" spans="1:4" x14ac:dyDescent="0.3">
      <c r="A1102" t="s">
        <v>34</v>
      </c>
      <c r="C1102" s="16">
        <v>46200</v>
      </c>
      <c r="D1102">
        <v>345</v>
      </c>
    </row>
    <row r="1103" spans="1:4" x14ac:dyDescent="0.3">
      <c r="A1103" t="s">
        <v>35</v>
      </c>
      <c r="C1103" s="16">
        <v>46200</v>
      </c>
      <c r="D1103">
        <v>29918.639999999999</v>
      </c>
    </row>
    <row r="1104" spans="1:4" x14ac:dyDescent="0.3">
      <c r="A1104" t="s">
        <v>17</v>
      </c>
      <c r="C1104" s="16">
        <v>46201</v>
      </c>
      <c r="D1104">
        <v>6288055.7100000009</v>
      </c>
    </row>
    <row r="1105" spans="1:4" x14ac:dyDescent="0.3">
      <c r="A1105" t="s">
        <v>18</v>
      </c>
      <c r="C1105" s="16">
        <v>46201</v>
      </c>
      <c r="D1105">
        <v>72386.190000000177</v>
      </c>
    </row>
    <row r="1106" spans="1:4" x14ac:dyDescent="0.3">
      <c r="A1106" t="s">
        <v>19</v>
      </c>
      <c r="C1106" s="16">
        <v>46201</v>
      </c>
      <c r="D1106">
        <v>1669.89</v>
      </c>
    </row>
    <row r="1107" spans="1:4" x14ac:dyDescent="0.3">
      <c r="A1107" t="s">
        <v>20</v>
      </c>
      <c r="C1107" s="16">
        <v>46201</v>
      </c>
      <c r="D1107">
        <v>472766.72999999986</v>
      </c>
    </row>
    <row r="1108" spans="1:4" x14ac:dyDescent="0.3">
      <c r="A1108" t="s">
        <v>21</v>
      </c>
      <c r="C1108" s="16">
        <v>46201</v>
      </c>
      <c r="D1108">
        <v>1932389.7199999993</v>
      </c>
    </row>
    <row r="1109" spans="1:4" x14ac:dyDescent="0.3">
      <c r="A1109" t="s">
        <v>22</v>
      </c>
      <c r="C1109" s="16">
        <v>46201</v>
      </c>
      <c r="D1109">
        <v>1396496.38</v>
      </c>
    </row>
    <row r="1110" spans="1:4" x14ac:dyDescent="0.3">
      <c r="A1110" t="s">
        <v>23</v>
      </c>
      <c r="C1110" s="16">
        <v>46201</v>
      </c>
      <c r="D1110">
        <v>88090.37</v>
      </c>
    </row>
    <row r="1111" spans="1:4" x14ac:dyDescent="0.3">
      <c r="A1111" t="s">
        <v>24</v>
      </c>
      <c r="C1111" s="16">
        <v>46201</v>
      </c>
      <c r="D1111">
        <v>511.15999999999985</v>
      </c>
    </row>
    <row r="1112" spans="1:4" x14ac:dyDescent="0.3">
      <c r="A1112" t="s">
        <v>25</v>
      </c>
      <c r="C1112" s="16">
        <v>46201</v>
      </c>
      <c r="D1112">
        <v>84.35</v>
      </c>
    </row>
    <row r="1113" spans="1:4" x14ac:dyDescent="0.3">
      <c r="A1113" t="s">
        <v>26</v>
      </c>
      <c r="C1113" s="16">
        <v>46201</v>
      </c>
      <c r="D1113">
        <v>2237.77</v>
      </c>
    </row>
    <row r="1114" spans="1:4" x14ac:dyDescent="0.3">
      <c r="A1114" t="s">
        <v>27</v>
      </c>
      <c r="C1114" s="16">
        <v>46201</v>
      </c>
      <c r="D1114">
        <v>3349.94</v>
      </c>
    </row>
    <row r="1115" spans="1:4" x14ac:dyDescent="0.3">
      <c r="A1115" t="s">
        <v>28</v>
      </c>
      <c r="C1115" s="16">
        <v>46201</v>
      </c>
      <c r="D1115">
        <v>1968.99</v>
      </c>
    </row>
    <row r="1116" spans="1:4" x14ac:dyDescent="0.3">
      <c r="A1116" t="s">
        <v>29</v>
      </c>
      <c r="C1116" s="16">
        <v>46201</v>
      </c>
      <c r="D1116">
        <v>382.69000000000005</v>
      </c>
    </row>
    <row r="1117" spans="1:4" x14ac:dyDescent="0.3">
      <c r="A1117" t="s">
        <v>30</v>
      </c>
      <c r="C1117" s="16">
        <v>46201</v>
      </c>
      <c r="D1117">
        <v>1428.08</v>
      </c>
    </row>
    <row r="1118" spans="1:4" x14ac:dyDescent="0.3">
      <c r="A1118" t="s">
        <v>31</v>
      </c>
      <c r="C1118" s="16">
        <v>46201</v>
      </c>
      <c r="D1118">
        <v>31039.969999999961</v>
      </c>
    </row>
    <row r="1119" spans="1:4" x14ac:dyDescent="0.3">
      <c r="A1119" t="s">
        <v>32</v>
      </c>
      <c r="C1119" s="16">
        <v>46201</v>
      </c>
      <c r="D1119">
        <v>20321.43</v>
      </c>
    </row>
    <row r="1120" spans="1:4" x14ac:dyDescent="0.3">
      <c r="A1120" t="s">
        <v>33</v>
      </c>
      <c r="C1120" s="16">
        <v>46201</v>
      </c>
      <c r="D1120">
        <v>28458.6</v>
      </c>
    </row>
    <row r="1121" spans="1:4" x14ac:dyDescent="0.3">
      <c r="A1121" t="s">
        <v>34</v>
      </c>
      <c r="C1121" s="16">
        <v>46201</v>
      </c>
      <c r="D1121">
        <v>345</v>
      </c>
    </row>
    <row r="1122" spans="1:4" x14ac:dyDescent="0.3">
      <c r="A1122" t="s">
        <v>35</v>
      </c>
      <c r="C1122" s="16">
        <v>46201</v>
      </c>
      <c r="D1122">
        <v>29918.639999999999</v>
      </c>
    </row>
    <row r="1123" spans="1:4" x14ac:dyDescent="0.3">
      <c r="A1123" t="s">
        <v>17</v>
      </c>
      <c r="C1123" s="16">
        <v>46202</v>
      </c>
      <c r="D1123">
        <v>6299174.8100000015</v>
      </c>
    </row>
    <row r="1124" spans="1:4" x14ac:dyDescent="0.3">
      <c r="A1124" t="s">
        <v>18</v>
      </c>
      <c r="C1124" s="16">
        <v>46202</v>
      </c>
      <c r="D1124">
        <v>72386.190000000177</v>
      </c>
    </row>
    <row r="1125" spans="1:4" x14ac:dyDescent="0.3">
      <c r="A1125" t="s">
        <v>19</v>
      </c>
      <c r="C1125" s="16">
        <v>46202</v>
      </c>
      <c r="D1125">
        <v>1669.89</v>
      </c>
    </row>
    <row r="1126" spans="1:4" x14ac:dyDescent="0.3">
      <c r="A1126" t="s">
        <v>20</v>
      </c>
      <c r="C1126" s="16">
        <v>46202</v>
      </c>
      <c r="D1126">
        <v>489745.62999999989</v>
      </c>
    </row>
    <row r="1127" spans="1:4" x14ac:dyDescent="0.3">
      <c r="A1127" t="s">
        <v>21</v>
      </c>
      <c r="C1127" s="16">
        <v>46202</v>
      </c>
      <c r="D1127">
        <v>1768167.9199999995</v>
      </c>
    </row>
    <row r="1128" spans="1:4" x14ac:dyDescent="0.3">
      <c r="A1128" t="s">
        <v>22</v>
      </c>
      <c r="C1128" s="16">
        <v>46202</v>
      </c>
      <c r="D1128">
        <v>396496.38</v>
      </c>
    </row>
    <row r="1129" spans="1:4" x14ac:dyDescent="0.3">
      <c r="A1129" t="s">
        <v>23</v>
      </c>
      <c r="C1129" s="16">
        <v>46202</v>
      </c>
      <c r="D1129">
        <v>88090.37</v>
      </c>
    </row>
    <row r="1130" spans="1:4" x14ac:dyDescent="0.3">
      <c r="A1130" t="s">
        <v>24</v>
      </c>
      <c r="C1130" s="16">
        <v>46202</v>
      </c>
      <c r="D1130">
        <v>511.15999999999985</v>
      </c>
    </row>
    <row r="1131" spans="1:4" x14ac:dyDescent="0.3">
      <c r="A1131" t="s">
        <v>25</v>
      </c>
      <c r="C1131" s="16">
        <v>46202</v>
      </c>
      <c r="D1131">
        <v>84.35</v>
      </c>
    </row>
    <row r="1132" spans="1:4" x14ac:dyDescent="0.3">
      <c r="A1132" t="s">
        <v>26</v>
      </c>
      <c r="C1132" s="16">
        <v>46202</v>
      </c>
      <c r="D1132">
        <v>2237.77</v>
      </c>
    </row>
    <row r="1133" spans="1:4" x14ac:dyDescent="0.3">
      <c r="A1133" t="s">
        <v>27</v>
      </c>
      <c r="C1133" s="16">
        <v>46202</v>
      </c>
      <c r="D1133">
        <v>3349.94</v>
      </c>
    </row>
    <row r="1134" spans="1:4" x14ac:dyDescent="0.3">
      <c r="A1134" t="s">
        <v>28</v>
      </c>
      <c r="C1134" s="16">
        <v>46202</v>
      </c>
      <c r="D1134">
        <v>1968.99</v>
      </c>
    </row>
    <row r="1135" spans="1:4" x14ac:dyDescent="0.3">
      <c r="A1135" t="s">
        <v>29</v>
      </c>
      <c r="C1135" s="16">
        <v>46202</v>
      </c>
      <c r="D1135">
        <v>382.69000000000005</v>
      </c>
    </row>
    <row r="1136" spans="1:4" x14ac:dyDescent="0.3">
      <c r="A1136" t="s">
        <v>30</v>
      </c>
      <c r="C1136" s="16">
        <v>46202</v>
      </c>
      <c r="D1136">
        <v>1428.08</v>
      </c>
    </row>
    <row r="1137" spans="1:4" x14ac:dyDescent="0.3">
      <c r="A1137" t="s">
        <v>31</v>
      </c>
      <c r="C1137" s="16">
        <v>46202</v>
      </c>
      <c r="D1137">
        <v>31039.969999999961</v>
      </c>
    </row>
    <row r="1138" spans="1:4" x14ac:dyDescent="0.3">
      <c r="A1138" t="s">
        <v>32</v>
      </c>
      <c r="C1138" s="16">
        <v>46202</v>
      </c>
      <c r="D1138">
        <v>20321.43</v>
      </c>
    </row>
    <row r="1139" spans="1:4" x14ac:dyDescent="0.3">
      <c r="A1139" t="s">
        <v>33</v>
      </c>
      <c r="C1139" s="16">
        <v>46202</v>
      </c>
      <c r="D1139">
        <v>28458.6</v>
      </c>
    </row>
    <row r="1140" spans="1:4" x14ac:dyDescent="0.3">
      <c r="A1140" t="s">
        <v>34</v>
      </c>
      <c r="C1140" s="16">
        <v>46202</v>
      </c>
      <c r="D1140">
        <v>345</v>
      </c>
    </row>
    <row r="1141" spans="1:4" x14ac:dyDescent="0.3">
      <c r="A1141" t="s">
        <v>35</v>
      </c>
      <c r="C1141" s="16">
        <v>46202</v>
      </c>
      <c r="D1141">
        <v>23872.78</v>
      </c>
    </row>
    <row r="1142" spans="1:4" x14ac:dyDescent="0.3">
      <c r="A1142" t="s">
        <v>17</v>
      </c>
      <c r="C1142" s="16">
        <v>46203</v>
      </c>
      <c r="D1142">
        <v>6295585.7500000009</v>
      </c>
    </row>
    <row r="1143" spans="1:4" x14ac:dyDescent="0.3">
      <c r="A1143" t="s">
        <v>18</v>
      </c>
      <c r="C1143" s="16">
        <v>46203</v>
      </c>
      <c r="D1143">
        <v>79139.680000000168</v>
      </c>
    </row>
    <row r="1144" spans="1:4" x14ac:dyDescent="0.3">
      <c r="A1144" t="s">
        <v>19</v>
      </c>
      <c r="C1144" s="16">
        <v>46203</v>
      </c>
      <c r="D1144">
        <v>1669.89</v>
      </c>
    </row>
    <row r="1145" spans="1:4" x14ac:dyDescent="0.3">
      <c r="A1145" t="s">
        <v>20</v>
      </c>
      <c r="C1145" s="16">
        <v>46203</v>
      </c>
      <c r="D1145">
        <v>489745.62999999989</v>
      </c>
    </row>
    <row r="1146" spans="1:4" x14ac:dyDescent="0.3">
      <c r="A1146" t="s">
        <v>21</v>
      </c>
      <c r="C1146" s="16">
        <v>46203</v>
      </c>
      <c r="D1146">
        <v>1696284.7299999995</v>
      </c>
    </row>
    <row r="1147" spans="1:4" x14ac:dyDescent="0.3">
      <c r="A1147" t="s">
        <v>22</v>
      </c>
      <c r="C1147" s="16">
        <v>46203</v>
      </c>
      <c r="D1147">
        <v>390496.38</v>
      </c>
    </row>
    <row r="1148" spans="1:4" x14ac:dyDescent="0.3">
      <c r="A1148" t="s">
        <v>23</v>
      </c>
      <c r="C1148" s="16">
        <v>46203</v>
      </c>
      <c r="D1148">
        <v>88090.37</v>
      </c>
    </row>
    <row r="1149" spans="1:4" x14ac:dyDescent="0.3">
      <c r="A1149" t="s">
        <v>24</v>
      </c>
      <c r="C1149" s="16">
        <v>46203</v>
      </c>
      <c r="D1149">
        <v>511.15999999999985</v>
      </c>
    </row>
    <row r="1150" spans="1:4" x14ac:dyDescent="0.3">
      <c r="A1150" t="s">
        <v>25</v>
      </c>
      <c r="C1150" s="16">
        <v>46203</v>
      </c>
      <c r="D1150">
        <v>84.35</v>
      </c>
    </row>
    <row r="1151" spans="1:4" x14ac:dyDescent="0.3">
      <c r="A1151" t="s">
        <v>26</v>
      </c>
      <c r="C1151" s="16">
        <v>46203</v>
      </c>
      <c r="D1151">
        <v>2237.77</v>
      </c>
    </row>
    <row r="1152" spans="1:4" x14ac:dyDescent="0.3">
      <c r="A1152" t="s">
        <v>27</v>
      </c>
      <c r="C1152" s="16">
        <v>46203</v>
      </c>
      <c r="D1152">
        <v>3349.94</v>
      </c>
    </row>
    <row r="1153" spans="1:4" x14ac:dyDescent="0.3">
      <c r="A1153" t="s">
        <v>28</v>
      </c>
      <c r="C1153" s="16">
        <v>46203</v>
      </c>
      <c r="D1153">
        <v>1968.99</v>
      </c>
    </row>
    <row r="1154" spans="1:4" x14ac:dyDescent="0.3">
      <c r="A1154" t="s">
        <v>29</v>
      </c>
      <c r="C1154" s="16">
        <v>46203</v>
      </c>
      <c r="D1154">
        <v>382.69000000000005</v>
      </c>
    </row>
    <row r="1155" spans="1:4" x14ac:dyDescent="0.3">
      <c r="A1155" t="s">
        <v>30</v>
      </c>
      <c r="C1155" s="16">
        <v>46203</v>
      </c>
      <c r="D1155">
        <v>1428.08</v>
      </c>
    </row>
    <row r="1156" spans="1:4" x14ac:dyDescent="0.3">
      <c r="A1156" t="s">
        <v>31</v>
      </c>
      <c r="C1156" s="16">
        <v>46203</v>
      </c>
      <c r="D1156">
        <v>31039.969999999961</v>
      </c>
    </row>
    <row r="1157" spans="1:4" x14ac:dyDescent="0.3">
      <c r="A1157" t="s">
        <v>32</v>
      </c>
      <c r="C1157" s="16">
        <v>46203</v>
      </c>
      <c r="D1157">
        <v>20321.43</v>
      </c>
    </row>
    <row r="1158" spans="1:4" x14ac:dyDescent="0.3">
      <c r="A1158" t="s">
        <v>33</v>
      </c>
      <c r="C1158" s="16">
        <v>46203</v>
      </c>
      <c r="D1158">
        <v>28458.6</v>
      </c>
    </row>
    <row r="1159" spans="1:4" x14ac:dyDescent="0.3">
      <c r="A1159" t="s">
        <v>34</v>
      </c>
      <c r="C1159" s="16">
        <v>46203</v>
      </c>
      <c r="D1159">
        <v>345</v>
      </c>
    </row>
    <row r="1160" spans="1:4" x14ac:dyDescent="0.3">
      <c r="A1160" t="s">
        <v>35</v>
      </c>
      <c r="C1160" s="16">
        <v>46203</v>
      </c>
      <c r="D1160">
        <v>23872.78</v>
      </c>
    </row>
    <row r="1161" spans="1:4" x14ac:dyDescent="0.3">
      <c r="A1161" t="s">
        <v>17</v>
      </c>
      <c r="C1161" s="16">
        <v>46204</v>
      </c>
      <c r="D1161">
        <v>6295585.7500000009</v>
      </c>
    </row>
    <row r="1162" spans="1:4" x14ac:dyDescent="0.3">
      <c r="A1162" t="s">
        <v>18</v>
      </c>
      <c r="C1162" s="16">
        <v>46204</v>
      </c>
      <c r="D1162">
        <v>79139.680000000168</v>
      </c>
    </row>
    <row r="1163" spans="1:4" x14ac:dyDescent="0.3">
      <c r="A1163" t="s">
        <v>19</v>
      </c>
      <c r="C1163" s="16">
        <v>46204</v>
      </c>
      <c r="D1163">
        <v>1669.89</v>
      </c>
    </row>
    <row r="1164" spans="1:4" x14ac:dyDescent="0.3">
      <c r="A1164" t="s">
        <v>20</v>
      </c>
      <c r="C1164" s="16">
        <v>46204</v>
      </c>
      <c r="D1164">
        <v>507936.37999999989</v>
      </c>
    </row>
    <row r="1165" spans="1:4" x14ac:dyDescent="0.3">
      <c r="A1165" t="s">
        <v>21</v>
      </c>
      <c r="C1165" s="16">
        <v>46204</v>
      </c>
      <c r="D1165">
        <v>1696284.7299999995</v>
      </c>
    </row>
    <row r="1166" spans="1:4" x14ac:dyDescent="0.3">
      <c r="A1166" t="s">
        <v>22</v>
      </c>
      <c r="C1166" s="16">
        <v>46204</v>
      </c>
      <c r="D1166">
        <v>390496.38</v>
      </c>
    </row>
    <row r="1167" spans="1:4" x14ac:dyDescent="0.3">
      <c r="A1167" t="s">
        <v>23</v>
      </c>
      <c r="C1167" s="16">
        <v>46204</v>
      </c>
      <c r="D1167">
        <v>88090.37</v>
      </c>
    </row>
    <row r="1168" spans="1:4" x14ac:dyDescent="0.3">
      <c r="A1168" t="s">
        <v>24</v>
      </c>
      <c r="C1168" s="16">
        <v>46204</v>
      </c>
      <c r="D1168">
        <v>511.15999999999985</v>
      </c>
    </row>
    <row r="1169" spans="1:4" x14ac:dyDescent="0.3">
      <c r="A1169" t="s">
        <v>25</v>
      </c>
      <c r="C1169" s="16">
        <v>46204</v>
      </c>
      <c r="D1169">
        <v>54.400000000000006</v>
      </c>
    </row>
    <row r="1170" spans="1:4" x14ac:dyDescent="0.3">
      <c r="A1170" t="s">
        <v>26</v>
      </c>
      <c r="C1170" s="16">
        <v>46204</v>
      </c>
      <c r="D1170">
        <v>2207.8200000000002</v>
      </c>
    </row>
    <row r="1171" spans="1:4" x14ac:dyDescent="0.3">
      <c r="A1171" t="s">
        <v>27</v>
      </c>
      <c r="C1171" s="16">
        <v>46204</v>
      </c>
      <c r="D1171">
        <v>3349.94</v>
      </c>
    </row>
    <row r="1172" spans="1:4" x14ac:dyDescent="0.3">
      <c r="A1172" t="s">
        <v>28</v>
      </c>
      <c r="C1172" s="16">
        <v>46204</v>
      </c>
      <c r="D1172">
        <v>1968.99</v>
      </c>
    </row>
    <row r="1173" spans="1:4" x14ac:dyDescent="0.3">
      <c r="A1173" t="s">
        <v>29</v>
      </c>
      <c r="C1173" s="16">
        <v>46204</v>
      </c>
      <c r="D1173">
        <v>382.69000000000005</v>
      </c>
    </row>
    <row r="1174" spans="1:4" x14ac:dyDescent="0.3">
      <c r="A1174" t="s">
        <v>30</v>
      </c>
      <c r="C1174" s="16">
        <v>46204</v>
      </c>
      <c r="D1174">
        <v>1412.08</v>
      </c>
    </row>
    <row r="1175" spans="1:4" x14ac:dyDescent="0.3">
      <c r="A1175" t="s">
        <v>31</v>
      </c>
      <c r="C1175" s="16">
        <v>46204</v>
      </c>
      <c r="D1175">
        <v>22496.639999999959</v>
      </c>
    </row>
    <row r="1176" spans="1:4" x14ac:dyDescent="0.3">
      <c r="A1176" t="s">
        <v>32</v>
      </c>
      <c r="C1176" s="16">
        <v>46204</v>
      </c>
      <c r="D1176">
        <v>10522.800000000003</v>
      </c>
    </row>
    <row r="1177" spans="1:4" x14ac:dyDescent="0.3">
      <c r="A1177" t="s">
        <v>33</v>
      </c>
      <c r="C1177" s="16">
        <v>46204</v>
      </c>
      <c r="D1177">
        <v>19685.559999999998</v>
      </c>
    </row>
    <row r="1178" spans="1:4" x14ac:dyDescent="0.3">
      <c r="A1178" t="s">
        <v>34</v>
      </c>
      <c r="C1178" s="16">
        <v>46204</v>
      </c>
      <c r="D1178">
        <v>345</v>
      </c>
    </row>
    <row r="1179" spans="1:4" x14ac:dyDescent="0.3">
      <c r="A1179" t="s">
        <v>35</v>
      </c>
      <c r="C1179" s="16">
        <v>46204</v>
      </c>
      <c r="D1179">
        <v>23439.279999999999</v>
      </c>
    </row>
    <row r="1180" spans="1:4" x14ac:dyDescent="0.3">
      <c r="A1180" t="s">
        <v>17</v>
      </c>
      <c r="C1180" s="16">
        <v>46205</v>
      </c>
      <c r="D1180">
        <v>5592585.7500000009</v>
      </c>
    </row>
    <row r="1181" spans="1:4" x14ac:dyDescent="0.3">
      <c r="A1181" t="s">
        <v>18</v>
      </c>
      <c r="C1181" s="16">
        <v>46205</v>
      </c>
      <c r="D1181">
        <v>79139.680000000168</v>
      </c>
    </row>
    <row r="1182" spans="1:4" x14ac:dyDescent="0.3">
      <c r="A1182" t="s">
        <v>19</v>
      </c>
      <c r="C1182" s="16">
        <v>46205</v>
      </c>
      <c r="D1182">
        <v>1669.89</v>
      </c>
    </row>
    <row r="1183" spans="1:4" x14ac:dyDescent="0.3">
      <c r="A1183" t="s">
        <v>20</v>
      </c>
      <c r="C1183" s="16">
        <v>46205</v>
      </c>
      <c r="D1183">
        <v>350475.62999999989</v>
      </c>
    </row>
    <row r="1184" spans="1:4" x14ac:dyDescent="0.3">
      <c r="A1184" t="s">
        <v>21</v>
      </c>
      <c r="C1184" s="16">
        <v>46205</v>
      </c>
      <c r="D1184">
        <v>1761564.8799999994</v>
      </c>
    </row>
    <row r="1185" spans="1:4" x14ac:dyDescent="0.3">
      <c r="A1185" t="s">
        <v>22</v>
      </c>
      <c r="C1185" s="16">
        <v>46205</v>
      </c>
      <c r="D1185">
        <v>220496.38</v>
      </c>
    </row>
    <row r="1186" spans="1:4" x14ac:dyDescent="0.3">
      <c r="A1186" t="s">
        <v>23</v>
      </c>
      <c r="C1186" s="16">
        <v>46205</v>
      </c>
      <c r="D1186">
        <v>88090.37</v>
      </c>
    </row>
    <row r="1187" spans="1:4" x14ac:dyDescent="0.3">
      <c r="A1187" t="s">
        <v>24</v>
      </c>
      <c r="C1187" s="16">
        <v>46205</v>
      </c>
      <c r="D1187">
        <v>511.15999999999985</v>
      </c>
    </row>
    <row r="1188" spans="1:4" x14ac:dyDescent="0.3">
      <c r="A1188" t="s">
        <v>25</v>
      </c>
      <c r="C1188" s="16">
        <v>46205</v>
      </c>
      <c r="D1188">
        <v>54.400000000000006</v>
      </c>
    </row>
    <row r="1189" spans="1:4" x14ac:dyDescent="0.3">
      <c r="A1189" t="s">
        <v>26</v>
      </c>
      <c r="C1189" s="16">
        <v>46205</v>
      </c>
      <c r="D1189">
        <v>2207.8200000000002</v>
      </c>
    </row>
    <row r="1190" spans="1:4" x14ac:dyDescent="0.3">
      <c r="A1190" t="s">
        <v>27</v>
      </c>
      <c r="C1190" s="16">
        <v>46205</v>
      </c>
      <c r="D1190">
        <v>3349.94</v>
      </c>
    </row>
    <row r="1191" spans="1:4" x14ac:dyDescent="0.3">
      <c r="A1191" t="s">
        <v>28</v>
      </c>
      <c r="C1191" s="16">
        <v>46205</v>
      </c>
      <c r="D1191">
        <v>1968.99</v>
      </c>
    </row>
    <row r="1192" spans="1:4" x14ac:dyDescent="0.3">
      <c r="A1192" t="s">
        <v>29</v>
      </c>
      <c r="C1192" s="16">
        <v>46205</v>
      </c>
      <c r="D1192">
        <v>382.69000000000005</v>
      </c>
    </row>
    <row r="1193" spans="1:4" x14ac:dyDescent="0.3">
      <c r="A1193" t="s">
        <v>30</v>
      </c>
      <c r="C1193" s="16">
        <v>46205</v>
      </c>
      <c r="D1193">
        <v>1412.08</v>
      </c>
    </row>
    <row r="1194" spans="1:4" x14ac:dyDescent="0.3">
      <c r="A1194" t="s">
        <v>31</v>
      </c>
      <c r="C1194" s="16">
        <v>46205</v>
      </c>
      <c r="D1194">
        <v>22496.639999999959</v>
      </c>
    </row>
    <row r="1195" spans="1:4" x14ac:dyDescent="0.3">
      <c r="A1195" t="s">
        <v>32</v>
      </c>
      <c r="C1195" s="16">
        <v>46205</v>
      </c>
      <c r="D1195">
        <v>10522.800000000003</v>
      </c>
    </row>
    <row r="1196" spans="1:4" x14ac:dyDescent="0.3">
      <c r="A1196" t="s">
        <v>33</v>
      </c>
      <c r="C1196" s="16">
        <v>46205</v>
      </c>
      <c r="D1196">
        <v>24085.559999999998</v>
      </c>
    </row>
    <row r="1197" spans="1:4" x14ac:dyDescent="0.3">
      <c r="A1197" t="s">
        <v>34</v>
      </c>
      <c r="C1197" s="16">
        <v>46205</v>
      </c>
      <c r="D1197">
        <v>345</v>
      </c>
    </row>
    <row r="1198" spans="1:4" x14ac:dyDescent="0.3">
      <c r="A1198" t="s">
        <v>35</v>
      </c>
      <c r="C1198" s="16">
        <v>46205</v>
      </c>
      <c r="D1198">
        <v>36241.22</v>
      </c>
    </row>
    <row r="1199" spans="1:4" x14ac:dyDescent="0.3">
      <c r="A1199" t="s">
        <v>17</v>
      </c>
      <c r="C1199" s="16">
        <v>46206</v>
      </c>
      <c r="D1199">
        <v>5592585.7500000009</v>
      </c>
    </row>
    <row r="1200" spans="1:4" x14ac:dyDescent="0.3">
      <c r="A1200" t="s">
        <v>18</v>
      </c>
      <c r="C1200" s="16">
        <v>46206</v>
      </c>
      <c r="D1200">
        <v>79139.680000000168</v>
      </c>
    </row>
    <row r="1201" spans="1:4" x14ac:dyDescent="0.3">
      <c r="A1201" t="s">
        <v>19</v>
      </c>
      <c r="C1201" s="16">
        <v>46206</v>
      </c>
      <c r="D1201">
        <v>1669.89</v>
      </c>
    </row>
    <row r="1202" spans="1:4" x14ac:dyDescent="0.3">
      <c r="A1202" t="s">
        <v>20</v>
      </c>
      <c r="C1202" s="16">
        <v>46206</v>
      </c>
      <c r="D1202">
        <v>350475.62999999989</v>
      </c>
    </row>
    <row r="1203" spans="1:4" x14ac:dyDescent="0.3">
      <c r="A1203" t="s">
        <v>21</v>
      </c>
      <c r="C1203" s="16">
        <v>46206</v>
      </c>
      <c r="D1203">
        <v>1761564.8799999994</v>
      </c>
    </row>
    <row r="1204" spans="1:4" x14ac:dyDescent="0.3">
      <c r="A1204" t="s">
        <v>22</v>
      </c>
      <c r="C1204" s="16">
        <v>46206</v>
      </c>
      <c r="D1204">
        <v>220496.38</v>
      </c>
    </row>
    <row r="1205" spans="1:4" x14ac:dyDescent="0.3">
      <c r="A1205" t="s">
        <v>23</v>
      </c>
      <c r="C1205" s="16">
        <v>46206</v>
      </c>
      <c r="D1205">
        <v>88090.37</v>
      </c>
    </row>
    <row r="1206" spans="1:4" x14ac:dyDescent="0.3">
      <c r="A1206" t="s">
        <v>24</v>
      </c>
      <c r="C1206" s="16">
        <v>46206</v>
      </c>
      <c r="D1206">
        <v>471.15999999999985</v>
      </c>
    </row>
    <row r="1207" spans="1:4" x14ac:dyDescent="0.3">
      <c r="A1207" t="s">
        <v>25</v>
      </c>
      <c r="C1207" s="16">
        <v>46206</v>
      </c>
      <c r="D1207">
        <v>54.400000000000006</v>
      </c>
    </row>
    <row r="1208" spans="1:4" x14ac:dyDescent="0.3">
      <c r="A1208" t="s">
        <v>26</v>
      </c>
      <c r="C1208" s="16">
        <v>46206</v>
      </c>
      <c r="D1208">
        <v>2207.8200000000002</v>
      </c>
    </row>
    <row r="1209" spans="1:4" x14ac:dyDescent="0.3">
      <c r="A1209" t="s">
        <v>27</v>
      </c>
      <c r="C1209" s="16">
        <v>46206</v>
      </c>
      <c r="D1209">
        <v>3349.94</v>
      </c>
    </row>
    <row r="1210" spans="1:4" x14ac:dyDescent="0.3">
      <c r="A1210" t="s">
        <v>28</v>
      </c>
      <c r="C1210" s="16">
        <v>46206</v>
      </c>
      <c r="D1210">
        <v>1968.99</v>
      </c>
    </row>
    <row r="1211" spans="1:4" x14ac:dyDescent="0.3">
      <c r="A1211" t="s">
        <v>29</v>
      </c>
      <c r="C1211" s="16">
        <v>46206</v>
      </c>
      <c r="D1211">
        <v>382.69000000000005</v>
      </c>
    </row>
    <row r="1212" spans="1:4" x14ac:dyDescent="0.3">
      <c r="A1212" t="s">
        <v>30</v>
      </c>
      <c r="C1212" s="16">
        <v>46206</v>
      </c>
      <c r="D1212">
        <v>1412.08</v>
      </c>
    </row>
    <row r="1213" spans="1:4" x14ac:dyDescent="0.3">
      <c r="A1213" t="s">
        <v>31</v>
      </c>
      <c r="C1213" s="16">
        <v>46206</v>
      </c>
      <c r="D1213">
        <v>22496.639999999959</v>
      </c>
    </row>
    <row r="1214" spans="1:4" x14ac:dyDescent="0.3">
      <c r="A1214" t="s">
        <v>32</v>
      </c>
      <c r="C1214" s="16">
        <v>46206</v>
      </c>
      <c r="D1214">
        <v>10522.800000000003</v>
      </c>
    </row>
    <row r="1215" spans="1:4" x14ac:dyDescent="0.3">
      <c r="A1215" t="s">
        <v>33</v>
      </c>
      <c r="C1215" s="16">
        <v>46206</v>
      </c>
      <c r="D1215">
        <v>24085.559999999998</v>
      </c>
    </row>
    <row r="1216" spans="1:4" x14ac:dyDescent="0.3">
      <c r="A1216" t="s">
        <v>34</v>
      </c>
      <c r="C1216" s="16">
        <v>46206</v>
      </c>
      <c r="D1216">
        <v>345</v>
      </c>
    </row>
    <row r="1217" spans="1:4" x14ac:dyDescent="0.3">
      <c r="A1217" t="s">
        <v>35</v>
      </c>
      <c r="C1217" s="16">
        <v>46206</v>
      </c>
      <c r="D1217">
        <v>33119.040000000001</v>
      </c>
    </row>
    <row r="1218" spans="1:4" x14ac:dyDescent="0.3">
      <c r="A1218" t="s">
        <v>17</v>
      </c>
      <c r="C1218" s="16">
        <v>46207</v>
      </c>
      <c r="D1218">
        <v>5592585.7500000009</v>
      </c>
    </row>
    <row r="1219" spans="1:4" x14ac:dyDescent="0.3">
      <c r="A1219" t="s">
        <v>18</v>
      </c>
      <c r="C1219" s="16">
        <v>46207</v>
      </c>
      <c r="D1219">
        <v>79139.680000000168</v>
      </c>
    </row>
    <row r="1220" spans="1:4" x14ac:dyDescent="0.3">
      <c r="A1220" t="s">
        <v>19</v>
      </c>
      <c r="C1220" s="16">
        <v>46207</v>
      </c>
      <c r="D1220">
        <v>1669.89</v>
      </c>
    </row>
    <row r="1221" spans="1:4" x14ac:dyDescent="0.3">
      <c r="A1221" t="s">
        <v>20</v>
      </c>
      <c r="C1221" s="16">
        <v>46207</v>
      </c>
      <c r="D1221">
        <v>350475.62999999989</v>
      </c>
    </row>
    <row r="1222" spans="1:4" x14ac:dyDescent="0.3">
      <c r="A1222" t="s">
        <v>21</v>
      </c>
      <c r="C1222" s="16">
        <v>46207</v>
      </c>
      <c r="D1222">
        <v>1761564.8799999994</v>
      </c>
    </row>
    <row r="1223" spans="1:4" x14ac:dyDescent="0.3">
      <c r="A1223" t="s">
        <v>22</v>
      </c>
      <c r="C1223" s="16">
        <v>46207</v>
      </c>
      <c r="D1223">
        <v>220496.38</v>
      </c>
    </row>
    <row r="1224" spans="1:4" x14ac:dyDescent="0.3">
      <c r="A1224" t="s">
        <v>23</v>
      </c>
      <c r="C1224" s="16">
        <v>46207</v>
      </c>
      <c r="D1224">
        <v>88090.37</v>
      </c>
    </row>
    <row r="1225" spans="1:4" x14ac:dyDescent="0.3">
      <c r="A1225" t="s">
        <v>24</v>
      </c>
      <c r="C1225" s="16">
        <v>46207</v>
      </c>
      <c r="D1225">
        <v>471.15999999999985</v>
      </c>
    </row>
    <row r="1226" spans="1:4" x14ac:dyDescent="0.3">
      <c r="A1226" t="s">
        <v>25</v>
      </c>
      <c r="C1226" s="16">
        <v>46207</v>
      </c>
      <c r="D1226">
        <v>54.400000000000006</v>
      </c>
    </row>
    <row r="1227" spans="1:4" x14ac:dyDescent="0.3">
      <c r="A1227" t="s">
        <v>26</v>
      </c>
      <c r="C1227" s="16">
        <v>46207</v>
      </c>
      <c r="D1227">
        <v>2207.8200000000002</v>
      </c>
    </row>
    <row r="1228" spans="1:4" x14ac:dyDescent="0.3">
      <c r="A1228" t="s">
        <v>27</v>
      </c>
      <c r="C1228" s="16">
        <v>46207</v>
      </c>
      <c r="D1228">
        <v>3349.94</v>
      </c>
    </row>
    <row r="1229" spans="1:4" x14ac:dyDescent="0.3">
      <c r="A1229" t="s">
        <v>28</v>
      </c>
      <c r="C1229" s="16">
        <v>46207</v>
      </c>
      <c r="D1229">
        <v>1968.99</v>
      </c>
    </row>
    <row r="1230" spans="1:4" x14ac:dyDescent="0.3">
      <c r="A1230" t="s">
        <v>29</v>
      </c>
      <c r="C1230" s="16">
        <v>46207</v>
      </c>
      <c r="D1230">
        <v>382.69000000000005</v>
      </c>
    </row>
    <row r="1231" spans="1:4" x14ac:dyDescent="0.3">
      <c r="A1231" t="s">
        <v>30</v>
      </c>
      <c r="C1231" s="16">
        <v>46207</v>
      </c>
      <c r="D1231">
        <v>1412.08</v>
      </c>
    </row>
    <row r="1232" spans="1:4" x14ac:dyDescent="0.3">
      <c r="A1232" t="s">
        <v>31</v>
      </c>
      <c r="C1232" s="16">
        <v>46207</v>
      </c>
      <c r="D1232">
        <v>22496.639999999959</v>
      </c>
    </row>
    <row r="1233" spans="1:4" x14ac:dyDescent="0.3">
      <c r="A1233" t="s">
        <v>32</v>
      </c>
      <c r="C1233" s="16">
        <v>46207</v>
      </c>
      <c r="D1233">
        <v>10522.800000000003</v>
      </c>
    </row>
    <row r="1234" spans="1:4" x14ac:dyDescent="0.3">
      <c r="A1234" t="s">
        <v>33</v>
      </c>
      <c r="C1234" s="16">
        <v>46207</v>
      </c>
      <c r="D1234">
        <v>24085.559999999998</v>
      </c>
    </row>
    <row r="1235" spans="1:4" x14ac:dyDescent="0.3">
      <c r="A1235" t="s">
        <v>34</v>
      </c>
      <c r="C1235" s="16">
        <v>46207</v>
      </c>
      <c r="D1235">
        <v>345</v>
      </c>
    </row>
    <row r="1236" spans="1:4" x14ac:dyDescent="0.3">
      <c r="A1236" t="s">
        <v>35</v>
      </c>
      <c r="C1236" s="16">
        <v>46207</v>
      </c>
      <c r="D1236">
        <v>33119.040000000001</v>
      </c>
    </row>
    <row r="1237" spans="1:4" x14ac:dyDescent="0.3">
      <c r="A1237" t="s">
        <v>17</v>
      </c>
      <c r="C1237" s="16">
        <v>46208</v>
      </c>
      <c r="D1237">
        <v>5592585.7500000009</v>
      </c>
    </row>
    <row r="1238" spans="1:4" x14ac:dyDescent="0.3">
      <c r="A1238" t="s">
        <v>18</v>
      </c>
      <c r="C1238" s="16">
        <v>46208</v>
      </c>
      <c r="D1238">
        <v>79139.680000000168</v>
      </c>
    </row>
    <row r="1239" spans="1:4" x14ac:dyDescent="0.3">
      <c r="A1239" t="s">
        <v>19</v>
      </c>
      <c r="C1239" s="16">
        <v>46208</v>
      </c>
      <c r="D1239">
        <v>1669.89</v>
      </c>
    </row>
    <row r="1240" spans="1:4" x14ac:dyDescent="0.3">
      <c r="A1240" t="s">
        <v>20</v>
      </c>
      <c r="C1240" s="16">
        <v>46208</v>
      </c>
      <c r="D1240">
        <v>350475.62999999989</v>
      </c>
    </row>
    <row r="1241" spans="1:4" x14ac:dyDescent="0.3">
      <c r="A1241" t="s">
        <v>21</v>
      </c>
      <c r="C1241" s="16">
        <v>46208</v>
      </c>
      <c r="D1241">
        <v>1761564.8799999994</v>
      </c>
    </row>
    <row r="1242" spans="1:4" x14ac:dyDescent="0.3">
      <c r="A1242" t="s">
        <v>22</v>
      </c>
      <c r="C1242" s="16">
        <v>46208</v>
      </c>
      <c r="D1242">
        <v>220496.38</v>
      </c>
    </row>
    <row r="1243" spans="1:4" x14ac:dyDescent="0.3">
      <c r="A1243" t="s">
        <v>23</v>
      </c>
      <c r="C1243" s="16">
        <v>46208</v>
      </c>
      <c r="D1243">
        <v>88090.37</v>
      </c>
    </row>
    <row r="1244" spans="1:4" x14ac:dyDescent="0.3">
      <c r="A1244" t="s">
        <v>24</v>
      </c>
      <c r="C1244" s="16">
        <v>46208</v>
      </c>
      <c r="D1244">
        <v>471.15999999999985</v>
      </c>
    </row>
    <row r="1245" spans="1:4" x14ac:dyDescent="0.3">
      <c r="A1245" t="s">
        <v>25</v>
      </c>
      <c r="C1245" s="16">
        <v>46208</v>
      </c>
      <c r="D1245">
        <v>54.400000000000006</v>
      </c>
    </row>
    <row r="1246" spans="1:4" x14ac:dyDescent="0.3">
      <c r="A1246" t="s">
        <v>26</v>
      </c>
      <c r="C1246" s="16">
        <v>46208</v>
      </c>
      <c r="D1246">
        <v>2207.8200000000002</v>
      </c>
    </row>
    <row r="1247" spans="1:4" x14ac:dyDescent="0.3">
      <c r="A1247" t="s">
        <v>27</v>
      </c>
      <c r="C1247" s="16">
        <v>46208</v>
      </c>
      <c r="D1247">
        <v>3349.94</v>
      </c>
    </row>
    <row r="1248" spans="1:4" x14ac:dyDescent="0.3">
      <c r="A1248" t="s">
        <v>28</v>
      </c>
      <c r="C1248" s="16">
        <v>46208</v>
      </c>
      <c r="D1248">
        <v>1968.99</v>
      </c>
    </row>
    <row r="1249" spans="1:4" x14ac:dyDescent="0.3">
      <c r="A1249" t="s">
        <v>29</v>
      </c>
      <c r="C1249" s="16">
        <v>46208</v>
      </c>
      <c r="D1249">
        <v>382.69000000000005</v>
      </c>
    </row>
    <row r="1250" spans="1:4" x14ac:dyDescent="0.3">
      <c r="A1250" t="s">
        <v>30</v>
      </c>
      <c r="C1250" s="16">
        <v>46208</v>
      </c>
      <c r="D1250">
        <v>1412.08</v>
      </c>
    </row>
    <row r="1251" spans="1:4" x14ac:dyDescent="0.3">
      <c r="A1251" t="s">
        <v>31</v>
      </c>
      <c r="C1251" s="16">
        <v>46208</v>
      </c>
      <c r="D1251">
        <v>22496.639999999959</v>
      </c>
    </row>
    <row r="1252" spans="1:4" x14ac:dyDescent="0.3">
      <c r="A1252" t="s">
        <v>32</v>
      </c>
      <c r="C1252" s="16">
        <v>46208</v>
      </c>
      <c r="D1252">
        <v>10522.800000000003</v>
      </c>
    </row>
    <row r="1253" spans="1:4" x14ac:dyDescent="0.3">
      <c r="A1253" t="s">
        <v>33</v>
      </c>
      <c r="C1253" s="16">
        <v>46208</v>
      </c>
      <c r="D1253">
        <v>24085.559999999998</v>
      </c>
    </row>
    <row r="1254" spans="1:4" x14ac:dyDescent="0.3">
      <c r="A1254" t="s">
        <v>34</v>
      </c>
      <c r="C1254" s="16">
        <v>46208</v>
      </c>
      <c r="D1254">
        <v>345</v>
      </c>
    </row>
    <row r="1255" spans="1:4" x14ac:dyDescent="0.3">
      <c r="A1255" t="s">
        <v>35</v>
      </c>
      <c r="C1255" s="16">
        <v>46208</v>
      </c>
      <c r="D1255">
        <v>33119.040000000001</v>
      </c>
    </row>
    <row r="1256" spans="1:4" x14ac:dyDescent="0.3">
      <c r="A1256" t="s">
        <v>17</v>
      </c>
      <c r="C1256" s="16">
        <v>46209</v>
      </c>
      <c r="D1256">
        <v>5592585.7500000009</v>
      </c>
    </row>
    <row r="1257" spans="1:4" x14ac:dyDescent="0.3">
      <c r="A1257" t="s">
        <v>18</v>
      </c>
      <c r="C1257" s="16">
        <v>46209</v>
      </c>
      <c r="D1257">
        <v>79139.680000000168</v>
      </c>
    </row>
    <row r="1258" spans="1:4" x14ac:dyDescent="0.3">
      <c r="A1258" t="s">
        <v>19</v>
      </c>
      <c r="C1258" s="16">
        <v>46209</v>
      </c>
      <c r="D1258">
        <v>1669.89</v>
      </c>
    </row>
    <row r="1259" spans="1:4" x14ac:dyDescent="0.3">
      <c r="A1259" t="s">
        <v>20</v>
      </c>
      <c r="C1259" s="16">
        <v>46209</v>
      </c>
      <c r="D1259">
        <v>350475.62999999989</v>
      </c>
    </row>
    <row r="1260" spans="1:4" x14ac:dyDescent="0.3">
      <c r="A1260" t="s">
        <v>21</v>
      </c>
      <c r="C1260" s="16">
        <v>46209</v>
      </c>
      <c r="D1260">
        <v>1761026.4599999995</v>
      </c>
    </row>
    <row r="1261" spans="1:4" x14ac:dyDescent="0.3">
      <c r="A1261" t="s">
        <v>22</v>
      </c>
      <c r="C1261" s="16">
        <v>46209</v>
      </c>
      <c r="D1261">
        <v>220496.38</v>
      </c>
    </row>
    <row r="1262" spans="1:4" x14ac:dyDescent="0.3">
      <c r="A1262" t="s">
        <v>23</v>
      </c>
      <c r="C1262" s="16">
        <v>46209</v>
      </c>
      <c r="D1262">
        <v>88090.37</v>
      </c>
    </row>
    <row r="1263" spans="1:4" x14ac:dyDescent="0.3">
      <c r="A1263" t="s">
        <v>24</v>
      </c>
      <c r="C1263" s="16">
        <v>46209</v>
      </c>
      <c r="D1263">
        <v>471.15999999999985</v>
      </c>
    </row>
    <row r="1264" spans="1:4" x14ac:dyDescent="0.3">
      <c r="A1264" t="s">
        <v>25</v>
      </c>
      <c r="C1264" s="16">
        <v>46209</v>
      </c>
      <c r="D1264">
        <v>54.400000000000006</v>
      </c>
    </row>
    <row r="1265" spans="1:4" x14ac:dyDescent="0.3">
      <c r="A1265" t="s">
        <v>26</v>
      </c>
      <c r="C1265" s="16">
        <v>46209</v>
      </c>
      <c r="D1265">
        <v>2207.8200000000002</v>
      </c>
    </row>
    <row r="1266" spans="1:4" x14ac:dyDescent="0.3">
      <c r="A1266" t="s">
        <v>27</v>
      </c>
      <c r="C1266" s="16">
        <v>46209</v>
      </c>
      <c r="D1266">
        <v>3349.94</v>
      </c>
    </row>
    <row r="1267" spans="1:4" x14ac:dyDescent="0.3">
      <c r="A1267" t="s">
        <v>28</v>
      </c>
      <c r="C1267" s="16">
        <v>46209</v>
      </c>
      <c r="D1267">
        <v>1968.99</v>
      </c>
    </row>
    <row r="1268" spans="1:4" x14ac:dyDescent="0.3">
      <c r="A1268" t="s">
        <v>29</v>
      </c>
      <c r="C1268" s="16">
        <v>46209</v>
      </c>
      <c r="D1268">
        <v>382.69000000000005</v>
      </c>
    </row>
    <row r="1269" spans="1:4" x14ac:dyDescent="0.3">
      <c r="A1269" t="s">
        <v>30</v>
      </c>
      <c r="C1269" s="16">
        <v>46209</v>
      </c>
      <c r="D1269">
        <v>1412.08</v>
      </c>
    </row>
    <row r="1270" spans="1:4" x14ac:dyDescent="0.3">
      <c r="A1270" t="s">
        <v>31</v>
      </c>
      <c r="C1270" s="16">
        <v>46209</v>
      </c>
      <c r="D1270">
        <v>22496.639999999959</v>
      </c>
    </row>
    <row r="1271" spans="1:4" x14ac:dyDescent="0.3">
      <c r="A1271" t="s">
        <v>32</v>
      </c>
      <c r="C1271" s="16">
        <v>46209</v>
      </c>
      <c r="D1271">
        <v>10522.800000000003</v>
      </c>
    </row>
    <row r="1272" spans="1:4" x14ac:dyDescent="0.3">
      <c r="A1272" t="s">
        <v>33</v>
      </c>
      <c r="C1272" s="16">
        <v>46209</v>
      </c>
      <c r="D1272">
        <v>24085.559999999998</v>
      </c>
    </row>
    <row r="1273" spans="1:4" x14ac:dyDescent="0.3">
      <c r="A1273" t="s">
        <v>34</v>
      </c>
      <c r="C1273" s="16">
        <v>46209</v>
      </c>
      <c r="D1273">
        <v>345</v>
      </c>
    </row>
    <row r="1274" spans="1:4" x14ac:dyDescent="0.3">
      <c r="A1274" t="s">
        <v>35</v>
      </c>
      <c r="C1274" s="16">
        <v>46209</v>
      </c>
      <c r="D1274">
        <v>15165.34</v>
      </c>
    </row>
    <row r="1275" spans="1:4" x14ac:dyDescent="0.3">
      <c r="A1275" t="s">
        <v>17</v>
      </c>
      <c r="C1275" s="16">
        <v>46210</v>
      </c>
      <c r="D1275">
        <v>5592585.7500000009</v>
      </c>
    </row>
    <row r="1276" spans="1:4" x14ac:dyDescent="0.3">
      <c r="A1276" t="s">
        <v>18</v>
      </c>
      <c r="C1276" s="16">
        <v>46210</v>
      </c>
      <c r="D1276">
        <v>79139.680000000168</v>
      </c>
    </row>
    <row r="1277" spans="1:4" x14ac:dyDescent="0.3">
      <c r="A1277" t="s">
        <v>19</v>
      </c>
      <c r="C1277" s="16">
        <v>46210</v>
      </c>
      <c r="D1277">
        <v>1669.89</v>
      </c>
    </row>
    <row r="1278" spans="1:4" x14ac:dyDescent="0.3">
      <c r="A1278" t="s">
        <v>20</v>
      </c>
      <c r="C1278" s="16">
        <v>46210</v>
      </c>
      <c r="D1278">
        <v>350475.62999999989</v>
      </c>
    </row>
    <row r="1279" spans="1:4" x14ac:dyDescent="0.3">
      <c r="A1279" t="s">
        <v>21</v>
      </c>
      <c r="C1279" s="16">
        <v>46210</v>
      </c>
      <c r="D1279">
        <v>1761026.4599999995</v>
      </c>
    </row>
    <row r="1280" spans="1:4" x14ac:dyDescent="0.3">
      <c r="A1280" t="s">
        <v>22</v>
      </c>
      <c r="C1280" s="16">
        <v>46210</v>
      </c>
      <c r="D1280">
        <v>220496.38</v>
      </c>
    </row>
    <row r="1281" spans="1:4" x14ac:dyDescent="0.3">
      <c r="A1281" t="s">
        <v>23</v>
      </c>
      <c r="C1281" s="16">
        <v>46210</v>
      </c>
      <c r="D1281">
        <v>88090.37</v>
      </c>
    </row>
    <row r="1282" spans="1:4" x14ac:dyDescent="0.3">
      <c r="A1282" t="s">
        <v>24</v>
      </c>
      <c r="C1282" s="16">
        <v>46210</v>
      </c>
      <c r="D1282">
        <v>471.15999999999985</v>
      </c>
    </row>
    <row r="1283" spans="1:4" x14ac:dyDescent="0.3">
      <c r="A1283" t="s">
        <v>25</v>
      </c>
      <c r="C1283" s="16">
        <v>46210</v>
      </c>
      <c r="D1283">
        <v>54.400000000000006</v>
      </c>
    </row>
    <row r="1284" spans="1:4" x14ac:dyDescent="0.3">
      <c r="A1284" t="s">
        <v>26</v>
      </c>
      <c r="C1284" s="16">
        <v>46210</v>
      </c>
      <c r="D1284">
        <v>2207.8200000000002</v>
      </c>
    </row>
    <row r="1285" spans="1:4" x14ac:dyDescent="0.3">
      <c r="A1285" t="s">
        <v>27</v>
      </c>
      <c r="C1285" s="16">
        <v>46210</v>
      </c>
      <c r="D1285">
        <v>3349.94</v>
      </c>
    </row>
    <row r="1286" spans="1:4" x14ac:dyDescent="0.3">
      <c r="A1286" t="s">
        <v>28</v>
      </c>
      <c r="C1286" s="16">
        <v>46210</v>
      </c>
      <c r="D1286">
        <v>1968.99</v>
      </c>
    </row>
    <row r="1287" spans="1:4" x14ac:dyDescent="0.3">
      <c r="A1287" t="s">
        <v>29</v>
      </c>
      <c r="C1287" s="16">
        <v>46210</v>
      </c>
      <c r="D1287">
        <v>382.69000000000005</v>
      </c>
    </row>
    <row r="1288" spans="1:4" x14ac:dyDescent="0.3">
      <c r="A1288" t="s">
        <v>30</v>
      </c>
      <c r="C1288" s="16">
        <v>46210</v>
      </c>
      <c r="D1288">
        <v>1412.08</v>
      </c>
    </row>
    <row r="1289" spans="1:4" x14ac:dyDescent="0.3">
      <c r="A1289" t="s">
        <v>31</v>
      </c>
      <c r="C1289" s="16">
        <v>46210</v>
      </c>
      <c r="D1289">
        <v>22496.639999999959</v>
      </c>
    </row>
    <row r="1290" spans="1:4" x14ac:dyDescent="0.3">
      <c r="A1290" t="s">
        <v>32</v>
      </c>
      <c r="C1290" s="16">
        <v>46210</v>
      </c>
      <c r="D1290">
        <v>10522.800000000003</v>
      </c>
    </row>
    <row r="1291" spans="1:4" x14ac:dyDescent="0.3">
      <c r="A1291" t="s">
        <v>33</v>
      </c>
      <c r="C1291" s="16">
        <v>46210</v>
      </c>
      <c r="D1291">
        <v>24085.559999999998</v>
      </c>
    </row>
    <row r="1292" spans="1:4" x14ac:dyDescent="0.3">
      <c r="A1292" t="s">
        <v>34</v>
      </c>
      <c r="C1292" s="16">
        <v>46210</v>
      </c>
      <c r="D1292">
        <v>345</v>
      </c>
    </row>
    <row r="1293" spans="1:4" x14ac:dyDescent="0.3">
      <c r="A1293" t="s">
        <v>35</v>
      </c>
      <c r="C1293" s="16">
        <v>46210</v>
      </c>
      <c r="D1293">
        <v>14498.59</v>
      </c>
    </row>
    <row r="1294" spans="1:4" x14ac:dyDescent="0.3">
      <c r="A1294" t="s">
        <v>17</v>
      </c>
      <c r="C1294" s="16">
        <v>46211</v>
      </c>
      <c r="D1294">
        <v>5592585.7500000009</v>
      </c>
    </row>
    <row r="1295" spans="1:4" x14ac:dyDescent="0.3">
      <c r="A1295" t="s">
        <v>18</v>
      </c>
      <c r="C1295" s="16">
        <v>46211</v>
      </c>
      <c r="D1295">
        <v>79139.680000000168</v>
      </c>
    </row>
    <row r="1296" spans="1:4" x14ac:dyDescent="0.3">
      <c r="A1296" t="s">
        <v>19</v>
      </c>
      <c r="C1296" s="16">
        <v>46211</v>
      </c>
      <c r="D1296">
        <v>1669.89</v>
      </c>
    </row>
    <row r="1297" spans="1:4" x14ac:dyDescent="0.3">
      <c r="A1297" t="s">
        <v>20</v>
      </c>
      <c r="C1297" s="16">
        <v>46211</v>
      </c>
      <c r="D1297">
        <v>350475.62999999989</v>
      </c>
    </row>
    <row r="1298" spans="1:4" x14ac:dyDescent="0.3">
      <c r="A1298" t="s">
        <v>21</v>
      </c>
      <c r="C1298" s="16">
        <v>46211</v>
      </c>
      <c r="D1298">
        <v>1751695.8399999994</v>
      </c>
    </row>
    <row r="1299" spans="1:4" x14ac:dyDescent="0.3">
      <c r="A1299" t="s">
        <v>22</v>
      </c>
      <c r="C1299" s="16">
        <v>46211</v>
      </c>
      <c r="D1299">
        <v>220496.38</v>
      </c>
    </row>
    <row r="1300" spans="1:4" x14ac:dyDescent="0.3">
      <c r="A1300" t="s">
        <v>23</v>
      </c>
      <c r="C1300" s="16">
        <v>46211</v>
      </c>
      <c r="D1300">
        <v>88090.37</v>
      </c>
    </row>
    <row r="1301" spans="1:4" x14ac:dyDescent="0.3">
      <c r="A1301" t="s">
        <v>24</v>
      </c>
      <c r="C1301" s="16">
        <v>46211</v>
      </c>
      <c r="D1301">
        <v>471.15999999999985</v>
      </c>
    </row>
    <row r="1302" spans="1:4" x14ac:dyDescent="0.3">
      <c r="A1302" t="s">
        <v>25</v>
      </c>
      <c r="C1302" s="16">
        <v>46211</v>
      </c>
      <c r="D1302">
        <v>54.400000000000006</v>
      </c>
    </row>
    <row r="1303" spans="1:4" x14ac:dyDescent="0.3">
      <c r="A1303" t="s">
        <v>26</v>
      </c>
      <c r="C1303" s="16">
        <v>46211</v>
      </c>
      <c r="D1303">
        <v>2207.8200000000002</v>
      </c>
    </row>
    <row r="1304" spans="1:4" x14ac:dyDescent="0.3">
      <c r="A1304" t="s">
        <v>27</v>
      </c>
      <c r="C1304" s="16">
        <v>46211</v>
      </c>
      <c r="D1304">
        <v>3334.94</v>
      </c>
    </row>
    <row r="1305" spans="1:4" x14ac:dyDescent="0.3">
      <c r="A1305" t="s">
        <v>28</v>
      </c>
      <c r="C1305" s="16">
        <v>46211</v>
      </c>
      <c r="D1305">
        <v>1968.99</v>
      </c>
    </row>
    <row r="1306" spans="1:4" x14ac:dyDescent="0.3">
      <c r="A1306" t="s">
        <v>29</v>
      </c>
      <c r="C1306" s="16">
        <v>46211</v>
      </c>
      <c r="D1306">
        <v>382.69000000000005</v>
      </c>
    </row>
    <row r="1307" spans="1:4" x14ac:dyDescent="0.3">
      <c r="A1307" t="s">
        <v>30</v>
      </c>
      <c r="C1307" s="16">
        <v>46211</v>
      </c>
      <c r="D1307">
        <v>1412.08</v>
      </c>
    </row>
    <row r="1308" spans="1:4" x14ac:dyDescent="0.3">
      <c r="A1308" t="s">
        <v>31</v>
      </c>
      <c r="C1308" s="16">
        <v>46211</v>
      </c>
      <c r="D1308">
        <v>22496.639999999959</v>
      </c>
    </row>
    <row r="1309" spans="1:4" x14ac:dyDescent="0.3">
      <c r="A1309" t="s">
        <v>32</v>
      </c>
      <c r="C1309" s="16">
        <v>46211</v>
      </c>
      <c r="D1309">
        <v>6522.8000000000029</v>
      </c>
    </row>
    <row r="1310" spans="1:4" x14ac:dyDescent="0.3">
      <c r="A1310" t="s">
        <v>33</v>
      </c>
      <c r="C1310" s="16">
        <v>46211</v>
      </c>
      <c r="D1310">
        <v>24085.559999999998</v>
      </c>
    </row>
    <row r="1311" spans="1:4" x14ac:dyDescent="0.3">
      <c r="A1311" t="s">
        <v>34</v>
      </c>
      <c r="C1311" s="16">
        <v>46211</v>
      </c>
      <c r="D1311">
        <v>345</v>
      </c>
    </row>
    <row r="1312" spans="1:4" x14ac:dyDescent="0.3">
      <c r="A1312" t="s">
        <v>35</v>
      </c>
      <c r="C1312" s="16">
        <v>46211</v>
      </c>
      <c r="D1312">
        <v>14498.59</v>
      </c>
    </row>
    <row r="1313" spans="1:4" x14ac:dyDescent="0.3">
      <c r="A1313" t="s">
        <v>17</v>
      </c>
      <c r="C1313" s="16">
        <v>46212</v>
      </c>
      <c r="D1313">
        <v>4377944.080000001</v>
      </c>
    </row>
    <row r="1314" spans="1:4" x14ac:dyDescent="0.3">
      <c r="A1314" t="s">
        <v>18</v>
      </c>
      <c r="C1314" s="16">
        <v>46212</v>
      </c>
      <c r="D1314">
        <v>73157.680000000168</v>
      </c>
    </row>
    <row r="1315" spans="1:4" x14ac:dyDescent="0.3">
      <c r="A1315" t="s">
        <v>19</v>
      </c>
      <c r="C1315" s="16">
        <v>46212</v>
      </c>
      <c r="D1315">
        <v>1669.89</v>
      </c>
    </row>
    <row r="1316" spans="1:4" x14ac:dyDescent="0.3">
      <c r="A1316" t="s">
        <v>20</v>
      </c>
      <c r="C1316" s="16">
        <v>46212</v>
      </c>
      <c r="D1316">
        <v>290475.62999999989</v>
      </c>
    </row>
    <row r="1317" spans="1:4" x14ac:dyDescent="0.3">
      <c r="A1317" t="s">
        <v>21</v>
      </c>
      <c r="C1317" s="16">
        <v>46212</v>
      </c>
      <c r="D1317">
        <v>2119592.9399999995</v>
      </c>
    </row>
    <row r="1318" spans="1:4" x14ac:dyDescent="0.3">
      <c r="A1318" t="s">
        <v>22</v>
      </c>
      <c r="C1318" s="16">
        <v>46212</v>
      </c>
      <c r="D1318">
        <v>200496.38</v>
      </c>
    </row>
    <row r="1319" spans="1:4" x14ac:dyDescent="0.3">
      <c r="A1319" t="s">
        <v>23</v>
      </c>
      <c r="C1319" s="16">
        <v>46212</v>
      </c>
      <c r="D1319">
        <v>88090.37</v>
      </c>
    </row>
    <row r="1320" spans="1:4" x14ac:dyDescent="0.3">
      <c r="A1320" t="s">
        <v>24</v>
      </c>
      <c r="C1320" s="16">
        <v>46212</v>
      </c>
      <c r="D1320">
        <v>15130.45</v>
      </c>
    </row>
    <row r="1321" spans="1:4" x14ac:dyDescent="0.3">
      <c r="A1321" t="s">
        <v>25</v>
      </c>
      <c r="C1321" s="16">
        <v>46212</v>
      </c>
      <c r="D1321">
        <v>54.400000000000006</v>
      </c>
    </row>
    <row r="1322" spans="1:4" x14ac:dyDescent="0.3">
      <c r="A1322" t="s">
        <v>26</v>
      </c>
      <c r="C1322" s="16">
        <v>46212</v>
      </c>
      <c r="D1322">
        <v>2207.8200000000002</v>
      </c>
    </row>
    <row r="1323" spans="1:4" x14ac:dyDescent="0.3">
      <c r="A1323" t="s">
        <v>27</v>
      </c>
      <c r="C1323" s="16">
        <v>46212</v>
      </c>
      <c r="D1323">
        <v>1454604.72</v>
      </c>
    </row>
    <row r="1324" spans="1:4" x14ac:dyDescent="0.3">
      <c r="A1324" t="s">
        <v>28</v>
      </c>
      <c r="C1324" s="16">
        <v>46212</v>
      </c>
      <c r="D1324">
        <v>1968.99</v>
      </c>
    </row>
    <row r="1325" spans="1:4" x14ac:dyDescent="0.3">
      <c r="A1325" t="s">
        <v>29</v>
      </c>
      <c r="C1325" s="16">
        <v>46212</v>
      </c>
      <c r="D1325">
        <v>382.69000000000005</v>
      </c>
    </row>
    <row r="1326" spans="1:4" x14ac:dyDescent="0.3">
      <c r="A1326" t="s">
        <v>30</v>
      </c>
      <c r="C1326" s="16">
        <v>46212</v>
      </c>
      <c r="D1326">
        <v>1412.08</v>
      </c>
    </row>
    <row r="1327" spans="1:4" x14ac:dyDescent="0.3">
      <c r="A1327" t="s">
        <v>31</v>
      </c>
      <c r="C1327" s="16">
        <v>46212</v>
      </c>
      <c r="D1327">
        <v>22496.639999999959</v>
      </c>
    </row>
    <row r="1328" spans="1:4" x14ac:dyDescent="0.3">
      <c r="A1328" t="s">
        <v>32</v>
      </c>
      <c r="C1328" s="16">
        <v>46212</v>
      </c>
      <c r="D1328">
        <v>6522.8000000000029</v>
      </c>
    </row>
    <row r="1329" spans="1:4" x14ac:dyDescent="0.3">
      <c r="A1329" t="s">
        <v>33</v>
      </c>
      <c r="C1329" s="16">
        <v>46212</v>
      </c>
      <c r="D1329">
        <v>24085.559999999998</v>
      </c>
    </row>
    <row r="1330" spans="1:4" x14ac:dyDescent="0.3">
      <c r="A1330" t="s">
        <v>34</v>
      </c>
      <c r="C1330" s="16">
        <v>46212</v>
      </c>
      <c r="D1330">
        <v>345</v>
      </c>
    </row>
    <row r="1331" spans="1:4" x14ac:dyDescent="0.3">
      <c r="A1331" t="s">
        <v>35</v>
      </c>
      <c r="C1331" s="16">
        <v>46212</v>
      </c>
      <c r="D1331">
        <v>31900.120000000003</v>
      </c>
    </row>
    <row r="1332" spans="1:4" x14ac:dyDescent="0.3">
      <c r="A1332" t="s">
        <v>17</v>
      </c>
      <c r="C1332" s="16">
        <v>46213</v>
      </c>
      <c r="D1332">
        <v>4163755.7500000005</v>
      </c>
    </row>
    <row r="1333" spans="1:4" x14ac:dyDescent="0.3">
      <c r="A1333" t="s">
        <v>18</v>
      </c>
      <c r="C1333" s="16">
        <v>46213</v>
      </c>
      <c r="D1333">
        <v>73157.680000000168</v>
      </c>
    </row>
    <row r="1334" spans="1:4" x14ac:dyDescent="0.3">
      <c r="A1334" t="s">
        <v>19</v>
      </c>
      <c r="C1334" s="16">
        <v>46213</v>
      </c>
      <c r="D1334">
        <v>1669.89</v>
      </c>
    </row>
    <row r="1335" spans="1:4" x14ac:dyDescent="0.3">
      <c r="A1335" t="s">
        <v>20</v>
      </c>
      <c r="C1335" s="16">
        <v>46213</v>
      </c>
      <c r="D1335">
        <v>290141.62999999989</v>
      </c>
    </row>
    <row r="1336" spans="1:4" x14ac:dyDescent="0.3">
      <c r="A1336" t="s">
        <v>21</v>
      </c>
      <c r="C1336" s="16">
        <v>46213</v>
      </c>
      <c r="D1336">
        <v>1921752.2699999993</v>
      </c>
    </row>
    <row r="1337" spans="1:4" x14ac:dyDescent="0.3">
      <c r="A1337" t="s">
        <v>22</v>
      </c>
      <c r="C1337" s="16">
        <v>46213</v>
      </c>
      <c r="D1337">
        <v>200496.38</v>
      </c>
    </row>
    <row r="1338" spans="1:4" x14ac:dyDescent="0.3">
      <c r="A1338" t="s">
        <v>23</v>
      </c>
      <c r="C1338" s="16">
        <v>46213</v>
      </c>
      <c r="D1338">
        <v>88090.37</v>
      </c>
    </row>
    <row r="1339" spans="1:4" x14ac:dyDescent="0.3">
      <c r="A1339" t="s">
        <v>24</v>
      </c>
      <c r="C1339" s="16">
        <v>46213</v>
      </c>
      <c r="D1339">
        <v>14580.45</v>
      </c>
    </row>
    <row r="1340" spans="1:4" x14ac:dyDescent="0.3">
      <c r="A1340" t="s">
        <v>25</v>
      </c>
      <c r="C1340" s="16">
        <v>46213</v>
      </c>
      <c r="D1340">
        <v>54.400000000000006</v>
      </c>
    </row>
    <row r="1341" spans="1:4" x14ac:dyDescent="0.3">
      <c r="A1341" t="s">
        <v>26</v>
      </c>
      <c r="C1341" s="16">
        <v>46213</v>
      </c>
      <c r="D1341">
        <v>2207.8200000000002</v>
      </c>
    </row>
    <row r="1342" spans="1:4" x14ac:dyDescent="0.3">
      <c r="A1342" t="s">
        <v>27</v>
      </c>
      <c r="C1342" s="16">
        <v>46213</v>
      </c>
      <c r="D1342">
        <v>1454589.72</v>
      </c>
    </row>
    <row r="1343" spans="1:4" x14ac:dyDescent="0.3">
      <c r="A1343" t="s">
        <v>28</v>
      </c>
      <c r="C1343" s="16">
        <v>46213</v>
      </c>
      <c r="D1343">
        <v>1968.99</v>
      </c>
    </row>
    <row r="1344" spans="1:4" x14ac:dyDescent="0.3">
      <c r="A1344" t="s">
        <v>29</v>
      </c>
      <c r="C1344" s="16">
        <v>46213</v>
      </c>
      <c r="D1344">
        <v>382.69000000000005</v>
      </c>
    </row>
    <row r="1345" spans="1:4" x14ac:dyDescent="0.3">
      <c r="A1345" t="s">
        <v>30</v>
      </c>
      <c r="C1345" s="16">
        <v>46213</v>
      </c>
      <c r="D1345">
        <v>1412.08</v>
      </c>
    </row>
    <row r="1346" spans="1:4" x14ac:dyDescent="0.3">
      <c r="A1346" t="s">
        <v>31</v>
      </c>
      <c r="C1346" s="16">
        <v>46213</v>
      </c>
      <c r="D1346">
        <v>22496.639999999959</v>
      </c>
    </row>
    <row r="1347" spans="1:4" x14ac:dyDescent="0.3">
      <c r="A1347" t="s">
        <v>32</v>
      </c>
      <c r="C1347" s="16">
        <v>46213</v>
      </c>
      <c r="D1347">
        <v>6522.8000000000029</v>
      </c>
    </row>
    <row r="1348" spans="1:4" x14ac:dyDescent="0.3">
      <c r="A1348" t="s">
        <v>33</v>
      </c>
      <c r="C1348" s="16">
        <v>46213</v>
      </c>
      <c r="D1348">
        <v>24085.559999999998</v>
      </c>
    </row>
    <row r="1349" spans="1:4" x14ac:dyDescent="0.3">
      <c r="A1349" t="s">
        <v>34</v>
      </c>
      <c r="C1349" s="16">
        <v>46213</v>
      </c>
      <c r="D1349">
        <v>345</v>
      </c>
    </row>
    <row r="1350" spans="1:4" x14ac:dyDescent="0.3">
      <c r="A1350" t="s">
        <v>35</v>
      </c>
      <c r="C1350" s="16">
        <v>46213</v>
      </c>
      <c r="D1350">
        <v>31900.120000000003</v>
      </c>
    </row>
    <row r="1351" spans="1:4" x14ac:dyDescent="0.3">
      <c r="A1351" t="s">
        <v>17</v>
      </c>
      <c r="C1351" s="16">
        <v>46214</v>
      </c>
      <c r="D1351">
        <v>4163755.7500000005</v>
      </c>
    </row>
    <row r="1352" spans="1:4" x14ac:dyDescent="0.3">
      <c r="A1352" t="s">
        <v>18</v>
      </c>
      <c r="C1352" s="16">
        <v>46214</v>
      </c>
      <c r="D1352">
        <v>73157.680000000168</v>
      </c>
    </row>
    <row r="1353" spans="1:4" x14ac:dyDescent="0.3">
      <c r="A1353" t="s">
        <v>19</v>
      </c>
      <c r="C1353" s="16">
        <v>46214</v>
      </c>
      <c r="D1353">
        <v>1669.89</v>
      </c>
    </row>
    <row r="1354" spans="1:4" x14ac:dyDescent="0.3">
      <c r="A1354" t="s">
        <v>20</v>
      </c>
      <c r="C1354" s="16">
        <v>46214</v>
      </c>
      <c r="D1354">
        <v>290141.62999999989</v>
      </c>
    </row>
    <row r="1355" spans="1:4" x14ac:dyDescent="0.3">
      <c r="A1355" t="s">
        <v>21</v>
      </c>
      <c r="C1355" s="16">
        <v>46214</v>
      </c>
      <c r="D1355">
        <v>1921752.2699999993</v>
      </c>
    </row>
    <row r="1356" spans="1:4" x14ac:dyDescent="0.3">
      <c r="A1356" t="s">
        <v>22</v>
      </c>
      <c r="C1356" s="16">
        <v>46214</v>
      </c>
      <c r="D1356">
        <v>200496.38</v>
      </c>
    </row>
    <row r="1357" spans="1:4" x14ac:dyDescent="0.3">
      <c r="A1357" t="s">
        <v>23</v>
      </c>
      <c r="C1357" s="16">
        <v>46214</v>
      </c>
      <c r="D1357">
        <v>88090.37</v>
      </c>
    </row>
    <row r="1358" spans="1:4" x14ac:dyDescent="0.3">
      <c r="A1358" t="s">
        <v>24</v>
      </c>
      <c r="C1358" s="16">
        <v>46214</v>
      </c>
      <c r="D1358">
        <v>14580.45</v>
      </c>
    </row>
    <row r="1359" spans="1:4" x14ac:dyDescent="0.3">
      <c r="A1359" t="s">
        <v>25</v>
      </c>
      <c r="C1359" s="16">
        <v>46214</v>
      </c>
      <c r="D1359">
        <v>54.400000000000006</v>
      </c>
    </row>
    <row r="1360" spans="1:4" x14ac:dyDescent="0.3">
      <c r="A1360" t="s">
        <v>26</v>
      </c>
      <c r="C1360" s="16">
        <v>46214</v>
      </c>
      <c r="D1360">
        <v>2207.8200000000002</v>
      </c>
    </row>
    <row r="1361" spans="1:4" x14ac:dyDescent="0.3">
      <c r="A1361" t="s">
        <v>27</v>
      </c>
      <c r="C1361" s="16">
        <v>46214</v>
      </c>
      <c r="D1361">
        <v>1454589.72</v>
      </c>
    </row>
    <row r="1362" spans="1:4" x14ac:dyDescent="0.3">
      <c r="A1362" t="s">
        <v>28</v>
      </c>
      <c r="C1362" s="16">
        <v>46214</v>
      </c>
      <c r="D1362">
        <v>1968.99</v>
      </c>
    </row>
    <row r="1363" spans="1:4" x14ac:dyDescent="0.3">
      <c r="A1363" t="s">
        <v>29</v>
      </c>
      <c r="C1363" s="16">
        <v>46214</v>
      </c>
      <c r="D1363">
        <v>382.69000000000005</v>
      </c>
    </row>
    <row r="1364" spans="1:4" x14ac:dyDescent="0.3">
      <c r="A1364" t="s">
        <v>30</v>
      </c>
      <c r="C1364" s="16">
        <v>46214</v>
      </c>
      <c r="D1364">
        <v>1412.08</v>
      </c>
    </row>
    <row r="1365" spans="1:4" x14ac:dyDescent="0.3">
      <c r="A1365" t="s">
        <v>31</v>
      </c>
      <c r="C1365" s="16">
        <v>46214</v>
      </c>
      <c r="D1365">
        <v>22496.639999999959</v>
      </c>
    </row>
    <row r="1366" spans="1:4" x14ac:dyDescent="0.3">
      <c r="A1366" t="s">
        <v>32</v>
      </c>
      <c r="C1366" s="16">
        <v>46214</v>
      </c>
      <c r="D1366">
        <v>6522.8000000000029</v>
      </c>
    </row>
    <row r="1367" spans="1:4" x14ac:dyDescent="0.3">
      <c r="A1367" t="s">
        <v>33</v>
      </c>
      <c r="C1367" s="16">
        <v>46214</v>
      </c>
      <c r="D1367">
        <v>24085.559999999998</v>
      </c>
    </row>
    <row r="1368" spans="1:4" x14ac:dyDescent="0.3">
      <c r="A1368" t="s">
        <v>34</v>
      </c>
      <c r="C1368" s="16">
        <v>46214</v>
      </c>
      <c r="D1368">
        <v>345</v>
      </c>
    </row>
    <row r="1369" spans="1:4" x14ac:dyDescent="0.3">
      <c r="A1369" t="s">
        <v>35</v>
      </c>
      <c r="C1369" s="16">
        <v>46214</v>
      </c>
      <c r="D1369">
        <v>31900.120000000003</v>
      </c>
    </row>
    <row r="1370" spans="1:4" x14ac:dyDescent="0.3">
      <c r="A1370" t="s">
        <v>17</v>
      </c>
      <c r="C1370" s="16">
        <v>46215</v>
      </c>
      <c r="D1370">
        <v>4163755.7500000005</v>
      </c>
    </row>
    <row r="1371" spans="1:4" x14ac:dyDescent="0.3">
      <c r="A1371" t="s">
        <v>18</v>
      </c>
      <c r="C1371" s="16">
        <v>46215</v>
      </c>
      <c r="D1371">
        <v>73157.680000000168</v>
      </c>
    </row>
    <row r="1372" spans="1:4" x14ac:dyDescent="0.3">
      <c r="A1372" t="s">
        <v>19</v>
      </c>
      <c r="C1372" s="16">
        <v>46215</v>
      </c>
      <c r="D1372">
        <v>1669.89</v>
      </c>
    </row>
    <row r="1373" spans="1:4" x14ac:dyDescent="0.3">
      <c r="A1373" t="s">
        <v>20</v>
      </c>
      <c r="C1373" s="16">
        <v>46215</v>
      </c>
      <c r="D1373">
        <v>290141.62999999989</v>
      </c>
    </row>
    <row r="1374" spans="1:4" x14ac:dyDescent="0.3">
      <c r="A1374" t="s">
        <v>21</v>
      </c>
      <c r="C1374" s="16">
        <v>46215</v>
      </c>
      <c r="D1374">
        <v>1921752.2699999993</v>
      </c>
    </row>
    <row r="1375" spans="1:4" x14ac:dyDescent="0.3">
      <c r="A1375" t="s">
        <v>22</v>
      </c>
      <c r="C1375" s="16">
        <v>46215</v>
      </c>
      <c r="D1375">
        <v>200496.38</v>
      </c>
    </row>
    <row r="1376" spans="1:4" x14ac:dyDescent="0.3">
      <c r="A1376" t="s">
        <v>23</v>
      </c>
      <c r="C1376" s="16">
        <v>46215</v>
      </c>
      <c r="D1376">
        <v>88090.37</v>
      </c>
    </row>
    <row r="1377" spans="1:4" x14ac:dyDescent="0.3">
      <c r="A1377" t="s">
        <v>24</v>
      </c>
      <c r="C1377" s="16">
        <v>46215</v>
      </c>
      <c r="D1377">
        <v>14580.45</v>
      </c>
    </row>
    <row r="1378" spans="1:4" x14ac:dyDescent="0.3">
      <c r="A1378" t="s">
        <v>25</v>
      </c>
      <c r="C1378" s="16">
        <v>46215</v>
      </c>
      <c r="D1378">
        <v>54.400000000000006</v>
      </c>
    </row>
    <row r="1379" spans="1:4" x14ac:dyDescent="0.3">
      <c r="A1379" t="s">
        <v>26</v>
      </c>
      <c r="C1379" s="16">
        <v>46215</v>
      </c>
      <c r="D1379">
        <v>2207.8200000000002</v>
      </c>
    </row>
    <row r="1380" spans="1:4" x14ac:dyDescent="0.3">
      <c r="A1380" t="s">
        <v>27</v>
      </c>
      <c r="C1380" s="16">
        <v>46215</v>
      </c>
      <c r="D1380">
        <v>1454589.72</v>
      </c>
    </row>
    <row r="1381" spans="1:4" x14ac:dyDescent="0.3">
      <c r="A1381" t="s">
        <v>28</v>
      </c>
      <c r="C1381" s="16">
        <v>46215</v>
      </c>
      <c r="D1381">
        <v>1968.99</v>
      </c>
    </row>
    <row r="1382" spans="1:4" x14ac:dyDescent="0.3">
      <c r="A1382" t="s">
        <v>29</v>
      </c>
      <c r="C1382" s="16">
        <v>46215</v>
      </c>
      <c r="D1382">
        <v>382.69000000000005</v>
      </c>
    </row>
    <row r="1383" spans="1:4" x14ac:dyDescent="0.3">
      <c r="A1383" t="s">
        <v>30</v>
      </c>
      <c r="C1383" s="16">
        <v>46215</v>
      </c>
      <c r="D1383">
        <v>1412.08</v>
      </c>
    </row>
    <row r="1384" spans="1:4" x14ac:dyDescent="0.3">
      <c r="A1384" t="s">
        <v>31</v>
      </c>
      <c r="C1384" s="16">
        <v>46215</v>
      </c>
      <c r="D1384">
        <v>22496.639999999959</v>
      </c>
    </row>
    <row r="1385" spans="1:4" x14ac:dyDescent="0.3">
      <c r="A1385" t="s">
        <v>32</v>
      </c>
      <c r="C1385" s="16">
        <v>46215</v>
      </c>
      <c r="D1385">
        <v>6522.8000000000029</v>
      </c>
    </row>
    <row r="1386" spans="1:4" x14ac:dyDescent="0.3">
      <c r="A1386" t="s">
        <v>33</v>
      </c>
      <c r="C1386" s="16">
        <v>46215</v>
      </c>
      <c r="D1386">
        <v>24085.559999999998</v>
      </c>
    </row>
    <row r="1387" spans="1:4" x14ac:dyDescent="0.3">
      <c r="A1387" t="s">
        <v>34</v>
      </c>
      <c r="C1387" s="16">
        <v>46215</v>
      </c>
      <c r="D1387">
        <v>345</v>
      </c>
    </row>
    <row r="1388" spans="1:4" x14ac:dyDescent="0.3">
      <c r="A1388" t="s">
        <v>35</v>
      </c>
      <c r="C1388" s="16">
        <v>46215</v>
      </c>
      <c r="D1388">
        <v>31900.120000000003</v>
      </c>
    </row>
    <row r="1389" spans="1:4" x14ac:dyDescent="0.3">
      <c r="A1389" t="s">
        <v>17</v>
      </c>
      <c r="C1389" s="16">
        <v>46216</v>
      </c>
      <c r="D1389">
        <v>4163755.7500000005</v>
      </c>
    </row>
    <row r="1390" spans="1:4" x14ac:dyDescent="0.3">
      <c r="A1390" t="s">
        <v>18</v>
      </c>
      <c r="C1390" s="16">
        <v>46216</v>
      </c>
      <c r="D1390">
        <v>73157.680000000168</v>
      </c>
    </row>
    <row r="1391" spans="1:4" x14ac:dyDescent="0.3">
      <c r="A1391" t="s">
        <v>19</v>
      </c>
      <c r="C1391" s="16">
        <v>46216</v>
      </c>
      <c r="D1391">
        <v>1669.89</v>
      </c>
    </row>
    <row r="1392" spans="1:4" x14ac:dyDescent="0.3">
      <c r="A1392" t="s">
        <v>20</v>
      </c>
      <c r="C1392" s="16">
        <v>46216</v>
      </c>
      <c r="D1392">
        <v>290141.62999999989</v>
      </c>
    </row>
    <row r="1393" spans="1:4" x14ac:dyDescent="0.3">
      <c r="A1393" t="s">
        <v>21</v>
      </c>
      <c r="C1393" s="16">
        <v>46216</v>
      </c>
      <c r="D1393">
        <v>1921752.2699999993</v>
      </c>
    </row>
    <row r="1394" spans="1:4" x14ac:dyDescent="0.3">
      <c r="A1394" t="s">
        <v>22</v>
      </c>
      <c r="C1394" s="16">
        <v>46216</v>
      </c>
      <c r="D1394">
        <v>200496.38</v>
      </c>
    </row>
    <row r="1395" spans="1:4" x14ac:dyDescent="0.3">
      <c r="A1395" t="s">
        <v>23</v>
      </c>
      <c r="C1395" s="16">
        <v>46216</v>
      </c>
      <c r="D1395">
        <v>88090.37</v>
      </c>
    </row>
    <row r="1396" spans="1:4" x14ac:dyDescent="0.3">
      <c r="A1396" t="s">
        <v>24</v>
      </c>
      <c r="C1396" s="16">
        <v>46216</v>
      </c>
      <c r="D1396">
        <v>14580.45</v>
      </c>
    </row>
    <row r="1397" spans="1:4" x14ac:dyDescent="0.3">
      <c r="A1397" t="s">
        <v>25</v>
      </c>
      <c r="C1397" s="16">
        <v>46216</v>
      </c>
      <c r="D1397">
        <v>54.400000000000006</v>
      </c>
    </row>
    <row r="1398" spans="1:4" x14ac:dyDescent="0.3">
      <c r="A1398" t="s">
        <v>26</v>
      </c>
      <c r="C1398" s="16">
        <v>46216</v>
      </c>
      <c r="D1398">
        <v>2207.8200000000002</v>
      </c>
    </row>
    <row r="1399" spans="1:4" x14ac:dyDescent="0.3">
      <c r="A1399" t="s">
        <v>27</v>
      </c>
      <c r="C1399" s="16">
        <v>46216</v>
      </c>
      <c r="D1399">
        <v>1454589.72</v>
      </c>
    </row>
    <row r="1400" spans="1:4" x14ac:dyDescent="0.3">
      <c r="A1400" t="s">
        <v>28</v>
      </c>
      <c r="C1400" s="16">
        <v>46216</v>
      </c>
      <c r="D1400">
        <v>1968.99</v>
      </c>
    </row>
    <row r="1401" spans="1:4" x14ac:dyDescent="0.3">
      <c r="A1401" t="s">
        <v>29</v>
      </c>
      <c r="C1401" s="16">
        <v>46216</v>
      </c>
      <c r="D1401">
        <v>901.34</v>
      </c>
    </row>
    <row r="1402" spans="1:4" x14ac:dyDescent="0.3">
      <c r="A1402" t="s">
        <v>30</v>
      </c>
      <c r="C1402" s="16">
        <v>46216</v>
      </c>
      <c r="D1402">
        <v>1412.08</v>
      </c>
    </row>
    <row r="1403" spans="1:4" x14ac:dyDescent="0.3">
      <c r="A1403" t="s">
        <v>31</v>
      </c>
      <c r="C1403" s="16">
        <v>46216</v>
      </c>
      <c r="D1403">
        <v>22496.639999999959</v>
      </c>
    </row>
    <row r="1404" spans="1:4" x14ac:dyDescent="0.3">
      <c r="A1404" t="s">
        <v>32</v>
      </c>
      <c r="C1404" s="16">
        <v>46216</v>
      </c>
      <c r="D1404">
        <v>6522.8000000000029</v>
      </c>
    </row>
    <row r="1405" spans="1:4" x14ac:dyDescent="0.3">
      <c r="A1405" t="s">
        <v>33</v>
      </c>
      <c r="C1405" s="16">
        <v>46216</v>
      </c>
      <c r="D1405">
        <v>24085.559999999998</v>
      </c>
    </row>
    <row r="1406" spans="1:4" x14ac:dyDescent="0.3">
      <c r="A1406" t="s">
        <v>34</v>
      </c>
      <c r="C1406" s="16">
        <v>46216</v>
      </c>
      <c r="D1406">
        <v>345</v>
      </c>
    </row>
    <row r="1407" spans="1:4" x14ac:dyDescent="0.3">
      <c r="A1407" t="s">
        <v>35</v>
      </c>
      <c r="C1407" s="16">
        <v>46216</v>
      </c>
      <c r="D1407">
        <v>25198.240000000002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2026-07-14T15:39:52Z</dcterms:modified>
  <dc:language>en-US</dc:language>
</cp:coreProperties>
</file>